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35" activeTab="3"/>
  </bookViews>
  <sheets>
    <sheet name="规范整合泌尿系统医疗服务价格映射表12.11" sheetId="19" r:id="rId1"/>
    <sheet name="规范整合泌尿系统医疗服务价格映射表12.11 (2)" sheetId="20" r:id="rId2"/>
    <sheet name="Sheet1" sheetId="23" r:id="rId3"/>
    <sheet name="Sheet4(非最新）" sheetId="24" r:id="rId4"/>
  </sheets>
  <definedNames>
    <definedName name="_xlnm._FilterDatabase" localSheetId="0" hidden="1">规范整合泌尿系统医疗服务价格映射表12.11!$A$4:$AK$705</definedName>
    <definedName name="_xlnm._FilterDatabase" localSheetId="1" hidden="1">'规范整合泌尿系统医疗服务价格映射表12.11 (2)'!$A$4:$AE$658</definedName>
    <definedName name="_xlnm._FilterDatabase" localSheetId="2" hidden="1">Sheet1!$A$1:$W$634</definedName>
    <definedName name="_xlnm._FilterDatabase" localSheetId="3" hidden="1">'Sheet4(非最新）'!$A$1:$AB$224</definedName>
    <definedName name="_xlnm.Print_Titles" localSheetId="0">规范整合泌尿系统医疗服务价格映射表12.11!$3:$4</definedName>
    <definedName name="_xlnm.Print_Area" localSheetId="0">规范整合泌尿系统医疗服务价格映射表12.11!$A$1:$AG$705</definedName>
    <definedName name="_xlnm.Print_Titles" localSheetId="1">'规范整合泌尿系统医疗服务价格映射表12.11 (2)'!$3:$4</definedName>
    <definedName name="_xlnm.Print_Area" localSheetId="1">'规范整合泌尿系统医疗服务价格映射表12.11 (2)'!$A$1:$AE$658</definedName>
  </definedNames>
  <calcPr calcId="144525"/>
</workbook>
</file>

<file path=xl/sharedStrings.xml><?xml version="1.0" encoding="utf-8"?>
<sst xmlns="http://schemas.openxmlformats.org/spreadsheetml/2006/main" count="22849" uniqueCount="2151">
  <si>
    <t>附件1</t>
  </si>
  <si>
    <t>泌尿系统类立项指南项目价格拟定情况</t>
  </si>
  <si>
    <t>泌尿系统类立项指南项目</t>
  </si>
  <si>
    <t>现行价格项目</t>
  </si>
  <si>
    <t>序号</t>
  </si>
  <si>
    <t>项目代码</t>
  </si>
  <si>
    <t>项目名称</t>
  </si>
  <si>
    <t>归集口径</t>
  </si>
  <si>
    <t>服务产出</t>
  </si>
  <si>
    <t>价格构成</t>
  </si>
  <si>
    <t>计价单位</t>
  </si>
  <si>
    <t>计价说明</t>
  </si>
  <si>
    <t>省三甲价格</t>
  </si>
  <si>
    <t>省三甲以下价格</t>
  </si>
  <si>
    <t>平移价格
(市级)</t>
  </si>
  <si>
    <t>平移价格
(县级)</t>
  </si>
  <si>
    <t>平移价格
(基层)</t>
  </si>
  <si>
    <t>拟定价格
(市级)</t>
  </si>
  <si>
    <t>拟定价格
(县级)</t>
  </si>
  <si>
    <t>拟定价格
(基层)</t>
  </si>
  <si>
    <t>医保属性</t>
  </si>
  <si>
    <t>医保限定支付范围</t>
  </si>
  <si>
    <t>个人先行自付比例</t>
  </si>
  <si>
    <t>调整情况</t>
  </si>
  <si>
    <t>备注</t>
  </si>
  <si>
    <t>国家结算编码</t>
  </si>
  <si>
    <t>项目编码</t>
  </si>
  <si>
    <t>项目内涵</t>
  </si>
  <si>
    <t>除外内容</t>
  </si>
  <si>
    <t>说明</t>
  </si>
  <si>
    <t>三甲</t>
  </si>
  <si>
    <t>三甲以下</t>
  </si>
  <si>
    <t>价格
(市级)</t>
  </si>
  <si>
    <t>价格
(县级)</t>
  </si>
  <si>
    <t>价格
(基层)</t>
  </si>
  <si>
    <t>012411000010000</t>
  </si>
  <si>
    <t>肾盂内压检查费</t>
  </si>
  <si>
    <t>检查费</t>
  </si>
  <si>
    <t>通过各种方式测定肾盂内压，辅助判断肾盂输尿管连接部是否存在梗阻。</t>
  </si>
  <si>
    <t>所定价格涵盖放置导管、注射、观察记录、出具报告、处理用物等步骤所需的人力资源和基本物质资源消耗。</t>
  </si>
  <si>
    <t>次</t>
  </si>
  <si>
    <t>“次”指双侧，单侧按50%收取。</t>
  </si>
  <si>
    <t>非医保</t>
  </si>
  <si>
    <t/>
  </si>
  <si>
    <t>新增价格</t>
  </si>
  <si>
    <t>新增价格，按比价关系拟定</t>
  </si>
  <si>
    <t>003110000140000-311000014</t>
  </si>
  <si>
    <t>肾盂测压</t>
  </si>
  <si>
    <t>单侧</t>
  </si>
  <si>
    <t>012411000020000</t>
  </si>
  <si>
    <t>尿流动力学检查费</t>
  </si>
  <si>
    <t>通过各种方式对尿路功能状态进行评估，辅助诊断尿路功能障碍性疾病。</t>
  </si>
  <si>
    <t>所定价格涵盖检测尿流率与动力学、出具报告、处理用物等步骤所需的人力资源和基本物质资源消耗。</t>
  </si>
  <si>
    <t>尿流率检测市级医院收取66元/次，县级医院收取59元/次，基层收取51元/次。</t>
  </si>
  <si>
    <t>医保</t>
  </si>
  <si>
    <t>平移</t>
  </si>
  <si>
    <t>平移后，县级按不高于省级拟定，基层取整。同质化高的项目持平省级定价。</t>
  </si>
  <si>
    <t>003110000390000-311000039</t>
  </si>
  <si>
    <t>尿流动力学检测</t>
  </si>
  <si>
    <t>不含摄片</t>
  </si>
  <si>
    <t>尿流动力学检查费（尿流率检测）</t>
  </si>
  <si>
    <t>003110000380000-311000038</t>
  </si>
  <si>
    <t>尿流率检测</t>
  </si>
  <si>
    <t>012411000030000</t>
  </si>
  <si>
    <t>泌尿系镜检查费（肾镜）</t>
  </si>
  <si>
    <t>通过肾镜观察和诊断泌尿系统疾病。</t>
  </si>
  <si>
    <t>所定价格涵盖消毒、插管、扩张通道、观察、出具报告、处理用物、必要时穿刺等步骤所需的人力资源和基本物质资源消耗。</t>
  </si>
  <si>
    <t>理顺</t>
  </si>
  <si>
    <t>平移后，县级按不高于省级拟定</t>
  </si>
  <si>
    <t>003110000180000-311000018</t>
  </si>
  <si>
    <t>经皮肾盂镜检查</t>
  </si>
  <si>
    <t>含活检</t>
  </si>
  <si>
    <t>012411000040000</t>
  </si>
  <si>
    <t>泌尿系镜检查费（输尿管镜）</t>
  </si>
  <si>
    <t>通过输尿管镜观察和诊断泌尿系统疾病。</t>
  </si>
  <si>
    <t>所定价格涵盖消毒、插管、扩张通道、观察、出具报告、处理用物等步骤所需的人力资源和基本物质资源消耗。</t>
  </si>
  <si>
    <t>理顺，降低</t>
  </si>
  <si>
    <t>平移后，县级按不高于省级拟定，基层对应调整</t>
  </si>
  <si>
    <t>003110000200000-311000020</t>
  </si>
  <si>
    <t>经尿道输尿管镜检查</t>
  </si>
  <si>
    <t>含活检；包括取异物</t>
  </si>
  <si>
    <t>分项</t>
  </si>
  <si>
    <t>012411000040100</t>
  </si>
  <si>
    <t>泌尿系镜检查费（输尿管镜）-精囊镜检查（扩展）</t>
  </si>
  <si>
    <t>扩展项按主项价格执行</t>
  </si>
  <si>
    <t>353111000290000-311100020</t>
  </si>
  <si>
    <t>经尿道精囊镜检查</t>
  </si>
  <si>
    <t>消毒，取Wolf4.5/6.5精囊镜连接电视成像系统，以生理盐水为灌注液，直视下将精囊镜经尿道置入膀胱，观察尿道、膀胱，将镜体退至精阜处，仔细观察射精管口，发现射精管口后稍加大灌注液速度，将镜体置入一侧射精管内，将镜体逐渐推进精囊内，观察射精管及精囊内情况，如有无结石、肿物及精囊液情况。含活检、斑马导丝。</t>
  </si>
  <si>
    <t>侧</t>
  </si>
  <si>
    <t>012411000050000</t>
  </si>
  <si>
    <t>泌尿系镜检查费（膀胱镜尿道镜）</t>
  </si>
  <si>
    <t>通过膀胱镜尿道镜观察和诊断泌尿系统疾病。</t>
  </si>
  <si>
    <t>003110000340000-311000034</t>
  </si>
  <si>
    <t>膀胱镜尿道镜检查</t>
  </si>
  <si>
    <t>含活检，包括取异物</t>
  </si>
  <si>
    <t>012412000010000</t>
  </si>
  <si>
    <t>性刺激勃起检查费</t>
  </si>
  <si>
    <t>通过各种方式对患者在各类性刺激环境下勃起次数、持续时间、硬度分级等情况进行监测。</t>
  </si>
  <si>
    <t>所定价格涵盖消毒、设备准备、刺激、监测、读取结果、出具报告、处理用物等步骤所需的人力资源和基本物质资源消耗。</t>
  </si>
  <si>
    <t>新增项目</t>
  </si>
  <si>
    <t>新增项目，按比价关系拟定，同质化高的检查项目缩小价差</t>
  </si>
  <si>
    <t>012412000020000</t>
  </si>
  <si>
    <t>阴茎勃起检查费</t>
  </si>
  <si>
    <t>对患者夜间或模拟夜间环境下勃起次数、持续时间、硬度分级等情况进行监测。</t>
  </si>
  <si>
    <t>所定价格涵盖消毒、设备准备、监测、读取结果、出具报告、处理用物等步骤所需的人力资源和基本物质资源消耗。</t>
  </si>
  <si>
    <t>003111000030000-311100003</t>
  </si>
  <si>
    <t>夜间阴茎胀大试验</t>
  </si>
  <si>
    <t>含硬度计法</t>
  </si>
  <si>
    <t>012412000030000</t>
  </si>
  <si>
    <t>阴茎超声血流图检查费</t>
  </si>
  <si>
    <t>对患者阴茎海绵体内血流情况进行检测。</t>
  </si>
  <si>
    <t>所定价格涵盖消毒、设备准备、检测、诊断、出具报告、处理用物等步骤所需的人力资源和基本物质资源消耗。</t>
  </si>
  <si>
    <t>仅县级有工作量，平移后按不超过省级拟定，同质化高的项目持平省级定价。</t>
  </si>
  <si>
    <t>003111000040000-311100004</t>
  </si>
  <si>
    <t>阴茎超声血流图检查</t>
  </si>
  <si>
    <t>003111000110000-311100011</t>
  </si>
  <si>
    <t>阴茎动脉测压术</t>
  </si>
  <si>
    <t>012412000040000</t>
  </si>
  <si>
    <t>阴茎勃起神经检查费</t>
  </si>
  <si>
    <t>通过各种方式对患者勃起相关神经进行检测。</t>
  </si>
  <si>
    <t>所定价格涵盖消毒、设备准备、检测、读取结果、出具报告、处理用物等步骤所需的人力资源和基本物质资源消耗。</t>
  </si>
  <si>
    <t>平移后，县级按不高于省级拟定，同质化高的项目持平省级定价。</t>
  </si>
  <si>
    <t>003111000050000-311100005</t>
  </si>
  <si>
    <t>阴茎勃起神经检查</t>
  </si>
  <si>
    <t>含肌电图检查</t>
  </si>
  <si>
    <t>013110000010000</t>
  </si>
  <si>
    <t>血液透析费</t>
  </si>
  <si>
    <t>治疗费</t>
  </si>
  <si>
    <t>通过弥散和对流原理清除血液中过多水分和有害物质。</t>
  </si>
  <si>
    <t>所定价格涵盖消毒、穿刺、安装设定、连接管路、监测、血液回输、加压止血、封管、处理用物等步骤所需的人力资源和基本物质资源消耗。</t>
  </si>
  <si>
    <t>本项目中的“监测”指：血温、血压、在线清除率、血容量监测，医院未完成全部四项监测事项的，每少完成一项监测减收5元。</t>
  </si>
  <si>
    <t>已落地，直接平移</t>
  </si>
  <si>
    <t>2025年7月15日已落地执行</t>
  </si>
  <si>
    <t>013110000020000</t>
  </si>
  <si>
    <t>血液滤过费</t>
  </si>
  <si>
    <t>通过对流原理清除血液中过多水分和有害物质。</t>
  </si>
  <si>
    <t>所定价格涵盖消毒、穿刺、建立通路、抗凝处理、连接管路、补充置换液、清除毒素及水分、监测、封管、处理用物等步骤所需的人力资源和基本物质资源消耗。</t>
  </si>
  <si>
    <t>013110000030000</t>
  </si>
  <si>
    <t>血液透析滤过费</t>
  </si>
  <si>
    <t>通过同时进行血液透析和血液滤过清除血液中过多水分和有害物质。</t>
  </si>
  <si>
    <t>所定价格涵盖消毒、穿刺、建立通路、连接管路、参数设置、清除毒素及水分滤过、监测、封管、处理用物等步骤所需的人力资源和基本物质资源消耗。</t>
  </si>
  <si>
    <t>013110000040000</t>
  </si>
  <si>
    <t>血液灌流费</t>
  </si>
  <si>
    <r>
      <rPr>
        <sz val="10"/>
        <rFont val="仿宋"/>
        <charset val="134"/>
      </rPr>
      <t>通过吸附原理</t>
    </r>
    <r>
      <rPr>
        <sz val="10"/>
        <rFont val="DejaVu Sans"/>
        <charset val="134"/>
      </rPr>
      <t>‌</t>
    </r>
    <r>
      <rPr>
        <sz val="10"/>
        <rFont val="仿宋"/>
        <charset val="134"/>
      </rPr>
      <t>直接结合血液中的中大分子及蛋白结合毒素。</t>
    </r>
  </si>
  <si>
    <t>所定价格涵盖消毒、穿刺、建立通路、连接管路、参数设置、血液灌流、回输、封管、处理用物等步骤所需的人力资源和基本物质资源消耗。</t>
  </si>
  <si>
    <t>013110000050000</t>
  </si>
  <si>
    <t>血液透析灌流费</t>
  </si>
  <si>
    <t>通过同时进行血液透析和血液灌流清除血液中过多水分和有害物质。</t>
  </si>
  <si>
    <t>所定价格涵盖消毒、穿刺、建立通路、连接管路、参数设置、透析灌流、监测、封管、处理用物等步骤所需的人力资源和基本物质资源消耗。</t>
  </si>
  <si>
    <t>013110000060000</t>
  </si>
  <si>
    <t>血浆置换费</t>
  </si>
  <si>
    <t>分离血浆、用置换液置换含有有害物质的血浆。</t>
  </si>
  <si>
    <t>所定价格涵盖消毒、穿刺、连接管路、血浆分离置换、回输、去除装置、处理用物等步骤所需的人力资源和基本物质资源消耗。</t>
  </si>
  <si>
    <t>血浆置换费使用的滤器、血浆分离器、管路按零差率销售价格另行收取相应费用。</t>
  </si>
  <si>
    <t>2025年7月15日已落地执行，现将耗材剥离，重新制定价格。
血浆分离器、分离管路全市采购均价分别为2178元、1425元，耗材成本超过项目本身价格。</t>
  </si>
  <si>
    <t>003109050230000-310905023</t>
  </si>
  <si>
    <t>人工肝治疗</t>
  </si>
  <si>
    <t>一次性导管</t>
  </si>
  <si>
    <t>013110000060001</t>
  </si>
  <si>
    <t>血浆置换费-双重血浆置换（加收）</t>
  </si>
  <si>
    <t>新增项目，按项目间比价关系拟定</t>
  </si>
  <si>
    <t>013110000070000</t>
  </si>
  <si>
    <t>血浆吸附费</t>
  </si>
  <si>
    <t>分离血浆，利用吸附原理清除血浆中特定有害物质。</t>
  </si>
  <si>
    <t>所定价格涵盖消毒、穿刺、连接管路、分离血浆、吸附清除致病物质、血细胞混合、回输、去除装置、处理用物等步骤所需的人力资源和基本物质资源消耗。</t>
  </si>
  <si>
    <t>013110000080000</t>
  </si>
  <si>
    <t>连续性肾脏替代治疗费</t>
  </si>
  <si>
    <t>通过血液净化实现连续肾脏替代治疗和多脏器功能衰竭的生命支持治疗。</t>
  </si>
  <si>
    <t>所定价格涵盖消毒、穿刺、连接管路、上机、血液净化、体外抗凝、回输、去除装置、处理用物等步骤所需的人力资源和基本物质资源消耗。</t>
  </si>
  <si>
    <t>小时</t>
  </si>
  <si>
    <t>连续性肾脏替代治疗使用的滤器、管路按零差率销售价格另行收取相应费用。</t>
  </si>
  <si>
    <t>新家</t>
  </si>
  <si>
    <t>013110000080001</t>
  </si>
  <si>
    <t>连续性肾脏替代治疗费-连续性血浆吸附滤过治疗（加收）</t>
  </si>
  <si>
    <t>013110000090000</t>
  </si>
  <si>
    <t>腹膜透析费（人工）</t>
  </si>
  <si>
    <t>通过人工进行肾脏替代治疗，清除毒素和/或水分。</t>
  </si>
  <si>
    <t>所定价格涵盖操作前准备、透析管连接、注入透析液、引流液收集、记录等步骤所需的人力资源和基本物质资源消耗。</t>
  </si>
  <si>
    <t>013110000100000</t>
  </si>
  <si>
    <t>腹膜透析费（自动）</t>
  </si>
  <si>
    <t>通过设备进行肾脏替代治疗，清除毒素和/或水分。</t>
  </si>
  <si>
    <t>所定价格涵盖设备准备、透析管连接、设备运行、引流液收集、记录等步骤所需的人力资源和基本物质资源消耗。</t>
  </si>
  <si>
    <t>013110000110000</t>
  </si>
  <si>
    <t>腹膜透析操作训练费</t>
  </si>
  <si>
    <t>由医疗机构提供腹膜透析治疗的相关操作训练和指导，使患者具备自我操作腹膜透析和疾病自我管理的能力。</t>
  </si>
  <si>
    <t>所定价格涵盖医务人员对患者及照顾者进行培训，使其掌握家庭腹膜透析技能所需的人力资源和基本物质资源消耗。</t>
  </si>
  <si>
    <t>超过4小时按4小时收取。</t>
  </si>
  <si>
    <t>新增项目，按比价关系拟定</t>
  </si>
  <si>
    <t>013110000120000</t>
  </si>
  <si>
    <t>腹膜透析延伸服务费</t>
  </si>
  <si>
    <t>通过各种方式向在院外进行腹膜透析治疗的患者提供沟通、评估及指导等医学服务。</t>
  </si>
  <si>
    <t>所定价格涵盖医务人员对患者进行沟通、评估及指导等所需的人力资源和基本物质资源消耗。</t>
  </si>
  <si>
    <t>月</t>
  </si>
  <si>
    <t>医疗机构收取该项费用应以每周最少完成一次延伸服务为前提。居家自动腹膜透析远程实时监测不得同时收取腹膜透析延伸服务费。</t>
  </si>
  <si>
    <t>013110000130000</t>
  </si>
  <si>
    <t>透析管路处理费</t>
  </si>
  <si>
    <t>溶解透析管路内栓塞物，恢复透析管路通畅。</t>
  </si>
  <si>
    <t>所定价格涵盖消毒、反复溶栓药物注射、留置、抽取、封管、处理用物等步骤所需的人力资源和基本物质资源消耗。</t>
  </si>
  <si>
    <t xml:space="preserve"> </t>
  </si>
  <si>
    <t>013110000140000</t>
  </si>
  <si>
    <t>腹膜透析外管更换费</t>
  </si>
  <si>
    <t>通过各种方式更换腹膜透析外接短管。</t>
  </si>
  <si>
    <t>所定价格涵盖消毒、更换管路、封管、处理用物等步骤所需的人力资源和基本物质资源消耗。</t>
  </si>
  <si>
    <t>2025年7月15日已在“腹膜透析换管费”说明中落地执行，此次调整市级理顺比价</t>
  </si>
  <si>
    <t>013311000020000</t>
  </si>
  <si>
    <t>腹膜透析换管费（更换外管）</t>
  </si>
  <si>
    <t>013110000150000</t>
  </si>
  <si>
    <t>腹膜平衡试验费</t>
  </si>
  <si>
    <t>对腹膜功能进行检测，调整腹膜透析方案。</t>
  </si>
  <si>
    <t>所定价格涵盖腹透换液、留取标本、测量、计算、出具方案、处理用物等步骤所需的人力资源和基本物质资源消耗。</t>
  </si>
  <si>
    <t>2025年7月15日已落地执行，此次调整市级理顺比价</t>
  </si>
  <si>
    <t>013311000010000</t>
  </si>
  <si>
    <t>腹膜透析置管费</t>
  </si>
  <si>
    <t>手术费</t>
  </si>
  <si>
    <t>通过各种方式放置腹膜透析导管。</t>
  </si>
  <si>
    <t>所定价格涵盖消毒、切开、穿刺或分离、置管、试水通畅、缝合、处理用物等步骤所需的人力资源和基本物质资源消耗。</t>
  </si>
  <si>
    <t>2025年7月15日已落地执行，现微调市级、县级价格以理顺比价</t>
  </si>
  <si>
    <t>013311000010001</t>
  </si>
  <si>
    <t>腹膜透析置管费-儿童（加收）</t>
  </si>
  <si>
    <t>新增儿童加收项目，福建省目前不予区分定价，因此定价为0</t>
  </si>
  <si>
    <t>腹膜透析换管费</t>
  </si>
  <si>
    <t>更换破损、堵塞、移位的腹膜透析导管。</t>
  </si>
  <si>
    <t>所定价格涵盖消毒、切开、拔除旧管、原位置入新管、试水通畅、缝合、处理用物等步骤所需的人力资源和基本物质资源消耗。</t>
  </si>
  <si>
    <t>不与“腹膜透析置管费”“腹膜透析导管取出费”“腹膜透析导管感染清创费”同时收取。</t>
  </si>
  <si>
    <t>2025年7月15日已落地执行，现调整说明，更换外管独立设立项目
微调价格理顺比价</t>
  </si>
  <si>
    <t>不与“腹膜透析置管费”“腹膜透析导管取出费”“腹膜透析导管感染清创费”同时收取。更换外管市、县级按40元收取，基层按34元收取。</t>
  </si>
  <si>
    <t>013311000020001</t>
  </si>
  <si>
    <t>腹膜透析换管费-儿童（加收）</t>
  </si>
  <si>
    <t>013110000160000</t>
  </si>
  <si>
    <t>腹膜透析导管复位费（导丝复位）</t>
  </si>
  <si>
    <t>通过导丝调整复位移位的腹膜透析导管，恢复导管功能。</t>
  </si>
  <si>
    <t>所定价格涵盖消毒、修复、调整管路、试水通畅等步骤所需的人力资源和基本物质资源消耗。</t>
  </si>
  <si>
    <t>不与“腹膜透析导管复位费（手术复位）”同时收取。</t>
  </si>
  <si>
    <t>013311000030000</t>
  </si>
  <si>
    <t>腹膜透析导管复位费（手术复位）</t>
  </si>
  <si>
    <t>通过手术调整复位移位的腹膜透析导管，恢复导管功能。</t>
  </si>
  <si>
    <t>所定价格涵盖消毒、修复、调整管路、试水通畅、缝合及必要时使用导丝调整、处理用物等步骤所需的人力资源和基本物质资源消耗。</t>
  </si>
  <si>
    <t>不与“腹膜透析导管复位费（导丝复位）”同时收取。</t>
  </si>
  <si>
    <t>013311000030001</t>
  </si>
  <si>
    <t>腹膜透析导管复位费（手术复位）-儿童（加收）</t>
  </si>
  <si>
    <t>新增儿童加收项目，儿童按30%加收</t>
  </si>
  <si>
    <t>013110000170000</t>
  </si>
  <si>
    <t>腹膜透析导管取出费</t>
  </si>
  <si>
    <t>通过各种方式取出腹膜透析导管。</t>
  </si>
  <si>
    <t>所定价格涵盖消毒、切开、分离、拔管、缝合等步骤所需的人力资源和基本物质资源消耗。</t>
  </si>
  <si>
    <t>013110000180000</t>
  </si>
  <si>
    <t>腹膜透析导管感染清创费</t>
  </si>
  <si>
    <t>清除感染的腹膜透析导管外涤纶套。</t>
  </si>
  <si>
    <t>所定价格涵盖消毒、切开、游离、清除涤纶套、缝合及必要时更换管路、处理用物等步骤所需的人力资源和基本物质资源消耗。</t>
  </si>
  <si>
    <t>不与“腹膜透析换管费”同时收取。</t>
  </si>
  <si>
    <t>013110000190000</t>
  </si>
  <si>
    <t>体外冲击波碎石费</t>
  </si>
  <si>
    <t>通过冲击波聚焦能量，裂解尿路结石，便于结石排出。</t>
  </si>
  <si>
    <t>所定价格涵盖体位摆放、机器校准、能量释放、结石裂解、排出体外等步骤所需的人力资源和基本物质资源消耗。</t>
  </si>
  <si>
    <t>第二次碎石市级医院收取350元/次，县级医院收取315元/次，基层收取268元/次；第三次碎石市级医院收取175元/次，县级医院收取158元/次，基层收取134元/次；第四次起不收费。</t>
  </si>
  <si>
    <t>平移，取整</t>
  </si>
  <si>
    <t>003110000400000-311000040</t>
  </si>
  <si>
    <t>体外冲击波碎石</t>
  </si>
  <si>
    <t>含影像学监测,不含摄片</t>
  </si>
  <si>
    <t>第二次碎石按全价50%计价，第三次按25%计价，第四次起不收费。</t>
  </si>
  <si>
    <t>体外冲击波碎石费（第二次）</t>
  </si>
  <si>
    <t>003110000400000-31100004003</t>
  </si>
  <si>
    <t>体外冲击波碎石（第二次）</t>
  </si>
  <si>
    <t>第二次</t>
  </si>
  <si>
    <t>体外冲击波碎石费（第三次）</t>
  </si>
  <si>
    <t>003110000400000-31100004006</t>
  </si>
  <si>
    <t>体外冲击波碎石（第三次）</t>
  </si>
  <si>
    <t>第三次</t>
  </si>
  <si>
    <t>013110000200000</t>
  </si>
  <si>
    <t>泌尿系镜下治疗费（常规）</t>
  </si>
  <si>
    <t>通过置物、取物等方式对泌尿系统及男性生殖系统病灶进行治疗。</t>
  </si>
  <si>
    <t>所定价格涵盖消毒、下镜、治疗、撤镜等步骤所需的人力资源和基本物质资源消耗。（不含泌尿系镜下检查）</t>
  </si>
  <si>
    <t>同时行常规治疗和特殊治疗的，按照“泌尿系镜下治疗费（特殊）”收取。</t>
  </si>
  <si>
    <t>平移取整</t>
  </si>
  <si>
    <t>加权平移取整</t>
  </si>
  <si>
    <t>003110000190200-31100001901</t>
  </si>
  <si>
    <t>经皮肾盂镜取石术（取异物）</t>
  </si>
  <si>
    <t>取异物</t>
  </si>
  <si>
    <t>003311030270000-331103027</t>
  </si>
  <si>
    <t>经尿道膀胱碎石取石术</t>
  </si>
  <si>
    <t>包括血块、异物取出</t>
  </si>
  <si>
    <t>003311030270000-33110302701</t>
  </si>
  <si>
    <t>小儿经尿道膀胱碎石取石术</t>
  </si>
  <si>
    <t>003110000370000-311000037</t>
  </si>
  <si>
    <t>经尿道治疗尿失禁</t>
  </si>
  <si>
    <t>含硬化剂局部注射</t>
  </si>
  <si>
    <t>003312010070000-331201007</t>
  </si>
  <si>
    <t>经尿道前列腺气囊扩张术</t>
  </si>
  <si>
    <t>气囊导管</t>
  </si>
  <si>
    <t>003312010070000-33120100701</t>
  </si>
  <si>
    <t>小儿经尿道前列腺气囊扩张术</t>
  </si>
  <si>
    <t>003312010070000-33120100702</t>
  </si>
  <si>
    <t>经膀胱镜经尿道前列腺气囊扩张术</t>
  </si>
  <si>
    <t>003312010070000-33120100703</t>
  </si>
  <si>
    <t>小儿经膀胱镜经尿道前列腺气囊扩张术</t>
  </si>
  <si>
    <t>353312030140000-331203014</t>
  </si>
  <si>
    <t>经精囊镜射精管疏通冲洗术</t>
  </si>
  <si>
    <t>消毒，取Wolf4.5/6.5精囊镜连接电视成像系统，以生理盐水为灌注液，直视下将精囊镜经尿道置入膀胱，观察尿道、膀胱，将镜体退至精阜处，仔细观察射精管口，发现射精管口后稍加大灌注液速度，置入斑马导丝，沿斑马导丝用镜体边扩张边将镜体置入一侧射精管内，并逐渐推进精囊内，用生理盐水或药物反复冲洗精囊直至冲洗液变清，并取精囊液送细菌培养。含射精管扩张术、斑马导丝。</t>
  </si>
  <si>
    <t>013110000210000</t>
  </si>
  <si>
    <t>泌尿系镜下治疗费（特殊）</t>
  </si>
  <si>
    <t>通过电凝、冷冻、蒸汽、射频、微波等各种物理方式对泌尿系统及男性生殖系统病灶进行治疗。</t>
  </si>
  <si>
    <t>所定价格涵盖消毒、下镜、治疗、取出、撤镜等步骤所需的人力资源和基本物质资源消耗。（不含泌尿系镜下检查）</t>
  </si>
  <si>
    <t>1.同一治疗位置使用多种能量源只可收取一次。
2.同时行常规治疗和特殊治疗的，按照“泌尿系镜下治疗费（特殊）”收取。</t>
  </si>
  <si>
    <t>扣除原项目中涉及的内镜使用费用后加权平均，根据项目间比价关系，为常规的2.3倍。</t>
  </si>
  <si>
    <t>003110000260000-311000026</t>
  </si>
  <si>
    <t>经输尿管镜碎石取石术</t>
  </si>
  <si>
    <t>弹道法基层850元，县级医院1000元，市级医院1100元；激光基层1360元，县级医院1600元，市级医院1760元。</t>
  </si>
  <si>
    <t>输尿管镜</t>
  </si>
  <si>
    <t>003110000260000-31100002601</t>
  </si>
  <si>
    <t>经输尿管镜碎石取石术（弹道法）</t>
  </si>
  <si>
    <t>弹道法</t>
  </si>
  <si>
    <t>003110000260000-31100002602</t>
  </si>
  <si>
    <t>经输尿管镜碎石取石术（激光法）</t>
  </si>
  <si>
    <t>激光法</t>
  </si>
  <si>
    <t>003110000350000-311000035</t>
  </si>
  <si>
    <t>经膀胱镜尿道镜特殊治疗</t>
  </si>
  <si>
    <t>激光法基层178.5元，县级医院210元，市级医院231元</t>
  </si>
  <si>
    <t>003110000350000-31100003501</t>
  </si>
  <si>
    <t>经膀胱镜尿道镜特殊治疗（激光法）</t>
  </si>
  <si>
    <t>003311030260000-331103026</t>
  </si>
  <si>
    <t>经尿道膀胱肿瘤特殊治疗</t>
  </si>
  <si>
    <t>指电灼、激光法</t>
  </si>
  <si>
    <t>电切法市级医院2590元，县级医院2330元，基层1980元</t>
  </si>
  <si>
    <t>003311030260000-33110302601</t>
  </si>
  <si>
    <t>经尿道膀胱肿瘤特殊治疗（电切法）</t>
  </si>
  <si>
    <t>电切法</t>
  </si>
  <si>
    <t>003311030260000-33110302602</t>
  </si>
  <si>
    <t>小儿经尿道膀胱肿瘤特殊治疗</t>
  </si>
  <si>
    <t>003311030260000-33110302603</t>
  </si>
  <si>
    <t>小儿经尿道膀胱肿瘤特殊治疗（电切法）</t>
  </si>
  <si>
    <t>003311030260000-33110302604</t>
  </si>
  <si>
    <t>经膀胱镜下经尿道膀胱肿瘤特殊治疗</t>
  </si>
  <si>
    <t>膀胱镜</t>
  </si>
  <si>
    <t>003311030260000-33110302605</t>
  </si>
  <si>
    <t>经膀胱镜下经尿道膀胱肿瘤特殊治疗（电切法）</t>
  </si>
  <si>
    <t>003311030260000-33110302606</t>
  </si>
  <si>
    <t>小儿经膀胱镜下经尿道膀胱肿瘤特殊治疗</t>
  </si>
  <si>
    <t>003311030260000-33110302607</t>
  </si>
  <si>
    <t>小儿经膀胱镜下经尿道膀胱肿瘤特殊治疗（电切法）</t>
  </si>
  <si>
    <t>003311030270000-33110302702</t>
  </si>
  <si>
    <t>膀胱镜下经尿道膀胱碎石取石术</t>
  </si>
  <si>
    <t>003311030270000-33110302703</t>
  </si>
  <si>
    <t>小儿膀胱镜下经尿道膀胱碎石取石术</t>
  </si>
  <si>
    <t>003312010060000-331201006</t>
  </si>
  <si>
    <t>经尿道前列腺电切术</t>
  </si>
  <si>
    <t>电切法市级医院3635元，县级医院3270元，基层2780元；等离子法市级医院3310元，县级医院2980元，基层2530元</t>
  </si>
  <si>
    <t>003312010060000-33120100601</t>
  </si>
  <si>
    <t>经尿道前列腺电切术（电切法）</t>
  </si>
  <si>
    <t>003312010060000-33120100602</t>
  </si>
  <si>
    <t>经尿道前列腺电切术（等离子法）</t>
  </si>
  <si>
    <t>等离子法</t>
  </si>
  <si>
    <t>003312010060000-33120100603</t>
  </si>
  <si>
    <t>小儿经尿道前列腺电切术</t>
  </si>
  <si>
    <t>003312010060000-33120100604</t>
  </si>
  <si>
    <t>小儿经尿道前列腺电切术（电切法）</t>
  </si>
  <si>
    <t>003312010060000-33120100605</t>
  </si>
  <si>
    <t>小儿经尿道前列腺电切术（等离子法）</t>
  </si>
  <si>
    <t>003312010060000-33120100606</t>
  </si>
  <si>
    <t>经膀胱镜经尿道前列腺电切术</t>
  </si>
  <si>
    <t>003312010060000-33120100607</t>
  </si>
  <si>
    <t>经膀胱镜经尿道前列腺电切术（电切法）</t>
  </si>
  <si>
    <t>003312010060000-33120100608</t>
  </si>
  <si>
    <t>经膀胱镜经尿道前列腺电切术（等离子法）</t>
  </si>
  <si>
    <t>003312010060000-33120100609</t>
  </si>
  <si>
    <t>小儿经膀胱镜经尿道前列腺电切术</t>
  </si>
  <si>
    <t>003312010060000-33120100610</t>
  </si>
  <si>
    <t>小儿经膀胱镜经尿道前列腺电切术（电切法）</t>
  </si>
  <si>
    <t>003312010060000-33120100611</t>
  </si>
  <si>
    <t>小儿经膀胱镜经尿道前列腺电切术（等离子法）</t>
  </si>
  <si>
    <t>003312010060000-331201010</t>
  </si>
  <si>
    <t>经尿道前列腺激光切除术</t>
  </si>
  <si>
    <t>会阴区消毒，尿道润滑，尿道膀胱镜检查，使用激光纤维，剜除前列腺组织，止血，膀胱冲洗，取出前列腺组织，留置尿管。</t>
  </si>
  <si>
    <t>353312030150100-331203015</t>
  </si>
  <si>
    <t>经精囊镜碎石取石术（激光法）</t>
  </si>
  <si>
    <t>消毒，取Wolf4.5/6.5精囊镜连接电视成像系统，以生理盐水为灌注液，直视下将精囊镜经尿道置入膀胱，观察尿道、膀胱，将镜体退至精阜处，仔细观察射精管口，发现射精管口后稍加大灌注液速度，轻柔的将镜体置入一侧射精管内，将镜体逐渐推进精囊内，连接激光设备，用激光将结石逐一击碎并用取石钳夹出、套石篮取出或生理盐水冲出结石。含斑马导丝。</t>
  </si>
  <si>
    <t>精囊镜</t>
  </si>
  <si>
    <t>353312030150200-331203016</t>
  </si>
  <si>
    <t>经精囊镜碎石取石术（弹道法）</t>
  </si>
  <si>
    <t>消毒，取Wolf4.5/6.5精囊镜连接电视成像系统，以生理盐水为灌注液，直视下将精囊镜经尿道置入膀胱，观察尿道、膀胱，将镜体退至精阜处，仔细观察射精管口，发现射精管口后稍加大灌注液速度，轻柔的将镜体置入一侧射精管内，将镜体逐渐推进精囊内，连接气压弹道碎石设备，用探针将结石逐一击碎并用取石钳夹出、套石篮取出或生理盐水冲出结石。含斑马导丝。</t>
  </si>
  <si>
    <t>353312030150300-331203017</t>
  </si>
  <si>
    <t>经精囊镜碎石取石术（直接法）</t>
  </si>
  <si>
    <t>消毒，取Wolf4.5/6.5精囊镜连接电视成像系统，以生理盐水为灌注液，直视下将精囊镜经尿道置入膀胱，观察尿道、膀胱，将镜体退至精阜处，仔细观察射精管口，发现射精管口后稍加大灌注液速度，轻柔的将镜体置入一侧射精管内，将镜体逐渐推进精囊内，将结石用取石钳夹出、套石篮取出或生理盐水冲出结石。含斑马导丝。</t>
  </si>
  <si>
    <t>直接法</t>
  </si>
  <si>
    <t>353312040150000-331204020</t>
  </si>
  <si>
    <t>经精囊镜肿物切除术</t>
  </si>
  <si>
    <t>消毒，取Wolf4.5/6.5精囊镜连接电视成像系统，以生理盐水为灌注液，直视下将精囊镜经尿道置入膀胱，观察尿道、膀胱，将镜体退至精阜处，仔细观察射精管口，发现射精管口后稍加大灌注液速度，轻柔的将镜体置入一侧射精管内，连接激光设备，激光下电灼或切除肿物、囊肿壁等。含斑马导丝。</t>
  </si>
  <si>
    <t>353312040150000-33120402001</t>
  </si>
  <si>
    <t>小儿经精囊镜肿物切除术</t>
  </si>
  <si>
    <t>353110000440000-A331203018</t>
  </si>
  <si>
    <t>A331203018</t>
  </si>
  <si>
    <t>经皮肾镜碎石取石术</t>
  </si>
  <si>
    <t>包括气压弹道法、超声碎石法、激光碎石法。</t>
  </si>
  <si>
    <t>导管、导丝、支架</t>
  </si>
  <si>
    <t>两种及以上方法加收20%</t>
  </si>
  <si>
    <t>自主
定价</t>
  </si>
  <si>
    <t>肾镜</t>
  </si>
  <si>
    <t>353110000440000-A33120301801</t>
  </si>
  <si>
    <t>A33120301801</t>
  </si>
  <si>
    <t>经皮肾镜碎石取石术（两种及以上方法加收20%）</t>
  </si>
  <si>
    <t>013311000040000</t>
  </si>
  <si>
    <t>泌尿系异物取出费</t>
  </si>
  <si>
    <t>通过手术从下尿路取出异物。</t>
  </si>
  <si>
    <t>所定价格涵盖手术计划、术区准备、消毒、取出异物、缝合、处理用物等步骤所需的人力资源和基本物质资源消耗。</t>
  </si>
  <si>
    <t>003311040050000-331104005</t>
  </si>
  <si>
    <t>尿道切开取石术</t>
  </si>
  <si>
    <t>包括前后尿道及取异物术</t>
  </si>
  <si>
    <t>013311000040001</t>
  </si>
  <si>
    <t>泌尿系异物取出费-上尿路（加收）</t>
  </si>
  <si>
    <t>本项目中的“上尿路”指：肾脏及输尿管。</t>
  </si>
  <si>
    <t>新增项目，按主项比价关系拟定</t>
  </si>
  <si>
    <t>013311000040011</t>
  </si>
  <si>
    <t>泌尿系异物取出费-儿童（加收）</t>
  </si>
  <si>
    <t>013311000050000</t>
  </si>
  <si>
    <t>泌尿系取石费</t>
  </si>
  <si>
    <t>通过手术从下尿路取出结石。</t>
  </si>
  <si>
    <t>所定价格涵盖手术计划、术区准备、消毒、取石、缝合、处理用物等步骤所需的人力资源和基本物质资源消耗。</t>
  </si>
  <si>
    <t>理顺，提高</t>
  </si>
  <si>
    <t>加权平均后，根据项目间比价关系，理顺项目价格（泌尿系异物取出费为该项目的90%）</t>
  </si>
  <si>
    <t>003311030010000-331103001</t>
  </si>
  <si>
    <t>膀胱切开取石术</t>
  </si>
  <si>
    <t>003311030010000-33110300102</t>
  </si>
  <si>
    <t>经腹腔镜膀胱切开取石术</t>
  </si>
  <si>
    <t>003311040050000-33110400502</t>
  </si>
  <si>
    <t>经膀胱镜尿道切开取石术</t>
  </si>
  <si>
    <t>013311000050001</t>
  </si>
  <si>
    <t>泌尿系取石费-上尿路（加收）</t>
  </si>
  <si>
    <t>加权平均后扣除主项拟定价格得到平移价格，根据项目间比价理顺项目价格。</t>
  </si>
  <si>
    <t>003311010160000-331101016</t>
  </si>
  <si>
    <t>肾切开取石术</t>
  </si>
  <si>
    <t>包括肾盂切开、肾实质切开</t>
  </si>
  <si>
    <t>003311010160000-33110101601</t>
  </si>
  <si>
    <t>小儿肾切开取石术</t>
  </si>
  <si>
    <t>003311010160000-33110101602</t>
  </si>
  <si>
    <t>经腹腔镜肾切开取石术</t>
  </si>
  <si>
    <t>003311010160000-33110101603</t>
  </si>
  <si>
    <t>小儿经腹腔镜肾切开取石术</t>
  </si>
  <si>
    <t>003311020070000-331102007</t>
  </si>
  <si>
    <t>输尿管切开取石术</t>
  </si>
  <si>
    <t>003311020070000-33110200701</t>
  </si>
  <si>
    <t>小儿输尿管切开取石术</t>
  </si>
  <si>
    <t>003311020070001-33110200702</t>
  </si>
  <si>
    <t>经腹腔镜输尿管切开取石术</t>
  </si>
  <si>
    <t>003311020070001-33110200703</t>
  </si>
  <si>
    <t>小儿经腹腔镜输尿管切开取石术</t>
  </si>
  <si>
    <t>013311000050011</t>
  </si>
  <si>
    <t>泌尿系取石费-儿童（加收）</t>
  </si>
  <si>
    <t>儿童加收30%</t>
  </si>
  <si>
    <t>003311030010000-33110300101</t>
  </si>
  <si>
    <t>小儿膀胱切开取石术</t>
  </si>
  <si>
    <t>003311030010000-33110300103</t>
  </si>
  <si>
    <t>小儿经腹腔镜膀胱切开取石术</t>
  </si>
  <si>
    <t>003311040050000-33110400501</t>
  </si>
  <si>
    <t>小儿尿道切开取石术</t>
  </si>
  <si>
    <t>003311040050000-33110400503</t>
  </si>
  <si>
    <t>小儿经膀胱镜尿道切开取石术</t>
  </si>
  <si>
    <t>013311000060000</t>
  </si>
  <si>
    <t>泌尿系造瘘费</t>
  </si>
  <si>
    <t>通过手术建立泌尿系与皮肤的瘘道。</t>
  </si>
  <si>
    <t>所定价格涵盖手术计划、术区准备、消毒、穿刺、建立瘘道、引流、缝合、处理用物等步骤所需的人力资源和基本物质资源消耗。</t>
  </si>
  <si>
    <t>加权平均后按照不高于省级理顺价格</t>
  </si>
  <si>
    <t>003110000220000-311000022</t>
  </si>
  <si>
    <t>经皮输尿管内管置入术</t>
  </si>
  <si>
    <t>003110000330000-311000033</t>
  </si>
  <si>
    <t>膀胱穿刺造瘘术</t>
  </si>
  <si>
    <t>六岁及以下儿童在原价基础上加收30%</t>
  </si>
  <si>
    <t>003311030050000-331103005</t>
  </si>
  <si>
    <t>膀胱造瘘术</t>
  </si>
  <si>
    <t>003311040170000-331104017</t>
  </si>
  <si>
    <t>尿道会阴造口术</t>
  </si>
  <si>
    <t>013311000060001</t>
  </si>
  <si>
    <t>泌尿系造瘘费-上尿路（加收）</t>
  </si>
  <si>
    <t>加权平均后扣除主项拟定价格得到平移价格</t>
  </si>
  <si>
    <t>003311010130000-331101013</t>
  </si>
  <si>
    <t>肾实质切开造瘘术</t>
  </si>
  <si>
    <t>003311010130000-33110101301</t>
  </si>
  <si>
    <t>小儿肾实质切开造瘘术</t>
  </si>
  <si>
    <t>003311010130000-33110101302</t>
  </si>
  <si>
    <t>经腹腔镜肾实质切开造瘘术</t>
  </si>
  <si>
    <t>003311010130000-33110101303</t>
  </si>
  <si>
    <t>小儿经腹腔镜肾实质切开造瘘术</t>
  </si>
  <si>
    <t>013311000060011</t>
  </si>
  <si>
    <t>泌尿系造瘘费-儿童（加收）</t>
  </si>
  <si>
    <t>003110000330000-31100003301</t>
  </si>
  <si>
    <t>小儿膀胱穿刺造瘘术</t>
  </si>
  <si>
    <t>003311030050000-33110300501</t>
  </si>
  <si>
    <t>小儿膀胱造瘘术</t>
  </si>
  <si>
    <t>003311040170000-33110401701</t>
  </si>
  <si>
    <t>小儿尿道会阴造口术</t>
  </si>
  <si>
    <t>013311000070000</t>
  </si>
  <si>
    <t>泌尿道瘘修补费</t>
  </si>
  <si>
    <t>通过手术修补消化系统、生殖系统与泌尿系统之间的瘘道。</t>
  </si>
  <si>
    <t>所定价格涵盖手术计划、术区准备、消毒、切开、修补、重建、缝合、处理用物等步骤所需的人力资源和基本物质资源消耗。</t>
  </si>
  <si>
    <t>仅市级开展3例，按比价关系理顺</t>
  </si>
  <si>
    <t>003311040150000-331104015</t>
  </si>
  <si>
    <t>尿道直肠瘘修补术</t>
  </si>
  <si>
    <t>003311040150000-33110401502</t>
  </si>
  <si>
    <t>经膀胱镜尿道直肠瘘修补术</t>
  </si>
  <si>
    <t>003311040180000-331104018</t>
  </si>
  <si>
    <t>尿道瘘修补术</t>
  </si>
  <si>
    <t>含耻骨膀胱造瘘</t>
  </si>
  <si>
    <t>013311000070100</t>
  </si>
  <si>
    <t>泌尿道瘘修补费-膀胱子宫瘘修补（扩展）</t>
  </si>
  <si>
    <t>013311000070001</t>
  </si>
  <si>
    <t>泌尿道瘘修补费-儿童（加收）</t>
  </si>
  <si>
    <t>003311040150000-33110401501</t>
  </si>
  <si>
    <t>小儿尿道直肠瘘修补术</t>
  </si>
  <si>
    <t>003311040150000-33110401503</t>
  </si>
  <si>
    <t>小儿经膀胱镜尿道直肠瘘修补术</t>
  </si>
  <si>
    <t>003311040180000-33110401801</t>
  </si>
  <si>
    <t>小儿尿道瘘修补术</t>
  </si>
  <si>
    <t>013311000080000</t>
  </si>
  <si>
    <t>肾穿刺费</t>
  </si>
  <si>
    <t>通过手术穿刺肾脏进行治疗。</t>
  </si>
  <si>
    <t>所定价格涵盖手术计划、术区准备、消毒、穿刺、闭合通路、处理用物等步骤所需的人力资源和基本物质资源消耗。</t>
  </si>
  <si>
    <t>我市原价仅为省级74%，平移后按比价关系提高</t>
  </si>
  <si>
    <t>003110000150000-311000015</t>
  </si>
  <si>
    <t>肾穿刺术</t>
  </si>
  <si>
    <t>含活检；包括造瘘、囊肿硬化治疗等；不含影像学引导</t>
  </si>
  <si>
    <t>穿刺针</t>
  </si>
  <si>
    <t>013311000080001</t>
  </si>
  <si>
    <t>肾穿刺费-肾周脓肿引流（加收）</t>
  </si>
  <si>
    <t>003110000170000-311000017</t>
  </si>
  <si>
    <t>肾周脓肿引流术</t>
  </si>
  <si>
    <t>指穿刺引流；包括积液引流术</t>
  </si>
  <si>
    <t>切开引流基层680元，县级医院800元，市级医院880元</t>
  </si>
  <si>
    <t>003110000170000-31100001701</t>
  </si>
  <si>
    <t>肾周脓肿引流术（切开引流）</t>
  </si>
  <si>
    <t>切开引流</t>
  </si>
  <si>
    <t>003110000170100-31100001702</t>
  </si>
  <si>
    <t>肾周脓肿引流术（积液引流）</t>
  </si>
  <si>
    <t>积液引流术</t>
  </si>
  <si>
    <t>013311000080100</t>
  </si>
  <si>
    <t>肾穿刺费-肾封闭（扩展）</t>
  </si>
  <si>
    <t>003110000160000-311000016</t>
  </si>
  <si>
    <t>肾封闭术</t>
  </si>
  <si>
    <t>013311000080011</t>
  </si>
  <si>
    <t>肾穿刺费-儿童（加收）</t>
  </si>
  <si>
    <t>003110000150000-31100001501</t>
  </si>
  <si>
    <t>小儿肾穿刺术</t>
  </si>
  <si>
    <t>013311000090000</t>
  </si>
  <si>
    <t>肾周围淋巴管剥脱费</t>
  </si>
  <si>
    <t>通过手术结扎肾周围淋巴管。</t>
  </si>
  <si>
    <t>所定价格涵盖手术计划、术区准备、消毒、探查、淋巴管剥脱、创面检查、关闭、结扎、缝合、处理用物等步骤所需的人力资源和基本物质资源消耗。</t>
  </si>
  <si>
    <t>003311010050000-331101005</t>
  </si>
  <si>
    <t>肾周围淋巴管剥脱术</t>
  </si>
  <si>
    <t>003311010050000-33110100502</t>
  </si>
  <si>
    <t>经腹腔镜肾周围淋巴管剥脱术</t>
  </si>
  <si>
    <t>003311010060000-331101006</t>
  </si>
  <si>
    <t>肾周围粘连分解术</t>
  </si>
  <si>
    <t>纳入价格构成</t>
  </si>
  <si>
    <t>003311010060000-33110100602</t>
  </si>
  <si>
    <t>经腹腔镜肾周围粘连分解术</t>
  </si>
  <si>
    <t>013311000090001</t>
  </si>
  <si>
    <t>肾周围淋巴管剥脱费-儿童（加收）</t>
  </si>
  <si>
    <t>003311010050000-33110100501</t>
  </si>
  <si>
    <t>小儿肾周围淋巴管剥脱术</t>
  </si>
  <si>
    <t>003311010050000-33110100503</t>
  </si>
  <si>
    <t>小儿经腹腔镜肾周围淋巴管剥脱术</t>
  </si>
  <si>
    <t>003311010060000-33110100601</t>
  </si>
  <si>
    <t>小儿肾周围粘连分解术</t>
  </si>
  <si>
    <t>003311010060000-33110100603</t>
  </si>
  <si>
    <t>小儿经腹腔镜肾周围粘连分解术</t>
  </si>
  <si>
    <t>013311000100000</t>
  </si>
  <si>
    <t>肾包膜剥脱费</t>
  </si>
  <si>
    <t>通过手术剥脱肾包膜。</t>
  </si>
  <si>
    <t>所定价格涵盖手术计划、术区准备、切开、探查、剥除、检查、关闭、缝合、处理用物等步骤所需的人力资源和基本物质资源消耗。</t>
  </si>
  <si>
    <t>无开展量，按比价关系拟定</t>
  </si>
  <si>
    <t>003311010040000-331101004</t>
  </si>
  <si>
    <t>肾包膜剥脱术</t>
  </si>
  <si>
    <t>003311010040000-33110100402</t>
  </si>
  <si>
    <t>经腹腔镜肾包膜剥脱术</t>
  </si>
  <si>
    <t>013311000100001</t>
  </si>
  <si>
    <t>肾包膜剥脱费-儿童（加收）</t>
  </si>
  <si>
    <t>003311010040000-33110100401</t>
  </si>
  <si>
    <t>小儿肾包膜剥脱术</t>
  </si>
  <si>
    <t>003311010040000-33110100403</t>
  </si>
  <si>
    <t>小儿经腹腔镜肾包膜剥脱术</t>
  </si>
  <si>
    <t>013311000110000</t>
  </si>
  <si>
    <t>融合肾分解费</t>
  </si>
  <si>
    <t>通过手术解除两肾粘连。</t>
  </si>
  <si>
    <t>所定价格涵盖手术计划、术区准备、切开、分离、检查和处理并发症、包扎、缝合、处理用物等步骤所需的人力资源和基本物质资源消耗。</t>
  </si>
  <si>
    <t>003311010120000-331101012</t>
  </si>
  <si>
    <t>融合肾分解术</t>
  </si>
  <si>
    <t>003311010120000-33110101202</t>
  </si>
  <si>
    <t>经腹腔镜融合肾分解术</t>
  </si>
  <si>
    <t>013311000110001</t>
  </si>
  <si>
    <t>融合肾分解费-儿童（加收）</t>
  </si>
  <si>
    <t>003311010120000-33110101201</t>
  </si>
  <si>
    <t>小儿融合肾分解术</t>
  </si>
  <si>
    <t>003311010120000-33110101203</t>
  </si>
  <si>
    <t>小儿经腹腔镜融合肾分解术</t>
  </si>
  <si>
    <t>013311000120000</t>
  </si>
  <si>
    <t>肾修补费</t>
  </si>
  <si>
    <t>通过手术将破裂肾脏止血、缝合。</t>
  </si>
  <si>
    <t>所定价格涵盖手术计划、术区准备、消毒、探查、血肿清除、止血、缝合及引流、处理用物等步骤所需的人力资源和基本物质资源消耗。</t>
  </si>
  <si>
    <t>003311010010000-331101001</t>
  </si>
  <si>
    <t>肾破裂修补术</t>
  </si>
  <si>
    <t>003311010010000-33110100102</t>
  </si>
  <si>
    <t>经腹腔镜肾破裂修补术</t>
  </si>
  <si>
    <t>013311000120001</t>
  </si>
  <si>
    <t>肾修补费-儿童（加收）</t>
  </si>
  <si>
    <t>003311010010000-33110100101</t>
  </si>
  <si>
    <t>小儿肾破裂修补术</t>
  </si>
  <si>
    <t>003311010010000-33110100103</t>
  </si>
  <si>
    <t>小儿经腹腔镜肾破裂修补术</t>
  </si>
  <si>
    <t>013311000130000</t>
  </si>
  <si>
    <t>肾囊肿去顶费</t>
  </si>
  <si>
    <t>通过手术去除囊肿顶部引流囊液、减轻压迫。</t>
  </si>
  <si>
    <t>所定价格涵盖手术计划、术区准备、切开、去顶、缝合、引流、处理用物等步骤所需的人力资源和基本物质资源消耗。</t>
  </si>
  <si>
    <t>003311010140000-331101014</t>
  </si>
  <si>
    <t>肾囊肿切除术</t>
  </si>
  <si>
    <t>包括去顶术</t>
  </si>
  <si>
    <t>003311010140001-33110101402</t>
  </si>
  <si>
    <t>经腹腔镜肾囊肿切除术</t>
  </si>
  <si>
    <t>003311010150000-331101015</t>
  </si>
  <si>
    <t>多囊肾去顶减压术</t>
  </si>
  <si>
    <t>003311010150000-33110101502</t>
  </si>
  <si>
    <t>经腹腔镜多囊肾去顶减压术</t>
  </si>
  <si>
    <t>013311000130001</t>
  </si>
  <si>
    <t>肾囊肿去顶费-儿童（加收）</t>
  </si>
  <si>
    <t>003311010140000-33110101401</t>
  </si>
  <si>
    <t>小儿肾囊肿切除术</t>
  </si>
  <si>
    <t>003311010140001-33110101403</t>
  </si>
  <si>
    <t>小儿经腹腔镜肾囊肿切除术</t>
  </si>
  <si>
    <t>003311010150000-33110101501</t>
  </si>
  <si>
    <t>小儿多囊肾去顶减压术</t>
  </si>
  <si>
    <t>003311010150000-33110101503</t>
  </si>
  <si>
    <t>小儿经腹腔镜多囊肾去顶减压术</t>
  </si>
  <si>
    <t>013311000140000</t>
  </si>
  <si>
    <t>肾部分切除费</t>
  </si>
  <si>
    <t>通过手术切除肾实质病灶，保留同侧正常肾组织。</t>
  </si>
  <si>
    <t>所定价格涵盖手术计划、术区准备、切开、探查、止血、缝合、引流、处理用物等步骤所需的人力资源和基本物质资源消耗。</t>
  </si>
  <si>
    <t>加权平均后按稍提高理顺比价。</t>
  </si>
  <si>
    <t>003311010090000-331101009</t>
  </si>
  <si>
    <t>肾部分切除术</t>
  </si>
  <si>
    <t>003311010090000-33110100902</t>
  </si>
  <si>
    <t>经腹腔镜肾部分切除术</t>
  </si>
  <si>
    <t>003311010070000-331101007</t>
  </si>
  <si>
    <t>肾肿瘤剔除术</t>
  </si>
  <si>
    <t>003311010070000-33110100702</t>
  </si>
  <si>
    <t>经腹腔镜肾肿瘤剔除术</t>
  </si>
  <si>
    <t>003311010250000-331101025</t>
  </si>
  <si>
    <t>肾肿瘤腔静脉内瘤栓切取术</t>
  </si>
  <si>
    <t>开胸手术市级医院加收1210元，县级医院加收1090元，基层加收925元</t>
  </si>
  <si>
    <t>003311010250001-33110102501</t>
  </si>
  <si>
    <t>肾肿瘤腔静脉内瘤栓切取术-开胸手术</t>
  </si>
  <si>
    <t>开胸手术</t>
  </si>
  <si>
    <t>003311010250000-33110102504</t>
  </si>
  <si>
    <t>经腹腔镜肾肿瘤腔静脉内瘤栓切取术</t>
  </si>
  <si>
    <t>003311010250001-33110102505</t>
  </si>
  <si>
    <t>经腹腔镜肾肿瘤腔静脉内瘤栓切取术-开胸手术</t>
  </si>
  <si>
    <t>013311000140001</t>
  </si>
  <si>
    <t>肾部分切除费-巨大病灶（加收）</t>
  </si>
  <si>
    <t>本项目中的“巨大病灶”指：病灶最大径≥4cm。</t>
  </si>
  <si>
    <t>013311000140011</t>
  </si>
  <si>
    <t>肾部分切除费-儿童（加收）</t>
  </si>
  <si>
    <t>003311010090000-33110100901</t>
  </si>
  <si>
    <t>小儿肾部分切除术</t>
  </si>
  <si>
    <t>003311010090000-33110100903</t>
  </si>
  <si>
    <t>小儿经腹腔镜肾部分切除术</t>
  </si>
  <si>
    <t>003311010070000-33110100701</t>
  </si>
  <si>
    <t>小儿肾肿瘤剔除术</t>
  </si>
  <si>
    <t>003311010070000-33110100703</t>
  </si>
  <si>
    <t>小儿经腹腔镜肾肿瘤剔除术</t>
  </si>
  <si>
    <t>003311010250000-33110102502</t>
  </si>
  <si>
    <t>小儿肾肿瘤腔静脉内瘤栓切取术</t>
  </si>
  <si>
    <t>003311010250001-33110102503</t>
  </si>
  <si>
    <t>小儿肾肿瘤腔静脉内瘤栓切取术-开胸手术</t>
  </si>
  <si>
    <t>003311010250000-33110102506</t>
  </si>
  <si>
    <t>小儿经腹腔镜肾肿瘤腔静脉内瘤栓切取术</t>
  </si>
  <si>
    <t>003311010250001-33110102507</t>
  </si>
  <si>
    <t>小儿经腹腔镜肾肿瘤腔静脉内瘤栓切取术-开胸手术</t>
  </si>
  <si>
    <t>013311000150000</t>
  </si>
  <si>
    <t>肾全切费</t>
  </si>
  <si>
    <t>通过手术切除单侧全部肾脏组织。</t>
  </si>
  <si>
    <t>所定价格涵盖手术计划、术区准备、切开、探查、切除肾脏、检查、关闭、缝合、处理用物等步骤所需的人力资源和基本物质资源消耗。</t>
  </si>
  <si>
    <t>加权平均后理顺比价，同时结合项目间比价考虑，价格应低于部分切换。</t>
  </si>
  <si>
    <t>003110000230000-311000023</t>
  </si>
  <si>
    <t>经输尿管镜肿瘤切除术</t>
  </si>
  <si>
    <t>激光法、液电法基层850元，县级医院1000元，市级医院1100元</t>
  </si>
  <si>
    <t>003110000230000-31100002301</t>
  </si>
  <si>
    <t>经输尿管镜肿瘤切除术（激光法、液电法）</t>
  </si>
  <si>
    <t>激光法、液电法</t>
  </si>
  <si>
    <t>003311010100000-331101010</t>
  </si>
  <si>
    <t>根治性肾切除术</t>
  </si>
  <si>
    <t>含肾上腺切除、淋巴清扫；不含开胸手术</t>
  </si>
  <si>
    <t>003311010100000-33110101002</t>
  </si>
  <si>
    <t>经腹腔镜根治性肾切除术</t>
  </si>
  <si>
    <t>003311010080000-331101008</t>
  </si>
  <si>
    <t>肾切除术</t>
  </si>
  <si>
    <t>肾网袋</t>
  </si>
  <si>
    <t>003311010080001-33110100802</t>
  </si>
  <si>
    <t>经腹腔镜肾切除术</t>
  </si>
  <si>
    <t>013311000150001</t>
  </si>
  <si>
    <t>肾全切费-儿童（加收）</t>
  </si>
  <si>
    <t>003311010100000-33110101001</t>
  </si>
  <si>
    <t>小儿根治性肾切除术</t>
  </si>
  <si>
    <t>003311010100000-33110101003</t>
  </si>
  <si>
    <t>小儿经腹腔镜根治性肾切除术</t>
  </si>
  <si>
    <t>003311010080000-33110100801</t>
  </si>
  <si>
    <t>小儿肾切除术</t>
  </si>
  <si>
    <t>003311010080001-33110100803</t>
  </si>
  <si>
    <t>小儿经腹腔镜肾切除术</t>
  </si>
  <si>
    <t>013311000160000</t>
  </si>
  <si>
    <t>肾上腺部分切除费</t>
  </si>
  <si>
    <t>通过手术切除部分肾上腺。</t>
  </si>
  <si>
    <t>所定价格涵盖手术计划、术区准备、切开、探查、切除部分肾上腺、检查、关闭、缝合、处理用物等步骤所需的人力资源和基本物质资源消耗。</t>
  </si>
  <si>
    <t>加权平均后，按照项目间比价关系理顺，为肾部分切除费的1.22倍。（我市原项目价格偏低）</t>
  </si>
  <si>
    <t>003303000210000-330300021</t>
  </si>
  <si>
    <t>肾上腺切除术</t>
  </si>
  <si>
    <t>含腺瘤切除，包括全切或部分切除</t>
  </si>
  <si>
    <t>003303000210002-33030002102</t>
  </si>
  <si>
    <t>经腹腔镜肾上腺切除术</t>
  </si>
  <si>
    <t>013311000160001</t>
  </si>
  <si>
    <t>肾上腺部分切除费-肾上腺嗜铬细胞瘤切除（加收）</t>
  </si>
  <si>
    <t>原项目价格扣除主项目拟定价格后得到平移价格，调整县级理顺比价。</t>
  </si>
  <si>
    <t>003303000220000-330300022</t>
  </si>
  <si>
    <t>肾上腺嗜铬细胞瘤切除术</t>
  </si>
  <si>
    <t>003303000220000-33030002202</t>
  </si>
  <si>
    <t>经腹腔镜肾上腺嗜铬细胞瘤切除术</t>
  </si>
  <si>
    <t>013311000160011</t>
  </si>
  <si>
    <t>肾上腺部分切除费-儿童（加收）</t>
  </si>
  <si>
    <t>003303000210000-33030002101</t>
  </si>
  <si>
    <t>小儿肾上腺切除术</t>
  </si>
  <si>
    <t>003303000210002-33030002103</t>
  </si>
  <si>
    <t>小儿经腹腔镜肾上腺切除术</t>
  </si>
  <si>
    <t>003303000220000-33030002201</t>
  </si>
  <si>
    <t>小儿肾上腺嗜铬细胞瘤切除术</t>
  </si>
  <si>
    <t>003303000220000-33030002203</t>
  </si>
  <si>
    <t>小儿经腹腔镜肾上腺嗜铬细胞瘤切除术</t>
  </si>
  <si>
    <t>013311000170000</t>
  </si>
  <si>
    <t>肾上腺全切费</t>
  </si>
  <si>
    <t>通过手术切除单侧全部肾上腺。</t>
  </si>
  <si>
    <t>所定价格涵盖手术计划、术区准备、切开、探查、切除肾上腺、检查、关闭、缝合、处理用物等步骤所需的人力资源和基本物质资源消耗。</t>
  </si>
  <si>
    <t>013311000170001</t>
  </si>
  <si>
    <t>肾上腺全切费-肾上腺嗜铬细胞瘤切除（加收）</t>
  </si>
  <si>
    <t>013311000170011</t>
  </si>
  <si>
    <t>肾上腺全切费-儿童（加收）</t>
  </si>
  <si>
    <t>013311000180000</t>
  </si>
  <si>
    <t>肾上腺移植费</t>
  </si>
  <si>
    <t>通过手术实现患者原位肾上腺切除和供体肾上腺植入。</t>
  </si>
  <si>
    <t>所定价格涵盖手术计划、术区准备、切开、切除、整复、植入、吻合、关闭、缝合、处理用物等步骤所需的人力资源和基本物质资源消耗。</t>
  </si>
  <si>
    <t>无开展量，我市原项目价格偏低，现提高理顺</t>
  </si>
  <si>
    <t>003303000250000-330300025</t>
  </si>
  <si>
    <t>肾上腺移植术</t>
  </si>
  <si>
    <t>自体</t>
  </si>
  <si>
    <t>013311000180001</t>
  </si>
  <si>
    <t>肾上腺移植费-儿童（加收）</t>
  </si>
  <si>
    <t>003303000250000-33030002501</t>
  </si>
  <si>
    <t>小儿肾上腺移植术</t>
  </si>
  <si>
    <t>013311000180100</t>
  </si>
  <si>
    <t>肾上腺移植费-异种器官（扩展）</t>
  </si>
  <si>
    <t>013311000190000</t>
  </si>
  <si>
    <t>输尿管部分切除费</t>
  </si>
  <si>
    <t>通过手术切除输尿管部分组织。</t>
  </si>
  <si>
    <t>所定价格涵盖手术计划、术区准备、消毒、切开、切除、吻合、关闭、缝合、处理用物等步骤所需的人力资源和基本物质资源消耗。</t>
  </si>
  <si>
    <t>该手术项目包含切除和吻合两个操作步骤，根据省局测算方式，按照切除+吻合/2（为同一切口按50%）测算平移价格后稍提高提高理顺比价</t>
  </si>
  <si>
    <t>003311020090000-331102009</t>
  </si>
  <si>
    <t>输尿管狭窄段切除再吻合术</t>
  </si>
  <si>
    <t>003311020090000-33110200902</t>
  </si>
  <si>
    <t>经腹腔镜输尿管狭窄段切除再吻合术</t>
  </si>
  <si>
    <t>003311020120000-331102012</t>
  </si>
  <si>
    <t>输尿管膀胱再植术</t>
  </si>
  <si>
    <t>003311020120000-33110201202</t>
  </si>
  <si>
    <t>经腹腔镜输尿管膀胱再植术</t>
  </si>
  <si>
    <t>003311020040000-331102004</t>
  </si>
  <si>
    <t>肾下盏输尿管吻合术</t>
  </si>
  <si>
    <t>003311020040000-33110200402</t>
  </si>
  <si>
    <t>经腹腔镜肾下盏输尿管吻合术</t>
  </si>
  <si>
    <t>003311020140000-331102014</t>
  </si>
  <si>
    <t>输尿管乙状结肠吻合术</t>
  </si>
  <si>
    <t>003311020140000-33110201402</t>
  </si>
  <si>
    <t>经腹腔镜输尿管乙状结肠吻合术</t>
  </si>
  <si>
    <t>003311020080000-331102008</t>
  </si>
  <si>
    <t>输尿管损伤修补术</t>
  </si>
  <si>
    <t>003311020080000-33110200802</t>
  </si>
  <si>
    <t>经腹腔镜输尿管损伤修补术</t>
  </si>
  <si>
    <t>003311020100000-331102010</t>
  </si>
  <si>
    <t>输尿管开口囊肿切除术</t>
  </si>
  <si>
    <t>003311020100001-33110201002</t>
  </si>
  <si>
    <t>经腹腔镜输尿管开口囊肿切除术</t>
  </si>
  <si>
    <t>003311020110000-331102011</t>
  </si>
  <si>
    <t>输尿管残端切除术</t>
  </si>
  <si>
    <t>003311020110000-33110201102</t>
  </si>
  <si>
    <t>经腹腔镜输尿管残端切除术</t>
  </si>
  <si>
    <t>003312030120000-331203012</t>
  </si>
  <si>
    <t>输尿管间嵴切除术</t>
  </si>
  <si>
    <t>003312030120000-33120301202</t>
  </si>
  <si>
    <t>经膀胱镜输尿管间嵴切除术</t>
  </si>
  <si>
    <t>013311000190001</t>
  </si>
  <si>
    <t>输尿管部分切除费-儿童（加收）</t>
  </si>
  <si>
    <t>003311020040000-33110200401</t>
  </si>
  <si>
    <t>小儿肾下盏输尿管吻合术</t>
  </si>
  <si>
    <t>003311020040000-33110200403</t>
  </si>
  <si>
    <t>小儿经腹腔镜肾下盏输尿管吻合术</t>
  </si>
  <si>
    <t>003311020140000-33110201401</t>
  </si>
  <si>
    <t>小儿输尿管乙状结肠吻合术</t>
  </si>
  <si>
    <t>003311020140000-33110201403</t>
  </si>
  <si>
    <t>小儿经腹腔镜输尿管乙状结肠吻合术</t>
  </si>
  <si>
    <t>003311020100000-33110201001</t>
  </si>
  <si>
    <t>小儿输尿管开口囊肿切除术</t>
  </si>
  <si>
    <t>003311020100001-33110201003</t>
  </si>
  <si>
    <t>小儿经腹腔镜输尿管开口囊肿切除术</t>
  </si>
  <si>
    <t>003311020110000-33110201101</t>
  </si>
  <si>
    <t>小儿输尿管残端切除术</t>
  </si>
  <si>
    <t>003311020110000-33110201103</t>
  </si>
  <si>
    <t>小儿经腹腔镜输尿管残端切除术</t>
  </si>
  <si>
    <t>003311020090000-33110200901</t>
  </si>
  <si>
    <t>小儿输尿管狭窄段切除再吻合术</t>
  </si>
  <si>
    <t>003311020090000-33110200903</t>
  </si>
  <si>
    <t>小儿经腹腔镜输尿管狭窄段切除再吻合术</t>
  </si>
  <si>
    <t>003312030120000-33120301201</t>
  </si>
  <si>
    <t>小儿输尿管间嵴切除术</t>
  </si>
  <si>
    <t>003312030120000-33120301203</t>
  </si>
  <si>
    <t>小儿经膀胱镜输尿管间嵴切除术</t>
  </si>
  <si>
    <t>003311020080000-33110200801</t>
  </si>
  <si>
    <t>小儿输尿管损伤修补术</t>
  </si>
  <si>
    <t>003311020080000-33110200803</t>
  </si>
  <si>
    <t>小儿经腹腔镜输尿管损伤修补术</t>
  </si>
  <si>
    <t>003311020120000-33110201201</t>
  </si>
  <si>
    <t>小儿输尿管膀胱再植术</t>
  </si>
  <si>
    <t>003311020120000-33110201203</t>
  </si>
  <si>
    <t>小儿经腹腔镜输尿管膀胱再植术</t>
  </si>
  <si>
    <t>013311000200000</t>
  </si>
  <si>
    <t>肾输尿管全长切除费</t>
  </si>
  <si>
    <t>通过手术切除肾输尿管全长。</t>
  </si>
  <si>
    <t>所定价格涵盖手术计划、术区准备、切开、探查、切除、检查、关闭、缝合、处理用物等步骤所需的人力资源和基本物质资源消耗。</t>
  </si>
  <si>
    <t>扣减肾盂癌根治术中部分膀胱切除*0.5费用纳入加权平均测算平移价格，调整价格理顺比价</t>
  </si>
  <si>
    <t>003311010110000-331101011</t>
  </si>
  <si>
    <t>重复肾重复输尿管切除术</t>
  </si>
  <si>
    <t>003311010110000-33110101102</t>
  </si>
  <si>
    <t>经腹腔镜重复肾重复输尿管切除术</t>
  </si>
  <si>
    <t>003311020010000-331102001</t>
  </si>
  <si>
    <t>肾盂癌根治术</t>
  </si>
  <si>
    <t>含输尿管全长、部分膀胱切除；不含膀胱镜电切</t>
  </si>
  <si>
    <t>003311020010001-33110200102</t>
  </si>
  <si>
    <t>经腹腔镜肾盂癌根治术</t>
  </si>
  <si>
    <t>013311000200001</t>
  </si>
  <si>
    <t>肾输尿管全长切除费-儿童（加收）</t>
  </si>
  <si>
    <t>003311010110000-33110101101</t>
  </si>
  <si>
    <t>小儿重复肾重复输尿管切除术</t>
  </si>
  <si>
    <t>003311010110000-33110101103</t>
  </si>
  <si>
    <t>小儿经腹腔镜重复肾重复输尿管切除术</t>
  </si>
  <si>
    <t>003311020010000-33110200101</t>
  </si>
  <si>
    <t>小儿肾盂癌根治术</t>
  </si>
  <si>
    <t>003311020010001-33110200103</t>
  </si>
  <si>
    <t>小儿经腹腔镜肾盂癌根治术</t>
  </si>
  <si>
    <t>013311000210000</t>
  </si>
  <si>
    <t>输尿管支架置入费</t>
  </si>
  <si>
    <t>通过手术置入输尿管支架。</t>
  </si>
  <si>
    <t>所定价格涵盖手术计划、术区准备、消毒、插管、置入支架、撤除、处理用物等步骤所需的人力资源和基本物质资源消耗。</t>
  </si>
  <si>
    <t>提高</t>
  </si>
  <si>
    <t>加权平移后根据省局提高原则，提高价格理顺比价。（我省原价偏低）</t>
  </si>
  <si>
    <t>003110000270000-311000027</t>
  </si>
  <si>
    <t>经膀胱镜输尿管支架置入术</t>
  </si>
  <si>
    <t>包括取出术</t>
  </si>
  <si>
    <t>支架</t>
  </si>
  <si>
    <t>003110000290000-311000029</t>
  </si>
  <si>
    <t>输尿管支架管冲洗</t>
  </si>
  <si>
    <t>003110000210000-311000021</t>
  </si>
  <si>
    <t>经膀胱镜输尿管插管术</t>
  </si>
  <si>
    <t>003110000280000-311000028</t>
  </si>
  <si>
    <t>经输尿管镜支架置入术</t>
  </si>
  <si>
    <t>013311000210001</t>
  </si>
  <si>
    <t>输尿管支架置入费-儿童（加收）</t>
  </si>
  <si>
    <t>013311000220000</t>
  </si>
  <si>
    <t>输尿管支架取出费</t>
  </si>
  <si>
    <t>通过手术取出输尿管支架。</t>
  </si>
  <si>
    <t>所定价格涵盖手术计划、术区准备、消毒、取出、处理用物等步骤所需的人力资源和基本物质资源消耗。</t>
  </si>
  <si>
    <t>003110000280100-31100002801</t>
  </si>
  <si>
    <t>经输尿管镜支架取出术</t>
  </si>
  <si>
    <t>支架取出术</t>
  </si>
  <si>
    <t>003110000270100-31100002701</t>
  </si>
  <si>
    <t>经膀胱镜输尿管支架取出术</t>
  </si>
  <si>
    <t>013311000220001</t>
  </si>
  <si>
    <t>输尿管支架取出费-儿童（加收）</t>
  </si>
  <si>
    <t>013311000230000</t>
  </si>
  <si>
    <t>膀胱颈/尿道悬吊费</t>
  </si>
  <si>
    <t>通过手术固定脱垂脏器，改善生理功能。</t>
  </si>
  <si>
    <t>所定价格涵盖手术计划、术区准备、消毒、切开、脏器悬吊、调整确认、包扎、缝合、处理用物等步骤所需的人力资源和基本物质资源消耗。</t>
  </si>
  <si>
    <t>加权平均后理顺比价</t>
  </si>
  <si>
    <t>003311030220000-331103022</t>
  </si>
  <si>
    <t>膀胱颈悬吊术</t>
  </si>
  <si>
    <t>吊袋</t>
  </si>
  <si>
    <t>003311030220001-33110302202</t>
  </si>
  <si>
    <t>经腹腔镜膀胱颈悬吊术</t>
  </si>
  <si>
    <t>003311040220000-331104022</t>
  </si>
  <si>
    <t>尿道悬吊延长术</t>
  </si>
  <si>
    <t>特殊穿刺针、悬吊器、导针杆、椎针器、无张力悬吊网带</t>
  </si>
  <si>
    <t>003311030230000-331103023</t>
  </si>
  <si>
    <t>神经性膀胱腹直肌移位术</t>
  </si>
  <si>
    <t>013311000230001</t>
  </si>
  <si>
    <t>膀胱颈/尿道悬吊费-儿童（加收）</t>
  </si>
  <si>
    <t>003311030220000-33110302201</t>
  </si>
  <si>
    <t>小儿膀胱颈悬吊术</t>
  </si>
  <si>
    <t>003311030220001-33110302203</t>
  </si>
  <si>
    <t>小儿经腹腔镜膀胱颈悬吊术</t>
  </si>
  <si>
    <t>003311040220000-33110402201</t>
  </si>
  <si>
    <t>小儿尿道悬吊延长术</t>
  </si>
  <si>
    <t>003311030230000-33110302301</t>
  </si>
  <si>
    <t>小儿神经性膀胱腹直肌移位术</t>
  </si>
  <si>
    <t>013311000240000</t>
  </si>
  <si>
    <t>膀胱灌注费</t>
  </si>
  <si>
    <t>通过向膀胱灌注药物或其他液体进行治疗。</t>
  </si>
  <si>
    <t>所定价格涵盖消毒、润滑尿道、插管、灌注、撤管、处理用物等步骤所需的人力资源和基本物质资源消耗。</t>
  </si>
  <si>
    <t>003110000310000-311000031</t>
  </si>
  <si>
    <t>膀胱灌注</t>
  </si>
  <si>
    <t>013311000240001</t>
  </si>
  <si>
    <t>膀胱灌注费-儿童（加收）</t>
  </si>
  <si>
    <t>013311000250000</t>
  </si>
  <si>
    <t>膀胱修补费</t>
  </si>
  <si>
    <t>通过手术修补膀胱。</t>
  </si>
  <si>
    <t>所定价格涵盖手术计划、术区准备、消毒、切开、修补、缝合、处理用物等步骤所需的人力资源和基本物质资源消耗。</t>
  </si>
  <si>
    <t>加权平均后调整县级价格理顺比价</t>
  </si>
  <si>
    <t>003311030160000-331103016</t>
  </si>
  <si>
    <t>膀胱破裂修补术</t>
  </si>
  <si>
    <t>003311030160001-33110301602</t>
  </si>
  <si>
    <t>经腹腔镜膀胱破裂修补术</t>
  </si>
  <si>
    <t>003311030170000-331103017</t>
  </si>
  <si>
    <t>膀胱膨出修补术</t>
  </si>
  <si>
    <t>003311030170000-33110301702</t>
  </si>
  <si>
    <t>经腹腔镜膀胱膨出修补术</t>
  </si>
  <si>
    <t>003311030180000-331103018</t>
  </si>
  <si>
    <t>膀胱外翻成形术</t>
  </si>
  <si>
    <t>包括修补术</t>
  </si>
  <si>
    <t>003311030180000-33110301802</t>
  </si>
  <si>
    <t>经腹腔镜膀胱外翻成形术</t>
  </si>
  <si>
    <t>013311000250001</t>
  </si>
  <si>
    <t>膀胱修补费-儿童（加收）</t>
  </si>
  <si>
    <t>003311030160000-33110301601</t>
  </si>
  <si>
    <t>小儿膀胱破裂修补术</t>
  </si>
  <si>
    <t>003311030160001-33110301603</t>
  </si>
  <si>
    <t>小儿经腹腔镜膀胱破裂修补术</t>
  </si>
  <si>
    <t>003311030170000-33110301701</t>
  </si>
  <si>
    <t>小儿膀胱膨出修补术</t>
  </si>
  <si>
    <t>003311030170000-33110301703</t>
  </si>
  <si>
    <t>小儿经腹腔镜膀胱膨出修补术</t>
  </si>
  <si>
    <t>003311030180000-33110301801</t>
  </si>
  <si>
    <t>小儿膀胱外翻成形术</t>
  </si>
  <si>
    <t>003311030180000-33110301803</t>
  </si>
  <si>
    <t>小儿经腹腔镜膀胱外翻成形术</t>
  </si>
  <si>
    <t>013311000260000</t>
  </si>
  <si>
    <t>膀胱颈重建费</t>
  </si>
  <si>
    <t>通过手术重建膀胱颈。</t>
  </si>
  <si>
    <t>所定价格涵盖手术计划、术区准备、消毒、切开、分离、重建、缝合、处理用物等步骤所需的人力资源和基本物质资源消耗。</t>
  </si>
  <si>
    <t>仅县级有1例工作量，理顺比价</t>
  </si>
  <si>
    <t>003311030210000-331103021</t>
  </si>
  <si>
    <t>膀胱颈重建术</t>
  </si>
  <si>
    <t>包括紧缩术</t>
  </si>
  <si>
    <t>003311030210000-33110302102</t>
  </si>
  <si>
    <t>经腹腔镜膀胱颈重建术</t>
  </si>
  <si>
    <t>003311030200000-331103020</t>
  </si>
  <si>
    <t>膀胱颈部Y—V成形术</t>
  </si>
  <si>
    <t>003311030200000-33110302002</t>
  </si>
  <si>
    <t>经腹腔镜膀胱颈部Y—V成形术</t>
  </si>
  <si>
    <t>013311000260001</t>
  </si>
  <si>
    <t>膀胱颈重建费-儿童（加收）</t>
  </si>
  <si>
    <t>003311030210000-33110302101</t>
  </si>
  <si>
    <t>小儿膀胱颈重建术</t>
  </si>
  <si>
    <t>003311030210000-33110302103</t>
  </si>
  <si>
    <t>小儿经腹腔镜膀胱颈重建术</t>
  </si>
  <si>
    <t>003311030200000-33110302001</t>
  </si>
  <si>
    <t>小儿膀胱颈部Y—V成形术</t>
  </si>
  <si>
    <t>003311030200000-33110302003</t>
  </si>
  <si>
    <t>小儿经腹腔镜膀胱颈部Y—V成形术</t>
  </si>
  <si>
    <t>013311000270000</t>
  </si>
  <si>
    <t>膀胱部分切除费</t>
  </si>
  <si>
    <t>通过手术切除病变部分膀胱。</t>
  </si>
  <si>
    <t>所定价格涵盖手术计划、术区准备、消毒、切开、切除、缝合、处理用物等步骤所需的人力资源和基本物质资源消耗。</t>
  </si>
  <si>
    <t>加权平均后稍提高理顺比价（我市原项目价格偏低）</t>
  </si>
  <si>
    <t>003311030030000-331103003</t>
  </si>
  <si>
    <t>膀胱部分切除术</t>
  </si>
  <si>
    <t>003311030030000-33110300302</t>
  </si>
  <si>
    <t>经腹腔镜膀胱部分切除术</t>
  </si>
  <si>
    <t>003311030020000-331103002</t>
  </si>
  <si>
    <t>膀胱憩室切除术</t>
  </si>
  <si>
    <t>003311030020000-33110300202</t>
  </si>
  <si>
    <t>经腹腔镜膀胱憩室切除术</t>
  </si>
  <si>
    <t>003311030150000-331103015</t>
  </si>
  <si>
    <t>膀胱瘘管切除术</t>
  </si>
  <si>
    <t>003311030150000-33110301502</t>
  </si>
  <si>
    <t>经腹腔镜膀胱瘘管切除术</t>
  </si>
  <si>
    <t>003311030240000-331103024</t>
  </si>
  <si>
    <t>脐尿管瘘切除术</t>
  </si>
  <si>
    <t>003311030240000-33110302402</t>
  </si>
  <si>
    <t>经腹腔镜脐尿管瘘切除术</t>
  </si>
  <si>
    <t>003311030040000-331103004</t>
  </si>
  <si>
    <t>膀胱切开肿瘤烧灼术</t>
  </si>
  <si>
    <t>003311030040000-33110300402</t>
  </si>
  <si>
    <t>经腹腔镜膀胱切开肿瘤烧灼术</t>
  </si>
  <si>
    <t>003311030250000-331103025</t>
  </si>
  <si>
    <t>经膀胱镜膀胱颈电切术</t>
  </si>
  <si>
    <t>013311000270011</t>
  </si>
  <si>
    <t>膀胱部分切除费-脐尿管肿瘤切除（加收）</t>
  </si>
  <si>
    <t>工作量极少，按照比价关系拟定理顺</t>
  </si>
  <si>
    <t>003311030280000-331103028</t>
  </si>
  <si>
    <t>脐尿管肿瘤切除术</t>
  </si>
  <si>
    <t>003311030280000-33110302801</t>
  </si>
  <si>
    <t>小儿脐尿管肿瘤切除术</t>
  </si>
  <si>
    <t>003311030280000-33110302802</t>
  </si>
  <si>
    <t>经腹腔镜脐尿管肿瘤切除术</t>
  </si>
  <si>
    <t>003311030280000-33110302803</t>
  </si>
  <si>
    <t>小儿经腹腔镜脐尿管肿瘤切除术</t>
  </si>
  <si>
    <t>013311000270001</t>
  </si>
  <si>
    <t>膀胱部分切除费-儿童（加收）</t>
  </si>
  <si>
    <t>003311030030000-33110300301</t>
  </si>
  <si>
    <t>小儿膀胱部分切除术</t>
  </si>
  <si>
    <t>003311030030000-33110300303</t>
  </si>
  <si>
    <t>小儿经腹腔镜膀胱部分切除术</t>
  </si>
  <si>
    <t>003311030020000-33110300201</t>
  </si>
  <si>
    <t>小儿膀胱憩室切除术</t>
  </si>
  <si>
    <t>003311030020000-33110300203</t>
  </si>
  <si>
    <t>小儿经腹腔镜膀胱憩室切除术</t>
  </si>
  <si>
    <t>003311030150000-33110301501</t>
  </si>
  <si>
    <t>小儿膀胱瘘管切除术</t>
  </si>
  <si>
    <t>003311030150000-33110301503</t>
  </si>
  <si>
    <t>小儿经腹腔镜膀胱瘘管切除术</t>
  </si>
  <si>
    <t>003311030240000-33110302401</t>
  </si>
  <si>
    <t>小儿脐尿管瘘切除术</t>
  </si>
  <si>
    <t>003311030240000-33110302403</t>
  </si>
  <si>
    <t>小儿经腹腔镜脐尿管瘘切除术</t>
  </si>
  <si>
    <t>003311030040000-33110300401</t>
  </si>
  <si>
    <t>小儿膀胱切开肿瘤烧灼术</t>
  </si>
  <si>
    <t>003311030040000-33110300403</t>
  </si>
  <si>
    <t>小儿经腹腔镜膀胱切开肿瘤烧灼术</t>
  </si>
  <si>
    <t>003311030250000-33110302501</t>
  </si>
  <si>
    <t>小儿经膀胱镜膀胱颈电切术</t>
  </si>
  <si>
    <t>013311000280000</t>
  </si>
  <si>
    <t>膀胱全切除费</t>
  </si>
  <si>
    <t>通过手术切除全部膀胱。</t>
  </si>
  <si>
    <t>003311030070000-331103007</t>
  </si>
  <si>
    <t>膀胱尿道全切除术</t>
  </si>
  <si>
    <t>003311030070000-33110300702</t>
  </si>
  <si>
    <t>经腹腔镜膀胱尿道全切除术</t>
  </si>
  <si>
    <t>013311000280001</t>
  </si>
  <si>
    <t>膀胱全切除费-儿童（加收）</t>
  </si>
  <si>
    <t>003311030070000-33110300701</t>
  </si>
  <si>
    <t>小儿膀胱尿道全切除术</t>
  </si>
  <si>
    <t>003311030070000-33110300703</t>
  </si>
  <si>
    <t>小儿经腹腔镜膀胱尿道全切除术</t>
  </si>
  <si>
    <t>013311000290000</t>
  </si>
  <si>
    <t>根治性膀胱全切除费</t>
  </si>
  <si>
    <t>通过手术根治性完整切除膀胱及周围生殖系统。</t>
  </si>
  <si>
    <t>所定价格涵盖手术计划、术区准备、消毒、切开、切除、关闭、缝合、必要时行盆腔淋巴结清扫、处理用物等步骤所需的人力资源和基本物质资源消耗。</t>
  </si>
  <si>
    <t>男性需切除膀胱、前列腺、精囊腺；女性需切除膀胱、子宫、卵巢、阴道。</t>
  </si>
  <si>
    <t>我市原价仅为省级77%，平移后按比价关系提高</t>
  </si>
  <si>
    <t>003311030060000-331103006</t>
  </si>
  <si>
    <t>根治性膀胱全切除术</t>
  </si>
  <si>
    <t>含盆腔淋巴结清扫术</t>
  </si>
  <si>
    <t>钛夹</t>
  </si>
  <si>
    <t>003311030060000-33110300602</t>
  </si>
  <si>
    <t>经腹腔镜根治性膀胱全切除术</t>
  </si>
  <si>
    <t>013311000290001</t>
  </si>
  <si>
    <t>根治性膀胱全切除费-保留性神经（加收）</t>
  </si>
  <si>
    <t>013311000290011</t>
  </si>
  <si>
    <t>根治性膀胱全切除费-儿童（加收）</t>
  </si>
  <si>
    <t>003311030060000-33110300601</t>
  </si>
  <si>
    <t>小儿根治性膀胱全切除术</t>
  </si>
  <si>
    <t>003311030060000-33110300603</t>
  </si>
  <si>
    <t>小儿经腹腔镜根治性膀胱全切除术</t>
  </si>
  <si>
    <t>013311000300000</t>
  </si>
  <si>
    <t>尿道支架置入费</t>
  </si>
  <si>
    <t>通过手术置入尿道支架。</t>
  </si>
  <si>
    <t>所定价格涵盖手术计划、术区准备、消毒、置入、调位、撤除导管及必要时球囊扩张、处理用物等步骤所需的人力资源和基本物质资源消耗。</t>
  </si>
  <si>
    <t>省局根据区域间比价关系提高项目价格（我省价格偏低），我市按照比价关系对应提高（开展量少）</t>
  </si>
  <si>
    <t>003312010080000-331201008</t>
  </si>
  <si>
    <t>经尿道前列腺支架置入术</t>
  </si>
  <si>
    <t>003312010080000-33120100802</t>
  </si>
  <si>
    <t>经膀胱镜下经尿道前列腺支架置入术</t>
  </si>
  <si>
    <t>013311000300001</t>
  </si>
  <si>
    <t>尿道支架置入费-儿童（加收）</t>
  </si>
  <si>
    <t>003312010080000-33120100801</t>
  </si>
  <si>
    <t>小儿经尿道前列腺支架置入术</t>
  </si>
  <si>
    <t>003312010080000-33120100803</t>
  </si>
  <si>
    <t>小儿经膀胱镜下经尿道前列腺支架置入术</t>
  </si>
  <si>
    <t>013311000310000</t>
  </si>
  <si>
    <t>尿道支架取出费</t>
  </si>
  <si>
    <t>通过手术取出尿道支架。</t>
  </si>
  <si>
    <t>013311000310001</t>
  </si>
  <si>
    <t>尿道支架取出费-儿童（加收）</t>
  </si>
  <si>
    <t>013311000320000</t>
  </si>
  <si>
    <t>尿道部分切除费</t>
  </si>
  <si>
    <t>通过手术切除尿道内病变。</t>
  </si>
  <si>
    <t>所定价格涵盖手术计划、术区准备、消毒、切开、分离、病变切除、尿道成形、缝合、处理用物等步骤所需的人力资源和基本物质资源消耗。</t>
  </si>
  <si>
    <t>市级平移，县级基层调整理顺比价</t>
  </si>
  <si>
    <t>003311040200000-331104020</t>
  </si>
  <si>
    <t>尿道粘膜脱垂切除术</t>
  </si>
  <si>
    <t>003311040100000-331104010</t>
  </si>
  <si>
    <t>尿道旁腺囊肿摘除术</t>
  </si>
  <si>
    <t>003311040070000-331104007</t>
  </si>
  <si>
    <t>尿道狭窄瘢痕切除术</t>
  </si>
  <si>
    <t>003311040070000-33110400702</t>
  </si>
  <si>
    <t>经膀胱镜尿道狭窄瘢痕切除术</t>
  </si>
  <si>
    <t>003311040120000-331104012</t>
  </si>
  <si>
    <t>重复尿道切除术</t>
  </si>
  <si>
    <t>003311040090000-331104009</t>
  </si>
  <si>
    <t>尿道憩室切除术</t>
  </si>
  <si>
    <t>003311040090000-33110400902</t>
  </si>
  <si>
    <t>经膀胱镜尿道憩室切除术</t>
  </si>
  <si>
    <t>003311040060000-331104006</t>
  </si>
  <si>
    <t>尿道瓣膜电切术</t>
  </si>
  <si>
    <t>003311040060000-33110400602</t>
  </si>
  <si>
    <t>经膀胱镜尿道瓣膜电切术</t>
  </si>
  <si>
    <t>003311040190000-331104019</t>
  </si>
  <si>
    <t>尿道瓣膜切除成形术</t>
  </si>
  <si>
    <t>003311040190000-33110401902</t>
  </si>
  <si>
    <t>经膀胱镜尿道瓣膜切除成形术</t>
  </si>
  <si>
    <t>003311040080000-331104008</t>
  </si>
  <si>
    <t>尿道良性肿物切除术</t>
  </si>
  <si>
    <t>003311040080000-33110400802</t>
  </si>
  <si>
    <t>经膀胱镜尿道良性肿物切除术</t>
  </si>
  <si>
    <t>013311000320001</t>
  </si>
  <si>
    <t>尿道部分切除费-儿童（加收）</t>
  </si>
  <si>
    <t>003311040200000-33110402001</t>
  </si>
  <si>
    <t>小儿尿道粘膜脱垂切除术</t>
  </si>
  <si>
    <t>003311040100000-33110401001</t>
  </si>
  <si>
    <t>小儿尿道旁腺囊肿摘除术</t>
  </si>
  <si>
    <t>003311040070000-33110400701</t>
  </si>
  <si>
    <t>小儿尿道狭窄瘢痕切除术</t>
  </si>
  <si>
    <t>003311040070000-33110400703</t>
  </si>
  <si>
    <t>小儿经膀胱镜尿道狭窄瘢痕切除术</t>
  </si>
  <si>
    <t>003311040120000-33110401201</t>
  </si>
  <si>
    <t>小儿重复尿道切除术</t>
  </si>
  <si>
    <t>003311040090000-33110400901</t>
  </si>
  <si>
    <t>小儿尿道憩室切除术</t>
  </si>
  <si>
    <t>003311040090000-33110400903</t>
  </si>
  <si>
    <t>小儿经膀胱镜尿道憩室切除术</t>
  </si>
  <si>
    <t>003311040060000-33110400601</t>
  </si>
  <si>
    <t>小儿尿道瓣膜电切术</t>
  </si>
  <si>
    <t>003311040060000-33110400603</t>
  </si>
  <si>
    <t>小儿经膀胱镜尿道瓣膜电切术</t>
  </si>
  <si>
    <t>003311040190000-33110401901</t>
  </si>
  <si>
    <t>小儿尿道瓣膜切除成形术</t>
  </si>
  <si>
    <t>003311040190000-33110401903</t>
  </si>
  <si>
    <t>小儿经膀胱镜尿道瓣膜切除成形术</t>
  </si>
  <si>
    <t>003311040080000-33110400801</t>
  </si>
  <si>
    <t>小儿尿道良性肿物切除术</t>
  </si>
  <si>
    <t>003311040080000-33110400803</t>
  </si>
  <si>
    <t>小儿经膀胱镜尿道良性肿物切除术</t>
  </si>
  <si>
    <t>013311000330000</t>
  </si>
  <si>
    <t>尿道全切除费</t>
  </si>
  <si>
    <t>通过手术切除完整尿道。</t>
  </si>
  <si>
    <t>所定价格涵盖手术计划、术区准备、消毒、切开、分离、切除、尿道成形、缝合、处理用物等步骤所需的人力资源和基本物质资源消耗。</t>
  </si>
  <si>
    <t>仅县级有2例工作量，理顺比价</t>
  </si>
  <si>
    <t>003311040110000-331104011</t>
  </si>
  <si>
    <t>尿道癌根治术</t>
  </si>
  <si>
    <t>膀胱全切，尿路重建时市级医院加收935元，县级医院加收840元，基层加收715元</t>
  </si>
  <si>
    <t>003311040110001-33110401101</t>
  </si>
  <si>
    <t>尿道癌根治术-膀胱全切，尿路重建</t>
  </si>
  <si>
    <t>膀胱全切，尿路重建</t>
  </si>
  <si>
    <t>003311040110000-33110401104</t>
  </si>
  <si>
    <t>经腹腔镜尿道癌根治术</t>
  </si>
  <si>
    <t>003311040110001-33110401105</t>
  </si>
  <si>
    <t>经腹腔镜尿道癌根治术-膀胱全切，尿路重建</t>
  </si>
  <si>
    <t>013311000330001</t>
  </si>
  <si>
    <t>尿道全切除费-儿童（加收）</t>
  </si>
  <si>
    <t>003311040110000-33110401102</t>
  </si>
  <si>
    <t>小儿尿道癌根治术</t>
  </si>
  <si>
    <t>003311040110001-33110401103</t>
  </si>
  <si>
    <t>小儿尿道癌根治术-膀胱全切，尿路重建</t>
  </si>
  <si>
    <t>003311040110000-33110401106</t>
  </si>
  <si>
    <t>小儿经腹腔镜尿道癌根治术</t>
  </si>
  <si>
    <t>003311040110001-33110401107</t>
  </si>
  <si>
    <t>小儿经腹腔镜尿道癌根治术-膀胱全切、尿路重建</t>
  </si>
  <si>
    <t>013311000340000</t>
  </si>
  <si>
    <t>尿道扩张费</t>
  </si>
  <si>
    <t>通过手术扩张狭窄尿道。</t>
  </si>
  <si>
    <t>所定价格涵盖手术计划、术区准备、消毒、插管、导入球囊、充气扩张、观察调整、撤除、处理用物等步骤所需的人力资源和基本物质资源消耗。</t>
  </si>
  <si>
    <t>平移，基层取整</t>
  </si>
  <si>
    <t>003110000360000-311000036</t>
  </si>
  <si>
    <t>尿道狭窄扩张术</t>
  </si>
  <si>
    <t>丝状探条</t>
  </si>
  <si>
    <t>013311000340001</t>
  </si>
  <si>
    <t>尿道扩张费-儿童（加收）</t>
  </si>
  <si>
    <t>013311000350000</t>
  </si>
  <si>
    <t>尿道裂成形费（常规）</t>
  </si>
  <si>
    <t>通过手术恢复尿道口正常位置。</t>
  </si>
  <si>
    <t>所定价格涵盖手术计划、术区准备、消毒、尿道裂处理、缺损修复、包皮成型、处理用物等步骤所需的人力资源和基本物质资源消耗。</t>
  </si>
  <si>
    <t>平移后根据县级拟定价格理顺市级、基层比价</t>
  </si>
  <si>
    <t>003311040260000-331104026</t>
  </si>
  <si>
    <t>尿道下裂修复术</t>
  </si>
  <si>
    <t>包括尿瘘修补和各型尿道下裂修复；不含造瘘术和阴茎矫直术</t>
  </si>
  <si>
    <t>003311040230000-331104023</t>
  </si>
  <si>
    <t>尿道下裂Ⅰ期成形术</t>
  </si>
  <si>
    <t>003311040240000-331104024</t>
  </si>
  <si>
    <t>尿道下裂Ⅱ期成形术</t>
  </si>
  <si>
    <t>003311040250000-331104025</t>
  </si>
  <si>
    <t>尿道下裂阴茎下弯矫治术</t>
  </si>
  <si>
    <t>003311040270000-331104027</t>
  </si>
  <si>
    <t>尿道上裂修复术</t>
  </si>
  <si>
    <t>包括各型尿道上裂；不含造瘘术和腹壁缺损修补和膀胱外翻修复与阴茎矫直</t>
  </si>
  <si>
    <t>003311040280000-331104028</t>
  </si>
  <si>
    <t>尿道上裂膀胱外翻矫治术</t>
  </si>
  <si>
    <t>骨盆截骨时市级医院加收720元，县级医院加收650元，基层加收555元</t>
  </si>
  <si>
    <t>003311040280001-33110402801</t>
  </si>
  <si>
    <t>尿道上裂膀胱外翻矫治术-骨盆截骨</t>
  </si>
  <si>
    <t>骨盆截骨</t>
  </si>
  <si>
    <t>013311000350001</t>
  </si>
  <si>
    <t>尿道裂成形费（常规）-儿童（加收）</t>
  </si>
  <si>
    <t>003311040260000-33110402601</t>
  </si>
  <si>
    <t>小儿尿道下裂修复术</t>
  </si>
  <si>
    <t>003311040230000-33110402301</t>
  </si>
  <si>
    <t>小儿尿道下裂Ⅰ期成形术</t>
  </si>
  <si>
    <t>003311040240000-33110402401</t>
  </si>
  <si>
    <t>小儿尿道下裂Ⅱ期成形术</t>
  </si>
  <si>
    <t>003311040250000-33110402501</t>
  </si>
  <si>
    <t>小儿尿道下裂阴茎下弯矫治术</t>
  </si>
  <si>
    <t>003311040270000-33110402701</t>
  </si>
  <si>
    <t>小儿尿道上裂修复术</t>
  </si>
  <si>
    <t>003311040280000-33110402802</t>
  </si>
  <si>
    <t>小儿尿道上裂膀胱外翻矫治术</t>
  </si>
  <si>
    <t>003311040280001-33110402803</t>
  </si>
  <si>
    <t>小儿尿道上裂膀胱外翻矫治术-骨盆截骨</t>
  </si>
  <si>
    <t>尿道裂成形费（复杂）</t>
  </si>
  <si>
    <t>通过手术使复杂尿道裂恢复正常位置。</t>
  </si>
  <si>
    <t>本项目中的“复杂”指：需横断尿板、重建尿道、增加防水层的情况。</t>
  </si>
  <si>
    <t>新增项目，根据项目间比价关系拟定</t>
  </si>
  <si>
    <t>013311000360001</t>
  </si>
  <si>
    <t>尿道裂成形费（复杂）-儿童（加收）</t>
  </si>
  <si>
    <t>013311000370000</t>
  </si>
  <si>
    <t>尿流改道费</t>
  </si>
  <si>
    <t>通过手术实现尿道改道。</t>
  </si>
  <si>
    <t>所定价格涵盖手术计划、术区准备、消毒、切开、端端吻合、缝合、处理用物等步骤所需的人力资源和基本物质资源消耗。</t>
  </si>
  <si>
    <t>003311030130000-331103013</t>
  </si>
  <si>
    <t>胃代膀胱术</t>
  </si>
  <si>
    <t>003311030130000-33110301302</t>
  </si>
  <si>
    <t>经腹腔镜胃代膀胱术</t>
  </si>
  <si>
    <t>003311030080000-331103008</t>
  </si>
  <si>
    <t>膀胱再造术</t>
  </si>
  <si>
    <t>含膀胱全切术</t>
  </si>
  <si>
    <t>003311030080000-33110300802</t>
  </si>
  <si>
    <t>经腹腔镜膀胱再造术</t>
  </si>
  <si>
    <t>003311030090000-331103009</t>
  </si>
  <si>
    <t>回肠膀胱术</t>
  </si>
  <si>
    <t>含阑尾切除术；包括结肠</t>
  </si>
  <si>
    <t>003311030090000-33110300902</t>
  </si>
  <si>
    <t>经腹腔镜回肠膀胱术</t>
  </si>
  <si>
    <t>003311030120000-331103012</t>
  </si>
  <si>
    <t>直肠膀胱术</t>
  </si>
  <si>
    <t>含乙状结肠造瘘</t>
  </si>
  <si>
    <t>003311030120000-33110301202</t>
  </si>
  <si>
    <t>经腹腔镜直肠膀胱术</t>
  </si>
  <si>
    <t>003311030110000-331103011</t>
  </si>
  <si>
    <t>回肠扩大膀胱术</t>
  </si>
  <si>
    <t>包括结肠</t>
  </si>
  <si>
    <t>003311030110000-33110301102</t>
  </si>
  <si>
    <t>经腹腔镜回肠扩大膀胱术</t>
  </si>
  <si>
    <t>013311000370001</t>
  </si>
  <si>
    <t>尿流改道费-原位或可控性储尿囊（加收）</t>
  </si>
  <si>
    <t>无开展量，根据项目间比价关系拟定</t>
  </si>
  <si>
    <t>003311030140000-331103014</t>
  </si>
  <si>
    <t>肠道原位膀胱术</t>
  </si>
  <si>
    <t>003311030140000-33110301401</t>
  </si>
  <si>
    <t>小儿肠道原位膀胱术</t>
  </si>
  <si>
    <t>003311030140000-33110301402</t>
  </si>
  <si>
    <t>经腹腔镜肠道原位膀胱术</t>
  </si>
  <si>
    <t>003311030140000-33110301403</t>
  </si>
  <si>
    <t>小儿经腹腔镜肠道原位膀胱术</t>
  </si>
  <si>
    <t>003311030100000-331103010</t>
  </si>
  <si>
    <t>可控性回肠膀胱术</t>
  </si>
  <si>
    <t>003311030100000-33110301001</t>
  </si>
  <si>
    <t>小儿可控性回肠膀胱术</t>
  </si>
  <si>
    <t>003311030100000-33110301002</t>
  </si>
  <si>
    <t>经腹腔镜可控性回肠膀胱术</t>
  </si>
  <si>
    <t>003311030100000-33110301003</t>
  </si>
  <si>
    <t>小儿经腹腔镜可控性回肠膀胱术</t>
  </si>
  <si>
    <t>013311000370011</t>
  </si>
  <si>
    <t>尿流改道费-输尿管造口（减收）</t>
  </si>
  <si>
    <t>输尿管造口单、双侧同价</t>
  </si>
  <si>
    <t>按照主项扣除原有项目价格得到平移价格后，理顺比价关系</t>
  </si>
  <si>
    <t>003311020130000-331102013</t>
  </si>
  <si>
    <t>输尿管皮肤造口术</t>
  </si>
  <si>
    <t>单、双侧同价</t>
  </si>
  <si>
    <t>003311020130000-33110201301</t>
  </si>
  <si>
    <t>小儿输尿管皮肤造口术</t>
  </si>
  <si>
    <t>003311020130000-33110201302</t>
  </si>
  <si>
    <t>经腹腔镜输尿管皮肤造口术</t>
  </si>
  <si>
    <t>003311020130000-33110201303</t>
  </si>
  <si>
    <t>小儿经腹腔镜输尿管皮肤造口术</t>
  </si>
  <si>
    <t>013311000370021</t>
  </si>
  <si>
    <t>尿流改道费-儿童（加收）</t>
  </si>
  <si>
    <t>003311030130000-33110301301</t>
  </si>
  <si>
    <t>小儿胃代膀胱术</t>
  </si>
  <si>
    <t>003311030130000-33110301303</t>
  </si>
  <si>
    <t>小儿经腹腔镜胃代膀胱术</t>
  </si>
  <si>
    <t>003311030080000-33110300801</t>
  </si>
  <si>
    <t>小儿膀胱再造术</t>
  </si>
  <si>
    <t>003311030080000-33110300803</t>
  </si>
  <si>
    <t>小儿经腹腔镜膀胱再造术</t>
  </si>
  <si>
    <t>003311030090000-33110300901</t>
  </si>
  <si>
    <t>小儿回肠膀胱术</t>
  </si>
  <si>
    <t>003311030090000-33110300903</t>
  </si>
  <si>
    <t>小儿经腹腔镜回肠膀胱术</t>
  </si>
  <si>
    <t>003311030120000-33110301201</t>
  </si>
  <si>
    <t>小儿直肠膀胱术</t>
  </si>
  <si>
    <t>003311030120000-33110301203</t>
  </si>
  <si>
    <t>小儿经腹腔镜直肠膀胱术</t>
  </si>
  <si>
    <t>003311030110000-33110301101</t>
  </si>
  <si>
    <t>小儿回肠扩大膀胱术</t>
  </si>
  <si>
    <t>003311030110000-33110301103</t>
  </si>
  <si>
    <t>小儿经腹腔镜回肠扩大膀胱术</t>
  </si>
  <si>
    <t>013311000380000</t>
  </si>
  <si>
    <t>尿路成形费（常规）</t>
  </si>
  <si>
    <t>通过手术解除肾盂输尿管连接部、输尿管、尿道处的梗阻，重建尿路。</t>
  </si>
  <si>
    <t>所定价格涵盖手术计划、术区准备、消毒、切开、解除连接部梗阻、裁剪尿路、重建、缝合、处理用物等步骤所需的人力资源和基本物质资源消耗。</t>
  </si>
  <si>
    <t>加权平均后，市、基层提高理顺比价</t>
  </si>
  <si>
    <t>003311020030000-331102003</t>
  </si>
  <si>
    <t>经皮肾镜或输尿管镜内切开成形术</t>
  </si>
  <si>
    <t>含肾输尿管镜检查</t>
  </si>
  <si>
    <t>003311020050000-331102005</t>
  </si>
  <si>
    <t>肾盂输尿管成形术</t>
  </si>
  <si>
    <t>包括单纯肾盂或输尿管成形</t>
  </si>
  <si>
    <t>同时行双侧成形术市级医院加收1150元，县级医院加收1040元，基层加收885元</t>
  </si>
  <si>
    <t>003311020050001-33110200501</t>
  </si>
  <si>
    <t>肾盂输尿管成形术-同时行双侧成形术</t>
  </si>
  <si>
    <t>同时行双侧成形术</t>
  </si>
  <si>
    <t>003311020050002-33110200504</t>
  </si>
  <si>
    <t>经腹腔镜肾盂输尿管成形术</t>
  </si>
  <si>
    <t>003311020050002-33110200505</t>
  </si>
  <si>
    <t>经腹腔镜肾盂输尿管成形术-同时行双侧成形术</t>
  </si>
  <si>
    <t>003311020150000-331102015</t>
  </si>
  <si>
    <t>输尿管松解术</t>
  </si>
  <si>
    <t>003311020150000-33110201502</t>
  </si>
  <si>
    <t>经腹腔镜输尿管松解术</t>
  </si>
  <si>
    <t>003311020160000-331102016</t>
  </si>
  <si>
    <t>输尿管整形术</t>
  </si>
  <si>
    <t>003311020160000-33110201602</t>
  </si>
  <si>
    <t>经腹腔镜输尿管整形术</t>
  </si>
  <si>
    <t>003311020020000-331102002</t>
  </si>
  <si>
    <t>肾盂成形肾盂输尿管再吻合术</t>
  </si>
  <si>
    <t>003311020020000-33110200202</t>
  </si>
  <si>
    <t>经腹腔镜肾盂成形肾盂输尿管再吻合术</t>
  </si>
  <si>
    <t>003311040210000-331104021</t>
  </si>
  <si>
    <t>尿道外口整形术</t>
  </si>
  <si>
    <t>003311020170000-331102017</t>
  </si>
  <si>
    <t>腔静脉后输尿管整形术</t>
  </si>
  <si>
    <t>003311020170000-33110201702</t>
  </si>
  <si>
    <t>经腹腔镜腔静脉后输尿管整形术</t>
  </si>
  <si>
    <t>003311040160000-331104016</t>
  </si>
  <si>
    <t>会阴阴囊皮瓣尿道成型术</t>
  </si>
  <si>
    <t>003311040040000-331104004</t>
  </si>
  <si>
    <t>前尿道吻合术</t>
  </si>
  <si>
    <t>003311040040000-33110400402</t>
  </si>
  <si>
    <t>经膀胱镜前尿道吻合术</t>
  </si>
  <si>
    <t>003311040020000-331104002</t>
  </si>
  <si>
    <t>尿道折叠术</t>
  </si>
  <si>
    <t>003311040020000-33110400202</t>
  </si>
  <si>
    <t>经膀胱镜尿道折叠术</t>
  </si>
  <si>
    <t>003311040010000-331104001</t>
  </si>
  <si>
    <t>尿道修补术</t>
  </si>
  <si>
    <t>包括经会阴、耻骨劈开、尿道套入、内植皮</t>
  </si>
  <si>
    <t>003311040010000-33110400102</t>
  </si>
  <si>
    <t>经膀胱镜尿道修补术</t>
  </si>
  <si>
    <t>003311040130000-331104013</t>
  </si>
  <si>
    <t>尿道重建术</t>
  </si>
  <si>
    <t>含尿道全切</t>
  </si>
  <si>
    <t>003311040130000-33110401302</t>
  </si>
  <si>
    <t>经膀胱镜尿道重建术</t>
  </si>
  <si>
    <t>003311040030000-331104003</t>
  </si>
  <si>
    <t>尿道会师术</t>
  </si>
  <si>
    <t>003311040030000-33110400302</t>
  </si>
  <si>
    <t>经膀胱镜尿道会师术</t>
  </si>
  <si>
    <t>003311010020000-331101002</t>
  </si>
  <si>
    <t>肾固定术</t>
  </si>
  <si>
    <t>003311010020000-33110100202</t>
  </si>
  <si>
    <t>经腹腔镜肾固定术</t>
  </si>
  <si>
    <t>003311010030000-331101003</t>
  </si>
  <si>
    <t>肾折叠术</t>
  </si>
  <si>
    <t>003311010030000-33110100302</t>
  </si>
  <si>
    <t>经腹腔镜肾折叠术</t>
  </si>
  <si>
    <t>013311000380001</t>
  </si>
  <si>
    <t>尿路成形费（常规）-儿童（加收）</t>
  </si>
  <si>
    <t>003311020030000-33110200301</t>
  </si>
  <si>
    <t>小儿经皮肾镜或输尿管镜内切开成形术</t>
  </si>
  <si>
    <t>003311020050000-33110200502</t>
  </si>
  <si>
    <t>小儿肾盂输尿管成形术</t>
  </si>
  <si>
    <t>003311020050001-33110200503</t>
  </si>
  <si>
    <t>小儿肾盂输尿管成形术-同时行双侧成形术</t>
  </si>
  <si>
    <t>003311020050002-33110200506</t>
  </si>
  <si>
    <t>小儿经腹腔镜肾盂输尿管成形术</t>
  </si>
  <si>
    <t>003311020050002-33110200507</t>
  </si>
  <si>
    <t>小儿经腹腔镜肾盂输尿管成形术-同时行双侧成形术</t>
  </si>
  <si>
    <t>003311020150000-33110201501</t>
  </si>
  <si>
    <t>小儿输尿管松解术</t>
  </si>
  <si>
    <t>003311020150000-33110201503</t>
  </si>
  <si>
    <t>小儿经腹腔镜输尿管松解术</t>
  </si>
  <si>
    <t>003311020160000-33110201601</t>
  </si>
  <si>
    <t>小儿输尿管整形术</t>
  </si>
  <si>
    <t>003311020160000-33110201603</t>
  </si>
  <si>
    <t>小儿经腹腔镜输尿管整形术</t>
  </si>
  <si>
    <t>003311020020000-33110200201</t>
  </si>
  <si>
    <t>小儿肾盂成形肾盂输尿管再吻合术</t>
  </si>
  <si>
    <t>003311020020000-33110200203</t>
  </si>
  <si>
    <t>小儿经腹腔镜肾盂成形肾盂输尿管再吻合术</t>
  </si>
  <si>
    <t>003311040210000-33110402101</t>
  </si>
  <si>
    <t>小儿尿道外口整形术</t>
  </si>
  <si>
    <t>003311020170000-33110201701</t>
  </si>
  <si>
    <t>小儿腔静脉后输尿管整形术</t>
  </si>
  <si>
    <t>003311020170000-33110201703</t>
  </si>
  <si>
    <t>小儿经腹腔镜腔静脉后输尿管整形术</t>
  </si>
  <si>
    <t>003311040160000-33110401601</t>
  </si>
  <si>
    <t>小儿会阴阴囊皮瓣尿道成型术</t>
  </si>
  <si>
    <t>003311040040000-33110400401</t>
  </si>
  <si>
    <t>小儿前尿道吻合术</t>
  </si>
  <si>
    <t>003311040040000-33110400403</t>
  </si>
  <si>
    <t>小儿经膀胱镜前尿道吻合术</t>
  </si>
  <si>
    <t>003311040020000-33110400201</t>
  </si>
  <si>
    <t>小儿尿道折叠术</t>
  </si>
  <si>
    <t>003311040020000-33110400203</t>
  </si>
  <si>
    <t>小儿经膀胱镜尿道折叠术</t>
  </si>
  <si>
    <t>003311040010000-33110400101</t>
  </si>
  <si>
    <t>小儿尿道修补术</t>
  </si>
  <si>
    <t>003311040010000-33110400103</t>
  </si>
  <si>
    <t>小儿经膀胱镜尿道修补术</t>
  </si>
  <si>
    <t>003311040130000-33110401301</t>
  </si>
  <si>
    <t>小儿尿道重建术</t>
  </si>
  <si>
    <t>003311040130000-33110401303</t>
  </si>
  <si>
    <t>小儿经膀胱镜尿道重建术</t>
  </si>
  <si>
    <t>003311040030000-33110400301</t>
  </si>
  <si>
    <t>小儿尿道会师术</t>
  </si>
  <si>
    <t>003311040030000-33110400303</t>
  </si>
  <si>
    <t>小儿经膀胱镜尿道会师术</t>
  </si>
  <si>
    <t>003311010020000-33110100201</t>
  </si>
  <si>
    <t>小儿肾固定术</t>
  </si>
  <si>
    <t>003311010020000-33110100203</t>
  </si>
  <si>
    <t>小儿经腹腔镜肾固定术</t>
  </si>
  <si>
    <t>003311010030000-33110100301</t>
  </si>
  <si>
    <t>小儿肾折叠术</t>
  </si>
  <si>
    <t>003311010030000-33110100303</t>
  </si>
  <si>
    <t>小儿经腹腔镜肾折叠术</t>
  </si>
  <si>
    <t>013311000390000</t>
  </si>
  <si>
    <t>尿路成形费（复杂）</t>
  </si>
  <si>
    <t>通过手术解除复杂情况下的肾盂输尿管连接部、输尿管、尿道处的梗阻，重建尿路。</t>
  </si>
  <si>
    <t>本项目中的“复杂”指：双侧同时手术、肠管代输尿管、膀胱瓣代输尿管、口腔黏膜代输尿管、阑尾代输尿管、肾盂瓣成形的方式。</t>
  </si>
  <si>
    <t>加权平均后，结合区域和项目间比价，理顺各级比价关系</t>
  </si>
  <si>
    <t>003311020180000-331102018</t>
  </si>
  <si>
    <t>肠管代输尿管术</t>
  </si>
  <si>
    <t>003311020180000-33110201802</t>
  </si>
  <si>
    <t>经腹腔镜肠管代输尿管术</t>
  </si>
  <si>
    <t>003311020190000-331102019</t>
  </si>
  <si>
    <t>膀胱瓣代输尿管术</t>
  </si>
  <si>
    <t>003311020190000-33110201902</t>
  </si>
  <si>
    <t>经腹腔镜膀胱瓣代输尿管术</t>
  </si>
  <si>
    <t>013311000390001</t>
  </si>
  <si>
    <t>尿路成形费（复杂）-儿童（加收）</t>
  </si>
  <si>
    <t>003311020180000-33110201801</t>
  </si>
  <si>
    <t>小儿肠管代输尿管术</t>
  </si>
  <si>
    <t>003311020180000-33110201803</t>
  </si>
  <si>
    <t>小儿经腹腔镜肠管代输尿管术</t>
  </si>
  <si>
    <t>003311020190000-33110201901</t>
  </si>
  <si>
    <t>小儿膀胱瓣代输尿管术</t>
  </si>
  <si>
    <t>003311020190000-33110201903</t>
  </si>
  <si>
    <t>小儿经腹腔镜膀胱瓣代输尿管术</t>
  </si>
  <si>
    <t>013311000400000</t>
  </si>
  <si>
    <t>人工尿道括约肌装置置入费</t>
  </si>
  <si>
    <t>通过手术置入人工尿道括约肌装置。</t>
  </si>
  <si>
    <t>所定价格涵盖手术计划、术区准备、切开、安装、调试、缝合、处理用物等步骤所需的人力资源和基本物质资源消耗。</t>
  </si>
  <si>
    <t>不与“人工尿道括约肌装置更换费”同时收取。</t>
  </si>
  <si>
    <t>013311000400001</t>
  </si>
  <si>
    <t>人工尿道括约肌装置置入费-儿童（加收）</t>
  </si>
  <si>
    <t>013311000410000</t>
  </si>
  <si>
    <t>人工尿道括约肌装置取出费</t>
  </si>
  <si>
    <t>通过手术取出人工尿道括约肌装置。</t>
  </si>
  <si>
    <t>所定价格涵盖手术计划、术区准备、切开、取出、缝合、处理用物等步骤所需的人力资源和基本物质资源消耗。</t>
  </si>
  <si>
    <t>新增项目，按比价关系拟定
价格同置入费</t>
  </si>
  <si>
    <t>013311000410001</t>
  </si>
  <si>
    <t>人工尿道括约肌装置取出费-儿童（加收）</t>
  </si>
  <si>
    <t>013311000420000</t>
  </si>
  <si>
    <t>人工尿道括约肌装置更换费</t>
  </si>
  <si>
    <t>通过手术更换人工尿道括约肌装置。</t>
  </si>
  <si>
    <t>不与“人工尿道括约肌装置置入费”“人工尿道括约肌装置取出费”同时收取。</t>
  </si>
  <si>
    <t>013311000420001</t>
  </si>
  <si>
    <t>人工尿道括约肌装置更换费-儿童（加收）</t>
  </si>
  <si>
    <t>013312000010000</t>
  </si>
  <si>
    <t>睾丸移植费</t>
  </si>
  <si>
    <t>通过手术移植固定睾丸。</t>
  </si>
  <si>
    <t>所定价格涵盖手术计划、术区准备、消毒、切开、游离、血管吻合、固定、关闭、缝合、处理用物等步骤所需的人力资源和基本物质资源消耗。</t>
  </si>
  <si>
    <t>003312020130000-331202013</t>
  </si>
  <si>
    <t>自体睾丸移植术</t>
  </si>
  <si>
    <t>013312000010100</t>
  </si>
  <si>
    <t>睾丸移植费-异种睾丸（扩展）</t>
  </si>
  <si>
    <t>013312000010001</t>
  </si>
  <si>
    <t>睾丸移植费-儿童（加收）</t>
  </si>
  <si>
    <t>003312020130000-33120201301</t>
  </si>
  <si>
    <t>小儿自体睾丸移植术</t>
  </si>
  <si>
    <t>013312000020000</t>
  </si>
  <si>
    <t>隐睾复位费</t>
  </si>
  <si>
    <t>通过手术将隐睾复位至阴囊内。</t>
  </si>
  <si>
    <t>所定价格涵盖手术计划、术区准备、消毒、切开、游离、下降睾丸、固定、关闭、缝合、处理用物等步骤所需的人力资源和基本物质资源消耗。</t>
  </si>
  <si>
    <t>013312000020001</t>
  </si>
  <si>
    <t>隐睾复位费-高位复位（加收）</t>
  </si>
  <si>
    <t>本项目中的“高位”指：腹股沟以上部位，不含腹股沟。</t>
  </si>
  <si>
    <t>用原项目加权平均价格扣除主项目价格后得到平移价格，县级开展量居多，以县级为基准，理顺各级比价关系</t>
  </si>
  <si>
    <t>003312020050000-331202005</t>
  </si>
  <si>
    <t>高位隐睾下降固定术</t>
  </si>
  <si>
    <t>含疝修补术</t>
  </si>
  <si>
    <t>003312020050000-33120200501</t>
  </si>
  <si>
    <t>小儿高位隐睾下降固定术</t>
  </si>
  <si>
    <t>003312020050000-33120200502</t>
  </si>
  <si>
    <t>经腹腔镜高位隐睾下降固定术</t>
  </si>
  <si>
    <t>003312020050000-33120200503</t>
  </si>
  <si>
    <t>小儿经腹腔镜高位隐睾下降固定术</t>
  </si>
  <si>
    <t>013312000020011</t>
  </si>
  <si>
    <t>隐睾复位费-儿童（加收）</t>
  </si>
  <si>
    <t>013312000030000</t>
  </si>
  <si>
    <t>睾丸切除费</t>
  </si>
  <si>
    <t>通过手术切除睾丸。</t>
  </si>
  <si>
    <t>所定价格涵盖手术计划、术区准备、消毒、切开、游离、切除、关闭、缝合、处理用物等步骤所需的人力资源和基本物质资源消耗。</t>
  </si>
  <si>
    <t>003312020110000-331202011</t>
  </si>
  <si>
    <t>睾丸切除术</t>
  </si>
  <si>
    <t>013312000030001</t>
  </si>
  <si>
    <t>睾丸切除费-恶性肿瘤切除（加收）</t>
  </si>
  <si>
    <t>013312000030100</t>
  </si>
  <si>
    <t>睾丸切除费-附睾切除（扩展）</t>
  </si>
  <si>
    <t>003312030010000-331203001</t>
  </si>
  <si>
    <t>附睾切除术</t>
  </si>
  <si>
    <t>包括附睾肿物切除术</t>
  </si>
  <si>
    <t>003312030010000-33120300101</t>
  </si>
  <si>
    <t>小儿附睾切除术</t>
  </si>
  <si>
    <t>003312030010000-33120300102</t>
  </si>
  <si>
    <t>经腹腔镜附睾切除术</t>
  </si>
  <si>
    <t>003312030010000-33120300103</t>
  </si>
  <si>
    <t>小儿经腹腔镜附睾切除术</t>
  </si>
  <si>
    <t>013312000030011</t>
  </si>
  <si>
    <t>睾丸切除费-儿童（加收）</t>
  </si>
  <si>
    <t>003312020110000-33120201101</t>
  </si>
  <si>
    <t>小儿睾丸切除术</t>
  </si>
  <si>
    <t>013312000040000</t>
  </si>
  <si>
    <t>睾丸鞘膜翻转费</t>
  </si>
  <si>
    <t>通过手术去除鞘膜积液并翻转鞘膜。</t>
  </si>
  <si>
    <t>所定价格涵盖手术计划、术区准备、消毒、切开、游离、切除、翻转固定、关闭、缝合、处理用物等步骤所需的人力资源和基本物质资源消耗。</t>
  </si>
  <si>
    <t>加权平移后，县级、基础提高理顺比价，以弥补小儿项目的减少金额</t>
  </si>
  <si>
    <t>003312020060000-331202006</t>
  </si>
  <si>
    <t>睾丸鞘膜翻转术</t>
  </si>
  <si>
    <t>003312020060000-33120200602</t>
  </si>
  <si>
    <t>经腹腔镜睾丸鞘膜翻转术</t>
  </si>
  <si>
    <t>003312020070000-331202007</t>
  </si>
  <si>
    <t>交通性鞘膜积液修补术</t>
  </si>
  <si>
    <t>睾丸鞘状突高位结扎术市级525元，县级500元，基层425元。</t>
  </si>
  <si>
    <t>003312020070000-33120200702</t>
  </si>
  <si>
    <t>经腹腔镜交通性鞘膜积液修补术</t>
  </si>
  <si>
    <t>003312020070000-33120200704</t>
  </si>
  <si>
    <t>睾丸鞘状突高位结扎术</t>
  </si>
  <si>
    <t>013312000040001</t>
  </si>
  <si>
    <t>睾丸鞘膜翻转费-儿童（加收）</t>
  </si>
  <si>
    <t>003312020060000-33120200601</t>
  </si>
  <si>
    <t>小儿睾丸鞘膜翻转术</t>
  </si>
  <si>
    <t>003312020060000-33120200603</t>
  </si>
  <si>
    <t>小儿经腹腔镜睾丸鞘膜翻转术</t>
  </si>
  <si>
    <t>003312020070000-33120200701</t>
  </si>
  <si>
    <t>小儿交通性鞘膜积液修补术</t>
  </si>
  <si>
    <t>003312020070000-33120200703</t>
  </si>
  <si>
    <t>小儿经腹腔镜交通性鞘膜积液修补术</t>
  </si>
  <si>
    <t>003312020070000-33120200705</t>
  </si>
  <si>
    <t>小儿睾丸鞘状突高位结扎术</t>
  </si>
  <si>
    <t>013312000050000</t>
  </si>
  <si>
    <t>睾丸修补费</t>
  </si>
  <si>
    <t>通过手术修补缝合睾丸。</t>
  </si>
  <si>
    <t>所定价格涵盖手术计划、术区准备、消毒、切开、探查、修补、关闭、缝合、处理用物等步骤所需的人力资源和基本物质资源消耗。</t>
  </si>
  <si>
    <t>平移后按不超过省级下调理顺</t>
  </si>
  <si>
    <t>003312020090000-331202009</t>
  </si>
  <si>
    <t>睾丸破裂修补术</t>
  </si>
  <si>
    <t>003312020090000-33120200902</t>
  </si>
  <si>
    <t>经腹腔镜睾丸破裂修补术</t>
  </si>
  <si>
    <t>013312000050001</t>
  </si>
  <si>
    <t>睾丸修补费-儿童（加收）</t>
  </si>
  <si>
    <t>003312020090000-33120200901</t>
  </si>
  <si>
    <t>小儿睾丸破裂修补术</t>
  </si>
  <si>
    <t>003312020090000-33120200903</t>
  </si>
  <si>
    <t>小儿经腹腔镜睾丸破裂修补术</t>
  </si>
  <si>
    <t>013312000060000</t>
  </si>
  <si>
    <t>睾丸扭转复位费</t>
  </si>
  <si>
    <t>通过手术将扭转睾丸或附件复位固定。</t>
  </si>
  <si>
    <t>所定价格涵盖手术计划、术区准备、消毒、切开、探查、修补、复位、关闭、缝合、处理用物等步骤所需的人力资源和基本物质资源消耗。</t>
  </si>
  <si>
    <t>003312020100000-331202010</t>
  </si>
  <si>
    <t>睾丸固定术</t>
  </si>
  <si>
    <t>含疝囊高位结扎术</t>
  </si>
  <si>
    <t>003312020100000-33120201002</t>
  </si>
  <si>
    <t>经腹腔镜睾丸固定术</t>
  </si>
  <si>
    <t>003312020080000-331202008</t>
  </si>
  <si>
    <t>睾丸附件扭转探查术</t>
  </si>
  <si>
    <t>含睾丸扭转复位术</t>
  </si>
  <si>
    <t>003312020080000-33120200802</t>
  </si>
  <si>
    <t>经腹腔镜睾丸附件扭转探查术</t>
  </si>
  <si>
    <t>003312020140000-331202014</t>
  </si>
  <si>
    <t>经腹腔镜隐睾探查术</t>
  </si>
  <si>
    <t>含隐睾切除术；不含复位固定术</t>
  </si>
  <si>
    <t>013312000060001</t>
  </si>
  <si>
    <t>睾丸扭转复位费-儿童（加收）</t>
  </si>
  <si>
    <t>003312020100000-33120201001</t>
  </si>
  <si>
    <t>小儿睾丸固定术</t>
  </si>
  <si>
    <t>003312020100000-33120201003</t>
  </si>
  <si>
    <t>小儿经腹腔镜睾丸固定术</t>
  </si>
  <si>
    <t>003312020080000-33120200801</t>
  </si>
  <si>
    <t>小儿睾丸附件扭转探查术</t>
  </si>
  <si>
    <t>003312020080000-33120200803</t>
  </si>
  <si>
    <t>小儿经腹腔镜睾丸附件扭转探查术</t>
  </si>
  <si>
    <t>003312020140000-33120201401</t>
  </si>
  <si>
    <t>小儿经腹腔镜隐睾探查术</t>
  </si>
  <si>
    <t>013312000070000</t>
  </si>
  <si>
    <t>鞘膜积液穿刺费</t>
  </si>
  <si>
    <t>通过手术穿刺鞘膜积液。</t>
  </si>
  <si>
    <t>所定价格涵盖消毒、穿刺、抽出内容物、包扎、冷敷等步骤所需的人力资源和基本物质资源消耗。</t>
  </si>
  <si>
    <t>平移后，根据比价关系提高，理顺手术项目的比价关系</t>
  </si>
  <si>
    <t>003111000180000-311100018</t>
  </si>
  <si>
    <t>鞘膜积液穿刺抽液术</t>
  </si>
  <si>
    <t>硬化剂</t>
  </si>
  <si>
    <t>013312000070001</t>
  </si>
  <si>
    <t>鞘膜积液穿刺费-儿童（加收）</t>
  </si>
  <si>
    <t>003111000180000-31110001801</t>
  </si>
  <si>
    <t>小儿鞘膜积液穿刺抽液术</t>
  </si>
  <si>
    <t>013312000080000</t>
  </si>
  <si>
    <t>输精管阻断费</t>
  </si>
  <si>
    <t>通过手术阻断输精管。</t>
  </si>
  <si>
    <t>所定价格涵盖手术计划、术区准备、消毒、切开、定位输精管、阻断、缝合、处理用物等步骤所需的人力资源和基本物质资源消耗。</t>
  </si>
  <si>
    <t>降低</t>
  </si>
  <si>
    <t>省局根据区域间比价关系降低项目价格，我市按照比价关系对应下调（我市原项目价格持平省局，现调整理顺）</t>
  </si>
  <si>
    <t>003312030080000-331203008</t>
  </si>
  <si>
    <t>输精管结扎术</t>
  </si>
  <si>
    <t>003312030090000-331203009</t>
  </si>
  <si>
    <t>输精管粘堵术</t>
  </si>
  <si>
    <t>经皮法加收20%</t>
  </si>
  <si>
    <t>003312030090000-33120300901</t>
  </si>
  <si>
    <t>输精管粘堵术（经皮法）</t>
  </si>
  <si>
    <t>经皮法</t>
  </si>
  <si>
    <t>013312000080001</t>
  </si>
  <si>
    <t>输精管阻断费-儿童（加收）</t>
  </si>
  <si>
    <t>003312030080000-33120300801</t>
  </si>
  <si>
    <t>小儿输精管结扎术</t>
  </si>
  <si>
    <t>003312030090000-33120300902</t>
  </si>
  <si>
    <t>小儿输精管粘堵术</t>
  </si>
  <si>
    <t>003312030090000-33120300903</t>
  </si>
  <si>
    <t>小儿输精管粘堵术（经皮法）</t>
  </si>
  <si>
    <t>013312000090000</t>
  </si>
  <si>
    <t>输精管吻合费</t>
  </si>
  <si>
    <t>通过手术吻合输精管。</t>
  </si>
  <si>
    <t>所定价格涵盖手术计划、术区准备、消毒、切开、定位断端、瘢痕切除、通畅实验、定点画线、缝合、处理用物等步骤所需的人力资源和基本物质资源消耗。</t>
  </si>
  <si>
    <t>平移后，按不高于省级拟定调整</t>
  </si>
  <si>
    <t>003312030110000-331203011</t>
  </si>
  <si>
    <t>输精管吻合术</t>
  </si>
  <si>
    <t>003312030100000-331203010</t>
  </si>
  <si>
    <t>输精管痛性结节切除术</t>
  </si>
  <si>
    <t>013312000090001</t>
  </si>
  <si>
    <t>输精管吻合费-输精管附睾吻合（加收）</t>
  </si>
  <si>
    <t>003312030020000-331203002</t>
  </si>
  <si>
    <t>输精管附睾吻合术</t>
  </si>
  <si>
    <t>013312000090011</t>
  </si>
  <si>
    <t>输精管吻合费-儿童（加收）</t>
  </si>
  <si>
    <t>003312030110000-33120301101</t>
  </si>
  <si>
    <t>小儿输精管吻合术</t>
  </si>
  <si>
    <t>003312030100000-33120301001</t>
  </si>
  <si>
    <t>小儿输精管痛性结节切除术</t>
  </si>
  <si>
    <t>003312030020000-33120300201</t>
  </si>
  <si>
    <t>小儿输精管附睾吻合术</t>
  </si>
  <si>
    <t>013312000100000</t>
  </si>
  <si>
    <t>射精管梗阻治疗费</t>
  </si>
  <si>
    <t>通过手术治疗射精管梗阻。</t>
  </si>
  <si>
    <t>所定价格涵盖手术计划、术区准备、消毒、切开前列腺小囊、止血、缝合、处理用物等步骤所需的人力资源和基本物质资源消耗。</t>
  </si>
  <si>
    <t>开展量仅1例，按区域间比价关系理顺</t>
  </si>
  <si>
    <t>003312030070000-331203007</t>
  </si>
  <si>
    <t>输精管插管术</t>
  </si>
  <si>
    <t>导管</t>
  </si>
  <si>
    <t>003312030070000-33120300701</t>
  </si>
  <si>
    <t>输精管插管术（经皮法）</t>
  </si>
  <si>
    <t>003312030130000-331203013</t>
  </si>
  <si>
    <t>经尿道射精管切开术</t>
  </si>
  <si>
    <t>013312000100001</t>
  </si>
  <si>
    <t>射精管梗阻治疗费-儿童（加收）</t>
  </si>
  <si>
    <t>003312030070000-33120300702</t>
  </si>
  <si>
    <t>小儿输精管插管术</t>
  </si>
  <si>
    <t>003312030070000-33120300703</t>
  </si>
  <si>
    <t>小儿输精管插管术（经皮法）</t>
  </si>
  <si>
    <t>003312030130000-33120301301</t>
  </si>
  <si>
    <t>小儿经尿道射精管切开术</t>
  </si>
  <si>
    <t>013312000110000</t>
  </si>
  <si>
    <t>精囊冲洗费</t>
  </si>
  <si>
    <t>通过手术冲洗精囊。</t>
  </si>
  <si>
    <t>所定价格涵盖手术计划、术区准备、消毒、插管、反复冲洗精囊等步骤的人力资源和基本物质资源消耗。</t>
  </si>
  <si>
    <t>013312000110001</t>
  </si>
  <si>
    <t>精囊冲洗费-儿童（加收）</t>
  </si>
  <si>
    <t>013312000120000</t>
  </si>
  <si>
    <t>精囊肿物切除费</t>
  </si>
  <si>
    <t>通过手术切除精囊肿物。</t>
  </si>
  <si>
    <t>所定价格涵盖手术计划、术区准备、消毒、切开、切除精囊肿物、吻合、关闭、缝合、处理用物等步骤所需的人力资源和基本物质资源消耗。</t>
  </si>
  <si>
    <t>003312010090000-331201009</t>
  </si>
  <si>
    <t>精囊肿物切除术</t>
  </si>
  <si>
    <t>003312010090000-33120100902</t>
  </si>
  <si>
    <t>经腹腔镜精囊肿物切除术</t>
  </si>
  <si>
    <t>013312000120001</t>
  </si>
  <si>
    <t>精囊肿物切除费-恶性肿瘤切除（加收）</t>
  </si>
  <si>
    <t>013312000120011</t>
  </si>
  <si>
    <t>精囊肿物切除费-儿童（加收）</t>
  </si>
  <si>
    <t>003312010090000-33120100901</t>
  </si>
  <si>
    <t>小儿精囊肿物切除术</t>
  </si>
  <si>
    <t>003312010090000-33120100903</t>
  </si>
  <si>
    <t>小儿经腹腔镜精囊肿物切除术</t>
  </si>
  <si>
    <t>013312000130000</t>
  </si>
  <si>
    <t>精索静脉曲张结扎费</t>
  </si>
  <si>
    <t>通过手术结扎精索静脉。</t>
  </si>
  <si>
    <t>所定价格涵盖手术计划、术区准备、消毒、切开、定位、结扎、关闭、缝合、处理用物等步骤所需的人力资源和基本物质资源消耗。</t>
  </si>
  <si>
    <t>003312030060000-331203006</t>
  </si>
  <si>
    <t>精索静脉曲张结扎术</t>
  </si>
  <si>
    <t>分流术加收1/3</t>
  </si>
  <si>
    <t>003312030060001-33120300601</t>
  </si>
  <si>
    <t>精索静脉曲张结扎术（分流术）</t>
  </si>
  <si>
    <t>分流术</t>
  </si>
  <si>
    <t>003312030060002-33120300604</t>
  </si>
  <si>
    <t>经腹腔镜精索静脉曲张结扎术</t>
  </si>
  <si>
    <t>003312030060002-33120300606</t>
  </si>
  <si>
    <t>经腹腔镜精索静脉曲张结扎术-分流术</t>
  </si>
  <si>
    <t>003312030030000-331203003</t>
  </si>
  <si>
    <t>精索静脉转流术</t>
  </si>
  <si>
    <t>013312000130100</t>
  </si>
  <si>
    <t>精索静脉曲张结扎费-精索静脉瘤切除（扩展）</t>
  </si>
  <si>
    <t>003312030040000-331203004</t>
  </si>
  <si>
    <t>精索静脉瘤切除术</t>
  </si>
  <si>
    <t>003312030040000-33120300401</t>
  </si>
  <si>
    <t>小儿精索静脉瘤切除术</t>
  </si>
  <si>
    <t>013312000130001</t>
  </si>
  <si>
    <t>精索静脉曲张结扎费-儿童（加收）</t>
  </si>
  <si>
    <t>003312030060000-33120300602</t>
  </si>
  <si>
    <t>小儿精索静脉曲张结扎术</t>
  </si>
  <si>
    <t>003312030060001-33120300603</t>
  </si>
  <si>
    <t>小儿精索静脉曲张结扎术（分流术）</t>
  </si>
  <si>
    <t>003312030060002-33120300605</t>
  </si>
  <si>
    <t>小儿经腹腔镜精索静脉曲张结扎术</t>
  </si>
  <si>
    <t>003312030060002-33120300607</t>
  </si>
  <si>
    <t>小儿经腹腔镜精索静脉曲张结扎术-分流术</t>
  </si>
  <si>
    <t>003312030030000-33120300301</t>
  </si>
  <si>
    <t>小儿精索静脉转流术</t>
  </si>
  <si>
    <t>013312000140000</t>
  </si>
  <si>
    <t>精索静脉曲张栓塞费</t>
  </si>
  <si>
    <t>通过各种方式栓塞精索静脉曲张。</t>
  </si>
  <si>
    <t>所定价格涵盖手术计划、术区准备、消毒、切开、栓塞治疗、缝合、处理用物等步骤所需的人力资源和基本物质资源消耗。</t>
  </si>
  <si>
    <t>无开展量，调整理顺各级比价</t>
  </si>
  <si>
    <t>003312030050000-331203005</t>
  </si>
  <si>
    <t>精索静脉曲张栓塞术</t>
  </si>
  <si>
    <t>013312000140001</t>
  </si>
  <si>
    <t>精索静脉曲张栓塞费-儿童（加收）</t>
  </si>
  <si>
    <t>003312030050000-33120300501</t>
  </si>
  <si>
    <t>小儿精索静脉曲张栓塞术</t>
  </si>
  <si>
    <t>013111000030000</t>
  </si>
  <si>
    <t>前列腺按摩费</t>
  </si>
  <si>
    <t>通过各种方式按压挤出前列腺液。</t>
  </si>
  <si>
    <t>所定价格涵盖消毒、定位、按摩、处理用物等步骤所需的人力资源和基本物质资源消耗。</t>
  </si>
  <si>
    <t>平移，同质化高的项目持平省级</t>
  </si>
  <si>
    <t>003111000150000-311100015</t>
  </si>
  <si>
    <t>前列腺按摩</t>
  </si>
  <si>
    <t>013111000040000</t>
  </si>
  <si>
    <t>前列腺注射费</t>
  </si>
  <si>
    <t>对前列腺局部注射药物。</t>
  </si>
  <si>
    <t>所定价格涵盖消毒、注射、处理用物等步骤所需的人力资源和基本物质资源消耗。</t>
  </si>
  <si>
    <t>平移，同质化高的项目持平省级，基层取整（开展量仅1例）</t>
  </si>
  <si>
    <t>003111000160000-311100016</t>
  </si>
  <si>
    <t>前列腺注射</t>
  </si>
  <si>
    <t>013312000150000</t>
  </si>
  <si>
    <t>前列腺部分切除费</t>
  </si>
  <si>
    <t>通过手术切除部分前列腺。</t>
  </si>
  <si>
    <t>所定价格涵盖手术计划、术区准备、消毒、切开、冲洗、分离、切除、缝合、处理用物等步骤所需的人力资源和基本物质资源消耗。</t>
  </si>
  <si>
    <t>加权平均后，市级提高理顺比价（市级仅开展1例）</t>
  </si>
  <si>
    <t>003312010020000-331201002</t>
  </si>
  <si>
    <t>耻骨上前列腺切除术</t>
  </si>
  <si>
    <t>003312010030000-331201003</t>
  </si>
  <si>
    <t>耻骨后前列腺切除术</t>
  </si>
  <si>
    <t>003312010030000-33120100302</t>
  </si>
  <si>
    <t>经腹腔镜耻骨后前列腺切除术</t>
  </si>
  <si>
    <t>013312000150001</t>
  </si>
  <si>
    <t>前列腺部分切除费-儿童（加收）</t>
  </si>
  <si>
    <t>003312010020000-33120100201</t>
  </si>
  <si>
    <t>小儿耻骨上前列腺切除术</t>
  </si>
  <si>
    <t>003312010030000-33120100301</t>
  </si>
  <si>
    <t>小儿耻骨后前列腺切除术</t>
  </si>
  <si>
    <t>003312010030000-33120100303</t>
  </si>
  <si>
    <t>小儿经腹腔镜耻骨后前列腺切除术</t>
  </si>
  <si>
    <t>013312000160000</t>
  </si>
  <si>
    <t>前列腺全切费</t>
  </si>
  <si>
    <t>通过手术切除全部前列腺。</t>
  </si>
  <si>
    <t>所定价格涵盖手术计划、术区准备、消毒、切开、分离、切除、缝合、处理用物等步骤所需的人力资源和基本物质资源消耗。</t>
  </si>
  <si>
    <r>
      <rPr>
        <sz val="10"/>
        <rFont val="仿宋"/>
        <charset val="134"/>
      </rPr>
      <t>原项目需</t>
    </r>
    <r>
      <rPr>
        <sz val="10"/>
        <color rgb="FFFF0000"/>
        <rFont val="仿宋"/>
        <charset val="134"/>
      </rPr>
      <t>扣除淋巴结清扫费用的0.5后</t>
    </r>
    <r>
      <rPr>
        <sz val="10"/>
        <rFont val="仿宋"/>
        <charset val="134"/>
      </rPr>
      <t>测算，测算平移后提高理顺比价，我市原项目价格偏低。</t>
    </r>
  </si>
  <si>
    <t>003312010010000-331201001</t>
  </si>
  <si>
    <t>前列腺癌根治术</t>
  </si>
  <si>
    <t>含淋巴结清扫和取活检</t>
  </si>
  <si>
    <t>003312010010000-33120100102</t>
  </si>
  <si>
    <t>经腹腔镜前列腺癌根治术</t>
  </si>
  <si>
    <t>003309000060000-330900006</t>
  </si>
  <si>
    <t>盆腔淋巴结清扫术</t>
  </si>
  <si>
    <t>扣除淋巴结清扫费后测算</t>
  </si>
  <si>
    <t>原项目需扣除淋巴结清扫费用再对应</t>
  </si>
  <si>
    <t>013312000160001</t>
  </si>
  <si>
    <t>前列腺全切费-保留性神经（加收）</t>
  </si>
  <si>
    <t>013312000160011</t>
  </si>
  <si>
    <t>前列腺全切费-儿童（加收）</t>
  </si>
  <si>
    <t>003312010010000-33120100101</t>
  </si>
  <si>
    <t>小儿前列腺癌根治术</t>
  </si>
  <si>
    <t>003312010010000-33120100103</t>
  </si>
  <si>
    <t>小儿经腹腔镜前列腺癌根治术</t>
  </si>
  <si>
    <t>013312000170000</t>
  </si>
  <si>
    <t>前列腺囊肿引流费</t>
  </si>
  <si>
    <t>通过手术引流前列腺囊肿或脓肿。</t>
  </si>
  <si>
    <t>所定价格涵盖手术计划、术区准备、消毒、定位、切开、引流、包扎、缝合、处理用物等步骤所需的人力资源和基本物质资源消耗。</t>
  </si>
  <si>
    <t>003312010050000-331201005</t>
  </si>
  <si>
    <t>前列腺脓肿切开术</t>
  </si>
  <si>
    <t>电切法市级医院2020元，县级医院1820元，基层1550元</t>
  </si>
  <si>
    <t>003312010050000-33120100501</t>
  </si>
  <si>
    <t>前列腺脓肿切开术（电切法）</t>
  </si>
  <si>
    <t>003312010050000-33120100504</t>
  </si>
  <si>
    <t>经膀胱镜前列腺脓肿切开术</t>
  </si>
  <si>
    <t>003312010050000-33120100505</t>
  </si>
  <si>
    <t>经膀胱镜前列腺脓肿切开术（电切法）</t>
  </si>
  <si>
    <t>013312000170001</t>
  </si>
  <si>
    <t>前列腺囊肿引流费-前列腺囊肿切除（加收）</t>
  </si>
  <si>
    <t>003312010040000-331201004</t>
  </si>
  <si>
    <t>前列腺囊肿切除术</t>
  </si>
  <si>
    <t>003312010040000-33120100401</t>
  </si>
  <si>
    <t>前列腺囊肿切除术（电切法）</t>
  </si>
  <si>
    <t>003312010040000-33120100402</t>
  </si>
  <si>
    <t>小儿前列腺囊肿切除术</t>
  </si>
  <si>
    <t>003312010040000-33120100403</t>
  </si>
  <si>
    <t>小儿前列腺囊肿切除术（电切法）</t>
  </si>
  <si>
    <t>003312010040000-33120100404</t>
  </si>
  <si>
    <t>经腹腔镜前列腺囊肿切除术</t>
  </si>
  <si>
    <t>003312010040000-33120100405</t>
  </si>
  <si>
    <t>经腹腔镜前列腺囊肿切除术（电切法）</t>
  </si>
  <si>
    <t>003312010040000-33120100406</t>
  </si>
  <si>
    <t>小儿经腹腔镜前列腺囊肿切除术</t>
  </si>
  <si>
    <t>003312010040000-33120100407</t>
  </si>
  <si>
    <t>小儿经腹腔镜前列腺囊肿切除术（电切法）</t>
  </si>
  <si>
    <t>013312000170011</t>
  </si>
  <si>
    <t>前列腺囊肿引流费-儿童（加收）</t>
  </si>
  <si>
    <t>003312010050000-33120100502</t>
  </si>
  <si>
    <t>小儿前列腺脓肿切开术</t>
  </si>
  <si>
    <t>003312010050000-33120100503</t>
  </si>
  <si>
    <t>小儿前列腺脓肿切开术（电切法）</t>
  </si>
  <si>
    <t>003312010050000-33120100506</t>
  </si>
  <si>
    <t>小儿经膀胱镜前列腺脓肿切开术</t>
  </si>
  <si>
    <t>003312010050000-33120100507</t>
  </si>
  <si>
    <t>小儿经膀胱镜前列腺脓肿切开术（电切法）</t>
  </si>
  <si>
    <t>013312000180000</t>
  </si>
  <si>
    <t>阴囊肿物切除费</t>
  </si>
  <si>
    <t>通过手术切除阴囊内肿物。</t>
  </si>
  <si>
    <t>所定价格涵盖手术计划、术区准备、消毒、切开、切除、关闭、缝合、处理用物等步骤所需的人力资源和基本物质资源消耗。</t>
  </si>
  <si>
    <t>003312020040000-331202004</t>
  </si>
  <si>
    <t>阴囊肿物切除术</t>
  </si>
  <si>
    <t>013312000180001</t>
  </si>
  <si>
    <t>阴囊肿物切除费-恶性肿瘤切除（加收）</t>
  </si>
  <si>
    <t>013312000180011</t>
  </si>
  <si>
    <t>阴囊肿物切除费-儿童（加收）</t>
  </si>
  <si>
    <t>003312020040000-33120200401</t>
  </si>
  <si>
    <t>小儿阴囊肿物切除术</t>
  </si>
  <si>
    <t>013312000190000</t>
  </si>
  <si>
    <t>阴囊病变清创引流费</t>
  </si>
  <si>
    <t>通过手术对阴囊脓性肿物进行清创引流。</t>
  </si>
  <si>
    <t>所定价格涵盖手术计划、术区准备、消毒、切开、清创、引流、缝合、处理用物等步骤所需的人力资源和基本物质资源消耗。</t>
  </si>
  <si>
    <t>003312020010000-331202001</t>
  </si>
  <si>
    <t>阴囊坏死扩创术</t>
  </si>
  <si>
    <t>003312020020000-331202002</t>
  </si>
  <si>
    <t>阴囊脓肿引流术</t>
  </si>
  <si>
    <t>包括血肿清除引流</t>
  </si>
  <si>
    <t>013312000190001</t>
  </si>
  <si>
    <t>阴囊病变清创引流费-儿童（加收）</t>
  </si>
  <si>
    <t>003312020010000-33120200101</t>
  </si>
  <si>
    <t>小儿阴囊坏死扩创术</t>
  </si>
  <si>
    <t>003312020020000-33120200201</t>
  </si>
  <si>
    <t>小儿阴囊脓肿引流术</t>
  </si>
  <si>
    <t>013111000050000</t>
  </si>
  <si>
    <t>阴茎海绵体药物注射费</t>
  </si>
  <si>
    <t>向患者阴茎海绵体内注入药物。</t>
  </si>
  <si>
    <t>所定价格涵盖消毒、穿刺、注药、止血、包扎等步骤所需的人力资源和基本物质资源消耗。</t>
  </si>
  <si>
    <t>003111000090000-311100009</t>
  </si>
  <si>
    <t>阴茎海绵体内药物注射</t>
  </si>
  <si>
    <t>013111000060000</t>
  </si>
  <si>
    <t>阴茎海绵体灌流治疗费</t>
  </si>
  <si>
    <t>通过抽吸、冲洗等方式治疗阴茎异常勃起。</t>
  </si>
  <si>
    <t>所定价格涵盖消毒、设备准备、灌流、观察等步骤所需的人力资源和基本物质资源消耗。</t>
  </si>
  <si>
    <t>003111000120000-311100012</t>
  </si>
  <si>
    <t>阴茎海绵体灌流治疗术</t>
  </si>
  <si>
    <t>013312000200000</t>
  </si>
  <si>
    <t>阴茎部分切除费</t>
  </si>
  <si>
    <t>通过手术切除部分阴茎、肿物、囊肿、硬性结节。</t>
  </si>
  <si>
    <t>所定价格涵盖手术计划、术区准备、消毒、切开、分离、切除、缝合及必要时尿道口整形、处理用物等步骤所需的人力资源和基本物质资源消耗。</t>
  </si>
  <si>
    <t>003312040070000-331204007</t>
  </si>
  <si>
    <t>阴茎部分切除术</t>
  </si>
  <si>
    <t>包括阴茎癌切除术</t>
  </si>
  <si>
    <t>003312040060000-331204006</t>
  </si>
  <si>
    <t>阴茎囊肿切除术</t>
  </si>
  <si>
    <t>包括阴茎硬节切除术</t>
  </si>
  <si>
    <t>013312000200001</t>
  </si>
  <si>
    <t>阴茎部分切除费-儿童（加收）</t>
  </si>
  <si>
    <t>003312040070000-33120400701</t>
  </si>
  <si>
    <t>小儿阴茎部分切除术</t>
  </si>
  <si>
    <t>003312040060000-33120400601</t>
  </si>
  <si>
    <t>小儿阴茎囊肿切除术</t>
  </si>
  <si>
    <t>013312000210000</t>
  </si>
  <si>
    <t>阴茎全切费</t>
  </si>
  <si>
    <t>通过手术切除全部阴茎，改道尿道。</t>
  </si>
  <si>
    <t>所定价格涵盖手术计划、术区准备、消毒、切开、海绵体切断、尿道游离、重建尿道外口、缝合、处理用物等步骤所需的人力资源和基本物质资源消耗。</t>
  </si>
  <si>
    <t>省局根据区域间比价关系提高项目价格（我省价格偏低），我市按照比价关系对应提高</t>
  </si>
  <si>
    <t>003312040080000-331204008</t>
  </si>
  <si>
    <t>阴茎全切术</t>
  </si>
  <si>
    <t>013312000210001</t>
  </si>
  <si>
    <t>阴茎全切费-阴茎阴囊全切（加收）</t>
  </si>
  <si>
    <t>无开展量，按项目间比价关系拟定</t>
  </si>
  <si>
    <t>003312040090000-331204009</t>
  </si>
  <si>
    <t>阴茎阴囊全切术</t>
  </si>
  <si>
    <t>尿路改道市级医院加收290元，县级医院加收260元，基层加收220元</t>
  </si>
  <si>
    <t>003312040090000-33120400901</t>
  </si>
  <si>
    <t>阴茎阴囊全切术（尿路改道）</t>
  </si>
  <si>
    <t>尿路改道</t>
  </si>
  <si>
    <t>003312040090000-33120400902</t>
  </si>
  <si>
    <t>小儿阴茎阴囊全切术</t>
  </si>
  <si>
    <t>003312040090000-33120400903</t>
  </si>
  <si>
    <t>小儿阴茎阴囊全切术（尿路改道）</t>
  </si>
  <si>
    <t>013312000210011</t>
  </si>
  <si>
    <t>阴茎全切费-儿童（加收）</t>
  </si>
  <si>
    <t>003312040080000-33120400801</t>
  </si>
  <si>
    <t>小儿阴茎全切术</t>
  </si>
  <si>
    <t>013312000220000</t>
  </si>
  <si>
    <t>阴茎假体置入费</t>
  </si>
  <si>
    <t>通过手术置入阴茎假体。</t>
  </si>
  <si>
    <t>所定价格涵盖手术计划、术区准备、消毒、切开、置入假体、关闭、缝合、处理用物等步骤所需的人力资源和基本物质资源消耗。</t>
  </si>
  <si>
    <t>不与“阴茎假体更换费”同时收取。</t>
  </si>
  <si>
    <t>003312040120000-331204012</t>
  </si>
  <si>
    <t>阴茎假体置放术</t>
  </si>
  <si>
    <t>013312000220001</t>
  </si>
  <si>
    <t>阴茎假体置入费-儿童（加收）</t>
  </si>
  <si>
    <t>003312040120000-33120401201</t>
  </si>
  <si>
    <t>小儿阴茎假体置放术</t>
  </si>
  <si>
    <t>013312000230000</t>
  </si>
  <si>
    <t>阴茎假体取出费</t>
  </si>
  <si>
    <t>通过手术取出阴茎假体。</t>
  </si>
  <si>
    <t>所定价格涵盖手术计划、术区准备、消毒、切开、取出假体、关闭、缝合、处理用物等步骤所需的人力资源和基本物质资源消耗。</t>
  </si>
  <si>
    <t>新增项目，按照项目间比价关系，为置入费的1.4倍</t>
  </si>
  <si>
    <t>013312000230001</t>
  </si>
  <si>
    <t>阴茎假体取出费-儿童（加收）</t>
  </si>
  <si>
    <t>013312000240000</t>
  </si>
  <si>
    <t>阴茎假体更换费</t>
  </si>
  <si>
    <t>通过手术更换阴茎假体。</t>
  </si>
  <si>
    <t>所定价格涵盖手术计划、术区准备、消毒、切开、取出假体、再次置入、关闭、缝合、处理用物等步骤所需的人力资源和基本物质资源消耗。</t>
  </si>
  <si>
    <t>不与“阴茎假体置入费”“阴茎假体取出费”同时收取。</t>
  </si>
  <si>
    <t>新增项目，该项目价格构成为阴茎假体取出费叠加阴茎假体置入术，按同一切口两个手术，第二个手术按50%收取，则价格为2375</t>
  </si>
  <si>
    <t>013312000240001</t>
  </si>
  <si>
    <t>阴茎假体更换费-儿童（加收）</t>
  </si>
  <si>
    <t>013312000250000</t>
  </si>
  <si>
    <t>阴茎再植费</t>
  </si>
  <si>
    <t>通过手术实现异体同种或自体阴茎再植。</t>
  </si>
  <si>
    <t>所定价格涵盖手术计划、术区准备、消毒、切开、术前或术中整复、阴茎再植、关闭、缝合、处理用物等步骤所需的人力资源和基本物质资源消耗。</t>
  </si>
  <si>
    <t>003312040050000-331204005</t>
  </si>
  <si>
    <t>阴茎再植术</t>
  </si>
  <si>
    <t>003312040110000-331204011</t>
  </si>
  <si>
    <t>阴茎再造术</t>
  </si>
  <si>
    <t>含龟头再造和假体置放</t>
  </si>
  <si>
    <t>013312000250100</t>
  </si>
  <si>
    <t>阴茎再植费-异种器官（扩展）</t>
  </si>
  <si>
    <t>013312000250001</t>
  </si>
  <si>
    <t>阴茎再植费-儿童（加收）</t>
  </si>
  <si>
    <t>003312040050000-33120400501</t>
  </si>
  <si>
    <t>小儿阴茎再植术</t>
  </si>
  <si>
    <t>003312040110000-33120401101</t>
  </si>
  <si>
    <t>小儿阴茎再造术</t>
  </si>
  <si>
    <t>013312000260000</t>
  </si>
  <si>
    <t>阴茎畸型整形费</t>
  </si>
  <si>
    <t>通过手术校正畸形阴茎。</t>
  </si>
  <si>
    <t>所定价格涵盖手术计划、术区准备、消毒、切开、阴茎校正、纤维瘢痕组织切除、阴茎悬韧带切断、吻合、关闭、缝合、处理用物等步骤所需的人力资源和基本物质资源消耗。</t>
  </si>
  <si>
    <t>加权平均后市级稍提高理顺比价</t>
  </si>
  <si>
    <t>003312040140000-331204014</t>
  </si>
  <si>
    <t>阴茎延长术</t>
  </si>
  <si>
    <t>包括阴茎加粗、隐匿型延长术</t>
  </si>
  <si>
    <t>003312040130000-331204013</t>
  </si>
  <si>
    <t>阴茎畸型整形术</t>
  </si>
  <si>
    <t>包括阴茎弯曲矫正</t>
  </si>
  <si>
    <t>003312040150000-331204015</t>
  </si>
  <si>
    <t>阴茎阴囊移位整形术</t>
  </si>
  <si>
    <t>增加会阴型尿道下裂修补时市级医院加收650元，县级医院加收585元，基层加收500元</t>
  </si>
  <si>
    <t>003312040150001-33120401501</t>
  </si>
  <si>
    <t>阴茎阴囊移位整形术（增加会阴型尿道下裂修补）</t>
  </si>
  <si>
    <t>增加会阴型尿道下裂修补</t>
  </si>
  <si>
    <t>003312040100000-331204010</t>
  </si>
  <si>
    <t>阴茎重建成形术</t>
  </si>
  <si>
    <t>含假体置放术</t>
  </si>
  <si>
    <t>003312040170000-331204017</t>
  </si>
  <si>
    <t>阴茎血管重建术</t>
  </si>
  <si>
    <t>003312040190000-331204019</t>
  </si>
  <si>
    <t>阴茎静脉结扎术</t>
  </si>
  <si>
    <t>包括海绵体静脉、背深静脉</t>
  </si>
  <si>
    <t>013312000260001</t>
  </si>
  <si>
    <t>阴茎畸型整形费-儿童（加收）</t>
  </si>
  <si>
    <t>003312040140000-33120401401</t>
  </si>
  <si>
    <t>小儿阴茎延长术</t>
  </si>
  <si>
    <t>003312040130000-33120401301</t>
  </si>
  <si>
    <t>小儿阴茎畸型整形术</t>
  </si>
  <si>
    <t>003312040150000-33120401502</t>
  </si>
  <si>
    <t>小儿阴茎阴囊移位整形术</t>
  </si>
  <si>
    <t>003312040150001-33120401503</t>
  </si>
  <si>
    <t>小儿阴茎阴囊移位整形术（增加会阴型尿道下裂修补）</t>
  </si>
  <si>
    <t>003312040100000-33120401001</t>
  </si>
  <si>
    <t>小儿阴茎重建成形术</t>
  </si>
  <si>
    <t>003312040170000-33120401701</t>
  </si>
  <si>
    <t>小儿阴茎血管重建术</t>
  </si>
  <si>
    <t>003312040190000-33120401901</t>
  </si>
  <si>
    <t>小儿阴茎静脉结扎术</t>
  </si>
  <si>
    <t>013312000270000</t>
  </si>
  <si>
    <t>尿道阴茎海绵体分流费</t>
  </si>
  <si>
    <t>通过手术分离尿道与阴茎海绵体结构。</t>
  </si>
  <si>
    <t>所定价格涵盖手术计划、术区准备、消毒、切开、分离、建立通道、关闭、缝合、处理用物等步骤所需的人力资源和基本物质资源消耗。</t>
  </si>
  <si>
    <t>003312040180000-331204018</t>
  </si>
  <si>
    <t>阴茎海绵体分离术</t>
  </si>
  <si>
    <t>003312040160000-331204016</t>
  </si>
  <si>
    <t>尿道阴茎海绵体分流术</t>
  </si>
  <si>
    <t>013312000270001</t>
  </si>
  <si>
    <t>尿道阴茎海绵体分流费-儿童（加收）</t>
  </si>
  <si>
    <t>003312040180000-33120401801</t>
  </si>
  <si>
    <t>小儿阴茎海绵体分离术</t>
  </si>
  <si>
    <t>003312040160000-33120401601</t>
  </si>
  <si>
    <t>小儿尿道阴茎海绵体分流术</t>
  </si>
  <si>
    <t>013312000280000</t>
  </si>
  <si>
    <t>阴茎损伤修补费</t>
  </si>
  <si>
    <t>通过各种方式缝合修补阴茎白膜及海绵体。</t>
  </si>
  <si>
    <t>所定价格涵盖手术计划、术区准备、消毒、切开、修补、关闭、缝合、处理用物等步骤所需的人力资源和基本物质资源消耗。</t>
  </si>
  <si>
    <r>
      <rPr>
        <sz val="10"/>
        <rFont val="仿宋"/>
        <charset val="134"/>
      </rPr>
      <t>新增项目，按照比价关系拟定，</t>
    </r>
    <r>
      <rPr>
        <sz val="10"/>
        <color rgb="FFFF0000"/>
        <rFont val="仿宋"/>
        <charset val="134"/>
      </rPr>
      <t>映射项目纳入价格构成</t>
    </r>
  </si>
  <si>
    <t>003312040040000-331204004</t>
  </si>
  <si>
    <t>阴茎外伤清创术</t>
  </si>
  <si>
    <t>013312000280001</t>
  </si>
  <si>
    <t>阴茎损伤修补费-儿童（加收）</t>
  </si>
  <si>
    <t>003312040040000-33120400401</t>
  </si>
  <si>
    <t>小儿阴茎外伤清创术</t>
  </si>
  <si>
    <t>013111000070000</t>
  </si>
  <si>
    <t>包皮手法复位费</t>
  </si>
  <si>
    <t>通过手法复位改善包皮异常状态。</t>
  </si>
  <si>
    <t>所定价格涵盖消毒、扩张、包皮复位、处理用物等步骤所需的人力资源和基本物质资源消耗。</t>
  </si>
  <si>
    <t>限未成年人。</t>
  </si>
  <si>
    <t>平移，同质化高的项目持平省级，基层取整</t>
  </si>
  <si>
    <t>003111000010000-311100001</t>
  </si>
  <si>
    <t>小儿包茎气囊导管扩张术</t>
  </si>
  <si>
    <t>003111000020000-311100002</t>
  </si>
  <si>
    <t>嵌顿包茎手法复位术</t>
  </si>
  <si>
    <t>013312000290000</t>
  </si>
  <si>
    <t>包皮整复费</t>
  </si>
  <si>
    <t>通过手术改善包皮异常状态。</t>
  </si>
  <si>
    <t>所定价格涵盖手术计划、术区准备、消毒、包皮分离、处理用物等步骤所需的人力资源和基本物质资源消耗。</t>
  </si>
  <si>
    <t>003312040010000-331204001</t>
  </si>
  <si>
    <t>嵌顿包茎松解术</t>
  </si>
  <si>
    <t>包括包皮扩张分离术</t>
  </si>
  <si>
    <t>003312040010100-33120400101</t>
  </si>
  <si>
    <t>嵌顿包茎松解术-包皮扩张分离术</t>
  </si>
  <si>
    <t>包皮扩张分离术</t>
  </si>
  <si>
    <t>013312000290001</t>
  </si>
  <si>
    <t>包皮整复费-儿童（加收）</t>
  </si>
  <si>
    <t>003312040010000-33120400102</t>
  </si>
  <si>
    <t>小儿嵌顿包茎松解术</t>
  </si>
  <si>
    <t>003312040010100-33120400103</t>
  </si>
  <si>
    <t>小儿嵌顿包茎松解术-包皮扩张分离术</t>
  </si>
  <si>
    <t>013312000300000</t>
  </si>
  <si>
    <t>包皮切除费</t>
  </si>
  <si>
    <t>通过手术切除分离包皮组织。</t>
  </si>
  <si>
    <t>所定价格涵盖手术计划、术区准备、消毒、切除、松解或结扎、缝合、处理用物等步骤所需的人力资源和基本物质资源消耗。</t>
  </si>
  <si>
    <t>加权平移后取整，县级按不高于省级拟定，基层对应调整</t>
  </si>
  <si>
    <t>003312040020000-331204002</t>
  </si>
  <si>
    <t>包皮环切术</t>
  </si>
  <si>
    <t>003312040030000-331204003</t>
  </si>
  <si>
    <t>阴茎包皮过短整形术</t>
  </si>
  <si>
    <t>013312000300001</t>
  </si>
  <si>
    <t>包皮切除费-儿童（加收）</t>
  </si>
  <si>
    <t>003312040020000-33120400201</t>
  </si>
  <si>
    <t>小儿包皮环切术</t>
  </si>
  <si>
    <t>003312040030000-33120400301</t>
  </si>
  <si>
    <t>小儿阴茎包皮过短整形术</t>
  </si>
  <si>
    <t>013311000430000</t>
  </si>
  <si>
    <t>腹膜后肿物切除费</t>
  </si>
  <si>
    <t>通过手术切除腹膜后肿物。</t>
  </si>
  <si>
    <t>加权平均后提高理顺比价，我市原项目价格偏低，仅为省级82%</t>
  </si>
  <si>
    <t>003310080150000-331008015</t>
  </si>
  <si>
    <t>腹膜后肿瘤切除术</t>
  </si>
  <si>
    <t>不含其它脏器切除术、血管切除吻合术</t>
  </si>
  <si>
    <t>003310080150000-33100801502</t>
  </si>
  <si>
    <t>经腹腔镜腹膜后肿瘤切除术</t>
  </si>
  <si>
    <t>013311000430001</t>
  </si>
  <si>
    <t>腹膜后肿物切除费-副神经节瘤（加收）</t>
  </si>
  <si>
    <t>013311000430011</t>
  </si>
  <si>
    <t>腹膜后肿物切除费-儿童（加收）</t>
  </si>
  <si>
    <t>003310080150000-33100801501</t>
  </si>
  <si>
    <t>小儿腹膜后肿瘤切除术</t>
  </si>
  <si>
    <t>003310080150000-33100801503</t>
  </si>
  <si>
    <t>小儿经腹腔镜腹膜后肿瘤切除术</t>
  </si>
  <si>
    <t>通过吸附原理‌直接结合血液中的中大分子及蛋白结合毒素。</t>
  </si>
  <si>
    <t>原项目需扣除淋巴结清扫费用的0.5后测算，测算平移后提高理顺比价，我市原项目价格偏低。</t>
  </si>
  <si>
    <t>新增项目，按照比价关系拟定，映射项目纳入价格构成</t>
  </si>
  <si>
    <t>id</t>
  </si>
  <si>
    <t>code</t>
  </si>
  <si>
    <t>sever_type</t>
  </si>
  <si>
    <t>change_time</t>
  </si>
  <si>
    <t>old_hilist_code</t>
  </si>
  <si>
    <t>new_hilist_code</t>
  </si>
  <si>
    <t>hilist_name</t>
  </si>
  <si>
    <t>selfpay_prop</t>
  </si>
  <si>
    <t>old_price</t>
  </si>
  <si>
    <t>old_price_city</t>
  </si>
  <si>
    <t>old_price_town</t>
  </si>
  <si>
    <t>old_price_village</t>
  </si>
  <si>
    <t>new_price</t>
  </si>
  <si>
    <t>new_price_city</t>
  </si>
  <si>
    <t>new_price_town</t>
  </si>
  <si>
    <t>new_price_village</t>
  </si>
  <si>
    <t>unit</t>
  </si>
  <si>
    <t>batch</t>
  </si>
  <si>
    <t>is_use_old</t>
  </si>
  <si>
    <t>merge_type</t>
  </si>
  <si>
    <t>cnt_change_model</t>
  </si>
  <si>
    <t>cnt_change_value</t>
  </si>
  <si>
    <t>null</t>
  </si>
  <si>
    <t>2026-04-28 00:00:00</t>
  </si>
  <si>
    <t>normal</t>
  </si>
  <si>
    <t>main</t>
  </si>
  <si>
    <t>003110000010000-311000001</t>
  </si>
  <si>
    <t>003110000010100-31100000101</t>
  </si>
  <si>
    <t>list_type</t>
  </si>
  <si>
    <t>list_type_name</t>
  </si>
  <si>
    <t>is_main</t>
  </si>
  <si>
    <t>数量3</t>
  </si>
  <si>
    <t>数量2</t>
  </si>
  <si>
    <t>数量1</t>
  </si>
  <si>
    <t>预计差额3</t>
  </si>
  <si>
    <t>预计差额2</t>
  </si>
  <si>
    <t>预计差额1</t>
  </si>
  <si>
    <t>实际差额3</t>
  </si>
  <si>
    <t>实际差额2</t>
  </si>
  <si>
    <t>实际差额1</t>
  </si>
  <si>
    <r>
      <t>泌尿系镜检查费（输尿管镜）</t>
    </r>
    <r>
      <rPr>
        <sz val="11"/>
        <color theme="1"/>
        <rFont val="Arial Unicode MS"/>
        <charset val="134"/>
      </rPr>
      <t>-</t>
    </r>
    <r>
      <rPr>
        <sz val="11"/>
        <color theme="1"/>
        <rFont val="方正书宋_GBK"/>
        <charset val="134"/>
      </rPr>
      <t>精囊镜检查（扩展）</t>
    </r>
  </si>
  <si>
    <r>
      <t>泌尿系取石费</t>
    </r>
    <r>
      <rPr>
        <sz val="11"/>
        <color theme="1"/>
        <rFont val="Arial Unicode MS"/>
        <charset val="134"/>
      </rPr>
      <t>-</t>
    </r>
    <r>
      <rPr>
        <sz val="11"/>
        <color theme="1"/>
        <rFont val="方正书宋_GBK"/>
        <charset val="134"/>
      </rPr>
      <t>上尿路（加收）</t>
    </r>
  </si>
  <si>
    <r>
      <t>泌尿系造瘘费</t>
    </r>
    <r>
      <rPr>
        <sz val="11"/>
        <color theme="1"/>
        <rFont val="Arial Unicode MS"/>
        <charset val="134"/>
      </rPr>
      <t>-</t>
    </r>
    <r>
      <rPr>
        <sz val="11"/>
        <color theme="1"/>
        <rFont val="方正书宋_GBK"/>
        <charset val="134"/>
      </rPr>
      <t>上尿路（加收）</t>
    </r>
  </si>
  <si>
    <r>
      <t>泌尿系造瘘费</t>
    </r>
    <r>
      <rPr>
        <sz val="11"/>
        <color theme="1"/>
        <rFont val="Arial Unicode MS"/>
        <charset val="134"/>
      </rPr>
      <t>-</t>
    </r>
    <r>
      <rPr>
        <sz val="11"/>
        <color theme="1"/>
        <rFont val="方正书宋_GBK"/>
        <charset val="134"/>
      </rPr>
      <t>儿童（加收）</t>
    </r>
  </si>
  <si>
    <r>
      <t>泌尿道瘘修补费</t>
    </r>
    <r>
      <rPr>
        <sz val="11"/>
        <color theme="1"/>
        <rFont val="Arial Unicode MS"/>
        <charset val="134"/>
      </rPr>
      <t>-</t>
    </r>
    <r>
      <rPr>
        <sz val="11"/>
        <color theme="1"/>
        <rFont val="方正书宋_GBK"/>
        <charset val="134"/>
      </rPr>
      <t>儿童（加收）</t>
    </r>
  </si>
  <si>
    <r>
      <t>肾穿刺费</t>
    </r>
    <r>
      <rPr>
        <sz val="11"/>
        <color theme="1"/>
        <rFont val="Arial Unicode MS"/>
        <charset val="134"/>
      </rPr>
      <t>-</t>
    </r>
    <r>
      <rPr>
        <sz val="11"/>
        <color theme="1"/>
        <rFont val="方正书宋_GBK"/>
        <charset val="134"/>
      </rPr>
      <t>肾周脓肿引流（加收）</t>
    </r>
  </si>
  <si>
    <r>
      <t>肾上腺部分切除费</t>
    </r>
    <r>
      <rPr>
        <sz val="11"/>
        <color theme="1"/>
        <rFont val="Arial Unicode MS"/>
        <charset val="134"/>
      </rPr>
      <t>-</t>
    </r>
    <r>
      <rPr>
        <sz val="11"/>
        <color theme="1"/>
        <rFont val="方正书宋_GBK"/>
        <charset val="134"/>
      </rPr>
      <t>肾上腺嗜铬细胞瘤切除（加收）</t>
    </r>
  </si>
  <si>
    <r>
      <t>输尿管部分切除费</t>
    </r>
    <r>
      <rPr>
        <sz val="11"/>
        <color theme="1"/>
        <rFont val="Arial Unicode MS"/>
        <charset val="134"/>
      </rPr>
      <t>-</t>
    </r>
    <r>
      <rPr>
        <sz val="11"/>
        <color theme="1"/>
        <rFont val="方正书宋_GBK"/>
        <charset val="134"/>
      </rPr>
      <t>儿童（加收）</t>
    </r>
  </si>
  <si>
    <r>
      <t>膀胱颈</t>
    </r>
    <r>
      <rPr>
        <sz val="11"/>
        <color theme="1"/>
        <rFont val="Arial Unicode MS"/>
        <charset val="134"/>
      </rPr>
      <t>/</t>
    </r>
    <r>
      <rPr>
        <sz val="11"/>
        <color theme="1"/>
        <rFont val="方正书宋_GBK"/>
        <charset val="134"/>
      </rPr>
      <t>尿道悬吊费</t>
    </r>
  </si>
  <si>
    <r>
      <t>膀胱部分切除费</t>
    </r>
    <r>
      <rPr>
        <sz val="11"/>
        <color theme="1"/>
        <rFont val="Arial Unicode MS"/>
        <charset val="134"/>
      </rPr>
      <t>-</t>
    </r>
    <r>
      <rPr>
        <sz val="11"/>
        <color theme="1"/>
        <rFont val="方正书宋_GBK"/>
        <charset val="134"/>
      </rPr>
      <t>脐尿管肿瘤切除（加收）</t>
    </r>
  </si>
  <si>
    <r>
      <t>尿道部分切除费</t>
    </r>
    <r>
      <rPr>
        <sz val="11"/>
        <color theme="1"/>
        <rFont val="Arial Unicode MS"/>
        <charset val="134"/>
      </rPr>
      <t>-</t>
    </r>
    <r>
      <rPr>
        <sz val="11"/>
        <color theme="1"/>
        <rFont val="方正书宋_GBK"/>
        <charset val="134"/>
      </rPr>
      <t>儿童（加收）</t>
    </r>
  </si>
  <si>
    <r>
      <t>尿道裂成形费（常规）</t>
    </r>
    <r>
      <rPr>
        <sz val="11"/>
        <color theme="1"/>
        <rFont val="Arial Unicode MS"/>
        <charset val="134"/>
      </rPr>
      <t>-</t>
    </r>
    <r>
      <rPr>
        <sz val="11"/>
        <color theme="1"/>
        <rFont val="方正书宋_GBK"/>
        <charset val="134"/>
      </rPr>
      <t>儿童（加收）</t>
    </r>
  </si>
  <si>
    <r>
      <t>尿流改道费</t>
    </r>
    <r>
      <rPr>
        <sz val="11"/>
        <color theme="1"/>
        <rFont val="Arial Unicode MS"/>
        <charset val="134"/>
      </rPr>
      <t>-</t>
    </r>
    <r>
      <rPr>
        <sz val="11"/>
        <color theme="1"/>
        <rFont val="方正书宋_GBK"/>
        <charset val="134"/>
      </rPr>
      <t>输尿管造口（减收）</t>
    </r>
  </si>
  <si>
    <r>
      <t>尿路成形费（常规）</t>
    </r>
    <r>
      <rPr>
        <sz val="11"/>
        <color theme="1"/>
        <rFont val="Arial Unicode MS"/>
        <charset val="134"/>
      </rPr>
      <t>-</t>
    </r>
    <r>
      <rPr>
        <sz val="11"/>
        <color theme="1"/>
        <rFont val="方正书宋_GBK"/>
        <charset val="134"/>
      </rPr>
      <t>儿童（加收）</t>
    </r>
  </si>
  <si>
    <r>
      <t>隐睾复位费</t>
    </r>
    <r>
      <rPr>
        <sz val="11"/>
        <color theme="1"/>
        <rFont val="Arial Unicode MS"/>
        <charset val="134"/>
      </rPr>
      <t>-</t>
    </r>
    <r>
      <rPr>
        <sz val="11"/>
        <color theme="1"/>
        <rFont val="方正书宋_GBK"/>
        <charset val="134"/>
      </rPr>
      <t>高位复位（加收）</t>
    </r>
  </si>
  <si>
    <r>
      <t>睾丸切除费</t>
    </r>
    <r>
      <rPr>
        <sz val="11"/>
        <color theme="1"/>
        <rFont val="Arial Unicode MS"/>
        <charset val="134"/>
      </rPr>
      <t>-</t>
    </r>
    <r>
      <rPr>
        <sz val="11"/>
        <color theme="1"/>
        <rFont val="方正书宋_GBK"/>
        <charset val="134"/>
      </rPr>
      <t>附睾切除（扩展）</t>
    </r>
  </si>
  <si>
    <r>
      <t>睾丸切除费</t>
    </r>
    <r>
      <rPr>
        <sz val="11"/>
        <color theme="1"/>
        <rFont val="Arial Unicode MS"/>
        <charset val="134"/>
      </rPr>
      <t>-</t>
    </r>
    <r>
      <rPr>
        <sz val="11"/>
        <color theme="1"/>
        <rFont val="方正书宋_GBK"/>
        <charset val="134"/>
      </rPr>
      <t>儿童（加收）</t>
    </r>
  </si>
  <si>
    <r>
      <t>睾丸鞘膜翻转费</t>
    </r>
    <r>
      <rPr>
        <sz val="11"/>
        <color theme="1"/>
        <rFont val="Arial Unicode MS"/>
        <charset val="134"/>
      </rPr>
      <t>-</t>
    </r>
    <r>
      <rPr>
        <sz val="11"/>
        <color theme="1"/>
        <rFont val="方正书宋_GBK"/>
        <charset val="134"/>
      </rPr>
      <t>儿童（加收）</t>
    </r>
  </si>
  <si>
    <r>
      <t>睾丸扭转复位费</t>
    </r>
    <r>
      <rPr>
        <sz val="11"/>
        <color theme="1"/>
        <rFont val="Arial Unicode MS"/>
        <charset val="134"/>
      </rPr>
      <t>-</t>
    </r>
    <r>
      <rPr>
        <sz val="11"/>
        <color theme="1"/>
        <rFont val="方正书宋_GBK"/>
        <charset val="134"/>
      </rPr>
      <t>儿童（加收）</t>
    </r>
  </si>
  <si>
    <r>
      <t>精索静脉曲张结扎费</t>
    </r>
    <r>
      <rPr>
        <sz val="11"/>
        <color theme="1"/>
        <rFont val="Arial Unicode MS"/>
        <charset val="134"/>
      </rPr>
      <t>-</t>
    </r>
    <r>
      <rPr>
        <sz val="11"/>
        <color theme="1"/>
        <rFont val="方正书宋_GBK"/>
        <charset val="134"/>
      </rPr>
      <t>精索静脉瘤切除（扩展）</t>
    </r>
  </si>
  <si>
    <r>
      <t>阴囊肿物切除费</t>
    </r>
    <r>
      <rPr>
        <sz val="11"/>
        <color theme="1"/>
        <rFont val="Arial Unicode MS"/>
        <charset val="134"/>
      </rPr>
      <t>-</t>
    </r>
    <r>
      <rPr>
        <sz val="11"/>
        <color theme="1"/>
        <rFont val="方正书宋_GBK"/>
        <charset val="134"/>
      </rPr>
      <t>儿童（加收）</t>
    </r>
  </si>
  <si>
    <r>
      <t>阴茎畸型整形费</t>
    </r>
    <r>
      <rPr>
        <sz val="11"/>
        <color theme="1"/>
        <rFont val="Arial Unicode MS"/>
        <charset val="134"/>
      </rPr>
      <t>-</t>
    </r>
    <r>
      <rPr>
        <sz val="11"/>
        <color theme="1"/>
        <rFont val="方正书宋_GBK"/>
        <charset val="134"/>
      </rPr>
      <t>儿童（加收）</t>
    </r>
  </si>
  <si>
    <r>
      <t>包皮整复费</t>
    </r>
    <r>
      <rPr>
        <sz val="11"/>
        <color theme="1"/>
        <rFont val="Arial Unicode MS"/>
        <charset val="134"/>
      </rPr>
      <t>-</t>
    </r>
    <r>
      <rPr>
        <sz val="11"/>
        <color theme="1"/>
        <rFont val="方正书宋_GBK"/>
        <charset val="134"/>
      </rPr>
      <t>儿童（加收）</t>
    </r>
  </si>
  <si>
    <r>
      <t>包皮切除费</t>
    </r>
    <r>
      <rPr>
        <sz val="11"/>
        <color theme="1"/>
        <rFont val="Arial Unicode MS"/>
        <charset val="134"/>
      </rPr>
      <t>-</t>
    </r>
    <r>
      <rPr>
        <sz val="11"/>
        <color theme="1"/>
        <rFont val="方正书宋_GBK"/>
        <charset val="134"/>
      </rPr>
      <t>儿童（加收）</t>
    </r>
  </si>
  <si>
    <r>
      <t>腹膜后肿物切除费</t>
    </r>
    <r>
      <rPr>
        <sz val="11"/>
        <color theme="1"/>
        <rFont val="Arial Unicode MS"/>
        <charset val="134"/>
      </rPr>
      <t>-</t>
    </r>
    <r>
      <rPr>
        <sz val="11"/>
        <color theme="1"/>
        <rFont val="方正书宋_GBK"/>
        <charset val="134"/>
      </rPr>
      <t>儿童（加收）</t>
    </r>
  </si>
</sst>
</file>

<file path=xl/styles.xml><?xml version="1.0" encoding="utf-8"?>
<styleSheet xmlns="http://schemas.openxmlformats.org/spreadsheetml/2006/main">
  <numFmts count="8">
    <numFmt numFmtId="176" formatCode="0.0_ "/>
    <numFmt numFmtId="177" formatCode="0.00_);[Red]\(0.00\)"/>
    <numFmt numFmtId="178" formatCode="0_ "/>
    <numFmt numFmtId="179" formatCode="0.00_ "/>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47">
    <font>
      <sz val="11"/>
      <color theme="1"/>
      <name val="等线"/>
      <charset val="134"/>
      <scheme val="minor"/>
    </font>
    <font>
      <b/>
      <sz val="10"/>
      <color theme="1"/>
      <name val="Arial Unicode MS"/>
      <charset val="134"/>
    </font>
    <font>
      <sz val="6.75"/>
      <color theme="1"/>
      <name val="Arial Unicode MS"/>
      <charset val="134"/>
    </font>
    <font>
      <b/>
      <sz val="11"/>
      <color theme="1"/>
      <name val="Arial Unicode MS"/>
      <charset val="134"/>
    </font>
    <font>
      <sz val="11"/>
      <color theme="1"/>
      <name val="方正书宋_GBK"/>
      <charset val="134"/>
    </font>
    <font>
      <sz val="10"/>
      <color theme="1"/>
      <name val="方正书宋_GBK"/>
      <charset val="134"/>
    </font>
    <font>
      <sz val="6.75"/>
      <color theme="1"/>
      <name val="等线"/>
      <charset val="134"/>
      <scheme val="minor"/>
    </font>
    <font>
      <sz val="11"/>
      <color theme="1"/>
      <name val="Arial Unicode MS"/>
      <charset val="134"/>
    </font>
    <font>
      <sz val="11"/>
      <color rgb="FFFF0000"/>
      <name val="等线"/>
      <charset val="134"/>
      <scheme val="minor"/>
    </font>
    <font>
      <sz val="10"/>
      <color theme="1"/>
      <name val="Arial Unicode MS"/>
      <charset val="134"/>
    </font>
    <font>
      <sz val="11"/>
      <color theme="5"/>
      <name val="等线"/>
      <charset val="134"/>
      <scheme val="minor"/>
    </font>
    <font>
      <sz val="18"/>
      <name val="方正仿宋_GBK"/>
      <charset val="134"/>
    </font>
    <font>
      <sz val="16"/>
      <name val="楷体"/>
      <charset val="134"/>
    </font>
    <font>
      <b/>
      <sz val="10"/>
      <name val="方正黑体_GBK"/>
      <charset val="134"/>
    </font>
    <font>
      <sz val="10"/>
      <name val="方正仿宋_GBK"/>
      <charset val="134"/>
    </font>
    <font>
      <sz val="14"/>
      <name val="黑体"/>
      <charset val="134"/>
    </font>
    <font>
      <sz val="18"/>
      <name val="方正小标宋_GBK"/>
      <charset val="134"/>
    </font>
    <font>
      <b/>
      <sz val="10"/>
      <name val="仿宋"/>
      <charset val="134"/>
    </font>
    <font>
      <sz val="10"/>
      <name val="仿宋"/>
      <charset val="134"/>
    </font>
    <font>
      <sz val="14"/>
      <color theme="1"/>
      <name val="等线"/>
      <charset val="134"/>
      <scheme val="minor"/>
    </font>
    <font>
      <strike/>
      <sz val="10"/>
      <name val="仿宋"/>
      <charset val="134"/>
    </font>
    <font>
      <sz val="11"/>
      <color rgb="FFFA7D00"/>
      <name val="等线"/>
      <charset val="0"/>
      <scheme val="minor"/>
    </font>
    <font>
      <sz val="12"/>
      <color theme="1"/>
      <name val="等线"/>
      <charset val="134"/>
      <scheme val="minor"/>
    </font>
    <font>
      <sz val="11"/>
      <color theme="1"/>
      <name val="等线"/>
      <charset val="0"/>
      <scheme val="minor"/>
    </font>
    <font>
      <sz val="11"/>
      <color theme="0"/>
      <name val="等线"/>
      <charset val="0"/>
      <scheme val="minor"/>
    </font>
    <font>
      <b/>
      <sz val="13"/>
      <color theme="3"/>
      <name val="等线"/>
      <charset val="134"/>
      <scheme val="minor"/>
    </font>
    <font>
      <u/>
      <sz val="11"/>
      <color rgb="FF0000FF"/>
      <name val="等线"/>
      <charset val="0"/>
      <scheme val="minor"/>
    </font>
    <font>
      <sz val="12"/>
      <name val="宋体"/>
      <charset val="134"/>
    </font>
    <font>
      <sz val="10"/>
      <name val="Arial"/>
      <charset val="0"/>
    </font>
    <font>
      <b/>
      <sz val="11"/>
      <color theme="3"/>
      <name val="等线"/>
      <charset val="134"/>
      <scheme val="minor"/>
    </font>
    <font>
      <b/>
      <sz val="11"/>
      <color rgb="FF3F3F3F"/>
      <name val="等线"/>
      <charset val="0"/>
      <scheme val="minor"/>
    </font>
    <font>
      <sz val="11"/>
      <color rgb="FF3F3F76"/>
      <name val="等线"/>
      <charset val="0"/>
      <scheme val="minor"/>
    </font>
    <font>
      <sz val="11"/>
      <color rgb="FF9C0006"/>
      <name val="等线"/>
      <charset val="0"/>
      <scheme val="minor"/>
    </font>
    <font>
      <i/>
      <sz val="11"/>
      <color rgb="FF7F7F7F"/>
      <name val="等线"/>
      <charset val="0"/>
      <scheme val="minor"/>
    </font>
    <font>
      <b/>
      <sz val="18"/>
      <color theme="3"/>
      <name val="等线"/>
      <charset val="134"/>
      <scheme val="minor"/>
    </font>
    <font>
      <b/>
      <sz val="11"/>
      <color theme="1"/>
      <name val="等线"/>
      <charset val="0"/>
      <scheme val="minor"/>
    </font>
    <font>
      <b/>
      <sz val="11"/>
      <color rgb="FFFFFFFF"/>
      <name val="等线"/>
      <charset val="0"/>
      <scheme val="minor"/>
    </font>
    <font>
      <sz val="11"/>
      <color rgb="FF006100"/>
      <name val="等线"/>
      <charset val="0"/>
      <scheme val="minor"/>
    </font>
    <font>
      <u/>
      <sz val="11"/>
      <color rgb="FF800080"/>
      <name val="等线"/>
      <charset val="0"/>
      <scheme val="minor"/>
    </font>
    <font>
      <sz val="11"/>
      <color rgb="FFFF0000"/>
      <name val="等线"/>
      <charset val="0"/>
      <scheme val="minor"/>
    </font>
    <font>
      <b/>
      <sz val="15"/>
      <color theme="3"/>
      <name val="等线"/>
      <charset val="134"/>
      <scheme val="minor"/>
    </font>
    <font>
      <sz val="11"/>
      <color indexed="8"/>
      <name val="宋体"/>
      <charset val="134"/>
    </font>
    <font>
      <b/>
      <sz val="11"/>
      <color rgb="FFFA7D00"/>
      <name val="等线"/>
      <charset val="0"/>
      <scheme val="minor"/>
    </font>
    <font>
      <sz val="11"/>
      <color rgb="FF9C6500"/>
      <name val="等线"/>
      <charset val="0"/>
      <scheme val="minor"/>
    </font>
    <font>
      <sz val="11"/>
      <color rgb="FF000000"/>
      <name val="宋体"/>
      <charset val="134"/>
    </font>
    <font>
      <sz val="10"/>
      <name val="DejaVu Sans"/>
      <charset val="134"/>
    </font>
    <font>
      <sz val="10"/>
      <color rgb="FFFF0000"/>
      <name val="仿宋"/>
      <charset val="134"/>
    </font>
  </fonts>
  <fills count="41">
    <fill>
      <patternFill patternType="none"/>
    </fill>
    <fill>
      <patternFill patternType="gray125"/>
    </fill>
    <fill>
      <patternFill patternType="solid">
        <fgColor rgb="FFFFFF00"/>
        <bgColor indexed="64"/>
      </patternFill>
    </fill>
    <fill>
      <patternFill patternType="solid">
        <fgColor theme="5" tint="0.8"/>
        <bgColor indexed="64"/>
      </patternFill>
    </fill>
    <fill>
      <patternFill patternType="solid">
        <fgColor theme="0" tint="-0.05"/>
        <bgColor indexed="64"/>
      </patternFill>
    </fill>
    <fill>
      <patternFill patternType="solid">
        <fgColor theme="7" tint="0.8"/>
        <bgColor indexed="64"/>
      </patternFill>
    </fill>
    <fill>
      <patternFill patternType="solid">
        <fgColor theme="2" tint="-0.1"/>
        <bgColor indexed="64"/>
      </patternFill>
    </fill>
    <fill>
      <patternFill patternType="solid">
        <fgColor theme="4" tint="0.8"/>
        <bgColor indexed="64"/>
      </patternFill>
    </fill>
    <fill>
      <patternFill patternType="solid">
        <fgColor theme="8" tint="0.8"/>
        <bgColor indexed="64"/>
      </patternFill>
    </fill>
    <fill>
      <patternFill patternType="solid">
        <fgColor theme="7" tint="0.4"/>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rgb="FFFFC7CE"/>
        <bgColor indexed="64"/>
      </patternFill>
    </fill>
    <fill>
      <patternFill patternType="solid">
        <fgColor rgb="FFA5A5A5"/>
        <bgColor indexed="64"/>
      </patternFill>
    </fill>
    <fill>
      <patternFill patternType="solid">
        <fgColor theme="5" tint="0.399975585192419"/>
        <bgColor indexed="64"/>
      </patternFill>
    </fill>
    <fill>
      <patternFill patternType="solid">
        <fgColor rgb="FFC6EFCE"/>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theme="7"/>
        <bgColor indexed="64"/>
      </patternFill>
    </fill>
    <fill>
      <patternFill patternType="solid">
        <fgColor theme="9" tint="0.399975585192419"/>
        <bgColor indexed="64"/>
      </patternFill>
    </fill>
    <fill>
      <patternFill patternType="solid">
        <fgColor theme="6" tint="0.399975585192419"/>
        <bgColor indexed="64"/>
      </patternFill>
    </fill>
    <fill>
      <patternFill patternType="solid">
        <fgColor theme="5"/>
        <bgColor indexed="64"/>
      </patternFill>
    </fill>
    <fill>
      <patternFill patternType="solid">
        <fgColor theme="6"/>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rgb="FFFFEB9C"/>
        <bgColor indexed="64"/>
      </patternFill>
    </fill>
    <fill>
      <patternFill patternType="solid">
        <fgColor theme="7" tint="0.799981688894314"/>
        <bgColor indexed="64"/>
      </patternFill>
    </fill>
    <fill>
      <patternFill patternType="solid">
        <fgColor theme="7"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54">
    <xf numFmtId="0" fontId="0" fillId="0" borderId="0">
      <alignment vertical="center"/>
    </xf>
    <xf numFmtId="0" fontId="44" fillId="0" borderId="0" applyProtection="0">
      <alignment vertical="center"/>
    </xf>
    <xf numFmtId="0" fontId="41" fillId="0" borderId="0">
      <alignment vertical="center"/>
    </xf>
    <xf numFmtId="0" fontId="24" fillId="32" borderId="0" applyNumberFormat="0" applyBorder="0" applyAlignment="0" applyProtection="0">
      <alignment vertical="center"/>
    </xf>
    <xf numFmtId="0" fontId="23" fillId="39" borderId="0" applyNumberFormat="0" applyBorder="0" applyAlignment="0" applyProtection="0">
      <alignment vertical="center"/>
    </xf>
    <xf numFmtId="0" fontId="24" fillId="31" borderId="0" applyNumberFormat="0" applyBorder="0" applyAlignment="0" applyProtection="0">
      <alignment vertical="center"/>
    </xf>
    <xf numFmtId="0" fontId="31" fillId="19" borderId="5" applyNumberFormat="0" applyAlignment="0" applyProtection="0">
      <alignment vertical="center"/>
    </xf>
    <xf numFmtId="0" fontId="23" fillId="30" borderId="0" applyNumberFormat="0" applyBorder="0" applyAlignment="0" applyProtection="0">
      <alignment vertical="center"/>
    </xf>
    <xf numFmtId="0" fontId="23" fillId="17" borderId="0" applyNumberFormat="0" applyBorder="0" applyAlignment="0" applyProtection="0">
      <alignment vertical="center"/>
    </xf>
    <xf numFmtId="44" fontId="22" fillId="0" borderId="0" applyFont="0" applyFill="0" applyBorder="0" applyAlignment="0" applyProtection="0">
      <alignment vertical="center"/>
    </xf>
    <xf numFmtId="0" fontId="24" fillId="35" borderId="0" applyNumberFormat="0" applyBorder="0" applyAlignment="0" applyProtection="0">
      <alignment vertical="center"/>
    </xf>
    <xf numFmtId="9" fontId="22" fillId="0" borderId="0" applyFont="0" applyFill="0" applyBorder="0" applyAlignment="0" applyProtection="0">
      <alignment vertical="center"/>
    </xf>
    <xf numFmtId="0" fontId="24" fillId="22" borderId="0" applyNumberFormat="0" applyBorder="0" applyAlignment="0" applyProtection="0">
      <alignment vertical="center"/>
    </xf>
    <xf numFmtId="0" fontId="24" fillId="28" borderId="0" applyNumberFormat="0" applyBorder="0" applyAlignment="0" applyProtection="0">
      <alignment vertical="center"/>
    </xf>
    <xf numFmtId="0" fontId="24" fillId="34" borderId="0" applyNumberFormat="0" applyBorder="0" applyAlignment="0" applyProtection="0">
      <alignment vertical="center"/>
    </xf>
    <xf numFmtId="0" fontId="24" fillId="27" borderId="0" applyNumberFormat="0" applyBorder="0" applyAlignment="0" applyProtection="0">
      <alignment vertical="center"/>
    </xf>
    <xf numFmtId="0" fontId="24" fillId="40" borderId="0" applyNumberFormat="0" applyBorder="0" applyAlignment="0" applyProtection="0">
      <alignment vertical="center"/>
    </xf>
    <xf numFmtId="0" fontId="42" fillId="18" borderId="5" applyNumberFormat="0" applyAlignment="0" applyProtection="0">
      <alignment vertical="center"/>
    </xf>
    <xf numFmtId="0" fontId="24" fillId="26" borderId="0" applyNumberFormat="0" applyBorder="0" applyAlignment="0" applyProtection="0">
      <alignment vertical="center"/>
    </xf>
    <xf numFmtId="0" fontId="43" fillId="38" borderId="0" applyNumberFormat="0" applyBorder="0" applyAlignment="0" applyProtection="0">
      <alignment vertical="center"/>
    </xf>
    <xf numFmtId="0" fontId="23" fillId="25" borderId="0" applyNumberFormat="0" applyBorder="0" applyAlignment="0" applyProtection="0">
      <alignment vertical="center"/>
    </xf>
    <xf numFmtId="0" fontId="37" fillId="23" borderId="0" applyNumberFormat="0" applyBorder="0" applyAlignment="0" applyProtection="0">
      <alignment vertical="center"/>
    </xf>
    <xf numFmtId="0" fontId="23" fillId="24" borderId="0" applyNumberFormat="0" applyBorder="0" applyAlignment="0" applyProtection="0">
      <alignment vertical="center"/>
    </xf>
    <xf numFmtId="0" fontId="35" fillId="0" borderId="6" applyNumberFormat="0" applyFill="0" applyAlignment="0" applyProtection="0">
      <alignment vertical="center"/>
    </xf>
    <xf numFmtId="0" fontId="32" fillId="20" borderId="0" applyNumberFormat="0" applyBorder="0" applyAlignment="0" applyProtection="0">
      <alignment vertical="center"/>
    </xf>
    <xf numFmtId="0" fontId="36" fillId="21" borderId="7" applyNumberFormat="0" applyAlignment="0" applyProtection="0">
      <alignment vertical="center"/>
    </xf>
    <xf numFmtId="0" fontId="30" fillId="18" borderId="4" applyNumberFormat="0" applyAlignment="0" applyProtection="0">
      <alignment vertical="center"/>
    </xf>
    <xf numFmtId="0" fontId="40" fillId="0" borderId="3" applyNumberFormat="0" applyFill="0" applyAlignment="0" applyProtection="0">
      <alignment vertical="center"/>
    </xf>
    <xf numFmtId="0" fontId="33" fillId="0" borderId="0" applyNumberFormat="0" applyFill="0" applyBorder="0" applyAlignment="0" applyProtection="0">
      <alignment vertical="center"/>
    </xf>
    <xf numFmtId="0" fontId="23" fillId="16" borderId="0" applyNumberFormat="0" applyBorder="0" applyAlignment="0" applyProtection="0">
      <alignment vertical="center"/>
    </xf>
    <xf numFmtId="0" fontId="29" fillId="0" borderId="0" applyNumberFormat="0" applyFill="0" applyBorder="0" applyAlignment="0" applyProtection="0">
      <alignment vertical="center"/>
    </xf>
    <xf numFmtId="0" fontId="28" fillId="0" borderId="0"/>
    <xf numFmtId="42" fontId="22" fillId="0" borderId="0" applyFont="0" applyFill="0" applyBorder="0" applyAlignment="0" applyProtection="0">
      <alignment vertical="center"/>
    </xf>
    <xf numFmtId="0" fontId="23" fillId="15" borderId="0" applyNumberFormat="0" applyBorder="0" applyAlignment="0" applyProtection="0">
      <alignment vertical="center"/>
    </xf>
    <xf numFmtId="43" fontId="22" fillId="0" borderId="0" applyFont="0" applyFill="0" applyBorder="0" applyAlignment="0" applyProtection="0">
      <alignment vertical="center"/>
    </xf>
    <xf numFmtId="0" fontId="38"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3" fillId="37" borderId="0" applyNumberFormat="0" applyBorder="0" applyAlignment="0" applyProtection="0">
      <alignment vertical="center"/>
    </xf>
    <xf numFmtId="0" fontId="39" fillId="0" borderId="0" applyNumberFormat="0" applyFill="0" applyBorder="0" applyAlignment="0" applyProtection="0">
      <alignment vertical="center"/>
    </xf>
    <xf numFmtId="0" fontId="24" fillId="33" borderId="0" applyNumberFormat="0" applyBorder="0" applyAlignment="0" applyProtection="0">
      <alignment vertical="center"/>
    </xf>
    <xf numFmtId="0" fontId="22" fillId="29" borderId="8" applyNumberFormat="0" applyFont="0" applyAlignment="0" applyProtection="0">
      <alignment vertical="center"/>
    </xf>
    <xf numFmtId="0" fontId="23" fillId="36"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6" fillId="0" borderId="0" applyNumberFormat="0" applyFill="0" applyBorder="0" applyAlignment="0" applyProtection="0">
      <alignment vertical="center"/>
    </xf>
    <xf numFmtId="41" fontId="22" fillId="0" borderId="0" applyFont="0" applyFill="0" applyBorder="0" applyAlignment="0" applyProtection="0">
      <alignment vertical="center"/>
    </xf>
    <xf numFmtId="0" fontId="27" fillId="0" borderId="0">
      <alignment vertical="center"/>
    </xf>
    <xf numFmtId="0" fontId="25" fillId="0" borderId="3" applyNumberFormat="0" applyFill="0" applyAlignment="0" applyProtection="0">
      <alignment vertical="center"/>
    </xf>
    <xf numFmtId="0" fontId="23" fillId="12" borderId="0" applyNumberFormat="0" applyBorder="0" applyAlignment="0" applyProtection="0">
      <alignment vertical="center"/>
    </xf>
    <xf numFmtId="0" fontId="29" fillId="0" borderId="9" applyNumberFormat="0" applyFill="0" applyAlignment="0" applyProtection="0">
      <alignment vertical="center"/>
    </xf>
    <xf numFmtId="0" fontId="24" fillId="11" borderId="0" applyNumberFormat="0" applyBorder="0" applyAlignment="0" applyProtection="0">
      <alignment vertical="center"/>
    </xf>
    <xf numFmtId="0" fontId="23" fillId="10" borderId="0" applyNumberFormat="0" applyBorder="0" applyAlignment="0" applyProtection="0">
      <alignment vertical="center"/>
    </xf>
    <xf numFmtId="0" fontId="22" fillId="0" borderId="0">
      <alignment vertical="center"/>
    </xf>
    <xf numFmtId="0" fontId="21" fillId="0" borderId="2" applyNumberFormat="0" applyFill="0" applyAlignment="0" applyProtection="0">
      <alignment vertical="center"/>
    </xf>
  </cellStyleXfs>
  <cellXfs count="111">
    <xf numFmtId="0" fontId="0" fillId="0" borderId="0" xfId="0">
      <alignment vertical="center"/>
    </xf>
    <xf numFmtId="49" fontId="0" fillId="0" borderId="0" xfId="0" applyNumberFormat="1">
      <alignment vertical="center"/>
    </xf>
    <xf numFmtId="49" fontId="0" fillId="0" borderId="0" xfId="0" applyNumberFormat="1" applyFont="1">
      <alignment vertical="center"/>
    </xf>
    <xf numFmtId="178" fontId="0" fillId="0" borderId="0" xfId="0" applyNumberFormat="1">
      <alignment vertical="center"/>
    </xf>
    <xf numFmtId="0" fontId="1" fillId="0" borderId="0" xfId="0" applyFont="1" applyAlignment="1">
      <alignment horizontal="center" vertical="center" wrapText="1"/>
    </xf>
    <xf numFmtId="0" fontId="2" fillId="0" borderId="0" xfId="0" applyFont="1">
      <alignment vertical="center"/>
    </xf>
    <xf numFmtId="0" fontId="3" fillId="0" borderId="0" xfId="0" applyFont="1" applyAlignment="1">
      <alignment horizontal="center" vertical="center" wrapText="1"/>
    </xf>
    <xf numFmtId="178" fontId="1" fillId="0" borderId="0" xfId="0" applyNumberFormat="1" applyFont="1" applyAlignment="1">
      <alignment horizontal="center" vertical="center" wrapText="1"/>
    </xf>
    <xf numFmtId="0" fontId="4" fillId="0" borderId="0" xfId="0" applyFont="1">
      <alignment vertical="center"/>
    </xf>
    <xf numFmtId="0" fontId="5" fillId="0" borderId="0" xfId="0" applyFont="1">
      <alignment vertical="center"/>
    </xf>
    <xf numFmtId="178" fontId="2" fillId="0" borderId="0" xfId="0" applyNumberFormat="1" applyFont="1">
      <alignment vertical="center"/>
    </xf>
    <xf numFmtId="0" fontId="6" fillId="0" borderId="0" xfId="0" applyFont="1">
      <alignment vertical="center"/>
    </xf>
    <xf numFmtId="0" fontId="7" fillId="0" borderId="0" xfId="0" applyFont="1">
      <alignment vertical="center"/>
    </xf>
    <xf numFmtId="0" fontId="2" fillId="2" borderId="0" xfId="0" applyFont="1" applyFill="1">
      <alignment vertical="center"/>
    </xf>
    <xf numFmtId="0" fontId="0" fillId="2" borderId="0" xfId="0" applyFill="1">
      <alignment vertical="center"/>
    </xf>
    <xf numFmtId="0" fontId="8" fillId="2" borderId="0" xfId="0" applyFont="1" applyFill="1">
      <alignment vertical="center"/>
    </xf>
    <xf numFmtId="0" fontId="8" fillId="0" borderId="0" xfId="0" applyFont="1">
      <alignment vertical="center"/>
    </xf>
    <xf numFmtId="0" fontId="9" fillId="0" borderId="0" xfId="0" applyFont="1">
      <alignment vertical="center"/>
    </xf>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49" fontId="0" fillId="0" borderId="0" xfId="0" applyNumberFormat="1" applyFont="1" applyFill="1" applyBorder="1" applyAlignment="1">
      <alignment vertical="center"/>
    </xf>
    <xf numFmtId="49" fontId="0" fillId="0" borderId="0" xfId="0" applyNumberFormat="1" applyFont="1" applyFill="1" applyBorder="1" applyAlignment="1">
      <alignment vertical="center"/>
    </xf>
    <xf numFmtId="0" fontId="8" fillId="0" borderId="0" xfId="0" applyFont="1">
      <alignment vertical="center"/>
    </xf>
    <xf numFmtId="0" fontId="10" fillId="0" borderId="0" xfId="0" applyFont="1">
      <alignment vertical="center"/>
    </xf>
    <xf numFmtId="0" fontId="0" fillId="0" borderId="0" xfId="0" applyFill="1">
      <alignment vertical="center"/>
    </xf>
    <xf numFmtId="0" fontId="0" fillId="0" borderId="0" xfId="0" applyFill="1" applyBorder="1" applyAlignment="1">
      <alignment vertical="center"/>
    </xf>
    <xf numFmtId="0" fontId="0" fillId="0" borderId="0" xfId="0" applyFont="1" applyFill="1" applyBorder="1" applyAlignment="1">
      <alignment vertical="center"/>
    </xf>
    <xf numFmtId="0" fontId="11" fillId="0" borderId="0" xfId="0" applyFont="1" applyFill="1" applyAlignment="1">
      <alignment horizontal="center" vertical="center"/>
    </xf>
    <xf numFmtId="0" fontId="12" fillId="0" borderId="0"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4" fillId="0" borderId="0" xfId="0" applyFont="1" applyFill="1" applyAlignment="1">
      <alignment vertical="center"/>
    </xf>
    <xf numFmtId="0" fontId="14" fillId="0" borderId="0" xfId="0" applyFont="1" applyFill="1">
      <alignment vertical="center"/>
    </xf>
    <xf numFmtId="0" fontId="14" fillId="0" borderId="0" xfId="0" applyFont="1" applyFill="1" applyAlignment="1">
      <alignment horizontal="center" vertical="center"/>
    </xf>
    <xf numFmtId="0" fontId="14" fillId="0" borderId="0" xfId="0" applyFont="1" applyFill="1" applyAlignment="1">
      <alignment horizontal="left" vertical="center"/>
    </xf>
    <xf numFmtId="0" fontId="14" fillId="0" borderId="0" xfId="0" applyFont="1" applyFill="1" applyAlignment="1">
      <alignment horizontal="center" vertical="center" wrapText="1"/>
    </xf>
    <xf numFmtId="0" fontId="14" fillId="0" borderId="0" xfId="0" applyFont="1" applyFill="1" applyAlignment="1">
      <alignment horizontal="left" vertical="center" wrapText="1"/>
    </xf>
    <xf numFmtId="0" fontId="14" fillId="0" borderId="0" xfId="0" applyNumberFormat="1" applyFont="1" applyFill="1" applyAlignment="1">
      <alignment horizontal="center" vertical="center"/>
    </xf>
    <xf numFmtId="0" fontId="14" fillId="0" borderId="0" xfId="0" applyNumberFormat="1" applyFont="1" applyFill="1" applyAlignment="1">
      <alignment horizontal="left" vertical="center" wrapText="1"/>
    </xf>
    <xf numFmtId="0" fontId="14" fillId="0" borderId="0" xfId="0" applyFont="1" applyFill="1" applyAlignment="1">
      <alignment vertical="center" wrapText="1"/>
    </xf>
    <xf numFmtId="0" fontId="15" fillId="0" borderId="0" xfId="0" applyFont="1" applyFill="1" applyAlignment="1">
      <alignment horizontal="left" vertical="center"/>
    </xf>
    <xf numFmtId="0" fontId="16" fillId="0" borderId="0" xfId="0" applyFont="1" applyFill="1" applyAlignment="1">
      <alignment vertical="center" wrapText="1"/>
    </xf>
    <xf numFmtId="0" fontId="12" fillId="3" borderId="1" xfId="0" applyFont="1" applyFill="1" applyBorder="1" applyAlignment="1">
      <alignment vertical="center" wrapText="1"/>
    </xf>
    <xf numFmtId="0" fontId="17" fillId="0" borderId="1"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8" fillId="0" borderId="1" xfId="0" applyNumberFormat="1" applyFont="1" applyFill="1" applyBorder="1" applyAlignment="1">
      <alignment vertical="center" wrapText="1"/>
    </xf>
    <xf numFmtId="0" fontId="18" fillId="0" borderId="1" xfId="0" applyNumberFormat="1" applyFont="1" applyFill="1" applyBorder="1" applyAlignment="1">
      <alignment horizontal="center" vertical="center" wrapText="1"/>
    </xf>
    <xf numFmtId="1" fontId="18" fillId="0" borderId="1" xfId="0" applyNumberFormat="1" applyFont="1" applyFill="1" applyBorder="1" applyAlignment="1">
      <alignment horizontal="center" vertical="center" wrapText="1"/>
    </xf>
    <xf numFmtId="1" fontId="18" fillId="0" borderId="1" xfId="0" applyNumberFormat="1" applyFont="1" applyFill="1" applyBorder="1" applyAlignment="1">
      <alignment vertical="center" wrapText="1"/>
    </xf>
    <xf numFmtId="0" fontId="18" fillId="0" borderId="1" xfId="0" applyFont="1" applyFill="1" applyBorder="1" applyAlignment="1">
      <alignment horizontal="left" vertical="center" wrapText="1"/>
    </xf>
    <xf numFmtId="0" fontId="18" fillId="0" borderId="1" xfId="0" applyNumberFormat="1" applyFont="1" applyFill="1" applyBorder="1" applyAlignment="1">
      <alignment horizontal="left" vertical="center" wrapText="1"/>
    </xf>
    <xf numFmtId="1" fontId="18" fillId="0" borderId="1" xfId="0" applyNumberFormat="1" applyFont="1" applyFill="1" applyBorder="1" applyAlignment="1">
      <alignment horizontal="left" vertical="center" wrapText="1"/>
    </xf>
    <xf numFmtId="0" fontId="17" fillId="3"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8" fillId="3" borderId="1" xfId="0" applyNumberFormat="1" applyFont="1" applyFill="1" applyBorder="1" applyAlignment="1">
      <alignment horizontal="center" vertical="center" wrapText="1"/>
    </xf>
    <xf numFmtId="0" fontId="18" fillId="4" borderId="1" xfId="0" applyFont="1" applyFill="1" applyBorder="1" applyAlignment="1">
      <alignment horizontal="center" vertical="center" wrapText="1"/>
    </xf>
    <xf numFmtId="0" fontId="18" fillId="4" borderId="1" xfId="0" applyNumberFormat="1" applyFont="1" applyFill="1" applyBorder="1" applyAlignment="1">
      <alignment horizontal="center" vertical="center" wrapText="1"/>
    </xf>
    <xf numFmtId="0" fontId="18" fillId="3" borderId="1" xfId="0" applyNumberFormat="1" applyFont="1" applyFill="1" applyBorder="1" applyAlignment="1">
      <alignment vertical="center" wrapText="1"/>
    </xf>
    <xf numFmtId="0" fontId="18" fillId="4" borderId="1" xfId="0" applyNumberFormat="1" applyFont="1" applyFill="1" applyBorder="1" applyAlignment="1">
      <alignment vertical="center" wrapText="1"/>
    </xf>
    <xf numFmtId="1" fontId="18" fillId="4" borderId="1" xfId="0" applyNumberFormat="1" applyFont="1" applyFill="1" applyBorder="1" applyAlignment="1">
      <alignment horizontal="center" vertical="center" wrapText="1"/>
    </xf>
    <xf numFmtId="177" fontId="18" fillId="4" borderId="1" xfId="0" applyNumberFormat="1" applyFont="1" applyFill="1" applyBorder="1" applyAlignment="1">
      <alignment vertical="center" wrapText="1"/>
    </xf>
    <xf numFmtId="179" fontId="18" fillId="4" borderId="1" xfId="0" applyNumberFormat="1" applyFont="1" applyFill="1" applyBorder="1" applyAlignment="1">
      <alignment vertical="center" wrapText="1"/>
    </xf>
    <xf numFmtId="0" fontId="16" fillId="0" borderId="0" xfId="0" applyNumberFormat="1" applyFont="1" applyFill="1" applyAlignment="1">
      <alignment vertical="center" wrapText="1"/>
    </xf>
    <xf numFmtId="0" fontId="17" fillId="5" borderId="1" xfId="0" applyNumberFormat="1" applyFont="1" applyFill="1" applyBorder="1" applyAlignment="1">
      <alignment horizontal="center" vertical="center" wrapText="1"/>
    </xf>
    <xf numFmtId="0" fontId="18" fillId="5" borderId="1" xfId="0" applyNumberFormat="1" applyFont="1" applyFill="1" applyBorder="1" applyAlignment="1">
      <alignment horizontal="center" vertical="center" wrapText="1"/>
    </xf>
    <xf numFmtId="0" fontId="18" fillId="5" borderId="1" xfId="0" applyNumberFormat="1" applyFont="1" applyFill="1" applyBorder="1" applyAlignment="1">
      <alignment vertical="center" wrapText="1"/>
    </xf>
    <xf numFmtId="176" fontId="18" fillId="4" borderId="1" xfId="0" applyNumberFormat="1" applyFont="1" applyFill="1" applyBorder="1" applyAlignment="1">
      <alignment horizontal="center" vertical="center" wrapText="1"/>
    </xf>
    <xf numFmtId="0" fontId="12" fillId="5" borderId="1" xfId="0" applyFont="1" applyFill="1" applyBorder="1" applyAlignment="1">
      <alignment vertical="center" wrapText="1"/>
    </xf>
    <xf numFmtId="0" fontId="17" fillId="0" borderId="1" xfId="0" applyNumberFormat="1" applyFont="1" applyFill="1" applyBorder="1" applyAlignment="1">
      <alignment horizontal="center" vertical="center" wrapText="1"/>
    </xf>
    <xf numFmtId="0" fontId="17" fillId="6" borderId="1" xfId="0" applyNumberFormat="1" applyFont="1" applyFill="1" applyBorder="1" applyAlignment="1">
      <alignment horizontal="center" vertical="center" wrapText="1"/>
    </xf>
    <xf numFmtId="0" fontId="18" fillId="6" borderId="1" xfId="0" applyNumberFormat="1" applyFont="1" applyFill="1" applyBorder="1" applyAlignment="1">
      <alignment horizontal="center" vertical="center" wrapText="1"/>
    </xf>
    <xf numFmtId="0" fontId="18" fillId="6" borderId="1" xfId="0" applyNumberFormat="1" applyFont="1" applyFill="1" applyBorder="1" applyAlignment="1">
      <alignment vertical="center" wrapText="1"/>
    </xf>
    <xf numFmtId="0" fontId="18"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8" fillId="5" borderId="1" xfId="0" applyFont="1" applyFill="1" applyBorder="1" applyAlignment="1">
      <alignment horizontal="center" vertical="center" wrapText="1"/>
    </xf>
    <xf numFmtId="0" fontId="18" fillId="3" borderId="1" xfId="0" applyFont="1" applyFill="1" applyBorder="1" applyAlignment="1">
      <alignment horizontal="center" vertical="center"/>
    </xf>
    <xf numFmtId="0" fontId="18" fillId="3" borderId="1" xfId="0" applyNumberFormat="1" applyFont="1" applyFill="1" applyBorder="1" applyAlignment="1">
      <alignment horizontal="center" vertical="center"/>
    </xf>
    <xf numFmtId="0" fontId="18" fillId="3"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1" xfId="0" applyFont="1" applyFill="1" applyBorder="1" applyAlignment="1">
      <alignment horizontal="center" vertical="center"/>
    </xf>
    <xf numFmtId="0" fontId="19" fillId="0" borderId="0" xfId="0" applyFont="1" applyFill="1" applyAlignment="1">
      <alignment vertical="center"/>
    </xf>
    <xf numFmtId="0" fontId="18" fillId="5" borderId="1" xfId="0" applyNumberFormat="1" applyFont="1" applyFill="1" applyBorder="1" applyAlignment="1">
      <alignment horizontal="center" vertical="center"/>
    </xf>
    <xf numFmtId="0" fontId="18" fillId="0" borderId="1" xfId="0" applyFont="1" applyFill="1" applyBorder="1" applyAlignment="1">
      <alignment vertical="center" wrapText="1"/>
    </xf>
    <xf numFmtId="0" fontId="18" fillId="4" borderId="1" xfId="0" applyFont="1" applyFill="1" applyBorder="1" applyAlignment="1">
      <alignment vertical="center" wrapText="1"/>
    </xf>
    <xf numFmtId="1" fontId="18" fillId="4" borderId="1" xfId="0" applyNumberFormat="1" applyFont="1" applyFill="1" applyBorder="1" applyAlignment="1">
      <alignment vertical="center" wrapText="1"/>
    </xf>
    <xf numFmtId="177" fontId="18" fillId="4" borderId="1" xfId="0" applyNumberFormat="1" applyFont="1" applyFill="1" applyBorder="1" applyAlignment="1">
      <alignment horizontal="center" vertical="center" wrapText="1"/>
    </xf>
    <xf numFmtId="0" fontId="18" fillId="7" borderId="1" xfId="0" applyFont="1" applyFill="1" applyBorder="1" applyAlignment="1">
      <alignment horizontal="center" vertical="center" wrapText="1"/>
    </xf>
    <xf numFmtId="0" fontId="18" fillId="7" borderId="1" xfId="0" applyNumberFormat="1" applyFont="1" applyFill="1" applyBorder="1" applyAlignment="1">
      <alignment horizontal="center" vertical="center" wrapText="1"/>
    </xf>
    <xf numFmtId="0" fontId="18" fillId="8" borderId="1" xfId="0" applyFont="1" applyFill="1" applyBorder="1" applyAlignment="1">
      <alignment horizontal="center" vertical="center" wrapText="1"/>
    </xf>
    <xf numFmtId="0" fontId="18" fillId="8" borderId="1" xfId="0" applyNumberFormat="1" applyFont="1" applyFill="1" applyBorder="1" applyAlignment="1">
      <alignment horizontal="center" vertical="center" wrapText="1"/>
    </xf>
    <xf numFmtId="0" fontId="18" fillId="7" borderId="1" xfId="0" applyFont="1" applyFill="1" applyBorder="1" applyAlignment="1">
      <alignment horizontal="center" vertical="center"/>
    </xf>
    <xf numFmtId="0" fontId="18" fillId="8" borderId="1" xfId="0" applyFont="1" applyFill="1" applyBorder="1" applyAlignment="1">
      <alignment horizontal="center" vertical="center"/>
    </xf>
    <xf numFmtId="0" fontId="18" fillId="7" borderId="1" xfId="0" applyFont="1" applyFill="1" applyBorder="1" applyAlignment="1">
      <alignment horizontal="left" vertical="center" wrapText="1"/>
    </xf>
    <xf numFmtId="0" fontId="18" fillId="8" borderId="1" xfId="0" applyFont="1" applyFill="1" applyBorder="1" applyAlignment="1">
      <alignment horizontal="left" vertical="center" wrapText="1"/>
    </xf>
    <xf numFmtId="0" fontId="18" fillId="4" borderId="1" xfId="0" applyFont="1" applyFill="1" applyBorder="1" applyAlignment="1">
      <alignment horizontal="center" vertical="center"/>
    </xf>
    <xf numFmtId="0" fontId="18" fillId="4" borderId="1" xfId="0" applyFont="1" applyFill="1" applyBorder="1" applyAlignment="1">
      <alignment horizontal="left" vertical="center" wrapText="1"/>
    </xf>
    <xf numFmtId="0" fontId="18" fillId="9" borderId="1" xfId="0" applyNumberFormat="1" applyFont="1" applyFill="1" applyBorder="1" applyAlignment="1">
      <alignment horizontal="center" vertical="center" wrapText="1"/>
    </xf>
    <xf numFmtId="0" fontId="18" fillId="9" borderId="1" xfId="0" applyFont="1" applyFill="1" applyBorder="1" applyAlignment="1">
      <alignment horizontal="center" vertical="center" wrapText="1"/>
    </xf>
    <xf numFmtId="0" fontId="18" fillId="9" borderId="1" xfId="0" applyFont="1" applyFill="1" applyBorder="1" applyAlignment="1">
      <alignment horizontal="center" vertical="center"/>
    </xf>
    <xf numFmtId="0" fontId="18" fillId="9" borderId="1" xfId="0" applyFont="1" applyFill="1" applyBorder="1" applyAlignment="1">
      <alignment horizontal="left" vertical="center" wrapText="1"/>
    </xf>
    <xf numFmtId="0" fontId="18" fillId="9" borderId="1" xfId="0" applyNumberFormat="1" applyFont="1" applyFill="1" applyBorder="1" applyAlignment="1">
      <alignment horizontal="center" vertical="center"/>
    </xf>
    <xf numFmtId="0" fontId="16" fillId="0" borderId="0" xfId="0" applyFont="1" applyFill="1" applyAlignment="1">
      <alignment horizontal="center" vertical="center" wrapText="1"/>
    </xf>
    <xf numFmtId="0" fontId="12" fillId="3" borderId="1" xfId="0" applyFont="1" applyFill="1" applyBorder="1" applyAlignment="1">
      <alignment horizontal="center" vertical="center" wrapText="1"/>
    </xf>
    <xf numFmtId="1" fontId="18" fillId="3" borderId="1" xfId="0" applyNumberFormat="1" applyFont="1" applyFill="1" applyBorder="1" applyAlignment="1">
      <alignment horizontal="center" vertical="center" wrapText="1"/>
    </xf>
    <xf numFmtId="179" fontId="18" fillId="4" borderId="1" xfId="0" applyNumberFormat="1" applyFont="1" applyFill="1" applyBorder="1" applyAlignment="1">
      <alignment horizontal="center" vertical="center" wrapText="1"/>
    </xf>
    <xf numFmtId="0" fontId="16" fillId="0" borderId="0" xfId="0" applyNumberFormat="1" applyFont="1" applyFill="1" applyAlignment="1">
      <alignment horizontal="center" vertical="center" wrapText="1"/>
    </xf>
    <xf numFmtId="0" fontId="16" fillId="0" borderId="0" xfId="0" applyNumberFormat="1" applyFont="1" applyFill="1" applyAlignment="1">
      <alignment horizontal="left" vertical="center" wrapText="1"/>
    </xf>
    <xf numFmtId="0" fontId="12" fillId="5"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16" fillId="0" borderId="0" xfId="0" applyFont="1" applyFill="1" applyAlignment="1">
      <alignment horizontal="left" vertical="center" wrapText="1"/>
    </xf>
    <xf numFmtId="0" fontId="12" fillId="5" borderId="1" xfId="0" applyFont="1" applyFill="1" applyBorder="1" applyAlignment="1">
      <alignment horizontal="left" vertical="center" wrapText="1"/>
    </xf>
    <xf numFmtId="0" fontId="14" fillId="5" borderId="0" xfId="0" applyFont="1" applyFill="1" applyAlignment="1">
      <alignment horizontal="center" vertical="center"/>
    </xf>
    <xf numFmtId="0" fontId="18" fillId="0" borderId="1" xfId="0" applyNumberFormat="1" applyFont="1" applyFill="1" applyBorder="1" applyAlignment="1" quotePrefix="1">
      <alignment horizontal="center" vertical="center" wrapText="1"/>
    </xf>
    <xf numFmtId="0" fontId="18" fillId="0" borderId="1" xfId="0" applyFont="1" applyFill="1" applyBorder="1" applyAlignment="1" quotePrefix="1">
      <alignment horizontal="center" vertical="center" wrapText="1"/>
    </xf>
    <xf numFmtId="0" fontId="18" fillId="0" borderId="1" xfId="0" applyFont="1" applyFill="1" applyBorder="1" applyAlignment="1" quotePrefix="1">
      <alignment horizontal="center" vertical="center"/>
    </xf>
    <xf numFmtId="0" fontId="18" fillId="0" borderId="1" xfId="0" applyFont="1" applyFill="1" applyBorder="1" applyAlignment="1" quotePrefix="1">
      <alignment vertical="center" wrapText="1"/>
    </xf>
    <xf numFmtId="0" fontId="18" fillId="0" borderId="1" xfId="0" applyNumberFormat="1" applyFont="1" applyFill="1" applyBorder="1" applyAlignment="1" quotePrefix="1">
      <alignment vertical="center" wrapText="1"/>
    </xf>
    <xf numFmtId="0" fontId="0" fillId="0" borderId="0" xfId="0" quotePrefix="1">
      <alignment vertical="center"/>
    </xf>
    <xf numFmtId="0" fontId="8" fillId="0" borderId="0" xfId="0" applyFont="1" quotePrefix="1">
      <alignment vertical="center"/>
    </xf>
  </cellXfs>
  <cellStyles count="54">
    <cellStyle name="常规" xfId="0" builtinId="0"/>
    <cellStyle name="常规 28" xfId="1"/>
    <cellStyle name="常规 2" xfId="2"/>
    <cellStyle name="60% - 强调文字颜色 6" xfId="3" builtinId="52"/>
    <cellStyle name="20% - 强调文字颜色 4" xfId="4" builtinId="42"/>
    <cellStyle name="强调文字颜色 4" xfId="5" builtinId="41"/>
    <cellStyle name="输入" xfId="6" builtinId="20"/>
    <cellStyle name="40% - 强调文字颜色 3" xfId="7" builtinId="39"/>
    <cellStyle name="20% - 强调文字颜色 3" xfId="8" builtinId="38"/>
    <cellStyle name="货币" xfId="9" builtinId="4"/>
    <cellStyle name="强调文字颜色 3" xfId="10" builtinId="37"/>
    <cellStyle name="百分比" xfId="11" builtinId="5"/>
    <cellStyle name="60% - 强调文字颜色 2" xfId="12" builtinId="36"/>
    <cellStyle name="60% - 强调文字颜色 5" xfId="13" builtinId="48"/>
    <cellStyle name="强调文字颜色 2" xfId="14" builtinId="33"/>
    <cellStyle name="60% - 强调文字颜色 1" xfId="15" builtinId="32"/>
    <cellStyle name="60% - 强调文字颜色 4" xfId="16" builtinId="44"/>
    <cellStyle name="计算" xfId="17" builtinId="22"/>
    <cellStyle name="强调文字颜色 1" xfId="18" builtinId="29"/>
    <cellStyle name="适中" xfId="19" builtinId="28"/>
    <cellStyle name="20% - 强调文字颜色 5" xfId="20" builtinId="46"/>
    <cellStyle name="好" xfId="21" builtinId="26"/>
    <cellStyle name="20% - 强调文字颜色 1" xfId="22" builtinId="30"/>
    <cellStyle name="汇总" xfId="23" builtinId="25"/>
    <cellStyle name="差" xfId="24" builtinId="27"/>
    <cellStyle name="检查单元格" xfId="25" builtinId="23"/>
    <cellStyle name="输出" xfId="26" builtinId="21"/>
    <cellStyle name="标题 1" xfId="27" builtinId="16"/>
    <cellStyle name="解释性文本" xfId="28" builtinId="53"/>
    <cellStyle name="20% - 强调文字颜色 2" xfId="29" builtinId="34"/>
    <cellStyle name="标题 4" xfId="30" builtinId="19"/>
    <cellStyle name="常规 10" xfId="31"/>
    <cellStyle name="货币[0]" xfId="32" builtinId="7"/>
    <cellStyle name="40% - 强调文字颜色 4" xfId="33" builtinId="43"/>
    <cellStyle name="千位分隔" xfId="34" builtinId="3"/>
    <cellStyle name="已访问的超链接" xfId="35" builtinId="9"/>
    <cellStyle name="标题" xfId="36" builtinId="15"/>
    <cellStyle name="40% - 强调文字颜色 2" xfId="37" builtinId="35"/>
    <cellStyle name="警告文本" xfId="38" builtinId="11"/>
    <cellStyle name="60% - 强调文字颜色 3" xfId="39" builtinId="40"/>
    <cellStyle name="注释" xfId="40" builtinId="10"/>
    <cellStyle name="20% - 强调文字颜色 6" xfId="41" builtinId="50"/>
    <cellStyle name="强调文字颜色 5" xfId="42" builtinId="45"/>
    <cellStyle name="40% - 强调文字颜色 6" xfId="43" builtinId="51"/>
    <cellStyle name="超链接" xfId="44" builtinId="8"/>
    <cellStyle name="千位分隔[0]" xfId="45" builtinId="6"/>
    <cellStyle name="常规 2 10" xfId="46"/>
    <cellStyle name="标题 2" xfId="47" builtinId="17"/>
    <cellStyle name="40% - 强调文字颜色 5" xfId="48" builtinId="47"/>
    <cellStyle name="标题 3" xfId="49" builtinId="18"/>
    <cellStyle name="强调文字颜色 6" xfId="50" builtinId="49"/>
    <cellStyle name="40% - 强调文字颜色 1" xfId="51" builtinId="31"/>
    <cellStyle name="常规 3" xfId="52"/>
    <cellStyle name="链接单元格" xfId="53" builtinId="24"/>
  </cellStyles>
  <tableStyles count="0" defaultTableStyle="TableStyleMedium2" defaultPivotStyle="PivotStyleLight16"/>
  <colors>
    <mruColors>
      <color rgb="00C00000"/>
      <color rgb="00FFF2CC"/>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28</xdr:col>
      <xdr:colOff>0</xdr:colOff>
      <xdr:row>3</xdr:row>
      <xdr:rowOff>0</xdr:rowOff>
    </xdr:from>
    <xdr:ext cx="309880" cy="285115"/>
    <xdr:sp>
      <xdr:nvSpPr>
        <xdr:cNvPr id="2" name="文本框 2"/>
        <xdr:cNvSpPr txBox="1"/>
      </xdr:nvSpPr>
      <xdr:spPr>
        <a:xfrm>
          <a:off x="23713440" y="11557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27</xdr:col>
      <xdr:colOff>0</xdr:colOff>
      <xdr:row>3</xdr:row>
      <xdr:rowOff>0</xdr:rowOff>
    </xdr:from>
    <xdr:ext cx="309880" cy="285115"/>
    <xdr:sp>
      <xdr:nvSpPr>
        <xdr:cNvPr id="3" name="文本框 2"/>
        <xdr:cNvSpPr txBox="1"/>
      </xdr:nvSpPr>
      <xdr:spPr>
        <a:xfrm>
          <a:off x="23713440" y="11557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26</xdr:col>
      <xdr:colOff>0</xdr:colOff>
      <xdr:row>3</xdr:row>
      <xdr:rowOff>0</xdr:rowOff>
    </xdr:from>
    <xdr:ext cx="309880" cy="285115"/>
    <xdr:sp>
      <xdr:nvSpPr>
        <xdr:cNvPr id="2" name="文本框 2"/>
        <xdr:cNvSpPr txBox="1"/>
      </xdr:nvSpPr>
      <xdr:spPr>
        <a:xfrm>
          <a:off x="31215965" y="11557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25</xdr:col>
      <xdr:colOff>0</xdr:colOff>
      <xdr:row>3</xdr:row>
      <xdr:rowOff>0</xdr:rowOff>
    </xdr:from>
    <xdr:ext cx="309880" cy="285115"/>
    <xdr:sp>
      <xdr:nvSpPr>
        <xdr:cNvPr id="3" name="文本框 2"/>
        <xdr:cNvSpPr txBox="1"/>
      </xdr:nvSpPr>
      <xdr:spPr>
        <a:xfrm>
          <a:off x="28665805" y="11557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705"/>
  <sheetViews>
    <sheetView view="pageBreakPreview" zoomScale="80" zoomScaleNormal="80" topLeftCell="E1" workbookViewId="0">
      <pane ySplit="4" topLeftCell="A59" activePane="bottomLeft" state="frozen"/>
      <selection/>
      <selection pane="bottomLeft" activeCell="N57" sqref="N57:N91"/>
    </sheetView>
  </sheetViews>
  <sheetFormatPr defaultColWidth="9" defaultRowHeight="12.75"/>
  <cols>
    <col min="1" max="1" width="5" style="34" customWidth="1"/>
    <col min="2" max="2" width="15.6222222222222" style="34" customWidth="1"/>
    <col min="3" max="3" width="26.8740740740741" style="34" customWidth="1"/>
    <col min="4" max="4" width="4.87407407407407" style="34" customWidth="1"/>
    <col min="5" max="5" width="19.8740740740741" style="35" customWidth="1"/>
    <col min="6" max="6" width="23.0592592592593" style="35" customWidth="1"/>
    <col min="7" max="7" width="5.12592592592593" style="32" customWidth="1"/>
    <col min="8" max="8" width="19.7185185185185" style="33" customWidth="1"/>
    <col min="9" max="10" width="7.25185185185185" style="32" customWidth="1"/>
    <col min="11" max="13" width="8.5037037037037" style="32" customWidth="1"/>
    <col min="14" max="16" width="8.42222222222222" style="36" customWidth="1"/>
    <col min="17" max="19" width="4.62222222222222" style="36" hidden="1" customWidth="1"/>
    <col min="20" max="20" width="7.74814814814815" style="36" customWidth="1"/>
    <col min="21" max="21" width="15.8222222222222" style="37" customWidth="1"/>
    <col min="22" max="22" width="15.7481481481481" style="34" customWidth="1"/>
    <col min="23" max="23" width="15" style="32" customWidth="1"/>
    <col min="24" max="24" width="31.8740740740741" style="38" customWidth="1"/>
    <col min="25" max="25" width="21.7481481481481" style="38" hidden="1" customWidth="1"/>
    <col min="26" max="26" width="9" style="30" hidden="1" customWidth="1"/>
    <col min="27" max="27" width="5" style="30" customWidth="1"/>
    <col min="28" max="28" width="29.7481481481481" style="35" hidden="1" customWidth="1"/>
    <col min="29" max="30" width="7.12592592592593" style="30" hidden="1" customWidth="1"/>
    <col min="31" max="33" width="7.12592592592593" style="30" customWidth="1"/>
    <col min="34" max="34" width="30.2518518518519" style="32" customWidth="1"/>
    <col min="35" max="36" width="14" style="32" customWidth="1"/>
    <col min="37" max="37" width="14" style="30" customWidth="1"/>
    <col min="38" max="41" width="9" style="30"/>
    <col min="42" max="16374" width="9" style="30" hidden="1" customWidth="1"/>
    <col min="16375" max="16384" width="9" style="30"/>
  </cols>
  <sheetData>
    <row r="1" ht="24" customHeight="1" spans="1:1">
      <c r="A1" s="39" t="s">
        <v>0</v>
      </c>
    </row>
    <row r="2" s="27" customFormat="1" ht="37" customHeight="1" spans="1:33">
      <c r="A2" s="100" t="s">
        <v>1</v>
      </c>
      <c r="B2" s="100"/>
      <c r="C2" s="100"/>
      <c r="D2" s="100"/>
      <c r="E2" s="100"/>
      <c r="F2" s="100"/>
      <c r="G2" s="100"/>
      <c r="H2" s="100"/>
      <c r="I2" s="100"/>
      <c r="J2" s="100"/>
      <c r="K2" s="100"/>
      <c r="L2" s="100"/>
      <c r="M2" s="100"/>
      <c r="N2" s="104"/>
      <c r="O2" s="104"/>
      <c r="P2" s="104"/>
      <c r="Q2" s="104"/>
      <c r="R2" s="104"/>
      <c r="S2" s="104"/>
      <c r="T2" s="104"/>
      <c r="U2" s="105"/>
      <c r="V2" s="100"/>
      <c r="W2" s="100"/>
      <c r="X2" s="100"/>
      <c r="Y2" s="100"/>
      <c r="Z2" s="100"/>
      <c r="AA2" s="100"/>
      <c r="AB2" s="108"/>
      <c r="AC2" s="100"/>
      <c r="AD2" s="100"/>
      <c r="AE2" s="100"/>
      <c r="AF2" s="100"/>
      <c r="AG2" s="100"/>
    </row>
    <row r="3" s="28" customFormat="1" ht="30" customHeight="1" spans="1:33">
      <c r="A3" s="101" t="s">
        <v>2</v>
      </c>
      <c r="B3" s="101"/>
      <c r="C3" s="101"/>
      <c r="D3" s="101"/>
      <c r="E3" s="101"/>
      <c r="F3" s="101"/>
      <c r="G3" s="101"/>
      <c r="H3" s="101"/>
      <c r="I3" s="101"/>
      <c r="J3" s="101"/>
      <c r="K3" s="101"/>
      <c r="L3" s="101"/>
      <c r="M3" s="101"/>
      <c r="N3" s="101"/>
      <c r="O3" s="101"/>
      <c r="P3" s="101"/>
      <c r="Q3" s="101"/>
      <c r="R3" s="101"/>
      <c r="S3" s="101"/>
      <c r="T3" s="101"/>
      <c r="U3" s="101"/>
      <c r="V3" s="106" t="s">
        <v>3</v>
      </c>
      <c r="W3" s="106"/>
      <c r="X3" s="106"/>
      <c r="Y3" s="106"/>
      <c r="Z3" s="106"/>
      <c r="AA3" s="106"/>
      <c r="AB3" s="109"/>
      <c r="AC3" s="106"/>
      <c r="AD3" s="106"/>
      <c r="AE3" s="106"/>
      <c r="AF3" s="106"/>
      <c r="AG3" s="106"/>
    </row>
    <row r="4" s="29" customFormat="1" ht="38" customHeight="1" spans="1:33">
      <c r="A4" s="42" t="s">
        <v>4</v>
      </c>
      <c r="B4" s="42" t="s">
        <v>5</v>
      </c>
      <c r="C4" s="42" t="s">
        <v>6</v>
      </c>
      <c r="D4" s="42" t="s">
        <v>7</v>
      </c>
      <c r="E4" s="42" t="s">
        <v>8</v>
      </c>
      <c r="F4" s="42" t="s">
        <v>9</v>
      </c>
      <c r="G4" s="42" t="s">
        <v>10</v>
      </c>
      <c r="H4" s="42" t="s">
        <v>11</v>
      </c>
      <c r="I4" s="51" t="s">
        <v>12</v>
      </c>
      <c r="J4" s="51" t="s">
        <v>13</v>
      </c>
      <c r="K4" s="52" t="s">
        <v>14</v>
      </c>
      <c r="L4" s="52" t="s">
        <v>15</v>
      </c>
      <c r="M4" s="52" t="s">
        <v>16</v>
      </c>
      <c r="N4" s="62" t="s">
        <v>17</v>
      </c>
      <c r="O4" s="62" t="s">
        <v>18</v>
      </c>
      <c r="P4" s="62" t="s">
        <v>19</v>
      </c>
      <c r="Q4" s="67" t="s">
        <v>20</v>
      </c>
      <c r="R4" s="67" t="s">
        <v>21</v>
      </c>
      <c r="S4" s="67" t="s">
        <v>22</v>
      </c>
      <c r="T4" s="68" t="s">
        <v>23</v>
      </c>
      <c r="U4" s="67" t="s">
        <v>24</v>
      </c>
      <c r="V4" s="42" t="s">
        <v>25</v>
      </c>
      <c r="W4" s="42" t="s">
        <v>26</v>
      </c>
      <c r="X4" s="42" t="s">
        <v>6</v>
      </c>
      <c r="Y4" s="72" t="s">
        <v>27</v>
      </c>
      <c r="Z4" s="72" t="s">
        <v>28</v>
      </c>
      <c r="AA4" s="72" t="s">
        <v>10</v>
      </c>
      <c r="AB4" s="72" t="s">
        <v>29</v>
      </c>
      <c r="AC4" s="51" t="s">
        <v>30</v>
      </c>
      <c r="AD4" s="51" t="s">
        <v>31</v>
      </c>
      <c r="AE4" s="77" t="s">
        <v>32</v>
      </c>
      <c r="AF4" s="77" t="s">
        <v>33</v>
      </c>
      <c r="AG4" s="77" t="s">
        <v>34</v>
      </c>
    </row>
    <row r="5" ht="63" customHeight="1" spans="1:33">
      <c r="A5" s="43">
        <v>1</v>
      </c>
      <c r="B5" s="43" t="s">
        <v>35</v>
      </c>
      <c r="C5" s="43" t="s">
        <v>36</v>
      </c>
      <c r="D5" s="43" t="s">
        <v>37</v>
      </c>
      <c r="E5" s="48" t="s">
        <v>38</v>
      </c>
      <c r="F5" s="48" t="s">
        <v>39</v>
      </c>
      <c r="G5" s="43" t="s">
        <v>40</v>
      </c>
      <c r="H5" s="48" t="s">
        <v>41</v>
      </c>
      <c r="I5" s="53">
        <v>240</v>
      </c>
      <c r="J5" s="53">
        <v>216</v>
      </c>
      <c r="K5" s="54"/>
      <c r="L5" s="54"/>
      <c r="M5" s="54"/>
      <c r="N5" s="63">
        <v>220</v>
      </c>
      <c r="O5" s="63">
        <v>200</v>
      </c>
      <c r="P5" s="63">
        <v>170</v>
      </c>
      <c r="Q5" s="45" t="s">
        <v>42</v>
      </c>
      <c r="R5" s="45" t="s">
        <v>43</v>
      </c>
      <c r="S5" s="45" t="s">
        <v>43</v>
      </c>
      <c r="T5" s="69" t="s">
        <v>44</v>
      </c>
      <c r="U5" s="49" t="s">
        <v>45</v>
      </c>
      <c r="V5" s="43" t="s">
        <v>46</v>
      </c>
      <c r="W5" s="71">
        <v>311000014</v>
      </c>
      <c r="X5" s="43" t="s">
        <v>47</v>
      </c>
      <c r="Y5" s="43" t="s">
        <v>43</v>
      </c>
      <c r="Z5" s="71" t="s">
        <v>43</v>
      </c>
      <c r="AA5" s="71" t="s">
        <v>48</v>
      </c>
      <c r="AB5" s="48" t="s">
        <v>43</v>
      </c>
      <c r="AC5" s="74" t="s">
        <v>43</v>
      </c>
      <c r="AD5" s="74" t="s">
        <v>43</v>
      </c>
      <c r="AE5" s="78" t="s">
        <v>43</v>
      </c>
      <c r="AF5" s="78" t="s">
        <v>43</v>
      </c>
      <c r="AG5" s="78" t="s">
        <v>43</v>
      </c>
    </row>
    <row r="6" ht="63" customHeight="1" spans="1:33">
      <c r="A6" s="45">
        <v>2</v>
      </c>
      <c r="B6" s="45" t="s">
        <v>49</v>
      </c>
      <c r="C6" s="45" t="s">
        <v>50</v>
      </c>
      <c r="D6" s="45" t="s">
        <v>37</v>
      </c>
      <c r="E6" s="49" t="s">
        <v>51</v>
      </c>
      <c r="F6" s="49" t="s">
        <v>52</v>
      </c>
      <c r="G6" s="45" t="s">
        <v>40</v>
      </c>
      <c r="H6" s="49" t="s">
        <v>53</v>
      </c>
      <c r="I6" s="53">
        <v>165</v>
      </c>
      <c r="J6" s="53">
        <v>150</v>
      </c>
      <c r="K6" s="55">
        <v>165</v>
      </c>
      <c r="L6" s="55">
        <v>150</v>
      </c>
      <c r="M6" s="55">
        <v>127.5</v>
      </c>
      <c r="N6" s="63">
        <v>165</v>
      </c>
      <c r="O6" s="63">
        <v>150</v>
      </c>
      <c r="P6" s="63">
        <v>128</v>
      </c>
      <c r="Q6" s="45" t="s">
        <v>54</v>
      </c>
      <c r="R6" s="45" t="s">
        <v>43</v>
      </c>
      <c r="S6" s="45" t="s">
        <v>43</v>
      </c>
      <c r="T6" s="69" t="s">
        <v>55</v>
      </c>
      <c r="U6" s="49" t="s">
        <v>56</v>
      </c>
      <c r="V6" s="43" t="s">
        <v>57</v>
      </c>
      <c r="W6" s="71">
        <v>311000039</v>
      </c>
      <c r="X6" s="43" t="s">
        <v>58</v>
      </c>
      <c r="Y6" s="43" t="s">
        <v>59</v>
      </c>
      <c r="Z6" s="71" t="s">
        <v>43</v>
      </c>
      <c r="AA6" s="71" t="s">
        <v>40</v>
      </c>
      <c r="AB6" s="48" t="s">
        <v>43</v>
      </c>
      <c r="AC6" s="75">
        <v>165</v>
      </c>
      <c r="AD6" s="75">
        <v>150</v>
      </c>
      <c r="AE6" s="80">
        <v>165</v>
      </c>
      <c r="AF6" s="80">
        <v>150</v>
      </c>
      <c r="AG6" s="80">
        <v>127.5</v>
      </c>
    </row>
    <row r="7" ht="29" customHeight="1" spans="1:33">
      <c r="A7" s="45"/>
      <c r="B7" s="45"/>
      <c r="C7" s="45" t="s">
        <v>60</v>
      </c>
      <c r="D7" s="45"/>
      <c r="E7" s="49"/>
      <c r="F7" s="49"/>
      <c r="G7" s="45"/>
      <c r="H7" s="49"/>
      <c r="I7" s="53"/>
      <c r="J7" s="53"/>
      <c r="K7" s="55">
        <v>66</v>
      </c>
      <c r="L7" s="55">
        <v>60</v>
      </c>
      <c r="M7" s="55">
        <v>51</v>
      </c>
      <c r="N7" s="63">
        <v>66</v>
      </c>
      <c r="O7" s="63">
        <v>59</v>
      </c>
      <c r="P7" s="63">
        <v>51</v>
      </c>
      <c r="Q7" s="45"/>
      <c r="R7" s="45"/>
      <c r="S7" s="45"/>
      <c r="T7" s="69"/>
      <c r="U7" s="49"/>
      <c r="V7" s="43" t="s">
        <v>61</v>
      </c>
      <c r="W7" s="71">
        <v>311000038</v>
      </c>
      <c r="X7" s="43" t="s">
        <v>62</v>
      </c>
      <c r="Y7" s="43" t="s">
        <v>43</v>
      </c>
      <c r="Z7" s="71" t="s">
        <v>43</v>
      </c>
      <c r="AA7" s="71" t="s">
        <v>40</v>
      </c>
      <c r="AB7" s="48" t="s">
        <v>43</v>
      </c>
      <c r="AC7" s="75">
        <v>66</v>
      </c>
      <c r="AD7" s="75">
        <v>59</v>
      </c>
      <c r="AE7" s="80">
        <v>66</v>
      </c>
      <c r="AF7" s="80">
        <v>60</v>
      </c>
      <c r="AG7" s="80">
        <v>51</v>
      </c>
    </row>
    <row r="8" ht="72" customHeight="1" spans="1:33">
      <c r="A8" s="43">
        <v>3</v>
      </c>
      <c r="B8" s="43" t="s">
        <v>63</v>
      </c>
      <c r="C8" s="43" t="s">
        <v>64</v>
      </c>
      <c r="D8" s="43" t="s">
        <v>37</v>
      </c>
      <c r="E8" s="48" t="s">
        <v>65</v>
      </c>
      <c r="F8" s="48" t="s">
        <v>66</v>
      </c>
      <c r="G8" s="43" t="s">
        <v>48</v>
      </c>
      <c r="H8" s="48" t="s">
        <v>43</v>
      </c>
      <c r="I8" s="53">
        <v>660</v>
      </c>
      <c r="J8" s="53">
        <v>595</v>
      </c>
      <c r="K8" s="54">
        <v>660</v>
      </c>
      <c r="L8" s="54">
        <v>600</v>
      </c>
      <c r="M8" s="54">
        <v>510</v>
      </c>
      <c r="N8" s="63">
        <v>660</v>
      </c>
      <c r="O8" s="63">
        <v>595</v>
      </c>
      <c r="P8" s="63">
        <v>510</v>
      </c>
      <c r="Q8" s="45" t="s">
        <v>54</v>
      </c>
      <c r="R8" s="45" t="s">
        <v>43</v>
      </c>
      <c r="S8" s="45" t="s">
        <v>43</v>
      </c>
      <c r="T8" s="69" t="s">
        <v>67</v>
      </c>
      <c r="U8" s="49" t="s">
        <v>68</v>
      </c>
      <c r="V8" s="43" t="s">
        <v>69</v>
      </c>
      <c r="W8" s="71">
        <v>311000018</v>
      </c>
      <c r="X8" s="43" t="s">
        <v>70</v>
      </c>
      <c r="Y8" s="43" t="s">
        <v>71</v>
      </c>
      <c r="Z8" s="71" t="s">
        <v>43</v>
      </c>
      <c r="AA8" s="71" t="s">
        <v>48</v>
      </c>
      <c r="AB8" s="48" t="s">
        <v>43</v>
      </c>
      <c r="AC8" s="75">
        <v>660</v>
      </c>
      <c r="AD8" s="75">
        <v>595</v>
      </c>
      <c r="AE8" s="80">
        <v>660</v>
      </c>
      <c r="AF8" s="80">
        <v>600</v>
      </c>
      <c r="AG8" s="80">
        <v>510</v>
      </c>
    </row>
    <row r="9" ht="75" customHeight="1" spans="1:33">
      <c r="A9" s="43">
        <v>4</v>
      </c>
      <c r="B9" s="43" t="s">
        <v>72</v>
      </c>
      <c r="C9" s="43" t="s">
        <v>73</v>
      </c>
      <c r="D9" s="43" t="s">
        <v>37</v>
      </c>
      <c r="E9" s="48" t="s">
        <v>74</v>
      </c>
      <c r="F9" s="48" t="s">
        <v>75</v>
      </c>
      <c r="G9" s="43" t="s">
        <v>48</v>
      </c>
      <c r="H9" s="48"/>
      <c r="I9" s="53">
        <v>499</v>
      </c>
      <c r="J9" s="53">
        <v>449</v>
      </c>
      <c r="K9" s="54">
        <v>495</v>
      </c>
      <c r="L9" s="54">
        <v>450</v>
      </c>
      <c r="M9" s="54">
        <v>382.5</v>
      </c>
      <c r="N9" s="63">
        <v>495</v>
      </c>
      <c r="O9" s="63">
        <v>445</v>
      </c>
      <c r="P9" s="63">
        <v>380</v>
      </c>
      <c r="Q9" s="45" t="s">
        <v>54</v>
      </c>
      <c r="R9" s="45" t="s">
        <v>43</v>
      </c>
      <c r="S9" s="45" t="s">
        <v>43</v>
      </c>
      <c r="T9" s="69" t="s">
        <v>76</v>
      </c>
      <c r="U9" s="49" t="s">
        <v>77</v>
      </c>
      <c r="V9" s="43" t="s">
        <v>78</v>
      </c>
      <c r="W9" s="71">
        <v>311000020</v>
      </c>
      <c r="X9" s="43" t="s">
        <v>79</v>
      </c>
      <c r="Y9" s="43" t="s">
        <v>80</v>
      </c>
      <c r="Z9" s="71" t="s">
        <v>43</v>
      </c>
      <c r="AA9" s="71" t="s">
        <v>48</v>
      </c>
      <c r="AB9" s="48" t="s">
        <v>43</v>
      </c>
      <c r="AC9" s="75">
        <v>495</v>
      </c>
      <c r="AD9" s="75">
        <v>445</v>
      </c>
      <c r="AE9" s="80">
        <v>495</v>
      </c>
      <c r="AF9" s="80">
        <v>450</v>
      </c>
      <c r="AG9" s="80">
        <v>382.5</v>
      </c>
    </row>
    <row r="10" ht="71" customHeight="1" spans="1:33">
      <c r="A10" s="45" t="s">
        <v>81</v>
      </c>
      <c r="B10" s="111" t="s">
        <v>82</v>
      </c>
      <c r="C10" s="45" t="s">
        <v>83</v>
      </c>
      <c r="D10" s="45" t="s">
        <v>37</v>
      </c>
      <c r="E10" s="49" t="s">
        <v>43</v>
      </c>
      <c r="F10" s="49" t="s">
        <v>43</v>
      </c>
      <c r="G10" s="45" t="s">
        <v>48</v>
      </c>
      <c r="H10" s="49" t="s">
        <v>43</v>
      </c>
      <c r="I10" s="53">
        <v>499</v>
      </c>
      <c r="J10" s="53">
        <v>449</v>
      </c>
      <c r="K10" s="55">
        <v>720</v>
      </c>
      <c r="L10" s="55">
        <v>648</v>
      </c>
      <c r="M10" s="55">
        <v>550.8</v>
      </c>
      <c r="N10" s="63">
        <v>495</v>
      </c>
      <c r="O10" s="63">
        <v>445</v>
      </c>
      <c r="P10" s="63">
        <v>380</v>
      </c>
      <c r="Q10" s="45" t="s">
        <v>54</v>
      </c>
      <c r="R10" s="45" t="s">
        <v>43</v>
      </c>
      <c r="S10" s="45" t="s">
        <v>43</v>
      </c>
      <c r="T10" s="69"/>
      <c r="U10" s="49" t="s">
        <v>84</v>
      </c>
      <c r="V10" s="45" t="s">
        <v>85</v>
      </c>
      <c r="W10" s="45">
        <v>311100020</v>
      </c>
      <c r="X10" s="45" t="s">
        <v>86</v>
      </c>
      <c r="Y10" s="43" t="s">
        <v>87</v>
      </c>
      <c r="Z10" s="71" t="s">
        <v>43</v>
      </c>
      <c r="AA10" s="71" t="s">
        <v>88</v>
      </c>
      <c r="AB10" s="48" t="s">
        <v>43</v>
      </c>
      <c r="AC10" s="75">
        <v>800</v>
      </c>
      <c r="AD10" s="74" t="s">
        <v>43</v>
      </c>
      <c r="AE10" s="80">
        <v>720</v>
      </c>
      <c r="AF10" s="80">
        <v>648</v>
      </c>
      <c r="AG10" s="80">
        <v>550.8</v>
      </c>
    </row>
    <row r="11" ht="53" customHeight="1" spans="1:33">
      <c r="A11" s="43">
        <v>5</v>
      </c>
      <c r="B11" s="43" t="s">
        <v>89</v>
      </c>
      <c r="C11" s="43" t="s">
        <v>90</v>
      </c>
      <c r="D11" s="43" t="s">
        <v>37</v>
      </c>
      <c r="E11" s="48" t="s">
        <v>91</v>
      </c>
      <c r="F11" s="48" t="s">
        <v>75</v>
      </c>
      <c r="G11" s="43" t="s">
        <v>40</v>
      </c>
      <c r="H11" s="48"/>
      <c r="I11" s="53">
        <v>132</v>
      </c>
      <c r="J11" s="53">
        <v>120</v>
      </c>
      <c r="K11" s="54">
        <v>132</v>
      </c>
      <c r="L11" s="54">
        <v>120</v>
      </c>
      <c r="M11" s="54">
        <v>102</v>
      </c>
      <c r="N11" s="63">
        <v>132</v>
      </c>
      <c r="O11" s="63">
        <v>120</v>
      </c>
      <c r="P11" s="63">
        <v>102</v>
      </c>
      <c r="Q11" s="45" t="s">
        <v>54</v>
      </c>
      <c r="R11" s="45" t="s">
        <v>43</v>
      </c>
      <c r="S11" s="45" t="s">
        <v>43</v>
      </c>
      <c r="T11" s="69" t="s">
        <v>55</v>
      </c>
      <c r="U11" s="49" t="s">
        <v>55</v>
      </c>
      <c r="V11" s="43" t="s">
        <v>92</v>
      </c>
      <c r="W11" s="71">
        <v>311000034</v>
      </c>
      <c r="X11" s="43" t="s">
        <v>93</v>
      </c>
      <c r="Y11" s="43" t="s">
        <v>94</v>
      </c>
      <c r="Z11" s="71" t="s">
        <v>43</v>
      </c>
      <c r="AA11" s="71" t="s">
        <v>40</v>
      </c>
      <c r="AB11" s="48" t="s">
        <v>43</v>
      </c>
      <c r="AC11" s="75">
        <v>132</v>
      </c>
      <c r="AD11" s="75">
        <v>120</v>
      </c>
      <c r="AE11" s="80">
        <v>132</v>
      </c>
      <c r="AF11" s="80">
        <v>120</v>
      </c>
      <c r="AG11" s="80">
        <v>102</v>
      </c>
    </row>
    <row r="12" ht="56" customHeight="1" spans="1:33">
      <c r="A12" s="43">
        <v>6</v>
      </c>
      <c r="B12" s="43" t="s">
        <v>95</v>
      </c>
      <c r="C12" s="43" t="s">
        <v>96</v>
      </c>
      <c r="D12" s="43" t="s">
        <v>37</v>
      </c>
      <c r="E12" s="48" t="s">
        <v>97</v>
      </c>
      <c r="F12" s="48" t="s">
        <v>98</v>
      </c>
      <c r="G12" s="43" t="s">
        <v>40</v>
      </c>
      <c r="H12" s="48" t="s">
        <v>43</v>
      </c>
      <c r="I12" s="53">
        <v>63</v>
      </c>
      <c r="J12" s="53">
        <v>57</v>
      </c>
      <c r="K12" s="54"/>
      <c r="L12" s="54"/>
      <c r="M12" s="54"/>
      <c r="N12" s="63">
        <v>60</v>
      </c>
      <c r="O12" s="63">
        <v>54</v>
      </c>
      <c r="P12" s="63">
        <v>46</v>
      </c>
      <c r="Q12" s="45" t="s">
        <v>42</v>
      </c>
      <c r="R12" s="45" t="s">
        <v>43</v>
      </c>
      <c r="S12" s="45" t="s">
        <v>43</v>
      </c>
      <c r="T12" s="69" t="s">
        <v>99</v>
      </c>
      <c r="U12" s="49" t="s">
        <v>100</v>
      </c>
      <c r="V12" s="43"/>
      <c r="W12" s="71"/>
      <c r="X12" s="43"/>
      <c r="Y12" s="43"/>
      <c r="Z12" s="71"/>
      <c r="AA12" s="71"/>
      <c r="AB12" s="48"/>
      <c r="AC12" s="74"/>
      <c r="AD12" s="74"/>
      <c r="AE12" s="78"/>
      <c r="AF12" s="78"/>
      <c r="AG12" s="78"/>
    </row>
    <row r="13" ht="56" customHeight="1" spans="1:33">
      <c r="A13" s="43">
        <v>7</v>
      </c>
      <c r="B13" s="43" t="s">
        <v>101</v>
      </c>
      <c r="C13" s="43" t="s">
        <v>102</v>
      </c>
      <c r="D13" s="43" t="s">
        <v>37</v>
      </c>
      <c r="E13" s="48" t="s">
        <v>103</v>
      </c>
      <c r="F13" s="48" t="s">
        <v>104</v>
      </c>
      <c r="G13" s="43" t="s">
        <v>40</v>
      </c>
      <c r="H13" s="48" t="s">
        <v>43</v>
      </c>
      <c r="I13" s="53">
        <v>100</v>
      </c>
      <c r="J13" s="53">
        <v>90</v>
      </c>
      <c r="K13" s="54">
        <v>99</v>
      </c>
      <c r="L13" s="54">
        <v>89</v>
      </c>
      <c r="M13" s="54">
        <v>77</v>
      </c>
      <c r="N13" s="63">
        <v>99</v>
      </c>
      <c r="O13" s="63">
        <v>89</v>
      </c>
      <c r="P13" s="63">
        <v>77</v>
      </c>
      <c r="Q13" s="45" t="s">
        <v>42</v>
      </c>
      <c r="R13" s="45" t="s">
        <v>43</v>
      </c>
      <c r="S13" s="45" t="s">
        <v>43</v>
      </c>
      <c r="T13" s="69" t="s">
        <v>55</v>
      </c>
      <c r="U13" s="49" t="s">
        <v>55</v>
      </c>
      <c r="V13" s="43" t="s">
        <v>105</v>
      </c>
      <c r="W13" s="71">
        <v>311100003</v>
      </c>
      <c r="X13" s="43" t="s">
        <v>106</v>
      </c>
      <c r="Y13" s="43" t="s">
        <v>107</v>
      </c>
      <c r="Z13" s="71" t="s">
        <v>43</v>
      </c>
      <c r="AA13" s="71" t="s">
        <v>40</v>
      </c>
      <c r="AB13" s="48" t="s">
        <v>43</v>
      </c>
      <c r="AC13" s="75">
        <v>100</v>
      </c>
      <c r="AD13" s="75">
        <v>90</v>
      </c>
      <c r="AE13" s="80">
        <v>99</v>
      </c>
      <c r="AF13" s="80">
        <v>89</v>
      </c>
      <c r="AG13" s="80">
        <v>77</v>
      </c>
    </row>
    <row r="14" ht="33" customHeight="1" spans="1:33">
      <c r="A14" s="45">
        <v>8</v>
      </c>
      <c r="B14" s="45" t="s">
        <v>108</v>
      </c>
      <c r="C14" s="45" t="s">
        <v>109</v>
      </c>
      <c r="D14" s="45" t="s">
        <v>37</v>
      </c>
      <c r="E14" s="49" t="s">
        <v>110</v>
      </c>
      <c r="F14" s="49" t="s">
        <v>111</v>
      </c>
      <c r="G14" s="45" t="s">
        <v>40</v>
      </c>
      <c r="H14" s="49" t="s">
        <v>43</v>
      </c>
      <c r="I14" s="53">
        <v>77</v>
      </c>
      <c r="J14" s="53">
        <v>69</v>
      </c>
      <c r="K14" s="55"/>
      <c r="L14" s="55">
        <v>80</v>
      </c>
      <c r="M14" s="55"/>
      <c r="N14" s="63">
        <v>77</v>
      </c>
      <c r="O14" s="63">
        <v>69</v>
      </c>
      <c r="P14" s="63">
        <v>60</v>
      </c>
      <c r="Q14" s="45" t="s">
        <v>42</v>
      </c>
      <c r="R14" s="45" t="s">
        <v>43</v>
      </c>
      <c r="S14" s="45" t="s">
        <v>43</v>
      </c>
      <c r="T14" s="69" t="s">
        <v>76</v>
      </c>
      <c r="U14" s="49" t="s">
        <v>112</v>
      </c>
      <c r="V14" s="43" t="s">
        <v>113</v>
      </c>
      <c r="W14" s="71">
        <v>311100004</v>
      </c>
      <c r="X14" s="43" t="s">
        <v>114</v>
      </c>
      <c r="Y14" s="43" t="s">
        <v>43</v>
      </c>
      <c r="Z14" s="71" t="s">
        <v>43</v>
      </c>
      <c r="AA14" s="71" t="s">
        <v>40</v>
      </c>
      <c r="AB14" s="48" t="s">
        <v>43</v>
      </c>
      <c r="AC14" s="75">
        <v>80</v>
      </c>
      <c r="AD14" s="75">
        <v>72</v>
      </c>
      <c r="AE14" s="80">
        <v>88</v>
      </c>
      <c r="AF14" s="80">
        <v>80</v>
      </c>
      <c r="AG14" s="80">
        <v>68</v>
      </c>
    </row>
    <row r="15" ht="33" customHeight="1" spans="1:33">
      <c r="A15" s="45"/>
      <c r="B15" s="45"/>
      <c r="C15" s="45"/>
      <c r="D15" s="45"/>
      <c r="E15" s="49"/>
      <c r="F15" s="49"/>
      <c r="G15" s="45"/>
      <c r="H15" s="49"/>
      <c r="I15" s="53"/>
      <c r="J15" s="53"/>
      <c r="K15" s="55"/>
      <c r="L15" s="55"/>
      <c r="M15" s="55"/>
      <c r="N15" s="63"/>
      <c r="O15" s="63"/>
      <c r="P15" s="63"/>
      <c r="Q15" s="45"/>
      <c r="R15" s="45"/>
      <c r="S15" s="45"/>
      <c r="T15" s="69"/>
      <c r="U15" s="49"/>
      <c r="V15" s="43" t="s">
        <v>115</v>
      </c>
      <c r="W15" s="71">
        <v>311100011</v>
      </c>
      <c r="X15" s="43" t="s">
        <v>116</v>
      </c>
      <c r="Y15" s="43" t="s">
        <v>43</v>
      </c>
      <c r="Z15" s="71" t="s">
        <v>43</v>
      </c>
      <c r="AA15" s="71" t="s">
        <v>40</v>
      </c>
      <c r="AB15" s="48" t="s">
        <v>43</v>
      </c>
      <c r="AC15" s="75">
        <v>44</v>
      </c>
      <c r="AD15" s="75">
        <v>40</v>
      </c>
      <c r="AE15" s="80">
        <v>44</v>
      </c>
      <c r="AF15" s="80">
        <v>40</v>
      </c>
      <c r="AG15" s="80">
        <v>34</v>
      </c>
    </row>
    <row r="16" ht="58" customHeight="1" spans="1:33">
      <c r="A16" s="45">
        <v>9</v>
      </c>
      <c r="B16" s="45" t="s">
        <v>117</v>
      </c>
      <c r="C16" s="45" t="s">
        <v>118</v>
      </c>
      <c r="D16" s="45" t="s">
        <v>37</v>
      </c>
      <c r="E16" s="49" t="s">
        <v>119</v>
      </c>
      <c r="F16" s="49" t="s">
        <v>120</v>
      </c>
      <c r="G16" s="45" t="s">
        <v>40</v>
      </c>
      <c r="H16" s="49" t="s">
        <v>43</v>
      </c>
      <c r="I16" s="53">
        <v>110</v>
      </c>
      <c r="J16" s="53">
        <v>99</v>
      </c>
      <c r="K16" s="55">
        <v>110</v>
      </c>
      <c r="L16" s="55">
        <v>100</v>
      </c>
      <c r="M16" s="55">
        <v>85</v>
      </c>
      <c r="N16" s="63">
        <v>110</v>
      </c>
      <c r="O16" s="63">
        <v>99</v>
      </c>
      <c r="P16" s="63">
        <v>85</v>
      </c>
      <c r="Q16" s="45" t="s">
        <v>42</v>
      </c>
      <c r="R16" s="45" t="s">
        <v>43</v>
      </c>
      <c r="S16" s="45" t="s">
        <v>43</v>
      </c>
      <c r="T16" s="69" t="s">
        <v>67</v>
      </c>
      <c r="U16" s="49" t="s">
        <v>121</v>
      </c>
      <c r="V16" s="43" t="s">
        <v>122</v>
      </c>
      <c r="W16" s="71">
        <v>311100005</v>
      </c>
      <c r="X16" s="43" t="s">
        <v>123</v>
      </c>
      <c r="Y16" s="43" t="s">
        <v>124</v>
      </c>
      <c r="Z16" s="71" t="s">
        <v>43</v>
      </c>
      <c r="AA16" s="71" t="s">
        <v>40</v>
      </c>
      <c r="AB16" s="48" t="s">
        <v>43</v>
      </c>
      <c r="AC16" s="75">
        <v>110</v>
      </c>
      <c r="AD16" s="75">
        <v>99</v>
      </c>
      <c r="AE16" s="80">
        <v>110</v>
      </c>
      <c r="AF16" s="80">
        <v>100</v>
      </c>
      <c r="AG16" s="80">
        <v>85</v>
      </c>
    </row>
    <row r="17" s="30" customFormat="1" ht="69" customHeight="1" spans="1:36">
      <c r="A17" s="46">
        <v>10</v>
      </c>
      <c r="B17" s="46" t="s">
        <v>125</v>
      </c>
      <c r="C17" s="46" t="s">
        <v>126</v>
      </c>
      <c r="D17" s="46" t="s">
        <v>127</v>
      </c>
      <c r="E17" s="50" t="s">
        <v>128</v>
      </c>
      <c r="F17" s="50" t="s">
        <v>129</v>
      </c>
      <c r="G17" s="46" t="s">
        <v>40</v>
      </c>
      <c r="H17" s="50" t="s">
        <v>130</v>
      </c>
      <c r="I17" s="53">
        <v>398</v>
      </c>
      <c r="J17" s="53">
        <v>398</v>
      </c>
      <c r="K17" s="58">
        <v>385</v>
      </c>
      <c r="L17" s="58">
        <v>370</v>
      </c>
      <c r="M17" s="58">
        <v>340</v>
      </c>
      <c r="N17" s="63">
        <v>385</v>
      </c>
      <c r="O17" s="63">
        <v>370</v>
      </c>
      <c r="P17" s="63">
        <v>340</v>
      </c>
      <c r="Q17" s="45" t="s">
        <v>54</v>
      </c>
      <c r="R17" s="45" t="s">
        <v>43</v>
      </c>
      <c r="S17" s="45" t="s">
        <v>43</v>
      </c>
      <c r="T17" s="69" t="s">
        <v>131</v>
      </c>
      <c r="U17" s="49" t="s">
        <v>132</v>
      </c>
      <c r="V17" s="46" t="s">
        <v>125</v>
      </c>
      <c r="W17" s="46" t="s">
        <v>125</v>
      </c>
      <c r="X17" s="43" t="s">
        <v>126</v>
      </c>
      <c r="Y17" s="48" t="s">
        <v>128</v>
      </c>
      <c r="Z17" s="71"/>
      <c r="AA17" s="43" t="s">
        <v>40</v>
      </c>
      <c r="AB17" s="48" t="s">
        <v>130</v>
      </c>
      <c r="AC17" s="76">
        <v>398</v>
      </c>
      <c r="AD17" s="76">
        <v>398</v>
      </c>
      <c r="AE17" s="73">
        <v>385</v>
      </c>
      <c r="AF17" s="73">
        <v>370</v>
      </c>
      <c r="AG17" s="73">
        <v>340</v>
      </c>
      <c r="AH17" s="32"/>
      <c r="AI17" s="32"/>
      <c r="AJ17" s="32"/>
    </row>
    <row r="18" s="30" customFormat="1" ht="69" customHeight="1" spans="1:36">
      <c r="A18" s="46">
        <v>11</v>
      </c>
      <c r="B18" s="46" t="s">
        <v>133</v>
      </c>
      <c r="C18" s="46" t="s">
        <v>134</v>
      </c>
      <c r="D18" s="46" t="s">
        <v>127</v>
      </c>
      <c r="E18" s="50" t="s">
        <v>135</v>
      </c>
      <c r="F18" s="50" t="s">
        <v>136</v>
      </c>
      <c r="G18" s="46" t="s">
        <v>40</v>
      </c>
      <c r="H18" s="50" t="s">
        <v>130</v>
      </c>
      <c r="I18" s="53">
        <v>398</v>
      </c>
      <c r="J18" s="53">
        <v>398</v>
      </c>
      <c r="K18" s="58">
        <v>395</v>
      </c>
      <c r="L18" s="58">
        <v>390</v>
      </c>
      <c r="M18" s="58">
        <v>355</v>
      </c>
      <c r="N18" s="63">
        <v>395</v>
      </c>
      <c r="O18" s="63">
        <v>390</v>
      </c>
      <c r="P18" s="63">
        <v>355</v>
      </c>
      <c r="Q18" s="45" t="s">
        <v>54</v>
      </c>
      <c r="R18" s="45" t="s">
        <v>43</v>
      </c>
      <c r="S18" s="45" t="s">
        <v>43</v>
      </c>
      <c r="T18" s="69" t="s">
        <v>131</v>
      </c>
      <c r="U18" s="49" t="s">
        <v>132</v>
      </c>
      <c r="V18" s="46" t="s">
        <v>133</v>
      </c>
      <c r="W18" s="46" t="s">
        <v>133</v>
      </c>
      <c r="X18" s="43" t="s">
        <v>134</v>
      </c>
      <c r="Y18" s="48" t="s">
        <v>135</v>
      </c>
      <c r="Z18" s="71"/>
      <c r="AA18" s="43" t="s">
        <v>40</v>
      </c>
      <c r="AB18" s="48" t="s">
        <v>130</v>
      </c>
      <c r="AC18" s="76">
        <v>398</v>
      </c>
      <c r="AD18" s="76">
        <v>398</v>
      </c>
      <c r="AE18" s="73">
        <v>395</v>
      </c>
      <c r="AF18" s="73">
        <v>390</v>
      </c>
      <c r="AG18" s="73">
        <v>355</v>
      </c>
      <c r="AH18" s="32"/>
      <c r="AI18" s="32"/>
      <c r="AJ18" s="32"/>
    </row>
    <row r="19" s="30" customFormat="1" ht="74" customHeight="1" spans="1:36">
      <c r="A19" s="43">
        <v>12</v>
      </c>
      <c r="B19" s="43" t="s">
        <v>137</v>
      </c>
      <c r="C19" s="43" t="s">
        <v>138</v>
      </c>
      <c r="D19" s="43" t="s">
        <v>127</v>
      </c>
      <c r="E19" s="48" t="s">
        <v>139</v>
      </c>
      <c r="F19" s="48" t="s">
        <v>140</v>
      </c>
      <c r="G19" s="43" t="s">
        <v>40</v>
      </c>
      <c r="H19" s="48" t="s">
        <v>130</v>
      </c>
      <c r="I19" s="53">
        <v>598</v>
      </c>
      <c r="J19" s="53">
        <v>598</v>
      </c>
      <c r="K19" s="54">
        <v>590</v>
      </c>
      <c r="L19" s="54">
        <v>575</v>
      </c>
      <c r="M19" s="54">
        <v>510</v>
      </c>
      <c r="N19" s="63">
        <v>590</v>
      </c>
      <c r="O19" s="63">
        <v>575</v>
      </c>
      <c r="P19" s="63">
        <v>510</v>
      </c>
      <c r="Q19" s="45" t="s">
        <v>54</v>
      </c>
      <c r="R19" s="45" t="s">
        <v>43</v>
      </c>
      <c r="S19" s="45" t="s">
        <v>43</v>
      </c>
      <c r="T19" s="69" t="s">
        <v>131</v>
      </c>
      <c r="U19" s="49" t="s">
        <v>132</v>
      </c>
      <c r="V19" s="43" t="s">
        <v>137</v>
      </c>
      <c r="W19" s="43" t="s">
        <v>137</v>
      </c>
      <c r="X19" s="43" t="s">
        <v>138</v>
      </c>
      <c r="Y19" s="48" t="s">
        <v>139</v>
      </c>
      <c r="Z19" s="71"/>
      <c r="AA19" s="43" t="s">
        <v>40</v>
      </c>
      <c r="AB19" s="48" t="s">
        <v>130</v>
      </c>
      <c r="AC19" s="76">
        <v>598</v>
      </c>
      <c r="AD19" s="76">
        <v>598</v>
      </c>
      <c r="AE19" s="73">
        <v>590</v>
      </c>
      <c r="AF19" s="73">
        <v>575</v>
      </c>
      <c r="AG19" s="73">
        <v>510</v>
      </c>
      <c r="AH19" s="32"/>
      <c r="AI19" s="32"/>
      <c r="AJ19" s="32"/>
    </row>
    <row r="20" s="30" customFormat="1" ht="69" customHeight="1" spans="1:36">
      <c r="A20" s="43">
        <v>13</v>
      </c>
      <c r="B20" s="43" t="s">
        <v>141</v>
      </c>
      <c r="C20" s="43" t="s">
        <v>142</v>
      </c>
      <c r="D20" s="43" t="s">
        <v>127</v>
      </c>
      <c r="E20" s="48" t="s">
        <v>143</v>
      </c>
      <c r="F20" s="48" t="s">
        <v>144</v>
      </c>
      <c r="G20" s="43" t="s">
        <v>40</v>
      </c>
      <c r="H20" s="48"/>
      <c r="I20" s="53">
        <v>300</v>
      </c>
      <c r="J20" s="53">
        <v>300</v>
      </c>
      <c r="K20" s="54">
        <v>275</v>
      </c>
      <c r="L20" s="54">
        <v>260</v>
      </c>
      <c r="M20" s="54">
        <v>250</v>
      </c>
      <c r="N20" s="63">
        <v>275</v>
      </c>
      <c r="O20" s="63">
        <v>260</v>
      </c>
      <c r="P20" s="63">
        <v>250</v>
      </c>
      <c r="Q20" s="45"/>
      <c r="R20" s="45"/>
      <c r="S20" s="45"/>
      <c r="T20" s="69" t="s">
        <v>131</v>
      </c>
      <c r="U20" s="49" t="s">
        <v>132</v>
      </c>
      <c r="V20" s="43" t="s">
        <v>141</v>
      </c>
      <c r="W20" s="43" t="s">
        <v>141</v>
      </c>
      <c r="X20" s="43" t="s">
        <v>142</v>
      </c>
      <c r="Y20" s="48" t="s">
        <v>143</v>
      </c>
      <c r="Z20" s="71"/>
      <c r="AA20" s="43" t="s">
        <v>40</v>
      </c>
      <c r="AB20" s="48"/>
      <c r="AC20" s="76">
        <v>300</v>
      </c>
      <c r="AD20" s="76">
        <v>300</v>
      </c>
      <c r="AE20" s="73">
        <v>275</v>
      </c>
      <c r="AF20" s="73">
        <v>260</v>
      </c>
      <c r="AG20" s="73">
        <v>250</v>
      </c>
      <c r="AH20" s="32"/>
      <c r="AI20" s="32"/>
      <c r="AJ20" s="32"/>
    </row>
    <row r="21" s="30" customFormat="1" ht="69" customHeight="1" spans="1:36">
      <c r="A21" s="46">
        <v>14</v>
      </c>
      <c r="B21" s="46" t="s">
        <v>145</v>
      </c>
      <c r="C21" s="46" t="s">
        <v>146</v>
      </c>
      <c r="D21" s="46" t="s">
        <v>127</v>
      </c>
      <c r="E21" s="50" t="s">
        <v>147</v>
      </c>
      <c r="F21" s="50" t="s">
        <v>148</v>
      </c>
      <c r="G21" s="46" t="s">
        <v>40</v>
      </c>
      <c r="H21" s="50" t="s">
        <v>130</v>
      </c>
      <c r="I21" s="53">
        <v>620</v>
      </c>
      <c r="J21" s="53">
        <v>620</v>
      </c>
      <c r="K21" s="58">
        <v>520</v>
      </c>
      <c r="L21" s="58">
        <v>520</v>
      </c>
      <c r="M21" s="58">
        <v>440</v>
      </c>
      <c r="N21" s="63">
        <v>520</v>
      </c>
      <c r="O21" s="63">
        <v>520</v>
      </c>
      <c r="P21" s="63">
        <v>440</v>
      </c>
      <c r="Q21" s="45" t="s">
        <v>54</v>
      </c>
      <c r="R21" s="45" t="s">
        <v>43</v>
      </c>
      <c r="S21" s="45">
        <v>0.05</v>
      </c>
      <c r="T21" s="69" t="s">
        <v>131</v>
      </c>
      <c r="U21" s="49" t="s">
        <v>132</v>
      </c>
      <c r="V21" s="112" t="s">
        <v>145</v>
      </c>
      <c r="W21" s="112" t="s">
        <v>145</v>
      </c>
      <c r="X21" s="43" t="s">
        <v>146</v>
      </c>
      <c r="Y21" s="48" t="s">
        <v>147</v>
      </c>
      <c r="Z21" s="71"/>
      <c r="AA21" s="43" t="s">
        <v>40</v>
      </c>
      <c r="AB21" s="48" t="s">
        <v>130</v>
      </c>
      <c r="AC21" s="75">
        <v>620</v>
      </c>
      <c r="AD21" s="75">
        <v>620</v>
      </c>
      <c r="AE21" s="73">
        <v>520</v>
      </c>
      <c r="AF21" s="73">
        <v>520</v>
      </c>
      <c r="AG21" s="73">
        <f>420+20</f>
        <v>440</v>
      </c>
      <c r="AH21" s="32"/>
      <c r="AI21" s="32"/>
      <c r="AJ21" s="32"/>
    </row>
    <row r="22" s="30" customFormat="1" ht="45" customHeight="1" spans="1:36">
      <c r="A22" s="46">
        <v>15</v>
      </c>
      <c r="B22" s="46" t="s">
        <v>149</v>
      </c>
      <c r="C22" s="46" t="s">
        <v>150</v>
      </c>
      <c r="D22" s="46" t="s">
        <v>127</v>
      </c>
      <c r="E22" s="50" t="s">
        <v>151</v>
      </c>
      <c r="F22" s="50" t="s">
        <v>152</v>
      </c>
      <c r="G22" s="46" t="s">
        <v>40</v>
      </c>
      <c r="H22" s="50" t="s">
        <v>153</v>
      </c>
      <c r="I22" s="53">
        <v>800</v>
      </c>
      <c r="J22" s="53">
        <v>720</v>
      </c>
      <c r="K22" s="58"/>
      <c r="L22" s="58"/>
      <c r="M22" s="58"/>
      <c r="N22" s="63">
        <v>750</v>
      </c>
      <c r="O22" s="63">
        <v>700</v>
      </c>
      <c r="P22" s="63">
        <v>595</v>
      </c>
      <c r="Q22" s="45" t="s">
        <v>54</v>
      </c>
      <c r="R22" s="45" t="s">
        <v>43</v>
      </c>
      <c r="S22" s="45">
        <v>0.2</v>
      </c>
      <c r="T22" s="69" t="s">
        <v>67</v>
      </c>
      <c r="U22" s="49" t="s">
        <v>154</v>
      </c>
      <c r="V22" s="43" t="s">
        <v>155</v>
      </c>
      <c r="W22" s="71">
        <v>310905023</v>
      </c>
      <c r="X22" s="43" t="s">
        <v>156</v>
      </c>
      <c r="Y22" s="43" t="s">
        <v>43</v>
      </c>
      <c r="Z22" s="71" t="s">
        <v>157</v>
      </c>
      <c r="AA22" s="71" t="s">
        <v>40</v>
      </c>
      <c r="AB22" s="48" t="s">
        <v>43</v>
      </c>
      <c r="AC22" s="75">
        <v>1600</v>
      </c>
      <c r="AD22" s="75">
        <v>1440</v>
      </c>
      <c r="AE22" s="80">
        <v>1500</v>
      </c>
      <c r="AF22" s="80">
        <v>1350</v>
      </c>
      <c r="AG22" s="80">
        <v>1145</v>
      </c>
      <c r="AH22" s="32"/>
      <c r="AI22" s="32"/>
      <c r="AJ22" s="32"/>
    </row>
    <row r="23" s="30" customFormat="1" ht="45" customHeight="1" spans="1:36">
      <c r="A23" s="46"/>
      <c r="B23" s="46"/>
      <c r="C23" s="46"/>
      <c r="D23" s="46"/>
      <c r="E23" s="50"/>
      <c r="F23" s="50"/>
      <c r="G23" s="46"/>
      <c r="H23" s="50"/>
      <c r="I23" s="102"/>
      <c r="J23" s="102"/>
      <c r="K23" s="58"/>
      <c r="L23" s="58"/>
      <c r="M23" s="58"/>
      <c r="N23" s="63"/>
      <c r="O23" s="63"/>
      <c r="P23" s="63"/>
      <c r="Q23" s="45"/>
      <c r="R23" s="45"/>
      <c r="S23" s="45"/>
      <c r="T23" s="69"/>
      <c r="U23" s="49"/>
      <c r="V23" s="112" t="s">
        <v>149</v>
      </c>
      <c r="W23" s="112" t="s">
        <v>149</v>
      </c>
      <c r="X23" s="43" t="s">
        <v>150</v>
      </c>
      <c r="Y23" s="43" t="s">
        <v>151</v>
      </c>
      <c r="Z23" s="71"/>
      <c r="AA23" s="71"/>
      <c r="AB23" s="48"/>
      <c r="AC23" s="75">
        <v>2600</v>
      </c>
      <c r="AD23" s="75">
        <v>2340</v>
      </c>
      <c r="AE23" s="78">
        <v>2450</v>
      </c>
      <c r="AF23" s="78">
        <v>2325</v>
      </c>
      <c r="AG23" s="78">
        <v>2000</v>
      </c>
      <c r="AH23" s="32"/>
      <c r="AI23" s="32"/>
      <c r="AJ23" s="32"/>
    </row>
    <row r="24" s="30" customFormat="1" ht="51" customHeight="1" spans="1:36">
      <c r="A24" s="46" t="s">
        <v>81</v>
      </c>
      <c r="B24" s="46" t="s">
        <v>158</v>
      </c>
      <c r="C24" s="46" t="s">
        <v>159</v>
      </c>
      <c r="D24" s="46" t="s">
        <v>127</v>
      </c>
      <c r="E24" s="50" t="s">
        <v>43</v>
      </c>
      <c r="F24" s="50" t="s">
        <v>43</v>
      </c>
      <c r="G24" s="46" t="s">
        <v>40</v>
      </c>
      <c r="H24" s="50" t="s">
        <v>43</v>
      </c>
      <c r="I24" s="53">
        <v>340</v>
      </c>
      <c r="J24" s="53">
        <v>306</v>
      </c>
      <c r="K24" s="58"/>
      <c r="L24" s="58"/>
      <c r="M24" s="58"/>
      <c r="N24" s="63">
        <v>320</v>
      </c>
      <c r="O24" s="63">
        <v>300</v>
      </c>
      <c r="P24" s="63">
        <v>255</v>
      </c>
      <c r="Q24" s="45" t="s">
        <v>54</v>
      </c>
      <c r="R24" s="45" t="s">
        <v>43</v>
      </c>
      <c r="S24" s="45">
        <v>0.2</v>
      </c>
      <c r="T24" s="69"/>
      <c r="U24" s="49" t="s">
        <v>160</v>
      </c>
      <c r="V24" s="43"/>
      <c r="W24" s="71"/>
      <c r="X24" s="43"/>
      <c r="Y24" s="43"/>
      <c r="Z24" s="71"/>
      <c r="AA24" s="71"/>
      <c r="AB24" s="48"/>
      <c r="AC24" s="74"/>
      <c r="AD24" s="74"/>
      <c r="AE24" s="78"/>
      <c r="AF24" s="78"/>
      <c r="AG24" s="78"/>
      <c r="AH24" s="32"/>
      <c r="AI24" s="32"/>
      <c r="AJ24" s="32"/>
    </row>
    <row r="25" ht="78" customHeight="1" spans="1:33">
      <c r="A25" s="46">
        <v>16</v>
      </c>
      <c r="B25" s="46" t="s">
        <v>161</v>
      </c>
      <c r="C25" s="46" t="s">
        <v>162</v>
      </c>
      <c r="D25" s="46" t="s">
        <v>127</v>
      </c>
      <c r="E25" s="50" t="s">
        <v>163</v>
      </c>
      <c r="F25" s="50" t="s">
        <v>164</v>
      </c>
      <c r="G25" s="46" t="s">
        <v>40</v>
      </c>
      <c r="H25" s="50" t="s">
        <v>43</v>
      </c>
      <c r="I25" s="53">
        <v>1200</v>
      </c>
      <c r="J25" s="53">
        <v>1080</v>
      </c>
      <c r="K25" s="58"/>
      <c r="L25" s="58"/>
      <c r="M25" s="58"/>
      <c r="N25" s="63">
        <v>1100</v>
      </c>
      <c r="O25" s="63">
        <v>1000</v>
      </c>
      <c r="P25" s="63">
        <v>850</v>
      </c>
      <c r="Q25" s="45" t="s">
        <v>54</v>
      </c>
      <c r="R25" s="45" t="s">
        <v>43</v>
      </c>
      <c r="S25" s="45">
        <v>0.05</v>
      </c>
      <c r="T25" s="69" t="s">
        <v>44</v>
      </c>
      <c r="U25" s="49" t="s">
        <v>45</v>
      </c>
      <c r="V25" s="43"/>
      <c r="W25" s="43"/>
      <c r="X25" s="43"/>
      <c r="Y25" s="43"/>
      <c r="Z25" s="71"/>
      <c r="AA25" s="71"/>
      <c r="AB25" s="48"/>
      <c r="AC25" s="75"/>
      <c r="AD25" s="75"/>
      <c r="AE25" s="78"/>
      <c r="AF25" s="78"/>
      <c r="AG25" s="78"/>
    </row>
    <row r="26" s="30" customFormat="1" ht="87" customHeight="1" spans="1:36">
      <c r="A26" s="46">
        <v>17</v>
      </c>
      <c r="B26" s="46" t="s">
        <v>165</v>
      </c>
      <c r="C26" s="46" t="s">
        <v>166</v>
      </c>
      <c r="D26" s="46" t="s">
        <v>127</v>
      </c>
      <c r="E26" s="50" t="s">
        <v>167</v>
      </c>
      <c r="F26" s="50" t="s">
        <v>168</v>
      </c>
      <c r="G26" s="46" t="s">
        <v>169</v>
      </c>
      <c r="H26" s="50" t="s">
        <v>170</v>
      </c>
      <c r="I26" s="53">
        <v>96</v>
      </c>
      <c r="J26" s="53">
        <v>96</v>
      </c>
      <c r="K26" s="58">
        <v>95</v>
      </c>
      <c r="L26" s="58">
        <v>95</v>
      </c>
      <c r="M26" s="58">
        <v>86</v>
      </c>
      <c r="N26" s="63">
        <v>95</v>
      </c>
      <c r="O26" s="63">
        <v>95</v>
      </c>
      <c r="P26" s="63">
        <v>86</v>
      </c>
      <c r="Q26" s="45" t="s">
        <v>54</v>
      </c>
      <c r="R26" s="45" t="s">
        <v>43</v>
      </c>
      <c r="S26" s="45" t="s">
        <v>43</v>
      </c>
      <c r="T26" s="69" t="s">
        <v>131</v>
      </c>
      <c r="U26" s="49" t="s">
        <v>171</v>
      </c>
      <c r="V26" s="112" t="s">
        <v>165</v>
      </c>
      <c r="W26" s="112" t="s">
        <v>165</v>
      </c>
      <c r="X26" s="43" t="s">
        <v>166</v>
      </c>
      <c r="Y26" s="43"/>
      <c r="Z26" s="71"/>
      <c r="AA26" s="43" t="s">
        <v>169</v>
      </c>
      <c r="AB26" s="48"/>
      <c r="AC26" s="75">
        <v>96</v>
      </c>
      <c r="AD26" s="75">
        <v>96</v>
      </c>
      <c r="AE26" s="73">
        <v>95</v>
      </c>
      <c r="AF26" s="73">
        <v>95</v>
      </c>
      <c r="AG26" s="73">
        <v>86</v>
      </c>
      <c r="AH26" s="32"/>
      <c r="AI26" s="32"/>
      <c r="AJ26" s="32"/>
    </row>
    <row r="27" s="30" customFormat="1" ht="44" customHeight="1" spans="1:36">
      <c r="A27" s="46" t="s">
        <v>81</v>
      </c>
      <c r="B27" s="46" t="s">
        <v>172</v>
      </c>
      <c r="C27" s="46" t="s">
        <v>173</v>
      </c>
      <c r="D27" s="46" t="s">
        <v>127</v>
      </c>
      <c r="E27" s="48"/>
      <c r="F27" s="48"/>
      <c r="G27" s="46" t="s">
        <v>169</v>
      </c>
      <c r="H27" s="50" t="s">
        <v>43</v>
      </c>
      <c r="I27" s="53">
        <v>30</v>
      </c>
      <c r="J27" s="53">
        <v>30</v>
      </c>
      <c r="K27" s="58">
        <v>28</v>
      </c>
      <c r="L27" s="58">
        <v>28</v>
      </c>
      <c r="M27" s="58">
        <v>25</v>
      </c>
      <c r="N27" s="63">
        <v>28</v>
      </c>
      <c r="O27" s="63">
        <v>28</v>
      </c>
      <c r="P27" s="63">
        <v>25</v>
      </c>
      <c r="Q27" s="45" t="s">
        <v>54</v>
      </c>
      <c r="R27" s="45" t="s">
        <v>43</v>
      </c>
      <c r="S27" s="45" t="s">
        <v>43</v>
      </c>
      <c r="T27" s="69"/>
      <c r="U27" s="49" t="s">
        <v>132</v>
      </c>
      <c r="V27" s="112" t="s">
        <v>172</v>
      </c>
      <c r="W27" s="112" t="s">
        <v>172</v>
      </c>
      <c r="X27" s="43" t="s">
        <v>173</v>
      </c>
      <c r="Y27" s="43"/>
      <c r="Z27" s="71"/>
      <c r="AA27" s="43" t="s">
        <v>169</v>
      </c>
      <c r="AB27" s="48"/>
      <c r="AC27" s="75">
        <v>30</v>
      </c>
      <c r="AD27" s="75">
        <v>30</v>
      </c>
      <c r="AE27" s="73">
        <v>28</v>
      </c>
      <c r="AF27" s="73">
        <v>28</v>
      </c>
      <c r="AG27" s="73">
        <v>25</v>
      </c>
      <c r="AH27" s="32"/>
      <c r="AI27" s="32"/>
      <c r="AJ27" s="32"/>
    </row>
    <row r="28" s="30" customFormat="1" ht="60" customHeight="1" spans="1:36">
      <c r="A28" s="46">
        <v>18</v>
      </c>
      <c r="B28" s="46" t="s">
        <v>174</v>
      </c>
      <c r="C28" s="46" t="s">
        <v>175</v>
      </c>
      <c r="D28" s="46" t="s">
        <v>127</v>
      </c>
      <c r="E28" s="50" t="s">
        <v>176</v>
      </c>
      <c r="F28" s="50" t="s">
        <v>177</v>
      </c>
      <c r="G28" s="46" t="s">
        <v>40</v>
      </c>
      <c r="H28" s="50" t="s">
        <v>43</v>
      </c>
      <c r="I28" s="53">
        <v>17</v>
      </c>
      <c r="J28" s="53">
        <v>15</v>
      </c>
      <c r="K28" s="58">
        <v>15</v>
      </c>
      <c r="L28" s="58">
        <v>15</v>
      </c>
      <c r="M28" s="55">
        <v>12.8</v>
      </c>
      <c r="N28" s="63">
        <v>15</v>
      </c>
      <c r="O28" s="63">
        <v>15</v>
      </c>
      <c r="P28" s="63">
        <v>12.8</v>
      </c>
      <c r="Q28" s="45" t="s">
        <v>54</v>
      </c>
      <c r="R28" s="45" t="s">
        <v>43</v>
      </c>
      <c r="S28" s="45" t="s">
        <v>43</v>
      </c>
      <c r="T28" s="69" t="s">
        <v>131</v>
      </c>
      <c r="U28" s="49" t="s">
        <v>132</v>
      </c>
      <c r="V28" s="43"/>
      <c r="W28" s="46" t="s">
        <v>174</v>
      </c>
      <c r="X28" s="43" t="s">
        <v>175</v>
      </c>
      <c r="Y28" s="43" t="s">
        <v>176</v>
      </c>
      <c r="Z28" s="71"/>
      <c r="AA28" s="43" t="s">
        <v>40</v>
      </c>
      <c r="AB28" s="48"/>
      <c r="AC28" s="75">
        <v>17</v>
      </c>
      <c r="AD28" s="75">
        <v>15</v>
      </c>
      <c r="AE28" s="78">
        <v>15</v>
      </c>
      <c r="AF28" s="78">
        <v>15</v>
      </c>
      <c r="AG28" s="78">
        <v>12.8</v>
      </c>
      <c r="AH28" s="32"/>
      <c r="AI28" s="32"/>
      <c r="AJ28" s="32"/>
    </row>
    <row r="29" s="30" customFormat="1" ht="52" customHeight="1" spans="1:36">
      <c r="A29" s="46">
        <v>19</v>
      </c>
      <c r="B29" s="46" t="s">
        <v>178</v>
      </c>
      <c r="C29" s="46" t="s">
        <v>179</v>
      </c>
      <c r="D29" s="46" t="s">
        <v>127</v>
      </c>
      <c r="E29" s="50" t="s">
        <v>180</v>
      </c>
      <c r="F29" s="50" t="s">
        <v>181</v>
      </c>
      <c r="G29" s="46" t="s">
        <v>169</v>
      </c>
      <c r="H29" s="50" t="s">
        <v>43</v>
      </c>
      <c r="I29" s="53">
        <v>17</v>
      </c>
      <c r="J29" s="53">
        <v>15</v>
      </c>
      <c r="K29" s="58">
        <v>15</v>
      </c>
      <c r="L29" s="58">
        <v>15</v>
      </c>
      <c r="M29" s="55">
        <v>12.8</v>
      </c>
      <c r="N29" s="63">
        <v>15</v>
      </c>
      <c r="O29" s="63">
        <v>15</v>
      </c>
      <c r="P29" s="63">
        <v>12.8</v>
      </c>
      <c r="Q29" s="45" t="s">
        <v>54</v>
      </c>
      <c r="R29" s="45" t="s">
        <v>43</v>
      </c>
      <c r="S29" s="45">
        <v>0.05</v>
      </c>
      <c r="T29" s="69" t="s">
        <v>131</v>
      </c>
      <c r="U29" s="49" t="s">
        <v>132</v>
      </c>
      <c r="V29" s="43"/>
      <c r="W29" s="46" t="s">
        <v>178</v>
      </c>
      <c r="X29" s="43" t="s">
        <v>179</v>
      </c>
      <c r="Y29" s="43" t="s">
        <v>180</v>
      </c>
      <c r="Z29" s="71"/>
      <c r="AA29" s="43" t="s">
        <v>169</v>
      </c>
      <c r="AB29" s="48"/>
      <c r="AC29" s="75">
        <v>17</v>
      </c>
      <c r="AD29" s="75">
        <v>15</v>
      </c>
      <c r="AE29" s="78">
        <v>15</v>
      </c>
      <c r="AF29" s="78">
        <v>15</v>
      </c>
      <c r="AG29" s="78">
        <v>12.8</v>
      </c>
      <c r="AH29" s="32"/>
      <c r="AI29" s="32"/>
      <c r="AJ29" s="32"/>
    </row>
    <row r="30" ht="72" customHeight="1" spans="1:33">
      <c r="A30" s="46">
        <v>20</v>
      </c>
      <c r="B30" s="46" t="s">
        <v>182</v>
      </c>
      <c r="C30" s="46" t="s">
        <v>183</v>
      </c>
      <c r="D30" s="46" t="s">
        <v>127</v>
      </c>
      <c r="E30" s="50" t="s">
        <v>184</v>
      </c>
      <c r="F30" s="50" t="s">
        <v>185</v>
      </c>
      <c r="G30" s="46" t="s">
        <v>169</v>
      </c>
      <c r="H30" s="50" t="s">
        <v>186</v>
      </c>
      <c r="I30" s="53">
        <v>50</v>
      </c>
      <c r="J30" s="53">
        <v>45</v>
      </c>
      <c r="K30" s="58"/>
      <c r="L30" s="58"/>
      <c r="M30" s="58"/>
      <c r="N30" s="63">
        <v>45</v>
      </c>
      <c r="O30" s="63">
        <v>41</v>
      </c>
      <c r="P30" s="63">
        <v>35</v>
      </c>
      <c r="Q30" s="45" t="s">
        <v>54</v>
      </c>
      <c r="R30" s="45" t="s">
        <v>43</v>
      </c>
      <c r="S30" s="45">
        <v>0.2</v>
      </c>
      <c r="T30" s="69" t="s">
        <v>99</v>
      </c>
      <c r="U30" s="49" t="s">
        <v>187</v>
      </c>
      <c r="V30" s="43"/>
      <c r="W30" s="71"/>
      <c r="X30" s="43"/>
      <c r="Y30" s="43"/>
      <c r="Z30" s="71"/>
      <c r="AA30" s="71"/>
      <c r="AB30" s="48"/>
      <c r="AC30" s="74"/>
      <c r="AD30" s="74"/>
      <c r="AE30" s="78"/>
      <c r="AF30" s="78"/>
      <c r="AG30" s="78"/>
    </row>
    <row r="31" ht="72" customHeight="1" spans="1:33">
      <c r="A31" s="46">
        <v>21</v>
      </c>
      <c r="B31" s="46" t="s">
        <v>188</v>
      </c>
      <c r="C31" s="46" t="s">
        <v>189</v>
      </c>
      <c r="D31" s="46" t="s">
        <v>127</v>
      </c>
      <c r="E31" s="50" t="s">
        <v>190</v>
      </c>
      <c r="F31" s="50" t="s">
        <v>191</v>
      </c>
      <c r="G31" s="46" t="s">
        <v>192</v>
      </c>
      <c r="H31" s="50" t="s">
        <v>193</v>
      </c>
      <c r="I31" s="53">
        <v>150</v>
      </c>
      <c r="J31" s="53">
        <v>135</v>
      </c>
      <c r="K31" s="58"/>
      <c r="L31" s="58"/>
      <c r="M31" s="58"/>
      <c r="N31" s="63">
        <v>135</v>
      </c>
      <c r="O31" s="63">
        <v>125</v>
      </c>
      <c r="P31" s="63">
        <v>110</v>
      </c>
      <c r="Q31" s="45" t="s">
        <v>54</v>
      </c>
      <c r="R31" s="45" t="s">
        <v>43</v>
      </c>
      <c r="S31" s="45">
        <v>0.2</v>
      </c>
      <c r="T31" s="69" t="s">
        <v>99</v>
      </c>
      <c r="U31" s="49" t="s">
        <v>187</v>
      </c>
      <c r="V31" s="107"/>
      <c r="W31" s="107"/>
      <c r="X31" s="107"/>
      <c r="Y31" s="43"/>
      <c r="Z31" s="71"/>
      <c r="AA31" s="71"/>
      <c r="AB31" s="48"/>
      <c r="AC31" s="74"/>
      <c r="AD31" s="74"/>
      <c r="AE31" s="78"/>
      <c r="AF31" s="78"/>
      <c r="AG31" s="78"/>
    </row>
    <row r="32" ht="57" customHeight="1" spans="1:33">
      <c r="A32" s="45">
        <v>22</v>
      </c>
      <c r="B32" s="45" t="s">
        <v>194</v>
      </c>
      <c r="C32" s="45" t="s">
        <v>195</v>
      </c>
      <c r="D32" s="45" t="s">
        <v>127</v>
      </c>
      <c r="E32" s="49" t="s">
        <v>196</v>
      </c>
      <c r="F32" s="49" t="s">
        <v>197</v>
      </c>
      <c r="G32" s="45" t="s">
        <v>40</v>
      </c>
      <c r="H32" s="49" t="s">
        <v>43</v>
      </c>
      <c r="I32" s="53">
        <v>120</v>
      </c>
      <c r="J32" s="53">
        <v>108</v>
      </c>
      <c r="K32" s="55"/>
      <c r="L32" s="55"/>
      <c r="M32" s="55"/>
      <c r="N32" s="63">
        <v>110</v>
      </c>
      <c r="O32" s="63">
        <v>100</v>
      </c>
      <c r="P32" s="63">
        <v>85</v>
      </c>
      <c r="Q32" s="45" t="s">
        <v>54</v>
      </c>
      <c r="R32" s="45" t="s">
        <v>43</v>
      </c>
      <c r="S32" s="45">
        <v>0.2</v>
      </c>
      <c r="T32" s="69" t="s">
        <v>99</v>
      </c>
      <c r="U32" s="49" t="s">
        <v>187</v>
      </c>
      <c r="V32" s="45" t="s">
        <v>198</v>
      </c>
      <c r="W32" s="45" t="s">
        <v>198</v>
      </c>
      <c r="X32" s="44"/>
      <c r="Y32" s="43"/>
      <c r="Z32" s="71"/>
      <c r="AA32" s="71"/>
      <c r="AB32" s="48"/>
      <c r="AC32" s="74"/>
      <c r="AD32" s="74"/>
      <c r="AE32" s="78"/>
      <c r="AF32" s="78"/>
      <c r="AG32" s="78"/>
    </row>
    <row r="33" ht="61" customHeight="1" spans="1:33">
      <c r="A33" s="46">
        <v>23</v>
      </c>
      <c r="B33" s="46" t="s">
        <v>199</v>
      </c>
      <c r="C33" s="46" t="s">
        <v>200</v>
      </c>
      <c r="D33" s="46" t="s">
        <v>127</v>
      </c>
      <c r="E33" s="50" t="s">
        <v>201</v>
      </c>
      <c r="F33" s="50" t="s">
        <v>202</v>
      </c>
      <c r="G33" s="46" t="s">
        <v>40</v>
      </c>
      <c r="H33" s="50" t="s">
        <v>43</v>
      </c>
      <c r="I33" s="53">
        <v>45</v>
      </c>
      <c r="J33" s="53">
        <v>41</v>
      </c>
      <c r="K33" s="58">
        <v>40</v>
      </c>
      <c r="L33" s="58">
        <v>40</v>
      </c>
      <c r="M33" s="58">
        <v>34</v>
      </c>
      <c r="N33" s="63">
        <v>42</v>
      </c>
      <c r="O33" s="63">
        <v>40</v>
      </c>
      <c r="P33" s="63">
        <v>34</v>
      </c>
      <c r="Q33" s="45" t="s">
        <v>54</v>
      </c>
      <c r="R33" s="45" t="s">
        <v>43</v>
      </c>
      <c r="S33" s="45" t="s">
        <v>43</v>
      </c>
      <c r="T33" s="69" t="s">
        <v>67</v>
      </c>
      <c r="U33" s="49" t="s">
        <v>203</v>
      </c>
      <c r="V33" s="112" t="s">
        <v>204</v>
      </c>
      <c r="W33" s="113" t="s">
        <v>204</v>
      </c>
      <c r="X33" s="43" t="s">
        <v>205</v>
      </c>
      <c r="Y33" s="43"/>
      <c r="Z33" s="71"/>
      <c r="AA33" s="71" t="s">
        <v>40</v>
      </c>
      <c r="AB33" s="48"/>
      <c r="AC33" s="75"/>
      <c r="AD33" s="75"/>
      <c r="AE33" s="78"/>
      <c r="AF33" s="78"/>
      <c r="AG33" s="78"/>
    </row>
    <row r="34" s="30" customFormat="1" ht="61" customHeight="1" spans="1:36">
      <c r="A34" s="46">
        <v>24</v>
      </c>
      <c r="B34" s="46" t="s">
        <v>206</v>
      </c>
      <c r="C34" s="46" t="s">
        <v>207</v>
      </c>
      <c r="D34" s="46" t="s">
        <v>127</v>
      </c>
      <c r="E34" s="50" t="s">
        <v>208</v>
      </c>
      <c r="F34" s="50" t="s">
        <v>209</v>
      </c>
      <c r="G34" s="46" t="s">
        <v>40</v>
      </c>
      <c r="H34" s="50" t="s">
        <v>43</v>
      </c>
      <c r="I34" s="53">
        <v>45</v>
      </c>
      <c r="J34" s="53">
        <v>41</v>
      </c>
      <c r="K34" s="58">
        <v>40</v>
      </c>
      <c r="L34" s="58">
        <v>40</v>
      </c>
      <c r="M34" s="58">
        <v>34</v>
      </c>
      <c r="N34" s="63">
        <v>42</v>
      </c>
      <c r="O34" s="63">
        <v>40</v>
      </c>
      <c r="P34" s="63">
        <v>34</v>
      </c>
      <c r="Q34" s="45" t="s">
        <v>54</v>
      </c>
      <c r="R34" s="45" t="s">
        <v>43</v>
      </c>
      <c r="S34" s="45" t="s">
        <v>43</v>
      </c>
      <c r="T34" s="69" t="s">
        <v>67</v>
      </c>
      <c r="U34" s="49" t="s">
        <v>210</v>
      </c>
      <c r="V34" s="46" t="s">
        <v>206</v>
      </c>
      <c r="W34" s="46" t="s">
        <v>206</v>
      </c>
      <c r="X34" s="43" t="s">
        <v>207</v>
      </c>
      <c r="Y34" s="48" t="s">
        <v>208</v>
      </c>
      <c r="Z34" s="71"/>
      <c r="AA34" s="43" t="s">
        <v>40</v>
      </c>
      <c r="AB34" s="48"/>
      <c r="AC34" s="75">
        <v>45</v>
      </c>
      <c r="AD34" s="75">
        <v>41</v>
      </c>
      <c r="AE34" s="73">
        <v>40</v>
      </c>
      <c r="AF34" s="73">
        <v>40</v>
      </c>
      <c r="AG34" s="73">
        <v>34</v>
      </c>
      <c r="AH34" s="32"/>
      <c r="AI34" s="32"/>
      <c r="AJ34" s="32"/>
    </row>
    <row r="35" s="30" customFormat="1" ht="60" customHeight="1" spans="1:36">
      <c r="A35" s="46">
        <v>25</v>
      </c>
      <c r="B35" s="46" t="s">
        <v>211</v>
      </c>
      <c r="C35" s="46" t="s">
        <v>212</v>
      </c>
      <c r="D35" s="46" t="s">
        <v>213</v>
      </c>
      <c r="E35" s="50" t="s">
        <v>214</v>
      </c>
      <c r="F35" s="50" t="s">
        <v>215</v>
      </c>
      <c r="G35" s="46" t="s">
        <v>40</v>
      </c>
      <c r="H35" s="50" t="s">
        <v>43</v>
      </c>
      <c r="I35" s="53">
        <v>440</v>
      </c>
      <c r="J35" s="53">
        <v>395</v>
      </c>
      <c r="K35" s="58">
        <v>400</v>
      </c>
      <c r="L35" s="58">
        <v>400</v>
      </c>
      <c r="M35" s="58">
        <v>340</v>
      </c>
      <c r="N35" s="63">
        <v>420</v>
      </c>
      <c r="O35" s="63">
        <v>395</v>
      </c>
      <c r="P35" s="63">
        <v>340</v>
      </c>
      <c r="Q35" s="45" t="s">
        <v>54</v>
      </c>
      <c r="R35" s="45" t="s">
        <v>43</v>
      </c>
      <c r="S35" s="45" t="s">
        <v>43</v>
      </c>
      <c r="T35" s="69" t="s">
        <v>67</v>
      </c>
      <c r="U35" s="49" t="s">
        <v>216</v>
      </c>
      <c r="V35" s="46" t="s">
        <v>211</v>
      </c>
      <c r="W35" s="46" t="s">
        <v>211</v>
      </c>
      <c r="X35" s="43" t="s">
        <v>212</v>
      </c>
      <c r="Y35" s="48" t="s">
        <v>214</v>
      </c>
      <c r="Z35" s="71"/>
      <c r="AA35" s="43" t="s">
        <v>40</v>
      </c>
      <c r="AB35" s="48"/>
      <c r="AC35" s="75">
        <v>440</v>
      </c>
      <c r="AD35" s="75">
        <v>395</v>
      </c>
      <c r="AE35" s="73">
        <v>400</v>
      </c>
      <c r="AF35" s="73">
        <v>400</v>
      </c>
      <c r="AG35" s="73">
        <v>340</v>
      </c>
      <c r="AH35" s="32"/>
      <c r="AI35" s="32"/>
      <c r="AJ35" s="32"/>
    </row>
    <row r="36" s="30" customFormat="1" ht="33" customHeight="1" spans="1:36">
      <c r="A36" s="46" t="s">
        <v>81</v>
      </c>
      <c r="B36" s="46" t="s">
        <v>217</v>
      </c>
      <c r="C36" s="46" t="s">
        <v>218</v>
      </c>
      <c r="D36" s="46" t="s">
        <v>213</v>
      </c>
      <c r="E36" s="50" t="s">
        <v>43</v>
      </c>
      <c r="F36" s="50" t="s">
        <v>43</v>
      </c>
      <c r="G36" s="46" t="s">
        <v>40</v>
      </c>
      <c r="H36" s="50" t="s">
        <v>43</v>
      </c>
      <c r="I36" s="53">
        <v>0</v>
      </c>
      <c r="J36" s="53">
        <v>0</v>
      </c>
      <c r="K36" s="58"/>
      <c r="L36" s="58"/>
      <c r="M36" s="58"/>
      <c r="N36" s="63">
        <v>0</v>
      </c>
      <c r="O36" s="63">
        <v>0</v>
      </c>
      <c r="P36" s="63">
        <v>0</v>
      </c>
      <c r="Q36" s="45" t="s">
        <v>54</v>
      </c>
      <c r="R36" s="45" t="s">
        <v>43</v>
      </c>
      <c r="S36" s="45" t="s">
        <v>43</v>
      </c>
      <c r="T36" s="69"/>
      <c r="U36" s="49" t="s">
        <v>219</v>
      </c>
      <c r="V36" s="71"/>
      <c r="W36" s="71"/>
      <c r="X36" s="43"/>
      <c r="Y36" s="43"/>
      <c r="Z36" s="71"/>
      <c r="AA36" s="71"/>
      <c r="AB36" s="48"/>
      <c r="AC36" s="74"/>
      <c r="AD36" s="74"/>
      <c r="AE36" s="78"/>
      <c r="AF36" s="78"/>
      <c r="AG36" s="78"/>
      <c r="AH36" s="32"/>
      <c r="AI36" s="32"/>
      <c r="AJ36" s="32"/>
    </row>
    <row r="37" s="30" customFormat="1" ht="69" customHeight="1" spans="1:36">
      <c r="A37" s="46">
        <v>26</v>
      </c>
      <c r="B37" s="46" t="s">
        <v>204</v>
      </c>
      <c r="C37" s="46" t="s">
        <v>220</v>
      </c>
      <c r="D37" s="46" t="s">
        <v>213</v>
      </c>
      <c r="E37" s="50" t="s">
        <v>221</v>
      </c>
      <c r="F37" s="50" t="s">
        <v>222</v>
      </c>
      <c r="G37" s="46" t="s">
        <v>40</v>
      </c>
      <c r="H37" s="50" t="s">
        <v>223</v>
      </c>
      <c r="I37" s="53">
        <v>440</v>
      </c>
      <c r="J37" s="53">
        <v>395</v>
      </c>
      <c r="K37" s="58">
        <v>420</v>
      </c>
      <c r="L37" s="58">
        <v>420</v>
      </c>
      <c r="M37" s="58">
        <v>360</v>
      </c>
      <c r="N37" s="63">
        <v>420</v>
      </c>
      <c r="O37" s="63">
        <v>395</v>
      </c>
      <c r="P37" s="63">
        <v>340</v>
      </c>
      <c r="Q37" s="45" t="s">
        <v>54</v>
      </c>
      <c r="R37" s="45" t="s">
        <v>43</v>
      </c>
      <c r="S37" s="45" t="s">
        <v>43</v>
      </c>
      <c r="T37" s="69" t="s">
        <v>67</v>
      </c>
      <c r="U37" s="49" t="s">
        <v>224</v>
      </c>
      <c r="V37" s="113" t="s">
        <v>204</v>
      </c>
      <c r="W37" s="113" t="s">
        <v>204</v>
      </c>
      <c r="X37" s="43" t="s">
        <v>220</v>
      </c>
      <c r="Y37" s="43" t="s">
        <v>221</v>
      </c>
      <c r="Z37" s="71"/>
      <c r="AA37" s="71" t="s">
        <v>40</v>
      </c>
      <c r="AB37" s="48" t="s">
        <v>225</v>
      </c>
      <c r="AC37" s="75">
        <v>440</v>
      </c>
      <c r="AD37" s="75">
        <v>395</v>
      </c>
      <c r="AE37" s="78">
        <v>420</v>
      </c>
      <c r="AF37" s="78">
        <v>420</v>
      </c>
      <c r="AG37" s="78">
        <v>360</v>
      </c>
      <c r="AH37" s="32"/>
      <c r="AI37" s="32"/>
      <c r="AJ37" s="32"/>
    </row>
    <row r="38" s="30" customFormat="1" ht="30" customHeight="1" spans="1:36">
      <c r="A38" s="46" t="s">
        <v>81</v>
      </c>
      <c r="B38" s="46" t="s">
        <v>226</v>
      </c>
      <c r="C38" s="46" t="s">
        <v>227</v>
      </c>
      <c r="D38" s="46" t="s">
        <v>213</v>
      </c>
      <c r="E38" s="50" t="s">
        <v>43</v>
      </c>
      <c r="F38" s="50" t="s">
        <v>43</v>
      </c>
      <c r="G38" s="46" t="s">
        <v>40</v>
      </c>
      <c r="H38" s="50" t="s">
        <v>43</v>
      </c>
      <c r="I38" s="53">
        <v>0</v>
      </c>
      <c r="J38" s="53">
        <v>0</v>
      </c>
      <c r="K38" s="58"/>
      <c r="L38" s="58"/>
      <c r="M38" s="58"/>
      <c r="N38" s="63">
        <v>0</v>
      </c>
      <c r="O38" s="63">
        <v>0</v>
      </c>
      <c r="P38" s="63">
        <v>0</v>
      </c>
      <c r="Q38" s="45" t="s">
        <v>54</v>
      </c>
      <c r="R38" s="45" t="s">
        <v>43</v>
      </c>
      <c r="S38" s="45" t="s">
        <v>43</v>
      </c>
      <c r="T38" s="69"/>
      <c r="U38" s="49" t="s">
        <v>219</v>
      </c>
      <c r="V38" s="43"/>
      <c r="W38" s="71"/>
      <c r="X38" s="43"/>
      <c r="Y38" s="43"/>
      <c r="Z38" s="71"/>
      <c r="AA38" s="71"/>
      <c r="AB38" s="48"/>
      <c r="AC38" s="74"/>
      <c r="AD38" s="74"/>
      <c r="AE38" s="78"/>
      <c r="AF38" s="78"/>
      <c r="AG38" s="78"/>
      <c r="AH38" s="32"/>
      <c r="AI38" s="32"/>
      <c r="AJ38" s="32"/>
    </row>
    <row r="39" ht="56" customHeight="1" spans="1:33">
      <c r="A39" s="46">
        <v>27</v>
      </c>
      <c r="B39" s="46" t="s">
        <v>228</v>
      </c>
      <c r="C39" s="46" t="s">
        <v>229</v>
      </c>
      <c r="D39" s="46" t="s">
        <v>127</v>
      </c>
      <c r="E39" s="50" t="s">
        <v>230</v>
      </c>
      <c r="F39" s="50" t="s">
        <v>231</v>
      </c>
      <c r="G39" s="46" t="s">
        <v>40</v>
      </c>
      <c r="H39" s="50" t="s">
        <v>232</v>
      </c>
      <c r="I39" s="53">
        <v>300</v>
      </c>
      <c r="J39" s="53">
        <v>270</v>
      </c>
      <c r="K39" s="58"/>
      <c r="L39" s="58"/>
      <c r="M39" s="58"/>
      <c r="N39" s="63">
        <v>270</v>
      </c>
      <c r="O39" s="63">
        <v>245</v>
      </c>
      <c r="P39" s="63">
        <v>210</v>
      </c>
      <c r="Q39" s="45" t="s">
        <v>54</v>
      </c>
      <c r="R39" s="45" t="s">
        <v>43</v>
      </c>
      <c r="S39" s="45">
        <v>0.2</v>
      </c>
      <c r="T39" s="69" t="s">
        <v>99</v>
      </c>
      <c r="U39" s="49" t="s">
        <v>187</v>
      </c>
      <c r="V39" s="43"/>
      <c r="W39" s="71"/>
      <c r="X39" s="43"/>
      <c r="Y39" s="43"/>
      <c r="Z39" s="71"/>
      <c r="AA39" s="71"/>
      <c r="AB39" s="48"/>
      <c r="AC39" s="74"/>
      <c r="AD39" s="74"/>
      <c r="AE39" s="78"/>
      <c r="AF39" s="78"/>
      <c r="AG39" s="78"/>
    </row>
    <row r="40" s="30" customFormat="1" ht="56" customHeight="1" spans="1:36">
      <c r="A40" s="45">
        <v>28</v>
      </c>
      <c r="B40" s="45" t="s">
        <v>233</v>
      </c>
      <c r="C40" s="45" t="s">
        <v>234</v>
      </c>
      <c r="D40" s="45" t="s">
        <v>213</v>
      </c>
      <c r="E40" s="49" t="s">
        <v>235</v>
      </c>
      <c r="F40" s="49" t="s">
        <v>236</v>
      </c>
      <c r="G40" s="45" t="s">
        <v>40</v>
      </c>
      <c r="H40" s="49" t="s">
        <v>237</v>
      </c>
      <c r="I40" s="53">
        <v>500</v>
      </c>
      <c r="J40" s="53">
        <v>450</v>
      </c>
      <c r="K40" s="55"/>
      <c r="L40" s="55"/>
      <c r="M40" s="55"/>
      <c r="N40" s="63">
        <v>450</v>
      </c>
      <c r="O40" s="63">
        <v>410</v>
      </c>
      <c r="P40" s="63">
        <v>350</v>
      </c>
      <c r="Q40" s="45" t="s">
        <v>54</v>
      </c>
      <c r="R40" s="45" t="s">
        <v>43</v>
      </c>
      <c r="S40" s="45">
        <v>0.2</v>
      </c>
      <c r="T40" s="69" t="s">
        <v>99</v>
      </c>
      <c r="U40" s="49" t="s">
        <v>187</v>
      </c>
      <c r="V40" s="43"/>
      <c r="W40" s="71"/>
      <c r="X40" s="43"/>
      <c r="Y40" s="43"/>
      <c r="Z40" s="71"/>
      <c r="AA40" s="71"/>
      <c r="AB40" s="48"/>
      <c r="AC40" s="74"/>
      <c r="AD40" s="74"/>
      <c r="AE40" s="78"/>
      <c r="AF40" s="78"/>
      <c r="AG40" s="78"/>
      <c r="AH40" s="32"/>
      <c r="AI40" s="32"/>
      <c r="AJ40" s="32"/>
    </row>
    <row r="41" s="30" customFormat="1" ht="30" customHeight="1" spans="1:36">
      <c r="A41" s="45" t="s">
        <v>81</v>
      </c>
      <c r="B41" s="45" t="s">
        <v>238</v>
      </c>
      <c r="C41" s="45" t="s">
        <v>239</v>
      </c>
      <c r="D41" s="45" t="s">
        <v>213</v>
      </c>
      <c r="E41" s="49" t="s">
        <v>43</v>
      </c>
      <c r="F41" s="49" t="s">
        <v>43</v>
      </c>
      <c r="G41" s="45" t="s">
        <v>40</v>
      </c>
      <c r="H41" s="49" t="s">
        <v>43</v>
      </c>
      <c r="I41" s="53">
        <v>150</v>
      </c>
      <c r="J41" s="53">
        <v>135</v>
      </c>
      <c r="K41" s="55"/>
      <c r="L41" s="55"/>
      <c r="M41" s="55"/>
      <c r="N41" s="63">
        <v>135</v>
      </c>
      <c r="O41" s="63">
        <v>125</v>
      </c>
      <c r="P41" s="63">
        <v>105</v>
      </c>
      <c r="Q41" s="45" t="s">
        <v>54</v>
      </c>
      <c r="R41" s="45" t="s">
        <v>43</v>
      </c>
      <c r="S41" s="45" t="s">
        <v>43</v>
      </c>
      <c r="T41" s="69"/>
      <c r="U41" s="49" t="s">
        <v>240</v>
      </c>
      <c r="V41" s="43"/>
      <c r="W41" s="71"/>
      <c r="X41" s="43"/>
      <c r="Y41" s="43"/>
      <c r="Z41" s="71"/>
      <c r="AA41" s="71"/>
      <c r="AB41" s="48"/>
      <c r="AC41" s="74"/>
      <c r="AD41" s="74"/>
      <c r="AE41" s="78"/>
      <c r="AF41" s="78"/>
      <c r="AG41" s="78"/>
      <c r="AH41" s="32"/>
      <c r="AI41" s="32"/>
      <c r="AJ41" s="32"/>
    </row>
    <row r="42" s="30" customFormat="1" ht="48" customHeight="1" spans="1:36">
      <c r="A42" s="46">
        <v>29</v>
      </c>
      <c r="B42" s="46" t="s">
        <v>241</v>
      </c>
      <c r="C42" s="46" t="s">
        <v>242</v>
      </c>
      <c r="D42" s="46" t="s">
        <v>127</v>
      </c>
      <c r="E42" s="50" t="s">
        <v>243</v>
      </c>
      <c r="F42" s="50" t="s">
        <v>244</v>
      </c>
      <c r="G42" s="46" t="s">
        <v>40</v>
      </c>
      <c r="H42" s="50" t="s">
        <v>43</v>
      </c>
      <c r="I42" s="53">
        <v>440</v>
      </c>
      <c r="J42" s="53">
        <v>395</v>
      </c>
      <c r="K42" s="58">
        <v>400</v>
      </c>
      <c r="L42" s="58">
        <v>400</v>
      </c>
      <c r="M42" s="58">
        <v>340</v>
      </c>
      <c r="N42" s="63">
        <v>420</v>
      </c>
      <c r="O42" s="63">
        <v>395</v>
      </c>
      <c r="P42" s="63">
        <v>340</v>
      </c>
      <c r="Q42" s="45" t="s">
        <v>54</v>
      </c>
      <c r="R42" s="45" t="s">
        <v>43</v>
      </c>
      <c r="S42" s="45" t="s">
        <v>43</v>
      </c>
      <c r="T42" s="69" t="s">
        <v>67</v>
      </c>
      <c r="U42" s="49" t="s">
        <v>216</v>
      </c>
      <c r="V42" s="43"/>
      <c r="W42" s="112" t="s">
        <v>241</v>
      </c>
      <c r="X42" s="43" t="s">
        <v>242</v>
      </c>
      <c r="Y42" s="48" t="s">
        <v>243</v>
      </c>
      <c r="Z42" s="71"/>
      <c r="AA42" s="71" t="s">
        <v>40</v>
      </c>
      <c r="AB42" s="48"/>
      <c r="AC42" s="75">
        <v>440</v>
      </c>
      <c r="AD42" s="75">
        <v>395</v>
      </c>
      <c r="AE42" s="78">
        <v>400</v>
      </c>
      <c r="AF42" s="78">
        <v>400</v>
      </c>
      <c r="AG42" s="78">
        <v>340</v>
      </c>
      <c r="AH42" s="32"/>
      <c r="AI42" s="32"/>
      <c r="AJ42" s="32"/>
    </row>
    <row r="43" ht="57" customHeight="1" spans="1:33">
      <c r="A43" s="46">
        <v>30</v>
      </c>
      <c r="B43" s="46" t="s">
        <v>245</v>
      </c>
      <c r="C43" s="46" t="s">
        <v>246</v>
      </c>
      <c r="D43" s="46" t="s">
        <v>127</v>
      </c>
      <c r="E43" s="50" t="s">
        <v>247</v>
      </c>
      <c r="F43" s="50" t="s">
        <v>248</v>
      </c>
      <c r="G43" s="46" t="s">
        <v>40</v>
      </c>
      <c r="H43" s="50" t="s">
        <v>249</v>
      </c>
      <c r="I43" s="53">
        <v>300</v>
      </c>
      <c r="J43" s="53">
        <v>270</v>
      </c>
      <c r="K43" s="58"/>
      <c r="L43" s="58"/>
      <c r="M43" s="58"/>
      <c r="N43" s="63">
        <v>270</v>
      </c>
      <c r="O43" s="63">
        <v>245</v>
      </c>
      <c r="P43" s="63">
        <v>210</v>
      </c>
      <c r="Q43" s="45" t="s">
        <v>54</v>
      </c>
      <c r="R43" s="45" t="s">
        <v>43</v>
      </c>
      <c r="S43" s="45">
        <v>0.2</v>
      </c>
      <c r="T43" s="69" t="s">
        <v>99</v>
      </c>
      <c r="U43" s="49" t="s">
        <v>187</v>
      </c>
      <c r="V43" s="43" t="s">
        <v>198</v>
      </c>
      <c r="W43" s="71" t="s">
        <v>198</v>
      </c>
      <c r="X43" s="43" t="s">
        <v>198</v>
      </c>
      <c r="Y43" s="43"/>
      <c r="Z43" s="71"/>
      <c r="AA43" s="71"/>
      <c r="AB43" s="48"/>
      <c r="AC43" s="74"/>
      <c r="AD43" s="74"/>
      <c r="AE43" s="78"/>
      <c r="AF43" s="78"/>
      <c r="AG43" s="78"/>
    </row>
    <row r="44" ht="83" customHeight="1" spans="1:33">
      <c r="A44" s="45">
        <v>31</v>
      </c>
      <c r="B44" s="45" t="s">
        <v>250</v>
      </c>
      <c r="C44" s="44" t="s">
        <v>251</v>
      </c>
      <c r="D44" s="45" t="s">
        <v>127</v>
      </c>
      <c r="E44" s="44" t="s">
        <v>252</v>
      </c>
      <c r="F44" s="44" t="s">
        <v>253</v>
      </c>
      <c r="G44" s="45" t="s">
        <v>40</v>
      </c>
      <c r="H44" s="44" t="s">
        <v>254</v>
      </c>
      <c r="I44" s="53">
        <v>700</v>
      </c>
      <c r="J44" s="53">
        <v>630</v>
      </c>
      <c r="K44" s="55">
        <v>700</v>
      </c>
      <c r="L44" s="55">
        <v>630</v>
      </c>
      <c r="M44" s="55">
        <v>535.5</v>
      </c>
      <c r="N44" s="63">
        <v>700</v>
      </c>
      <c r="O44" s="63">
        <v>630</v>
      </c>
      <c r="P44" s="63">
        <v>535</v>
      </c>
      <c r="Q44" s="45" t="s">
        <v>54</v>
      </c>
      <c r="R44" s="45" t="s">
        <v>43</v>
      </c>
      <c r="S44" s="45">
        <v>0.2</v>
      </c>
      <c r="T44" s="69" t="s">
        <v>55</v>
      </c>
      <c r="U44" s="49" t="s">
        <v>255</v>
      </c>
      <c r="V44" s="43" t="s">
        <v>256</v>
      </c>
      <c r="W44" s="71">
        <v>311000040</v>
      </c>
      <c r="X44" s="43" t="s">
        <v>257</v>
      </c>
      <c r="Y44" s="43" t="s">
        <v>258</v>
      </c>
      <c r="Z44" s="71" t="s">
        <v>43</v>
      </c>
      <c r="AA44" s="71" t="s">
        <v>40</v>
      </c>
      <c r="AB44" s="48" t="s">
        <v>259</v>
      </c>
      <c r="AC44" s="75">
        <v>700</v>
      </c>
      <c r="AD44" s="75">
        <v>630</v>
      </c>
      <c r="AE44" s="80">
        <v>700</v>
      </c>
      <c r="AF44" s="80">
        <v>630</v>
      </c>
      <c r="AG44" s="80">
        <v>535.5</v>
      </c>
    </row>
    <row r="45" ht="24" customHeight="1" spans="1:33">
      <c r="A45" s="45"/>
      <c r="B45" s="45"/>
      <c r="C45" s="44" t="s">
        <v>260</v>
      </c>
      <c r="D45" s="45" t="s">
        <v>127</v>
      </c>
      <c r="E45" s="44"/>
      <c r="F45" s="44"/>
      <c r="G45" s="45" t="s">
        <v>40</v>
      </c>
      <c r="H45" s="44"/>
      <c r="I45" s="53">
        <v>350</v>
      </c>
      <c r="J45" s="53">
        <v>315</v>
      </c>
      <c r="K45" s="55">
        <v>350</v>
      </c>
      <c r="L45" s="55">
        <v>315</v>
      </c>
      <c r="M45" s="65">
        <v>267.75</v>
      </c>
      <c r="N45" s="63">
        <v>350</v>
      </c>
      <c r="O45" s="63">
        <v>315</v>
      </c>
      <c r="P45" s="63">
        <v>268</v>
      </c>
      <c r="Q45" s="44"/>
      <c r="R45" s="44"/>
      <c r="S45" s="44"/>
      <c r="T45" s="69"/>
      <c r="U45" s="49" t="s">
        <v>255</v>
      </c>
      <c r="V45" s="43" t="s">
        <v>261</v>
      </c>
      <c r="W45" s="43">
        <v>31100004003</v>
      </c>
      <c r="X45" s="43" t="s">
        <v>262</v>
      </c>
      <c r="Y45" s="43" t="s">
        <v>43</v>
      </c>
      <c r="Z45" s="71" t="s">
        <v>43</v>
      </c>
      <c r="AA45" s="71" t="s">
        <v>40</v>
      </c>
      <c r="AB45" s="48" t="s">
        <v>263</v>
      </c>
      <c r="AC45" s="75">
        <v>350</v>
      </c>
      <c r="AD45" s="75">
        <v>315</v>
      </c>
      <c r="AE45" s="80">
        <v>350</v>
      </c>
      <c r="AF45" s="80">
        <v>315</v>
      </c>
      <c r="AG45" s="80">
        <v>267.8</v>
      </c>
    </row>
    <row r="46" ht="24" customHeight="1" spans="1:33">
      <c r="A46" s="45"/>
      <c r="B46" s="45"/>
      <c r="C46" s="44" t="s">
        <v>264</v>
      </c>
      <c r="D46" s="45" t="s">
        <v>127</v>
      </c>
      <c r="E46" s="44"/>
      <c r="F46" s="44"/>
      <c r="G46" s="45" t="s">
        <v>40</v>
      </c>
      <c r="H46" s="44"/>
      <c r="I46" s="53">
        <v>175</v>
      </c>
      <c r="J46" s="53">
        <v>158</v>
      </c>
      <c r="K46" s="55">
        <v>175</v>
      </c>
      <c r="L46" s="55">
        <v>157.5</v>
      </c>
      <c r="M46" s="65">
        <v>133.875</v>
      </c>
      <c r="N46" s="63">
        <v>175</v>
      </c>
      <c r="O46" s="63">
        <v>158</v>
      </c>
      <c r="P46" s="63">
        <v>134</v>
      </c>
      <c r="Q46" s="44"/>
      <c r="R46" s="44"/>
      <c r="S46" s="44"/>
      <c r="T46" s="69"/>
      <c r="U46" s="49" t="s">
        <v>255</v>
      </c>
      <c r="V46" s="43" t="s">
        <v>265</v>
      </c>
      <c r="W46" s="43">
        <v>31100004006</v>
      </c>
      <c r="X46" s="43" t="s">
        <v>266</v>
      </c>
      <c r="Y46" s="43" t="s">
        <v>43</v>
      </c>
      <c r="Z46" s="71" t="s">
        <v>43</v>
      </c>
      <c r="AA46" s="71" t="s">
        <v>40</v>
      </c>
      <c r="AB46" s="48" t="s">
        <v>267</v>
      </c>
      <c r="AC46" s="75">
        <v>175</v>
      </c>
      <c r="AD46" s="75">
        <v>158</v>
      </c>
      <c r="AE46" s="80">
        <v>175</v>
      </c>
      <c r="AF46" s="80">
        <v>157.5</v>
      </c>
      <c r="AG46" s="80">
        <v>133.9</v>
      </c>
    </row>
    <row r="47" ht="15" customHeight="1" spans="1:33">
      <c r="A47" s="45">
        <v>32</v>
      </c>
      <c r="B47" s="45" t="s">
        <v>268</v>
      </c>
      <c r="C47" s="45" t="s">
        <v>269</v>
      </c>
      <c r="D47" s="45" t="s">
        <v>127</v>
      </c>
      <c r="E47" s="49" t="s">
        <v>270</v>
      </c>
      <c r="F47" s="49" t="s">
        <v>271</v>
      </c>
      <c r="G47" s="45" t="s">
        <v>40</v>
      </c>
      <c r="H47" s="49" t="s">
        <v>272</v>
      </c>
      <c r="I47" s="53">
        <v>825</v>
      </c>
      <c r="J47" s="53">
        <v>743</v>
      </c>
      <c r="K47" s="84">
        <v>817.328358208955</v>
      </c>
      <c r="L47" s="84">
        <v>741.104403409091</v>
      </c>
      <c r="M47" s="84">
        <v>640.945945945946</v>
      </c>
      <c r="N47" s="63">
        <v>815</v>
      </c>
      <c r="O47" s="63">
        <v>740</v>
      </c>
      <c r="P47" s="63">
        <v>640</v>
      </c>
      <c r="Q47" s="45" t="s">
        <v>54</v>
      </c>
      <c r="R47" s="45" t="s">
        <v>43</v>
      </c>
      <c r="S47" s="45" t="s">
        <v>43</v>
      </c>
      <c r="T47" s="69" t="s">
        <v>273</v>
      </c>
      <c r="U47" s="49" t="s">
        <v>274</v>
      </c>
      <c r="V47" s="43" t="s">
        <v>275</v>
      </c>
      <c r="W47" s="71">
        <v>31100001901</v>
      </c>
      <c r="X47" s="43" t="s">
        <v>276</v>
      </c>
      <c r="Y47" s="43" t="s">
        <v>43</v>
      </c>
      <c r="Z47" s="71" t="s">
        <v>43</v>
      </c>
      <c r="AA47" s="71" t="s">
        <v>40</v>
      </c>
      <c r="AB47" s="48" t="s">
        <v>277</v>
      </c>
      <c r="AC47" s="75">
        <v>880</v>
      </c>
      <c r="AD47" s="75">
        <v>790</v>
      </c>
      <c r="AE47" s="80">
        <v>880</v>
      </c>
      <c r="AF47" s="80">
        <v>800</v>
      </c>
      <c r="AG47" s="80">
        <v>680</v>
      </c>
    </row>
    <row r="48" ht="15" customHeight="1" spans="1:33">
      <c r="A48" s="45"/>
      <c r="B48" s="45"/>
      <c r="C48" s="45"/>
      <c r="D48" s="45"/>
      <c r="E48" s="49"/>
      <c r="F48" s="49"/>
      <c r="G48" s="45"/>
      <c r="H48" s="49"/>
      <c r="I48" s="53"/>
      <c r="J48" s="53"/>
      <c r="K48" s="84"/>
      <c r="L48" s="84"/>
      <c r="M48" s="84"/>
      <c r="N48" s="63"/>
      <c r="O48" s="63"/>
      <c r="P48" s="63"/>
      <c r="Q48" s="45"/>
      <c r="R48" s="45"/>
      <c r="S48" s="45"/>
      <c r="T48" s="69"/>
      <c r="U48" s="49"/>
      <c r="V48" s="43" t="s">
        <v>278</v>
      </c>
      <c r="W48" s="71">
        <v>331103027</v>
      </c>
      <c r="X48" s="43" t="s">
        <v>279</v>
      </c>
      <c r="Y48" s="43" t="s">
        <v>280</v>
      </c>
      <c r="Z48" s="71" t="s">
        <v>43</v>
      </c>
      <c r="AA48" s="71" t="s">
        <v>40</v>
      </c>
      <c r="AB48" s="48" t="s">
        <v>43</v>
      </c>
      <c r="AC48" s="75">
        <v>1250</v>
      </c>
      <c r="AD48" s="75">
        <v>1125</v>
      </c>
      <c r="AE48" s="80">
        <v>1250</v>
      </c>
      <c r="AF48" s="80">
        <v>1200</v>
      </c>
      <c r="AG48" s="80">
        <v>1020</v>
      </c>
    </row>
    <row r="49" ht="15" customHeight="1" spans="1:33">
      <c r="A49" s="45"/>
      <c r="B49" s="45"/>
      <c r="C49" s="45"/>
      <c r="D49" s="45"/>
      <c r="E49" s="49"/>
      <c r="F49" s="49"/>
      <c r="G49" s="45"/>
      <c r="H49" s="49"/>
      <c r="I49" s="53"/>
      <c r="J49" s="53"/>
      <c r="K49" s="84"/>
      <c r="L49" s="84"/>
      <c r="M49" s="84"/>
      <c r="N49" s="63"/>
      <c r="O49" s="63"/>
      <c r="P49" s="63"/>
      <c r="Q49" s="45"/>
      <c r="R49" s="45"/>
      <c r="S49" s="45"/>
      <c r="T49" s="69"/>
      <c r="U49" s="49"/>
      <c r="V49" s="43" t="s">
        <v>281</v>
      </c>
      <c r="W49" s="71">
        <v>33110302701</v>
      </c>
      <c r="X49" s="43" t="s">
        <v>282</v>
      </c>
      <c r="Y49" s="43" t="s">
        <v>43</v>
      </c>
      <c r="Z49" s="71" t="s">
        <v>43</v>
      </c>
      <c r="AA49" s="71" t="s">
        <v>40</v>
      </c>
      <c r="AB49" s="48" t="s">
        <v>43</v>
      </c>
      <c r="AC49" s="75">
        <v>1625</v>
      </c>
      <c r="AD49" s="75">
        <v>1465</v>
      </c>
      <c r="AE49" s="80">
        <v>1625</v>
      </c>
      <c r="AF49" s="80">
        <v>1560</v>
      </c>
      <c r="AG49" s="80">
        <v>1325</v>
      </c>
    </row>
    <row r="50" ht="15" customHeight="1" spans="1:33">
      <c r="A50" s="45"/>
      <c r="B50" s="45"/>
      <c r="C50" s="45"/>
      <c r="D50" s="45"/>
      <c r="E50" s="49"/>
      <c r="F50" s="49"/>
      <c r="G50" s="45"/>
      <c r="H50" s="49"/>
      <c r="I50" s="53"/>
      <c r="J50" s="53"/>
      <c r="K50" s="84"/>
      <c r="L50" s="84"/>
      <c r="M50" s="84"/>
      <c r="N50" s="63"/>
      <c r="O50" s="63"/>
      <c r="P50" s="63"/>
      <c r="Q50" s="45"/>
      <c r="R50" s="45"/>
      <c r="S50" s="45"/>
      <c r="T50" s="69"/>
      <c r="U50" s="49"/>
      <c r="V50" s="43" t="s">
        <v>78</v>
      </c>
      <c r="W50" s="43">
        <v>311000020</v>
      </c>
      <c r="X50" s="43" t="s">
        <v>79</v>
      </c>
      <c r="Y50" s="43" t="s">
        <v>80</v>
      </c>
      <c r="Z50" s="71" t="s">
        <v>43</v>
      </c>
      <c r="AA50" s="71" t="s">
        <v>48</v>
      </c>
      <c r="AB50" s="48" t="s">
        <v>43</v>
      </c>
      <c r="AC50" s="75">
        <v>495</v>
      </c>
      <c r="AD50" s="75">
        <v>445</v>
      </c>
      <c r="AE50" s="80">
        <v>495</v>
      </c>
      <c r="AF50" s="80">
        <v>450</v>
      </c>
      <c r="AG50" s="80">
        <v>382.5</v>
      </c>
    </row>
    <row r="51" s="30" customFormat="1" ht="15" customHeight="1" spans="1:36">
      <c r="A51" s="45"/>
      <c r="B51" s="45"/>
      <c r="C51" s="45"/>
      <c r="D51" s="45"/>
      <c r="E51" s="49"/>
      <c r="F51" s="49"/>
      <c r="G51" s="45"/>
      <c r="H51" s="49"/>
      <c r="I51" s="53"/>
      <c r="J51" s="53"/>
      <c r="K51" s="84"/>
      <c r="L51" s="84"/>
      <c r="M51" s="84"/>
      <c r="N51" s="63"/>
      <c r="O51" s="63"/>
      <c r="P51" s="63"/>
      <c r="Q51" s="45"/>
      <c r="R51" s="45"/>
      <c r="S51" s="45"/>
      <c r="T51" s="69"/>
      <c r="U51" s="49"/>
      <c r="V51" s="45" t="s">
        <v>283</v>
      </c>
      <c r="W51" s="45">
        <v>311000037</v>
      </c>
      <c r="X51" s="45" t="s">
        <v>284</v>
      </c>
      <c r="Y51" s="43" t="s">
        <v>285</v>
      </c>
      <c r="Z51" s="71" t="s">
        <v>43</v>
      </c>
      <c r="AA51" s="71" t="s">
        <v>40</v>
      </c>
      <c r="AB51" s="48" t="s">
        <v>43</v>
      </c>
      <c r="AC51" s="75">
        <v>220</v>
      </c>
      <c r="AD51" s="75">
        <v>200</v>
      </c>
      <c r="AE51" s="80">
        <v>220</v>
      </c>
      <c r="AF51" s="80">
        <v>200</v>
      </c>
      <c r="AG51" s="80">
        <v>170</v>
      </c>
      <c r="AH51" s="32"/>
      <c r="AI51" s="32"/>
      <c r="AJ51" s="32"/>
    </row>
    <row r="52" s="30" customFormat="1" ht="15" customHeight="1" spans="1:36">
      <c r="A52" s="45"/>
      <c r="B52" s="45"/>
      <c r="C52" s="45"/>
      <c r="D52" s="45"/>
      <c r="E52" s="49"/>
      <c r="F52" s="49"/>
      <c r="G52" s="45"/>
      <c r="H52" s="49"/>
      <c r="I52" s="53"/>
      <c r="J52" s="53"/>
      <c r="K52" s="84"/>
      <c r="L52" s="84"/>
      <c r="M52" s="84"/>
      <c r="N52" s="63"/>
      <c r="O52" s="63"/>
      <c r="P52" s="63"/>
      <c r="Q52" s="45"/>
      <c r="R52" s="45"/>
      <c r="S52" s="45"/>
      <c r="T52" s="69"/>
      <c r="U52" s="49"/>
      <c r="V52" s="45" t="s">
        <v>286</v>
      </c>
      <c r="W52" s="45">
        <v>331201007</v>
      </c>
      <c r="X52" s="45" t="s">
        <v>287</v>
      </c>
      <c r="Y52" s="43" t="s">
        <v>43</v>
      </c>
      <c r="Z52" s="71" t="s">
        <v>288</v>
      </c>
      <c r="AA52" s="71" t="s">
        <v>40</v>
      </c>
      <c r="AB52" s="48" t="s">
        <v>43</v>
      </c>
      <c r="AC52" s="75">
        <v>250</v>
      </c>
      <c r="AD52" s="75">
        <v>225</v>
      </c>
      <c r="AE52" s="80">
        <v>250</v>
      </c>
      <c r="AF52" s="80">
        <v>240</v>
      </c>
      <c r="AG52" s="80">
        <v>204</v>
      </c>
      <c r="AH52" s="32"/>
      <c r="AI52" s="32"/>
      <c r="AJ52" s="32"/>
    </row>
    <row r="53" s="30" customFormat="1" ht="15" customHeight="1" spans="1:36">
      <c r="A53" s="45"/>
      <c r="B53" s="45"/>
      <c r="C53" s="45"/>
      <c r="D53" s="45"/>
      <c r="E53" s="49"/>
      <c r="F53" s="49"/>
      <c r="G53" s="45"/>
      <c r="H53" s="49"/>
      <c r="I53" s="53"/>
      <c r="J53" s="53"/>
      <c r="K53" s="84"/>
      <c r="L53" s="84"/>
      <c r="M53" s="84"/>
      <c r="N53" s="63"/>
      <c r="O53" s="63"/>
      <c r="P53" s="63"/>
      <c r="Q53" s="45"/>
      <c r="R53" s="45"/>
      <c r="S53" s="45"/>
      <c r="T53" s="69"/>
      <c r="U53" s="49"/>
      <c r="V53" s="45" t="s">
        <v>289</v>
      </c>
      <c r="W53" s="45">
        <v>33120100701</v>
      </c>
      <c r="X53" s="45" t="s">
        <v>290</v>
      </c>
      <c r="Y53" s="43" t="s">
        <v>43</v>
      </c>
      <c r="Z53" s="71" t="s">
        <v>43</v>
      </c>
      <c r="AA53" s="71" t="s">
        <v>40</v>
      </c>
      <c r="AB53" s="48" t="s">
        <v>43</v>
      </c>
      <c r="AC53" s="75">
        <v>325</v>
      </c>
      <c r="AD53" s="75">
        <v>295</v>
      </c>
      <c r="AE53" s="80">
        <v>325</v>
      </c>
      <c r="AF53" s="80">
        <v>310</v>
      </c>
      <c r="AG53" s="80">
        <v>265</v>
      </c>
      <c r="AH53" s="32"/>
      <c r="AI53" s="32"/>
      <c r="AJ53" s="32"/>
    </row>
    <row r="54" s="30" customFormat="1" ht="15" customHeight="1" spans="1:36">
      <c r="A54" s="45"/>
      <c r="B54" s="45"/>
      <c r="C54" s="45"/>
      <c r="D54" s="45"/>
      <c r="E54" s="49"/>
      <c r="F54" s="49"/>
      <c r="G54" s="45"/>
      <c r="H54" s="49"/>
      <c r="I54" s="53"/>
      <c r="J54" s="53"/>
      <c r="K54" s="84"/>
      <c r="L54" s="84"/>
      <c r="M54" s="84"/>
      <c r="N54" s="63"/>
      <c r="O54" s="63"/>
      <c r="P54" s="63"/>
      <c r="Q54" s="45"/>
      <c r="R54" s="45"/>
      <c r="S54" s="45"/>
      <c r="T54" s="69"/>
      <c r="U54" s="49"/>
      <c r="V54" s="45" t="s">
        <v>291</v>
      </c>
      <c r="W54" s="45">
        <v>33120100702</v>
      </c>
      <c r="X54" s="45" t="s">
        <v>292</v>
      </c>
      <c r="Y54" s="43" t="s">
        <v>43</v>
      </c>
      <c r="Z54" s="71" t="s">
        <v>43</v>
      </c>
      <c r="AA54" s="71" t="s">
        <v>40</v>
      </c>
      <c r="AB54" s="48" t="s">
        <v>43</v>
      </c>
      <c r="AC54" s="75">
        <v>500</v>
      </c>
      <c r="AD54" s="75">
        <v>450</v>
      </c>
      <c r="AE54" s="80">
        <v>500</v>
      </c>
      <c r="AF54" s="80">
        <v>465</v>
      </c>
      <c r="AG54" s="80">
        <v>394</v>
      </c>
      <c r="AH54" s="32"/>
      <c r="AI54" s="32"/>
      <c r="AJ54" s="32"/>
    </row>
    <row r="55" s="31" customFormat="1" ht="15" customHeight="1" spans="1:36">
      <c r="A55" s="45"/>
      <c r="B55" s="45"/>
      <c r="C55" s="45"/>
      <c r="D55" s="45"/>
      <c r="E55" s="49"/>
      <c r="F55" s="49"/>
      <c r="G55" s="45"/>
      <c r="H55" s="49"/>
      <c r="I55" s="53"/>
      <c r="J55" s="53"/>
      <c r="K55" s="84"/>
      <c r="L55" s="84"/>
      <c r="M55" s="84"/>
      <c r="N55" s="63"/>
      <c r="O55" s="63"/>
      <c r="P55" s="63"/>
      <c r="Q55" s="45"/>
      <c r="R55" s="45"/>
      <c r="S55" s="45"/>
      <c r="T55" s="69"/>
      <c r="U55" s="49"/>
      <c r="V55" s="45" t="s">
        <v>293</v>
      </c>
      <c r="W55" s="45">
        <v>33120100703</v>
      </c>
      <c r="X55" s="45" t="s">
        <v>294</v>
      </c>
      <c r="Y55" s="43" t="s">
        <v>43</v>
      </c>
      <c r="Z55" s="71" t="s">
        <v>43</v>
      </c>
      <c r="AA55" s="71" t="s">
        <v>40</v>
      </c>
      <c r="AB55" s="48" t="s">
        <v>43</v>
      </c>
      <c r="AC55" s="75">
        <v>575</v>
      </c>
      <c r="AD55" s="75">
        <v>520</v>
      </c>
      <c r="AE55" s="80">
        <v>575</v>
      </c>
      <c r="AF55" s="80">
        <v>535</v>
      </c>
      <c r="AG55" s="80">
        <v>455</v>
      </c>
      <c r="AH55" s="32"/>
      <c r="AI55" s="32"/>
      <c r="AJ55" s="32"/>
    </row>
    <row r="56" s="31" customFormat="1" ht="15" customHeight="1" spans="1:36">
      <c r="A56" s="45"/>
      <c r="B56" s="45"/>
      <c r="C56" s="45"/>
      <c r="D56" s="45"/>
      <c r="E56" s="49"/>
      <c r="F56" s="49"/>
      <c r="G56" s="45"/>
      <c r="H56" s="49"/>
      <c r="I56" s="53"/>
      <c r="J56" s="53"/>
      <c r="K56" s="84"/>
      <c r="L56" s="84"/>
      <c r="M56" s="84"/>
      <c r="N56" s="63"/>
      <c r="O56" s="63"/>
      <c r="P56" s="63"/>
      <c r="Q56" s="45"/>
      <c r="R56" s="45"/>
      <c r="S56" s="45"/>
      <c r="T56" s="69"/>
      <c r="U56" s="49"/>
      <c r="V56" s="45" t="s">
        <v>295</v>
      </c>
      <c r="W56" s="45">
        <v>331203014</v>
      </c>
      <c r="X56" s="45" t="s">
        <v>296</v>
      </c>
      <c r="Y56" s="43" t="s">
        <v>297</v>
      </c>
      <c r="Z56" s="71" t="s">
        <v>43</v>
      </c>
      <c r="AA56" s="71" t="s">
        <v>88</v>
      </c>
      <c r="AB56" s="48" t="s">
        <v>43</v>
      </c>
      <c r="AC56" s="75">
        <v>1000</v>
      </c>
      <c r="AD56" s="74" t="s">
        <v>43</v>
      </c>
      <c r="AE56" s="80">
        <v>900</v>
      </c>
      <c r="AF56" s="80">
        <v>810</v>
      </c>
      <c r="AG56" s="80">
        <v>688.5</v>
      </c>
      <c r="AH56" s="32"/>
      <c r="AI56" s="32"/>
      <c r="AJ56" s="32"/>
    </row>
    <row r="57" ht="15" customHeight="1" spans="1:37">
      <c r="A57" s="45">
        <v>33</v>
      </c>
      <c r="B57" s="45" t="s">
        <v>298</v>
      </c>
      <c r="C57" s="45" t="s">
        <v>299</v>
      </c>
      <c r="D57" s="45" t="s">
        <v>127</v>
      </c>
      <c r="E57" s="49" t="s">
        <v>300</v>
      </c>
      <c r="F57" s="49" t="s">
        <v>301</v>
      </c>
      <c r="G57" s="45" t="s">
        <v>40</v>
      </c>
      <c r="H57" s="49" t="s">
        <v>302</v>
      </c>
      <c r="I57" s="53">
        <v>1900</v>
      </c>
      <c r="J57" s="53">
        <v>1710</v>
      </c>
      <c r="K57" s="103">
        <v>2248.54609088715</v>
      </c>
      <c r="L57" s="103">
        <v>1514.40781264997</v>
      </c>
      <c r="M57" s="103">
        <v>1109.27374872319</v>
      </c>
      <c r="N57" s="63">
        <v>1875</v>
      </c>
      <c r="O57" s="63">
        <v>1700</v>
      </c>
      <c r="P57" s="63">
        <v>1470</v>
      </c>
      <c r="Q57" s="45" t="s">
        <v>54</v>
      </c>
      <c r="R57" s="45" t="s">
        <v>43</v>
      </c>
      <c r="S57" s="45" t="s">
        <v>43</v>
      </c>
      <c r="T57" s="69" t="s">
        <v>67</v>
      </c>
      <c r="U57" s="49" t="s">
        <v>303</v>
      </c>
      <c r="V57" s="43" t="s">
        <v>304</v>
      </c>
      <c r="W57" s="71">
        <v>311000026</v>
      </c>
      <c r="X57" s="73" t="s">
        <v>305</v>
      </c>
      <c r="Y57" s="43" t="s">
        <v>43</v>
      </c>
      <c r="Z57" s="71" t="s">
        <v>43</v>
      </c>
      <c r="AA57" s="71" t="s">
        <v>40</v>
      </c>
      <c r="AB57" s="48" t="s">
        <v>306</v>
      </c>
      <c r="AC57" s="75">
        <v>990</v>
      </c>
      <c r="AD57" s="75">
        <v>890</v>
      </c>
      <c r="AE57" s="80">
        <v>990</v>
      </c>
      <c r="AF57" s="80">
        <v>900</v>
      </c>
      <c r="AG57" s="80">
        <v>765</v>
      </c>
      <c r="AH57" s="32">
        <f>K9</f>
        <v>495</v>
      </c>
      <c r="AI57" s="32">
        <f>L9</f>
        <v>450</v>
      </c>
      <c r="AJ57" s="32">
        <f>M9</f>
        <v>382.5</v>
      </c>
      <c r="AK57" s="30" t="s">
        <v>307</v>
      </c>
    </row>
    <row r="58" s="30" customFormat="1" ht="15" customHeight="1" spans="1:33">
      <c r="A58" s="45"/>
      <c r="B58" s="45"/>
      <c r="C58" s="45"/>
      <c r="D58" s="45"/>
      <c r="E58" s="49"/>
      <c r="F58" s="49"/>
      <c r="G58" s="45"/>
      <c r="H58" s="49"/>
      <c r="I58" s="53"/>
      <c r="J58" s="53"/>
      <c r="K58" s="103"/>
      <c r="L58" s="103"/>
      <c r="M58" s="103"/>
      <c r="N58" s="63"/>
      <c r="O58" s="63"/>
      <c r="P58" s="63"/>
      <c r="Q58" s="45"/>
      <c r="R58" s="45"/>
      <c r="S58" s="45"/>
      <c r="T58" s="69"/>
      <c r="U58" s="49"/>
      <c r="V58" s="45" t="s">
        <v>308</v>
      </c>
      <c r="W58" s="45">
        <v>31100002601</v>
      </c>
      <c r="X58" s="63" t="s">
        <v>309</v>
      </c>
      <c r="Y58" s="43" t="s">
        <v>43</v>
      </c>
      <c r="Z58" s="71" t="s">
        <v>43</v>
      </c>
      <c r="AA58" s="71" t="s">
        <v>40</v>
      </c>
      <c r="AB58" s="48" t="s">
        <v>310</v>
      </c>
      <c r="AC58" s="75">
        <v>1100</v>
      </c>
      <c r="AD58" s="75">
        <v>990</v>
      </c>
      <c r="AE58" s="80">
        <v>1100</v>
      </c>
      <c r="AF58" s="80">
        <v>1000</v>
      </c>
      <c r="AG58" s="80">
        <v>850</v>
      </c>
    </row>
    <row r="59" s="30" customFormat="1" ht="15" customHeight="1" spans="1:33">
      <c r="A59" s="45"/>
      <c r="B59" s="45"/>
      <c r="C59" s="45"/>
      <c r="D59" s="45"/>
      <c r="E59" s="49"/>
      <c r="F59" s="49"/>
      <c r="G59" s="45"/>
      <c r="H59" s="49"/>
      <c r="I59" s="53"/>
      <c r="J59" s="53"/>
      <c r="K59" s="103"/>
      <c r="L59" s="103"/>
      <c r="M59" s="103"/>
      <c r="N59" s="63"/>
      <c r="O59" s="63"/>
      <c r="P59" s="63"/>
      <c r="Q59" s="45"/>
      <c r="R59" s="45"/>
      <c r="S59" s="45"/>
      <c r="T59" s="69"/>
      <c r="U59" s="49"/>
      <c r="V59" s="45" t="s">
        <v>311</v>
      </c>
      <c r="W59" s="45">
        <v>31100002602</v>
      </c>
      <c r="X59" s="63" t="s">
        <v>312</v>
      </c>
      <c r="Y59" s="43" t="s">
        <v>43</v>
      </c>
      <c r="Z59" s="71" t="s">
        <v>43</v>
      </c>
      <c r="AA59" s="71" t="s">
        <v>40</v>
      </c>
      <c r="AB59" s="48" t="s">
        <v>313</v>
      </c>
      <c r="AC59" s="75">
        <v>1760</v>
      </c>
      <c r="AD59" s="75">
        <v>1580</v>
      </c>
      <c r="AE59" s="80">
        <v>1760</v>
      </c>
      <c r="AF59" s="80">
        <v>1600</v>
      </c>
      <c r="AG59" s="80">
        <v>1360</v>
      </c>
    </row>
    <row r="60" s="30" customFormat="1" ht="15" customHeight="1" spans="1:33">
      <c r="A60" s="45"/>
      <c r="B60" s="45"/>
      <c r="C60" s="45"/>
      <c r="D60" s="45"/>
      <c r="E60" s="49"/>
      <c r="F60" s="49"/>
      <c r="G60" s="45"/>
      <c r="H60" s="49"/>
      <c r="I60" s="53"/>
      <c r="J60" s="53"/>
      <c r="K60" s="103"/>
      <c r="L60" s="103"/>
      <c r="M60" s="103"/>
      <c r="N60" s="63"/>
      <c r="O60" s="63"/>
      <c r="P60" s="63"/>
      <c r="Q60" s="45"/>
      <c r="R60" s="45"/>
      <c r="S60" s="45"/>
      <c r="T60" s="69"/>
      <c r="U60" s="49"/>
      <c r="V60" s="45" t="s">
        <v>314</v>
      </c>
      <c r="W60" s="45">
        <v>311000035</v>
      </c>
      <c r="X60" s="63" t="s">
        <v>315</v>
      </c>
      <c r="Y60" s="43" t="s">
        <v>43</v>
      </c>
      <c r="Z60" s="71" t="s">
        <v>43</v>
      </c>
      <c r="AA60" s="71" t="s">
        <v>40</v>
      </c>
      <c r="AB60" s="48" t="s">
        <v>316</v>
      </c>
      <c r="AC60" s="75">
        <v>176</v>
      </c>
      <c r="AD60" s="75">
        <v>160</v>
      </c>
      <c r="AE60" s="80">
        <v>176</v>
      </c>
      <c r="AF60" s="80">
        <v>160</v>
      </c>
      <c r="AG60" s="80">
        <v>136</v>
      </c>
    </row>
    <row r="61" s="30" customFormat="1" ht="15" customHeight="1" spans="1:33">
      <c r="A61" s="45"/>
      <c r="B61" s="45"/>
      <c r="C61" s="45"/>
      <c r="D61" s="45"/>
      <c r="E61" s="49"/>
      <c r="F61" s="49"/>
      <c r="G61" s="45"/>
      <c r="H61" s="49"/>
      <c r="I61" s="53"/>
      <c r="J61" s="53"/>
      <c r="K61" s="103"/>
      <c r="L61" s="103"/>
      <c r="M61" s="103"/>
      <c r="N61" s="63"/>
      <c r="O61" s="63"/>
      <c r="P61" s="63"/>
      <c r="Q61" s="45"/>
      <c r="R61" s="45"/>
      <c r="S61" s="45"/>
      <c r="T61" s="69"/>
      <c r="U61" s="49"/>
      <c r="V61" s="45" t="s">
        <v>317</v>
      </c>
      <c r="W61" s="45">
        <v>31100003501</v>
      </c>
      <c r="X61" s="63" t="s">
        <v>318</v>
      </c>
      <c r="Y61" s="43" t="s">
        <v>43</v>
      </c>
      <c r="Z61" s="71" t="s">
        <v>43</v>
      </c>
      <c r="AA61" s="71" t="s">
        <v>40</v>
      </c>
      <c r="AB61" s="48" t="s">
        <v>313</v>
      </c>
      <c r="AC61" s="75">
        <v>230</v>
      </c>
      <c r="AD61" s="75">
        <v>210</v>
      </c>
      <c r="AE61" s="80">
        <v>231</v>
      </c>
      <c r="AF61" s="80">
        <v>210</v>
      </c>
      <c r="AG61" s="80">
        <v>178.5</v>
      </c>
    </row>
    <row r="62" s="31" customFormat="1" ht="15" customHeight="1" spans="1:33">
      <c r="A62" s="45"/>
      <c r="B62" s="45"/>
      <c r="C62" s="45"/>
      <c r="D62" s="45"/>
      <c r="E62" s="49"/>
      <c r="F62" s="49"/>
      <c r="G62" s="45"/>
      <c r="H62" s="49"/>
      <c r="I62" s="53"/>
      <c r="J62" s="53"/>
      <c r="K62" s="103"/>
      <c r="L62" s="103"/>
      <c r="M62" s="103"/>
      <c r="N62" s="63"/>
      <c r="O62" s="63"/>
      <c r="P62" s="63"/>
      <c r="Q62" s="45"/>
      <c r="R62" s="45"/>
      <c r="S62" s="45"/>
      <c r="T62" s="69"/>
      <c r="U62" s="49"/>
      <c r="V62" s="45" t="s">
        <v>319</v>
      </c>
      <c r="W62" s="45">
        <v>331103026</v>
      </c>
      <c r="X62" s="45" t="s">
        <v>320</v>
      </c>
      <c r="Y62" s="43" t="s">
        <v>321</v>
      </c>
      <c r="Z62" s="71" t="s">
        <v>43</v>
      </c>
      <c r="AA62" s="71" t="s">
        <v>40</v>
      </c>
      <c r="AB62" s="48" t="s">
        <v>322</v>
      </c>
      <c r="AC62" s="75">
        <v>2880</v>
      </c>
      <c r="AD62" s="75">
        <v>2590</v>
      </c>
      <c r="AE62" s="80">
        <v>2530</v>
      </c>
      <c r="AF62" s="80">
        <v>2280</v>
      </c>
      <c r="AG62" s="80">
        <v>1940</v>
      </c>
    </row>
    <row r="63" s="31" customFormat="1" ht="15" customHeight="1" spans="1:33">
      <c r="A63" s="45"/>
      <c r="B63" s="45"/>
      <c r="C63" s="45"/>
      <c r="D63" s="45"/>
      <c r="E63" s="49"/>
      <c r="F63" s="49"/>
      <c r="G63" s="45"/>
      <c r="H63" s="49"/>
      <c r="I63" s="53"/>
      <c r="J63" s="53"/>
      <c r="K63" s="103"/>
      <c r="L63" s="103"/>
      <c r="M63" s="103"/>
      <c r="N63" s="63"/>
      <c r="O63" s="63"/>
      <c r="P63" s="63"/>
      <c r="Q63" s="45"/>
      <c r="R63" s="45"/>
      <c r="S63" s="45"/>
      <c r="T63" s="69"/>
      <c r="U63" s="49"/>
      <c r="V63" s="45" t="s">
        <v>323</v>
      </c>
      <c r="W63" s="45">
        <v>33110302601</v>
      </c>
      <c r="X63" s="45" t="s">
        <v>324</v>
      </c>
      <c r="Y63" s="43" t="s">
        <v>43</v>
      </c>
      <c r="Z63" s="71" t="s">
        <v>43</v>
      </c>
      <c r="AA63" s="71" t="s">
        <v>40</v>
      </c>
      <c r="AB63" s="48" t="s">
        <v>325</v>
      </c>
      <c r="AC63" s="75">
        <v>3360</v>
      </c>
      <c r="AD63" s="75">
        <v>3020</v>
      </c>
      <c r="AE63" s="80">
        <v>2590</v>
      </c>
      <c r="AF63" s="80">
        <v>2330</v>
      </c>
      <c r="AG63" s="80">
        <v>1980</v>
      </c>
    </row>
    <row r="64" s="31" customFormat="1" ht="15" customHeight="1" spans="1:36">
      <c r="A64" s="45"/>
      <c r="B64" s="45"/>
      <c r="C64" s="45"/>
      <c r="D64" s="45"/>
      <c r="E64" s="49"/>
      <c r="F64" s="49"/>
      <c r="G64" s="45"/>
      <c r="H64" s="49"/>
      <c r="I64" s="53"/>
      <c r="J64" s="53"/>
      <c r="K64" s="103"/>
      <c r="L64" s="103"/>
      <c r="M64" s="103"/>
      <c r="N64" s="63"/>
      <c r="O64" s="63"/>
      <c r="P64" s="63"/>
      <c r="Q64" s="45"/>
      <c r="R64" s="45"/>
      <c r="S64" s="45"/>
      <c r="T64" s="69"/>
      <c r="U64" s="49"/>
      <c r="V64" s="45" t="s">
        <v>326</v>
      </c>
      <c r="W64" s="45">
        <v>33110302602</v>
      </c>
      <c r="X64" s="45" t="s">
        <v>327</v>
      </c>
      <c r="Y64" s="43" t="s">
        <v>43</v>
      </c>
      <c r="Z64" s="71" t="s">
        <v>43</v>
      </c>
      <c r="AA64" s="71" t="s">
        <v>40</v>
      </c>
      <c r="AB64" s="48" t="s">
        <v>43</v>
      </c>
      <c r="AC64" s="75">
        <v>3745</v>
      </c>
      <c r="AD64" s="75">
        <v>3365</v>
      </c>
      <c r="AE64" s="80">
        <v>3290</v>
      </c>
      <c r="AF64" s="80">
        <v>2965</v>
      </c>
      <c r="AG64" s="80">
        <v>2520</v>
      </c>
      <c r="AH64" s="32"/>
      <c r="AI64" s="32"/>
      <c r="AJ64" s="32"/>
    </row>
    <row r="65" s="31" customFormat="1" ht="15" customHeight="1" spans="1:36">
      <c r="A65" s="45"/>
      <c r="B65" s="45"/>
      <c r="C65" s="45"/>
      <c r="D65" s="45"/>
      <c r="E65" s="49"/>
      <c r="F65" s="49"/>
      <c r="G65" s="45"/>
      <c r="H65" s="49"/>
      <c r="I65" s="53"/>
      <c r="J65" s="53"/>
      <c r="K65" s="103"/>
      <c r="L65" s="103"/>
      <c r="M65" s="103"/>
      <c r="N65" s="63"/>
      <c r="O65" s="63"/>
      <c r="P65" s="63"/>
      <c r="Q65" s="45"/>
      <c r="R65" s="45"/>
      <c r="S65" s="45"/>
      <c r="T65" s="69"/>
      <c r="U65" s="49"/>
      <c r="V65" s="45" t="s">
        <v>328</v>
      </c>
      <c r="W65" s="45">
        <v>33110302603</v>
      </c>
      <c r="X65" s="45" t="s">
        <v>329</v>
      </c>
      <c r="Y65" s="43" t="s">
        <v>43</v>
      </c>
      <c r="Z65" s="71" t="s">
        <v>43</v>
      </c>
      <c r="AA65" s="71" t="s">
        <v>40</v>
      </c>
      <c r="AB65" s="48" t="s">
        <v>325</v>
      </c>
      <c r="AC65" s="75">
        <v>4370</v>
      </c>
      <c r="AD65" s="75">
        <v>3925</v>
      </c>
      <c r="AE65" s="80">
        <v>3365</v>
      </c>
      <c r="AF65" s="80">
        <v>3030</v>
      </c>
      <c r="AG65" s="80">
        <v>2575</v>
      </c>
      <c r="AH65" s="32"/>
      <c r="AI65" s="32"/>
      <c r="AJ65" s="32"/>
    </row>
    <row r="66" s="31" customFormat="1" ht="15" customHeight="1" spans="1:37">
      <c r="A66" s="45"/>
      <c r="B66" s="45"/>
      <c r="C66" s="45"/>
      <c r="D66" s="45"/>
      <c r="E66" s="49"/>
      <c r="F66" s="49"/>
      <c r="G66" s="45"/>
      <c r="H66" s="49"/>
      <c r="I66" s="53"/>
      <c r="J66" s="53"/>
      <c r="K66" s="103"/>
      <c r="L66" s="103"/>
      <c r="M66" s="103"/>
      <c r="N66" s="63"/>
      <c r="O66" s="63"/>
      <c r="P66" s="63"/>
      <c r="Q66" s="45"/>
      <c r="R66" s="45"/>
      <c r="S66" s="45"/>
      <c r="T66" s="69"/>
      <c r="U66" s="49"/>
      <c r="V66" s="45" t="s">
        <v>330</v>
      </c>
      <c r="W66" s="45">
        <v>33110302604</v>
      </c>
      <c r="X66" s="63" t="s">
        <v>331</v>
      </c>
      <c r="Y66" s="43" t="s">
        <v>43</v>
      </c>
      <c r="Z66" s="71" t="s">
        <v>43</v>
      </c>
      <c r="AA66" s="71" t="s">
        <v>40</v>
      </c>
      <c r="AB66" s="48" t="s">
        <v>43</v>
      </c>
      <c r="AC66" s="75">
        <v>3130</v>
      </c>
      <c r="AD66" s="75">
        <v>2815</v>
      </c>
      <c r="AE66" s="80">
        <v>2780</v>
      </c>
      <c r="AF66" s="80">
        <v>2505</v>
      </c>
      <c r="AG66" s="80">
        <v>2130</v>
      </c>
      <c r="AH66" s="32">
        <v>132</v>
      </c>
      <c r="AI66" s="32">
        <v>120</v>
      </c>
      <c r="AJ66" s="32">
        <v>102</v>
      </c>
      <c r="AK66" s="30" t="s">
        <v>332</v>
      </c>
    </row>
    <row r="67" s="31" customFormat="1" ht="15" customHeight="1" spans="1:36">
      <c r="A67" s="45"/>
      <c r="B67" s="45"/>
      <c r="C67" s="45"/>
      <c r="D67" s="45"/>
      <c r="E67" s="49"/>
      <c r="F67" s="49"/>
      <c r="G67" s="45"/>
      <c r="H67" s="49"/>
      <c r="I67" s="53"/>
      <c r="J67" s="53"/>
      <c r="K67" s="103"/>
      <c r="L67" s="103"/>
      <c r="M67" s="103"/>
      <c r="N67" s="63"/>
      <c r="O67" s="63"/>
      <c r="P67" s="63"/>
      <c r="Q67" s="45"/>
      <c r="R67" s="45"/>
      <c r="S67" s="45"/>
      <c r="T67" s="69"/>
      <c r="U67" s="49"/>
      <c r="V67" s="45" t="s">
        <v>333</v>
      </c>
      <c r="W67" s="45">
        <v>33110302605</v>
      </c>
      <c r="X67" s="63" t="s">
        <v>334</v>
      </c>
      <c r="Y67" s="43" t="s">
        <v>43</v>
      </c>
      <c r="Z67" s="71" t="s">
        <v>43</v>
      </c>
      <c r="AA67" s="71" t="s">
        <v>40</v>
      </c>
      <c r="AB67" s="48" t="s">
        <v>325</v>
      </c>
      <c r="AC67" s="75">
        <v>3610</v>
      </c>
      <c r="AD67" s="75">
        <v>3245</v>
      </c>
      <c r="AE67" s="80">
        <v>2840</v>
      </c>
      <c r="AF67" s="80">
        <v>2555</v>
      </c>
      <c r="AG67" s="80">
        <v>2170</v>
      </c>
      <c r="AH67" s="32"/>
      <c r="AI67" s="32"/>
      <c r="AJ67" s="32"/>
    </row>
    <row r="68" s="31" customFormat="1" ht="15" customHeight="1" spans="1:36">
      <c r="A68" s="45"/>
      <c r="B68" s="45"/>
      <c r="C68" s="45"/>
      <c r="D68" s="45"/>
      <c r="E68" s="49"/>
      <c r="F68" s="49"/>
      <c r="G68" s="45"/>
      <c r="H68" s="49"/>
      <c r="I68" s="53"/>
      <c r="J68" s="53"/>
      <c r="K68" s="103"/>
      <c r="L68" s="103"/>
      <c r="M68" s="103"/>
      <c r="N68" s="63"/>
      <c r="O68" s="63"/>
      <c r="P68" s="63"/>
      <c r="Q68" s="45"/>
      <c r="R68" s="45"/>
      <c r="S68" s="45"/>
      <c r="T68" s="69"/>
      <c r="U68" s="49"/>
      <c r="V68" s="45" t="s">
        <v>335</v>
      </c>
      <c r="W68" s="45">
        <v>33110302606</v>
      </c>
      <c r="X68" s="63" t="s">
        <v>336</v>
      </c>
      <c r="Y68" s="43" t="s">
        <v>43</v>
      </c>
      <c r="Z68" s="71" t="s">
        <v>43</v>
      </c>
      <c r="AA68" s="71" t="s">
        <v>40</v>
      </c>
      <c r="AB68" s="48" t="s">
        <v>43</v>
      </c>
      <c r="AC68" s="75">
        <v>3995</v>
      </c>
      <c r="AD68" s="75">
        <v>3590</v>
      </c>
      <c r="AE68" s="80">
        <v>3540</v>
      </c>
      <c r="AF68" s="80">
        <v>3190</v>
      </c>
      <c r="AG68" s="80">
        <v>2710</v>
      </c>
      <c r="AH68" s="32"/>
      <c r="AI68" s="32"/>
      <c r="AJ68" s="32"/>
    </row>
    <row r="69" s="31" customFormat="1" ht="15" customHeight="1" spans="1:36">
      <c r="A69" s="45"/>
      <c r="B69" s="45"/>
      <c r="C69" s="45"/>
      <c r="D69" s="45"/>
      <c r="E69" s="49"/>
      <c r="F69" s="49"/>
      <c r="G69" s="45"/>
      <c r="H69" s="49"/>
      <c r="I69" s="53"/>
      <c r="J69" s="53"/>
      <c r="K69" s="103"/>
      <c r="L69" s="103"/>
      <c r="M69" s="103"/>
      <c r="N69" s="63"/>
      <c r="O69" s="63"/>
      <c r="P69" s="63"/>
      <c r="Q69" s="45"/>
      <c r="R69" s="45"/>
      <c r="S69" s="45"/>
      <c r="T69" s="69"/>
      <c r="U69" s="49"/>
      <c r="V69" s="45" t="s">
        <v>337</v>
      </c>
      <c r="W69" s="45">
        <v>33110302607</v>
      </c>
      <c r="X69" s="63" t="s">
        <v>338</v>
      </c>
      <c r="Y69" s="43" t="s">
        <v>43</v>
      </c>
      <c r="Z69" s="71" t="s">
        <v>43</v>
      </c>
      <c r="AA69" s="71" t="s">
        <v>40</v>
      </c>
      <c r="AB69" s="48" t="s">
        <v>325</v>
      </c>
      <c r="AC69" s="75">
        <v>4620</v>
      </c>
      <c r="AD69" s="75">
        <v>4150</v>
      </c>
      <c r="AE69" s="80">
        <v>3615</v>
      </c>
      <c r="AF69" s="80">
        <v>3255</v>
      </c>
      <c r="AG69" s="80">
        <v>2765</v>
      </c>
      <c r="AH69" s="32"/>
      <c r="AI69" s="32"/>
      <c r="AJ69" s="32"/>
    </row>
    <row r="70" s="31" customFormat="1" ht="15" customHeight="1" spans="1:36">
      <c r="A70" s="45"/>
      <c r="B70" s="45"/>
      <c r="C70" s="45"/>
      <c r="D70" s="45"/>
      <c r="E70" s="49"/>
      <c r="F70" s="49"/>
      <c r="G70" s="45"/>
      <c r="H70" s="49"/>
      <c r="I70" s="53"/>
      <c r="J70" s="53"/>
      <c r="K70" s="103"/>
      <c r="L70" s="103"/>
      <c r="M70" s="103"/>
      <c r="N70" s="63"/>
      <c r="O70" s="63"/>
      <c r="P70" s="63"/>
      <c r="Q70" s="45"/>
      <c r="R70" s="45"/>
      <c r="S70" s="45"/>
      <c r="T70" s="69"/>
      <c r="U70" s="49"/>
      <c r="V70" s="45" t="s">
        <v>339</v>
      </c>
      <c r="W70" s="45">
        <v>33110302702</v>
      </c>
      <c r="X70" s="63" t="s">
        <v>340</v>
      </c>
      <c r="Y70" s="43" t="s">
        <v>43</v>
      </c>
      <c r="Z70" s="71" t="s">
        <v>43</v>
      </c>
      <c r="AA70" s="71" t="s">
        <v>40</v>
      </c>
      <c r="AB70" s="48" t="s">
        <v>43</v>
      </c>
      <c r="AC70" s="75">
        <v>1500</v>
      </c>
      <c r="AD70" s="75">
        <v>1350</v>
      </c>
      <c r="AE70" s="80">
        <v>1500</v>
      </c>
      <c r="AF70" s="80">
        <v>1425</v>
      </c>
      <c r="AG70" s="80">
        <v>1210</v>
      </c>
      <c r="AH70" s="32"/>
      <c r="AI70" s="32"/>
      <c r="AJ70" s="32"/>
    </row>
    <row r="71" s="31" customFormat="1" ht="15" customHeight="1" spans="1:36">
      <c r="A71" s="45"/>
      <c r="B71" s="45"/>
      <c r="C71" s="45"/>
      <c r="D71" s="45"/>
      <c r="E71" s="49"/>
      <c r="F71" s="49"/>
      <c r="G71" s="45"/>
      <c r="H71" s="49"/>
      <c r="I71" s="53"/>
      <c r="J71" s="53"/>
      <c r="K71" s="103"/>
      <c r="L71" s="103"/>
      <c r="M71" s="103"/>
      <c r="N71" s="63"/>
      <c r="O71" s="63"/>
      <c r="P71" s="63"/>
      <c r="Q71" s="45"/>
      <c r="R71" s="45"/>
      <c r="S71" s="45"/>
      <c r="T71" s="69"/>
      <c r="U71" s="49"/>
      <c r="V71" s="45" t="s">
        <v>341</v>
      </c>
      <c r="W71" s="45">
        <v>33110302703</v>
      </c>
      <c r="X71" s="63" t="s">
        <v>342</v>
      </c>
      <c r="Y71" s="43" t="s">
        <v>43</v>
      </c>
      <c r="Z71" s="71" t="s">
        <v>43</v>
      </c>
      <c r="AA71" s="71" t="s">
        <v>40</v>
      </c>
      <c r="AB71" s="48" t="s">
        <v>43</v>
      </c>
      <c r="AC71" s="75">
        <v>1875</v>
      </c>
      <c r="AD71" s="75">
        <v>1690</v>
      </c>
      <c r="AE71" s="80">
        <v>1875</v>
      </c>
      <c r="AF71" s="80">
        <v>1785</v>
      </c>
      <c r="AG71" s="80">
        <v>1515</v>
      </c>
      <c r="AH71" s="110"/>
      <c r="AI71" s="32"/>
      <c r="AJ71" s="32"/>
    </row>
    <row r="72" s="31" customFormat="1" ht="15" customHeight="1" spans="1:36">
      <c r="A72" s="45"/>
      <c r="B72" s="45"/>
      <c r="C72" s="45"/>
      <c r="D72" s="45"/>
      <c r="E72" s="49"/>
      <c r="F72" s="49"/>
      <c r="G72" s="45"/>
      <c r="H72" s="49"/>
      <c r="I72" s="53"/>
      <c r="J72" s="53"/>
      <c r="K72" s="103"/>
      <c r="L72" s="103"/>
      <c r="M72" s="103"/>
      <c r="N72" s="63"/>
      <c r="O72" s="63"/>
      <c r="P72" s="63"/>
      <c r="Q72" s="45"/>
      <c r="R72" s="45"/>
      <c r="S72" s="45"/>
      <c r="T72" s="69"/>
      <c r="U72" s="49"/>
      <c r="V72" s="45" t="s">
        <v>343</v>
      </c>
      <c r="W72" s="45">
        <v>331201006</v>
      </c>
      <c r="X72" s="45" t="s">
        <v>344</v>
      </c>
      <c r="Y72" s="43" t="s">
        <v>43</v>
      </c>
      <c r="Z72" s="71" t="s">
        <v>43</v>
      </c>
      <c r="AA72" s="71" t="s">
        <v>40</v>
      </c>
      <c r="AB72" s="48" t="s">
        <v>345</v>
      </c>
      <c r="AC72" s="75">
        <v>3080</v>
      </c>
      <c r="AD72" s="75">
        <v>2770</v>
      </c>
      <c r="AE72" s="80">
        <v>2530</v>
      </c>
      <c r="AF72" s="80">
        <v>2280</v>
      </c>
      <c r="AG72" s="80">
        <v>1940</v>
      </c>
      <c r="AH72" s="32"/>
      <c r="AI72" s="32"/>
      <c r="AJ72" s="32"/>
    </row>
    <row r="73" s="31" customFormat="1" ht="15" customHeight="1" spans="1:36">
      <c r="A73" s="45"/>
      <c r="B73" s="45"/>
      <c r="C73" s="45"/>
      <c r="D73" s="45"/>
      <c r="E73" s="49"/>
      <c r="F73" s="49"/>
      <c r="G73" s="45"/>
      <c r="H73" s="49"/>
      <c r="I73" s="53"/>
      <c r="J73" s="53"/>
      <c r="K73" s="103"/>
      <c r="L73" s="103"/>
      <c r="M73" s="103"/>
      <c r="N73" s="63"/>
      <c r="O73" s="63"/>
      <c r="P73" s="63"/>
      <c r="Q73" s="45"/>
      <c r="R73" s="45"/>
      <c r="S73" s="45"/>
      <c r="T73" s="69"/>
      <c r="U73" s="49"/>
      <c r="V73" s="45" t="s">
        <v>346</v>
      </c>
      <c r="W73" s="45">
        <v>33120100601</v>
      </c>
      <c r="X73" s="45" t="s">
        <v>347</v>
      </c>
      <c r="Y73" s="43" t="s">
        <v>43</v>
      </c>
      <c r="Z73" s="71" t="s">
        <v>43</v>
      </c>
      <c r="AA73" s="71" t="s">
        <v>40</v>
      </c>
      <c r="AB73" s="48" t="s">
        <v>325</v>
      </c>
      <c r="AC73" s="75">
        <v>4040</v>
      </c>
      <c r="AD73" s="75">
        <v>3630</v>
      </c>
      <c r="AE73" s="80">
        <v>3635</v>
      </c>
      <c r="AF73" s="80">
        <v>3270</v>
      </c>
      <c r="AG73" s="80">
        <v>2780</v>
      </c>
      <c r="AH73" s="32"/>
      <c r="AI73" s="32"/>
      <c r="AJ73" s="32"/>
    </row>
    <row r="74" s="31" customFormat="1" ht="15" customHeight="1" spans="1:36">
      <c r="A74" s="45"/>
      <c r="B74" s="45"/>
      <c r="C74" s="45"/>
      <c r="D74" s="45"/>
      <c r="E74" s="49"/>
      <c r="F74" s="49"/>
      <c r="G74" s="45"/>
      <c r="H74" s="49"/>
      <c r="I74" s="53"/>
      <c r="J74" s="53"/>
      <c r="K74" s="103"/>
      <c r="L74" s="103"/>
      <c r="M74" s="103"/>
      <c r="N74" s="63"/>
      <c r="O74" s="63"/>
      <c r="P74" s="63"/>
      <c r="Q74" s="45"/>
      <c r="R74" s="45"/>
      <c r="S74" s="45"/>
      <c r="T74" s="69"/>
      <c r="U74" s="49"/>
      <c r="V74" s="45" t="s">
        <v>348</v>
      </c>
      <c r="W74" s="45">
        <v>33120100602</v>
      </c>
      <c r="X74" s="45" t="s">
        <v>349</v>
      </c>
      <c r="Y74" s="43" t="s">
        <v>43</v>
      </c>
      <c r="Z74" s="71" t="s">
        <v>43</v>
      </c>
      <c r="AA74" s="71" t="s">
        <v>40</v>
      </c>
      <c r="AB74" s="48" t="s">
        <v>350</v>
      </c>
      <c r="AC74" s="75">
        <v>4360</v>
      </c>
      <c r="AD74" s="75">
        <v>3920</v>
      </c>
      <c r="AE74" s="80">
        <v>3310</v>
      </c>
      <c r="AF74" s="80">
        <v>2980</v>
      </c>
      <c r="AG74" s="80">
        <v>2530</v>
      </c>
      <c r="AH74" s="32"/>
      <c r="AI74" s="32"/>
      <c r="AJ74" s="32"/>
    </row>
    <row r="75" s="31" customFormat="1" ht="15" customHeight="1" spans="1:36">
      <c r="A75" s="45"/>
      <c r="B75" s="45"/>
      <c r="C75" s="45"/>
      <c r="D75" s="45"/>
      <c r="E75" s="49"/>
      <c r="F75" s="49"/>
      <c r="G75" s="45"/>
      <c r="H75" s="49"/>
      <c r="I75" s="53"/>
      <c r="J75" s="53"/>
      <c r="K75" s="103"/>
      <c r="L75" s="103"/>
      <c r="M75" s="103"/>
      <c r="N75" s="63"/>
      <c r="O75" s="63"/>
      <c r="P75" s="63"/>
      <c r="Q75" s="45"/>
      <c r="R75" s="45"/>
      <c r="S75" s="45"/>
      <c r="T75" s="69"/>
      <c r="U75" s="49"/>
      <c r="V75" s="45" t="s">
        <v>351</v>
      </c>
      <c r="W75" s="45">
        <v>33120100603</v>
      </c>
      <c r="X75" s="45" t="s">
        <v>352</v>
      </c>
      <c r="Y75" s="43" t="s">
        <v>43</v>
      </c>
      <c r="Z75" s="71" t="s">
        <v>43</v>
      </c>
      <c r="AA75" s="71" t="s">
        <v>40</v>
      </c>
      <c r="AB75" s="48" t="s">
        <v>43</v>
      </c>
      <c r="AC75" s="75">
        <v>4000</v>
      </c>
      <c r="AD75" s="75">
        <v>3600</v>
      </c>
      <c r="AE75" s="80">
        <v>3290</v>
      </c>
      <c r="AF75" s="80">
        <v>2965</v>
      </c>
      <c r="AG75" s="80">
        <v>2520</v>
      </c>
      <c r="AH75" s="32"/>
      <c r="AI75" s="32"/>
      <c r="AJ75" s="32"/>
    </row>
    <row r="76" s="31" customFormat="1" ht="15" customHeight="1" spans="1:36">
      <c r="A76" s="45"/>
      <c r="B76" s="45"/>
      <c r="C76" s="45"/>
      <c r="D76" s="45"/>
      <c r="E76" s="49"/>
      <c r="F76" s="49"/>
      <c r="G76" s="45"/>
      <c r="H76" s="49"/>
      <c r="I76" s="53"/>
      <c r="J76" s="53"/>
      <c r="K76" s="103"/>
      <c r="L76" s="103"/>
      <c r="M76" s="103"/>
      <c r="N76" s="63"/>
      <c r="O76" s="63"/>
      <c r="P76" s="63"/>
      <c r="Q76" s="45"/>
      <c r="R76" s="45"/>
      <c r="S76" s="45"/>
      <c r="T76" s="69"/>
      <c r="U76" s="49"/>
      <c r="V76" s="45" t="s">
        <v>353</v>
      </c>
      <c r="W76" s="45">
        <v>33120100604</v>
      </c>
      <c r="X76" s="45" t="s">
        <v>354</v>
      </c>
      <c r="Y76" s="43" t="s">
        <v>43</v>
      </c>
      <c r="Z76" s="71" t="s">
        <v>43</v>
      </c>
      <c r="AA76" s="71" t="s">
        <v>40</v>
      </c>
      <c r="AB76" s="48" t="s">
        <v>325</v>
      </c>
      <c r="AC76" s="75">
        <v>5250</v>
      </c>
      <c r="AD76" s="75">
        <v>4720</v>
      </c>
      <c r="AE76" s="80">
        <v>4725</v>
      </c>
      <c r="AF76" s="80">
        <v>4250</v>
      </c>
      <c r="AG76" s="80">
        <v>3615</v>
      </c>
      <c r="AH76" s="32"/>
      <c r="AI76" s="32"/>
      <c r="AJ76" s="32"/>
    </row>
    <row r="77" s="31" customFormat="1" ht="15" customHeight="1" spans="1:36">
      <c r="A77" s="45"/>
      <c r="B77" s="45"/>
      <c r="C77" s="45"/>
      <c r="D77" s="45"/>
      <c r="E77" s="49"/>
      <c r="F77" s="49"/>
      <c r="G77" s="45"/>
      <c r="H77" s="49"/>
      <c r="I77" s="53"/>
      <c r="J77" s="53"/>
      <c r="K77" s="103"/>
      <c r="L77" s="103"/>
      <c r="M77" s="103"/>
      <c r="N77" s="63"/>
      <c r="O77" s="63"/>
      <c r="P77" s="63"/>
      <c r="Q77" s="45"/>
      <c r="R77" s="45"/>
      <c r="S77" s="45"/>
      <c r="T77" s="69"/>
      <c r="U77" s="49"/>
      <c r="V77" s="45" t="s">
        <v>355</v>
      </c>
      <c r="W77" s="45">
        <v>33120100605</v>
      </c>
      <c r="X77" s="45" t="s">
        <v>356</v>
      </c>
      <c r="Y77" s="43" t="s">
        <v>43</v>
      </c>
      <c r="Z77" s="71" t="s">
        <v>43</v>
      </c>
      <c r="AA77" s="71" t="s">
        <v>40</v>
      </c>
      <c r="AB77" s="48" t="s">
        <v>350</v>
      </c>
      <c r="AC77" s="75">
        <v>5670</v>
      </c>
      <c r="AD77" s="75">
        <v>5090</v>
      </c>
      <c r="AE77" s="80">
        <v>4305</v>
      </c>
      <c r="AF77" s="80">
        <v>3875</v>
      </c>
      <c r="AG77" s="80">
        <v>3295</v>
      </c>
      <c r="AH77" s="32"/>
      <c r="AI77" s="32"/>
      <c r="AJ77" s="32"/>
    </row>
    <row r="78" s="31" customFormat="1" ht="15" customHeight="1" spans="1:36">
      <c r="A78" s="45"/>
      <c r="B78" s="45"/>
      <c r="C78" s="45"/>
      <c r="D78" s="45"/>
      <c r="E78" s="49"/>
      <c r="F78" s="49"/>
      <c r="G78" s="45"/>
      <c r="H78" s="49"/>
      <c r="I78" s="53"/>
      <c r="J78" s="53"/>
      <c r="K78" s="103"/>
      <c r="L78" s="103"/>
      <c r="M78" s="103"/>
      <c r="N78" s="63"/>
      <c r="O78" s="63"/>
      <c r="P78" s="63"/>
      <c r="Q78" s="45"/>
      <c r="R78" s="45"/>
      <c r="S78" s="45"/>
      <c r="T78" s="69"/>
      <c r="U78" s="49"/>
      <c r="V78" s="45" t="s">
        <v>357</v>
      </c>
      <c r="W78" s="45">
        <v>33120100606</v>
      </c>
      <c r="X78" s="63" t="s">
        <v>358</v>
      </c>
      <c r="Y78" s="43" t="s">
        <v>43</v>
      </c>
      <c r="Z78" s="71" t="s">
        <v>43</v>
      </c>
      <c r="AA78" s="71" t="s">
        <v>40</v>
      </c>
      <c r="AB78" s="48" t="s">
        <v>43</v>
      </c>
      <c r="AC78" s="75">
        <v>3130</v>
      </c>
      <c r="AD78" s="75">
        <v>2815</v>
      </c>
      <c r="AE78" s="80">
        <v>2780</v>
      </c>
      <c r="AF78" s="80">
        <v>2505</v>
      </c>
      <c r="AG78" s="80">
        <v>2130</v>
      </c>
      <c r="AH78" s="32"/>
      <c r="AI78" s="32"/>
      <c r="AJ78" s="32"/>
    </row>
    <row r="79" s="31" customFormat="1" ht="15" customHeight="1" spans="1:33">
      <c r="A79" s="45"/>
      <c r="B79" s="45"/>
      <c r="C79" s="45"/>
      <c r="D79" s="45"/>
      <c r="E79" s="49"/>
      <c r="F79" s="49"/>
      <c r="G79" s="45"/>
      <c r="H79" s="49"/>
      <c r="I79" s="53"/>
      <c r="J79" s="53"/>
      <c r="K79" s="103"/>
      <c r="L79" s="103"/>
      <c r="M79" s="103"/>
      <c r="N79" s="63"/>
      <c r="O79" s="63"/>
      <c r="P79" s="63"/>
      <c r="Q79" s="45"/>
      <c r="R79" s="45"/>
      <c r="S79" s="45"/>
      <c r="T79" s="69"/>
      <c r="U79" s="49"/>
      <c r="V79" s="45" t="s">
        <v>359</v>
      </c>
      <c r="W79" s="45">
        <v>33120100607</v>
      </c>
      <c r="X79" s="63" t="s">
        <v>360</v>
      </c>
      <c r="Y79" s="43" t="s">
        <v>43</v>
      </c>
      <c r="Z79" s="71" t="s">
        <v>43</v>
      </c>
      <c r="AA79" s="71" t="s">
        <v>40</v>
      </c>
      <c r="AB79" s="48" t="s">
        <v>325</v>
      </c>
      <c r="AC79" s="75">
        <v>4090</v>
      </c>
      <c r="AD79" s="75">
        <v>3675</v>
      </c>
      <c r="AE79" s="80">
        <v>3270</v>
      </c>
      <c r="AF79" s="80">
        <v>2945</v>
      </c>
      <c r="AG79" s="80">
        <v>2500</v>
      </c>
    </row>
    <row r="80" s="31" customFormat="1" ht="15" customHeight="1" spans="1:36">
      <c r="A80" s="45"/>
      <c r="B80" s="45"/>
      <c r="C80" s="45"/>
      <c r="D80" s="45"/>
      <c r="E80" s="49"/>
      <c r="F80" s="49"/>
      <c r="G80" s="45"/>
      <c r="H80" s="49"/>
      <c r="I80" s="53"/>
      <c r="J80" s="53"/>
      <c r="K80" s="103"/>
      <c r="L80" s="103"/>
      <c r="M80" s="103"/>
      <c r="N80" s="63"/>
      <c r="O80" s="63"/>
      <c r="P80" s="63"/>
      <c r="Q80" s="45"/>
      <c r="R80" s="45"/>
      <c r="S80" s="45"/>
      <c r="T80" s="69"/>
      <c r="U80" s="49"/>
      <c r="V80" s="45" t="s">
        <v>361</v>
      </c>
      <c r="W80" s="45">
        <v>33120100608</v>
      </c>
      <c r="X80" s="63" t="s">
        <v>362</v>
      </c>
      <c r="Y80" s="43" t="s">
        <v>43</v>
      </c>
      <c r="Z80" s="71" t="s">
        <v>43</v>
      </c>
      <c r="AA80" s="71" t="s">
        <v>40</v>
      </c>
      <c r="AB80" s="48" t="s">
        <v>350</v>
      </c>
      <c r="AC80" s="75">
        <v>4410</v>
      </c>
      <c r="AD80" s="75">
        <v>3965</v>
      </c>
      <c r="AE80" s="80">
        <v>3560</v>
      </c>
      <c r="AF80" s="80">
        <v>3205</v>
      </c>
      <c r="AG80" s="80">
        <v>2720</v>
      </c>
      <c r="AH80" s="32"/>
      <c r="AI80" s="32"/>
      <c r="AJ80" s="32"/>
    </row>
    <row r="81" s="31" customFormat="1" ht="15" customHeight="1" spans="1:36">
      <c r="A81" s="45"/>
      <c r="B81" s="45"/>
      <c r="C81" s="45"/>
      <c r="D81" s="45"/>
      <c r="E81" s="49"/>
      <c r="F81" s="49"/>
      <c r="G81" s="45"/>
      <c r="H81" s="49"/>
      <c r="I81" s="53"/>
      <c r="J81" s="53"/>
      <c r="K81" s="103"/>
      <c r="L81" s="103"/>
      <c r="M81" s="103"/>
      <c r="N81" s="63"/>
      <c r="O81" s="63"/>
      <c r="P81" s="63"/>
      <c r="Q81" s="45"/>
      <c r="R81" s="45"/>
      <c r="S81" s="45"/>
      <c r="T81" s="69"/>
      <c r="U81" s="49"/>
      <c r="V81" s="45" t="s">
        <v>363</v>
      </c>
      <c r="W81" s="45">
        <v>33120100609</v>
      </c>
      <c r="X81" s="45" t="s">
        <v>364</v>
      </c>
      <c r="Y81" s="43" t="s">
        <v>43</v>
      </c>
      <c r="Z81" s="71" t="s">
        <v>43</v>
      </c>
      <c r="AA81" s="71" t="s">
        <v>40</v>
      </c>
      <c r="AB81" s="48" t="s">
        <v>43</v>
      </c>
      <c r="AC81" s="75">
        <v>3995</v>
      </c>
      <c r="AD81" s="75">
        <v>3590</v>
      </c>
      <c r="AE81" s="80">
        <v>3540</v>
      </c>
      <c r="AF81" s="80">
        <v>3190</v>
      </c>
      <c r="AG81" s="80">
        <v>2710</v>
      </c>
      <c r="AH81" s="32"/>
      <c r="AI81" s="32"/>
      <c r="AJ81" s="32"/>
    </row>
    <row r="82" s="31" customFormat="1" ht="15" customHeight="1" spans="1:36">
      <c r="A82" s="45"/>
      <c r="B82" s="45"/>
      <c r="C82" s="45"/>
      <c r="D82" s="45"/>
      <c r="E82" s="49"/>
      <c r="F82" s="49"/>
      <c r="G82" s="45"/>
      <c r="H82" s="49"/>
      <c r="I82" s="53"/>
      <c r="J82" s="53"/>
      <c r="K82" s="103"/>
      <c r="L82" s="103"/>
      <c r="M82" s="103"/>
      <c r="N82" s="63"/>
      <c r="O82" s="63"/>
      <c r="P82" s="63"/>
      <c r="Q82" s="45"/>
      <c r="R82" s="45"/>
      <c r="S82" s="45"/>
      <c r="T82" s="69"/>
      <c r="U82" s="49"/>
      <c r="V82" s="45" t="s">
        <v>365</v>
      </c>
      <c r="W82" s="45">
        <v>33120100610</v>
      </c>
      <c r="X82" s="45" t="s">
        <v>366</v>
      </c>
      <c r="Y82" s="43" t="s">
        <v>43</v>
      </c>
      <c r="Z82" s="71" t="s">
        <v>43</v>
      </c>
      <c r="AA82" s="71" t="s">
        <v>40</v>
      </c>
      <c r="AB82" s="48" t="s">
        <v>325</v>
      </c>
      <c r="AC82" s="75">
        <v>5240</v>
      </c>
      <c r="AD82" s="75">
        <v>4710</v>
      </c>
      <c r="AE82" s="80">
        <v>4175</v>
      </c>
      <c r="AF82" s="80">
        <v>3760</v>
      </c>
      <c r="AG82" s="80">
        <v>3195</v>
      </c>
      <c r="AH82" s="32"/>
      <c r="AI82" s="32"/>
      <c r="AJ82" s="32"/>
    </row>
    <row r="83" s="31" customFormat="1" ht="15" customHeight="1" spans="1:36">
      <c r="A83" s="45"/>
      <c r="B83" s="45"/>
      <c r="C83" s="45"/>
      <c r="D83" s="45"/>
      <c r="E83" s="49"/>
      <c r="F83" s="49"/>
      <c r="G83" s="45"/>
      <c r="H83" s="49"/>
      <c r="I83" s="53"/>
      <c r="J83" s="53"/>
      <c r="K83" s="103"/>
      <c r="L83" s="103"/>
      <c r="M83" s="103"/>
      <c r="N83" s="63"/>
      <c r="O83" s="63"/>
      <c r="P83" s="63"/>
      <c r="Q83" s="45"/>
      <c r="R83" s="45"/>
      <c r="S83" s="45"/>
      <c r="T83" s="69"/>
      <c r="U83" s="49"/>
      <c r="V83" s="45" t="s">
        <v>367</v>
      </c>
      <c r="W83" s="45">
        <v>33120100611</v>
      </c>
      <c r="X83" s="45" t="s">
        <v>368</v>
      </c>
      <c r="Y83" s="43" t="s">
        <v>43</v>
      </c>
      <c r="Z83" s="71" t="s">
        <v>43</v>
      </c>
      <c r="AA83" s="71" t="s">
        <v>40</v>
      </c>
      <c r="AB83" s="48" t="s">
        <v>350</v>
      </c>
      <c r="AC83" s="75">
        <v>5660</v>
      </c>
      <c r="AD83" s="75">
        <v>5085</v>
      </c>
      <c r="AE83" s="80">
        <v>4555</v>
      </c>
      <c r="AF83" s="80">
        <v>4100</v>
      </c>
      <c r="AG83" s="80">
        <v>3485</v>
      </c>
      <c r="AH83" s="32"/>
      <c r="AI83" s="32"/>
      <c r="AJ83" s="32"/>
    </row>
    <row r="84" s="31" customFormat="1" ht="15" customHeight="1" spans="1:36">
      <c r="A84" s="45"/>
      <c r="B84" s="45"/>
      <c r="C84" s="45"/>
      <c r="D84" s="45"/>
      <c r="E84" s="49"/>
      <c r="F84" s="49"/>
      <c r="G84" s="45"/>
      <c r="H84" s="49"/>
      <c r="I84" s="53"/>
      <c r="J84" s="53"/>
      <c r="K84" s="103"/>
      <c r="L84" s="103"/>
      <c r="M84" s="103"/>
      <c r="N84" s="63"/>
      <c r="O84" s="63"/>
      <c r="P84" s="63"/>
      <c r="Q84" s="45"/>
      <c r="R84" s="45"/>
      <c r="S84" s="45"/>
      <c r="T84" s="69"/>
      <c r="U84" s="49"/>
      <c r="V84" s="45" t="s">
        <v>369</v>
      </c>
      <c r="W84" s="45">
        <v>331201010</v>
      </c>
      <c r="X84" s="45" t="s">
        <v>370</v>
      </c>
      <c r="Y84" s="43" t="s">
        <v>371</v>
      </c>
      <c r="Z84" s="71" t="s">
        <v>43</v>
      </c>
      <c r="AA84" s="71" t="s">
        <v>40</v>
      </c>
      <c r="AB84" s="48" t="s">
        <v>43</v>
      </c>
      <c r="AC84" s="75">
        <v>4500</v>
      </c>
      <c r="AD84" s="75">
        <v>4050</v>
      </c>
      <c r="AE84" s="80">
        <v>4500</v>
      </c>
      <c r="AF84" s="80">
        <v>4500</v>
      </c>
      <c r="AG84" s="80">
        <v>3825</v>
      </c>
      <c r="AH84" s="32"/>
      <c r="AI84" s="32"/>
      <c r="AJ84" s="32"/>
    </row>
    <row r="85" s="31" customFormat="1" ht="15" customHeight="1" spans="1:37">
      <c r="A85" s="45"/>
      <c r="B85" s="45"/>
      <c r="C85" s="45"/>
      <c r="D85" s="45"/>
      <c r="E85" s="49"/>
      <c r="F85" s="49"/>
      <c r="G85" s="45"/>
      <c r="H85" s="49"/>
      <c r="I85" s="53"/>
      <c r="J85" s="53"/>
      <c r="K85" s="103"/>
      <c r="L85" s="103"/>
      <c r="M85" s="103"/>
      <c r="N85" s="63"/>
      <c r="O85" s="63"/>
      <c r="P85" s="63"/>
      <c r="Q85" s="45"/>
      <c r="R85" s="45"/>
      <c r="S85" s="45"/>
      <c r="T85" s="69"/>
      <c r="U85" s="49"/>
      <c r="V85" s="45" t="s">
        <v>372</v>
      </c>
      <c r="W85" s="45">
        <v>331203015</v>
      </c>
      <c r="X85" s="63" t="s">
        <v>373</v>
      </c>
      <c r="Y85" s="43" t="s">
        <v>374</v>
      </c>
      <c r="Z85" s="71" t="s">
        <v>43</v>
      </c>
      <c r="AA85" s="71" t="s">
        <v>88</v>
      </c>
      <c r="AB85" s="48" t="s">
        <v>313</v>
      </c>
      <c r="AC85" s="75">
        <v>2300</v>
      </c>
      <c r="AD85" s="74" t="s">
        <v>43</v>
      </c>
      <c r="AE85" s="80">
        <v>2070</v>
      </c>
      <c r="AF85" s="80">
        <v>1863</v>
      </c>
      <c r="AG85" s="80">
        <v>1583.6</v>
      </c>
      <c r="AH85" s="32">
        <f>N10</f>
        <v>495</v>
      </c>
      <c r="AI85" s="32">
        <f>O10</f>
        <v>445</v>
      </c>
      <c r="AJ85" s="32">
        <f>P10</f>
        <v>380</v>
      </c>
      <c r="AK85" s="30" t="s">
        <v>375</v>
      </c>
    </row>
    <row r="86" s="31" customFormat="1" ht="15" customHeight="1" spans="1:36">
      <c r="A86" s="45"/>
      <c r="B86" s="45"/>
      <c r="C86" s="45"/>
      <c r="D86" s="45"/>
      <c r="E86" s="49"/>
      <c r="F86" s="49"/>
      <c r="G86" s="45"/>
      <c r="H86" s="49"/>
      <c r="I86" s="53"/>
      <c r="J86" s="53"/>
      <c r="K86" s="103"/>
      <c r="L86" s="103"/>
      <c r="M86" s="103"/>
      <c r="N86" s="63"/>
      <c r="O86" s="63"/>
      <c r="P86" s="63"/>
      <c r="Q86" s="45"/>
      <c r="R86" s="45"/>
      <c r="S86" s="45"/>
      <c r="T86" s="69"/>
      <c r="U86" s="49"/>
      <c r="V86" s="45" t="s">
        <v>376</v>
      </c>
      <c r="W86" s="45">
        <v>331203016</v>
      </c>
      <c r="X86" s="63" t="s">
        <v>377</v>
      </c>
      <c r="Y86" s="43" t="s">
        <v>378</v>
      </c>
      <c r="Z86" s="71" t="s">
        <v>43</v>
      </c>
      <c r="AA86" s="71" t="s">
        <v>88</v>
      </c>
      <c r="AB86" s="48" t="s">
        <v>310</v>
      </c>
      <c r="AC86" s="75">
        <v>1600</v>
      </c>
      <c r="AD86" s="74" t="s">
        <v>43</v>
      </c>
      <c r="AE86" s="80">
        <v>1440</v>
      </c>
      <c r="AF86" s="80">
        <v>1296</v>
      </c>
      <c r="AG86" s="80">
        <v>1101.6</v>
      </c>
      <c r="AH86" s="32"/>
      <c r="AI86" s="32"/>
      <c r="AJ86" s="32"/>
    </row>
    <row r="87" s="31" customFormat="1" ht="15" customHeight="1" spans="1:36">
      <c r="A87" s="45"/>
      <c r="B87" s="45"/>
      <c r="C87" s="45"/>
      <c r="D87" s="45"/>
      <c r="E87" s="49"/>
      <c r="F87" s="49"/>
      <c r="G87" s="45"/>
      <c r="H87" s="49"/>
      <c r="I87" s="53"/>
      <c r="J87" s="53"/>
      <c r="K87" s="103"/>
      <c r="L87" s="103"/>
      <c r="M87" s="103"/>
      <c r="N87" s="63"/>
      <c r="O87" s="63"/>
      <c r="P87" s="63"/>
      <c r="Q87" s="45"/>
      <c r="R87" s="45"/>
      <c r="S87" s="45"/>
      <c r="T87" s="69"/>
      <c r="U87" s="49"/>
      <c r="V87" s="45" t="s">
        <v>379</v>
      </c>
      <c r="W87" s="45">
        <v>331203017</v>
      </c>
      <c r="X87" s="63" t="s">
        <v>380</v>
      </c>
      <c r="Y87" s="43" t="s">
        <v>381</v>
      </c>
      <c r="Z87" s="71" t="s">
        <v>43</v>
      </c>
      <c r="AA87" s="71" t="s">
        <v>88</v>
      </c>
      <c r="AB87" s="48" t="s">
        <v>382</v>
      </c>
      <c r="AC87" s="75">
        <v>1400</v>
      </c>
      <c r="AD87" s="74" t="s">
        <v>43</v>
      </c>
      <c r="AE87" s="80">
        <v>1260</v>
      </c>
      <c r="AF87" s="80">
        <v>1134</v>
      </c>
      <c r="AG87" s="80">
        <v>963.9</v>
      </c>
      <c r="AH87" s="32"/>
      <c r="AI87" s="32"/>
      <c r="AJ87" s="32"/>
    </row>
    <row r="88" s="31" customFormat="1" ht="15" customHeight="1" spans="1:36">
      <c r="A88" s="45"/>
      <c r="B88" s="45"/>
      <c r="C88" s="45"/>
      <c r="D88" s="45"/>
      <c r="E88" s="49"/>
      <c r="F88" s="49"/>
      <c r="G88" s="45"/>
      <c r="H88" s="49"/>
      <c r="I88" s="53"/>
      <c r="J88" s="53"/>
      <c r="K88" s="103"/>
      <c r="L88" s="103"/>
      <c r="M88" s="103"/>
      <c r="N88" s="63"/>
      <c r="O88" s="63"/>
      <c r="P88" s="63"/>
      <c r="Q88" s="45"/>
      <c r="R88" s="45"/>
      <c r="S88" s="45"/>
      <c r="T88" s="69"/>
      <c r="U88" s="49"/>
      <c r="V88" s="45" t="s">
        <v>383</v>
      </c>
      <c r="W88" s="45">
        <v>331204020</v>
      </c>
      <c r="X88" s="63" t="s">
        <v>384</v>
      </c>
      <c r="Y88" s="43" t="s">
        <v>385</v>
      </c>
      <c r="Z88" s="71" t="s">
        <v>43</v>
      </c>
      <c r="AA88" s="71" t="s">
        <v>88</v>
      </c>
      <c r="AB88" s="48" t="s">
        <v>43</v>
      </c>
      <c r="AC88" s="75">
        <v>2300</v>
      </c>
      <c r="AD88" s="74" t="s">
        <v>43</v>
      </c>
      <c r="AE88" s="80">
        <v>2070</v>
      </c>
      <c r="AF88" s="80">
        <v>1863</v>
      </c>
      <c r="AG88" s="80">
        <v>1583.6</v>
      </c>
      <c r="AH88" s="32"/>
      <c r="AI88" s="32"/>
      <c r="AJ88" s="32"/>
    </row>
    <row r="89" s="31" customFormat="1" ht="15" customHeight="1" spans="1:36">
      <c r="A89" s="45"/>
      <c r="B89" s="45"/>
      <c r="C89" s="45"/>
      <c r="D89" s="45"/>
      <c r="E89" s="49"/>
      <c r="F89" s="49"/>
      <c r="G89" s="45"/>
      <c r="H89" s="49"/>
      <c r="I89" s="53"/>
      <c r="J89" s="53"/>
      <c r="K89" s="103"/>
      <c r="L89" s="103"/>
      <c r="M89" s="103"/>
      <c r="N89" s="63"/>
      <c r="O89" s="63"/>
      <c r="P89" s="63"/>
      <c r="Q89" s="45"/>
      <c r="R89" s="45"/>
      <c r="S89" s="45"/>
      <c r="T89" s="69"/>
      <c r="U89" s="49"/>
      <c r="V89" s="45" t="s">
        <v>386</v>
      </c>
      <c r="W89" s="45">
        <v>33120402001</v>
      </c>
      <c r="X89" s="63" t="s">
        <v>387</v>
      </c>
      <c r="Y89" s="43" t="s">
        <v>43</v>
      </c>
      <c r="Z89" s="71" t="s">
        <v>43</v>
      </c>
      <c r="AA89" s="71" t="s">
        <v>88</v>
      </c>
      <c r="AB89" s="48" t="s">
        <v>43</v>
      </c>
      <c r="AC89" s="75">
        <v>2990</v>
      </c>
      <c r="AD89" s="74" t="s">
        <v>43</v>
      </c>
      <c r="AE89" s="80">
        <v>2690</v>
      </c>
      <c r="AF89" s="80">
        <v>2420</v>
      </c>
      <c r="AG89" s="80">
        <v>2055</v>
      </c>
      <c r="AH89" s="32"/>
      <c r="AI89" s="32"/>
      <c r="AJ89" s="32"/>
    </row>
    <row r="90" s="31" customFormat="1" ht="15" customHeight="1" spans="1:37">
      <c r="A90" s="45"/>
      <c r="B90" s="45"/>
      <c r="C90" s="45"/>
      <c r="D90" s="45"/>
      <c r="E90" s="49"/>
      <c r="F90" s="49"/>
      <c r="G90" s="45"/>
      <c r="H90" s="49"/>
      <c r="I90" s="53"/>
      <c r="J90" s="53"/>
      <c r="K90" s="103"/>
      <c r="L90" s="103"/>
      <c r="M90" s="103"/>
      <c r="N90" s="63"/>
      <c r="O90" s="63"/>
      <c r="P90" s="63"/>
      <c r="Q90" s="45"/>
      <c r="R90" s="45"/>
      <c r="S90" s="45"/>
      <c r="T90" s="69"/>
      <c r="U90" s="49"/>
      <c r="V90" s="45" t="s">
        <v>388</v>
      </c>
      <c r="W90" s="45" t="s">
        <v>389</v>
      </c>
      <c r="X90" s="63" t="s">
        <v>390</v>
      </c>
      <c r="Y90" s="43" t="s">
        <v>391</v>
      </c>
      <c r="Z90" s="71" t="s">
        <v>392</v>
      </c>
      <c r="AA90" s="71" t="s">
        <v>40</v>
      </c>
      <c r="AB90" s="48" t="s">
        <v>393</v>
      </c>
      <c r="AC90" s="74"/>
      <c r="AD90" s="74"/>
      <c r="AE90" s="78" t="s">
        <v>394</v>
      </c>
      <c r="AF90" s="78" t="s">
        <v>394</v>
      </c>
      <c r="AG90" s="78" t="s">
        <v>394</v>
      </c>
      <c r="AH90" s="32">
        <f>N8</f>
        <v>660</v>
      </c>
      <c r="AI90" s="32">
        <f>O8</f>
        <v>595</v>
      </c>
      <c r="AJ90" s="32">
        <f>P8</f>
        <v>510</v>
      </c>
      <c r="AK90" s="30" t="s">
        <v>395</v>
      </c>
    </row>
    <row r="91" s="31" customFormat="1" ht="15" customHeight="1" spans="1:36">
      <c r="A91" s="45"/>
      <c r="B91" s="45"/>
      <c r="C91" s="45"/>
      <c r="D91" s="45"/>
      <c r="E91" s="49"/>
      <c r="F91" s="49"/>
      <c r="G91" s="45"/>
      <c r="H91" s="49"/>
      <c r="I91" s="53"/>
      <c r="J91" s="53"/>
      <c r="K91" s="103"/>
      <c r="L91" s="103"/>
      <c r="M91" s="103"/>
      <c r="N91" s="63"/>
      <c r="O91" s="63"/>
      <c r="P91" s="63"/>
      <c r="Q91" s="45"/>
      <c r="R91" s="45"/>
      <c r="S91" s="45"/>
      <c r="T91" s="69"/>
      <c r="U91" s="49"/>
      <c r="V91" s="45" t="s">
        <v>396</v>
      </c>
      <c r="W91" s="45" t="s">
        <v>397</v>
      </c>
      <c r="X91" s="45" t="s">
        <v>398</v>
      </c>
      <c r="Y91" s="43" t="s">
        <v>43</v>
      </c>
      <c r="Z91" s="71" t="s">
        <v>43</v>
      </c>
      <c r="AA91" s="71" t="s">
        <v>40</v>
      </c>
      <c r="AB91" s="48" t="s">
        <v>393</v>
      </c>
      <c r="AC91" s="74"/>
      <c r="AD91" s="74"/>
      <c r="AE91" s="78" t="s">
        <v>394</v>
      </c>
      <c r="AF91" s="78" t="s">
        <v>394</v>
      </c>
      <c r="AG91" s="78" t="s">
        <v>394</v>
      </c>
      <c r="AH91" s="32"/>
      <c r="AI91" s="32"/>
      <c r="AJ91" s="32"/>
    </row>
    <row r="92" s="30" customFormat="1" ht="61" customHeight="1" spans="1:36">
      <c r="A92" s="45">
        <v>34</v>
      </c>
      <c r="B92" s="45" t="s">
        <v>399</v>
      </c>
      <c r="C92" s="45" t="s">
        <v>400</v>
      </c>
      <c r="D92" s="45" t="s">
        <v>213</v>
      </c>
      <c r="E92" s="49" t="s">
        <v>401</v>
      </c>
      <c r="F92" s="49" t="s">
        <v>402</v>
      </c>
      <c r="G92" s="45" t="s">
        <v>40</v>
      </c>
      <c r="H92" s="49" t="s">
        <v>43</v>
      </c>
      <c r="I92" s="53">
        <v>1220</v>
      </c>
      <c r="J92" s="53">
        <v>1100</v>
      </c>
      <c r="K92" s="55">
        <v>1125</v>
      </c>
      <c r="L92" s="55">
        <v>1080</v>
      </c>
      <c r="M92" s="55">
        <v>918</v>
      </c>
      <c r="N92" s="63">
        <v>1125</v>
      </c>
      <c r="O92" s="63">
        <v>1080</v>
      </c>
      <c r="P92" s="63">
        <v>918</v>
      </c>
      <c r="Q92" s="45" t="s">
        <v>54</v>
      </c>
      <c r="R92" s="45" t="s">
        <v>43</v>
      </c>
      <c r="S92" s="45" t="s">
        <v>43</v>
      </c>
      <c r="T92" s="69" t="s">
        <v>55</v>
      </c>
      <c r="U92" s="49" t="s">
        <v>55</v>
      </c>
      <c r="V92" s="43" t="s">
        <v>403</v>
      </c>
      <c r="W92" s="71">
        <v>331104005</v>
      </c>
      <c r="X92" s="43" t="s">
        <v>404</v>
      </c>
      <c r="Y92" s="43" t="s">
        <v>405</v>
      </c>
      <c r="Z92" s="71" t="s">
        <v>43</v>
      </c>
      <c r="AA92" s="71" t="s">
        <v>40</v>
      </c>
      <c r="AB92" s="48" t="s">
        <v>43</v>
      </c>
      <c r="AC92" s="75">
        <v>1220</v>
      </c>
      <c r="AD92" s="75">
        <v>1090</v>
      </c>
      <c r="AE92" s="80">
        <v>1125</v>
      </c>
      <c r="AF92" s="80">
        <v>1080</v>
      </c>
      <c r="AG92" s="80">
        <v>918</v>
      </c>
      <c r="AH92" s="32"/>
      <c r="AI92" s="32"/>
      <c r="AJ92" s="32"/>
    </row>
    <row r="93" s="30" customFormat="1" ht="37" customHeight="1" spans="1:36">
      <c r="A93" s="45" t="s">
        <v>81</v>
      </c>
      <c r="B93" s="43" t="s">
        <v>406</v>
      </c>
      <c r="C93" s="43" t="s">
        <v>407</v>
      </c>
      <c r="D93" s="43" t="s">
        <v>213</v>
      </c>
      <c r="E93" s="48" t="s">
        <v>43</v>
      </c>
      <c r="F93" s="48" t="s">
        <v>43</v>
      </c>
      <c r="G93" s="43" t="s">
        <v>40</v>
      </c>
      <c r="H93" s="48" t="s">
        <v>408</v>
      </c>
      <c r="I93" s="53">
        <v>378</v>
      </c>
      <c r="J93" s="53">
        <v>340</v>
      </c>
      <c r="K93" s="54"/>
      <c r="L93" s="54"/>
      <c r="M93" s="54"/>
      <c r="N93" s="63">
        <v>350</v>
      </c>
      <c r="O93" s="63">
        <v>335</v>
      </c>
      <c r="P93" s="63">
        <v>285</v>
      </c>
      <c r="Q93" s="45" t="s">
        <v>54</v>
      </c>
      <c r="R93" s="45" t="s">
        <v>43</v>
      </c>
      <c r="S93" s="45" t="s">
        <v>43</v>
      </c>
      <c r="T93" s="69"/>
      <c r="U93" s="49" t="s">
        <v>409</v>
      </c>
      <c r="V93" s="43"/>
      <c r="W93" s="71"/>
      <c r="X93" s="43"/>
      <c r="Y93" s="43"/>
      <c r="Z93" s="71"/>
      <c r="AA93" s="71"/>
      <c r="AB93" s="48"/>
      <c r="AC93" s="74"/>
      <c r="AD93" s="74"/>
      <c r="AE93" s="78"/>
      <c r="AF93" s="78"/>
      <c r="AG93" s="78"/>
      <c r="AH93" s="32"/>
      <c r="AI93" s="32"/>
      <c r="AJ93" s="32"/>
    </row>
    <row r="94" s="30" customFormat="1" ht="37" customHeight="1" spans="1:36">
      <c r="A94" s="45" t="s">
        <v>81</v>
      </c>
      <c r="B94" s="43" t="s">
        <v>410</v>
      </c>
      <c r="C94" s="43" t="s">
        <v>411</v>
      </c>
      <c r="D94" s="43" t="s">
        <v>213</v>
      </c>
      <c r="E94" s="48" t="s">
        <v>43</v>
      </c>
      <c r="F94" s="48" t="s">
        <v>43</v>
      </c>
      <c r="G94" s="43" t="s">
        <v>40</v>
      </c>
      <c r="H94" s="48" t="s">
        <v>43</v>
      </c>
      <c r="I94" s="53">
        <v>366</v>
      </c>
      <c r="J94" s="53">
        <v>330</v>
      </c>
      <c r="K94" s="54"/>
      <c r="L94" s="54"/>
      <c r="M94" s="54"/>
      <c r="N94" s="63">
        <v>340</v>
      </c>
      <c r="O94" s="63">
        <v>325</v>
      </c>
      <c r="P94" s="63">
        <v>275</v>
      </c>
      <c r="Q94" s="45" t="s">
        <v>54</v>
      </c>
      <c r="R94" s="45" t="s">
        <v>43</v>
      </c>
      <c r="S94" s="45" t="s">
        <v>43</v>
      </c>
      <c r="T94" s="69"/>
      <c r="U94" s="49" t="s">
        <v>409</v>
      </c>
      <c r="V94" s="43"/>
      <c r="W94" s="71"/>
      <c r="X94" s="43"/>
      <c r="Y94" s="43"/>
      <c r="Z94" s="71"/>
      <c r="AA94" s="71"/>
      <c r="AB94" s="48"/>
      <c r="AC94" s="74"/>
      <c r="AD94" s="74"/>
      <c r="AE94" s="78"/>
      <c r="AF94" s="78"/>
      <c r="AG94" s="78"/>
      <c r="AH94" s="32"/>
      <c r="AI94" s="32"/>
      <c r="AJ94" s="32"/>
    </row>
    <row r="95" s="30" customFormat="1" ht="18" customHeight="1" spans="1:36">
      <c r="A95" s="45">
        <v>35</v>
      </c>
      <c r="B95" s="45" t="s">
        <v>412</v>
      </c>
      <c r="C95" s="45" t="s">
        <v>413</v>
      </c>
      <c r="D95" s="45" t="s">
        <v>213</v>
      </c>
      <c r="E95" s="49" t="s">
        <v>414</v>
      </c>
      <c r="F95" s="49" t="s">
        <v>415</v>
      </c>
      <c r="G95" s="45" t="s">
        <v>40</v>
      </c>
      <c r="H95" s="49"/>
      <c r="I95" s="53">
        <v>1350</v>
      </c>
      <c r="J95" s="53">
        <v>1215</v>
      </c>
      <c r="K95" s="55">
        <v>1000</v>
      </c>
      <c r="L95" s="84">
        <v>986.666666666667</v>
      </c>
      <c r="M95" s="55">
        <v>918</v>
      </c>
      <c r="N95" s="63">
        <v>1250</v>
      </c>
      <c r="O95" s="63">
        <v>1200</v>
      </c>
      <c r="P95" s="63">
        <v>1020</v>
      </c>
      <c r="Q95" s="45" t="s">
        <v>54</v>
      </c>
      <c r="R95" s="45" t="s">
        <v>43</v>
      </c>
      <c r="S95" s="45" t="s">
        <v>43</v>
      </c>
      <c r="T95" s="69" t="s">
        <v>416</v>
      </c>
      <c r="U95" s="49" t="s">
        <v>417</v>
      </c>
      <c r="V95" s="43" t="s">
        <v>418</v>
      </c>
      <c r="W95" s="71">
        <v>331103001</v>
      </c>
      <c r="X95" s="43" t="s">
        <v>419</v>
      </c>
      <c r="Y95" s="43" t="s">
        <v>43</v>
      </c>
      <c r="Z95" s="71" t="s">
        <v>43</v>
      </c>
      <c r="AA95" s="71" t="s">
        <v>40</v>
      </c>
      <c r="AB95" s="48" t="s">
        <v>43</v>
      </c>
      <c r="AC95" s="75">
        <v>1000</v>
      </c>
      <c r="AD95" s="75">
        <v>900</v>
      </c>
      <c r="AE95" s="80">
        <v>1000</v>
      </c>
      <c r="AF95" s="80">
        <v>960</v>
      </c>
      <c r="AG95" s="80">
        <v>816</v>
      </c>
      <c r="AH95" s="32"/>
      <c r="AI95" s="32"/>
      <c r="AJ95" s="32"/>
    </row>
    <row r="96" s="30" customFormat="1" ht="18" customHeight="1" spans="1:36">
      <c r="A96" s="45"/>
      <c r="B96" s="45"/>
      <c r="C96" s="45"/>
      <c r="D96" s="45"/>
      <c r="E96" s="49"/>
      <c r="F96" s="49"/>
      <c r="G96" s="45"/>
      <c r="H96" s="49"/>
      <c r="I96" s="53"/>
      <c r="J96" s="53"/>
      <c r="K96" s="55"/>
      <c r="L96" s="84"/>
      <c r="M96" s="55"/>
      <c r="N96" s="63"/>
      <c r="O96" s="63"/>
      <c r="P96" s="63"/>
      <c r="Q96" s="45"/>
      <c r="R96" s="45"/>
      <c r="S96" s="45"/>
      <c r="T96" s="69"/>
      <c r="U96" s="49"/>
      <c r="V96" s="43" t="s">
        <v>420</v>
      </c>
      <c r="W96" s="43">
        <v>33110300102</v>
      </c>
      <c r="X96" s="43" t="s">
        <v>421</v>
      </c>
      <c r="Y96" s="43" t="s">
        <v>43</v>
      </c>
      <c r="Z96" s="71" t="s">
        <v>43</v>
      </c>
      <c r="AA96" s="71" t="s">
        <v>40</v>
      </c>
      <c r="AB96" s="48" t="s">
        <v>43</v>
      </c>
      <c r="AC96" s="75">
        <v>1800</v>
      </c>
      <c r="AD96" s="75">
        <v>1620</v>
      </c>
      <c r="AE96" s="80">
        <v>1625</v>
      </c>
      <c r="AF96" s="80">
        <v>1560</v>
      </c>
      <c r="AG96" s="80">
        <v>1326</v>
      </c>
      <c r="AH96" s="32"/>
      <c r="AI96" s="32"/>
      <c r="AJ96" s="32"/>
    </row>
    <row r="97" s="30" customFormat="1" ht="18" customHeight="1" spans="1:36">
      <c r="A97" s="45"/>
      <c r="B97" s="45"/>
      <c r="C97" s="45"/>
      <c r="D97" s="45"/>
      <c r="E97" s="49"/>
      <c r="F97" s="49"/>
      <c r="G97" s="45"/>
      <c r="H97" s="49"/>
      <c r="I97" s="53"/>
      <c r="J97" s="53"/>
      <c r="K97" s="55"/>
      <c r="L97" s="84"/>
      <c r="M97" s="55"/>
      <c r="N97" s="63"/>
      <c r="O97" s="63"/>
      <c r="P97" s="63"/>
      <c r="Q97" s="45"/>
      <c r="R97" s="45"/>
      <c r="S97" s="45"/>
      <c r="T97" s="69"/>
      <c r="U97" s="49"/>
      <c r="V97" s="43" t="s">
        <v>403</v>
      </c>
      <c r="W97" s="71">
        <v>331104005</v>
      </c>
      <c r="X97" s="43" t="s">
        <v>404</v>
      </c>
      <c r="Y97" s="43" t="s">
        <v>405</v>
      </c>
      <c r="Z97" s="71" t="s">
        <v>43</v>
      </c>
      <c r="AA97" s="71" t="s">
        <v>40</v>
      </c>
      <c r="AB97" s="48" t="s">
        <v>43</v>
      </c>
      <c r="AC97" s="75">
        <v>1220</v>
      </c>
      <c r="AD97" s="75">
        <v>1090</v>
      </c>
      <c r="AE97" s="80">
        <v>1125</v>
      </c>
      <c r="AF97" s="80">
        <v>1080</v>
      </c>
      <c r="AG97" s="80">
        <v>918</v>
      </c>
      <c r="AH97" s="32"/>
      <c r="AI97" s="32"/>
      <c r="AJ97" s="32"/>
    </row>
    <row r="98" s="30" customFormat="1" ht="18" customHeight="1" spans="1:36">
      <c r="A98" s="45"/>
      <c r="B98" s="45"/>
      <c r="C98" s="45"/>
      <c r="D98" s="45"/>
      <c r="E98" s="49"/>
      <c r="F98" s="49"/>
      <c r="G98" s="45"/>
      <c r="H98" s="49"/>
      <c r="I98" s="53"/>
      <c r="J98" s="53"/>
      <c r="K98" s="55"/>
      <c r="L98" s="84"/>
      <c r="M98" s="55"/>
      <c r="N98" s="63"/>
      <c r="O98" s="63"/>
      <c r="P98" s="63"/>
      <c r="Q98" s="45"/>
      <c r="R98" s="45"/>
      <c r="S98" s="45"/>
      <c r="T98" s="69"/>
      <c r="U98" s="49"/>
      <c r="V98" s="45" t="s">
        <v>422</v>
      </c>
      <c r="W98" s="45">
        <v>33110400502</v>
      </c>
      <c r="X98" s="45" t="s">
        <v>423</v>
      </c>
      <c r="Y98" s="43" t="s">
        <v>43</v>
      </c>
      <c r="Z98" s="71" t="s">
        <v>43</v>
      </c>
      <c r="AA98" s="71" t="s">
        <v>40</v>
      </c>
      <c r="AB98" s="48" t="s">
        <v>43</v>
      </c>
      <c r="AC98" s="75">
        <v>1470</v>
      </c>
      <c r="AD98" s="75">
        <v>1315</v>
      </c>
      <c r="AE98" s="80">
        <v>1375</v>
      </c>
      <c r="AF98" s="80">
        <v>1305</v>
      </c>
      <c r="AG98" s="80">
        <v>1108</v>
      </c>
      <c r="AH98" s="32"/>
      <c r="AI98" s="32"/>
      <c r="AJ98" s="32"/>
    </row>
    <row r="99" s="30" customFormat="1" ht="18" customHeight="1" spans="1:36">
      <c r="A99" s="45" t="s">
        <v>81</v>
      </c>
      <c r="B99" s="45" t="s">
        <v>424</v>
      </c>
      <c r="C99" s="45" t="s">
        <v>425</v>
      </c>
      <c r="D99" s="45" t="s">
        <v>213</v>
      </c>
      <c r="E99" s="49" t="s">
        <v>43</v>
      </c>
      <c r="F99" s="49" t="s">
        <v>43</v>
      </c>
      <c r="G99" s="45" t="s">
        <v>40</v>
      </c>
      <c r="H99" s="49" t="s">
        <v>408</v>
      </c>
      <c r="I99" s="53">
        <v>1265</v>
      </c>
      <c r="J99" s="53">
        <v>1139</v>
      </c>
      <c r="K99" s="84">
        <v>1224.39252336449</v>
      </c>
      <c r="L99" s="84">
        <v>962.926829268293</v>
      </c>
      <c r="M99" s="84">
        <v>280</v>
      </c>
      <c r="N99" s="63">
        <v>1170</v>
      </c>
      <c r="O99" s="63">
        <v>1120</v>
      </c>
      <c r="P99" s="63">
        <v>950</v>
      </c>
      <c r="Q99" s="45" t="s">
        <v>54</v>
      </c>
      <c r="R99" s="45" t="s">
        <v>43</v>
      </c>
      <c r="S99" s="45" t="s">
        <v>43</v>
      </c>
      <c r="T99" s="69"/>
      <c r="U99" s="49" t="s">
        <v>426</v>
      </c>
      <c r="V99" s="43" t="s">
        <v>427</v>
      </c>
      <c r="W99" s="71">
        <v>331101016</v>
      </c>
      <c r="X99" s="43" t="s">
        <v>428</v>
      </c>
      <c r="Y99" s="43" t="s">
        <v>429</v>
      </c>
      <c r="Z99" s="71" t="s">
        <v>43</v>
      </c>
      <c r="AA99" s="71" t="s">
        <v>40</v>
      </c>
      <c r="AB99" s="48" t="s">
        <v>43</v>
      </c>
      <c r="AC99" s="75">
        <v>2880</v>
      </c>
      <c r="AD99" s="75">
        <v>2590</v>
      </c>
      <c r="AE99" s="80">
        <v>2530</v>
      </c>
      <c r="AF99" s="80">
        <v>2280</v>
      </c>
      <c r="AG99" s="80">
        <v>1940</v>
      </c>
      <c r="AH99" s="32"/>
      <c r="AI99" s="32"/>
      <c r="AJ99" s="32"/>
    </row>
    <row r="100" s="30" customFormat="1" ht="18" customHeight="1" spans="1:36">
      <c r="A100" s="45"/>
      <c r="B100" s="45"/>
      <c r="C100" s="45"/>
      <c r="D100" s="45"/>
      <c r="E100" s="49"/>
      <c r="F100" s="49"/>
      <c r="G100" s="45"/>
      <c r="H100" s="49"/>
      <c r="I100" s="53"/>
      <c r="J100" s="53"/>
      <c r="K100" s="84"/>
      <c r="L100" s="84"/>
      <c r="M100" s="84"/>
      <c r="N100" s="63"/>
      <c r="O100" s="63"/>
      <c r="P100" s="63"/>
      <c r="Q100" s="45"/>
      <c r="R100" s="45"/>
      <c r="S100" s="45"/>
      <c r="T100" s="69"/>
      <c r="U100" s="49"/>
      <c r="V100" s="45" t="s">
        <v>430</v>
      </c>
      <c r="W100" s="45">
        <v>33110101601</v>
      </c>
      <c r="X100" s="45" t="s">
        <v>431</v>
      </c>
      <c r="Y100" s="43" t="s">
        <v>43</v>
      </c>
      <c r="Z100" s="71" t="s">
        <v>43</v>
      </c>
      <c r="AA100" s="71" t="s">
        <v>40</v>
      </c>
      <c r="AB100" s="48" t="s">
        <v>43</v>
      </c>
      <c r="AC100" s="75">
        <v>3745</v>
      </c>
      <c r="AD100" s="75">
        <v>3365</v>
      </c>
      <c r="AE100" s="80">
        <v>3290</v>
      </c>
      <c r="AF100" s="80">
        <v>2965</v>
      </c>
      <c r="AG100" s="80">
        <v>2520</v>
      </c>
      <c r="AH100" s="32"/>
      <c r="AI100" s="32"/>
      <c r="AJ100" s="32"/>
    </row>
    <row r="101" s="30" customFormat="1" ht="18" customHeight="1" spans="1:36">
      <c r="A101" s="45"/>
      <c r="B101" s="45"/>
      <c r="C101" s="45"/>
      <c r="D101" s="45"/>
      <c r="E101" s="49"/>
      <c r="F101" s="49"/>
      <c r="G101" s="45"/>
      <c r="H101" s="49"/>
      <c r="I101" s="53"/>
      <c r="J101" s="53"/>
      <c r="K101" s="84"/>
      <c r="L101" s="84"/>
      <c r="M101" s="84"/>
      <c r="N101" s="63"/>
      <c r="O101" s="63"/>
      <c r="P101" s="63"/>
      <c r="Q101" s="45"/>
      <c r="R101" s="45"/>
      <c r="S101" s="45"/>
      <c r="T101" s="69"/>
      <c r="U101" s="49"/>
      <c r="V101" s="45" t="s">
        <v>432</v>
      </c>
      <c r="W101" s="45">
        <v>33110101602</v>
      </c>
      <c r="X101" s="45" t="s">
        <v>433</v>
      </c>
      <c r="Y101" s="43" t="s">
        <v>43</v>
      </c>
      <c r="Z101" s="71" t="s">
        <v>43</v>
      </c>
      <c r="AA101" s="71" t="s">
        <v>40</v>
      </c>
      <c r="AB101" s="48" t="s">
        <v>43</v>
      </c>
      <c r="AC101" s="75">
        <v>3680</v>
      </c>
      <c r="AD101" s="75">
        <v>3310</v>
      </c>
      <c r="AE101" s="80">
        <v>3155</v>
      </c>
      <c r="AF101" s="80">
        <v>2880</v>
      </c>
      <c r="AG101" s="80">
        <v>2450</v>
      </c>
      <c r="AH101" s="32"/>
      <c r="AI101" s="32"/>
      <c r="AJ101" s="32"/>
    </row>
    <row r="102" s="30" customFormat="1" ht="18" customHeight="1" spans="1:36">
      <c r="A102" s="45"/>
      <c r="B102" s="45"/>
      <c r="C102" s="45"/>
      <c r="D102" s="45"/>
      <c r="E102" s="49"/>
      <c r="F102" s="49"/>
      <c r="G102" s="45"/>
      <c r="H102" s="49"/>
      <c r="I102" s="53"/>
      <c r="J102" s="53"/>
      <c r="K102" s="84"/>
      <c r="L102" s="84"/>
      <c r="M102" s="84"/>
      <c r="N102" s="63"/>
      <c r="O102" s="63"/>
      <c r="P102" s="63"/>
      <c r="Q102" s="45"/>
      <c r="R102" s="45"/>
      <c r="S102" s="45"/>
      <c r="T102" s="69"/>
      <c r="U102" s="49"/>
      <c r="V102" s="45" t="s">
        <v>434</v>
      </c>
      <c r="W102" s="45">
        <v>33110101603</v>
      </c>
      <c r="X102" s="45" t="s">
        <v>435</v>
      </c>
      <c r="Y102" s="43" t="s">
        <v>43</v>
      </c>
      <c r="Z102" s="71" t="s">
        <v>43</v>
      </c>
      <c r="AA102" s="71" t="s">
        <v>40</v>
      </c>
      <c r="AB102" s="48" t="s">
        <v>43</v>
      </c>
      <c r="AC102" s="75">
        <v>4545</v>
      </c>
      <c r="AD102" s="75">
        <v>4085</v>
      </c>
      <c r="AE102" s="80">
        <v>3915</v>
      </c>
      <c r="AF102" s="80">
        <v>3565</v>
      </c>
      <c r="AG102" s="80">
        <v>3030</v>
      </c>
      <c r="AH102" s="32"/>
      <c r="AI102" s="32"/>
      <c r="AJ102" s="32"/>
    </row>
    <row r="103" s="30" customFormat="1" ht="18" customHeight="1" spans="1:36">
      <c r="A103" s="45"/>
      <c r="B103" s="45"/>
      <c r="C103" s="45"/>
      <c r="D103" s="45"/>
      <c r="E103" s="49"/>
      <c r="F103" s="49"/>
      <c r="G103" s="45"/>
      <c r="H103" s="49"/>
      <c r="I103" s="53"/>
      <c r="J103" s="53"/>
      <c r="K103" s="84"/>
      <c r="L103" s="84"/>
      <c r="M103" s="84"/>
      <c r="N103" s="63"/>
      <c r="O103" s="63"/>
      <c r="P103" s="63"/>
      <c r="Q103" s="45"/>
      <c r="R103" s="45"/>
      <c r="S103" s="45"/>
      <c r="T103" s="69"/>
      <c r="U103" s="49"/>
      <c r="V103" s="43" t="s">
        <v>436</v>
      </c>
      <c r="W103" s="71">
        <v>331102007</v>
      </c>
      <c r="X103" s="43" t="s">
        <v>437</v>
      </c>
      <c r="Y103" s="43" t="s">
        <v>43</v>
      </c>
      <c r="Z103" s="71" t="s">
        <v>43</v>
      </c>
      <c r="AA103" s="71" t="s">
        <v>40</v>
      </c>
      <c r="AB103" s="48" t="s">
        <v>43</v>
      </c>
      <c r="AC103" s="75">
        <v>1920</v>
      </c>
      <c r="AD103" s="75">
        <v>1730</v>
      </c>
      <c r="AE103" s="80">
        <v>1690</v>
      </c>
      <c r="AF103" s="80">
        <v>1520</v>
      </c>
      <c r="AG103" s="80">
        <v>1290</v>
      </c>
      <c r="AH103" s="32"/>
      <c r="AI103" s="32"/>
      <c r="AJ103" s="32"/>
    </row>
    <row r="104" s="30" customFormat="1" ht="18" customHeight="1" spans="1:36">
      <c r="A104" s="45"/>
      <c r="B104" s="45"/>
      <c r="C104" s="45"/>
      <c r="D104" s="45"/>
      <c r="E104" s="49"/>
      <c r="F104" s="49"/>
      <c r="G104" s="45"/>
      <c r="H104" s="49"/>
      <c r="I104" s="53"/>
      <c r="J104" s="53"/>
      <c r="K104" s="84"/>
      <c r="L104" s="84"/>
      <c r="M104" s="84"/>
      <c r="N104" s="63"/>
      <c r="O104" s="63"/>
      <c r="P104" s="63"/>
      <c r="Q104" s="45"/>
      <c r="R104" s="45"/>
      <c r="S104" s="45"/>
      <c r="T104" s="69"/>
      <c r="U104" s="49"/>
      <c r="V104" s="45" t="s">
        <v>438</v>
      </c>
      <c r="W104" s="45">
        <v>33110200701</v>
      </c>
      <c r="X104" s="45" t="s">
        <v>439</v>
      </c>
      <c r="Y104" s="43" t="s">
        <v>43</v>
      </c>
      <c r="Z104" s="71" t="s">
        <v>43</v>
      </c>
      <c r="AA104" s="71" t="s">
        <v>40</v>
      </c>
      <c r="AB104" s="48" t="s">
        <v>43</v>
      </c>
      <c r="AC104" s="75">
        <v>2495</v>
      </c>
      <c r="AD104" s="75">
        <v>2250</v>
      </c>
      <c r="AE104" s="80">
        <v>2195</v>
      </c>
      <c r="AF104" s="80">
        <v>1975</v>
      </c>
      <c r="AG104" s="80">
        <v>1680</v>
      </c>
      <c r="AH104" s="32"/>
      <c r="AI104" s="32"/>
      <c r="AJ104" s="32"/>
    </row>
    <row r="105" s="30" customFormat="1" ht="18" customHeight="1" spans="1:36">
      <c r="A105" s="45"/>
      <c r="B105" s="45"/>
      <c r="C105" s="45"/>
      <c r="D105" s="45"/>
      <c r="E105" s="49"/>
      <c r="F105" s="49"/>
      <c r="G105" s="45"/>
      <c r="H105" s="49"/>
      <c r="I105" s="53"/>
      <c r="J105" s="53"/>
      <c r="K105" s="84"/>
      <c r="L105" s="84"/>
      <c r="M105" s="84"/>
      <c r="N105" s="63"/>
      <c r="O105" s="63"/>
      <c r="P105" s="63"/>
      <c r="Q105" s="45"/>
      <c r="R105" s="45"/>
      <c r="S105" s="45"/>
      <c r="T105" s="69"/>
      <c r="U105" s="49"/>
      <c r="V105" s="43" t="s">
        <v>440</v>
      </c>
      <c r="W105" s="71">
        <v>33110200702</v>
      </c>
      <c r="X105" s="43" t="s">
        <v>441</v>
      </c>
      <c r="Y105" s="43" t="s">
        <v>43</v>
      </c>
      <c r="Z105" s="71" t="s">
        <v>43</v>
      </c>
      <c r="AA105" s="71" t="s">
        <v>40</v>
      </c>
      <c r="AB105" s="48" t="s">
        <v>43</v>
      </c>
      <c r="AC105" s="75">
        <v>2720</v>
      </c>
      <c r="AD105" s="75">
        <v>2450</v>
      </c>
      <c r="AE105" s="80">
        <v>2315</v>
      </c>
      <c r="AF105" s="80">
        <v>2120</v>
      </c>
      <c r="AG105" s="80">
        <v>1300</v>
      </c>
      <c r="AH105" s="32"/>
      <c r="AI105" s="32"/>
      <c r="AJ105" s="32"/>
    </row>
    <row r="106" s="30" customFormat="1" ht="18" customHeight="1" spans="1:36">
      <c r="A106" s="45"/>
      <c r="B106" s="45"/>
      <c r="C106" s="45"/>
      <c r="D106" s="45"/>
      <c r="E106" s="49"/>
      <c r="F106" s="49"/>
      <c r="G106" s="45"/>
      <c r="H106" s="49"/>
      <c r="I106" s="53"/>
      <c r="J106" s="53"/>
      <c r="K106" s="84"/>
      <c r="L106" s="84"/>
      <c r="M106" s="84"/>
      <c r="N106" s="63"/>
      <c r="O106" s="63"/>
      <c r="P106" s="63"/>
      <c r="Q106" s="45"/>
      <c r="R106" s="45"/>
      <c r="S106" s="45"/>
      <c r="T106" s="69"/>
      <c r="U106" s="49"/>
      <c r="V106" s="45" t="s">
        <v>442</v>
      </c>
      <c r="W106" s="45">
        <v>33110200703</v>
      </c>
      <c r="X106" s="45" t="s">
        <v>443</v>
      </c>
      <c r="Y106" s="43" t="s">
        <v>43</v>
      </c>
      <c r="Z106" s="71" t="s">
        <v>43</v>
      </c>
      <c r="AA106" s="71" t="s">
        <v>40</v>
      </c>
      <c r="AB106" s="48" t="s">
        <v>43</v>
      </c>
      <c r="AC106" s="75">
        <v>3295</v>
      </c>
      <c r="AD106" s="75">
        <v>2970</v>
      </c>
      <c r="AE106" s="80">
        <v>2820</v>
      </c>
      <c r="AF106" s="80">
        <v>2575</v>
      </c>
      <c r="AG106" s="80">
        <v>2190</v>
      </c>
      <c r="AH106" s="32"/>
      <c r="AI106" s="32"/>
      <c r="AJ106" s="32"/>
    </row>
    <row r="107" s="30" customFormat="1" ht="18" customHeight="1" spans="1:36">
      <c r="A107" s="45" t="s">
        <v>81</v>
      </c>
      <c r="B107" s="45" t="s">
        <v>444</v>
      </c>
      <c r="C107" s="45" t="s">
        <v>445</v>
      </c>
      <c r="D107" s="45" t="s">
        <v>213</v>
      </c>
      <c r="E107" s="49" t="s">
        <v>43</v>
      </c>
      <c r="F107" s="49" t="s">
        <v>43</v>
      </c>
      <c r="G107" s="45" t="s">
        <v>40</v>
      </c>
      <c r="H107" s="49"/>
      <c r="I107" s="53">
        <v>405</v>
      </c>
      <c r="J107" s="53">
        <v>365</v>
      </c>
      <c r="K107" s="55"/>
      <c r="L107" s="55"/>
      <c r="M107" s="55"/>
      <c r="N107" s="63">
        <v>375</v>
      </c>
      <c r="O107" s="63">
        <v>360</v>
      </c>
      <c r="P107" s="63">
        <v>305</v>
      </c>
      <c r="Q107" s="45" t="s">
        <v>54</v>
      </c>
      <c r="R107" s="45" t="s">
        <v>43</v>
      </c>
      <c r="S107" s="45" t="s">
        <v>43</v>
      </c>
      <c r="T107" s="69"/>
      <c r="U107" s="49" t="s">
        <v>446</v>
      </c>
      <c r="V107" s="43" t="s">
        <v>447</v>
      </c>
      <c r="W107" s="43">
        <v>33110300101</v>
      </c>
      <c r="X107" s="43" t="s">
        <v>448</v>
      </c>
      <c r="Y107" s="43" t="s">
        <v>43</v>
      </c>
      <c r="Z107" s="71" t="s">
        <v>43</v>
      </c>
      <c r="AA107" s="71" t="s">
        <v>40</v>
      </c>
      <c r="AB107" s="48" t="s">
        <v>43</v>
      </c>
      <c r="AC107" s="75">
        <v>1300</v>
      </c>
      <c r="AD107" s="75">
        <v>1170</v>
      </c>
      <c r="AE107" s="80">
        <v>1300</v>
      </c>
      <c r="AF107" s="80">
        <v>1250</v>
      </c>
      <c r="AG107" s="80">
        <v>1065</v>
      </c>
      <c r="AH107" s="32"/>
      <c r="AI107" s="32"/>
      <c r="AJ107" s="32"/>
    </row>
    <row r="108" s="30" customFormat="1" ht="18" customHeight="1" spans="1:36">
      <c r="A108" s="45"/>
      <c r="B108" s="45"/>
      <c r="C108" s="45"/>
      <c r="D108" s="45"/>
      <c r="E108" s="49"/>
      <c r="F108" s="49"/>
      <c r="G108" s="45"/>
      <c r="H108" s="49"/>
      <c r="I108" s="53"/>
      <c r="J108" s="53"/>
      <c r="K108" s="55"/>
      <c r="L108" s="55"/>
      <c r="M108" s="55"/>
      <c r="N108" s="63"/>
      <c r="O108" s="63"/>
      <c r="P108" s="63"/>
      <c r="Q108" s="45"/>
      <c r="R108" s="45"/>
      <c r="S108" s="45"/>
      <c r="T108" s="69"/>
      <c r="U108" s="49"/>
      <c r="V108" s="43" t="s">
        <v>449</v>
      </c>
      <c r="W108" s="43">
        <v>33110300103</v>
      </c>
      <c r="X108" s="43" t="s">
        <v>450</v>
      </c>
      <c r="Y108" s="43" t="s">
        <v>43</v>
      </c>
      <c r="Z108" s="71" t="s">
        <v>43</v>
      </c>
      <c r="AA108" s="71" t="s">
        <v>40</v>
      </c>
      <c r="AB108" s="48" t="s">
        <v>43</v>
      </c>
      <c r="AC108" s="75">
        <v>2100</v>
      </c>
      <c r="AD108" s="75">
        <v>1890</v>
      </c>
      <c r="AE108" s="80">
        <v>1925</v>
      </c>
      <c r="AF108" s="80">
        <v>1850</v>
      </c>
      <c r="AG108" s="80">
        <v>1575</v>
      </c>
      <c r="AH108" s="32"/>
      <c r="AI108" s="32"/>
      <c r="AJ108" s="32"/>
    </row>
    <row r="109" s="30" customFormat="1" ht="18" customHeight="1" spans="1:36">
      <c r="A109" s="45"/>
      <c r="B109" s="45"/>
      <c r="C109" s="45"/>
      <c r="D109" s="45"/>
      <c r="E109" s="49"/>
      <c r="F109" s="49"/>
      <c r="G109" s="45"/>
      <c r="H109" s="49"/>
      <c r="I109" s="53"/>
      <c r="J109" s="53"/>
      <c r="K109" s="55"/>
      <c r="L109" s="55"/>
      <c r="M109" s="55"/>
      <c r="N109" s="63"/>
      <c r="O109" s="63"/>
      <c r="P109" s="63"/>
      <c r="Q109" s="45"/>
      <c r="R109" s="45"/>
      <c r="S109" s="45"/>
      <c r="T109" s="69"/>
      <c r="U109" s="49"/>
      <c r="V109" s="43" t="s">
        <v>451</v>
      </c>
      <c r="W109" s="71">
        <v>33110400501</v>
      </c>
      <c r="X109" s="43" t="s">
        <v>452</v>
      </c>
      <c r="Y109" s="43" t="s">
        <v>43</v>
      </c>
      <c r="Z109" s="71" t="s">
        <v>43</v>
      </c>
      <c r="AA109" s="71" t="s">
        <v>40</v>
      </c>
      <c r="AB109" s="48" t="s">
        <v>43</v>
      </c>
      <c r="AC109" s="75">
        <v>1585</v>
      </c>
      <c r="AD109" s="75">
        <v>1415</v>
      </c>
      <c r="AE109" s="80">
        <v>1465</v>
      </c>
      <c r="AF109" s="80">
        <v>1405</v>
      </c>
      <c r="AG109" s="80">
        <v>1195</v>
      </c>
      <c r="AH109" s="32"/>
      <c r="AI109" s="32"/>
      <c r="AJ109" s="32"/>
    </row>
    <row r="110" s="30" customFormat="1" ht="18" customHeight="1" spans="1:36">
      <c r="A110" s="45"/>
      <c r="B110" s="45"/>
      <c r="C110" s="45"/>
      <c r="D110" s="45"/>
      <c r="E110" s="49"/>
      <c r="F110" s="49"/>
      <c r="G110" s="45"/>
      <c r="H110" s="49"/>
      <c r="I110" s="53"/>
      <c r="J110" s="53"/>
      <c r="K110" s="55"/>
      <c r="L110" s="55"/>
      <c r="M110" s="55"/>
      <c r="N110" s="63"/>
      <c r="O110" s="63"/>
      <c r="P110" s="63"/>
      <c r="Q110" s="45"/>
      <c r="R110" s="45"/>
      <c r="S110" s="45"/>
      <c r="T110" s="69"/>
      <c r="U110" s="49"/>
      <c r="V110" s="45" t="s">
        <v>453</v>
      </c>
      <c r="W110" s="45">
        <v>33110400503</v>
      </c>
      <c r="X110" s="45" t="s">
        <v>454</v>
      </c>
      <c r="Y110" s="43" t="s">
        <v>43</v>
      </c>
      <c r="Z110" s="71" t="s">
        <v>43</v>
      </c>
      <c r="AA110" s="71" t="s">
        <v>40</v>
      </c>
      <c r="AB110" s="48" t="s">
        <v>43</v>
      </c>
      <c r="AC110" s="75">
        <v>1835</v>
      </c>
      <c r="AD110" s="75">
        <v>1640</v>
      </c>
      <c r="AE110" s="80">
        <v>1715</v>
      </c>
      <c r="AF110" s="80">
        <v>1630</v>
      </c>
      <c r="AG110" s="80">
        <v>1385</v>
      </c>
      <c r="AH110" s="32"/>
      <c r="AI110" s="32"/>
      <c r="AJ110" s="32"/>
    </row>
    <row r="111" s="30" customFormat="1" ht="18" customHeight="1" spans="1:36">
      <c r="A111" s="45">
        <v>36</v>
      </c>
      <c r="B111" s="45" t="s">
        <v>455</v>
      </c>
      <c r="C111" s="45" t="s">
        <v>456</v>
      </c>
      <c r="D111" s="45" t="s">
        <v>213</v>
      </c>
      <c r="E111" s="49" t="s">
        <v>457</v>
      </c>
      <c r="F111" s="49" t="s">
        <v>458</v>
      </c>
      <c r="G111" s="45" t="s">
        <v>40</v>
      </c>
      <c r="H111" s="49"/>
      <c r="I111" s="53">
        <v>357</v>
      </c>
      <c r="J111" s="53">
        <v>321</v>
      </c>
      <c r="K111" s="84">
        <v>537.119321018472</v>
      </c>
      <c r="L111" s="84">
        <v>458.018080667594</v>
      </c>
      <c r="M111" s="84">
        <v>706.125</v>
      </c>
      <c r="N111" s="63">
        <v>355</v>
      </c>
      <c r="O111" s="63">
        <v>320</v>
      </c>
      <c r="P111" s="63">
        <v>285</v>
      </c>
      <c r="Q111" s="45" t="s">
        <v>54</v>
      </c>
      <c r="R111" s="45" t="s">
        <v>43</v>
      </c>
      <c r="S111" s="45" t="s">
        <v>43</v>
      </c>
      <c r="T111" s="69" t="s">
        <v>76</v>
      </c>
      <c r="U111" s="49" t="s">
        <v>459</v>
      </c>
      <c r="V111" s="43" t="s">
        <v>460</v>
      </c>
      <c r="W111" s="71">
        <v>311000022</v>
      </c>
      <c r="X111" s="43" t="s">
        <v>461</v>
      </c>
      <c r="Y111" s="43" t="s">
        <v>43</v>
      </c>
      <c r="Z111" s="71" t="s">
        <v>43</v>
      </c>
      <c r="AA111" s="71" t="s">
        <v>40</v>
      </c>
      <c r="AB111" s="48" t="s">
        <v>43</v>
      </c>
      <c r="AC111" s="75">
        <v>440</v>
      </c>
      <c r="AD111" s="75">
        <v>395</v>
      </c>
      <c r="AE111" s="80">
        <v>440</v>
      </c>
      <c r="AF111" s="80">
        <v>400</v>
      </c>
      <c r="AG111" s="80">
        <v>340</v>
      </c>
      <c r="AH111" s="32"/>
      <c r="AI111" s="32"/>
      <c r="AJ111" s="32"/>
    </row>
    <row r="112" s="30" customFormat="1" ht="18" customHeight="1" spans="1:36">
      <c r="A112" s="45"/>
      <c r="B112" s="45"/>
      <c r="C112" s="45"/>
      <c r="D112" s="45"/>
      <c r="E112" s="49"/>
      <c r="F112" s="49"/>
      <c r="G112" s="45"/>
      <c r="H112" s="49"/>
      <c r="I112" s="53"/>
      <c r="J112" s="53"/>
      <c r="K112" s="84"/>
      <c r="L112" s="84"/>
      <c r="M112" s="84"/>
      <c r="N112" s="63"/>
      <c r="O112" s="63"/>
      <c r="P112" s="63"/>
      <c r="Q112" s="45"/>
      <c r="R112" s="45"/>
      <c r="S112" s="45"/>
      <c r="T112" s="69"/>
      <c r="U112" s="49"/>
      <c r="V112" s="43" t="s">
        <v>462</v>
      </c>
      <c r="W112" s="71">
        <v>311000033</v>
      </c>
      <c r="X112" s="43" t="s">
        <v>463</v>
      </c>
      <c r="Y112" s="43" t="s">
        <v>43</v>
      </c>
      <c r="Z112" s="71" t="s">
        <v>43</v>
      </c>
      <c r="AA112" s="71" t="s">
        <v>40</v>
      </c>
      <c r="AB112" s="48" t="s">
        <v>464</v>
      </c>
      <c r="AC112" s="75">
        <v>235</v>
      </c>
      <c r="AD112" s="75">
        <v>210</v>
      </c>
      <c r="AE112" s="80">
        <v>225</v>
      </c>
      <c r="AF112" s="80">
        <v>205</v>
      </c>
      <c r="AG112" s="80">
        <v>175</v>
      </c>
      <c r="AH112" s="32"/>
      <c r="AI112" s="32"/>
      <c r="AJ112" s="32"/>
    </row>
    <row r="113" s="30" customFormat="1" ht="18" customHeight="1" spans="1:36">
      <c r="A113" s="45"/>
      <c r="B113" s="45"/>
      <c r="C113" s="45"/>
      <c r="D113" s="45"/>
      <c r="E113" s="49"/>
      <c r="F113" s="49"/>
      <c r="G113" s="45"/>
      <c r="H113" s="49"/>
      <c r="I113" s="53"/>
      <c r="J113" s="53"/>
      <c r="K113" s="84"/>
      <c r="L113" s="84"/>
      <c r="M113" s="84"/>
      <c r="N113" s="63"/>
      <c r="O113" s="63"/>
      <c r="P113" s="63"/>
      <c r="Q113" s="45"/>
      <c r="R113" s="45"/>
      <c r="S113" s="45"/>
      <c r="T113" s="69"/>
      <c r="U113" s="49"/>
      <c r="V113" s="43" t="s">
        <v>465</v>
      </c>
      <c r="W113" s="71">
        <v>331103005</v>
      </c>
      <c r="X113" s="71" t="s">
        <v>466</v>
      </c>
      <c r="Y113" s="43" t="s">
        <v>43</v>
      </c>
      <c r="Z113" s="71" t="s">
        <v>43</v>
      </c>
      <c r="AA113" s="71" t="s">
        <v>40</v>
      </c>
      <c r="AB113" s="48" t="s">
        <v>43</v>
      </c>
      <c r="AC113" s="75">
        <v>1000</v>
      </c>
      <c r="AD113" s="75">
        <v>900</v>
      </c>
      <c r="AE113" s="80">
        <v>1000</v>
      </c>
      <c r="AF113" s="80">
        <v>960</v>
      </c>
      <c r="AG113" s="80">
        <v>816</v>
      </c>
      <c r="AH113" s="32"/>
      <c r="AI113" s="32"/>
      <c r="AJ113" s="32"/>
    </row>
    <row r="114" s="30" customFormat="1" ht="18" customHeight="1" spans="1:36">
      <c r="A114" s="45"/>
      <c r="B114" s="45"/>
      <c r="C114" s="45"/>
      <c r="D114" s="45"/>
      <c r="E114" s="49"/>
      <c r="F114" s="49"/>
      <c r="G114" s="45"/>
      <c r="H114" s="49"/>
      <c r="I114" s="53"/>
      <c r="J114" s="53"/>
      <c r="K114" s="84"/>
      <c r="L114" s="84"/>
      <c r="M114" s="84"/>
      <c r="N114" s="63"/>
      <c r="O114" s="63"/>
      <c r="P114" s="63"/>
      <c r="Q114" s="45"/>
      <c r="R114" s="45"/>
      <c r="S114" s="45"/>
      <c r="T114" s="69"/>
      <c r="U114" s="49"/>
      <c r="V114" s="43" t="s">
        <v>467</v>
      </c>
      <c r="W114" s="71">
        <v>331104017</v>
      </c>
      <c r="X114" s="43" t="s">
        <v>468</v>
      </c>
      <c r="Y114" s="43" t="s">
        <v>43</v>
      </c>
      <c r="Z114" s="71" t="s">
        <v>43</v>
      </c>
      <c r="AA114" s="71" t="s">
        <v>40</v>
      </c>
      <c r="AB114" s="48" t="s">
        <v>43</v>
      </c>
      <c r="AC114" s="75">
        <v>875</v>
      </c>
      <c r="AD114" s="75">
        <v>790</v>
      </c>
      <c r="AE114" s="80">
        <v>875</v>
      </c>
      <c r="AF114" s="80">
        <v>840</v>
      </c>
      <c r="AG114" s="80">
        <v>714</v>
      </c>
      <c r="AH114" s="32"/>
      <c r="AI114" s="32"/>
      <c r="AJ114" s="32"/>
    </row>
    <row r="115" s="30" customFormat="1" ht="25.5" spans="1:36">
      <c r="A115" s="43" t="s">
        <v>81</v>
      </c>
      <c r="B115" s="43" t="s">
        <v>469</v>
      </c>
      <c r="C115" s="43" t="s">
        <v>470</v>
      </c>
      <c r="D115" s="43" t="s">
        <v>213</v>
      </c>
      <c r="E115" s="48" t="s">
        <v>43</v>
      </c>
      <c r="F115" s="48" t="s">
        <v>43</v>
      </c>
      <c r="G115" s="43" t="s">
        <v>40</v>
      </c>
      <c r="H115" s="48" t="s">
        <v>408</v>
      </c>
      <c r="I115" s="53">
        <v>1280</v>
      </c>
      <c r="J115" s="53">
        <v>1152</v>
      </c>
      <c r="K115" s="54">
        <v>1145</v>
      </c>
      <c r="L115" s="54">
        <v>1120</v>
      </c>
      <c r="M115" s="54" t="e">
        <v>#DIV/0!</v>
      </c>
      <c r="N115" s="63">
        <v>1145</v>
      </c>
      <c r="O115" s="63">
        <v>1120</v>
      </c>
      <c r="P115" s="63">
        <v>1000</v>
      </c>
      <c r="Q115" s="45" t="s">
        <v>54</v>
      </c>
      <c r="R115" s="45" t="s">
        <v>43</v>
      </c>
      <c r="S115" s="45" t="s">
        <v>43</v>
      </c>
      <c r="T115" s="69"/>
      <c r="U115" s="49" t="s">
        <v>471</v>
      </c>
      <c r="V115" s="45" t="s">
        <v>472</v>
      </c>
      <c r="W115" s="45">
        <v>331101013</v>
      </c>
      <c r="X115" s="43" t="s">
        <v>473</v>
      </c>
      <c r="Y115" s="43" t="s">
        <v>43</v>
      </c>
      <c r="Z115" s="71" t="s">
        <v>43</v>
      </c>
      <c r="AA115" s="71" t="s">
        <v>40</v>
      </c>
      <c r="AB115" s="48" t="s">
        <v>43</v>
      </c>
      <c r="AC115" s="75">
        <v>1620</v>
      </c>
      <c r="AD115" s="75">
        <v>1460</v>
      </c>
      <c r="AE115" s="80">
        <v>1500</v>
      </c>
      <c r="AF115" s="80">
        <v>1440</v>
      </c>
      <c r="AG115" s="80">
        <v>1224</v>
      </c>
      <c r="AH115" s="32"/>
      <c r="AI115" s="32"/>
      <c r="AJ115" s="32"/>
    </row>
    <row r="116" s="30" customFormat="1" ht="25.5" spans="1:36">
      <c r="A116" s="43"/>
      <c r="B116" s="43"/>
      <c r="C116" s="43"/>
      <c r="D116" s="43"/>
      <c r="E116" s="48"/>
      <c r="F116" s="48"/>
      <c r="G116" s="43"/>
      <c r="H116" s="48"/>
      <c r="I116" s="76"/>
      <c r="J116" s="76"/>
      <c r="K116" s="54"/>
      <c r="L116" s="54"/>
      <c r="M116" s="54"/>
      <c r="N116" s="63"/>
      <c r="O116" s="63"/>
      <c r="P116" s="63"/>
      <c r="Q116" s="45"/>
      <c r="R116" s="45"/>
      <c r="S116" s="45"/>
      <c r="T116" s="69"/>
      <c r="U116" s="49"/>
      <c r="V116" s="45" t="s">
        <v>474</v>
      </c>
      <c r="W116" s="45">
        <v>33110101301</v>
      </c>
      <c r="X116" s="45" t="s">
        <v>475</v>
      </c>
      <c r="Y116" s="43" t="s">
        <v>43</v>
      </c>
      <c r="Z116" s="71" t="s">
        <v>43</v>
      </c>
      <c r="AA116" s="71" t="s">
        <v>40</v>
      </c>
      <c r="AB116" s="48" t="s">
        <v>43</v>
      </c>
      <c r="AC116" s="75">
        <v>2105</v>
      </c>
      <c r="AD116" s="75">
        <v>1900</v>
      </c>
      <c r="AE116" s="80">
        <v>1950</v>
      </c>
      <c r="AF116" s="80">
        <v>1870</v>
      </c>
      <c r="AG116" s="80">
        <v>1590</v>
      </c>
      <c r="AH116" s="32"/>
      <c r="AI116" s="32"/>
      <c r="AJ116" s="32"/>
    </row>
    <row r="117" s="30" customFormat="1" ht="25.5" spans="1:36">
      <c r="A117" s="43"/>
      <c r="B117" s="43"/>
      <c r="C117" s="43"/>
      <c r="D117" s="43"/>
      <c r="E117" s="48"/>
      <c r="F117" s="48"/>
      <c r="G117" s="43"/>
      <c r="H117" s="48"/>
      <c r="I117" s="76"/>
      <c r="J117" s="76"/>
      <c r="K117" s="54"/>
      <c r="L117" s="54"/>
      <c r="M117" s="54"/>
      <c r="N117" s="63"/>
      <c r="O117" s="63"/>
      <c r="P117" s="63"/>
      <c r="Q117" s="45"/>
      <c r="R117" s="45"/>
      <c r="S117" s="45"/>
      <c r="T117" s="69"/>
      <c r="U117" s="49"/>
      <c r="V117" s="45" t="s">
        <v>476</v>
      </c>
      <c r="W117" s="45">
        <v>33110101302</v>
      </c>
      <c r="X117" s="45" t="s">
        <v>477</v>
      </c>
      <c r="Y117" s="43" t="s">
        <v>43</v>
      </c>
      <c r="Z117" s="71" t="s">
        <v>43</v>
      </c>
      <c r="AA117" s="71" t="s">
        <v>40</v>
      </c>
      <c r="AB117" s="48" t="s">
        <v>43</v>
      </c>
      <c r="AC117" s="75">
        <v>2420</v>
      </c>
      <c r="AD117" s="75">
        <v>2180</v>
      </c>
      <c r="AE117" s="80">
        <v>2125</v>
      </c>
      <c r="AF117" s="80">
        <v>2040</v>
      </c>
      <c r="AG117" s="80">
        <v>1734</v>
      </c>
      <c r="AH117" s="32"/>
      <c r="AI117" s="32"/>
      <c r="AJ117" s="32"/>
    </row>
    <row r="118" s="30" customFormat="1" ht="25.5" spans="1:36">
      <c r="A118" s="43"/>
      <c r="B118" s="43"/>
      <c r="C118" s="43"/>
      <c r="D118" s="43"/>
      <c r="E118" s="48"/>
      <c r="F118" s="48"/>
      <c r="G118" s="43"/>
      <c r="H118" s="48"/>
      <c r="I118" s="76"/>
      <c r="J118" s="76"/>
      <c r="K118" s="54"/>
      <c r="L118" s="54"/>
      <c r="M118" s="54"/>
      <c r="N118" s="63"/>
      <c r="O118" s="63"/>
      <c r="P118" s="63"/>
      <c r="Q118" s="45"/>
      <c r="R118" s="45"/>
      <c r="S118" s="45"/>
      <c r="T118" s="69"/>
      <c r="U118" s="49"/>
      <c r="V118" s="45" t="s">
        <v>478</v>
      </c>
      <c r="W118" s="45">
        <v>33110101303</v>
      </c>
      <c r="X118" s="45" t="s">
        <v>479</v>
      </c>
      <c r="Y118" s="43" t="s">
        <v>43</v>
      </c>
      <c r="Z118" s="71" t="s">
        <v>43</v>
      </c>
      <c r="AA118" s="71" t="s">
        <v>40</v>
      </c>
      <c r="AB118" s="48" t="s">
        <v>43</v>
      </c>
      <c r="AC118" s="75">
        <v>2905</v>
      </c>
      <c r="AD118" s="75">
        <v>2620</v>
      </c>
      <c r="AE118" s="80">
        <v>2575</v>
      </c>
      <c r="AF118" s="80">
        <v>2470</v>
      </c>
      <c r="AG118" s="80">
        <v>2100</v>
      </c>
      <c r="AH118" s="32"/>
      <c r="AI118" s="32"/>
      <c r="AJ118" s="32"/>
    </row>
    <row r="119" s="31" customFormat="1" ht="25.5" spans="1:36">
      <c r="A119" s="43" t="s">
        <v>81</v>
      </c>
      <c r="B119" s="43" t="s">
        <v>480</v>
      </c>
      <c r="C119" s="43" t="s">
        <v>481</v>
      </c>
      <c r="D119" s="43" t="s">
        <v>213</v>
      </c>
      <c r="E119" s="48" t="s">
        <v>43</v>
      </c>
      <c r="F119" s="48" t="s">
        <v>43</v>
      </c>
      <c r="G119" s="43" t="s">
        <v>40</v>
      </c>
      <c r="H119" s="48" t="s">
        <v>43</v>
      </c>
      <c r="I119" s="53">
        <v>107</v>
      </c>
      <c r="J119" s="53">
        <v>96</v>
      </c>
      <c r="K119" s="54"/>
      <c r="L119" s="54">
        <v>980</v>
      </c>
      <c r="M119" s="54"/>
      <c r="N119" s="63">
        <v>105</v>
      </c>
      <c r="O119" s="63">
        <v>96</v>
      </c>
      <c r="P119" s="63">
        <v>86</v>
      </c>
      <c r="Q119" s="45" t="s">
        <v>54</v>
      </c>
      <c r="R119" s="45" t="s">
        <v>43</v>
      </c>
      <c r="S119" s="45" t="s">
        <v>43</v>
      </c>
      <c r="T119" s="69"/>
      <c r="U119" s="49" t="s">
        <v>446</v>
      </c>
      <c r="V119" s="45" t="s">
        <v>482</v>
      </c>
      <c r="W119" s="45">
        <v>31100003301</v>
      </c>
      <c r="X119" s="45" t="s">
        <v>483</v>
      </c>
      <c r="Y119" s="43" t="s">
        <v>43</v>
      </c>
      <c r="Z119" s="71" t="s">
        <v>43</v>
      </c>
      <c r="AA119" s="71" t="s">
        <v>40</v>
      </c>
      <c r="AB119" s="48" t="s">
        <v>43</v>
      </c>
      <c r="AC119" s="75">
        <v>305</v>
      </c>
      <c r="AD119" s="75">
        <v>275</v>
      </c>
      <c r="AE119" s="80">
        <v>295</v>
      </c>
      <c r="AF119" s="80">
        <v>265</v>
      </c>
      <c r="AG119" s="80">
        <v>230</v>
      </c>
      <c r="AH119" s="32"/>
      <c r="AI119" s="32"/>
      <c r="AJ119" s="32"/>
    </row>
    <row r="120" s="31" customFormat="1" ht="25.5" spans="1:36">
      <c r="A120" s="43"/>
      <c r="B120" s="43"/>
      <c r="C120" s="43"/>
      <c r="D120" s="43"/>
      <c r="E120" s="48"/>
      <c r="F120" s="48"/>
      <c r="G120" s="43"/>
      <c r="H120" s="48"/>
      <c r="I120" s="76"/>
      <c r="J120" s="76"/>
      <c r="K120" s="54"/>
      <c r="L120" s="54"/>
      <c r="M120" s="54"/>
      <c r="N120" s="63"/>
      <c r="O120" s="63"/>
      <c r="P120" s="63"/>
      <c r="Q120" s="45"/>
      <c r="R120" s="45"/>
      <c r="S120" s="45"/>
      <c r="T120" s="69"/>
      <c r="U120" s="49"/>
      <c r="V120" s="45" t="s">
        <v>484</v>
      </c>
      <c r="W120" s="45">
        <v>33110300501</v>
      </c>
      <c r="X120" s="45" t="s">
        <v>485</v>
      </c>
      <c r="Y120" s="43" t="s">
        <v>43</v>
      </c>
      <c r="Z120" s="71" t="s">
        <v>43</v>
      </c>
      <c r="AA120" s="71" t="s">
        <v>40</v>
      </c>
      <c r="AB120" s="48" t="s">
        <v>43</v>
      </c>
      <c r="AC120" s="75">
        <v>1300</v>
      </c>
      <c r="AD120" s="75">
        <v>1170</v>
      </c>
      <c r="AE120" s="80">
        <v>1300</v>
      </c>
      <c r="AF120" s="80">
        <v>1250</v>
      </c>
      <c r="AG120" s="80">
        <v>1065</v>
      </c>
      <c r="AH120" s="32"/>
      <c r="AI120" s="32"/>
      <c r="AJ120" s="32"/>
    </row>
    <row r="121" s="31" customFormat="1" ht="25.5" spans="1:36">
      <c r="A121" s="43"/>
      <c r="B121" s="43"/>
      <c r="C121" s="43"/>
      <c r="D121" s="43"/>
      <c r="E121" s="48"/>
      <c r="F121" s="48"/>
      <c r="G121" s="43"/>
      <c r="H121" s="48"/>
      <c r="I121" s="76"/>
      <c r="J121" s="76"/>
      <c r="K121" s="54"/>
      <c r="L121" s="54"/>
      <c r="M121" s="54"/>
      <c r="N121" s="63"/>
      <c r="O121" s="63"/>
      <c r="P121" s="63"/>
      <c r="Q121" s="45"/>
      <c r="R121" s="45"/>
      <c r="S121" s="45"/>
      <c r="T121" s="69"/>
      <c r="U121" s="49"/>
      <c r="V121" s="45" t="s">
        <v>486</v>
      </c>
      <c r="W121" s="45">
        <v>33110401701</v>
      </c>
      <c r="X121" s="45" t="s">
        <v>487</v>
      </c>
      <c r="Y121" s="43" t="s">
        <v>43</v>
      </c>
      <c r="Z121" s="71" t="s">
        <v>43</v>
      </c>
      <c r="AA121" s="71" t="s">
        <v>40</v>
      </c>
      <c r="AB121" s="48" t="s">
        <v>43</v>
      </c>
      <c r="AC121" s="75">
        <v>1140</v>
      </c>
      <c r="AD121" s="75">
        <v>1025</v>
      </c>
      <c r="AE121" s="80">
        <v>1140</v>
      </c>
      <c r="AF121" s="80">
        <v>1090</v>
      </c>
      <c r="AG121" s="80">
        <v>925</v>
      </c>
      <c r="AH121" s="32"/>
      <c r="AI121" s="32"/>
      <c r="AJ121" s="32"/>
    </row>
    <row r="122" ht="25.5" spans="1:33">
      <c r="A122" s="46">
        <v>37</v>
      </c>
      <c r="B122" s="46" t="s">
        <v>488</v>
      </c>
      <c r="C122" s="46" t="s">
        <v>489</v>
      </c>
      <c r="D122" s="46" t="s">
        <v>213</v>
      </c>
      <c r="E122" s="50" t="s">
        <v>490</v>
      </c>
      <c r="F122" s="50" t="s">
        <v>491</v>
      </c>
      <c r="G122" s="46" t="s">
        <v>40</v>
      </c>
      <c r="H122" s="50" t="s">
        <v>43</v>
      </c>
      <c r="I122" s="53">
        <v>1510</v>
      </c>
      <c r="J122" s="53">
        <v>1359</v>
      </c>
      <c r="K122" s="58">
        <v>1250</v>
      </c>
      <c r="L122" s="58"/>
      <c r="M122" s="58"/>
      <c r="N122" s="63">
        <v>1360</v>
      </c>
      <c r="O122" s="63">
        <v>1225</v>
      </c>
      <c r="P122" s="63">
        <v>1050</v>
      </c>
      <c r="Q122" s="45" t="s">
        <v>54</v>
      </c>
      <c r="R122" s="45" t="s">
        <v>43</v>
      </c>
      <c r="S122" s="45" t="s">
        <v>43</v>
      </c>
      <c r="T122" s="69" t="s">
        <v>416</v>
      </c>
      <c r="U122" s="49" t="s">
        <v>492</v>
      </c>
      <c r="V122" s="43" t="s">
        <v>493</v>
      </c>
      <c r="W122" s="71">
        <v>331104015</v>
      </c>
      <c r="X122" s="43" t="s">
        <v>494</v>
      </c>
      <c r="Y122" s="43" t="s">
        <v>43</v>
      </c>
      <c r="Z122" s="71" t="s">
        <v>43</v>
      </c>
      <c r="AA122" s="71" t="s">
        <v>40</v>
      </c>
      <c r="AB122" s="48" t="s">
        <v>43</v>
      </c>
      <c r="AC122" s="75">
        <v>2880</v>
      </c>
      <c r="AD122" s="75">
        <v>2590</v>
      </c>
      <c r="AE122" s="80">
        <v>2530</v>
      </c>
      <c r="AF122" s="80">
        <v>2280</v>
      </c>
      <c r="AG122" s="80">
        <v>1940</v>
      </c>
    </row>
    <row r="123" ht="25.5" spans="1:33">
      <c r="A123" s="46"/>
      <c r="B123" s="46"/>
      <c r="C123" s="46"/>
      <c r="D123" s="46"/>
      <c r="E123" s="50"/>
      <c r="F123" s="50"/>
      <c r="G123" s="46"/>
      <c r="H123" s="50"/>
      <c r="I123" s="102"/>
      <c r="J123" s="102"/>
      <c r="K123" s="58"/>
      <c r="L123" s="58"/>
      <c r="M123" s="58"/>
      <c r="N123" s="63"/>
      <c r="O123" s="63"/>
      <c r="P123" s="63"/>
      <c r="Q123" s="45"/>
      <c r="R123" s="45"/>
      <c r="S123" s="45"/>
      <c r="T123" s="69"/>
      <c r="U123" s="49"/>
      <c r="V123" s="45" t="s">
        <v>495</v>
      </c>
      <c r="W123" s="45">
        <v>33110401502</v>
      </c>
      <c r="X123" s="45" t="s">
        <v>496</v>
      </c>
      <c r="Y123" s="43" t="s">
        <v>43</v>
      </c>
      <c r="Z123" s="71" t="s">
        <v>43</v>
      </c>
      <c r="AA123" s="71" t="s">
        <v>40</v>
      </c>
      <c r="AB123" s="48" t="s">
        <v>43</v>
      </c>
      <c r="AC123" s="75">
        <v>3130</v>
      </c>
      <c r="AD123" s="75">
        <v>2815</v>
      </c>
      <c r="AE123" s="80">
        <v>2780</v>
      </c>
      <c r="AF123" s="80">
        <v>2505</v>
      </c>
      <c r="AG123" s="80">
        <v>2130</v>
      </c>
    </row>
    <row r="124" ht="25.5" spans="1:33">
      <c r="A124" s="46"/>
      <c r="B124" s="46"/>
      <c r="C124" s="46"/>
      <c r="D124" s="46"/>
      <c r="E124" s="50"/>
      <c r="F124" s="50"/>
      <c r="G124" s="46"/>
      <c r="H124" s="50"/>
      <c r="I124" s="102"/>
      <c r="J124" s="102"/>
      <c r="K124" s="58"/>
      <c r="L124" s="58"/>
      <c r="M124" s="58"/>
      <c r="N124" s="63"/>
      <c r="O124" s="63"/>
      <c r="P124" s="63"/>
      <c r="Q124" s="45"/>
      <c r="R124" s="45"/>
      <c r="S124" s="45"/>
      <c r="T124" s="69"/>
      <c r="U124" s="49"/>
      <c r="V124" s="43" t="s">
        <v>497</v>
      </c>
      <c r="W124" s="71">
        <v>331104018</v>
      </c>
      <c r="X124" s="43" t="s">
        <v>498</v>
      </c>
      <c r="Y124" s="43" t="s">
        <v>499</v>
      </c>
      <c r="Z124" s="71" t="s">
        <v>43</v>
      </c>
      <c r="AA124" s="71" t="s">
        <v>40</v>
      </c>
      <c r="AB124" s="48" t="s">
        <v>43</v>
      </c>
      <c r="AC124" s="75">
        <v>1350</v>
      </c>
      <c r="AD124" s="75">
        <v>1215</v>
      </c>
      <c r="AE124" s="80">
        <v>1250</v>
      </c>
      <c r="AF124" s="80">
        <v>1200</v>
      </c>
      <c r="AG124" s="80">
        <v>1020</v>
      </c>
    </row>
    <row r="125" ht="40" customHeight="1" spans="1:33">
      <c r="A125" s="46" t="s">
        <v>81</v>
      </c>
      <c r="B125" s="46" t="s">
        <v>500</v>
      </c>
      <c r="C125" s="46" t="s">
        <v>501</v>
      </c>
      <c r="D125" s="46" t="s">
        <v>213</v>
      </c>
      <c r="E125" s="50" t="s">
        <v>43</v>
      </c>
      <c r="F125" s="50" t="s">
        <v>43</v>
      </c>
      <c r="G125" s="46" t="s">
        <v>40</v>
      </c>
      <c r="H125" s="50" t="s">
        <v>43</v>
      </c>
      <c r="I125" s="53">
        <v>1510</v>
      </c>
      <c r="J125" s="53">
        <v>1359</v>
      </c>
      <c r="K125" s="58"/>
      <c r="L125" s="58"/>
      <c r="M125" s="58"/>
      <c r="N125" s="63">
        <v>1360</v>
      </c>
      <c r="O125" s="63">
        <v>1225</v>
      </c>
      <c r="P125" s="63">
        <v>1050</v>
      </c>
      <c r="Q125" s="45" t="s">
        <v>54</v>
      </c>
      <c r="R125" s="45" t="s">
        <v>43</v>
      </c>
      <c r="S125" s="45" t="s">
        <v>43</v>
      </c>
      <c r="T125" s="69"/>
      <c r="U125" s="49" t="s">
        <v>84</v>
      </c>
      <c r="V125" s="43"/>
      <c r="W125" s="71"/>
      <c r="X125" s="43"/>
      <c r="Y125" s="43"/>
      <c r="Z125" s="71"/>
      <c r="AA125" s="71"/>
      <c r="AB125" s="48"/>
      <c r="AC125" s="74"/>
      <c r="AD125" s="74"/>
      <c r="AE125" s="78"/>
      <c r="AF125" s="78"/>
      <c r="AG125" s="78"/>
    </row>
    <row r="126" ht="28" customHeight="1" spans="1:33">
      <c r="A126" s="43" t="s">
        <v>81</v>
      </c>
      <c r="B126" s="43" t="s">
        <v>502</v>
      </c>
      <c r="C126" s="43" t="s">
        <v>503</v>
      </c>
      <c r="D126" s="43" t="s">
        <v>213</v>
      </c>
      <c r="E126" s="48" t="s">
        <v>43</v>
      </c>
      <c r="F126" s="48" t="s">
        <v>43</v>
      </c>
      <c r="G126" s="43" t="s">
        <v>40</v>
      </c>
      <c r="H126" s="48" t="s">
        <v>43</v>
      </c>
      <c r="I126" s="53">
        <v>453</v>
      </c>
      <c r="J126" s="53">
        <v>408</v>
      </c>
      <c r="K126" s="54">
        <v>265</v>
      </c>
      <c r="L126" s="54"/>
      <c r="M126" s="54"/>
      <c r="N126" s="63">
        <v>410</v>
      </c>
      <c r="O126" s="63">
        <v>365</v>
      </c>
      <c r="P126" s="63">
        <v>315</v>
      </c>
      <c r="Q126" s="45" t="s">
        <v>54</v>
      </c>
      <c r="R126" s="45" t="s">
        <v>43</v>
      </c>
      <c r="S126" s="45" t="s">
        <v>43</v>
      </c>
      <c r="T126" s="69"/>
      <c r="U126" s="49" t="s">
        <v>446</v>
      </c>
      <c r="V126" s="45" t="s">
        <v>504</v>
      </c>
      <c r="W126" s="45">
        <v>33110401501</v>
      </c>
      <c r="X126" s="45" t="s">
        <v>505</v>
      </c>
      <c r="Y126" s="43" t="s">
        <v>43</v>
      </c>
      <c r="Z126" s="71" t="s">
        <v>43</v>
      </c>
      <c r="AA126" s="71" t="s">
        <v>40</v>
      </c>
      <c r="AB126" s="48" t="s">
        <v>43</v>
      </c>
      <c r="AC126" s="75">
        <v>3745</v>
      </c>
      <c r="AD126" s="75">
        <v>3365</v>
      </c>
      <c r="AE126" s="80">
        <v>3290</v>
      </c>
      <c r="AF126" s="80">
        <v>2965</v>
      </c>
      <c r="AG126" s="80">
        <v>2520</v>
      </c>
    </row>
    <row r="127" ht="25.5" spans="1:33">
      <c r="A127" s="43"/>
      <c r="B127" s="43"/>
      <c r="C127" s="43"/>
      <c r="D127" s="43"/>
      <c r="E127" s="48"/>
      <c r="F127" s="48"/>
      <c r="G127" s="43"/>
      <c r="H127" s="48"/>
      <c r="I127" s="76"/>
      <c r="J127" s="76"/>
      <c r="K127" s="54"/>
      <c r="L127" s="54"/>
      <c r="M127" s="54"/>
      <c r="N127" s="63"/>
      <c r="O127" s="63"/>
      <c r="P127" s="63"/>
      <c r="Q127" s="45"/>
      <c r="R127" s="45"/>
      <c r="S127" s="45"/>
      <c r="T127" s="69"/>
      <c r="U127" s="49"/>
      <c r="V127" s="45" t="s">
        <v>506</v>
      </c>
      <c r="W127" s="45">
        <v>33110401503</v>
      </c>
      <c r="X127" s="45" t="s">
        <v>507</v>
      </c>
      <c r="Y127" s="43" t="s">
        <v>43</v>
      </c>
      <c r="Z127" s="71" t="s">
        <v>43</v>
      </c>
      <c r="AA127" s="71" t="s">
        <v>40</v>
      </c>
      <c r="AB127" s="48" t="s">
        <v>43</v>
      </c>
      <c r="AC127" s="75">
        <v>3995</v>
      </c>
      <c r="AD127" s="75">
        <v>3590</v>
      </c>
      <c r="AE127" s="80">
        <v>3540</v>
      </c>
      <c r="AF127" s="80">
        <v>3190</v>
      </c>
      <c r="AG127" s="80">
        <v>2710</v>
      </c>
    </row>
    <row r="128" ht="25.5" spans="1:33">
      <c r="A128" s="43"/>
      <c r="B128" s="43"/>
      <c r="C128" s="43"/>
      <c r="D128" s="43"/>
      <c r="E128" s="48"/>
      <c r="F128" s="48"/>
      <c r="G128" s="43"/>
      <c r="H128" s="48"/>
      <c r="I128" s="76"/>
      <c r="J128" s="76"/>
      <c r="K128" s="54"/>
      <c r="L128" s="54"/>
      <c r="M128" s="54"/>
      <c r="N128" s="63"/>
      <c r="O128" s="63"/>
      <c r="P128" s="63"/>
      <c r="Q128" s="45"/>
      <c r="R128" s="45"/>
      <c r="S128" s="45"/>
      <c r="T128" s="69"/>
      <c r="U128" s="49"/>
      <c r="V128" s="45" t="s">
        <v>508</v>
      </c>
      <c r="W128" s="45">
        <v>33110401801</v>
      </c>
      <c r="X128" s="45" t="s">
        <v>509</v>
      </c>
      <c r="Y128" s="43" t="s">
        <v>43</v>
      </c>
      <c r="Z128" s="71" t="s">
        <v>43</v>
      </c>
      <c r="AA128" s="71" t="s">
        <v>40</v>
      </c>
      <c r="AB128" s="48" t="s">
        <v>43</v>
      </c>
      <c r="AC128" s="75">
        <v>1755</v>
      </c>
      <c r="AD128" s="75">
        <v>1580</v>
      </c>
      <c r="AE128" s="80">
        <v>1625</v>
      </c>
      <c r="AF128" s="80">
        <v>1560</v>
      </c>
      <c r="AG128" s="80">
        <v>1325</v>
      </c>
    </row>
    <row r="129" ht="59" customHeight="1" spans="1:33">
      <c r="A129" s="46">
        <v>38</v>
      </c>
      <c r="B129" s="46" t="s">
        <v>510</v>
      </c>
      <c r="C129" s="46" t="s">
        <v>511</v>
      </c>
      <c r="D129" s="46" t="s">
        <v>213</v>
      </c>
      <c r="E129" s="50" t="s">
        <v>512</v>
      </c>
      <c r="F129" s="50" t="s">
        <v>513</v>
      </c>
      <c r="G129" s="46" t="s">
        <v>48</v>
      </c>
      <c r="H129" s="50" t="s">
        <v>43</v>
      </c>
      <c r="I129" s="53">
        <v>195</v>
      </c>
      <c r="J129" s="53">
        <v>175</v>
      </c>
      <c r="K129" s="58">
        <v>145</v>
      </c>
      <c r="L129" s="58">
        <v>130</v>
      </c>
      <c r="M129" s="58">
        <v>110</v>
      </c>
      <c r="N129" s="63">
        <v>175</v>
      </c>
      <c r="O129" s="63">
        <v>160</v>
      </c>
      <c r="P129" s="63">
        <v>135</v>
      </c>
      <c r="Q129" s="45" t="s">
        <v>54</v>
      </c>
      <c r="R129" s="45" t="s">
        <v>43</v>
      </c>
      <c r="S129" s="45" t="s">
        <v>43</v>
      </c>
      <c r="T129" s="69" t="s">
        <v>416</v>
      </c>
      <c r="U129" s="49" t="s">
        <v>514</v>
      </c>
      <c r="V129" s="43" t="s">
        <v>515</v>
      </c>
      <c r="W129" s="71">
        <v>311000015</v>
      </c>
      <c r="X129" s="71" t="s">
        <v>516</v>
      </c>
      <c r="Y129" s="43" t="s">
        <v>517</v>
      </c>
      <c r="Z129" s="71" t="s">
        <v>518</v>
      </c>
      <c r="AA129" s="71" t="s">
        <v>48</v>
      </c>
      <c r="AB129" s="48" t="s">
        <v>464</v>
      </c>
      <c r="AC129" s="75">
        <v>195</v>
      </c>
      <c r="AD129" s="75">
        <v>175</v>
      </c>
      <c r="AE129" s="80">
        <v>145</v>
      </c>
      <c r="AF129" s="80">
        <v>130</v>
      </c>
      <c r="AG129" s="80">
        <v>110</v>
      </c>
    </row>
    <row r="130" ht="25.5" spans="1:33">
      <c r="A130" s="43" t="s">
        <v>81</v>
      </c>
      <c r="B130" s="43" t="s">
        <v>519</v>
      </c>
      <c r="C130" s="43" t="s">
        <v>520</v>
      </c>
      <c r="D130" s="43" t="s">
        <v>213</v>
      </c>
      <c r="E130" s="48" t="s">
        <v>43</v>
      </c>
      <c r="F130" s="48" t="s">
        <v>43</v>
      </c>
      <c r="G130" s="43" t="s">
        <v>48</v>
      </c>
      <c r="H130" s="48" t="s">
        <v>43</v>
      </c>
      <c r="I130" s="53">
        <v>65</v>
      </c>
      <c r="J130" s="53">
        <v>59</v>
      </c>
      <c r="K130" s="55">
        <v>375</v>
      </c>
      <c r="L130" s="84">
        <v>47.2289156626506</v>
      </c>
      <c r="M130" s="84"/>
      <c r="N130" s="63">
        <v>60</v>
      </c>
      <c r="O130" s="63">
        <v>55</v>
      </c>
      <c r="P130" s="63">
        <v>47</v>
      </c>
      <c r="Q130" s="45" t="s">
        <v>54</v>
      </c>
      <c r="R130" s="45" t="s">
        <v>43</v>
      </c>
      <c r="S130" s="45" t="s">
        <v>43</v>
      </c>
      <c r="T130" s="69"/>
      <c r="U130" s="49" t="s">
        <v>426</v>
      </c>
      <c r="V130" s="43" t="s">
        <v>521</v>
      </c>
      <c r="W130" s="71">
        <v>311000017</v>
      </c>
      <c r="X130" s="43" t="s">
        <v>522</v>
      </c>
      <c r="Y130" s="43" t="s">
        <v>523</v>
      </c>
      <c r="Z130" s="71" t="s">
        <v>43</v>
      </c>
      <c r="AA130" s="71" t="s">
        <v>40</v>
      </c>
      <c r="AB130" s="48" t="s">
        <v>524</v>
      </c>
      <c r="AC130" s="75">
        <v>220</v>
      </c>
      <c r="AD130" s="75">
        <v>200</v>
      </c>
      <c r="AE130" s="80">
        <v>220</v>
      </c>
      <c r="AF130" s="80">
        <v>200</v>
      </c>
      <c r="AG130" s="80">
        <v>170</v>
      </c>
    </row>
    <row r="131" ht="25.5" spans="1:33">
      <c r="A131" s="43"/>
      <c r="B131" s="43"/>
      <c r="C131" s="43"/>
      <c r="D131" s="43"/>
      <c r="E131" s="48"/>
      <c r="F131" s="48"/>
      <c r="G131" s="43"/>
      <c r="H131" s="48"/>
      <c r="I131" s="76"/>
      <c r="J131" s="76"/>
      <c r="K131" s="55"/>
      <c r="L131" s="84"/>
      <c r="M131" s="84"/>
      <c r="N131" s="63"/>
      <c r="O131" s="63"/>
      <c r="P131" s="63"/>
      <c r="Q131" s="45"/>
      <c r="R131" s="45"/>
      <c r="S131" s="45"/>
      <c r="T131" s="69"/>
      <c r="U131" s="49"/>
      <c r="V131" s="45" t="s">
        <v>525</v>
      </c>
      <c r="W131" s="45">
        <v>31100001701</v>
      </c>
      <c r="X131" s="45" t="s">
        <v>526</v>
      </c>
      <c r="Y131" s="43" t="s">
        <v>43</v>
      </c>
      <c r="Z131" s="71" t="s">
        <v>43</v>
      </c>
      <c r="AA131" s="71" t="s">
        <v>40</v>
      </c>
      <c r="AB131" s="48" t="s">
        <v>527</v>
      </c>
      <c r="AC131" s="75">
        <v>880</v>
      </c>
      <c r="AD131" s="75">
        <v>790</v>
      </c>
      <c r="AE131" s="80">
        <v>880</v>
      </c>
      <c r="AF131" s="80">
        <v>800</v>
      </c>
      <c r="AG131" s="80">
        <v>680</v>
      </c>
    </row>
    <row r="132" ht="25.5" spans="1:33">
      <c r="A132" s="43"/>
      <c r="B132" s="43"/>
      <c r="C132" s="43"/>
      <c r="D132" s="43"/>
      <c r="E132" s="48"/>
      <c r="F132" s="48"/>
      <c r="G132" s="43"/>
      <c r="H132" s="48"/>
      <c r="I132" s="76"/>
      <c r="J132" s="76"/>
      <c r="K132" s="55"/>
      <c r="L132" s="84"/>
      <c r="M132" s="84"/>
      <c r="N132" s="63"/>
      <c r="O132" s="63"/>
      <c r="P132" s="63"/>
      <c r="Q132" s="45"/>
      <c r="R132" s="45"/>
      <c r="S132" s="45"/>
      <c r="T132" s="69"/>
      <c r="U132" s="49"/>
      <c r="V132" s="43" t="s">
        <v>528</v>
      </c>
      <c r="W132" s="71">
        <v>31100001702</v>
      </c>
      <c r="X132" s="43" t="s">
        <v>529</v>
      </c>
      <c r="Y132" s="43" t="s">
        <v>43</v>
      </c>
      <c r="Z132" s="71" t="s">
        <v>43</v>
      </c>
      <c r="AA132" s="71" t="s">
        <v>40</v>
      </c>
      <c r="AB132" s="48" t="s">
        <v>530</v>
      </c>
      <c r="AC132" s="75">
        <v>220</v>
      </c>
      <c r="AD132" s="75">
        <v>200</v>
      </c>
      <c r="AE132" s="80">
        <v>220</v>
      </c>
      <c r="AF132" s="80">
        <v>200</v>
      </c>
      <c r="AG132" s="80">
        <v>170</v>
      </c>
    </row>
    <row r="133" ht="27" customHeight="1" spans="1:33">
      <c r="A133" s="46" t="s">
        <v>81</v>
      </c>
      <c r="B133" s="46" t="s">
        <v>531</v>
      </c>
      <c r="C133" s="46" t="s">
        <v>532</v>
      </c>
      <c r="D133" s="46" t="s">
        <v>213</v>
      </c>
      <c r="E133" s="50" t="s">
        <v>43</v>
      </c>
      <c r="F133" s="50" t="s">
        <v>43</v>
      </c>
      <c r="G133" s="46" t="s">
        <v>48</v>
      </c>
      <c r="H133" s="50" t="s">
        <v>43</v>
      </c>
      <c r="I133" s="53">
        <v>195</v>
      </c>
      <c r="J133" s="53">
        <v>175</v>
      </c>
      <c r="K133" s="58"/>
      <c r="L133" s="58"/>
      <c r="M133" s="58"/>
      <c r="N133" s="63">
        <v>175</v>
      </c>
      <c r="O133" s="63">
        <v>160</v>
      </c>
      <c r="P133" s="63">
        <v>135</v>
      </c>
      <c r="Q133" s="45" t="s">
        <v>54</v>
      </c>
      <c r="R133" s="45" t="s">
        <v>43</v>
      </c>
      <c r="S133" s="45" t="s">
        <v>43</v>
      </c>
      <c r="T133" s="69"/>
      <c r="U133" s="49"/>
      <c r="V133" s="43" t="s">
        <v>533</v>
      </c>
      <c r="W133" s="71">
        <v>311000016</v>
      </c>
      <c r="X133" s="43" t="s">
        <v>534</v>
      </c>
      <c r="Y133" s="43" t="s">
        <v>43</v>
      </c>
      <c r="Z133" s="71" t="s">
        <v>43</v>
      </c>
      <c r="AA133" s="71" t="s">
        <v>40</v>
      </c>
      <c r="AB133" s="48" t="s">
        <v>43</v>
      </c>
      <c r="AC133" s="74" t="s">
        <v>43</v>
      </c>
      <c r="AD133" s="74" t="s">
        <v>43</v>
      </c>
      <c r="AE133" s="78" t="s">
        <v>43</v>
      </c>
      <c r="AF133" s="78" t="s">
        <v>43</v>
      </c>
      <c r="AG133" s="78" t="s">
        <v>43</v>
      </c>
    </row>
    <row r="134" ht="27" customHeight="1" spans="1:33">
      <c r="A134" s="46" t="s">
        <v>81</v>
      </c>
      <c r="B134" s="46" t="s">
        <v>535</v>
      </c>
      <c r="C134" s="46" t="s">
        <v>536</v>
      </c>
      <c r="D134" s="46" t="s">
        <v>213</v>
      </c>
      <c r="E134" s="50" t="s">
        <v>43</v>
      </c>
      <c r="F134" s="50" t="s">
        <v>43</v>
      </c>
      <c r="G134" s="46" t="s">
        <v>48</v>
      </c>
      <c r="H134" s="50" t="s">
        <v>43</v>
      </c>
      <c r="I134" s="53">
        <v>59</v>
      </c>
      <c r="J134" s="53">
        <v>53</v>
      </c>
      <c r="K134" s="58">
        <v>45</v>
      </c>
      <c r="L134" s="58">
        <v>40</v>
      </c>
      <c r="M134" s="58">
        <v>35</v>
      </c>
      <c r="N134" s="63">
        <v>53</v>
      </c>
      <c r="O134" s="63">
        <v>48</v>
      </c>
      <c r="P134" s="63">
        <v>41</v>
      </c>
      <c r="Q134" s="45" t="s">
        <v>54</v>
      </c>
      <c r="R134" s="45" t="s">
        <v>43</v>
      </c>
      <c r="S134" s="45" t="s">
        <v>43</v>
      </c>
      <c r="T134" s="69"/>
      <c r="U134" s="49" t="s">
        <v>446</v>
      </c>
      <c r="V134" s="45" t="s">
        <v>537</v>
      </c>
      <c r="W134" s="45">
        <v>31100001501</v>
      </c>
      <c r="X134" s="45" t="s">
        <v>538</v>
      </c>
      <c r="Y134" s="43" t="s">
        <v>43</v>
      </c>
      <c r="Z134" s="71" t="s">
        <v>43</v>
      </c>
      <c r="AA134" s="71" t="s">
        <v>48</v>
      </c>
      <c r="AB134" s="48" t="s">
        <v>43</v>
      </c>
      <c r="AC134" s="75">
        <v>255</v>
      </c>
      <c r="AD134" s="75">
        <v>230</v>
      </c>
      <c r="AE134" s="80">
        <v>190</v>
      </c>
      <c r="AF134" s="80">
        <v>170</v>
      </c>
      <c r="AG134" s="80">
        <v>145</v>
      </c>
    </row>
    <row r="135" ht="25.5" spans="1:33">
      <c r="A135" s="46">
        <v>39</v>
      </c>
      <c r="B135" s="46" t="s">
        <v>539</v>
      </c>
      <c r="C135" s="46" t="s">
        <v>540</v>
      </c>
      <c r="D135" s="46" t="s">
        <v>213</v>
      </c>
      <c r="E135" s="50" t="s">
        <v>541</v>
      </c>
      <c r="F135" s="50" t="s">
        <v>542</v>
      </c>
      <c r="G135" s="46" t="s">
        <v>48</v>
      </c>
      <c r="H135" s="50" t="s">
        <v>43</v>
      </c>
      <c r="I135" s="53">
        <v>3455</v>
      </c>
      <c r="J135" s="53">
        <v>3110</v>
      </c>
      <c r="K135" s="58">
        <v>3155</v>
      </c>
      <c r="L135" s="58"/>
      <c r="M135" s="58"/>
      <c r="N135" s="63">
        <v>3155</v>
      </c>
      <c r="O135" s="63">
        <v>2880</v>
      </c>
      <c r="P135" s="63">
        <v>2450</v>
      </c>
      <c r="Q135" s="45" t="s">
        <v>54</v>
      </c>
      <c r="R135" s="45" t="s">
        <v>43</v>
      </c>
      <c r="S135" s="45" t="s">
        <v>43</v>
      </c>
      <c r="T135" s="69" t="s">
        <v>55</v>
      </c>
      <c r="U135" s="49" t="s">
        <v>55</v>
      </c>
      <c r="V135" s="43" t="s">
        <v>543</v>
      </c>
      <c r="W135" s="71">
        <v>331101005</v>
      </c>
      <c r="X135" s="43" t="s">
        <v>544</v>
      </c>
      <c r="Y135" s="43" t="s">
        <v>43</v>
      </c>
      <c r="Z135" s="71" t="s">
        <v>43</v>
      </c>
      <c r="AA135" s="71" t="s">
        <v>40</v>
      </c>
      <c r="AB135" s="48" t="s">
        <v>43</v>
      </c>
      <c r="AC135" s="75">
        <v>2880</v>
      </c>
      <c r="AD135" s="75">
        <v>2590</v>
      </c>
      <c r="AE135" s="80">
        <v>2530</v>
      </c>
      <c r="AF135" s="80">
        <v>2280</v>
      </c>
      <c r="AG135" s="80">
        <v>1940</v>
      </c>
    </row>
    <row r="136" ht="25.5" spans="1:33">
      <c r="A136" s="46"/>
      <c r="B136" s="46"/>
      <c r="C136" s="46"/>
      <c r="D136" s="46"/>
      <c r="E136" s="50"/>
      <c r="F136" s="50"/>
      <c r="G136" s="46"/>
      <c r="H136" s="50"/>
      <c r="I136" s="102"/>
      <c r="J136" s="102"/>
      <c r="K136" s="58"/>
      <c r="L136" s="58"/>
      <c r="M136" s="58"/>
      <c r="N136" s="63"/>
      <c r="O136" s="63"/>
      <c r="P136" s="63"/>
      <c r="Q136" s="45"/>
      <c r="R136" s="45"/>
      <c r="S136" s="45"/>
      <c r="T136" s="69"/>
      <c r="U136" s="49"/>
      <c r="V136" s="45" t="s">
        <v>545</v>
      </c>
      <c r="W136" s="45">
        <v>33110100502</v>
      </c>
      <c r="X136" s="45" t="s">
        <v>546</v>
      </c>
      <c r="Y136" s="43" t="s">
        <v>43</v>
      </c>
      <c r="Z136" s="71" t="s">
        <v>43</v>
      </c>
      <c r="AA136" s="71" t="s">
        <v>40</v>
      </c>
      <c r="AB136" s="48" t="s">
        <v>43</v>
      </c>
      <c r="AC136" s="75">
        <v>3680</v>
      </c>
      <c r="AD136" s="75">
        <v>3310</v>
      </c>
      <c r="AE136" s="80">
        <v>3155</v>
      </c>
      <c r="AF136" s="80">
        <v>2880</v>
      </c>
      <c r="AG136" s="80">
        <v>2450</v>
      </c>
    </row>
    <row r="137" ht="25.5" spans="1:34">
      <c r="A137" s="46"/>
      <c r="B137" s="46"/>
      <c r="C137" s="46"/>
      <c r="D137" s="46"/>
      <c r="E137" s="50"/>
      <c r="F137" s="50"/>
      <c r="G137" s="46"/>
      <c r="H137" s="50"/>
      <c r="I137" s="102"/>
      <c r="J137" s="102"/>
      <c r="K137" s="58"/>
      <c r="L137" s="58"/>
      <c r="M137" s="58"/>
      <c r="N137" s="63"/>
      <c r="O137" s="63"/>
      <c r="P137" s="63"/>
      <c r="Q137" s="45"/>
      <c r="R137" s="45"/>
      <c r="S137" s="45"/>
      <c r="T137" s="69"/>
      <c r="U137" s="49"/>
      <c r="V137" s="43" t="s">
        <v>547</v>
      </c>
      <c r="W137" s="71">
        <v>331101006</v>
      </c>
      <c r="X137" s="43" t="s">
        <v>548</v>
      </c>
      <c r="Y137" s="43" t="s">
        <v>43</v>
      </c>
      <c r="Z137" s="71" t="s">
        <v>43</v>
      </c>
      <c r="AA137" s="71" t="s">
        <v>40</v>
      </c>
      <c r="AB137" s="48" t="s">
        <v>43</v>
      </c>
      <c r="AC137" s="75">
        <v>2500</v>
      </c>
      <c r="AD137" s="75">
        <v>2240</v>
      </c>
      <c r="AE137" s="80">
        <v>2190</v>
      </c>
      <c r="AF137" s="80">
        <v>1970</v>
      </c>
      <c r="AG137" s="80">
        <v>1670</v>
      </c>
      <c r="AH137" s="32" t="s">
        <v>549</v>
      </c>
    </row>
    <row r="138" ht="25.5" spans="1:34">
      <c r="A138" s="46"/>
      <c r="B138" s="46"/>
      <c r="C138" s="46"/>
      <c r="D138" s="46"/>
      <c r="E138" s="50"/>
      <c r="F138" s="50"/>
      <c r="G138" s="46"/>
      <c r="H138" s="50"/>
      <c r="I138" s="102"/>
      <c r="J138" s="102"/>
      <c r="K138" s="58"/>
      <c r="L138" s="58"/>
      <c r="M138" s="58"/>
      <c r="N138" s="63"/>
      <c r="O138" s="63"/>
      <c r="P138" s="63"/>
      <c r="Q138" s="45"/>
      <c r="R138" s="45"/>
      <c r="S138" s="45"/>
      <c r="T138" s="69"/>
      <c r="U138" s="49"/>
      <c r="V138" s="43" t="s">
        <v>550</v>
      </c>
      <c r="W138" s="71">
        <v>33110100602</v>
      </c>
      <c r="X138" s="43" t="s">
        <v>551</v>
      </c>
      <c r="Y138" s="43" t="s">
        <v>43</v>
      </c>
      <c r="Z138" s="71" t="s">
        <v>43</v>
      </c>
      <c r="AA138" s="71" t="s">
        <v>40</v>
      </c>
      <c r="AB138" s="48" t="s">
        <v>43</v>
      </c>
      <c r="AC138" s="75">
        <v>3300</v>
      </c>
      <c r="AD138" s="75">
        <v>2960</v>
      </c>
      <c r="AE138" s="80">
        <v>2815</v>
      </c>
      <c r="AF138" s="80">
        <v>2570</v>
      </c>
      <c r="AG138" s="80">
        <v>2180</v>
      </c>
      <c r="AH138" s="32" t="s">
        <v>549</v>
      </c>
    </row>
    <row r="139" ht="25.5" spans="1:33">
      <c r="A139" s="46" t="s">
        <v>81</v>
      </c>
      <c r="B139" s="46" t="s">
        <v>552</v>
      </c>
      <c r="C139" s="46" t="s">
        <v>553</v>
      </c>
      <c r="D139" s="46" t="s">
        <v>213</v>
      </c>
      <c r="E139" s="50" t="s">
        <v>43</v>
      </c>
      <c r="F139" s="50" t="s">
        <v>43</v>
      </c>
      <c r="G139" s="46" t="s">
        <v>48</v>
      </c>
      <c r="H139" s="50" t="s">
        <v>43</v>
      </c>
      <c r="I139" s="53">
        <v>1037</v>
      </c>
      <c r="J139" s="53">
        <v>933</v>
      </c>
      <c r="K139" s="58"/>
      <c r="L139" s="58"/>
      <c r="M139" s="58"/>
      <c r="N139" s="63">
        <v>945</v>
      </c>
      <c r="O139" s="63">
        <v>865</v>
      </c>
      <c r="P139" s="63">
        <v>735</v>
      </c>
      <c r="Q139" s="45" t="s">
        <v>54</v>
      </c>
      <c r="R139" s="45" t="s">
        <v>43</v>
      </c>
      <c r="S139" s="45" t="s">
        <v>43</v>
      </c>
      <c r="T139" s="69"/>
      <c r="U139" s="49" t="s">
        <v>446</v>
      </c>
      <c r="V139" s="45" t="s">
        <v>554</v>
      </c>
      <c r="W139" s="45">
        <v>33110100501</v>
      </c>
      <c r="X139" s="45" t="s">
        <v>555</v>
      </c>
      <c r="Y139" s="43" t="s">
        <v>43</v>
      </c>
      <c r="Z139" s="71" t="s">
        <v>43</v>
      </c>
      <c r="AA139" s="71" t="s">
        <v>40</v>
      </c>
      <c r="AB139" s="48" t="s">
        <v>43</v>
      </c>
      <c r="AC139" s="75">
        <v>3745</v>
      </c>
      <c r="AD139" s="75">
        <v>3365</v>
      </c>
      <c r="AE139" s="80">
        <v>3290</v>
      </c>
      <c r="AF139" s="80">
        <v>2965</v>
      </c>
      <c r="AG139" s="80">
        <v>2520</v>
      </c>
    </row>
    <row r="140" ht="25.5" spans="1:33">
      <c r="A140" s="46"/>
      <c r="B140" s="46"/>
      <c r="C140" s="46"/>
      <c r="D140" s="46"/>
      <c r="E140" s="50"/>
      <c r="F140" s="50"/>
      <c r="G140" s="46"/>
      <c r="H140" s="50"/>
      <c r="I140" s="102"/>
      <c r="J140" s="102"/>
      <c r="K140" s="58"/>
      <c r="L140" s="58"/>
      <c r="M140" s="58"/>
      <c r="N140" s="63"/>
      <c r="O140" s="63"/>
      <c r="P140" s="63"/>
      <c r="Q140" s="45"/>
      <c r="R140" s="45"/>
      <c r="S140" s="45"/>
      <c r="T140" s="69"/>
      <c r="U140" s="49"/>
      <c r="V140" s="45" t="s">
        <v>556</v>
      </c>
      <c r="W140" s="45">
        <v>33110100503</v>
      </c>
      <c r="X140" s="45" t="s">
        <v>557</v>
      </c>
      <c r="Y140" s="43" t="s">
        <v>43</v>
      </c>
      <c r="Z140" s="71" t="s">
        <v>43</v>
      </c>
      <c r="AA140" s="71" t="s">
        <v>40</v>
      </c>
      <c r="AB140" s="48" t="s">
        <v>43</v>
      </c>
      <c r="AC140" s="75">
        <v>4545</v>
      </c>
      <c r="AD140" s="75">
        <v>4085</v>
      </c>
      <c r="AE140" s="80">
        <v>3915</v>
      </c>
      <c r="AF140" s="80">
        <v>3565</v>
      </c>
      <c r="AG140" s="80">
        <v>3030</v>
      </c>
    </row>
    <row r="141" ht="25.5" spans="1:34">
      <c r="A141" s="46"/>
      <c r="B141" s="46"/>
      <c r="C141" s="46"/>
      <c r="D141" s="46"/>
      <c r="E141" s="50"/>
      <c r="F141" s="50"/>
      <c r="G141" s="46"/>
      <c r="H141" s="50"/>
      <c r="I141" s="102"/>
      <c r="J141" s="102"/>
      <c r="K141" s="58"/>
      <c r="L141" s="58"/>
      <c r="M141" s="58"/>
      <c r="N141" s="63"/>
      <c r="O141" s="63"/>
      <c r="P141" s="63"/>
      <c r="Q141" s="45"/>
      <c r="R141" s="45"/>
      <c r="S141" s="45"/>
      <c r="T141" s="69"/>
      <c r="U141" s="49"/>
      <c r="V141" s="45" t="s">
        <v>558</v>
      </c>
      <c r="W141" s="45">
        <v>33110100601</v>
      </c>
      <c r="X141" s="45" t="s">
        <v>559</v>
      </c>
      <c r="Y141" s="43" t="s">
        <v>43</v>
      </c>
      <c r="Z141" s="71" t="s">
        <v>43</v>
      </c>
      <c r="AA141" s="71" t="s">
        <v>40</v>
      </c>
      <c r="AB141" s="48" t="s">
        <v>43</v>
      </c>
      <c r="AC141" s="75">
        <v>3250</v>
      </c>
      <c r="AD141" s="75">
        <v>2910</v>
      </c>
      <c r="AE141" s="80">
        <v>2845</v>
      </c>
      <c r="AF141" s="80">
        <v>2560</v>
      </c>
      <c r="AG141" s="80">
        <v>2175</v>
      </c>
      <c r="AH141" s="32" t="s">
        <v>549</v>
      </c>
    </row>
    <row r="142" ht="25.5" spans="1:34">
      <c r="A142" s="46"/>
      <c r="B142" s="46"/>
      <c r="C142" s="46"/>
      <c r="D142" s="46"/>
      <c r="E142" s="50"/>
      <c r="F142" s="50"/>
      <c r="G142" s="46"/>
      <c r="H142" s="50"/>
      <c r="I142" s="102"/>
      <c r="J142" s="102"/>
      <c r="K142" s="58"/>
      <c r="L142" s="58"/>
      <c r="M142" s="58"/>
      <c r="N142" s="63"/>
      <c r="O142" s="63"/>
      <c r="P142" s="63"/>
      <c r="Q142" s="45"/>
      <c r="R142" s="45"/>
      <c r="S142" s="45"/>
      <c r="T142" s="69"/>
      <c r="U142" s="49"/>
      <c r="V142" s="45" t="s">
        <v>560</v>
      </c>
      <c r="W142" s="45">
        <v>33110100603</v>
      </c>
      <c r="X142" s="45" t="s">
        <v>561</v>
      </c>
      <c r="Y142" s="43" t="s">
        <v>43</v>
      </c>
      <c r="Z142" s="71" t="s">
        <v>43</v>
      </c>
      <c r="AA142" s="71" t="s">
        <v>40</v>
      </c>
      <c r="AB142" s="48" t="s">
        <v>43</v>
      </c>
      <c r="AC142" s="75">
        <v>4050</v>
      </c>
      <c r="AD142" s="75">
        <v>3630</v>
      </c>
      <c r="AE142" s="80">
        <v>3470</v>
      </c>
      <c r="AF142" s="80">
        <v>3160</v>
      </c>
      <c r="AG142" s="80">
        <v>2685</v>
      </c>
      <c r="AH142" s="32" t="s">
        <v>549</v>
      </c>
    </row>
    <row r="143" ht="25.5" spans="1:33">
      <c r="A143" s="46">
        <v>40</v>
      </c>
      <c r="B143" s="46" t="s">
        <v>562</v>
      </c>
      <c r="C143" s="46" t="s">
        <v>563</v>
      </c>
      <c r="D143" s="46" t="s">
        <v>213</v>
      </c>
      <c r="E143" s="50" t="s">
        <v>564</v>
      </c>
      <c r="F143" s="50" t="s">
        <v>565</v>
      </c>
      <c r="G143" s="46" t="s">
        <v>48</v>
      </c>
      <c r="H143" s="49"/>
      <c r="I143" s="53">
        <v>2485</v>
      </c>
      <c r="J143" s="53">
        <v>2237</v>
      </c>
      <c r="K143" s="58"/>
      <c r="L143" s="58"/>
      <c r="M143" s="58"/>
      <c r="N143" s="63">
        <v>2270</v>
      </c>
      <c r="O143" s="63">
        <v>2070</v>
      </c>
      <c r="P143" s="63">
        <v>1765</v>
      </c>
      <c r="Q143" s="45" t="s">
        <v>54</v>
      </c>
      <c r="R143" s="45" t="s">
        <v>43</v>
      </c>
      <c r="S143" s="45" t="s">
        <v>43</v>
      </c>
      <c r="T143" s="69" t="s">
        <v>67</v>
      </c>
      <c r="U143" s="49" t="s">
        <v>566</v>
      </c>
      <c r="V143" s="43" t="s">
        <v>567</v>
      </c>
      <c r="W143" s="71">
        <v>331101004</v>
      </c>
      <c r="X143" s="43" t="s">
        <v>568</v>
      </c>
      <c r="Y143" s="43" t="s">
        <v>43</v>
      </c>
      <c r="Z143" s="71" t="s">
        <v>43</v>
      </c>
      <c r="AA143" s="71" t="s">
        <v>40</v>
      </c>
      <c r="AB143" s="48" t="s">
        <v>43</v>
      </c>
      <c r="AC143" s="75">
        <v>1620</v>
      </c>
      <c r="AD143" s="75">
        <v>1460</v>
      </c>
      <c r="AE143" s="80">
        <v>1500</v>
      </c>
      <c r="AF143" s="80">
        <v>1440</v>
      </c>
      <c r="AG143" s="80">
        <v>1224</v>
      </c>
    </row>
    <row r="144" ht="25.5" spans="1:33">
      <c r="A144" s="46"/>
      <c r="B144" s="46"/>
      <c r="C144" s="46"/>
      <c r="D144" s="46"/>
      <c r="E144" s="50"/>
      <c r="F144" s="50"/>
      <c r="G144" s="46"/>
      <c r="H144" s="49"/>
      <c r="I144" s="102"/>
      <c r="J144" s="102"/>
      <c r="K144" s="58"/>
      <c r="L144" s="58"/>
      <c r="M144" s="58"/>
      <c r="N144" s="63"/>
      <c r="O144" s="63"/>
      <c r="P144" s="63"/>
      <c r="Q144" s="45"/>
      <c r="R144" s="45"/>
      <c r="S144" s="45"/>
      <c r="T144" s="69"/>
      <c r="U144" s="49"/>
      <c r="V144" s="45" t="s">
        <v>569</v>
      </c>
      <c r="W144" s="45">
        <v>33110100402</v>
      </c>
      <c r="X144" s="45" t="s">
        <v>570</v>
      </c>
      <c r="Y144" s="43" t="s">
        <v>43</v>
      </c>
      <c r="Z144" s="71" t="s">
        <v>43</v>
      </c>
      <c r="AA144" s="71" t="s">
        <v>40</v>
      </c>
      <c r="AB144" s="48" t="s">
        <v>43</v>
      </c>
      <c r="AC144" s="75">
        <v>2420</v>
      </c>
      <c r="AD144" s="75">
        <v>2180</v>
      </c>
      <c r="AE144" s="80">
        <v>2125</v>
      </c>
      <c r="AF144" s="80">
        <v>2040</v>
      </c>
      <c r="AG144" s="80">
        <v>1734</v>
      </c>
    </row>
    <row r="145" ht="25.5" spans="1:34">
      <c r="A145" s="46"/>
      <c r="B145" s="46"/>
      <c r="C145" s="46"/>
      <c r="D145" s="46"/>
      <c r="E145" s="50"/>
      <c r="F145" s="50"/>
      <c r="G145" s="46"/>
      <c r="H145" s="49"/>
      <c r="I145" s="102"/>
      <c r="J145" s="102"/>
      <c r="K145" s="58"/>
      <c r="L145" s="58"/>
      <c r="M145" s="58"/>
      <c r="N145" s="63"/>
      <c r="O145" s="63"/>
      <c r="P145" s="63"/>
      <c r="Q145" s="45"/>
      <c r="R145" s="45"/>
      <c r="S145" s="45"/>
      <c r="T145" s="69"/>
      <c r="U145" s="49"/>
      <c r="V145" s="43" t="s">
        <v>547</v>
      </c>
      <c r="W145" s="71">
        <v>331101006</v>
      </c>
      <c r="X145" s="43" t="s">
        <v>548</v>
      </c>
      <c r="Y145" s="43" t="s">
        <v>43</v>
      </c>
      <c r="Z145" s="71" t="s">
        <v>43</v>
      </c>
      <c r="AA145" s="71" t="s">
        <v>40</v>
      </c>
      <c r="AB145" s="48" t="s">
        <v>43</v>
      </c>
      <c r="AC145" s="75">
        <v>2500</v>
      </c>
      <c r="AD145" s="75">
        <v>2240</v>
      </c>
      <c r="AE145" s="80">
        <v>2190</v>
      </c>
      <c r="AF145" s="80">
        <v>1970</v>
      </c>
      <c r="AG145" s="80">
        <v>1670</v>
      </c>
      <c r="AH145" s="32" t="s">
        <v>549</v>
      </c>
    </row>
    <row r="146" ht="25.5" spans="1:34">
      <c r="A146" s="46"/>
      <c r="B146" s="46"/>
      <c r="C146" s="46"/>
      <c r="D146" s="46"/>
      <c r="E146" s="50"/>
      <c r="F146" s="50"/>
      <c r="G146" s="46"/>
      <c r="H146" s="49"/>
      <c r="I146" s="102"/>
      <c r="J146" s="102"/>
      <c r="K146" s="58"/>
      <c r="L146" s="58"/>
      <c r="M146" s="58"/>
      <c r="N146" s="63"/>
      <c r="O146" s="63"/>
      <c r="P146" s="63"/>
      <c r="Q146" s="45"/>
      <c r="R146" s="45"/>
      <c r="S146" s="45"/>
      <c r="T146" s="69"/>
      <c r="U146" s="49"/>
      <c r="V146" s="45" t="s">
        <v>550</v>
      </c>
      <c r="W146" s="45">
        <v>33110100602</v>
      </c>
      <c r="X146" s="45" t="s">
        <v>551</v>
      </c>
      <c r="Y146" s="43" t="s">
        <v>43</v>
      </c>
      <c r="Z146" s="71" t="s">
        <v>43</v>
      </c>
      <c r="AA146" s="71" t="s">
        <v>40</v>
      </c>
      <c r="AB146" s="48" t="s">
        <v>43</v>
      </c>
      <c r="AC146" s="75">
        <v>3300</v>
      </c>
      <c r="AD146" s="75">
        <v>2960</v>
      </c>
      <c r="AE146" s="80">
        <v>2815</v>
      </c>
      <c r="AF146" s="80">
        <v>2570</v>
      </c>
      <c r="AG146" s="80">
        <v>2180</v>
      </c>
      <c r="AH146" s="32" t="s">
        <v>549</v>
      </c>
    </row>
    <row r="147" ht="25.5" spans="1:33">
      <c r="A147" s="46" t="s">
        <v>81</v>
      </c>
      <c r="B147" s="46" t="s">
        <v>571</v>
      </c>
      <c r="C147" s="46" t="s">
        <v>572</v>
      </c>
      <c r="D147" s="46" t="s">
        <v>213</v>
      </c>
      <c r="E147" s="50" t="s">
        <v>43</v>
      </c>
      <c r="F147" s="50" t="s">
        <v>43</v>
      </c>
      <c r="G147" s="46" t="s">
        <v>48</v>
      </c>
      <c r="H147" s="50" t="s">
        <v>43</v>
      </c>
      <c r="I147" s="53">
        <v>745</v>
      </c>
      <c r="J147" s="53">
        <v>671</v>
      </c>
      <c r="K147" s="58"/>
      <c r="L147" s="58"/>
      <c r="M147" s="58"/>
      <c r="N147" s="63">
        <v>680</v>
      </c>
      <c r="O147" s="63">
        <v>620</v>
      </c>
      <c r="P147" s="63">
        <v>530</v>
      </c>
      <c r="Q147" s="45" t="s">
        <v>54</v>
      </c>
      <c r="R147" s="45" t="s">
        <v>43</v>
      </c>
      <c r="S147" s="45" t="s">
        <v>43</v>
      </c>
      <c r="T147" s="69"/>
      <c r="U147" s="49" t="s">
        <v>446</v>
      </c>
      <c r="V147" s="45" t="s">
        <v>573</v>
      </c>
      <c r="W147" s="45">
        <v>33110100401</v>
      </c>
      <c r="X147" s="45" t="s">
        <v>574</v>
      </c>
      <c r="Y147" s="43" t="s">
        <v>43</v>
      </c>
      <c r="Z147" s="71" t="s">
        <v>43</v>
      </c>
      <c r="AA147" s="71" t="s">
        <v>40</v>
      </c>
      <c r="AB147" s="48" t="s">
        <v>43</v>
      </c>
      <c r="AC147" s="75">
        <v>2105</v>
      </c>
      <c r="AD147" s="75">
        <v>1900</v>
      </c>
      <c r="AE147" s="80">
        <v>1950</v>
      </c>
      <c r="AF147" s="80">
        <v>1870</v>
      </c>
      <c r="AG147" s="80">
        <v>1590</v>
      </c>
    </row>
    <row r="148" ht="25.5" spans="1:33">
      <c r="A148" s="46"/>
      <c r="B148" s="46"/>
      <c r="C148" s="46"/>
      <c r="D148" s="46"/>
      <c r="E148" s="50"/>
      <c r="F148" s="50"/>
      <c r="G148" s="46"/>
      <c r="H148" s="50"/>
      <c r="I148" s="102"/>
      <c r="J148" s="102"/>
      <c r="K148" s="58"/>
      <c r="L148" s="58"/>
      <c r="M148" s="58"/>
      <c r="N148" s="63"/>
      <c r="O148" s="63"/>
      <c r="P148" s="63"/>
      <c r="Q148" s="45"/>
      <c r="R148" s="45"/>
      <c r="S148" s="45"/>
      <c r="T148" s="69"/>
      <c r="U148" s="49"/>
      <c r="V148" s="45" t="s">
        <v>575</v>
      </c>
      <c r="W148" s="45">
        <v>33110100403</v>
      </c>
      <c r="X148" s="45" t="s">
        <v>576</v>
      </c>
      <c r="Y148" s="43" t="s">
        <v>43</v>
      </c>
      <c r="Z148" s="71" t="s">
        <v>43</v>
      </c>
      <c r="AA148" s="71" t="s">
        <v>40</v>
      </c>
      <c r="AB148" s="48" t="s">
        <v>43</v>
      </c>
      <c r="AC148" s="75">
        <v>2905</v>
      </c>
      <c r="AD148" s="75">
        <v>2620</v>
      </c>
      <c r="AE148" s="80">
        <v>2575</v>
      </c>
      <c r="AF148" s="80">
        <v>2470</v>
      </c>
      <c r="AG148" s="80">
        <v>2100</v>
      </c>
    </row>
    <row r="149" ht="25.5" spans="1:34">
      <c r="A149" s="46"/>
      <c r="B149" s="46"/>
      <c r="C149" s="46"/>
      <c r="D149" s="46"/>
      <c r="E149" s="50"/>
      <c r="F149" s="50"/>
      <c r="G149" s="46"/>
      <c r="H149" s="50"/>
      <c r="I149" s="102"/>
      <c r="J149" s="102"/>
      <c r="K149" s="58"/>
      <c r="L149" s="58"/>
      <c r="M149" s="58"/>
      <c r="N149" s="63"/>
      <c r="O149" s="63"/>
      <c r="P149" s="63"/>
      <c r="Q149" s="45"/>
      <c r="R149" s="45"/>
      <c r="S149" s="45"/>
      <c r="T149" s="69"/>
      <c r="U149" s="49"/>
      <c r="V149" s="45" t="s">
        <v>558</v>
      </c>
      <c r="W149" s="45">
        <v>33110100601</v>
      </c>
      <c r="X149" s="45" t="s">
        <v>559</v>
      </c>
      <c r="Y149" s="43" t="s">
        <v>43</v>
      </c>
      <c r="Z149" s="71" t="s">
        <v>43</v>
      </c>
      <c r="AA149" s="71" t="s">
        <v>40</v>
      </c>
      <c r="AB149" s="48" t="s">
        <v>43</v>
      </c>
      <c r="AC149" s="75">
        <v>3250</v>
      </c>
      <c r="AD149" s="75">
        <v>2910</v>
      </c>
      <c r="AE149" s="80">
        <v>2845</v>
      </c>
      <c r="AF149" s="80">
        <v>2560</v>
      </c>
      <c r="AG149" s="80">
        <v>2175</v>
      </c>
      <c r="AH149" s="32" t="s">
        <v>549</v>
      </c>
    </row>
    <row r="150" ht="25.5" spans="1:34">
      <c r="A150" s="46"/>
      <c r="B150" s="46"/>
      <c r="C150" s="46"/>
      <c r="D150" s="46"/>
      <c r="E150" s="50"/>
      <c r="F150" s="50"/>
      <c r="G150" s="46"/>
      <c r="H150" s="50"/>
      <c r="I150" s="102"/>
      <c r="J150" s="102"/>
      <c r="K150" s="58"/>
      <c r="L150" s="58"/>
      <c r="M150" s="58"/>
      <c r="N150" s="63"/>
      <c r="O150" s="63"/>
      <c r="P150" s="63"/>
      <c r="Q150" s="45"/>
      <c r="R150" s="45"/>
      <c r="S150" s="45"/>
      <c r="T150" s="69"/>
      <c r="U150" s="49"/>
      <c r="V150" s="45" t="s">
        <v>560</v>
      </c>
      <c r="W150" s="45">
        <v>33110100603</v>
      </c>
      <c r="X150" s="45" t="s">
        <v>561</v>
      </c>
      <c r="Y150" s="43" t="s">
        <v>43</v>
      </c>
      <c r="Z150" s="71" t="s">
        <v>43</v>
      </c>
      <c r="AA150" s="71" t="s">
        <v>40</v>
      </c>
      <c r="AB150" s="48" t="s">
        <v>43</v>
      </c>
      <c r="AC150" s="75">
        <v>4050</v>
      </c>
      <c r="AD150" s="75">
        <v>3630</v>
      </c>
      <c r="AE150" s="80">
        <v>3470</v>
      </c>
      <c r="AF150" s="80">
        <v>3160</v>
      </c>
      <c r="AG150" s="80">
        <v>2685</v>
      </c>
      <c r="AH150" s="32" t="s">
        <v>549</v>
      </c>
    </row>
    <row r="151" ht="25.5" spans="1:33">
      <c r="A151" s="46">
        <v>41</v>
      </c>
      <c r="B151" s="46" t="s">
        <v>577</v>
      </c>
      <c r="C151" s="46" t="s">
        <v>578</v>
      </c>
      <c r="D151" s="46" t="s">
        <v>213</v>
      </c>
      <c r="E151" s="50" t="s">
        <v>579</v>
      </c>
      <c r="F151" s="50" t="s">
        <v>580</v>
      </c>
      <c r="G151" s="46" t="s">
        <v>40</v>
      </c>
      <c r="H151" s="50" t="s">
        <v>43</v>
      </c>
      <c r="I151" s="53">
        <v>3070</v>
      </c>
      <c r="J151" s="53">
        <v>2763</v>
      </c>
      <c r="K151" s="84"/>
      <c r="L151" s="58"/>
      <c r="M151" s="58"/>
      <c r="N151" s="63">
        <v>2770</v>
      </c>
      <c r="O151" s="63">
        <v>2500</v>
      </c>
      <c r="P151" s="63">
        <v>2150</v>
      </c>
      <c r="Q151" s="45" t="s">
        <v>54</v>
      </c>
      <c r="R151" s="45" t="s">
        <v>43</v>
      </c>
      <c r="S151" s="45" t="s">
        <v>43</v>
      </c>
      <c r="T151" s="69" t="s">
        <v>67</v>
      </c>
      <c r="U151" s="49" t="s">
        <v>566</v>
      </c>
      <c r="V151" s="43" t="s">
        <v>581</v>
      </c>
      <c r="W151" s="71">
        <v>331101012</v>
      </c>
      <c r="X151" s="43" t="s">
        <v>582</v>
      </c>
      <c r="Y151" s="43" t="s">
        <v>43</v>
      </c>
      <c r="Z151" s="71" t="s">
        <v>43</v>
      </c>
      <c r="AA151" s="71" t="s">
        <v>40</v>
      </c>
      <c r="AB151" s="48" t="s">
        <v>43</v>
      </c>
      <c r="AC151" s="75">
        <v>3070</v>
      </c>
      <c r="AD151" s="75">
        <v>2760</v>
      </c>
      <c r="AE151" s="80">
        <v>2700</v>
      </c>
      <c r="AF151" s="80">
        <v>2430</v>
      </c>
      <c r="AG151" s="80">
        <v>2070</v>
      </c>
    </row>
    <row r="152" ht="25.5" spans="1:33">
      <c r="A152" s="46"/>
      <c r="B152" s="46"/>
      <c r="C152" s="46"/>
      <c r="D152" s="46"/>
      <c r="E152" s="50"/>
      <c r="F152" s="50"/>
      <c r="G152" s="46"/>
      <c r="H152" s="50"/>
      <c r="I152" s="102"/>
      <c r="J152" s="102"/>
      <c r="K152" s="84"/>
      <c r="L152" s="58"/>
      <c r="M152" s="58"/>
      <c r="N152" s="63"/>
      <c r="O152" s="63"/>
      <c r="P152" s="63"/>
      <c r="Q152" s="45"/>
      <c r="R152" s="45"/>
      <c r="S152" s="45"/>
      <c r="T152" s="69"/>
      <c r="U152" s="49"/>
      <c r="V152" s="45" t="s">
        <v>583</v>
      </c>
      <c r="W152" s="45">
        <v>33110101202</v>
      </c>
      <c r="X152" s="45" t="s">
        <v>584</v>
      </c>
      <c r="Y152" s="43" t="s">
        <v>43</v>
      </c>
      <c r="Z152" s="71" t="s">
        <v>43</v>
      </c>
      <c r="AA152" s="71" t="s">
        <v>40</v>
      </c>
      <c r="AB152" s="48" t="s">
        <v>43</v>
      </c>
      <c r="AC152" s="75">
        <v>3870</v>
      </c>
      <c r="AD152" s="75">
        <v>3480</v>
      </c>
      <c r="AE152" s="80">
        <v>3325</v>
      </c>
      <c r="AF152" s="80">
        <v>3030</v>
      </c>
      <c r="AG152" s="80">
        <v>2580</v>
      </c>
    </row>
    <row r="153" ht="25.5" spans="1:34">
      <c r="A153" s="46"/>
      <c r="B153" s="46"/>
      <c r="C153" s="46"/>
      <c r="D153" s="46"/>
      <c r="E153" s="50"/>
      <c r="F153" s="50"/>
      <c r="G153" s="46"/>
      <c r="H153" s="50"/>
      <c r="I153" s="102"/>
      <c r="J153" s="102"/>
      <c r="K153" s="84"/>
      <c r="L153" s="58"/>
      <c r="M153" s="58"/>
      <c r="N153" s="63"/>
      <c r="O153" s="63"/>
      <c r="P153" s="63"/>
      <c r="Q153" s="45"/>
      <c r="R153" s="45"/>
      <c r="S153" s="45"/>
      <c r="T153" s="69"/>
      <c r="U153" s="49"/>
      <c r="V153" s="43" t="s">
        <v>547</v>
      </c>
      <c r="W153" s="71">
        <v>331101006</v>
      </c>
      <c r="X153" s="43" t="s">
        <v>548</v>
      </c>
      <c r="Y153" s="43" t="s">
        <v>43</v>
      </c>
      <c r="Z153" s="71" t="s">
        <v>43</v>
      </c>
      <c r="AA153" s="71" t="s">
        <v>40</v>
      </c>
      <c r="AB153" s="48" t="s">
        <v>43</v>
      </c>
      <c r="AC153" s="75">
        <v>2500</v>
      </c>
      <c r="AD153" s="75">
        <v>2240</v>
      </c>
      <c r="AE153" s="80">
        <v>2190</v>
      </c>
      <c r="AF153" s="80">
        <v>1970</v>
      </c>
      <c r="AG153" s="80">
        <v>1670</v>
      </c>
      <c r="AH153" s="32" t="s">
        <v>549</v>
      </c>
    </row>
    <row r="154" ht="25.5" spans="1:34">
      <c r="A154" s="46"/>
      <c r="B154" s="46"/>
      <c r="C154" s="46"/>
      <c r="D154" s="46"/>
      <c r="E154" s="50"/>
      <c r="F154" s="50"/>
      <c r="G154" s="46"/>
      <c r="H154" s="50"/>
      <c r="I154" s="102"/>
      <c r="J154" s="102"/>
      <c r="K154" s="84"/>
      <c r="L154" s="58"/>
      <c r="M154" s="58"/>
      <c r="N154" s="63"/>
      <c r="O154" s="63"/>
      <c r="P154" s="63"/>
      <c r="Q154" s="45"/>
      <c r="R154" s="45"/>
      <c r="S154" s="45"/>
      <c r="T154" s="69"/>
      <c r="U154" s="49"/>
      <c r="V154" s="45" t="s">
        <v>550</v>
      </c>
      <c r="W154" s="45">
        <v>33110100602</v>
      </c>
      <c r="X154" s="45" t="s">
        <v>551</v>
      </c>
      <c r="Y154" s="43" t="s">
        <v>43</v>
      </c>
      <c r="Z154" s="71" t="s">
        <v>43</v>
      </c>
      <c r="AA154" s="71" t="s">
        <v>40</v>
      </c>
      <c r="AB154" s="48" t="s">
        <v>43</v>
      </c>
      <c r="AC154" s="75">
        <v>3300</v>
      </c>
      <c r="AD154" s="75">
        <v>2960</v>
      </c>
      <c r="AE154" s="80">
        <v>2815</v>
      </c>
      <c r="AF154" s="80">
        <v>2570</v>
      </c>
      <c r="AG154" s="80">
        <v>2180</v>
      </c>
      <c r="AH154" s="32" t="s">
        <v>549</v>
      </c>
    </row>
    <row r="155" ht="25.5" spans="1:33">
      <c r="A155" s="46" t="s">
        <v>81</v>
      </c>
      <c r="B155" s="46" t="s">
        <v>585</v>
      </c>
      <c r="C155" s="46" t="s">
        <v>586</v>
      </c>
      <c r="D155" s="46" t="s">
        <v>213</v>
      </c>
      <c r="E155" s="50" t="s">
        <v>43</v>
      </c>
      <c r="F155" s="50" t="s">
        <v>43</v>
      </c>
      <c r="G155" s="46" t="s">
        <v>40</v>
      </c>
      <c r="H155" s="50" t="s">
        <v>43</v>
      </c>
      <c r="I155" s="53">
        <v>921</v>
      </c>
      <c r="J155" s="53">
        <v>829</v>
      </c>
      <c r="K155" s="58"/>
      <c r="L155" s="58"/>
      <c r="M155" s="58"/>
      <c r="N155" s="63">
        <v>830</v>
      </c>
      <c r="O155" s="63">
        <v>750</v>
      </c>
      <c r="P155" s="63">
        <v>645</v>
      </c>
      <c r="Q155" s="45" t="s">
        <v>54</v>
      </c>
      <c r="R155" s="45" t="s">
        <v>43</v>
      </c>
      <c r="S155" s="45" t="s">
        <v>43</v>
      </c>
      <c r="T155" s="69"/>
      <c r="U155" s="49" t="s">
        <v>446</v>
      </c>
      <c r="V155" s="45" t="s">
        <v>587</v>
      </c>
      <c r="W155" s="45">
        <v>33110101201</v>
      </c>
      <c r="X155" s="45" t="s">
        <v>588</v>
      </c>
      <c r="Y155" s="43" t="s">
        <v>43</v>
      </c>
      <c r="Z155" s="71" t="s">
        <v>43</v>
      </c>
      <c r="AA155" s="71" t="s">
        <v>40</v>
      </c>
      <c r="AB155" s="48" t="s">
        <v>43</v>
      </c>
      <c r="AC155" s="75">
        <v>3990</v>
      </c>
      <c r="AD155" s="75">
        <v>3590</v>
      </c>
      <c r="AE155" s="80">
        <v>3510</v>
      </c>
      <c r="AF155" s="80">
        <v>3160</v>
      </c>
      <c r="AG155" s="80">
        <v>2685</v>
      </c>
    </row>
    <row r="156" ht="25.5" spans="1:33">
      <c r="A156" s="46"/>
      <c r="B156" s="46"/>
      <c r="C156" s="46"/>
      <c r="D156" s="46"/>
      <c r="E156" s="50"/>
      <c r="F156" s="50"/>
      <c r="G156" s="46"/>
      <c r="H156" s="50"/>
      <c r="I156" s="102"/>
      <c r="J156" s="102"/>
      <c r="K156" s="58"/>
      <c r="L156" s="58"/>
      <c r="M156" s="58"/>
      <c r="N156" s="63"/>
      <c r="O156" s="63"/>
      <c r="P156" s="63"/>
      <c r="Q156" s="45"/>
      <c r="R156" s="45"/>
      <c r="S156" s="45"/>
      <c r="T156" s="69"/>
      <c r="U156" s="49"/>
      <c r="V156" s="45" t="s">
        <v>589</v>
      </c>
      <c r="W156" s="45">
        <v>33110101203</v>
      </c>
      <c r="X156" s="45" t="s">
        <v>590</v>
      </c>
      <c r="Y156" s="43" t="s">
        <v>43</v>
      </c>
      <c r="Z156" s="71" t="s">
        <v>43</v>
      </c>
      <c r="AA156" s="71" t="s">
        <v>40</v>
      </c>
      <c r="AB156" s="48" t="s">
        <v>43</v>
      </c>
      <c r="AC156" s="75">
        <v>4790</v>
      </c>
      <c r="AD156" s="75">
        <v>4310</v>
      </c>
      <c r="AE156" s="80">
        <v>4135</v>
      </c>
      <c r="AF156" s="80">
        <v>3760</v>
      </c>
      <c r="AG156" s="80">
        <v>3195</v>
      </c>
    </row>
    <row r="157" ht="25.5" spans="1:34">
      <c r="A157" s="46"/>
      <c r="B157" s="46"/>
      <c r="C157" s="46"/>
      <c r="D157" s="46"/>
      <c r="E157" s="50"/>
      <c r="F157" s="50"/>
      <c r="G157" s="46"/>
      <c r="H157" s="50"/>
      <c r="I157" s="102"/>
      <c r="J157" s="102"/>
      <c r="K157" s="58"/>
      <c r="L157" s="58"/>
      <c r="M157" s="58"/>
      <c r="N157" s="63"/>
      <c r="O157" s="63"/>
      <c r="P157" s="63"/>
      <c r="Q157" s="45"/>
      <c r="R157" s="45"/>
      <c r="S157" s="45"/>
      <c r="T157" s="69"/>
      <c r="U157" s="49"/>
      <c r="V157" s="45" t="s">
        <v>558</v>
      </c>
      <c r="W157" s="45">
        <v>33110100601</v>
      </c>
      <c r="X157" s="45" t="s">
        <v>559</v>
      </c>
      <c r="Y157" s="43" t="s">
        <v>43</v>
      </c>
      <c r="Z157" s="71" t="s">
        <v>43</v>
      </c>
      <c r="AA157" s="71" t="s">
        <v>40</v>
      </c>
      <c r="AB157" s="48" t="s">
        <v>43</v>
      </c>
      <c r="AC157" s="75">
        <v>3250</v>
      </c>
      <c r="AD157" s="75">
        <v>2910</v>
      </c>
      <c r="AE157" s="80">
        <v>2845</v>
      </c>
      <c r="AF157" s="80">
        <v>2560</v>
      </c>
      <c r="AG157" s="80">
        <v>2175</v>
      </c>
      <c r="AH157" s="32" t="s">
        <v>549</v>
      </c>
    </row>
    <row r="158" ht="25.5" spans="1:34">
      <c r="A158" s="46"/>
      <c r="B158" s="46"/>
      <c r="C158" s="46"/>
      <c r="D158" s="46"/>
      <c r="E158" s="50"/>
      <c r="F158" s="50"/>
      <c r="G158" s="46"/>
      <c r="H158" s="50"/>
      <c r="I158" s="102"/>
      <c r="J158" s="102"/>
      <c r="K158" s="58"/>
      <c r="L158" s="58"/>
      <c r="M158" s="58"/>
      <c r="N158" s="63"/>
      <c r="O158" s="63"/>
      <c r="P158" s="63"/>
      <c r="Q158" s="45"/>
      <c r="R158" s="45"/>
      <c r="S158" s="45"/>
      <c r="T158" s="69"/>
      <c r="U158" s="49"/>
      <c r="V158" s="45" t="s">
        <v>560</v>
      </c>
      <c r="W158" s="45">
        <v>33110100603</v>
      </c>
      <c r="X158" s="45" t="s">
        <v>561</v>
      </c>
      <c r="Y158" s="43" t="s">
        <v>43</v>
      </c>
      <c r="Z158" s="71" t="s">
        <v>43</v>
      </c>
      <c r="AA158" s="71" t="s">
        <v>40</v>
      </c>
      <c r="AB158" s="48" t="s">
        <v>43</v>
      </c>
      <c r="AC158" s="75">
        <v>4050</v>
      </c>
      <c r="AD158" s="75">
        <v>3630</v>
      </c>
      <c r="AE158" s="80">
        <v>3470</v>
      </c>
      <c r="AF158" s="80">
        <v>3160</v>
      </c>
      <c r="AG158" s="80">
        <v>2685</v>
      </c>
      <c r="AH158" s="32" t="s">
        <v>549</v>
      </c>
    </row>
    <row r="159" ht="25.5" spans="1:33">
      <c r="A159" s="46">
        <v>42</v>
      </c>
      <c r="B159" s="46" t="s">
        <v>591</v>
      </c>
      <c r="C159" s="46" t="s">
        <v>592</v>
      </c>
      <c r="D159" s="46" t="s">
        <v>213</v>
      </c>
      <c r="E159" s="50" t="s">
        <v>593</v>
      </c>
      <c r="F159" s="50" t="s">
        <v>594</v>
      </c>
      <c r="G159" s="46" t="s">
        <v>48</v>
      </c>
      <c r="H159" s="50" t="s">
        <v>43</v>
      </c>
      <c r="I159" s="53">
        <v>2690</v>
      </c>
      <c r="J159" s="53">
        <v>2421</v>
      </c>
      <c r="K159" s="58"/>
      <c r="L159" s="58"/>
      <c r="M159" s="58"/>
      <c r="N159" s="63">
        <v>2450</v>
      </c>
      <c r="O159" s="63">
        <v>2200</v>
      </c>
      <c r="P159" s="63">
        <v>1870</v>
      </c>
      <c r="Q159" s="45" t="s">
        <v>54</v>
      </c>
      <c r="R159" s="45" t="s">
        <v>43</v>
      </c>
      <c r="S159" s="45" t="s">
        <v>43</v>
      </c>
      <c r="T159" s="69" t="s">
        <v>67</v>
      </c>
      <c r="U159" s="49" t="s">
        <v>566</v>
      </c>
      <c r="V159" s="43" t="s">
        <v>595</v>
      </c>
      <c r="W159" s="71">
        <v>331101001</v>
      </c>
      <c r="X159" s="43" t="s">
        <v>596</v>
      </c>
      <c r="Y159" s="43" t="s">
        <v>43</v>
      </c>
      <c r="Z159" s="71" t="s">
        <v>43</v>
      </c>
      <c r="AA159" s="71" t="s">
        <v>40</v>
      </c>
      <c r="AB159" s="48" t="s">
        <v>43</v>
      </c>
      <c r="AC159" s="75">
        <v>2690</v>
      </c>
      <c r="AD159" s="75">
        <v>2420</v>
      </c>
      <c r="AE159" s="80">
        <v>2360</v>
      </c>
      <c r="AF159" s="80">
        <v>2120</v>
      </c>
      <c r="AG159" s="80">
        <v>1800</v>
      </c>
    </row>
    <row r="160" ht="25.5" spans="1:33">
      <c r="A160" s="46"/>
      <c r="B160" s="46"/>
      <c r="C160" s="46"/>
      <c r="D160" s="46"/>
      <c r="E160" s="50"/>
      <c r="F160" s="50"/>
      <c r="G160" s="46"/>
      <c r="H160" s="50"/>
      <c r="I160" s="102"/>
      <c r="J160" s="102"/>
      <c r="K160" s="58"/>
      <c r="L160" s="58"/>
      <c r="M160" s="58"/>
      <c r="N160" s="63"/>
      <c r="O160" s="63"/>
      <c r="P160" s="63"/>
      <c r="Q160" s="45"/>
      <c r="R160" s="45"/>
      <c r="S160" s="45"/>
      <c r="T160" s="69"/>
      <c r="U160" s="49"/>
      <c r="V160" s="43" t="s">
        <v>597</v>
      </c>
      <c r="W160" s="71">
        <v>33110100102</v>
      </c>
      <c r="X160" s="43" t="s">
        <v>598</v>
      </c>
      <c r="Y160" s="43" t="s">
        <v>43</v>
      </c>
      <c r="Z160" s="71" t="s">
        <v>43</v>
      </c>
      <c r="AA160" s="71" t="s">
        <v>40</v>
      </c>
      <c r="AB160" s="48" t="s">
        <v>43</v>
      </c>
      <c r="AC160" s="75">
        <v>3490</v>
      </c>
      <c r="AD160" s="75">
        <v>3140</v>
      </c>
      <c r="AE160" s="80">
        <v>2985</v>
      </c>
      <c r="AF160" s="80">
        <v>2720</v>
      </c>
      <c r="AG160" s="80">
        <v>2310</v>
      </c>
    </row>
    <row r="161" ht="25.5" spans="1:34">
      <c r="A161" s="46"/>
      <c r="B161" s="46"/>
      <c r="C161" s="46"/>
      <c r="D161" s="46"/>
      <c r="E161" s="50"/>
      <c r="F161" s="50"/>
      <c r="G161" s="46"/>
      <c r="H161" s="50"/>
      <c r="I161" s="102"/>
      <c r="J161" s="102"/>
      <c r="K161" s="58"/>
      <c r="L161" s="58"/>
      <c r="M161" s="58"/>
      <c r="N161" s="63"/>
      <c r="O161" s="63"/>
      <c r="P161" s="63"/>
      <c r="Q161" s="45"/>
      <c r="R161" s="45"/>
      <c r="S161" s="45"/>
      <c r="T161" s="69"/>
      <c r="U161" s="49"/>
      <c r="V161" s="43" t="s">
        <v>547</v>
      </c>
      <c r="W161" s="71">
        <v>331101006</v>
      </c>
      <c r="X161" s="43" t="s">
        <v>548</v>
      </c>
      <c r="Y161" s="43" t="s">
        <v>43</v>
      </c>
      <c r="Z161" s="71" t="s">
        <v>43</v>
      </c>
      <c r="AA161" s="71" t="s">
        <v>40</v>
      </c>
      <c r="AB161" s="48" t="s">
        <v>43</v>
      </c>
      <c r="AC161" s="75">
        <v>2500</v>
      </c>
      <c r="AD161" s="75">
        <v>2240</v>
      </c>
      <c r="AE161" s="80">
        <v>2190</v>
      </c>
      <c r="AF161" s="80">
        <v>1970</v>
      </c>
      <c r="AG161" s="80">
        <v>1670</v>
      </c>
      <c r="AH161" s="32" t="s">
        <v>549</v>
      </c>
    </row>
    <row r="162" ht="25.5" spans="1:34">
      <c r="A162" s="46"/>
      <c r="B162" s="46"/>
      <c r="C162" s="46"/>
      <c r="D162" s="46"/>
      <c r="E162" s="50"/>
      <c r="F162" s="50"/>
      <c r="G162" s="46"/>
      <c r="H162" s="50"/>
      <c r="I162" s="102"/>
      <c r="J162" s="102"/>
      <c r="K162" s="58"/>
      <c r="L162" s="58"/>
      <c r="M162" s="58"/>
      <c r="N162" s="63"/>
      <c r="O162" s="63"/>
      <c r="P162" s="63"/>
      <c r="Q162" s="45"/>
      <c r="R162" s="45"/>
      <c r="S162" s="45"/>
      <c r="T162" s="69"/>
      <c r="U162" s="49"/>
      <c r="V162" s="43" t="s">
        <v>550</v>
      </c>
      <c r="W162" s="71">
        <v>33110100602</v>
      </c>
      <c r="X162" s="43" t="s">
        <v>551</v>
      </c>
      <c r="Y162" s="43" t="s">
        <v>43</v>
      </c>
      <c r="Z162" s="71" t="s">
        <v>43</v>
      </c>
      <c r="AA162" s="71" t="s">
        <v>40</v>
      </c>
      <c r="AB162" s="48" t="s">
        <v>43</v>
      </c>
      <c r="AC162" s="75">
        <v>3300</v>
      </c>
      <c r="AD162" s="75">
        <v>2960</v>
      </c>
      <c r="AE162" s="80">
        <v>2815</v>
      </c>
      <c r="AF162" s="80">
        <v>2570</v>
      </c>
      <c r="AG162" s="80">
        <v>2180</v>
      </c>
      <c r="AH162" s="32" t="s">
        <v>549</v>
      </c>
    </row>
    <row r="163" ht="25.5" spans="1:33">
      <c r="A163" s="46" t="s">
        <v>81</v>
      </c>
      <c r="B163" s="46" t="s">
        <v>599</v>
      </c>
      <c r="C163" s="46" t="s">
        <v>600</v>
      </c>
      <c r="D163" s="46" t="s">
        <v>213</v>
      </c>
      <c r="E163" s="50" t="s">
        <v>43</v>
      </c>
      <c r="F163" s="50" t="s">
        <v>43</v>
      </c>
      <c r="G163" s="46" t="s">
        <v>48</v>
      </c>
      <c r="H163" s="50" t="s">
        <v>43</v>
      </c>
      <c r="I163" s="53">
        <v>807</v>
      </c>
      <c r="J163" s="53">
        <v>726</v>
      </c>
      <c r="K163" s="58"/>
      <c r="L163" s="58"/>
      <c r="M163" s="58"/>
      <c r="N163" s="63">
        <v>735</v>
      </c>
      <c r="O163" s="63">
        <v>660</v>
      </c>
      <c r="P163" s="63">
        <v>560</v>
      </c>
      <c r="Q163" s="45" t="s">
        <v>54</v>
      </c>
      <c r="R163" s="45" t="s">
        <v>43</v>
      </c>
      <c r="S163" s="45" t="s">
        <v>43</v>
      </c>
      <c r="T163" s="69"/>
      <c r="U163" s="49" t="s">
        <v>446</v>
      </c>
      <c r="V163" s="45" t="s">
        <v>601</v>
      </c>
      <c r="W163" s="45">
        <v>33110100101</v>
      </c>
      <c r="X163" s="45" t="s">
        <v>602</v>
      </c>
      <c r="Y163" s="43" t="s">
        <v>43</v>
      </c>
      <c r="Z163" s="71" t="s">
        <v>43</v>
      </c>
      <c r="AA163" s="71" t="s">
        <v>40</v>
      </c>
      <c r="AB163" s="48" t="s">
        <v>43</v>
      </c>
      <c r="AC163" s="75">
        <v>3495</v>
      </c>
      <c r="AD163" s="75">
        <v>3145</v>
      </c>
      <c r="AE163" s="80">
        <v>3070</v>
      </c>
      <c r="AF163" s="80">
        <v>2755</v>
      </c>
      <c r="AG163" s="80">
        <v>2340</v>
      </c>
    </row>
    <row r="164" ht="25.5" spans="1:33">
      <c r="A164" s="46"/>
      <c r="B164" s="46"/>
      <c r="C164" s="46"/>
      <c r="D164" s="46"/>
      <c r="E164" s="50"/>
      <c r="F164" s="50"/>
      <c r="G164" s="46"/>
      <c r="H164" s="50"/>
      <c r="I164" s="102"/>
      <c r="J164" s="102"/>
      <c r="K164" s="58"/>
      <c r="L164" s="58"/>
      <c r="M164" s="58"/>
      <c r="N164" s="63"/>
      <c r="O164" s="63"/>
      <c r="P164" s="63"/>
      <c r="Q164" s="45"/>
      <c r="R164" s="45"/>
      <c r="S164" s="45"/>
      <c r="T164" s="69"/>
      <c r="U164" s="49"/>
      <c r="V164" s="45" t="s">
        <v>603</v>
      </c>
      <c r="W164" s="45">
        <v>33110100103</v>
      </c>
      <c r="X164" s="45" t="s">
        <v>604</v>
      </c>
      <c r="Y164" s="43" t="s">
        <v>43</v>
      </c>
      <c r="Z164" s="71" t="s">
        <v>43</v>
      </c>
      <c r="AA164" s="71" t="s">
        <v>40</v>
      </c>
      <c r="AB164" s="48" t="s">
        <v>43</v>
      </c>
      <c r="AC164" s="75">
        <v>4295</v>
      </c>
      <c r="AD164" s="75">
        <v>3865</v>
      </c>
      <c r="AE164" s="80">
        <v>3695</v>
      </c>
      <c r="AF164" s="80">
        <v>3355</v>
      </c>
      <c r="AG164" s="80">
        <v>2850</v>
      </c>
    </row>
    <row r="165" ht="25.5" spans="1:34">
      <c r="A165" s="46"/>
      <c r="B165" s="46"/>
      <c r="C165" s="46"/>
      <c r="D165" s="46"/>
      <c r="E165" s="50"/>
      <c r="F165" s="50"/>
      <c r="G165" s="46"/>
      <c r="H165" s="50"/>
      <c r="I165" s="102"/>
      <c r="J165" s="102"/>
      <c r="K165" s="58"/>
      <c r="L165" s="58"/>
      <c r="M165" s="58"/>
      <c r="N165" s="63"/>
      <c r="O165" s="63"/>
      <c r="P165" s="63"/>
      <c r="Q165" s="45"/>
      <c r="R165" s="45"/>
      <c r="S165" s="45"/>
      <c r="T165" s="69"/>
      <c r="U165" s="49"/>
      <c r="V165" s="45" t="s">
        <v>558</v>
      </c>
      <c r="W165" s="45">
        <v>33110100601</v>
      </c>
      <c r="X165" s="45" t="s">
        <v>559</v>
      </c>
      <c r="Y165" s="43" t="s">
        <v>43</v>
      </c>
      <c r="Z165" s="71" t="s">
        <v>43</v>
      </c>
      <c r="AA165" s="71" t="s">
        <v>40</v>
      </c>
      <c r="AB165" s="48" t="s">
        <v>43</v>
      </c>
      <c r="AC165" s="75">
        <v>3250</v>
      </c>
      <c r="AD165" s="75">
        <v>2910</v>
      </c>
      <c r="AE165" s="80">
        <v>2845</v>
      </c>
      <c r="AF165" s="80">
        <v>2560</v>
      </c>
      <c r="AG165" s="80">
        <v>2175</v>
      </c>
      <c r="AH165" s="32" t="s">
        <v>549</v>
      </c>
    </row>
    <row r="166" ht="25.5" spans="1:34">
      <c r="A166" s="46"/>
      <c r="B166" s="46"/>
      <c r="C166" s="46"/>
      <c r="D166" s="46"/>
      <c r="E166" s="50"/>
      <c r="F166" s="50"/>
      <c r="G166" s="46"/>
      <c r="H166" s="50"/>
      <c r="I166" s="102"/>
      <c r="J166" s="102"/>
      <c r="K166" s="58"/>
      <c r="L166" s="58"/>
      <c r="M166" s="58"/>
      <c r="N166" s="63"/>
      <c r="O166" s="63"/>
      <c r="P166" s="63"/>
      <c r="Q166" s="45"/>
      <c r="R166" s="45"/>
      <c r="S166" s="45"/>
      <c r="T166" s="69"/>
      <c r="U166" s="49"/>
      <c r="V166" s="45" t="s">
        <v>560</v>
      </c>
      <c r="W166" s="45">
        <v>33110100603</v>
      </c>
      <c r="X166" s="45" t="s">
        <v>561</v>
      </c>
      <c r="Y166" s="43" t="s">
        <v>43</v>
      </c>
      <c r="Z166" s="71" t="s">
        <v>43</v>
      </c>
      <c r="AA166" s="71" t="s">
        <v>40</v>
      </c>
      <c r="AB166" s="48" t="s">
        <v>43</v>
      </c>
      <c r="AC166" s="75">
        <v>4050</v>
      </c>
      <c r="AD166" s="75">
        <v>3630</v>
      </c>
      <c r="AE166" s="80">
        <v>3470</v>
      </c>
      <c r="AF166" s="80">
        <v>3160</v>
      </c>
      <c r="AG166" s="80">
        <v>2685</v>
      </c>
      <c r="AH166" s="32" t="s">
        <v>549</v>
      </c>
    </row>
    <row r="167" ht="22" customHeight="1" spans="1:33">
      <c r="A167" s="46">
        <v>43</v>
      </c>
      <c r="B167" s="46" t="s">
        <v>605</v>
      </c>
      <c r="C167" s="46" t="s">
        <v>606</v>
      </c>
      <c r="D167" s="46" t="s">
        <v>213</v>
      </c>
      <c r="E167" s="50" t="s">
        <v>607</v>
      </c>
      <c r="F167" s="50" t="s">
        <v>608</v>
      </c>
      <c r="G167" s="46" t="s">
        <v>48</v>
      </c>
      <c r="H167" s="50" t="s">
        <v>43</v>
      </c>
      <c r="I167" s="53">
        <v>2057</v>
      </c>
      <c r="J167" s="53">
        <v>1851</v>
      </c>
      <c r="K167" s="58">
        <v>2118.18380743983</v>
      </c>
      <c r="L167" s="58">
        <v>2036.98412698413</v>
      </c>
      <c r="M167" s="58">
        <v>1907.29411764706</v>
      </c>
      <c r="N167" s="63">
        <v>2000</v>
      </c>
      <c r="O167" s="63">
        <v>1850</v>
      </c>
      <c r="P167" s="63">
        <v>1580</v>
      </c>
      <c r="Q167" s="45" t="s">
        <v>54</v>
      </c>
      <c r="R167" s="45" t="s">
        <v>43</v>
      </c>
      <c r="S167" s="45" t="s">
        <v>43</v>
      </c>
      <c r="T167" s="69" t="s">
        <v>76</v>
      </c>
      <c r="U167" s="49" t="s">
        <v>459</v>
      </c>
      <c r="V167" s="45" t="s">
        <v>609</v>
      </c>
      <c r="W167" s="45">
        <v>331101014</v>
      </c>
      <c r="X167" s="45" t="s">
        <v>610</v>
      </c>
      <c r="Y167" s="43" t="s">
        <v>611</v>
      </c>
      <c r="Z167" s="71" t="s">
        <v>43</v>
      </c>
      <c r="AA167" s="71" t="s">
        <v>40</v>
      </c>
      <c r="AB167" s="48" t="s">
        <v>43</v>
      </c>
      <c r="AC167" s="75">
        <v>1620</v>
      </c>
      <c r="AD167" s="75">
        <v>1460</v>
      </c>
      <c r="AE167" s="80">
        <v>1500</v>
      </c>
      <c r="AF167" s="80">
        <v>1440</v>
      </c>
      <c r="AG167" s="80">
        <v>1224</v>
      </c>
    </row>
    <row r="168" ht="22" customHeight="1" spans="1:33">
      <c r="A168" s="46"/>
      <c r="B168" s="46"/>
      <c r="C168" s="46"/>
      <c r="D168" s="46"/>
      <c r="E168" s="50"/>
      <c r="F168" s="50"/>
      <c r="G168" s="46"/>
      <c r="H168" s="50"/>
      <c r="I168" s="102"/>
      <c r="J168" s="102"/>
      <c r="K168" s="58"/>
      <c r="L168" s="58"/>
      <c r="M168" s="58"/>
      <c r="N168" s="63"/>
      <c r="O168" s="63"/>
      <c r="P168" s="63"/>
      <c r="Q168" s="45"/>
      <c r="R168" s="45"/>
      <c r="S168" s="45"/>
      <c r="T168" s="69"/>
      <c r="U168" s="49"/>
      <c r="V168" s="45" t="s">
        <v>612</v>
      </c>
      <c r="W168" s="45">
        <v>33110101402</v>
      </c>
      <c r="X168" s="45" t="s">
        <v>613</v>
      </c>
      <c r="Y168" s="43" t="s">
        <v>43</v>
      </c>
      <c r="Z168" s="71" t="s">
        <v>43</v>
      </c>
      <c r="AA168" s="71" t="s">
        <v>40</v>
      </c>
      <c r="AB168" s="48" t="s">
        <v>43</v>
      </c>
      <c r="AC168" s="75">
        <v>2420</v>
      </c>
      <c r="AD168" s="75">
        <v>2180</v>
      </c>
      <c r="AE168" s="80">
        <v>2125</v>
      </c>
      <c r="AF168" s="80">
        <v>2040</v>
      </c>
      <c r="AG168" s="80">
        <v>1734</v>
      </c>
    </row>
    <row r="169" ht="22" customHeight="1" spans="1:33">
      <c r="A169" s="46"/>
      <c r="B169" s="46"/>
      <c r="C169" s="46"/>
      <c r="D169" s="46"/>
      <c r="E169" s="50"/>
      <c r="F169" s="50"/>
      <c r="G169" s="46"/>
      <c r="H169" s="50"/>
      <c r="I169" s="102"/>
      <c r="J169" s="102"/>
      <c r="K169" s="58"/>
      <c r="L169" s="58"/>
      <c r="M169" s="58"/>
      <c r="N169" s="63"/>
      <c r="O169" s="63"/>
      <c r="P169" s="63"/>
      <c r="Q169" s="45"/>
      <c r="R169" s="45"/>
      <c r="S169" s="45"/>
      <c r="T169" s="69"/>
      <c r="U169" s="49"/>
      <c r="V169" s="43" t="s">
        <v>614</v>
      </c>
      <c r="W169" s="71">
        <v>331101015</v>
      </c>
      <c r="X169" s="43" t="s">
        <v>615</v>
      </c>
      <c r="Y169" s="43" t="s">
        <v>43</v>
      </c>
      <c r="Z169" s="71" t="s">
        <v>43</v>
      </c>
      <c r="AA169" s="71" t="s">
        <v>48</v>
      </c>
      <c r="AB169" s="48" t="s">
        <v>43</v>
      </c>
      <c r="AC169" s="75">
        <v>2690</v>
      </c>
      <c r="AD169" s="75">
        <v>2420</v>
      </c>
      <c r="AE169" s="80">
        <v>2360</v>
      </c>
      <c r="AF169" s="80">
        <v>2120</v>
      </c>
      <c r="AG169" s="80">
        <v>1800</v>
      </c>
    </row>
    <row r="170" ht="22" customHeight="1" spans="1:33">
      <c r="A170" s="46"/>
      <c r="B170" s="46"/>
      <c r="C170" s="46"/>
      <c r="D170" s="46"/>
      <c r="E170" s="50"/>
      <c r="F170" s="50"/>
      <c r="G170" s="46"/>
      <c r="H170" s="50"/>
      <c r="I170" s="102"/>
      <c r="J170" s="102"/>
      <c r="K170" s="58"/>
      <c r="L170" s="58"/>
      <c r="M170" s="58"/>
      <c r="N170" s="63"/>
      <c r="O170" s="63"/>
      <c r="P170" s="63"/>
      <c r="Q170" s="45"/>
      <c r="R170" s="45"/>
      <c r="S170" s="45"/>
      <c r="T170" s="69"/>
      <c r="U170" s="49"/>
      <c r="V170" s="43" t="s">
        <v>616</v>
      </c>
      <c r="W170" s="71">
        <v>33110101502</v>
      </c>
      <c r="X170" s="43" t="s">
        <v>617</v>
      </c>
      <c r="Y170" s="43" t="s">
        <v>43</v>
      </c>
      <c r="Z170" s="71" t="s">
        <v>43</v>
      </c>
      <c r="AA170" s="71" t="s">
        <v>48</v>
      </c>
      <c r="AB170" s="48" t="s">
        <v>43</v>
      </c>
      <c r="AC170" s="75">
        <v>3490</v>
      </c>
      <c r="AD170" s="75">
        <v>3140</v>
      </c>
      <c r="AE170" s="80">
        <v>2985</v>
      </c>
      <c r="AF170" s="80">
        <v>2720</v>
      </c>
      <c r="AG170" s="80">
        <v>2310</v>
      </c>
    </row>
    <row r="171" ht="22" customHeight="1" spans="1:34">
      <c r="A171" s="46"/>
      <c r="B171" s="46"/>
      <c r="C171" s="46"/>
      <c r="D171" s="46"/>
      <c r="E171" s="50"/>
      <c r="F171" s="50"/>
      <c r="G171" s="46"/>
      <c r="H171" s="50"/>
      <c r="I171" s="102"/>
      <c r="J171" s="102"/>
      <c r="K171" s="58"/>
      <c r="L171" s="58"/>
      <c r="M171" s="58"/>
      <c r="N171" s="63"/>
      <c r="O171" s="63"/>
      <c r="P171" s="63"/>
      <c r="Q171" s="45"/>
      <c r="R171" s="45"/>
      <c r="S171" s="45"/>
      <c r="T171" s="69"/>
      <c r="U171" s="49"/>
      <c r="V171" s="43" t="s">
        <v>547</v>
      </c>
      <c r="W171" s="71">
        <v>331101006</v>
      </c>
      <c r="X171" s="43" t="s">
        <v>548</v>
      </c>
      <c r="Y171" s="43" t="s">
        <v>43</v>
      </c>
      <c r="Z171" s="71" t="s">
        <v>43</v>
      </c>
      <c r="AA171" s="71" t="s">
        <v>40</v>
      </c>
      <c r="AB171" s="48" t="s">
        <v>43</v>
      </c>
      <c r="AC171" s="75">
        <v>2500</v>
      </c>
      <c r="AD171" s="75">
        <v>2240</v>
      </c>
      <c r="AE171" s="80">
        <v>2190</v>
      </c>
      <c r="AF171" s="80">
        <v>1970</v>
      </c>
      <c r="AG171" s="80">
        <v>1670</v>
      </c>
      <c r="AH171" s="32" t="s">
        <v>549</v>
      </c>
    </row>
    <row r="172" ht="22" customHeight="1" spans="1:34">
      <c r="A172" s="46"/>
      <c r="B172" s="46"/>
      <c r="C172" s="46"/>
      <c r="D172" s="46"/>
      <c r="E172" s="50"/>
      <c r="F172" s="50"/>
      <c r="G172" s="46"/>
      <c r="H172" s="50"/>
      <c r="I172" s="102"/>
      <c r="J172" s="102"/>
      <c r="K172" s="58"/>
      <c r="L172" s="58"/>
      <c r="M172" s="58"/>
      <c r="N172" s="63"/>
      <c r="O172" s="63"/>
      <c r="P172" s="63"/>
      <c r="Q172" s="45"/>
      <c r="R172" s="45"/>
      <c r="S172" s="45"/>
      <c r="T172" s="69"/>
      <c r="U172" s="49"/>
      <c r="V172" s="43" t="s">
        <v>550</v>
      </c>
      <c r="W172" s="71">
        <v>33110100602</v>
      </c>
      <c r="X172" s="43" t="s">
        <v>551</v>
      </c>
      <c r="Y172" s="43" t="s">
        <v>43</v>
      </c>
      <c r="Z172" s="71" t="s">
        <v>43</v>
      </c>
      <c r="AA172" s="71" t="s">
        <v>40</v>
      </c>
      <c r="AB172" s="48" t="s">
        <v>43</v>
      </c>
      <c r="AC172" s="75">
        <v>3300</v>
      </c>
      <c r="AD172" s="75">
        <v>2960</v>
      </c>
      <c r="AE172" s="80">
        <v>2815</v>
      </c>
      <c r="AF172" s="80">
        <v>2570</v>
      </c>
      <c r="AG172" s="80">
        <v>2180</v>
      </c>
      <c r="AH172" s="32" t="s">
        <v>549</v>
      </c>
    </row>
    <row r="173" ht="24" customHeight="1" spans="1:33">
      <c r="A173" s="43" t="s">
        <v>81</v>
      </c>
      <c r="B173" s="43" t="s">
        <v>618</v>
      </c>
      <c r="C173" s="43" t="s">
        <v>619</v>
      </c>
      <c r="D173" s="43" t="s">
        <v>213</v>
      </c>
      <c r="E173" s="48" t="s">
        <v>43</v>
      </c>
      <c r="F173" s="48" t="s">
        <v>43</v>
      </c>
      <c r="G173" s="43" t="s">
        <v>48</v>
      </c>
      <c r="H173" s="48" t="s">
        <v>43</v>
      </c>
      <c r="I173" s="53">
        <v>617</v>
      </c>
      <c r="J173" s="53">
        <v>555</v>
      </c>
      <c r="K173" s="54"/>
      <c r="L173" s="54"/>
      <c r="M173" s="54"/>
      <c r="N173" s="63">
        <v>600</v>
      </c>
      <c r="O173" s="63">
        <v>555</v>
      </c>
      <c r="P173" s="63">
        <v>475</v>
      </c>
      <c r="Q173" s="45" t="s">
        <v>54</v>
      </c>
      <c r="R173" s="45" t="s">
        <v>43</v>
      </c>
      <c r="S173" s="45" t="s">
        <v>43</v>
      </c>
      <c r="T173" s="69"/>
      <c r="U173" s="49" t="s">
        <v>446</v>
      </c>
      <c r="V173" s="45" t="s">
        <v>620</v>
      </c>
      <c r="W173" s="45">
        <v>33110101401</v>
      </c>
      <c r="X173" s="45" t="s">
        <v>621</v>
      </c>
      <c r="Y173" s="43" t="s">
        <v>43</v>
      </c>
      <c r="Z173" s="71" t="s">
        <v>43</v>
      </c>
      <c r="AA173" s="71" t="s">
        <v>40</v>
      </c>
      <c r="AB173" s="48" t="s">
        <v>43</v>
      </c>
      <c r="AC173" s="75">
        <v>2105</v>
      </c>
      <c r="AD173" s="75">
        <v>1900</v>
      </c>
      <c r="AE173" s="80">
        <v>1950</v>
      </c>
      <c r="AF173" s="80">
        <v>1870</v>
      </c>
      <c r="AG173" s="80">
        <v>1590</v>
      </c>
    </row>
    <row r="174" ht="24" customHeight="1" spans="1:33">
      <c r="A174" s="43"/>
      <c r="B174" s="43"/>
      <c r="C174" s="43"/>
      <c r="D174" s="43"/>
      <c r="E174" s="48"/>
      <c r="F174" s="48"/>
      <c r="G174" s="43"/>
      <c r="H174" s="48"/>
      <c r="I174" s="76"/>
      <c r="J174" s="76"/>
      <c r="K174" s="54"/>
      <c r="L174" s="54"/>
      <c r="M174" s="54"/>
      <c r="N174" s="63"/>
      <c r="O174" s="63"/>
      <c r="P174" s="63"/>
      <c r="Q174" s="45"/>
      <c r="R174" s="45"/>
      <c r="S174" s="45"/>
      <c r="T174" s="69"/>
      <c r="U174" s="49"/>
      <c r="V174" s="45" t="s">
        <v>622</v>
      </c>
      <c r="W174" s="45">
        <v>33110101403</v>
      </c>
      <c r="X174" s="45" t="s">
        <v>623</v>
      </c>
      <c r="Y174" s="43" t="s">
        <v>43</v>
      </c>
      <c r="Z174" s="71" t="s">
        <v>43</v>
      </c>
      <c r="AA174" s="71" t="s">
        <v>40</v>
      </c>
      <c r="AB174" s="48" t="s">
        <v>43</v>
      </c>
      <c r="AC174" s="75">
        <v>2905</v>
      </c>
      <c r="AD174" s="75">
        <v>2620</v>
      </c>
      <c r="AE174" s="80">
        <v>2575</v>
      </c>
      <c r="AF174" s="80">
        <v>2470</v>
      </c>
      <c r="AG174" s="80">
        <v>2100</v>
      </c>
    </row>
    <row r="175" ht="24" customHeight="1" spans="1:33">
      <c r="A175" s="43"/>
      <c r="B175" s="43"/>
      <c r="C175" s="43"/>
      <c r="D175" s="43"/>
      <c r="E175" s="48"/>
      <c r="F175" s="48"/>
      <c r="G175" s="43"/>
      <c r="H175" s="48"/>
      <c r="I175" s="76"/>
      <c r="J175" s="76"/>
      <c r="K175" s="54"/>
      <c r="L175" s="54"/>
      <c r="M175" s="54"/>
      <c r="N175" s="63"/>
      <c r="O175" s="63"/>
      <c r="P175" s="63"/>
      <c r="Q175" s="45"/>
      <c r="R175" s="45"/>
      <c r="S175" s="45"/>
      <c r="T175" s="69"/>
      <c r="U175" s="49"/>
      <c r="V175" s="45" t="s">
        <v>624</v>
      </c>
      <c r="W175" s="45">
        <v>33110101501</v>
      </c>
      <c r="X175" s="45" t="s">
        <v>625</v>
      </c>
      <c r="Y175" s="43" t="s">
        <v>43</v>
      </c>
      <c r="Z175" s="71" t="s">
        <v>43</v>
      </c>
      <c r="AA175" s="71" t="s">
        <v>48</v>
      </c>
      <c r="AB175" s="48" t="s">
        <v>43</v>
      </c>
      <c r="AC175" s="75">
        <v>3495</v>
      </c>
      <c r="AD175" s="75">
        <v>3145</v>
      </c>
      <c r="AE175" s="80">
        <v>3070</v>
      </c>
      <c r="AF175" s="80">
        <v>2755</v>
      </c>
      <c r="AG175" s="80">
        <v>2340</v>
      </c>
    </row>
    <row r="176" ht="24" customHeight="1" spans="1:33">
      <c r="A176" s="43"/>
      <c r="B176" s="43"/>
      <c r="C176" s="43"/>
      <c r="D176" s="43"/>
      <c r="E176" s="48"/>
      <c r="F176" s="48"/>
      <c r="G176" s="43"/>
      <c r="H176" s="48"/>
      <c r="I176" s="76"/>
      <c r="J176" s="76"/>
      <c r="K176" s="54"/>
      <c r="L176" s="54"/>
      <c r="M176" s="54"/>
      <c r="N176" s="63"/>
      <c r="O176" s="63"/>
      <c r="P176" s="63"/>
      <c r="Q176" s="45"/>
      <c r="R176" s="45"/>
      <c r="S176" s="45"/>
      <c r="T176" s="69"/>
      <c r="U176" s="49"/>
      <c r="V176" s="45" t="s">
        <v>626</v>
      </c>
      <c r="W176" s="45">
        <v>33110101503</v>
      </c>
      <c r="X176" s="45" t="s">
        <v>627</v>
      </c>
      <c r="Y176" s="43" t="s">
        <v>43</v>
      </c>
      <c r="Z176" s="71" t="s">
        <v>43</v>
      </c>
      <c r="AA176" s="71" t="s">
        <v>48</v>
      </c>
      <c r="AB176" s="48" t="s">
        <v>43</v>
      </c>
      <c r="AC176" s="75">
        <v>4295</v>
      </c>
      <c r="AD176" s="75">
        <v>3865</v>
      </c>
      <c r="AE176" s="80">
        <v>3695</v>
      </c>
      <c r="AF176" s="80">
        <v>3355</v>
      </c>
      <c r="AG176" s="80">
        <v>2850</v>
      </c>
    </row>
    <row r="177" ht="24" customHeight="1" spans="1:34">
      <c r="A177" s="43"/>
      <c r="B177" s="43"/>
      <c r="C177" s="43"/>
      <c r="D177" s="43"/>
      <c r="E177" s="48"/>
      <c r="F177" s="48"/>
      <c r="G177" s="43"/>
      <c r="H177" s="48"/>
      <c r="I177" s="76"/>
      <c r="J177" s="76"/>
      <c r="K177" s="54"/>
      <c r="L177" s="54"/>
      <c r="M177" s="54"/>
      <c r="N177" s="63"/>
      <c r="O177" s="63"/>
      <c r="P177" s="63"/>
      <c r="Q177" s="45"/>
      <c r="R177" s="45"/>
      <c r="S177" s="45"/>
      <c r="T177" s="69"/>
      <c r="U177" s="49"/>
      <c r="V177" s="45" t="s">
        <v>558</v>
      </c>
      <c r="W177" s="45">
        <v>33110100601</v>
      </c>
      <c r="X177" s="45" t="s">
        <v>559</v>
      </c>
      <c r="Y177" s="43" t="s">
        <v>43</v>
      </c>
      <c r="Z177" s="71" t="s">
        <v>43</v>
      </c>
      <c r="AA177" s="71" t="s">
        <v>40</v>
      </c>
      <c r="AB177" s="48" t="s">
        <v>43</v>
      </c>
      <c r="AC177" s="75">
        <v>3250</v>
      </c>
      <c r="AD177" s="75">
        <v>2910</v>
      </c>
      <c r="AE177" s="80">
        <v>2845</v>
      </c>
      <c r="AF177" s="80">
        <v>2560</v>
      </c>
      <c r="AG177" s="80">
        <v>2175</v>
      </c>
      <c r="AH177" s="32" t="s">
        <v>549</v>
      </c>
    </row>
    <row r="178" ht="24" customHeight="1" spans="1:34">
      <c r="A178" s="43"/>
      <c r="B178" s="43"/>
      <c r="C178" s="43"/>
      <c r="D178" s="43"/>
      <c r="E178" s="48"/>
      <c r="F178" s="48"/>
      <c r="G178" s="43"/>
      <c r="H178" s="48"/>
      <c r="I178" s="76"/>
      <c r="J178" s="76"/>
      <c r="K178" s="54"/>
      <c r="L178" s="54"/>
      <c r="M178" s="54"/>
      <c r="N178" s="63"/>
      <c r="O178" s="63"/>
      <c r="P178" s="63"/>
      <c r="Q178" s="45"/>
      <c r="R178" s="45"/>
      <c r="S178" s="45"/>
      <c r="T178" s="69"/>
      <c r="U178" s="49"/>
      <c r="V178" s="45" t="s">
        <v>560</v>
      </c>
      <c r="W178" s="45">
        <v>33110100603</v>
      </c>
      <c r="X178" s="45" t="s">
        <v>561</v>
      </c>
      <c r="Y178" s="43" t="s">
        <v>43</v>
      </c>
      <c r="Z178" s="71" t="s">
        <v>43</v>
      </c>
      <c r="AA178" s="71" t="s">
        <v>40</v>
      </c>
      <c r="AB178" s="48" t="s">
        <v>43</v>
      </c>
      <c r="AC178" s="75">
        <v>4050</v>
      </c>
      <c r="AD178" s="75">
        <v>3630</v>
      </c>
      <c r="AE178" s="80">
        <v>3470</v>
      </c>
      <c r="AF178" s="80">
        <v>3160</v>
      </c>
      <c r="AG178" s="80">
        <v>2685</v>
      </c>
      <c r="AH178" s="32" t="s">
        <v>549</v>
      </c>
    </row>
    <row r="179" ht="24" customHeight="1" spans="1:33">
      <c r="A179" s="46">
        <v>44</v>
      </c>
      <c r="B179" s="46" t="s">
        <v>628</v>
      </c>
      <c r="C179" s="46" t="s">
        <v>629</v>
      </c>
      <c r="D179" s="46" t="s">
        <v>213</v>
      </c>
      <c r="E179" s="50" t="s">
        <v>630</v>
      </c>
      <c r="F179" s="50" t="s">
        <v>631</v>
      </c>
      <c r="G179" s="46" t="s">
        <v>48</v>
      </c>
      <c r="H179" s="50" t="s">
        <v>43</v>
      </c>
      <c r="I179" s="53">
        <v>3465</v>
      </c>
      <c r="J179" s="53">
        <v>3119</v>
      </c>
      <c r="K179" s="58">
        <v>2845.72569906791</v>
      </c>
      <c r="L179" s="58">
        <v>2487.77142857143</v>
      </c>
      <c r="M179" s="58">
        <v>1864.92307692308</v>
      </c>
      <c r="N179" s="63">
        <v>3200</v>
      </c>
      <c r="O179" s="63">
        <v>2900</v>
      </c>
      <c r="P179" s="63">
        <v>2500</v>
      </c>
      <c r="Q179" s="45" t="s">
        <v>54</v>
      </c>
      <c r="R179" s="45" t="s">
        <v>43</v>
      </c>
      <c r="S179" s="45" t="s">
        <v>43</v>
      </c>
      <c r="T179" s="69" t="s">
        <v>416</v>
      </c>
      <c r="U179" s="49" t="s">
        <v>632</v>
      </c>
      <c r="V179" s="43" t="s">
        <v>633</v>
      </c>
      <c r="W179" s="71">
        <v>331101009</v>
      </c>
      <c r="X179" s="43" t="s">
        <v>634</v>
      </c>
      <c r="Y179" s="43" t="s">
        <v>43</v>
      </c>
      <c r="Z179" s="71" t="s">
        <v>43</v>
      </c>
      <c r="AA179" s="71" t="s">
        <v>40</v>
      </c>
      <c r="AB179" s="48" t="s">
        <v>43</v>
      </c>
      <c r="AC179" s="75">
        <v>3460</v>
      </c>
      <c r="AD179" s="75">
        <v>3110</v>
      </c>
      <c r="AE179" s="80">
        <v>3290</v>
      </c>
      <c r="AF179" s="80">
        <v>2960</v>
      </c>
      <c r="AG179" s="80">
        <v>2365</v>
      </c>
    </row>
    <row r="180" ht="24" customHeight="1" spans="1:33">
      <c r="A180" s="46"/>
      <c r="B180" s="46"/>
      <c r="C180" s="46"/>
      <c r="D180" s="46"/>
      <c r="E180" s="50"/>
      <c r="F180" s="50"/>
      <c r="G180" s="46"/>
      <c r="H180" s="50"/>
      <c r="I180" s="102"/>
      <c r="J180" s="102"/>
      <c r="K180" s="58"/>
      <c r="L180" s="58"/>
      <c r="M180" s="58"/>
      <c r="N180" s="63"/>
      <c r="O180" s="63"/>
      <c r="P180" s="63"/>
      <c r="Q180" s="45"/>
      <c r="R180" s="45"/>
      <c r="S180" s="45"/>
      <c r="T180" s="69"/>
      <c r="U180" s="49"/>
      <c r="V180" s="43" t="s">
        <v>635</v>
      </c>
      <c r="W180" s="71">
        <v>33110100902</v>
      </c>
      <c r="X180" s="43" t="s">
        <v>636</v>
      </c>
      <c r="Y180" s="43" t="s">
        <v>43</v>
      </c>
      <c r="Z180" s="71" t="s">
        <v>43</v>
      </c>
      <c r="AA180" s="71" t="s">
        <v>40</v>
      </c>
      <c r="AB180" s="48" t="s">
        <v>43</v>
      </c>
      <c r="AC180" s="75">
        <v>4260</v>
      </c>
      <c r="AD180" s="75">
        <v>3830</v>
      </c>
      <c r="AE180" s="80">
        <v>3915</v>
      </c>
      <c r="AF180" s="80">
        <v>3560</v>
      </c>
      <c r="AG180" s="80">
        <v>2875</v>
      </c>
    </row>
    <row r="181" ht="24" customHeight="1" spans="1:33">
      <c r="A181" s="46"/>
      <c r="B181" s="46"/>
      <c r="C181" s="46"/>
      <c r="D181" s="46"/>
      <c r="E181" s="50"/>
      <c r="F181" s="50"/>
      <c r="G181" s="46"/>
      <c r="H181" s="50"/>
      <c r="I181" s="102"/>
      <c r="J181" s="102"/>
      <c r="K181" s="58"/>
      <c r="L181" s="58"/>
      <c r="M181" s="58"/>
      <c r="N181" s="63"/>
      <c r="O181" s="63"/>
      <c r="P181" s="63"/>
      <c r="Q181" s="45"/>
      <c r="R181" s="45"/>
      <c r="S181" s="45"/>
      <c r="T181" s="69"/>
      <c r="U181" s="49"/>
      <c r="V181" s="43" t="s">
        <v>609</v>
      </c>
      <c r="W181" s="71">
        <v>331101014</v>
      </c>
      <c r="X181" s="43" t="s">
        <v>610</v>
      </c>
      <c r="Y181" s="43" t="s">
        <v>611</v>
      </c>
      <c r="Z181" s="71" t="s">
        <v>43</v>
      </c>
      <c r="AA181" s="71" t="s">
        <v>40</v>
      </c>
      <c r="AB181" s="48" t="s">
        <v>43</v>
      </c>
      <c r="AC181" s="75">
        <v>1620</v>
      </c>
      <c r="AD181" s="75">
        <v>1460</v>
      </c>
      <c r="AE181" s="80">
        <v>1500</v>
      </c>
      <c r="AF181" s="80">
        <v>1440</v>
      </c>
      <c r="AG181" s="80">
        <v>1224</v>
      </c>
    </row>
    <row r="182" ht="24" customHeight="1" spans="1:33">
      <c r="A182" s="46"/>
      <c r="B182" s="46"/>
      <c r="C182" s="46"/>
      <c r="D182" s="46"/>
      <c r="E182" s="50"/>
      <c r="F182" s="50"/>
      <c r="G182" s="46"/>
      <c r="H182" s="50"/>
      <c r="I182" s="102"/>
      <c r="J182" s="102"/>
      <c r="K182" s="58"/>
      <c r="L182" s="58"/>
      <c r="M182" s="58"/>
      <c r="N182" s="63"/>
      <c r="O182" s="63"/>
      <c r="P182" s="63"/>
      <c r="Q182" s="45"/>
      <c r="R182" s="45"/>
      <c r="S182" s="45"/>
      <c r="T182" s="69"/>
      <c r="U182" s="49"/>
      <c r="V182" s="43" t="s">
        <v>612</v>
      </c>
      <c r="W182" s="71">
        <v>33110101402</v>
      </c>
      <c r="X182" s="43" t="s">
        <v>613</v>
      </c>
      <c r="Y182" s="43" t="s">
        <v>43</v>
      </c>
      <c r="Z182" s="71" t="s">
        <v>43</v>
      </c>
      <c r="AA182" s="71" t="s">
        <v>40</v>
      </c>
      <c r="AB182" s="48" t="s">
        <v>43</v>
      </c>
      <c r="AC182" s="75">
        <v>2420</v>
      </c>
      <c r="AD182" s="75">
        <v>2180</v>
      </c>
      <c r="AE182" s="80">
        <v>2125</v>
      </c>
      <c r="AF182" s="80">
        <v>2040</v>
      </c>
      <c r="AG182" s="80">
        <v>1734</v>
      </c>
    </row>
    <row r="183" ht="24" customHeight="1" spans="1:33">
      <c r="A183" s="46"/>
      <c r="B183" s="46"/>
      <c r="C183" s="46"/>
      <c r="D183" s="46"/>
      <c r="E183" s="50"/>
      <c r="F183" s="50"/>
      <c r="G183" s="46"/>
      <c r="H183" s="50"/>
      <c r="I183" s="102"/>
      <c r="J183" s="102"/>
      <c r="K183" s="58"/>
      <c r="L183" s="58"/>
      <c r="M183" s="58"/>
      <c r="N183" s="63"/>
      <c r="O183" s="63"/>
      <c r="P183" s="63"/>
      <c r="Q183" s="45"/>
      <c r="R183" s="45"/>
      <c r="S183" s="45"/>
      <c r="T183" s="69"/>
      <c r="U183" s="49"/>
      <c r="V183" s="43" t="s">
        <v>637</v>
      </c>
      <c r="W183" s="71">
        <v>331101007</v>
      </c>
      <c r="X183" s="43" t="s">
        <v>638</v>
      </c>
      <c r="Y183" s="43" t="s">
        <v>43</v>
      </c>
      <c r="Z183" s="71" t="s">
        <v>43</v>
      </c>
      <c r="AA183" s="71" t="s">
        <v>40</v>
      </c>
      <c r="AB183" s="48" t="s">
        <v>43</v>
      </c>
      <c r="AC183" s="75">
        <v>3460</v>
      </c>
      <c r="AD183" s="75">
        <v>3110</v>
      </c>
      <c r="AE183" s="80">
        <v>3040</v>
      </c>
      <c r="AF183" s="80">
        <v>2740</v>
      </c>
      <c r="AG183" s="80">
        <v>2330</v>
      </c>
    </row>
    <row r="184" ht="24" customHeight="1" spans="1:33">
      <c r="A184" s="46"/>
      <c r="B184" s="46"/>
      <c r="C184" s="46"/>
      <c r="D184" s="46"/>
      <c r="E184" s="50"/>
      <c r="F184" s="50"/>
      <c r="G184" s="46"/>
      <c r="H184" s="50"/>
      <c r="I184" s="102"/>
      <c r="J184" s="102"/>
      <c r="K184" s="58"/>
      <c r="L184" s="58"/>
      <c r="M184" s="58"/>
      <c r="N184" s="63"/>
      <c r="O184" s="63"/>
      <c r="P184" s="63"/>
      <c r="Q184" s="45"/>
      <c r="R184" s="45"/>
      <c r="S184" s="45"/>
      <c r="T184" s="69"/>
      <c r="U184" s="49"/>
      <c r="V184" s="43" t="s">
        <v>639</v>
      </c>
      <c r="W184" s="71">
        <v>33110100702</v>
      </c>
      <c r="X184" s="43" t="s">
        <v>640</v>
      </c>
      <c r="Y184" s="43" t="s">
        <v>43</v>
      </c>
      <c r="Z184" s="71" t="s">
        <v>43</v>
      </c>
      <c r="AA184" s="71" t="s">
        <v>40</v>
      </c>
      <c r="AB184" s="48" t="s">
        <v>43</v>
      </c>
      <c r="AC184" s="75">
        <v>4260</v>
      </c>
      <c r="AD184" s="75">
        <v>3830</v>
      </c>
      <c r="AE184" s="80">
        <v>3665</v>
      </c>
      <c r="AF184" s="80">
        <v>3340</v>
      </c>
      <c r="AG184" s="80">
        <v>2840</v>
      </c>
    </row>
    <row r="185" ht="24" customHeight="1" spans="1:33">
      <c r="A185" s="46"/>
      <c r="B185" s="46"/>
      <c r="C185" s="46"/>
      <c r="D185" s="46"/>
      <c r="E185" s="50"/>
      <c r="F185" s="50"/>
      <c r="G185" s="46"/>
      <c r="H185" s="50"/>
      <c r="I185" s="102"/>
      <c r="J185" s="102"/>
      <c r="K185" s="58"/>
      <c r="L185" s="58"/>
      <c r="M185" s="58"/>
      <c r="N185" s="63"/>
      <c r="O185" s="63"/>
      <c r="P185" s="63"/>
      <c r="Q185" s="45"/>
      <c r="R185" s="45"/>
      <c r="S185" s="45"/>
      <c r="T185" s="69"/>
      <c r="U185" s="49"/>
      <c r="V185" s="85" t="s">
        <v>641</v>
      </c>
      <c r="W185" s="89">
        <v>331101025</v>
      </c>
      <c r="X185" s="85" t="s">
        <v>642</v>
      </c>
      <c r="Y185" s="85" t="s">
        <v>43</v>
      </c>
      <c r="Z185" s="89" t="s">
        <v>43</v>
      </c>
      <c r="AA185" s="89" t="s">
        <v>40</v>
      </c>
      <c r="AB185" s="91" t="s">
        <v>643</v>
      </c>
      <c r="AC185" s="75">
        <v>8100</v>
      </c>
      <c r="AD185" s="75">
        <v>6800</v>
      </c>
      <c r="AE185" s="80">
        <v>6240</v>
      </c>
      <c r="AF185" s="80">
        <v>5620</v>
      </c>
      <c r="AG185" s="80">
        <v>4780</v>
      </c>
    </row>
    <row r="186" ht="24" customHeight="1" spans="1:33">
      <c r="A186" s="46"/>
      <c r="B186" s="46"/>
      <c r="C186" s="46"/>
      <c r="D186" s="46"/>
      <c r="E186" s="50"/>
      <c r="F186" s="50"/>
      <c r="G186" s="46"/>
      <c r="H186" s="50"/>
      <c r="I186" s="102"/>
      <c r="J186" s="102"/>
      <c r="K186" s="58"/>
      <c r="L186" s="58"/>
      <c r="M186" s="58"/>
      <c r="N186" s="63"/>
      <c r="O186" s="63"/>
      <c r="P186" s="63"/>
      <c r="Q186" s="45"/>
      <c r="R186" s="45"/>
      <c r="S186" s="45"/>
      <c r="T186" s="69"/>
      <c r="U186" s="49"/>
      <c r="V186" s="85" t="s">
        <v>644</v>
      </c>
      <c r="W186" s="89">
        <v>33110102501</v>
      </c>
      <c r="X186" s="85" t="s">
        <v>645</v>
      </c>
      <c r="Y186" s="85" t="s">
        <v>43</v>
      </c>
      <c r="Z186" s="89" t="s">
        <v>43</v>
      </c>
      <c r="AA186" s="89" t="s">
        <v>40</v>
      </c>
      <c r="AB186" s="91" t="s">
        <v>646</v>
      </c>
      <c r="AC186" s="75">
        <v>9450</v>
      </c>
      <c r="AD186" s="75">
        <v>7934</v>
      </c>
      <c r="AE186" s="80">
        <v>7450</v>
      </c>
      <c r="AF186" s="80">
        <v>6710</v>
      </c>
      <c r="AG186" s="80">
        <v>5705</v>
      </c>
    </row>
    <row r="187" ht="24" customHeight="1" spans="1:33">
      <c r="A187" s="46"/>
      <c r="B187" s="46"/>
      <c r="C187" s="46"/>
      <c r="D187" s="46"/>
      <c r="E187" s="50"/>
      <c r="F187" s="50"/>
      <c r="G187" s="46"/>
      <c r="H187" s="50"/>
      <c r="I187" s="102"/>
      <c r="J187" s="102"/>
      <c r="K187" s="58"/>
      <c r="L187" s="58"/>
      <c r="M187" s="58"/>
      <c r="N187" s="63"/>
      <c r="O187" s="63"/>
      <c r="P187" s="63"/>
      <c r="Q187" s="45"/>
      <c r="R187" s="45"/>
      <c r="S187" s="45"/>
      <c r="T187" s="69"/>
      <c r="U187" s="49"/>
      <c r="V187" s="86" t="s">
        <v>647</v>
      </c>
      <c r="W187" s="86">
        <v>33110102504</v>
      </c>
      <c r="X187" s="86" t="s">
        <v>648</v>
      </c>
      <c r="Y187" s="85" t="s">
        <v>43</v>
      </c>
      <c r="Z187" s="89" t="s">
        <v>43</v>
      </c>
      <c r="AA187" s="89" t="s">
        <v>40</v>
      </c>
      <c r="AB187" s="91" t="s">
        <v>43</v>
      </c>
      <c r="AC187" s="75">
        <v>8900</v>
      </c>
      <c r="AD187" s="75">
        <v>7520</v>
      </c>
      <c r="AE187" s="80">
        <v>6865</v>
      </c>
      <c r="AF187" s="80">
        <v>6220</v>
      </c>
      <c r="AG187" s="80">
        <v>5290</v>
      </c>
    </row>
    <row r="188" ht="24" customHeight="1" spans="1:33">
      <c r="A188" s="46"/>
      <c r="B188" s="46"/>
      <c r="C188" s="46"/>
      <c r="D188" s="46"/>
      <c r="E188" s="50"/>
      <c r="F188" s="50"/>
      <c r="G188" s="46"/>
      <c r="H188" s="50"/>
      <c r="I188" s="102"/>
      <c r="J188" s="102"/>
      <c r="K188" s="58"/>
      <c r="L188" s="58"/>
      <c r="M188" s="58"/>
      <c r="N188" s="63"/>
      <c r="O188" s="63"/>
      <c r="P188" s="63"/>
      <c r="Q188" s="45"/>
      <c r="R188" s="45"/>
      <c r="S188" s="45"/>
      <c r="T188" s="69"/>
      <c r="U188" s="49"/>
      <c r="V188" s="86" t="s">
        <v>649</v>
      </c>
      <c r="W188" s="86">
        <v>33110102505</v>
      </c>
      <c r="X188" s="86" t="s">
        <v>650</v>
      </c>
      <c r="Y188" s="85" t="s">
        <v>43</v>
      </c>
      <c r="Z188" s="89" t="s">
        <v>43</v>
      </c>
      <c r="AA188" s="89" t="s">
        <v>40</v>
      </c>
      <c r="AB188" s="91" t="s">
        <v>646</v>
      </c>
      <c r="AC188" s="75">
        <v>10250</v>
      </c>
      <c r="AD188" s="75">
        <v>8654</v>
      </c>
      <c r="AE188" s="80">
        <v>8075</v>
      </c>
      <c r="AF188" s="80">
        <v>7310</v>
      </c>
      <c r="AG188" s="80">
        <v>6215</v>
      </c>
    </row>
    <row r="189" ht="24" customHeight="1" spans="1:34">
      <c r="A189" s="46"/>
      <c r="B189" s="46"/>
      <c r="C189" s="46"/>
      <c r="D189" s="46"/>
      <c r="E189" s="50"/>
      <c r="F189" s="50"/>
      <c r="G189" s="46"/>
      <c r="H189" s="50"/>
      <c r="I189" s="102"/>
      <c r="J189" s="102"/>
      <c r="K189" s="58"/>
      <c r="L189" s="58"/>
      <c r="M189" s="58"/>
      <c r="N189" s="63"/>
      <c r="O189" s="63"/>
      <c r="P189" s="63"/>
      <c r="Q189" s="45"/>
      <c r="R189" s="45"/>
      <c r="S189" s="45"/>
      <c r="T189" s="69"/>
      <c r="U189" s="49"/>
      <c r="V189" s="43" t="s">
        <v>547</v>
      </c>
      <c r="W189" s="71">
        <v>331101006</v>
      </c>
      <c r="X189" s="43" t="s">
        <v>548</v>
      </c>
      <c r="Y189" s="43" t="s">
        <v>43</v>
      </c>
      <c r="Z189" s="71" t="s">
        <v>43</v>
      </c>
      <c r="AA189" s="71" t="s">
        <v>40</v>
      </c>
      <c r="AB189" s="48" t="s">
        <v>43</v>
      </c>
      <c r="AC189" s="75">
        <v>2500</v>
      </c>
      <c r="AD189" s="75">
        <v>2240</v>
      </c>
      <c r="AE189" s="80">
        <v>2190</v>
      </c>
      <c r="AF189" s="80">
        <v>1970</v>
      </c>
      <c r="AG189" s="80">
        <v>1670</v>
      </c>
      <c r="AH189" s="32" t="s">
        <v>549</v>
      </c>
    </row>
    <row r="190" ht="24" customHeight="1" spans="1:34">
      <c r="A190" s="46"/>
      <c r="B190" s="46"/>
      <c r="C190" s="46"/>
      <c r="D190" s="46"/>
      <c r="E190" s="50"/>
      <c r="F190" s="50"/>
      <c r="G190" s="46"/>
      <c r="H190" s="50"/>
      <c r="I190" s="102"/>
      <c r="J190" s="102"/>
      <c r="K190" s="58"/>
      <c r="L190" s="58"/>
      <c r="M190" s="58"/>
      <c r="N190" s="63"/>
      <c r="O190" s="63"/>
      <c r="P190" s="63"/>
      <c r="Q190" s="45"/>
      <c r="R190" s="45"/>
      <c r="S190" s="45"/>
      <c r="T190" s="69"/>
      <c r="U190" s="49"/>
      <c r="V190" s="45" t="s">
        <v>550</v>
      </c>
      <c r="W190" s="71">
        <v>33110100602</v>
      </c>
      <c r="X190" s="43" t="s">
        <v>551</v>
      </c>
      <c r="Y190" s="43" t="s">
        <v>43</v>
      </c>
      <c r="Z190" s="71" t="s">
        <v>43</v>
      </c>
      <c r="AA190" s="71" t="s">
        <v>40</v>
      </c>
      <c r="AB190" s="48" t="s">
        <v>43</v>
      </c>
      <c r="AC190" s="75">
        <v>3300</v>
      </c>
      <c r="AD190" s="75">
        <v>2960</v>
      </c>
      <c r="AE190" s="80">
        <v>2815</v>
      </c>
      <c r="AF190" s="80">
        <v>2570</v>
      </c>
      <c r="AG190" s="80">
        <v>2180</v>
      </c>
      <c r="AH190" s="32" t="s">
        <v>549</v>
      </c>
    </row>
    <row r="191" ht="47" customHeight="1" spans="1:33">
      <c r="A191" s="43" t="s">
        <v>81</v>
      </c>
      <c r="B191" s="43" t="s">
        <v>651</v>
      </c>
      <c r="C191" s="43" t="s">
        <v>652</v>
      </c>
      <c r="D191" s="43" t="s">
        <v>213</v>
      </c>
      <c r="E191" s="48" t="s">
        <v>43</v>
      </c>
      <c r="F191" s="48" t="s">
        <v>43</v>
      </c>
      <c r="G191" s="43" t="s">
        <v>48</v>
      </c>
      <c r="H191" s="48" t="s">
        <v>653</v>
      </c>
      <c r="I191" s="53">
        <v>1690</v>
      </c>
      <c r="J191" s="53">
        <v>1521</v>
      </c>
      <c r="K191" s="54"/>
      <c r="L191" s="54"/>
      <c r="M191" s="54"/>
      <c r="N191" s="63">
        <v>1560</v>
      </c>
      <c r="O191" s="63">
        <v>1400</v>
      </c>
      <c r="P191" s="63">
        <v>1200</v>
      </c>
      <c r="Q191" s="45" t="s">
        <v>54</v>
      </c>
      <c r="R191" s="45" t="s">
        <v>43</v>
      </c>
      <c r="S191" s="45" t="s">
        <v>43</v>
      </c>
      <c r="T191" s="69"/>
      <c r="U191" s="49"/>
      <c r="V191" s="43"/>
      <c r="W191" s="71"/>
      <c r="X191" s="81"/>
      <c r="Y191" s="43"/>
      <c r="Z191" s="71"/>
      <c r="AA191" s="71"/>
      <c r="AB191" s="48"/>
      <c r="AC191" s="74"/>
      <c r="AD191" s="74"/>
      <c r="AE191" s="78"/>
      <c r="AF191" s="78"/>
      <c r="AG191" s="78"/>
    </row>
    <row r="192" ht="21" customHeight="1" spans="1:33">
      <c r="A192" s="43" t="s">
        <v>81</v>
      </c>
      <c r="B192" s="43" t="s">
        <v>654</v>
      </c>
      <c r="C192" s="43" t="s">
        <v>655</v>
      </c>
      <c r="D192" s="43" t="s">
        <v>213</v>
      </c>
      <c r="E192" s="48" t="s">
        <v>43</v>
      </c>
      <c r="F192" s="48" t="s">
        <v>43</v>
      </c>
      <c r="G192" s="43" t="s">
        <v>48</v>
      </c>
      <c r="H192" s="48" t="s">
        <v>43</v>
      </c>
      <c r="I192" s="53">
        <v>1040</v>
      </c>
      <c r="J192" s="53">
        <v>936</v>
      </c>
      <c r="K192" s="54"/>
      <c r="L192" s="54"/>
      <c r="M192" s="54"/>
      <c r="N192" s="63">
        <v>960</v>
      </c>
      <c r="O192" s="63">
        <v>870</v>
      </c>
      <c r="P192" s="63">
        <v>750</v>
      </c>
      <c r="Q192" s="45" t="s">
        <v>54</v>
      </c>
      <c r="R192" s="45" t="s">
        <v>43</v>
      </c>
      <c r="S192" s="45" t="s">
        <v>43</v>
      </c>
      <c r="T192" s="69"/>
      <c r="U192" s="49" t="s">
        <v>446</v>
      </c>
      <c r="V192" s="45" t="s">
        <v>656</v>
      </c>
      <c r="W192" s="45">
        <v>33110100901</v>
      </c>
      <c r="X192" s="45" t="s">
        <v>657</v>
      </c>
      <c r="Y192" s="43" t="s">
        <v>43</v>
      </c>
      <c r="Z192" s="71" t="s">
        <v>43</v>
      </c>
      <c r="AA192" s="71" t="s">
        <v>40</v>
      </c>
      <c r="AB192" s="48" t="s">
        <v>43</v>
      </c>
      <c r="AC192" s="75">
        <v>4500</v>
      </c>
      <c r="AD192" s="75">
        <v>4045</v>
      </c>
      <c r="AE192" s="80">
        <v>4275</v>
      </c>
      <c r="AF192" s="80">
        <v>3850</v>
      </c>
      <c r="AG192" s="80">
        <v>3075</v>
      </c>
    </row>
    <row r="193" ht="21" customHeight="1" spans="1:33">
      <c r="A193" s="43"/>
      <c r="B193" s="43"/>
      <c r="C193" s="43"/>
      <c r="D193" s="43"/>
      <c r="E193" s="48"/>
      <c r="F193" s="48"/>
      <c r="G193" s="43"/>
      <c r="H193" s="48"/>
      <c r="I193" s="76"/>
      <c r="J193" s="76"/>
      <c r="K193" s="54"/>
      <c r="L193" s="54"/>
      <c r="M193" s="54"/>
      <c r="N193" s="63"/>
      <c r="O193" s="63"/>
      <c r="P193" s="63"/>
      <c r="Q193" s="45"/>
      <c r="R193" s="45"/>
      <c r="S193" s="45"/>
      <c r="T193" s="69"/>
      <c r="U193" s="49"/>
      <c r="V193" s="45" t="s">
        <v>658</v>
      </c>
      <c r="W193" s="45">
        <v>33110100903</v>
      </c>
      <c r="X193" s="45" t="s">
        <v>659</v>
      </c>
      <c r="Y193" s="43" t="s">
        <v>43</v>
      </c>
      <c r="Z193" s="71" t="s">
        <v>43</v>
      </c>
      <c r="AA193" s="71" t="s">
        <v>40</v>
      </c>
      <c r="AB193" s="48" t="s">
        <v>43</v>
      </c>
      <c r="AC193" s="75">
        <v>5300</v>
      </c>
      <c r="AD193" s="75">
        <v>4765</v>
      </c>
      <c r="AE193" s="80">
        <v>4900</v>
      </c>
      <c r="AF193" s="80">
        <v>4450</v>
      </c>
      <c r="AG193" s="80">
        <v>3585</v>
      </c>
    </row>
    <row r="194" ht="21" customHeight="1" spans="1:33">
      <c r="A194" s="43"/>
      <c r="B194" s="43"/>
      <c r="C194" s="43"/>
      <c r="D194" s="43"/>
      <c r="E194" s="48"/>
      <c r="F194" s="48"/>
      <c r="G194" s="43"/>
      <c r="H194" s="48"/>
      <c r="I194" s="76"/>
      <c r="J194" s="76"/>
      <c r="K194" s="54"/>
      <c r="L194" s="54"/>
      <c r="M194" s="54"/>
      <c r="N194" s="63"/>
      <c r="O194" s="63"/>
      <c r="P194" s="63"/>
      <c r="Q194" s="45"/>
      <c r="R194" s="45"/>
      <c r="S194" s="45"/>
      <c r="T194" s="69"/>
      <c r="U194" s="49"/>
      <c r="V194" s="45" t="s">
        <v>620</v>
      </c>
      <c r="W194" s="45">
        <v>33110101401</v>
      </c>
      <c r="X194" s="45" t="s">
        <v>621</v>
      </c>
      <c r="Y194" s="43" t="s">
        <v>43</v>
      </c>
      <c r="Z194" s="71" t="s">
        <v>43</v>
      </c>
      <c r="AA194" s="71" t="s">
        <v>40</v>
      </c>
      <c r="AB194" s="48" t="s">
        <v>43</v>
      </c>
      <c r="AC194" s="75">
        <v>2105</v>
      </c>
      <c r="AD194" s="75">
        <v>1900</v>
      </c>
      <c r="AE194" s="80">
        <v>1950</v>
      </c>
      <c r="AF194" s="80">
        <v>1870</v>
      </c>
      <c r="AG194" s="80">
        <v>1590</v>
      </c>
    </row>
    <row r="195" ht="21" customHeight="1" spans="1:33">
      <c r="A195" s="43"/>
      <c r="B195" s="43"/>
      <c r="C195" s="43"/>
      <c r="D195" s="43"/>
      <c r="E195" s="48"/>
      <c r="F195" s="48"/>
      <c r="G195" s="43"/>
      <c r="H195" s="48"/>
      <c r="I195" s="76"/>
      <c r="J195" s="76"/>
      <c r="K195" s="54"/>
      <c r="L195" s="54"/>
      <c r="M195" s="54"/>
      <c r="N195" s="63"/>
      <c r="O195" s="63"/>
      <c r="P195" s="63"/>
      <c r="Q195" s="45"/>
      <c r="R195" s="45"/>
      <c r="S195" s="45"/>
      <c r="T195" s="69"/>
      <c r="U195" s="49"/>
      <c r="V195" s="45" t="s">
        <v>622</v>
      </c>
      <c r="W195" s="45">
        <v>33110101403</v>
      </c>
      <c r="X195" s="45" t="s">
        <v>623</v>
      </c>
      <c r="Y195" s="43" t="s">
        <v>43</v>
      </c>
      <c r="Z195" s="71" t="s">
        <v>43</v>
      </c>
      <c r="AA195" s="71" t="s">
        <v>40</v>
      </c>
      <c r="AB195" s="48" t="s">
        <v>43</v>
      </c>
      <c r="AC195" s="75">
        <v>2905</v>
      </c>
      <c r="AD195" s="75">
        <v>2620</v>
      </c>
      <c r="AE195" s="80">
        <v>2575</v>
      </c>
      <c r="AF195" s="80">
        <v>2470</v>
      </c>
      <c r="AG195" s="80">
        <v>2100</v>
      </c>
    </row>
    <row r="196" ht="21" customHeight="1" spans="1:33">
      <c r="A196" s="43"/>
      <c r="B196" s="43"/>
      <c r="C196" s="43"/>
      <c r="D196" s="43"/>
      <c r="E196" s="48"/>
      <c r="F196" s="48"/>
      <c r="G196" s="43"/>
      <c r="H196" s="48"/>
      <c r="I196" s="76"/>
      <c r="J196" s="76"/>
      <c r="K196" s="54"/>
      <c r="L196" s="54"/>
      <c r="M196" s="54"/>
      <c r="N196" s="63"/>
      <c r="O196" s="63"/>
      <c r="P196" s="63"/>
      <c r="Q196" s="45"/>
      <c r="R196" s="45"/>
      <c r="S196" s="45"/>
      <c r="T196" s="69"/>
      <c r="U196" s="49"/>
      <c r="V196" s="45" t="s">
        <v>660</v>
      </c>
      <c r="W196" s="45">
        <v>33110100701</v>
      </c>
      <c r="X196" s="45" t="s">
        <v>661</v>
      </c>
      <c r="Y196" s="43" t="s">
        <v>43</v>
      </c>
      <c r="Z196" s="71" t="s">
        <v>43</v>
      </c>
      <c r="AA196" s="71" t="s">
        <v>40</v>
      </c>
      <c r="AB196" s="48" t="s">
        <v>43</v>
      </c>
      <c r="AC196" s="75">
        <v>4500</v>
      </c>
      <c r="AD196" s="75">
        <v>4045</v>
      </c>
      <c r="AE196" s="80">
        <v>3950</v>
      </c>
      <c r="AF196" s="80">
        <v>3560</v>
      </c>
      <c r="AG196" s="80">
        <v>3025</v>
      </c>
    </row>
    <row r="197" ht="21" customHeight="1" spans="1:33">
      <c r="A197" s="43"/>
      <c r="B197" s="43"/>
      <c r="C197" s="43"/>
      <c r="D197" s="43"/>
      <c r="E197" s="48"/>
      <c r="F197" s="48"/>
      <c r="G197" s="43"/>
      <c r="H197" s="48"/>
      <c r="I197" s="76"/>
      <c r="J197" s="76"/>
      <c r="K197" s="54"/>
      <c r="L197" s="54"/>
      <c r="M197" s="54"/>
      <c r="N197" s="63"/>
      <c r="O197" s="63"/>
      <c r="P197" s="63"/>
      <c r="Q197" s="45"/>
      <c r="R197" s="45"/>
      <c r="S197" s="45"/>
      <c r="T197" s="69"/>
      <c r="U197" s="49"/>
      <c r="V197" s="45" t="s">
        <v>662</v>
      </c>
      <c r="W197" s="45">
        <v>33110100703</v>
      </c>
      <c r="X197" s="45" t="s">
        <v>663</v>
      </c>
      <c r="Y197" s="43" t="s">
        <v>43</v>
      </c>
      <c r="Z197" s="71" t="s">
        <v>43</v>
      </c>
      <c r="AA197" s="71" t="s">
        <v>40</v>
      </c>
      <c r="AB197" s="48" t="s">
        <v>43</v>
      </c>
      <c r="AC197" s="75">
        <v>5300</v>
      </c>
      <c r="AD197" s="75">
        <v>4765</v>
      </c>
      <c r="AE197" s="80">
        <v>4575</v>
      </c>
      <c r="AF197" s="80">
        <v>4160</v>
      </c>
      <c r="AG197" s="80">
        <v>3535</v>
      </c>
    </row>
    <row r="198" ht="21" customHeight="1" spans="1:33">
      <c r="A198" s="43"/>
      <c r="B198" s="43"/>
      <c r="C198" s="43"/>
      <c r="D198" s="43"/>
      <c r="E198" s="48"/>
      <c r="F198" s="48"/>
      <c r="G198" s="43"/>
      <c r="H198" s="48"/>
      <c r="I198" s="76"/>
      <c r="J198" s="76"/>
      <c r="K198" s="54"/>
      <c r="L198" s="54"/>
      <c r="M198" s="54"/>
      <c r="N198" s="63"/>
      <c r="O198" s="63"/>
      <c r="P198" s="63"/>
      <c r="Q198" s="45"/>
      <c r="R198" s="45"/>
      <c r="S198" s="45"/>
      <c r="T198" s="69"/>
      <c r="U198" s="49"/>
      <c r="V198" s="86" t="s">
        <v>664</v>
      </c>
      <c r="W198" s="86">
        <v>33110102502</v>
      </c>
      <c r="X198" s="86" t="s">
        <v>665</v>
      </c>
      <c r="Y198" s="85" t="s">
        <v>43</v>
      </c>
      <c r="Z198" s="89" t="s">
        <v>43</v>
      </c>
      <c r="AA198" s="89" t="s">
        <v>40</v>
      </c>
      <c r="AB198" s="91" t="s">
        <v>43</v>
      </c>
      <c r="AC198" s="75">
        <v>10530</v>
      </c>
      <c r="AD198" s="75">
        <v>8840</v>
      </c>
      <c r="AE198" s="80">
        <v>8110</v>
      </c>
      <c r="AF198" s="80">
        <v>7305</v>
      </c>
      <c r="AG198" s="80">
        <v>6210</v>
      </c>
    </row>
    <row r="199" ht="21" customHeight="1" spans="1:33">
      <c r="A199" s="43"/>
      <c r="B199" s="43"/>
      <c r="C199" s="43"/>
      <c r="D199" s="43"/>
      <c r="E199" s="48"/>
      <c r="F199" s="48"/>
      <c r="G199" s="43"/>
      <c r="H199" s="48"/>
      <c r="I199" s="76"/>
      <c r="J199" s="76"/>
      <c r="K199" s="54"/>
      <c r="L199" s="54"/>
      <c r="M199" s="54"/>
      <c r="N199" s="63"/>
      <c r="O199" s="63"/>
      <c r="P199" s="63"/>
      <c r="Q199" s="45"/>
      <c r="R199" s="45"/>
      <c r="S199" s="45"/>
      <c r="T199" s="69"/>
      <c r="U199" s="49"/>
      <c r="V199" s="86" t="s">
        <v>666</v>
      </c>
      <c r="W199" s="86">
        <v>33110102503</v>
      </c>
      <c r="X199" s="86" t="s">
        <v>667</v>
      </c>
      <c r="Y199" s="85" t="s">
        <v>43</v>
      </c>
      <c r="Z199" s="89" t="s">
        <v>43</v>
      </c>
      <c r="AA199" s="89" t="s">
        <v>40</v>
      </c>
      <c r="AB199" s="91" t="s">
        <v>646</v>
      </c>
      <c r="AC199" s="75">
        <v>12285</v>
      </c>
      <c r="AD199" s="75">
        <v>10315</v>
      </c>
      <c r="AE199" s="80">
        <v>9685</v>
      </c>
      <c r="AF199" s="80">
        <v>8725</v>
      </c>
      <c r="AG199" s="80">
        <v>7415</v>
      </c>
    </row>
    <row r="200" ht="21" customHeight="1" spans="1:33">
      <c r="A200" s="43"/>
      <c r="B200" s="43"/>
      <c r="C200" s="43"/>
      <c r="D200" s="43"/>
      <c r="E200" s="48"/>
      <c r="F200" s="48"/>
      <c r="G200" s="43"/>
      <c r="H200" s="48"/>
      <c r="I200" s="76"/>
      <c r="J200" s="76"/>
      <c r="K200" s="54"/>
      <c r="L200" s="54"/>
      <c r="M200" s="54"/>
      <c r="N200" s="63"/>
      <c r="O200" s="63"/>
      <c r="P200" s="63"/>
      <c r="Q200" s="45"/>
      <c r="R200" s="45"/>
      <c r="S200" s="45"/>
      <c r="T200" s="69"/>
      <c r="U200" s="49"/>
      <c r="V200" s="86" t="s">
        <v>668</v>
      </c>
      <c r="W200" s="86">
        <v>33110102506</v>
      </c>
      <c r="X200" s="86" t="s">
        <v>669</v>
      </c>
      <c r="Y200" s="85" t="s">
        <v>43</v>
      </c>
      <c r="Z200" s="89" t="s">
        <v>43</v>
      </c>
      <c r="AA200" s="89" t="s">
        <v>40</v>
      </c>
      <c r="AB200" s="91" t="s">
        <v>43</v>
      </c>
      <c r="AC200" s="75">
        <v>11330</v>
      </c>
      <c r="AD200" s="75">
        <v>9560</v>
      </c>
      <c r="AE200" s="80">
        <v>8735</v>
      </c>
      <c r="AF200" s="80">
        <v>7905</v>
      </c>
      <c r="AG200" s="80">
        <v>6720</v>
      </c>
    </row>
    <row r="201" ht="21" customHeight="1" spans="1:33">
      <c r="A201" s="43"/>
      <c r="B201" s="43"/>
      <c r="C201" s="43"/>
      <c r="D201" s="43"/>
      <c r="E201" s="48"/>
      <c r="F201" s="48"/>
      <c r="G201" s="43"/>
      <c r="H201" s="48"/>
      <c r="I201" s="76"/>
      <c r="J201" s="76"/>
      <c r="K201" s="54"/>
      <c r="L201" s="54"/>
      <c r="M201" s="54"/>
      <c r="N201" s="63"/>
      <c r="O201" s="63"/>
      <c r="P201" s="63"/>
      <c r="Q201" s="45"/>
      <c r="R201" s="45"/>
      <c r="S201" s="45"/>
      <c r="T201" s="69"/>
      <c r="U201" s="49"/>
      <c r="V201" s="86" t="s">
        <v>670</v>
      </c>
      <c r="W201" s="86">
        <v>33110102507</v>
      </c>
      <c r="X201" s="86" t="s">
        <v>671</v>
      </c>
      <c r="Y201" s="85" t="s">
        <v>43</v>
      </c>
      <c r="Z201" s="89" t="s">
        <v>43</v>
      </c>
      <c r="AA201" s="89" t="s">
        <v>40</v>
      </c>
      <c r="AB201" s="91" t="s">
        <v>646</v>
      </c>
      <c r="AC201" s="75">
        <v>13085</v>
      </c>
      <c r="AD201" s="75">
        <v>11035</v>
      </c>
      <c r="AE201" s="80">
        <v>10310</v>
      </c>
      <c r="AF201" s="80">
        <v>9325</v>
      </c>
      <c r="AG201" s="80">
        <v>7925</v>
      </c>
    </row>
    <row r="202" ht="21" customHeight="1" spans="1:34">
      <c r="A202" s="43"/>
      <c r="B202" s="43"/>
      <c r="C202" s="43"/>
      <c r="D202" s="43"/>
      <c r="E202" s="48"/>
      <c r="F202" s="48"/>
      <c r="G202" s="43"/>
      <c r="H202" s="48"/>
      <c r="I202" s="76"/>
      <c r="J202" s="76"/>
      <c r="K202" s="54"/>
      <c r="L202" s="54"/>
      <c r="M202" s="54"/>
      <c r="N202" s="63"/>
      <c r="O202" s="63"/>
      <c r="P202" s="63"/>
      <c r="Q202" s="45"/>
      <c r="R202" s="45"/>
      <c r="S202" s="45"/>
      <c r="T202" s="69"/>
      <c r="U202" s="49"/>
      <c r="V202" s="45" t="s">
        <v>558</v>
      </c>
      <c r="W202" s="45">
        <v>33110100601</v>
      </c>
      <c r="X202" s="45" t="s">
        <v>559</v>
      </c>
      <c r="Y202" s="43" t="s">
        <v>43</v>
      </c>
      <c r="Z202" s="71" t="s">
        <v>43</v>
      </c>
      <c r="AA202" s="71" t="s">
        <v>40</v>
      </c>
      <c r="AB202" s="48" t="s">
        <v>43</v>
      </c>
      <c r="AC202" s="75">
        <v>3250</v>
      </c>
      <c r="AD202" s="75">
        <v>2910</v>
      </c>
      <c r="AE202" s="80">
        <v>2845</v>
      </c>
      <c r="AF202" s="80">
        <v>2560</v>
      </c>
      <c r="AG202" s="80">
        <v>2175</v>
      </c>
      <c r="AH202" s="32" t="s">
        <v>549</v>
      </c>
    </row>
    <row r="203" ht="21" customHeight="1" spans="1:34">
      <c r="A203" s="43"/>
      <c r="B203" s="43"/>
      <c r="C203" s="43"/>
      <c r="D203" s="43"/>
      <c r="E203" s="48"/>
      <c r="F203" s="48"/>
      <c r="G203" s="43"/>
      <c r="H203" s="48"/>
      <c r="I203" s="76"/>
      <c r="J203" s="76"/>
      <c r="K203" s="54"/>
      <c r="L203" s="54"/>
      <c r="M203" s="54"/>
      <c r="N203" s="63"/>
      <c r="O203" s="63"/>
      <c r="P203" s="63"/>
      <c r="Q203" s="45"/>
      <c r="R203" s="45"/>
      <c r="S203" s="45"/>
      <c r="T203" s="69"/>
      <c r="U203" s="49"/>
      <c r="V203" s="45" t="s">
        <v>560</v>
      </c>
      <c r="W203" s="45">
        <v>33110100603</v>
      </c>
      <c r="X203" s="45" t="s">
        <v>561</v>
      </c>
      <c r="Y203" s="43" t="s">
        <v>43</v>
      </c>
      <c r="Z203" s="71" t="s">
        <v>43</v>
      </c>
      <c r="AA203" s="71" t="s">
        <v>40</v>
      </c>
      <c r="AB203" s="48" t="s">
        <v>43</v>
      </c>
      <c r="AC203" s="75">
        <v>4050</v>
      </c>
      <c r="AD203" s="75">
        <v>3630</v>
      </c>
      <c r="AE203" s="80">
        <v>3470</v>
      </c>
      <c r="AF203" s="80">
        <v>3160</v>
      </c>
      <c r="AG203" s="80">
        <v>2685</v>
      </c>
      <c r="AH203" s="32" t="s">
        <v>549</v>
      </c>
    </row>
    <row r="204" ht="21" customHeight="1" spans="1:33">
      <c r="A204" s="45">
        <v>45</v>
      </c>
      <c r="B204" s="45" t="s">
        <v>672</v>
      </c>
      <c r="C204" s="45" t="s">
        <v>673</v>
      </c>
      <c r="D204" s="45" t="s">
        <v>213</v>
      </c>
      <c r="E204" s="49" t="s">
        <v>674</v>
      </c>
      <c r="F204" s="49" t="s">
        <v>675</v>
      </c>
      <c r="G204" s="45" t="s">
        <v>48</v>
      </c>
      <c r="H204" s="49"/>
      <c r="I204" s="53">
        <v>3300</v>
      </c>
      <c r="J204" s="53">
        <v>2970</v>
      </c>
      <c r="K204" s="84">
        <v>4250.67647058824</v>
      </c>
      <c r="L204" s="84">
        <v>3442.2641509434</v>
      </c>
      <c r="M204" s="55">
        <v>2450</v>
      </c>
      <c r="N204" s="63">
        <v>3100</v>
      </c>
      <c r="O204" s="63">
        <v>2800</v>
      </c>
      <c r="P204" s="63">
        <v>2400</v>
      </c>
      <c r="Q204" s="45" t="s">
        <v>54</v>
      </c>
      <c r="R204" s="45" t="s">
        <v>43</v>
      </c>
      <c r="S204" s="45" t="s">
        <v>43</v>
      </c>
      <c r="T204" s="69" t="s">
        <v>76</v>
      </c>
      <c r="U204" s="49" t="s">
        <v>676</v>
      </c>
      <c r="V204" s="87" t="s">
        <v>677</v>
      </c>
      <c r="W204" s="90">
        <v>311000023</v>
      </c>
      <c r="X204" s="87" t="s">
        <v>678</v>
      </c>
      <c r="Y204" s="87" t="s">
        <v>43</v>
      </c>
      <c r="Z204" s="90" t="s">
        <v>43</v>
      </c>
      <c r="AA204" s="90" t="s">
        <v>40</v>
      </c>
      <c r="AB204" s="92" t="s">
        <v>679</v>
      </c>
      <c r="AC204" s="75">
        <v>880</v>
      </c>
      <c r="AD204" s="75">
        <v>790</v>
      </c>
      <c r="AE204" s="80">
        <v>880</v>
      </c>
      <c r="AF204" s="80">
        <v>800</v>
      </c>
      <c r="AG204" s="80">
        <v>680</v>
      </c>
    </row>
    <row r="205" ht="21" customHeight="1" spans="1:33">
      <c r="A205" s="45"/>
      <c r="B205" s="45"/>
      <c r="C205" s="45"/>
      <c r="D205" s="45"/>
      <c r="E205" s="49"/>
      <c r="F205" s="49"/>
      <c r="G205" s="45"/>
      <c r="H205" s="49"/>
      <c r="I205" s="53"/>
      <c r="J205" s="53"/>
      <c r="K205" s="84"/>
      <c r="L205" s="84"/>
      <c r="M205" s="55"/>
      <c r="N205" s="63"/>
      <c r="O205" s="63"/>
      <c r="P205" s="63"/>
      <c r="Q205" s="45"/>
      <c r="R205" s="45"/>
      <c r="S205" s="45"/>
      <c r="T205" s="69"/>
      <c r="U205" s="49"/>
      <c r="V205" s="88" t="s">
        <v>680</v>
      </c>
      <c r="W205" s="88">
        <v>31100002301</v>
      </c>
      <c r="X205" s="88" t="s">
        <v>681</v>
      </c>
      <c r="Y205" s="87" t="s">
        <v>43</v>
      </c>
      <c r="Z205" s="90" t="s">
        <v>43</v>
      </c>
      <c r="AA205" s="90" t="s">
        <v>40</v>
      </c>
      <c r="AB205" s="92" t="s">
        <v>682</v>
      </c>
      <c r="AC205" s="75">
        <v>1100</v>
      </c>
      <c r="AD205" s="75">
        <v>990</v>
      </c>
      <c r="AE205" s="80">
        <v>1100</v>
      </c>
      <c r="AF205" s="80">
        <v>1000</v>
      </c>
      <c r="AG205" s="80">
        <v>850</v>
      </c>
    </row>
    <row r="206" ht="21" customHeight="1" spans="1:33">
      <c r="A206" s="45"/>
      <c r="B206" s="45"/>
      <c r="C206" s="45"/>
      <c r="D206" s="45"/>
      <c r="E206" s="49"/>
      <c r="F206" s="49"/>
      <c r="G206" s="45"/>
      <c r="H206" s="49"/>
      <c r="I206" s="53"/>
      <c r="J206" s="53"/>
      <c r="K206" s="84"/>
      <c r="L206" s="84"/>
      <c r="M206" s="55"/>
      <c r="N206" s="63"/>
      <c r="O206" s="63"/>
      <c r="P206" s="63"/>
      <c r="Q206" s="45"/>
      <c r="R206" s="45"/>
      <c r="S206" s="45"/>
      <c r="T206" s="69"/>
      <c r="U206" s="49"/>
      <c r="V206" s="43" t="s">
        <v>683</v>
      </c>
      <c r="W206" s="71">
        <v>331101010</v>
      </c>
      <c r="X206" s="43" t="s">
        <v>684</v>
      </c>
      <c r="Y206" s="43" t="s">
        <v>685</v>
      </c>
      <c r="Z206" s="71" t="s">
        <v>43</v>
      </c>
      <c r="AA206" s="71" t="s">
        <v>40</v>
      </c>
      <c r="AB206" s="48" t="s">
        <v>43</v>
      </c>
      <c r="AC206" s="75">
        <v>5520</v>
      </c>
      <c r="AD206" s="75">
        <v>4970</v>
      </c>
      <c r="AE206" s="80">
        <v>4740</v>
      </c>
      <c r="AF206" s="80">
        <v>4270</v>
      </c>
      <c r="AG206" s="80">
        <v>3630</v>
      </c>
    </row>
    <row r="207" ht="21" customHeight="1" spans="1:33">
      <c r="A207" s="45"/>
      <c r="B207" s="45"/>
      <c r="C207" s="45"/>
      <c r="D207" s="45"/>
      <c r="E207" s="49"/>
      <c r="F207" s="49"/>
      <c r="G207" s="45"/>
      <c r="H207" s="49"/>
      <c r="I207" s="53"/>
      <c r="J207" s="53"/>
      <c r="K207" s="84"/>
      <c r="L207" s="84"/>
      <c r="M207" s="55"/>
      <c r="N207" s="63"/>
      <c r="O207" s="63"/>
      <c r="P207" s="63"/>
      <c r="Q207" s="45"/>
      <c r="R207" s="45"/>
      <c r="S207" s="45"/>
      <c r="T207" s="69"/>
      <c r="U207" s="49"/>
      <c r="V207" s="43" t="s">
        <v>686</v>
      </c>
      <c r="W207" s="71">
        <v>33110101002</v>
      </c>
      <c r="X207" s="43" t="s">
        <v>687</v>
      </c>
      <c r="Y207" s="43" t="s">
        <v>43</v>
      </c>
      <c r="Z207" s="71" t="s">
        <v>43</v>
      </c>
      <c r="AA207" s="71" t="s">
        <v>40</v>
      </c>
      <c r="AB207" s="48" t="s">
        <v>43</v>
      </c>
      <c r="AC207" s="75">
        <v>6320</v>
      </c>
      <c r="AD207" s="75">
        <v>5690</v>
      </c>
      <c r="AE207" s="80">
        <v>5365</v>
      </c>
      <c r="AF207" s="80">
        <v>4870</v>
      </c>
      <c r="AG207" s="80">
        <v>4140</v>
      </c>
    </row>
    <row r="208" ht="21" customHeight="1" spans="1:33">
      <c r="A208" s="45"/>
      <c r="B208" s="45"/>
      <c r="C208" s="45"/>
      <c r="D208" s="45"/>
      <c r="E208" s="49"/>
      <c r="F208" s="49"/>
      <c r="G208" s="45"/>
      <c r="H208" s="49"/>
      <c r="I208" s="53"/>
      <c r="J208" s="53"/>
      <c r="K208" s="84"/>
      <c r="L208" s="84"/>
      <c r="M208" s="55"/>
      <c r="N208" s="63"/>
      <c r="O208" s="63"/>
      <c r="P208" s="63"/>
      <c r="Q208" s="45"/>
      <c r="R208" s="45"/>
      <c r="S208" s="45"/>
      <c r="T208" s="69"/>
      <c r="U208" s="49"/>
      <c r="V208" s="43" t="s">
        <v>688</v>
      </c>
      <c r="W208" s="71">
        <v>331101008</v>
      </c>
      <c r="X208" s="43" t="s">
        <v>689</v>
      </c>
      <c r="Y208" s="43" t="s">
        <v>43</v>
      </c>
      <c r="Z208" s="71" t="s">
        <v>690</v>
      </c>
      <c r="AA208" s="71" t="s">
        <v>40</v>
      </c>
      <c r="AB208" s="48" t="s">
        <v>43</v>
      </c>
      <c r="AC208" s="75">
        <v>2880</v>
      </c>
      <c r="AD208" s="75">
        <v>2590</v>
      </c>
      <c r="AE208" s="80">
        <v>2530</v>
      </c>
      <c r="AF208" s="80">
        <v>2280</v>
      </c>
      <c r="AG208" s="80">
        <v>1940</v>
      </c>
    </row>
    <row r="209" ht="21" customHeight="1" spans="1:33">
      <c r="A209" s="45"/>
      <c r="B209" s="45"/>
      <c r="C209" s="45"/>
      <c r="D209" s="45"/>
      <c r="E209" s="49"/>
      <c r="F209" s="49"/>
      <c r="G209" s="45"/>
      <c r="H209" s="49"/>
      <c r="I209" s="53"/>
      <c r="J209" s="53"/>
      <c r="K209" s="84"/>
      <c r="L209" s="84"/>
      <c r="M209" s="55"/>
      <c r="N209" s="63"/>
      <c r="O209" s="63"/>
      <c r="P209" s="63"/>
      <c r="Q209" s="45"/>
      <c r="R209" s="45"/>
      <c r="S209" s="45"/>
      <c r="T209" s="69"/>
      <c r="U209" s="49"/>
      <c r="V209" s="43" t="s">
        <v>691</v>
      </c>
      <c r="W209" s="71">
        <v>33110100802</v>
      </c>
      <c r="X209" s="43" t="s">
        <v>692</v>
      </c>
      <c r="Y209" s="43" t="s">
        <v>43</v>
      </c>
      <c r="Z209" s="71" t="s">
        <v>43</v>
      </c>
      <c r="AA209" s="71" t="s">
        <v>40</v>
      </c>
      <c r="AB209" s="48" t="s">
        <v>43</v>
      </c>
      <c r="AC209" s="75">
        <v>3680</v>
      </c>
      <c r="AD209" s="75">
        <v>3310</v>
      </c>
      <c r="AE209" s="80">
        <v>3155</v>
      </c>
      <c r="AF209" s="80">
        <v>2880</v>
      </c>
      <c r="AG209" s="80">
        <v>2450</v>
      </c>
    </row>
    <row r="210" ht="21" customHeight="1" spans="1:34">
      <c r="A210" s="45"/>
      <c r="B210" s="45"/>
      <c r="C210" s="45"/>
      <c r="D210" s="45"/>
      <c r="E210" s="49"/>
      <c r="F210" s="49"/>
      <c r="G210" s="45"/>
      <c r="H210" s="49"/>
      <c r="I210" s="53"/>
      <c r="J210" s="53"/>
      <c r="K210" s="84"/>
      <c r="L210" s="84"/>
      <c r="M210" s="55"/>
      <c r="N210" s="63"/>
      <c r="O210" s="63"/>
      <c r="P210" s="63"/>
      <c r="Q210" s="45"/>
      <c r="R210" s="45"/>
      <c r="S210" s="45"/>
      <c r="T210" s="69"/>
      <c r="U210" s="49"/>
      <c r="V210" s="43" t="s">
        <v>547</v>
      </c>
      <c r="W210" s="71">
        <v>331101006</v>
      </c>
      <c r="X210" s="43" t="s">
        <v>548</v>
      </c>
      <c r="Y210" s="43" t="s">
        <v>43</v>
      </c>
      <c r="Z210" s="71" t="s">
        <v>43</v>
      </c>
      <c r="AA210" s="71" t="s">
        <v>40</v>
      </c>
      <c r="AB210" s="48" t="s">
        <v>43</v>
      </c>
      <c r="AC210" s="75">
        <v>2500</v>
      </c>
      <c r="AD210" s="75">
        <v>2240</v>
      </c>
      <c r="AE210" s="80">
        <v>2190</v>
      </c>
      <c r="AF210" s="80">
        <v>1970</v>
      </c>
      <c r="AG210" s="80">
        <v>1670</v>
      </c>
      <c r="AH210" s="32" t="s">
        <v>549</v>
      </c>
    </row>
    <row r="211" ht="21" customHeight="1" spans="1:34">
      <c r="A211" s="45"/>
      <c r="B211" s="45"/>
      <c r="C211" s="45"/>
      <c r="D211" s="45"/>
      <c r="E211" s="49"/>
      <c r="F211" s="49"/>
      <c r="G211" s="45"/>
      <c r="H211" s="49"/>
      <c r="I211" s="53"/>
      <c r="J211" s="53"/>
      <c r="K211" s="84"/>
      <c r="L211" s="84"/>
      <c r="M211" s="55"/>
      <c r="N211" s="63"/>
      <c r="O211" s="63"/>
      <c r="P211" s="63"/>
      <c r="Q211" s="45"/>
      <c r="R211" s="45"/>
      <c r="S211" s="45"/>
      <c r="T211" s="69"/>
      <c r="U211" s="49"/>
      <c r="V211" s="43" t="s">
        <v>550</v>
      </c>
      <c r="W211" s="71">
        <v>33110100602</v>
      </c>
      <c r="X211" s="43" t="s">
        <v>551</v>
      </c>
      <c r="Y211" s="43" t="s">
        <v>43</v>
      </c>
      <c r="Z211" s="71" t="s">
        <v>43</v>
      </c>
      <c r="AA211" s="71" t="s">
        <v>40</v>
      </c>
      <c r="AB211" s="48" t="s">
        <v>43</v>
      </c>
      <c r="AC211" s="75">
        <v>3300</v>
      </c>
      <c r="AD211" s="75">
        <v>2960</v>
      </c>
      <c r="AE211" s="80">
        <v>2815</v>
      </c>
      <c r="AF211" s="80">
        <v>2570</v>
      </c>
      <c r="AG211" s="80">
        <v>2180</v>
      </c>
      <c r="AH211" s="32" t="s">
        <v>549</v>
      </c>
    </row>
    <row r="212" ht="20" customHeight="1" spans="1:33">
      <c r="A212" s="43" t="s">
        <v>81</v>
      </c>
      <c r="B212" s="43" t="s">
        <v>693</v>
      </c>
      <c r="C212" s="43" t="s">
        <v>694</v>
      </c>
      <c r="D212" s="43" t="s">
        <v>213</v>
      </c>
      <c r="E212" s="48" t="s">
        <v>43</v>
      </c>
      <c r="F212" s="48" t="s">
        <v>43</v>
      </c>
      <c r="G212" s="43" t="s">
        <v>48</v>
      </c>
      <c r="H212" s="48" t="s">
        <v>43</v>
      </c>
      <c r="I212" s="53">
        <v>990</v>
      </c>
      <c r="J212" s="53">
        <v>891</v>
      </c>
      <c r="K212" s="54"/>
      <c r="L212" s="54"/>
      <c r="M212" s="54"/>
      <c r="N212" s="63">
        <v>930</v>
      </c>
      <c r="O212" s="63">
        <v>840</v>
      </c>
      <c r="P212" s="63">
        <v>720</v>
      </c>
      <c r="Q212" s="45" t="s">
        <v>54</v>
      </c>
      <c r="R212" s="45" t="s">
        <v>43</v>
      </c>
      <c r="S212" s="45" t="s">
        <v>43</v>
      </c>
      <c r="T212" s="69"/>
      <c r="U212" s="49" t="s">
        <v>446</v>
      </c>
      <c r="V212" s="45" t="s">
        <v>695</v>
      </c>
      <c r="W212" s="45">
        <v>33110101001</v>
      </c>
      <c r="X212" s="45" t="s">
        <v>696</v>
      </c>
      <c r="Y212" s="43" t="s">
        <v>43</v>
      </c>
      <c r="Z212" s="71" t="s">
        <v>43</v>
      </c>
      <c r="AA212" s="71" t="s">
        <v>40</v>
      </c>
      <c r="AB212" s="48" t="s">
        <v>43</v>
      </c>
      <c r="AC212" s="75">
        <v>7175</v>
      </c>
      <c r="AD212" s="75">
        <v>6460</v>
      </c>
      <c r="AE212" s="80">
        <v>6160</v>
      </c>
      <c r="AF212" s="80">
        <v>5550</v>
      </c>
      <c r="AG212" s="80">
        <v>4720</v>
      </c>
    </row>
    <row r="213" ht="20" customHeight="1" spans="1:33">
      <c r="A213" s="43"/>
      <c r="B213" s="43"/>
      <c r="C213" s="43"/>
      <c r="D213" s="43"/>
      <c r="E213" s="48"/>
      <c r="F213" s="48"/>
      <c r="G213" s="43"/>
      <c r="H213" s="48"/>
      <c r="I213" s="76"/>
      <c r="J213" s="76"/>
      <c r="K213" s="54"/>
      <c r="L213" s="54"/>
      <c r="M213" s="54"/>
      <c r="N213" s="63"/>
      <c r="O213" s="63"/>
      <c r="P213" s="63"/>
      <c r="Q213" s="45"/>
      <c r="R213" s="45"/>
      <c r="S213" s="45"/>
      <c r="T213" s="69"/>
      <c r="U213" s="49"/>
      <c r="V213" s="45" t="s">
        <v>697</v>
      </c>
      <c r="W213" s="45">
        <v>33110101003</v>
      </c>
      <c r="X213" s="45" t="s">
        <v>698</v>
      </c>
      <c r="Y213" s="43" t="s">
        <v>43</v>
      </c>
      <c r="Z213" s="71" t="s">
        <v>43</v>
      </c>
      <c r="AA213" s="71" t="s">
        <v>40</v>
      </c>
      <c r="AB213" s="48" t="s">
        <v>43</v>
      </c>
      <c r="AC213" s="75">
        <v>7975</v>
      </c>
      <c r="AD213" s="75">
        <v>7180</v>
      </c>
      <c r="AE213" s="80">
        <v>6785</v>
      </c>
      <c r="AF213" s="80">
        <v>6150</v>
      </c>
      <c r="AG213" s="80">
        <v>5230</v>
      </c>
    </row>
    <row r="214" ht="20" customHeight="1" spans="1:33">
      <c r="A214" s="43"/>
      <c r="B214" s="43"/>
      <c r="C214" s="43"/>
      <c r="D214" s="43"/>
      <c r="E214" s="48"/>
      <c r="F214" s="48"/>
      <c r="G214" s="43"/>
      <c r="H214" s="48"/>
      <c r="I214" s="76"/>
      <c r="J214" s="76"/>
      <c r="K214" s="54"/>
      <c r="L214" s="54"/>
      <c r="M214" s="54"/>
      <c r="N214" s="63"/>
      <c r="O214" s="63"/>
      <c r="P214" s="63"/>
      <c r="Q214" s="45"/>
      <c r="R214" s="45"/>
      <c r="S214" s="45"/>
      <c r="T214" s="69"/>
      <c r="U214" s="49"/>
      <c r="V214" s="45" t="s">
        <v>699</v>
      </c>
      <c r="W214" s="45">
        <v>33110100801</v>
      </c>
      <c r="X214" s="45" t="s">
        <v>700</v>
      </c>
      <c r="Y214" s="43" t="s">
        <v>43</v>
      </c>
      <c r="Z214" s="71" t="s">
        <v>43</v>
      </c>
      <c r="AA214" s="71" t="s">
        <v>40</v>
      </c>
      <c r="AB214" s="48" t="s">
        <v>43</v>
      </c>
      <c r="AC214" s="75">
        <v>3745</v>
      </c>
      <c r="AD214" s="75">
        <v>3365</v>
      </c>
      <c r="AE214" s="80">
        <v>3290</v>
      </c>
      <c r="AF214" s="80">
        <v>2965</v>
      </c>
      <c r="AG214" s="80">
        <v>2520</v>
      </c>
    </row>
    <row r="215" ht="20" customHeight="1" spans="1:33">
      <c r="A215" s="43"/>
      <c r="B215" s="43"/>
      <c r="C215" s="43"/>
      <c r="D215" s="43"/>
      <c r="E215" s="48"/>
      <c r="F215" s="48"/>
      <c r="G215" s="43"/>
      <c r="H215" s="48"/>
      <c r="I215" s="76"/>
      <c r="J215" s="76"/>
      <c r="K215" s="54"/>
      <c r="L215" s="54"/>
      <c r="M215" s="54"/>
      <c r="N215" s="63"/>
      <c r="O215" s="63"/>
      <c r="P215" s="63"/>
      <c r="Q215" s="45"/>
      <c r="R215" s="45"/>
      <c r="S215" s="45"/>
      <c r="T215" s="69"/>
      <c r="U215" s="49"/>
      <c r="V215" s="45" t="s">
        <v>701</v>
      </c>
      <c r="W215" s="45">
        <v>33110100803</v>
      </c>
      <c r="X215" s="45" t="s">
        <v>702</v>
      </c>
      <c r="Y215" s="43" t="s">
        <v>43</v>
      </c>
      <c r="Z215" s="71" t="s">
        <v>43</v>
      </c>
      <c r="AA215" s="71" t="s">
        <v>40</v>
      </c>
      <c r="AB215" s="48" t="s">
        <v>43</v>
      </c>
      <c r="AC215" s="75">
        <v>4545</v>
      </c>
      <c r="AD215" s="75">
        <v>4085</v>
      </c>
      <c r="AE215" s="80">
        <v>3915</v>
      </c>
      <c r="AF215" s="80">
        <v>3565</v>
      </c>
      <c r="AG215" s="80">
        <v>3030</v>
      </c>
    </row>
    <row r="216" ht="20" customHeight="1" spans="1:34">
      <c r="A216" s="43"/>
      <c r="B216" s="43"/>
      <c r="C216" s="43"/>
      <c r="D216" s="43"/>
      <c r="E216" s="48"/>
      <c r="F216" s="48"/>
      <c r="G216" s="43"/>
      <c r="H216" s="48"/>
      <c r="I216" s="76"/>
      <c r="J216" s="76"/>
      <c r="K216" s="54"/>
      <c r="L216" s="54"/>
      <c r="M216" s="54"/>
      <c r="N216" s="63"/>
      <c r="O216" s="63"/>
      <c r="P216" s="63"/>
      <c r="Q216" s="45"/>
      <c r="R216" s="45"/>
      <c r="S216" s="45"/>
      <c r="T216" s="69"/>
      <c r="U216" s="49"/>
      <c r="V216" s="45" t="s">
        <v>558</v>
      </c>
      <c r="W216" s="45">
        <v>33110100601</v>
      </c>
      <c r="X216" s="45" t="s">
        <v>559</v>
      </c>
      <c r="Y216" s="43" t="s">
        <v>43</v>
      </c>
      <c r="Z216" s="71" t="s">
        <v>43</v>
      </c>
      <c r="AA216" s="71" t="s">
        <v>40</v>
      </c>
      <c r="AB216" s="48" t="s">
        <v>43</v>
      </c>
      <c r="AC216" s="75">
        <v>3250</v>
      </c>
      <c r="AD216" s="75">
        <v>2910</v>
      </c>
      <c r="AE216" s="80">
        <v>2845</v>
      </c>
      <c r="AF216" s="80">
        <v>2560</v>
      </c>
      <c r="AG216" s="80">
        <v>2175</v>
      </c>
      <c r="AH216" s="32" t="s">
        <v>549</v>
      </c>
    </row>
    <row r="217" ht="20" customHeight="1" spans="1:34">
      <c r="A217" s="43"/>
      <c r="B217" s="43"/>
      <c r="C217" s="43"/>
      <c r="D217" s="43"/>
      <c r="E217" s="48"/>
      <c r="F217" s="48"/>
      <c r="G217" s="43"/>
      <c r="H217" s="48"/>
      <c r="I217" s="76"/>
      <c r="J217" s="76"/>
      <c r="K217" s="54"/>
      <c r="L217" s="54"/>
      <c r="M217" s="54"/>
      <c r="N217" s="63"/>
      <c r="O217" s="63"/>
      <c r="P217" s="63"/>
      <c r="Q217" s="45"/>
      <c r="R217" s="45"/>
      <c r="S217" s="45"/>
      <c r="T217" s="69"/>
      <c r="U217" s="49"/>
      <c r="V217" s="45" t="s">
        <v>560</v>
      </c>
      <c r="W217" s="45">
        <v>33110100603</v>
      </c>
      <c r="X217" s="45" t="s">
        <v>561</v>
      </c>
      <c r="Y217" s="43" t="s">
        <v>43</v>
      </c>
      <c r="Z217" s="71" t="s">
        <v>43</v>
      </c>
      <c r="AA217" s="71" t="s">
        <v>40</v>
      </c>
      <c r="AB217" s="48" t="s">
        <v>43</v>
      </c>
      <c r="AC217" s="75">
        <v>4050</v>
      </c>
      <c r="AD217" s="75">
        <v>3630</v>
      </c>
      <c r="AE217" s="80">
        <v>3470</v>
      </c>
      <c r="AF217" s="80">
        <v>3160</v>
      </c>
      <c r="AG217" s="80">
        <v>2685</v>
      </c>
      <c r="AH217" s="32" t="s">
        <v>549</v>
      </c>
    </row>
    <row r="218" ht="20" customHeight="1" spans="1:33">
      <c r="A218" s="45">
        <v>46</v>
      </c>
      <c r="B218" s="45" t="s">
        <v>703</v>
      </c>
      <c r="C218" s="45" t="s">
        <v>704</v>
      </c>
      <c r="D218" s="45" t="s">
        <v>213</v>
      </c>
      <c r="E218" s="49" t="s">
        <v>705</v>
      </c>
      <c r="F218" s="49" t="s">
        <v>706</v>
      </c>
      <c r="G218" s="45" t="s">
        <v>48</v>
      </c>
      <c r="H218" s="49"/>
      <c r="I218" s="53">
        <v>4234</v>
      </c>
      <c r="J218" s="53">
        <v>3811</v>
      </c>
      <c r="K218" s="84">
        <v>3702.74509803922</v>
      </c>
      <c r="L218" s="84">
        <v>3364.07079646018</v>
      </c>
      <c r="M218" s="55">
        <v>2870</v>
      </c>
      <c r="N218" s="63">
        <v>3780</v>
      </c>
      <c r="O218" s="63">
        <v>3430</v>
      </c>
      <c r="P218" s="63">
        <v>2930</v>
      </c>
      <c r="Q218" s="45" t="s">
        <v>54</v>
      </c>
      <c r="R218" s="45" t="s">
        <v>43</v>
      </c>
      <c r="S218" s="45" t="s">
        <v>43</v>
      </c>
      <c r="T218" s="69" t="s">
        <v>416</v>
      </c>
      <c r="U218" s="49" t="s">
        <v>707</v>
      </c>
      <c r="V218" s="43" t="s">
        <v>708</v>
      </c>
      <c r="W218" s="71">
        <v>330300021</v>
      </c>
      <c r="X218" s="43" t="s">
        <v>709</v>
      </c>
      <c r="Y218" s="43" t="s">
        <v>710</v>
      </c>
      <c r="Z218" s="71" t="s">
        <v>43</v>
      </c>
      <c r="AA218" s="71" t="s">
        <v>48</v>
      </c>
      <c r="AB218" s="48"/>
      <c r="AC218" s="75">
        <v>3600</v>
      </c>
      <c r="AD218" s="75">
        <v>3240</v>
      </c>
      <c r="AE218" s="80">
        <v>3090</v>
      </c>
      <c r="AF218" s="80">
        <v>2780</v>
      </c>
      <c r="AG218" s="80">
        <v>2360</v>
      </c>
    </row>
    <row r="219" ht="20" customHeight="1" spans="1:33">
      <c r="A219" s="45"/>
      <c r="B219" s="45"/>
      <c r="C219" s="45"/>
      <c r="D219" s="45"/>
      <c r="E219" s="49"/>
      <c r="F219" s="49"/>
      <c r="G219" s="45"/>
      <c r="H219" s="49"/>
      <c r="I219" s="53"/>
      <c r="J219" s="53"/>
      <c r="K219" s="84"/>
      <c r="L219" s="84"/>
      <c r="M219" s="55"/>
      <c r="N219" s="63"/>
      <c r="O219" s="63"/>
      <c r="P219" s="63"/>
      <c r="Q219" s="45"/>
      <c r="R219" s="45"/>
      <c r="S219" s="45"/>
      <c r="T219" s="69"/>
      <c r="U219" s="49"/>
      <c r="V219" s="43" t="s">
        <v>711</v>
      </c>
      <c r="W219" s="71">
        <v>33030002102</v>
      </c>
      <c r="X219" s="43" t="s">
        <v>712</v>
      </c>
      <c r="Y219" s="43" t="s">
        <v>43</v>
      </c>
      <c r="Z219" s="71" t="s">
        <v>43</v>
      </c>
      <c r="AA219" s="71" t="s">
        <v>48</v>
      </c>
      <c r="AB219" s="48" t="s">
        <v>43</v>
      </c>
      <c r="AC219" s="75">
        <v>4400</v>
      </c>
      <c r="AD219" s="75">
        <v>3960</v>
      </c>
      <c r="AE219" s="80">
        <v>3715</v>
      </c>
      <c r="AF219" s="80">
        <v>3380</v>
      </c>
      <c r="AG219" s="80">
        <v>2870</v>
      </c>
    </row>
    <row r="220" ht="20" customHeight="1" spans="1:33">
      <c r="A220" s="46" t="s">
        <v>81</v>
      </c>
      <c r="B220" s="46" t="s">
        <v>713</v>
      </c>
      <c r="C220" s="46" t="s">
        <v>714</v>
      </c>
      <c r="D220" s="46" t="s">
        <v>213</v>
      </c>
      <c r="E220" s="50" t="s">
        <v>43</v>
      </c>
      <c r="F220" s="50" t="s">
        <v>43</v>
      </c>
      <c r="G220" s="46" t="s">
        <v>48</v>
      </c>
      <c r="H220" s="50" t="s">
        <v>43</v>
      </c>
      <c r="I220" s="53">
        <v>1089</v>
      </c>
      <c r="J220" s="53">
        <v>980</v>
      </c>
      <c r="K220" s="55">
        <v>975</v>
      </c>
      <c r="L220" s="55">
        <v>890</v>
      </c>
      <c r="M220" s="58"/>
      <c r="N220" s="63">
        <v>975</v>
      </c>
      <c r="O220" s="63">
        <v>890</v>
      </c>
      <c r="P220" s="63">
        <v>750</v>
      </c>
      <c r="Q220" s="45" t="s">
        <v>54</v>
      </c>
      <c r="R220" s="45" t="s">
        <v>43</v>
      </c>
      <c r="S220" s="45" t="s">
        <v>43</v>
      </c>
      <c r="T220" s="69"/>
      <c r="U220" s="49" t="s">
        <v>715</v>
      </c>
      <c r="V220" s="43" t="s">
        <v>716</v>
      </c>
      <c r="W220" s="71">
        <v>330300022</v>
      </c>
      <c r="X220" s="43" t="s">
        <v>717</v>
      </c>
      <c r="Y220" s="43" t="s">
        <v>43</v>
      </c>
      <c r="Z220" s="71" t="s">
        <v>43</v>
      </c>
      <c r="AA220" s="71" t="s">
        <v>48</v>
      </c>
      <c r="AB220" s="48" t="s">
        <v>43</v>
      </c>
      <c r="AC220" s="75">
        <v>4800</v>
      </c>
      <c r="AD220" s="75">
        <v>4320</v>
      </c>
      <c r="AE220" s="80">
        <v>4130</v>
      </c>
      <c r="AF220" s="80">
        <v>3720</v>
      </c>
      <c r="AG220" s="80">
        <v>3160</v>
      </c>
    </row>
    <row r="221" ht="20" customHeight="1" spans="1:33">
      <c r="A221" s="46"/>
      <c r="B221" s="46"/>
      <c r="C221" s="46"/>
      <c r="D221" s="46"/>
      <c r="E221" s="50"/>
      <c r="F221" s="50"/>
      <c r="G221" s="46"/>
      <c r="H221" s="50"/>
      <c r="I221" s="102"/>
      <c r="J221" s="102"/>
      <c r="K221" s="55"/>
      <c r="L221" s="55"/>
      <c r="M221" s="58"/>
      <c r="N221" s="63"/>
      <c r="O221" s="63"/>
      <c r="P221" s="63"/>
      <c r="Q221" s="45"/>
      <c r="R221" s="45"/>
      <c r="S221" s="45"/>
      <c r="T221" s="69"/>
      <c r="U221" s="49"/>
      <c r="V221" s="45" t="s">
        <v>718</v>
      </c>
      <c r="W221" s="71">
        <v>33030002202</v>
      </c>
      <c r="X221" s="43" t="s">
        <v>719</v>
      </c>
      <c r="Y221" s="43" t="s">
        <v>43</v>
      </c>
      <c r="Z221" s="71" t="s">
        <v>43</v>
      </c>
      <c r="AA221" s="71" t="s">
        <v>48</v>
      </c>
      <c r="AB221" s="48" t="s">
        <v>43</v>
      </c>
      <c r="AC221" s="75">
        <v>5600</v>
      </c>
      <c r="AD221" s="75">
        <v>5040</v>
      </c>
      <c r="AE221" s="80">
        <v>4755</v>
      </c>
      <c r="AF221" s="80">
        <v>4320</v>
      </c>
      <c r="AG221" s="80">
        <v>3670</v>
      </c>
    </row>
    <row r="222" ht="20" customHeight="1" spans="1:33">
      <c r="A222" s="43" t="s">
        <v>81</v>
      </c>
      <c r="B222" s="43" t="s">
        <v>720</v>
      </c>
      <c r="C222" s="43" t="s">
        <v>721</v>
      </c>
      <c r="D222" s="43" t="s">
        <v>213</v>
      </c>
      <c r="E222" s="48" t="s">
        <v>43</v>
      </c>
      <c r="F222" s="48" t="s">
        <v>43</v>
      </c>
      <c r="G222" s="43" t="s">
        <v>48</v>
      </c>
      <c r="H222" s="48" t="s">
        <v>43</v>
      </c>
      <c r="I222" s="53">
        <v>1270</v>
      </c>
      <c r="J222" s="53">
        <v>1143</v>
      </c>
      <c r="K222" s="54"/>
      <c r="L222" s="54"/>
      <c r="M222" s="54"/>
      <c r="N222" s="63">
        <v>1135</v>
      </c>
      <c r="O222" s="63">
        <v>1030</v>
      </c>
      <c r="P222" s="63">
        <v>880</v>
      </c>
      <c r="Q222" s="45" t="s">
        <v>54</v>
      </c>
      <c r="R222" s="45" t="s">
        <v>43</v>
      </c>
      <c r="S222" s="45" t="s">
        <v>43</v>
      </c>
      <c r="T222" s="69"/>
      <c r="U222" s="49" t="s">
        <v>446</v>
      </c>
      <c r="V222" s="45" t="s">
        <v>722</v>
      </c>
      <c r="W222" s="45">
        <v>33030002101</v>
      </c>
      <c r="X222" s="45" t="s">
        <v>723</v>
      </c>
      <c r="Y222" s="43" t="s">
        <v>43</v>
      </c>
      <c r="Z222" s="71" t="s">
        <v>43</v>
      </c>
      <c r="AA222" s="71" t="s">
        <v>48</v>
      </c>
      <c r="AB222" s="48" t="s">
        <v>43</v>
      </c>
      <c r="AC222" s="75">
        <v>4680</v>
      </c>
      <c r="AD222" s="75">
        <v>4210</v>
      </c>
      <c r="AE222" s="80">
        <v>4015</v>
      </c>
      <c r="AF222" s="80">
        <v>3615</v>
      </c>
      <c r="AG222" s="80">
        <v>3075</v>
      </c>
    </row>
    <row r="223" ht="20" customHeight="1" spans="1:33">
      <c r="A223" s="43"/>
      <c r="B223" s="43"/>
      <c r="C223" s="43"/>
      <c r="D223" s="43"/>
      <c r="E223" s="48"/>
      <c r="F223" s="48"/>
      <c r="G223" s="43"/>
      <c r="H223" s="48"/>
      <c r="I223" s="76"/>
      <c r="J223" s="76"/>
      <c r="K223" s="54"/>
      <c r="L223" s="54"/>
      <c r="M223" s="54"/>
      <c r="N223" s="63"/>
      <c r="O223" s="63"/>
      <c r="P223" s="63"/>
      <c r="Q223" s="45"/>
      <c r="R223" s="45"/>
      <c r="S223" s="45"/>
      <c r="T223" s="69"/>
      <c r="U223" s="49"/>
      <c r="V223" s="45" t="s">
        <v>724</v>
      </c>
      <c r="W223" s="45">
        <v>33030002103</v>
      </c>
      <c r="X223" s="45" t="s">
        <v>725</v>
      </c>
      <c r="Y223" s="43" t="s">
        <v>43</v>
      </c>
      <c r="Z223" s="71" t="s">
        <v>43</v>
      </c>
      <c r="AA223" s="71" t="s">
        <v>48</v>
      </c>
      <c r="AB223" s="48" t="s">
        <v>43</v>
      </c>
      <c r="AC223" s="75">
        <v>5480</v>
      </c>
      <c r="AD223" s="75">
        <v>4930</v>
      </c>
      <c r="AE223" s="80">
        <v>4640</v>
      </c>
      <c r="AF223" s="80">
        <v>4215</v>
      </c>
      <c r="AG223" s="80">
        <v>3585</v>
      </c>
    </row>
    <row r="224" ht="20" customHeight="1" spans="1:33">
      <c r="A224" s="43"/>
      <c r="B224" s="43"/>
      <c r="C224" s="43"/>
      <c r="D224" s="43"/>
      <c r="E224" s="48"/>
      <c r="F224" s="48"/>
      <c r="G224" s="43"/>
      <c r="H224" s="48"/>
      <c r="I224" s="76"/>
      <c r="J224" s="76"/>
      <c r="K224" s="54"/>
      <c r="L224" s="54"/>
      <c r="M224" s="54"/>
      <c r="N224" s="63"/>
      <c r="O224" s="63"/>
      <c r="P224" s="63"/>
      <c r="Q224" s="45"/>
      <c r="R224" s="45"/>
      <c r="S224" s="45"/>
      <c r="T224" s="69"/>
      <c r="U224" s="49"/>
      <c r="V224" s="45" t="s">
        <v>726</v>
      </c>
      <c r="W224" s="45">
        <v>33030002201</v>
      </c>
      <c r="X224" s="45" t="s">
        <v>727</v>
      </c>
      <c r="Y224" s="43" t="s">
        <v>43</v>
      </c>
      <c r="Z224" s="71" t="s">
        <v>43</v>
      </c>
      <c r="AA224" s="71" t="s">
        <v>48</v>
      </c>
      <c r="AB224" s="48" t="s">
        <v>43</v>
      </c>
      <c r="AC224" s="75">
        <v>6240</v>
      </c>
      <c r="AD224" s="75">
        <v>5615</v>
      </c>
      <c r="AE224" s="80">
        <v>5370</v>
      </c>
      <c r="AF224" s="80">
        <v>4835</v>
      </c>
      <c r="AG224" s="80">
        <v>4110</v>
      </c>
    </row>
    <row r="225" ht="20" customHeight="1" spans="1:33">
      <c r="A225" s="43"/>
      <c r="B225" s="43"/>
      <c r="C225" s="43"/>
      <c r="D225" s="43"/>
      <c r="E225" s="48"/>
      <c r="F225" s="48"/>
      <c r="G225" s="43"/>
      <c r="H225" s="48"/>
      <c r="I225" s="76"/>
      <c r="J225" s="76"/>
      <c r="K225" s="54"/>
      <c r="L225" s="54"/>
      <c r="M225" s="54"/>
      <c r="N225" s="63"/>
      <c r="O225" s="63"/>
      <c r="P225" s="63"/>
      <c r="Q225" s="45"/>
      <c r="R225" s="45"/>
      <c r="S225" s="45"/>
      <c r="T225" s="69"/>
      <c r="U225" s="49"/>
      <c r="V225" s="45" t="s">
        <v>728</v>
      </c>
      <c r="W225" s="45">
        <v>33030002203</v>
      </c>
      <c r="X225" s="45" t="s">
        <v>729</v>
      </c>
      <c r="Y225" s="43" t="s">
        <v>43</v>
      </c>
      <c r="Z225" s="71" t="s">
        <v>43</v>
      </c>
      <c r="AA225" s="71" t="s">
        <v>48</v>
      </c>
      <c r="AB225" s="48" t="s">
        <v>43</v>
      </c>
      <c r="AC225" s="75">
        <v>7040</v>
      </c>
      <c r="AD225" s="75">
        <v>6335</v>
      </c>
      <c r="AE225" s="80">
        <v>5995</v>
      </c>
      <c r="AF225" s="80">
        <v>5435</v>
      </c>
      <c r="AG225" s="80">
        <v>4620</v>
      </c>
    </row>
    <row r="226" ht="33" customHeight="1" spans="1:33">
      <c r="A226" s="45">
        <v>47</v>
      </c>
      <c r="B226" s="45" t="s">
        <v>730</v>
      </c>
      <c r="C226" s="45" t="s">
        <v>731</v>
      </c>
      <c r="D226" s="45" t="s">
        <v>213</v>
      </c>
      <c r="E226" s="49" t="s">
        <v>732</v>
      </c>
      <c r="F226" s="49" t="s">
        <v>733</v>
      </c>
      <c r="G226" s="45" t="s">
        <v>48</v>
      </c>
      <c r="H226" s="49" t="s">
        <v>43</v>
      </c>
      <c r="I226" s="53">
        <v>4234</v>
      </c>
      <c r="J226" s="53">
        <v>3811</v>
      </c>
      <c r="K226" s="84">
        <v>3702.74509803922</v>
      </c>
      <c r="L226" s="84">
        <v>3364.07079646018</v>
      </c>
      <c r="M226" s="55">
        <v>2870</v>
      </c>
      <c r="N226" s="63">
        <v>3780</v>
      </c>
      <c r="O226" s="63">
        <v>3430</v>
      </c>
      <c r="P226" s="63">
        <v>2930</v>
      </c>
      <c r="Q226" s="45" t="s">
        <v>54</v>
      </c>
      <c r="R226" s="45" t="s">
        <v>43</v>
      </c>
      <c r="S226" s="45" t="s">
        <v>43</v>
      </c>
      <c r="T226" s="69" t="s">
        <v>416</v>
      </c>
      <c r="U226" s="49" t="s">
        <v>707</v>
      </c>
      <c r="V226" s="43" t="s">
        <v>708</v>
      </c>
      <c r="W226" s="71">
        <v>330300021</v>
      </c>
      <c r="X226" s="43" t="s">
        <v>709</v>
      </c>
      <c r="Y226" s="43" t="s">
        <v>710</v>
      </c>
      <c r="Z226" s="71" t="s">
        <v>43</v>
      </c>
      <c r="AA226" s="71" t="s">
        <v>48</v>
      </c>
      <c r="AB226" s="48" t="s">
        <v>43</v>
      </c>
      <c r="AC226" s="75">
        <v>3600</v>
      </c>
      <c r="AD226" s="75">
        <v>3240</v>
      </c>
      <c r="AE226" s="80">
        <v>3090</v>
      </c>
      <c r="AF226" s="80">
        <v>2780</v>
      </c>
      <c r="AG226" s="80">
        <v>2360</v>
      </c>
    </row>
    <row r="227" ht="33" customHeight="1" spans="1:33">
      <c r="A227" s="45"/>
      <c r="B227" s="45"/>
      <c r="C227" s="45"/>
      <c r="D227" s="45"/>
      <c r="E227" s="49"/>
      <c r="F227" s="49"/>
      <c r="G227" s="45"/>
      <c r="H227" s="49"/>
      <c r="I227" s="53"/>
      <c r="J227" s="53"/>
      <c r="K227" s="84"/>
      <c r="L227" s="84"/>
      <c r="M227" s="55"/>
      <c r="N227" s="63"/>
      <c r="O227" s="63"/>
      <c r="P227" s="63"/>
      <c r="Q227" s="45"/>
      <c r="R227" s="45"/>
      <c r="S227" s="45"/>
      <c r="T227" s="69"/>
      <c r="U227" s="49"/>
      <c r="V227" s="43" t="s">
        <v>711</v>
      </c>
      <c r="W227" s="71">
        <v>33030002102</v>
      </c>
      <c r="X227" s="43" t="s">
        <v>712</v>
      </c>
      <c r="Y227" s="43" t="s">
        <v>43</v>
      </c>
      <c r="Z227" s="71" t="s">
        <v>43</v>
      </c>
      <c r="AA227" s="71" t="s">
        <v>48</v>
      </c>
      <c r="AB227" s="48" t="s">
        <v>43</v>
      </c>
      <c r="AC227" s="75">
        <v>4400</v>
      </c>
      <c r="AD227" s="75">
        <v>3960</v>
      </c>
      <c r="AE227" s="80">
        <v>3715</v>
      </c>
      <c r="AF227" s="80">
        <v>3380</v>
      </c>
      <c r="AG227" s="80">
        <v>2870</v>
      </c>
    </row>
    <row r="228" ht="28" customHeight="1" spans="1:33">
      <c r="A228" s="46" t="s">
        <v>81</v>
      </c>
      <c r="B228" s="46" t="s">
        <v>734</v>
      </c>
      <c r="C228" s="46" t="s">
        <v>735</v>
      </c>
      <c r="D228" s="46" t="s">
        <v>213</v>
      </c>
      <c r="E228" s="50" t="s">
        <v>43</v>
      </c>
      <c r="F228" s="50" t="s">
        <v>43</v>
      </c>
      <c r="G228" s="46" t="s">
        <v>48</v>
      </c>
      <c r="H228" s="50" t="s">
        <v>43</v>
      </c>
      <c r="I228" s="53">
        <v>1089</v>
      </c>
      <c r="J228" s="53">
        <v>980</v>
      </c>
      <c r="K228" s="58"/>
      <c r="L228" s="58"/>
      <c r="M228" s="58"/>
      <c r="N228" s="63">
        <v>975</v>
      </c>
      <c r="O228" s="63">
        <v>890</v>
      </c>
      <c r="P228" s="63">
        <v>750</v>
      </c>
      <c r="Q228" s="45" t="s">
        <v>54</v>
      </c>
      <c r="R228" s="45" t="s">
        <v>43</v>
      </c>
      <c r="S228" s="45" t="s">
        <v>43</v>
      </c>
      <c r="T228" s="69"/>
      <c r="U228" s="49" t="s">
        <v>715</v>
      </c>
      <c r="V228" s="43" t="s">
        <v>716</v>
      </c>
      <c r="W228" s="71">
        <v>330300022</v>
      </c>
      <c r="X228" s="43" t="s">
        <v>717</v>
      </c>
      <c r="Y228" s="43" t="s">
        <v>43</v>
      </c>
      <c r="Z228" s="71" t="s">
        <v>43</v>
      </c>
      <c r="AA228" s="71" t="s">
        <v>48</v>
      </c>
      <c r="AB228" s="48" t="s">
        <v>43</v>
      </c>
      <c r="AC228" s="75">
        <v>4800</v>
      </c>
      <c r="AD228" s="75">
        <v>4320</v>
      </c>
      <c r="AE228" s="80">
        <v>4130</v>
      </c>
      <c r="AF228" s="80">
        <v>3720</v>
      </c>
      <c r="AG228" s="80">
        <v>3160</v>
      </c>
    </row>
    <row r="229" ht="28" customHeight="1" spans="1:33">
      <c r="A229" s="46"/>
      <c r="B229" s="46"/>
      <c r="C229" s="46"/>
      <c r="D229" s="46"/>
      <c r="E229" s="50"/>
      <c r="F229" s="50"/>
      <c r="G229" s="46"/>
      <c r="H229" s="50"/>
      <c r="I229" s="102"/>
      <c r="J229" s="102"/>
      <c r="K229" s="58"/>
      <c r="L229" s="58"/>
      <c r="M229" s="58"/>
      <c r="N229" s="63"/>
      <c r="O229" s="63"/>
      <c r="P229" s="63"/>
      <c r="Q229" s="45"/>
      <c r="R229" s="45"/>
      <c r="S229" s="45"/>
      <c r="T229" s="69"/>
      <c r="U229" s="49"/>
      <c r="V229" s="45" t="s">
        <v>718</v>
      </c>
      <c r="W229" s="71">
        <v>33030002202</v>
      </c>
      <c r="X229" s="43" t="s">
        <v>719</v>
      </c>
      <c r="Y229" s="43" t="s">
        <v>43</v>
      </c>
      <c r="Z229" s="71" t="s">
        <v>43</v>
      </c>
      <c r="AA229" s="71" t="s">
        <v>48</v>
      </c>
      <c r="AB229" s="48" t="s">
        <v>43</v>
      </c>
      <c r="AC229" s="75">
        <v>5600</v>
      </c>
      <c r="AD229" s="75">
        <v>5040</v>
      </c>
      <c r="AE229" s="80">
        <v>4755</v>
      </c>
      <c r="AF229" s="80">
        <v>4320</v>
      </c>
      <c r="AG229" s="80">
        <v>3670</v>
      </c>
    </row>
    <row r="230" ht="29" customHeight="1" spans="1:33">
      <c r="A230" s="43" t="s">
        <v>81</v>
      </c>
      <c r="B230" s="43" t="s">
        <v>736</v>
      </c>
      <c r="C230" s="43" t="s">
        <v>737</v>
      </c>
      <c r="D230" s="43" t="s">
        <v>213</v>
      </c>
      <c r="E230" s="48" t="s">
        <v>43</v>
      </c>
      <c r="F230" s="48" t="s">
        <v>43</v>
      </c>
      <c r="G230" s="43" t="s">
        <v>48</v>
      </c>
      <c r="H230" s="48" t="s">
        <v>43</v>
      </c>
      <c r="I230" s="53">
        <v>1270</v>
      </c>
      <c r="J230" s="53">
        <v>1143</v>
      </c>
      <c r="K230" s="54"/>
      <c r="L230" s="54"/>
      <c r="M230" s="54"/>
      <c r="N230" s="63">
        <v>1135</v>
      </c>
      <c r="O230" s="63">
        <v>1030</v>
      </c>
      <c r="P230" s="63">
        <v>880</v>
      </c>
      <c r="Q230" s="45" t="s">
        <v>54</v>
      </c>
      <c r="R230" s="45" t="s">
        <v>43</v>
      </c>
      <c r="S230" s="45" t="s">
        <v>43</v>
      </c>
      <c r="T230" s="69"/>
      <c r="U230" s="49" t="s">
        <v>446</v>
      </c>
      <c r="V230" s="45" t="s">
        <v>722</v>
      </c>
      <c r="W230" s="45">
        <v>33030002101</v>
      </c>
      <c r="X230" s="45" t="s">
        <v>723</v>
      </c>
      <c r="Y230" s="43" t="s">
        <v>43</v>
      </c>
      <c r="Z230" s="71" t="s">
        <v>43</v>
      </c>
      <c r="AA230" s="71" t="s">
        <v>48</v>
      </c>
      <c r="AB230" s="48" t="s">
        <v>43</v>
      </c>
      <c r="AC230" s="75">
        <v>4680</v>
      </c>
      <c r="AD230" s="75">
        <v>4210</v>
      </c>
      <c r="AE230" s="80">
        <v>4015</v>
      </c>
      <c r="AF230" s="80">
        <v>3615</v>
      </c>
      <c r="AG230" s="80">
        <v>3075</v>
      </c>
    </row>
    <row r="231" ht="29" customHeight="1" spans="1:33">
      <c r="A231" s="43"/>
      <c r="B231" s="43"/>
      <c r="C231" s="43"/>
      <c r="D231" s="43"/>
      <c r="E231" s="48"/>
      <c r="F231" s="48"/>
      <c r="G231" s="43"/>
      <c r="H231" s="48"/>
      <c r="I231" s="76"/>
      <c r="J231" s="76"/>
      <c r="K231" s="54"/>
      <c r="L231" s="54"/>
      <c r="M231" s="54"/>
      <c r="N231" s="63"/>
      <c r="O231" s="63"/>
      <c r="P231" s="63"/>
      <c r="Q231" s="45"/>
      <c r="R231" s="45"/>
      <c r="S231" s="45"/>
      <c r="T231" s="69"/>
      <c r="U231" s="49"/>
      <c r="V231" s="45" t="s">
        <v>724</v>
      </c>
      <c r="W231" s="45">
        <v>33030002103</v>
      </c>
      <c r="X231" s="45" t="s">
        <v>725</v>
      </c>
      <c r="Y231" s="43" t="s">
        <v>43</v>
      </c>
      <c r="Z231" s="71" t="s">
        <v>43</v>
      </c>
      <c r="AA231" s="71" t="s">
        <v>48</v>
      </c>
      <c r="AB231" s="48" t="s">
        <v>43</v>
      </c>
      <c r="AC231" s="75">
        <v>5480</v>
      </c>
      <c r="AD231" s="75">
        <v>4930</v>
      </c>
      <c r="AE231" s="80">
        <v>4640</v>
      </c>
      <c r="AF231" s="80">
        <v>4215</v>
      </c>
      <c r="AG231" s="80">
        <v>3585</v>
      </c>
    </row>
    <row r="232" ht="29" customHeight="1" spans="1:33">
      <c r="A232" s="43"/>
      <c r="B232" s="43"/>
      <c r="C232" s="43"/>
      <c r="D232" s="43"/>
      <c r="E232" s="48"/>
      <c r="F232" s="48"/>
      <c r="G232" s="43"/>
      <c r="H232" s="48"/>
      <c r="I232" s="76"/>
      <c r="J232" s="76"/>
      <c r="K232" s="54"/>
      <c r="L232" s="54"/>
      <c r="M232" s="54"/>
      <c r="N232" s="63"/>
      <c r="O232" s="63"/>
      <c r="P232" s="63"/>
      <c r="Q232" s="45"/>
      <c r="R232" s="45"/>
      <c r="S232" s="45"/>
      <c r="T232" s="69"/>
      <c r="U232" s="49"/>
      <c r="V232" s="45" t="s">
        <v>726</v>
      </c>
      <c r="W232" s="45">
        <v>33030002201</v>
      </c>
      <c r="X232" s="45" t="s">
        <v>727</v>
      </c>
      <c r="Y232" s="43" t="s">
        <v>43</v>
      </c>
      <c r="Z232" s="71" t="s">
        <v>43</v>
      </c>
      <c r="AA232" s="71" t="s">
        <v>48</v>
      </c>
      <c r="AB232" s="48" t="s">
        <v>43</v>
      </c>
      <c r="AC232" s="75">
        <v>6240</v>
      </c>
      <c r="AD232" s="75">
        <v>5615</v>
      </c>
      <c r="AE232" s="80">
        <v>5370</v>
      </c>
      <c r="AF232" s="80">
        <v>4835</v>
      </c>
      <c r="AG232" s="80">
        <v>4110</v>
      </c>
    </row>
    <row r="233" ht="29" customHeight="1" spans="1:33">
      <c r="A233" s="43"/>
      <c r="B233" s="43"/>
      <c r="C233" s="43"/>
      <c r="D233" s="43"/>
      <c r="E233" s="48"/>
      <c r="F233" s="48"/>
      <c r="G233" s="43"/>
      <c r="H233" s="48"/>
      <c r="I233" s="76"/>
      <c r="J233" s="76"/>
      <c r="K233" s="54"/>
      <c r="L233" s="54"/>
      <c r="M233" s="54"/>
      <c r="N233" s="63"/>
      <c r="O233" s="63"/>
      <c r="P233" s="63"/>
      <c r="Q233" s="45"/>
      <c r="R233" s="45"/>
      <c r="S233" s="45"/>
      <c r="T233" s="69"/>
      <c r="U233" s="49"/>
      <c r="V233" s="45" t="s">
        <v>728</v>
      </c>
      <c r="W233" s="45">
        <v>33030002203</v>
      </c>
      <c r="X233" s="45" t="s">
        <v>729</v>
      </c>
      <c r="Y233" s="43" t="s">
        <v>43</v>
      </c>
      <c r="Z233" s="71" t="s">
        <v>43</v>
      </c>
      <c r="AA233" s="71" t="s">
        <v>48</v>
      </c>
      <c r="AB233" s="48" t="s">
        <v>43</v>
      </c>
      <c r="AC233" s="75">
        <v>7040</v>
      </c>
      <c r="AD233" s="75">
        <v>6335</v>
      </c>
      <c r="AE233" s="80">
        <v>5995</v>
      </c>
      <c r="AF233" s="80">
        <v>5435</v>
      </c>
      <c r="AG233" s="80">
        <v>4620</v>
      </c>
    </row>
    <row r="234" ht="78" customHeight="1" spans="1:33">
      <c r="A234" s="46">
        <v>48</v>
      </c>
      <c r="B234" s="46" t="s">
        <v>738</v>
      </c>
      <c r="C234" s="46" t="s">
        <v>739</v>
      </c>
      <c r="D234" s="46" t="s">
        <v>213</v>
      </c>
      <c r="E234" s="50" t="s">
        <v>740</v>
      </c>
      <c r="F234" s="50" t="s">
        <v>741</v>
      </c>
      <c r="G234" s="46" t="s">
        <v>40</v>
      </c>
      <c r="H234" s="50" t="s">
        <v>43</v>
      </c>
      <c r="I234" s="53">
        <v>5520</v>
      </c>
      <c r="J234" s="53">
        <v>4968</v>
      </c>
      <c r="K234" s="58"/>
      <c r="L234" s="58"/>
      <c r="M234" s="58"/>
      <c r="N234" s="63">
        <v>5000</v>
      </c>
      <c r="O234" s="63">
        <v>4500</v>
      </c>
      <c r="P234" s="63">
        <v>3850</v>
      </c>
      <c r="Q234" s="45" t="s">
        <v>54</v>
      </c>
      <c r="R234" s="45" t="s">
        <v>43</v>
      </c>
      <c r="S234" s="45" t="s">
        <v>43</v>
      </c>
      <c r="T234" s="69" t="s">
        <v>416</v>
      </c>
      <c r="U234" s="49" t="s">
        <v>742</v>
      </c>
      <c r="V234" s="43" t="s">
        <v>743</v>
      </c>
      <c r="W234" s="71">
        <v>330300025</v>
      </c>
      <c r="X234" s="43" t="s">
        <v>744</v>
      </c>
      <c r="Y234" s="43" t="s">
        <v>745</v>
      </c>
      <c r="Z234" s="71" t="s">
        <v>43</v>
      </c>
      <c r="AA234" s="71" t="s">
        <v>40</v>
      </c>
      <c r="AB234" s="48" t="s">
        <v>43</v>
      </c>
      <c r="AC234" s="75">
        <v>5520</v>
      </c>
      <c r="AD234" s="75">
        <v>4970</v>
      </c>
      <c r="AE234" s="80">
        <v>4740</v>
      </c>
      <c r="AF234" s="80">
        <v>4270</v>
      </c>
      <c r="AG234" s="80">
        <v>3630</v>
      </c>
    </row>
    <row r="235" ht="51" customHeight="1" spans="1:33">
      <c r="A235" s="46" t="s">
        <v>81</v>
      </c>
      <c r="B235" s="46" t="s">
        <v>746</v>
      </c>
      <c r="C235" s="46" t="s">
        <v>747</v>
      </c>
      <c r="D235" s="46" t="s">
        <v>213</v>
      </c>
      <c r="E235" s="50" t="s">
        <v>43</v>
      </c>
      <c r="F235" s="50" t="s">
        <v>43</v>
      </c>
      <c r="G235" s="46" t="s">
        <v>40</v>
      </c>
      <c r="H235" s="50" t="s">
        <v>43</v>
      </c>
      <c r="I235" s="53">
        <v>1656</v>
      </c>
      <c r="J235" s="53">
        <v>1490</v>
      </c>
      <c r="K235" s="55"/>
      <c r="L235" s="55"/>
      <c r="M235" s="55"/>
      <c r="N235" s="63">
        <v>1500</v>
      </c>
      <c r="O235" s="63">
        <v>1350</v>
      </c>
      <c r="P235" s="63">
        <v>1155</v>
      </c>
      <c r="Q235" s="45" t="s">
        <v>54</v>
      </c>
      <c r="R235" s="45" t="s">
        <v>43</v>
      </c>
      <c r="S235" s="45" t="s">
        <v>43</v>
      </c>
      <c r="T235" s="69"/>
      <c r="U235" s="49" t="s">
        <v>446</v>
      </c>
      <c r="V235" s="45" t="s">
        <v>748</v>
      </c>
      <c r="W235" s="45">
        <v>33030002501</v>
      </c>
      <c r="X235" s="45" t="s">
        <v>749</v>
      </c>
      <c r="Y235" s="43" t="s">
        <v>43</v>
      </c>
      <c r="Z235" s="71" t="s">
        <v>43</v>
      </c>
      <c r="AA235" s="71" t="s">
        <v>40</v>
      </c>
      <c r="AB235" s="48" t="s">
        <v>43</v>
      </c>
      <c r="AC235" s="75">
        <v>7175</v>
      </c>
      <c r="AD235" s="75">
        <v>6460</v>
      </c>
      <c r="AE235" s="80">
        <v>6160</v>
      </c>
      <c r="AF235" s="80">
        <v>5550</v>
      </c>
      <c r="AG235" s="80">
        <v>4720</v>
      </c>
    </row>
    <row r="236" ht="40" customHeight="1" spans="1:33">
      <c r="A236" s="46" t="s">
        <v>81</v>
      </c>
      <c r="B236" s="46" t="s">
        <v>750</v>
      </c>
      <c r="C236" s="46" t="s">
        <v>751</v>
      </c>
      <c r="D236" s="46" t="s">
        <v>213</v>
      </c>
      <c r="E236" s="50" t="s">
        <v>43</v>
      </c>
      <c r="F236" s="50" t="s">
        <v>43</v>
      </c>
      <c r="G236" s="46" t="s">
        <v>40</v>
      </c>
      <c r="H236" s="50" t="s">
        <v>43</v>
      </c>
      <c r="I236" s="53">
        <v>5520</v>
      </c>
      <c r="J236" s="53">
        <v>4968</v>
      </c>
      <c r="K236" s="58"/>
      <c r="L236" s="58"/>
      <c r="M236" s="58"/>
      <c r="N236" s="63">
        <v>5000</v>
      </c>
      <c r="O236" s="63">
        <v>4500</v>
      </c>
      <c r="P236" s="63">
        <v>3850</v>
      </c>
      <c r="Q236" s="45" t="s">
        <v>54</v>
      </c>
      <c r="R236" s="45" t="s">
        <v>43</v>
      </c>
      <c r="S236" s="45" t="s">
        <v>43</v>
      </c>
      <c r="T236" s="69"/>
      <c r="U236" s="49" t="s">
        <v>84</v>
      </c>
      <c r="V236" s="43"/>
      <c r="W236" s="71"/>
      <c r="X236" s="43"/>
      <c r="Y236" s="43"/>
      <c r="Z236" s="71"/>
      <c r="AA236" s="71"/>
      <c r="AB236" s="48"/>
      <c r="AC236" s="74"/>
      <c r="AD236" s="74"/>
      <c r="AE236" s="78"/>
      <c r="AF236" s="78"/>
      <c r="AG236" s="78"/>
    </row>
    <row r="237" ht="20" customHeight="1" spans="1:33">
      <c r="A237" s="45">
        <v>49</v>
      </c>
      <c r="B237" s="45" t="s">
        <v>752</v>
      </c>
      <c r="C237" s="45" t="s">
        <v>753</v>
      </c>
      <c r="D237" s="45" t="s">
        <v>213</v>
      </c>
      <c r="E237" s="49" t="s">
        <v>754</v>
      </c>
      <c r="F237" s="49" t="s">
        <v>755</v>
      </c>
      <c r="G237" s="45" t="s">
        <v>40</v>
      </c>
      <c r="H237" s="49" t="s">
        <v>43</v>
      </c>
      <c r="I237" s="53">
        <v>3206</v>
      </c>
      <c r="J237" s="53">
        <v>2885</v>
      </c>
      <c r="K237" s="84">
        <v>2677.35576923077</v>
      </c>
      <c r="L237" s="84">
        <v>2455.32051282051</v>
      </c>
      <c r="M237" s="84">
        <v>2137.5</v>
      </c>
      <c r="N237" s="63">
        <v>2900</v>
      </c>
      <c r="O237" s="63">
        <v>2600</v>
      </c>
      <c r="P237" s="63">
        <v>2250</v>
      </c>
      <c r="Q237" s="45" t="s">
        <v>54</v>
      </c>
      <c r="R237" s="45" t="s">
        <v>43</v>
      </c>
      <c r="S237" s="45" t="s">
        <v>43</v>
      </c>
      <c r="T237" s="69" t="s">
        <v>416</v>
      </c>
      <c r="U237" s="49" t="s">
        <v>756</v>
      </c>
      <c r="V237" s="43" t="s">
        <v>757</v>
      </c>
      <c r="W237" s="71">
        <v>331102009</v>
      </c>
      <c r="X237" s="43" t="s">
        <v>758</v>
      </c>
      <c r="Y237" s="43" t="s">
        <v>43</v>
      </c>
      <c r="Z237" s="71" t="s">
        <v>43</v>
      </c>
      <c r="AA237" s="71" t="s">
        <v>40</v>
      </c>
      <c r="AB237" s="48" t="s">
        <v>43</v>
      </c>
      <c r="AC237" s="75">
        <v>2500</v>
      </c>
      <c r="AD237" s="75">
        <v>2240</v>
      </c>
      <c r="AE237" s="80">
        <v>2375</v>
      </c>
      <c r="AF237" s="80">
        <v>2140</v>
      </c>
      <c r="AG237" s="80">
        <v>1710</v>
      </c>
    </row>
    <row r="238" ht="20" customHeight="1" spans="1:33">
      <c r="A238" s="45"/>
      <c r="B238" s="45"/>
      <c r="C238" s="45"/>
      <c r="D238" s="45"/>
      <c r="E238" s="49"/>
      <c r="F238" s="49"/>
      <c r="G238" s="45"/>
      <c r="H238" s="49"/>
      <c r="I238" s="53"/>
      <c r="J238" s="53"/>
      <c r="K238" s="84"/>
      <c r="L238" s="84"/>
      <c r="M238" s="84"/>
      <c r="N238" s="63"/>
      <c r="O238" s="63"/>
      <c r="P238" s="63"/>
      <c r="Q238" s="45"/>
      <c r="R238" s="45"/>
      <c r="S238" s="45"/>
      <c r="T238" s="69"/>
      <c r="U238" s="49"/>
      <c r="V238" s="43" t="s">
        <v>759</v>
      </c>
      <c r="W238" s="71">
        <v>33110200902</v>
      </c>
      <c r="X238" s="43" t="s">
        <v>760</v>
      </c>
      <c r="Y238" s="43" t="s">
        <v>43</v>
      </c>
      <c r="Z238" s="71" t="s">
        <v>43</v>
      </c>
      <c r="AA238" s="71" t="s">
        <v>40</v>
      </c>
      <c r="AB238" s="48" t="s">
        <v>43</v>
      </c>
      <c r="AC238" s="75">
        <v>3300</v>
      </c>
      <c r="AD238" s="75">
        <v>2960</v>
      </c>
      <c r="AE238" s="80">
        <v>3000</v>
      </c>
      <c r="AF238" s="80">
        <v>2740</v>
      </c>
      <c r="AG238" s="80">
        <v>2220</v>
      </c>
    </row>
    <row r="239" ht="20" customHeight="1" spans="1:33">
      <c r="A239" s="45"/>
      <c r="B239" s="45"/>
      <c r="C239" s="45"/>
      <c r="D239" s="45"/>
      <c r="E239" s="49"/>
      <c r="F239" s="49"/>
      <c r="G239" s="45"/>
      <c r="H239" s="49"/>
      <c r="I239" s="53"/>
      <c r="J239" s="53"/>
      <c r="K239" s="84"/>
      <c r="L239" s="84"/>
      <c r="M239" s="84"/>
      <c r="N239" s="63"/>
      <c r="O239" s="63"/>
      <c r="P239" s="63"/>
      <c r="Q239" s="45"/>
      <c r="R239" s="45"/>
      <c r="S239" s="45"/>
      <c r="T239" s="69"/>
      <c r="U239" s="49"/>
      <c r="V239" s="43" t="s">
        <v>761</v>
      </c>
      <c r="W239" s="71">
        <v>331102012</v>
      </c>
      <c r="X239" s="43" t="s">
        <v>762</v>
      </c>
      <c r="Y239" s="43" t="s">
        <v>43</v>
      </c>
      <c r="Z239" s="71" t="s">
        <v>43</v>
      </c>
      <c r="AA239" s="71" t="s">
        <v>40</v>
      </c>
      <c r="AB239" s="48" t="s">
        <v>43</v>
      </c>
      <c r="AC239" s="75">
        <v>2110</v>
      </c>
      <c r="AD239" s="75">
        <v>1900</v>
      </c>
      <c r="AE239" s="80">
        <v>1860</v>
      </c>
      <c r="AF239" s="80">
        <v>1670</v>
      </c>
      <c r="AG239" s="80">
        <v>1420</v>
      </c>
    </row>
    <row r="240" ht="20" customHeight="1" spans="1:33">
      <c r="A240" s="45"/>
      <c r="B240" s="45"/>
      <c r="C240" s="45"/>
      <c r="D240" s="45"/>
      <c r="E240" s="49"/>
      <c r="F240" s="49"/>
      <c r="G240" s="45"/>
      <c r="H240" s="49"/>
      <c r="I240" s="53"/>
      <c r="J240" s="53"/>
      <c r="K240" s="84"/>
      <c r="L240" s="84"/>
      <c r="M240" s="84"/>
      <c r="N240" s="63"/>
      <c r="O240" s="63"/>
      <c r="P240" s="63"/>
      <c r="Q240" s="45"/>
      <c r="R240" s="45"/>
      <c r="S240" s="45"/>
      <c r="T240" s="69"/>
      <c r="U240" s="49"/>
      <c r="V240" s="43" t="s">
        <v>763</v>
      </c>
      <c r="W240" s="71">
        <v>33110201202</v>
      </c>
      <c r="X240" s="43" t="s">
        <v>764</v>
      </c>
      <c r="Y240" s="43" t="s">
        <v>43</v>
      </c>
      <c r="Z240" s="71" t="s">
        <v>43</v>
      </c>
      <c r="AA240" s="71" t="s">
        <v>40</v>
      </c>
      <c r="AB240" s="48" t="s">
        <v>43</v>
      </c>
      <c r="AC240" s="75">
        <v>2910</v>
      </c>
      <c r="AD240" s="75">
        <v>2620</v>
      </c>
      <c r="AE240" s="80">
        <v>2485</v>
      </c>
      <c r="AF240" s="80">
        <v>2270</v>
      </c>
      <c r="AG240" s="80">
        <v>1930</v>
      </c>
    </row>
    <row r="241" ht="20" customHeight="1" spans="1:37">
      <c r="A241" s="45"/>
      <c r="B241" s="45"/>
      <c r="C241" s="45"/>
      <c r="D241" s="45"/>
      <c r="E241" s="49"/>
      <c r="F241" s="49"/>
      <c r="G241" s="45"/>
      <c r="H241" s="49"/>
      <c r="I241" s="53"/>
      <c r="J241" s="53"/>
      <c r="K241" s="84"/>
      <c r="L241" s="84"/>
      <c r="M241" s="84"/>
      <c r="N241" s="63"/>
      <c r="O241" s="63"/>
      <c r="P241" s="63"/>
      <c r="Q241" s="45"/>
      <c r="R241" s="45"/>
      <c r="S241" s="45"/>
      <c r="T241" s="69"/>
      <c r="U241" s="49"/>
      <c r="V241" s="43" t="s">
        <v>765</v>
      </c>
      <c r="W241" s="71">
        <v>331102004</v>
      </c>
      <c r="X241" s="73" t="s">
        <v>766</v>
      </c>
      <c r="Y241" s="43" t="s">
        <v>43</v>
      </c>
      <c r="Z241" s="71" t="s">
        <v>43</v>
      </c>
      <c r="AA241" s="71" t="s">
        <v>40</v>
      </c>
      <c r="AB241" s="48" t="s">
        <v>43</v>
      </c>
      <c r="AC241" s="75">
        <v>3070</v>
      </c>
      <c r="AD241" s="75">
        <v>2760</v>
      </c>
      <c r="AE241" s="80">
        <v>2700</v>
      </c>
      <c r="AF241" s="80">
        <v>2430</v>
      </c>
      <c r="AG241" s="80">
        <v>2070</v>
      </c>
      <c r="AH241" s="32" t="s">
        <v>549</v>
      </c>
      <c r="AI241" s="32">
        <f>AVERAGE(AE241:AE244)</f>
        <v>2842.5</v>
      </c>
      <c r="AJ241" s="32">
        <f>AVERAGE(AF241:AF244)</f>
        <v>2575</v>
      </c>
      <c r="AK241" s="32">
        <f>AVERAGE(AG241:AG244)</f>
        <v>2190</v>
      </c>
    </row>
    <row r="242" ht="20" customHeight="1" spans="1:33">
      <c r="A242" s="45"/>
      <c r="B242" s="45"/>
      <c r="C242" s="45"/>
      <c r="D242" s="45"/>
      <c r="E242" s="49"/>
      <c r="F242" s="49"/>
      <c r="G242" s="45"/>
      <c r="H242" s="49"/>
      <c r="I242" s="53"/>
      <c r="J242" s="53"/>
      <c r="K242" s="84"/>
      <c r="L242" s="84"/>
      <c r="M242" s="84"/>
      <c r="N242" s="63"/>
      <c r="O242" s="63"/>
      <c r="P242" s="63"/>
      <c r="Q242" s="45"/>
      <c r="R242" s="45"/>
      <c r="S242" s="45"/>
      <c r="T242" s="69"/>
      <c r="U242" s="49"/>
      <c r="V242" s="45" t="s">
        <v>767</v>
      </c>
      <c r="W242" s="71">
        <v>33110200402</v>
      </c>
      <c r="X242" s="73" t="s">
        <v>768</v>
      </c>
      <c r="Y242" s="43" t="s">
        <v>43</v>
      </c>
      <c r="Z242" s="71" t="s">
        <v>43</v>
      </c>
      <c r="AA242" s="71" t="s">
        <v>40</v>
      </c>
      <c r="AB242" s="48" t="s">
        <v>43</v>
      </c>
      <c r="AC242" s="75">
        <v>3870</v>
      </c>
      <c r="AD242" s="75">
        <v>3480</v>
      </c>
      <c r="AE242" s="80">
        <v>3325</v>
      </c>
      <c r="AF242" s="80">
        <v>3030</v>
      </c>
      <c r="AG242" s="80">
        <v>2580</v>
      </c>
    </row>
    <row r="243" ht="20" customHeight="1" spans="1:33">
      <c r="A243" s="45"/>
      <c r="B243" s="45"/>
      <c r="C243" s="45"/>
      <c r="D243" s="45"/>
      <c r="E243" s="49"/>
      <c r="F243" s="49"/>
      <c r="G243" s="45"/>
      <c r="H243" s="49"/>
      <c r="I243" s="53"/>
      <c r="J243" s="53"/>
      <c r="K243" s="84"/>
      <c r="L243" s="84"/>
      <c r="M243" s="84"/>
      <c r="N243" s="63"/>
      <c r="O243" s="63"/>
      <c r="P243" s="63"/>
      <c r="Q243" s="45"/>
      <c r="R243" s="45"/>
      <c r="S243" s="45"/>
      <c r="T243" s="69"/>
      <c r="U243" s="49"/>
      <c r="V243" s="43" t="s">
        <v>769</v>
      </c>
      <c r="W243" s="71">
        <v>331102014</v>
      </c>
      <c r="X243" s="73" t="s">
        <v>770</v>
      </c>
      <c r="Y243" s="43" t="s">
        <v>43</v>
      </c>
      <c r="Z243" s="71" t="s">
        <v>43</v>
      </c>
      <c r="AA243" s="71" t="s">
        <v>40</v>
      </c>
      <c r="AB243" s="48" t="s">
        <v>43</v>
      </c>
      <c r="AC243" s="75">
        <v>2690</v>
      </c>
      <c r="AD243" s="75">
        <v>2420</v>
      </c>
      <c r="AE243" s="80">
        <v>2360</v>
      </c>
      <c r="AF243" s="80">
        <v>2120</v>
      </c>
      <c r="AG243" s="80">
        <v>1800</v>
      </c>
    </row>
    <row r="244" ht="20" customHeight="1" spans="1:33">
      <c r="A244" s="45"/>
      <c r="B244" s="45"/>
      <c r="C244" s="45"/>
      <c r="D244" s="45"/>
      <c r="E244" s="49"/>
      <c r="F244" s="49"/>
      <c r="G244" s="45"/>
      <c r="H244" s="49"/>
      <c r="I244" s="53"/>
      <c r="J244" s="53"/>
      <c r="K244" s="84"/>
      <c r="L244" s="84"/>
      <c r="M244" s="84"/>
      <c r="N244" s="63"/>
      <c r="O244" s="63"/>
      <c r="P244" s="63"/>
      <c r="Q244" s="45"/>
      <c r="R244" s="45"/>
      <c r="S244" s="45"/>
      <c r="T244" s="69"/>
      <c r="U244" s="49"/>
      <c r="V244" s="43" t="s">
        <v>771</v>
      </c>
      <c r="W244" s="71">
        <v>33110201402</v>
      </c>
      <c r="X244" s="73" t="s">
        <v>772</v>
      </c>
      <c r="Y244" s="43" t="s">
        <v>43</v>
      </c>
      <c r="Z244" s="71" t="s">
        <v>43</v>
      </c>
      <c r="AA244" s="71" t="s">
        <v>40</v>
      </c>
      <c r="AB244" s="48" t="s">
        <v>43</v>
      </c>
      <c r="AC244" s="75">
        <v>3490</v>
      </c>
      <c r="AD244" s="75">
        <v>3140</v>
      </c>
      <c r="AE244" s="80">
        <v>2985</v>
      </c>
      <c r="AF244" s="80">
        <v>2720</v>
      </c>
      <c r="AG244" s="80">
        <v>2310</v>
      </c>
    </row>
    <row r="245" ht="20" customHeight="1" spans="1:34">
      <c r="A245" s="45"/>
      <c r="B245" s="45"/>
      <c r="C245" s="45"/>
      <c r="D245" s="45"/>
      <c r="E245" s="49"/>
      <c r="F245" s="49"/>
      <c r="G245" s="45"/>
      <c r="H245" s="49"/>
      <c r="I245" s="53"/>
      <c r="J245" s="53"/>
      <c r="K245" s="84"/>
      <c r="L245" s="84"/>
      <c r="M245" s="84"/>
      <c r="N245" s="63"/>
      <c r="O245" s="63"/>
      <c r="P245" s="63"/>
      <c r="Q245" s="45"/>
      <c r="R245" s="45"/>
      <c r="S245" s="45"/>
      <c r="T245" s="69"/>
      <c r="U245" s="49"/>
      <c r="V245" s="43" t="s">
        <v>773</v>
      </c>
      <c r="W245" s="71">
        <v>331102008</v>
      </c>
      <c r="X245" s="76" t="s">
        <v>774</v>
      </c>
      <c r="Y245" s="43" t="s">
        <v>43</v>
      </c>
      <c r="Z245" s="71" t="s">
        <v>43</v>
      </c>
      <c r="AA245" s="71" t="s">
        <v>40</v>
      </c>
      <c r="AB245" s="48" t="s">
        <v>43</v>
      </c>
      <c r="AC245" s="75">
        <v>1620</v>
      </c>
      <c r="AD245" s="75">
        <v>1460</v>
      </c>
      <c r="AE245" s="80">
        <v>1500</v>
      </c>
      <c r="AF245" s="80">
        <v>1440</v>
      </c>
      <c r="AG245" s="80">
        <v>1224</v>
      </c>
      <c r="AH245" s="34" t="s">
        <v>549</v>
      </c>
    </row>
    <row r="246" ht="20" customHeight="1" spans="1:34">
      <c r="A246" s="45"/>
      <c r="B246" s="45"/>
      <c r="C246" s="45"/>
      <c r="D246" s="45"/>
      <c r="E246" s="49"/>
      <c r="F246" s="49"/>
      <c r="G246" s="45"/>
      <c r="H246" s="49"/>
      <c r="I246" s="53"/>
      <c r="J246" s="53"/>
      <c r="K246" s="84"/>
      <c r="L246" s="84"/>
      <c r="M246" s="84"/>
      <c r="N246" s="63"/>
      <c r="O246" s="63"/>
      <c r="P246" s="63"/>
      <c r="Q246" s="45"/>
      <c r="R246" s="45"/>
      <c r="S246" s="45"/>
      <c r="T246" s="69"/>
      <c r="U246" s="49"/>
      <c r="V246" s="43" t="s">
        <v>775</v>
      </c>
      <c r="W246" s="71">
        <v>33110200802</v>
      </c>
      <c r="X246" s="76" t="s">
        <v>776</v>
      </c>
      <c r="Y246" s="43" t="s">
        <v>43</v>
      </c>
      <c r="Z246" s="71" t="s">
        <v>43</v>
      </c>
      <c r="AA246" s="71" t="s">
        <v>40</v>
      </c>
      <c r="AB246" s="48" t="s">
        <v>43</v>
      </c>
      <c r="AC246" s="75">
        <v>2420</v>
      </c>
      <c r="AD246" s="75">
        <v>2180</v>
      </c>
      <c r="AE246" s="80">
        <v>2125</v>
      </c>
      <c r="AF246" s="80">
        <v>2040</v>
      </c>
      <c r="AG246" s="80">
        <v>1734</v>
      </c>
      <c r="AH246" s="34"/>
    </row>
    <row r="247" ht="20" customHeight="1" spans="1:34">
      <c r="A247" s="45"/>
      <c r="B247" s="45"/>
      <c r="C247" s="45"/>
      <c r="D247" s="45"/>
      <c r="E247" s="49"/>
      <c r="F247" s="49"/>
      <c r="G247" s="45"/>
      <c r="H247" s="49"/>
      <c r="I247" s="53"/>
      <c r="J247" s="53"/>
      <c r="K247" s="84"/>
      <c r="L247" s="84"/>
      <c r="M247" s="84"/>
      <c r="N247" s="63"/>
      <c r="O247" s="63"/>
      <c r="P247" s="63"/>
      <c r="Q247" s="45"/>
      <c r="R247" s="45"/>
      <c r="S247" s="45"/>
      <c r="T247" s="69"/>
      <c r="U247" s="49"/>
      <c r="V247" s="43" t="s">
        <v>777</v>
      </c>
      <c r="W247" s="71">
        <v>331102010</v>
      </c>
      <c r="X247" s="76" t="s">
        <v>778</v>
      </c>
      <c r="Y247" s="43" t="s">
        <v>43</v>
      </c>
      <c r="Z247" s="71" t="s">
        <v>43</v>
      </c>
      <c r="AA247" s="71" t="s">
        <v>40</v>
      </c>
      <c r="AB247" s="48" t="s">
        <v>43</v>
      </c>
      <c r="AC247" s="75">
        <v>2110</v>
      </c>
      <c r="AD247" s="75">
        <v>1900</v>
      </c>
      <c r="AE247" s="80">
        <v>1860</v>
      </c>
      <c r="AF247" s="80">
        <v>1670</v>
      </c>
      <c r="AG247" s="80">
        <v>1420</v>
      </c>
      <c r="AH247" s="34"/>
    </row>
    <row r="248" ht="20" customHeight="1" spans="1:34">
      <c r="A248" s="45"/>
      <c r="B248" s="45"/>
      <c r="C248" s="45"/>
      <c r="D248" s="45"/>
      <c r="E248" s="49"/>
      <c r="F248" s="49"/>
      <c r="G248" s="45"/>
      <c r="H248" s="49"/>
      <c r="I248" s="53"/>
      <c r="J248" s="53"/>
      <c r="K248" s="84"/>
      <c r="L248" s="84"/>
      <c r="M248" s="84"/>
      <c r="N248" s="63"/>
      <c r="O248" s="63"/>
      <c r="P248" s="63"/>
      <c r="Q248" s="45"/>
      <c r="R248" s="45"/>
      <c r="S248" s="45"/>
      <c r="T248" s="69"/>
      <c r="U248" s="49"/>
      <c r="V248" s="43" t="s">
        <v>779</v>
      </c>
      <c r="W248" s="71">
        <v>33110201002</v>
      </c>
      <c r="X248" s="76" t="s">
        <v>780</v>
      </c>
      <c r="Y248" s="43" t="s">
        <v>43</v>
      </c>
      <c r="Z248" s="71" t="s">
        <v>43</v>
      </c>
      <c r="AA248" s="71" t="s">
        <v>40</v>
      </c>
      <c r="AB248" s="48" t="s">
        <v>43</v>
      </c>
      <c r="AC248" s="75">
        <v>2910</v>
      </c>
      <c r="AD248" s="75">
        <v>2620</v>
      </c>
      <c r="AE248" s="80">
        <v>2485</v>
      </c>
      <c r="AF248" s="80">
        <v>2270</v>
      </c>
      <c r="AG248" s="80">
        <v>1930</v>
      </c>
      <c r="AH248" s="34"/>
    </row>
    <row r="249" ht="20" customHeight="1" spans="1:34">
      <c r="A249" s="45"/>
      <c r="B249" s="45"/>
      <c r="C249" s="45"/>
      <c r="D249" s="45"/>
      <c r="E249" s="49"/>
      <c r="F249" s="49"/>
      <c r="G249" s="45"/>
      <c r="H249" s="49"/>
      <c r="I249" s="53"/>
      <c r="J249" s="53"/>
      <c r="K249" s="84"/>
      <c r="L249" s="84"/>
      <c r="M249" s="84"/>
      <c r="N249" s="63"/>
      <c r="O249" s="63"/>
      <c r="P249" s="63"/>
      <c r="Q249" s="45"/>
      <c r="R249" s="45"/>
      <c r="S249" s="45"/>
      <c r="T249" s="69"/>
      <c r="U249" s="49"/>
      <c r="V249" s="43" t="s">
        <v>781</v>
      </c>
      <c r="W249" s="71">
        <v>331102011</v>
      </c>
      <c r="X249" s="76" t="s">
        <v>782</v>
      </c>
      <c r="Y249" s="43" t="s">
        <v>43</v>
      </c>
      <c r="Z249" s="71" t="s">
        <v>43</v>
      </c>
      <c r="AA249" s="71" t="s">
        <v>40</v>
      </c>
      <c r="AB249" s="48" t="s">
        <v>43</v>
      </c>
      <c r="AC249" s="75">
        <v>1350</v>
      </c>
      <c r="AD249" s="75">
        <v>1215</v>
      </c>
      <c r="AE249" s="80">
        <v>1250</v>
      </c>
      <c r="AF249" s="80">
        <v>1200</v>
      </c>
      <c r="AG249" s="80">
        <v>1020</v>
      </c>
      <c r="AH249" s="34"/>
    </row>
    <row r="250" ht="20" customHeight="1" spans="1:34">
      <c r="A250" s="45"/>
      <c r="B250" s="45"/>
      <c r="C250" s="45"/>
      <c r="D250" s="45"/>
      <c r="E250" s="49"/>
      <c r="F250" s="49"/>
      <c r="G250" s="45"/>
      <c r="H250" s="49"/>
      <c r="I250" s="53"/>
      <c r="J250" s="53"/>
      <c r="K250" s="84"/>
      <c r="L250" s="84"/>
      <c r="M250" s="84"/>
      <c r="N250" s="63"/>
      <c r="O250" s="63"/>
      <c r="P250" s="63"/>
      <c r="Q250" s="45"/>
      <c r="R250" s="45"/>
      <c r="S250" s="45"/>
      <c r="T250" s="69"/>
      <c r="U250" s="49"/>
      <c r="V250" s="43" t="s">
        <v>783</v>
      </c>
      <c r="W250" s="71">
        <v>33110201102</v>
      </c>
      <c r="X250" s="76" t="s">
        <v>784</v>
      </c>
      <c r="Y250" s="43" t="s">
        <v>43</v>
      </c>
      <c r="Z250" s="71" t="s">
        <v>43</v>
      </c>
      <c r="AA250" s="71" t="s">
        <v>40</v>
      </c>
      <c r="AB250" s="48" t="s">
        <v>43</v>
      </c>
      <c r="AC250" s="75">
        <v>2150</v>
      </c>
      <c r="AD250" s="75">
        <v>1935</v>
      </c>
      <c r="AE250" s="80">
        <v>1875</v>
      </c>
      <c r="AF250" s="80">
        <v>1800</v>
      </c>
      <c r="AG250" s="80">
        <v>1530</v>
      </c>
      <c r="AH250" s="34"/>
    </row>
    <row r="251" ht="20" customHeight="1" spans="1:34">
      <c r="A251" s="45"/>
      <c r="B251" s="45"/>
      <c r="C251" s="45"/>
      <c r="D251" s="45"/>
      <c r="E251" s="49"/>
      <c r="F251" s="49"/>
      <c r="G251" s="45"/>
      <c r="H251" s="49"/>
      <c r="I251" s="53"/>
      <c r="J251" s="53"/>
      <c r="K251" s="84"/>
      <c r="L251" s="84"/>
      <c r="M251" s="84"/>
      <c r="N251" s="63"/>
      <c r="O251" s="63"/>
      <c r="P251" s="63"/>
      <c r="Q251" s="45"/>
      <c r="R251" s="45"/>
      <c r="S251" s="45"/>
      <c r="T251" s="69"/>
      <c r="U251" s="49"/>
      <c r="V251" s="43" t="s">
        <v>785</v>
      </c>
      <c r="W251" s="71">
        <v>331203012</v>
      </c>
      <c r="X251" s="76" t="s">
        <v>786</v>
      </c>
      <c r="Y251" s="43" t="s">
        <v>43</v>
      </c>
      <c r="Z251" s="71" t="s">
        <v>43</v>
      </c>
      <c r="AA251" s="71" t="s">
        <v>40</v>
      </c>
      <c r="AB251" s="48" t="s">
        <v>43</v>
      </c>
      <c r="AC251" s="75">
        <v>875</v>
      </c>
      <c r="AD251" s="75">
        <v>790</v>
      </c>
      <c r="AE251" s="80">
        <v>875</v>
      </c>
      <c r="AF251" s="80">
        <v>840</v>
      </c>
      <c r="AG251" s="80">
        <v>714</v>
      </c>
      <c r="AH251" s="34"/>
    </row>
    <row r="252" ht="20" customHeight="1" spans="1:34">
      <c r="A252" s="45"/>
      <c r="B252" s="45"/>
      <c r="C252" s="45"/>
      <c r="D252" s="45"/>
      <c r="E252" s="49"/>
      <c r="F252" s="49"/>
      <c r="G252" s="45"/>
      <c r="H252" s="49"/>
      <c r="I252" s="53"/>
      <c r="J252" s="53"/>
      <c r="K252" s="84"/>
      <c r="L252" s="84"/>
      <c r="M252" s="84"/>
      <c r="N252" s="63"/>
      <c r="O252" s="63"/>
      <c r="P252" s="63"/>
      <c r="Q252" s="45"/>
      <c r="R252" s="45"/>
      <c r="S252" s="45"/>
      <c r="T252" s="69"/>
      <c r="U252" s="49"/>
      <c r="V252" s="43" t="s">
        <v>787</v>
      </c>
      <c r="W252" s="71">
        <v>33120301202</v>
      </c>
      <c r="X252" s="76" t="s">
        <v>788</v>
      </c>
      <c r="Y252" s="43" t="s">
        <v>43</v>
      </c>
      <c r="Z252" s="71" t="s">
        <v>43</v>
      </c>
      <c r="AA252" s="71" t="s">
        <v>40</v>
      </c>
      <c r="AB252" s="48" t="s">
        <v>43</v>
      </c>
      <c r="AC252" s="75">
        <v>1125</v>
      </c>
      <c r="AD252" s="75">
        <v>1015</v>
      </c>
      <c r="AE252" s="80">
        <v>1125</v>
      </c>
      <c r="AF252" s="80">
        <v>1065</v>
      </c>
      <c r="AG252" s="80">
        <v>904</v>
      </c>
      <c r="AH252" s="34"/>
    </row>
    <row r="253" ht="20" customHeight="1" spans="1:37">
      <c r="A253" s="43" t="s">
        <v>81</v>
      </c>
      <c r="B253" s="112" t="s">
        <v>789</v>
      </c>
      <c r="C253" s="43" t="s">
        <v>790</v>
      </c>
      <c r="D253" s="43" t="s">
        <v>213</v>
      </c>
      <c r="E253" s="48" t="s">
        <v>43</v>
      </c>
      <c r="F253" s="48" t="s">
        <v>43</v>
      </c>
      <c r="G253" s="43" t="s">
        <v>40</v>
      </c>
      <c r="H253" s="48" t="s">
        <v>43</v>
      </c>
      <c r="I253" s="53">
        <v>962</v>
      </c>
      <c r="J253" s="53">
        <v>866</v>
      </c>
      <c r="K253" s="84">
        <v>151.666666666667</v>
      </c>
      <c r="L253" s="84"/>
      <c r="M253" s="84"/>
      <c r="N253" s="63">
        <v>870</v>
      </c>
      <c r="O253" s="63">
        <v>780</v>
      </c>
      <c r="P253" s="63">
        <v>675</v>
      </c>
      <c r="Q253" s="45" t="s">
        <v>54</v>
      </c>
      <c r="R253" s="45" t="s">
        <v>43</v>
      </c>
      <c r="S253" s="45" t="s">
        <v>43</v>
      </c>
      <c r="T253" s="69"/>
      <c r="U253" s="49" t="s">
        <v>446</v>
      </c>
      <c r="V253" s="45" t="s">
        <v>791</v>
      </c>
      <c r="W253" s="45">
        <v>33110200401</v>
      </c>
      <c r="X253" s="63" t="s">
        <v>792</v>
      </c>
      <c r="Y253" s="43" t="s">
        <v>43</v>
      </c>
      <c r="Z253" s="71" t="s">
        <v>43</v>
      </c>
      <c r="AA253" s="71" t="s">
        <v>40</v>
      </c>
      <c r="AB253" s="48" t="s">
        <v>43</v>
      </c>
      <c r="AC253" s="75">
        <v>3990</v>
      </c>
      <c r="AD253" s="75">
        <v>3590</v>
      </c>
      <c r="AE253" s="80">
        <v>3510</v>
      </c>
      <c r="AF253" s="80">
        <v>3160</v>
      </c>
      <c r="AG253" s="80">
        <v>2685</v>
      </c>
      <c r="AH253" s="32" t="s">
        <v>549</v>
      </c>
      <c r="AI253" s="32">
        <f>AVERAGE(AE253:AE256)</f>
        <v>3602.5</v>
      </c>
      <c r="AJ253" s="32">
        <f>AVERAGE(AF253:AF256)</f>
        <v>3257.5</v>
      </c>
      <c r="AK253" s="32">
        <f>AVERAGE(AG253:AG256)</f>
        <v>2767.5</v>
      </c>
    </row>
    <row r="254" ht="20" customHeight="1" spans="1:33">
      <c r="A254" s="43"/>
      <c r="B254" s="43"/>
      <c r="C254" s="43"/>
      <c r="D254" s="43"/>
      <c r="E254" s="48"/>
      <c r="F254" s="48"/>
      <c r="G254" s="43"/>
      <c r="H254" s="48"/>
      <c r="I254" s="76"/>
      <c r="J254" s="76"/>
      <c r="K254" s="84"/>
      <c r="L254" s="84"/>
      <c r="M254" s="84"/>
      <c r="N254" s="63"/>
      <c r="O254" s="63"/>
      <c r="P254" s="63"/>
      <c r="Q254" s="45"/>
      <c r="R254" s="45"/>
      <c r="S254" s="45"/>
      <c r="T254" s="69"/>
      <c r="U254" s="49"/>
      <c r="V254" s="45" t="s">
        <v>793</v>
      </c>
      <c r="W254" s="45">
        <v>33110200403</v>
      </c>
      <c r="X254" s="63" t="s">
        <v>794</v>
      </c>
      <c r="Y254" s="43" t="s">
        <v>43</v>
      </c>
      <c r="Z254" s="71" t="s">
        <v>43</v>
      </c>
      <c r="AA254" s="71" t="s">
        <v>40</v>
      </c>
      <c r="AB254" s="48" t="s">
        <v>43</v>
      </c>
      <c r="AC254" s="75">
        <v>4790</v>
      </c>
      <c r="AD254" s="75">
        <v>4310</v>
      </c>
      <c r="AE254" s="80">
        <v>4135</v>
      </c>
      <c r="AF254" s="80">
        <v>3760</v>
      </c>
      <c r="AG254" s="80">
        <v>3195</v>
      </c>
    </row>
    <row r="255" ht="20" customHeight="1" spans="1:33">
      <c r="A255" s="43"/>
      <c r="B255" s="43"/>
      <c r="C255" s="43"/>
      <c r="D255" s="43"/>
      <c r="E255" s="48"/>
      <c r="F255" s="48"/>
      <c r="G255" s="43"/>
      <c r="H255" s="48"/>
      <c r="I255" s="76"/>
      <c r="J255" s="76"/>
      <c r="K255" s="84"/>
      <c r="L255" s="84"/>
      <c r="M255" s="84"/>
      <c r="N255" s="63"/>
      <c r="O255" s="63"/>
      <c r="P255" s="63"/>
      <c r="Q255" s="45"/>
      <c r="R255" s="45"/>
      <c r="S255" s="45"/>
      <c r="T255" s="69"/>
      <c r="U255" s="49"/>
      <c r="V255" s="45" t="s">
        <v>795</v>
      </c>
      <c r="W255" s="45">
        <v>33110201401</v>
      </c>
      <c r="X255" s="63" t="s">
        <v>796</v>
      </c>
      <c r="Y255" s="43" t="s">
        <v>43</v>
      </c>
      <c r="Z255" s="71" t="s">
        <v>43</v>
      </c>
      <c r="AA255" s="71" t="s">
        <v>40</v>
      </c>
      <c r="AB255" s="48" t="s">
        <v>43</v>
      </c>
      <c r="AC255" s="75">
        <v>3495</v>
      </c>
      <c r="AD255" s="75">
        <v>3145</v>
      </c>
      <c r="AE255" s="80">
        <v>3070</v>
      </c>
      <c r="AF255" s="80">
        <v>2755</v>
      </c>
      <c r="AG255" s="80">
        <v>2340</v>
      </c>
    </row>
    <row r="256" ht="20" customHeight="1" spans="1:33">
      <c r="A256" s="43"/>
      <c r="B256" s="43"/>
      <c r="C256" s="43"/>
      <c r="D256" s="43"/>
      <c r="E256" s="48"/>
      <c r="F256" s="48"/>
      <c r="G256" s="43"/>
      <c r="H256" s="48"/>
      <c r="I256" s="76"/>
      <c r="J256" s="76"/>
      <c r="K256" s="84"/>
      <c r="L256" s="84"/>
      <c r="M256" s="84"/>
      <c r="N256" s="63"/>
      <c r="O256" s="63"/>
      <c r="P256" s="63"/>
      <c r="Q256" s="45"/>
      <c r="R256" s="45"/>
      <c r="S256" s="45"/>
      <c r="T256" s="69"/>
      <c r="U256" s="49"/>
      <c r="V256" s="45" t="s">
        <v>797</v>
      </c>
      <c r="W256" s="45">
        <v>33110201403</v>
      </c>
      <c r="X256" s="63" t="s">
        <v>798</v>
      </c>
      <c r="Y256" s="43" t="s">
        <v>43</v>
      </c>
      <c r="Z256" s="71" t="s">
        <v>43</v>
      </c>
      <c r="AA256" s="71" t="s">
        <v>40</v>
      </c>
      <c r="AB256" s="48" t="s">
        <v>43</v>
      </c>
      <c r="AC256" s="75">
        <v>4295</v>
      </c>
      <c r="AD256" s="75">
        <v>3865</v>
      </c>
      <c r="AE256" s="80">
        <v>3695</v>
      </c>
      <c r="AF256" s="80">
        <v>3355</v>
      </c>
      <c r="AG256" s="80">
        <v>2850</v>
      </c>
    </row>
    <row r="257" ht="20" customHeight="1" spans="1:37">
      <c r="A257" s="43"/>
      <c r="B257" s="43"/>
      <c r="C257" s="43"/>
      <c r="D257" s="43"/>
      <c r="E257" s="48"/>
      <c r="F257" s="48"/>
      <c r="G257" s="43"/>
      <c r="H257" s="48"/>
      <c r="I257" s="76"/>
      <c r="J257" s="76"/>
      <c r="K257" s="84"/>
      <c r="L257" s="84"/>
      <c r="M257" s="84"/>
      <c r="N257" s="63"/>
      <c r="O257" s="63"/>
      <c r="P257" s="63"/>
      <c r="Q257" s="45"/>
      <c r="R257" s="45"/>
      <c r="S257" s="45"/>
      <c r="T257" s="69"/>
      <c r="U257" s="49"/>
      <c r="V257" s="45" t="s">
        <v>799</v>
      </c>
      <c r="W257" s="45">
        <v>33110201001</v>
      </c>
      <c r="X257" s="53" t="s">
        <v>800</v>
      </c>
      <c r="Y257" s="43" t="s">
        <v>43</v>
      </c>
      <c r="Z257" s="71" t="s">
        <v>43</v>
      </c>
      <c r="AA257" s="71" t="s">
        <v>40</v>
      </c>
      <c r="AB257" s="48" t="s">
        <v>43</v>
      </c>
      <c r="AC257" s="75">
        <v>2745</v>
      </c>
      <c r="AD257" s="75">
        <v>2470</v>
      </c>
      <c r="AE257" s="80">
        <v>2420</v>
      </c>
      <c r="AF257" s="80">
        <v>2170</v>
      </c>
      <c r="AG257" s="80">
        <v>1845</v>
      </c>
      <c r="AH257" s="32" t="s">
        <v>549</v>
      </c>
      <c r="AK257" s="32"/>
    </row>
    <row r="258" ht="20" customHeight="1" spans="1:33">
      <c r="A258" s="43"/>
      <c r="B258" s="43"/>
      <c r="C258" s="43"/>
      <c r="D258" s="43"/>
      <c r="E258" s="48"/>
      <c r="F258" s="48"/>
      <c r="G258" s="43"/>
      <c r="H258" s="48"/>
      <c r="I258" s="76"/>
      <c r="J258" s="76"/>
      <c r="K258" s="84"/>
      <c r="L258" s="84"/>
      <c r="M258" s="84"/>
      <c r="N258" s="63"/>
      <c r="O258" s="63"/>
      <c r="P258" s="63"/>
      <c r="Q258" s="45"/>
      <c r="R258" s="45"/>
      <c r="S258" s="45"/>
      <c r="T258" s="69"/>
      <c r="U258" s="49"/>
      <c r="V258" s="45" t="s">
        <v>801</v>
      </c>
      <c r="W258" s="45">
        <v>33110201003</v>
      </c>
      <c r="X258" s="53" t="s">
        <v>802</v>
      </c>
      <c r="Y258" s="43" t="s">
        <v>43</v>
      </c>
      <c r="Z258" s="71" t="s">
        <v>43</v>
      </c>
      <c r="AA258" s="71" t="s">
        <v>40</v>
      </c>
      <c r="AB258" s="48" t="s">
        <v>43</v>
      </c>
      <c r="AC258" s="75">
        <v>3545</v>
      </c>
      <c r="AD258" s="75">
        <v>3190</v>
      </c>
      <c r="AE258" s="80">
        <v>3045</v>
      </c>
      <c r="AF258" s="80">
        <v>2770</v>
      </c>
      <c r="AG258" s="80">
        <v>2355</v>
      </c>
    </row>
    <row r="259" ht="20" customHeight="1" spans="1:33">
      <c r="A259" s="43"/>
      <c r="B259" s="43"/>
      <c r="C259" s="43"/>
      <c r="D259" s="43"/>
      <c r="E259" s="48"/>
      <c r="F259" s="48"/>
      <c r="G259" s="43"/>
      <c r="H259" s="48"/>
      <c r="I259" s="76"/>
      <c r="J259" s="76"/>
      <c r="K259" s="84"/>
      <c r="L259" s="84"/>
      <c r="M259" s="84"/>
      <c r="N259" s="63"/>
      <c r="O259" s="63"/>
      <c r="P259" s="63"/>
      <c r="Q259" s="45"/>
      <c r="R259" s="45"/>
      <c r="S259" s="45"/>
      <c r="T259" s="69"/>
      <c r="U259" s="49"/>
      <c r="V259" s="45" t="s">
        <v>803</v>
      </c>
      <c r="W259" s="45">
        <v>33110201101</v>
      </c>
      <c r="X259" s="53" t="s">
        <v>804</v>
      </c>
      <c r="Y259" s="43" t="s">
        <v>43</v>
      </c>
      <c r="Z259" s="71" t="s">
        <v>43</v>
      </c>
      <c r="AA259" s="71" t="s">
        <v>40</v>
      </c>
      <c r="AB259" s="48" t="s">
        <v>43</v>
      </c>
      <c r="AC259" s="75">
        <v>1755</v>
      </c>
      <c r="AD259" s="75">
        <v>1580</v>
      </c>
      <c r="AE259" s="80">
        <v>1625</v>
      </c>
      <c r="AF259" s="80">
        <v>1560</v>
      </c>
      <c r="AG259" s="80">
        <v>1325</v>
      </c>
    </row>
    <row r="260" ht="20" customHeight="1" spans="1:33">
      <c r="A260" s="43"/>
      <c r="B260" s="43"/>
      <c r="C260" s="43"/>
      <c r="D260" s="43"/>
      <c r="E260" s="48"/>
      <c r="F260" s="48"/>
      <c r="G260" s="43"/>
      <c r="H260" s="48"/>
      <c r="I260" s="76"/>
      <c r="J260" s="76"/>
      <c r="K260" s="84"/>
      <c r="L260" s="84"/>
      <c r="M260" s="84"/>
      <c r="N260" s="63"/>
      <c r="O260" s="63"/>
      <c r="P260" s="63"/>
      <c r="Q260" s="45"/>
      <c r="R260" s="45"/>
      <c r="S260" s="45"/>
      <c r="T260" s="69"/>
      <c r="U260" s="49"/>
      <c r="V260" s="45" t="s">
        <v>805</v>
      </c>
      <c r="W260" s="45">
        <v>33110201103</v>
      </c>
      <c r="X260" s="53" t="s">
        <v>806</v>
      </c>
      <c r="Y260" s="43" t="s">
        <v>43</v>
      </c>
      <c r="Z260" s="71" t="s">
        <v>43</v>
      </c>
      <c r="AA260" s="71" t="s">
        <v>40</v>
      </c>
      <c r="AB260" s="48" t="s">
        <v>43</v>
      </c>
      <c r="AC260" s="75">
        <v>2555</v>
      </c>
      <c r="AD260" s="75">
        <v>2300</v>
      </c>
      <c r="AE260" s="80">
        <v>2250</v>
      </c>
      <c r="AF260" s="80">
        <v>2160</v>
      </c>
      <c r="AG260" s="80">
        <v>1835</v>
      </c>
    </row>
    <row r="261" ht="20" customHeight="1" spans="1:33">
      <c r="A261" s="43"/>
      <c r="B261" s="43"/>
      <c r="C261" s="43"/>
      <c r="D261" s="43"/>
      <c r="E261" s="48"/>
      <c r="F261" s="48"/>
      <c r="G261" s="43"/>
      <c r="H261" s="48"/>
      <c r="I261" s="76"/>
      <c r="J261" s="76"/>
      <c r="K261" s="84"/>
      <c r="L261" s="84"/>
      <c r="M261" s="84"/>
      <c r="N261" s="63"/>
      <c r="O261" s="63"/>
      <c r="P261" s="63"/>
      <c r="Q261" s="45"/>
      <c r="R261" s="45"/>
      <c r="S261" s="45"/>
      <c r="T261" s="69"/>
      <c r="U261" s="49"/>
      <c r="V261" s="45" t="s">
        <v>807</v>
      </c>
      <c r="W261" s="45">
        <v>33110200901</v>
      </c>
      <c r="X261" s="53" t="s">
        <v>808</v>
      </c>
      <c r="Y261" s="43" t="s">
        <v>43</v>
      </c>
      <c r="Z261" s="71" t="s">
        <v>43</v>
      </c>
      <c r="AA261" s="71" t="s">
        <v>40</v>
      </c>
      <c r="AB261" s="48" t="s">
        <v>43</v>
      </c>
      <c r="AC261" s="75">
        <v>3250</v>
      </c>
      <c r="AD261" s="75">
        <v>2910</v>
      </c>
      <c r="AE261" s="80">
        <v>3085</v>
      </c>
      <c r="AF261" s="80">
        <v>2780</v>
      </c>
      <c r="AG261" s="80">
        <v>2225</v>
      </c>
    </row>
    <row r="262" ht="20" customHeight="1" spans="1:33">
      <c r="A262" s="43"/>
      <c r="B262" s="43"/>
      <c r="C262" s="43"/>
      <c r="D262" s="43"/>
      <c r="E262" s="48"/>
      <c r="F262" s="48"/>
      <c r="G262" s="43"/>
      <c r="H262" s="48"/>
      <c r="I262" s="76"/>
      <c r="J262" s="76"/>
      <c r="K262" s="84"/>
      <c r="L262" s="84"/>
      <c r="M262" s="84"/>
      <c r="N262" s="63"/>
      <c r="O262" s="63"/>
      <c r="P262" s="63"/>
      <c r="Q262" s="45"/>
      <c r="R262" s="45"/>
      <c r="S262" s="45"/>
      <c r="T262" s="69"/>
      <c r="U262" s="49"/>
      <c r="V262" s="45" t="s">
        <v>809</v>
      </c>
      <c r="W262" s="45">
        <v>33110200903</v>
      </c>
      <c r="X262" s="45" t="s">
        <v>810</v>
      </c>
      <c r="Y262" s="43" t="s">
        <v>43</v>
      </c>
      <c r="Z262" s="71" t="s">
        <v>43</v>
      </c>
      <c r="AA262" s="71" t="s">
        <v>40</v>
      </c>
      <c r="AB262" s="48" t="s">
        <v>43</v>
      </c>
      <c r="AC262" s="75">
        <v>4050</v>
      </c>
      <c r="AD262" s="75">
        <v>3630</v>
      </c>
      <c r="AE262" s="80">
        <v>3710</v>
      </c>
      <c r="AF262" s="80">
        <v>3380</v>
      </c>
      <c r="AG262" s="80">
        <v>2735</v>
      </c>
    </row>
    <row r="263" ht="20" customHeight="1" spans="1:33">
      <c r="A263" s="43"/>
      <c r="B263" s="43"/>
      <c r="C263" s="43"/>
      <c r="D263" s="43"/>
      <c r="E263" s="48"/>
      <c r="F263" s="48"/>
      <c r="G263" s="43"/>
      <c r="H263" s="48"/>
      <c r="I263" s="76"/>
      <c r="J263" s="76"/>
      <c r="K263" s="84"/>
      <c r="L263" s="84"/>
      <c r="M263" s="84"/>
      <c r="N263" s="63"/>
      <c r="O263" s="63"/>
      <c r="P263" s="63"/>
      <c r="Q263" s="45"/>
      <c r="R263" s="45"/>
      <c r="S263" s="45"/>
      <c r="T263" s="69"/>
      <c r="U263" s="49"/>
      <c r="V263" s="45" t="s">
        <v>811</v>
      </c>
      <c r="W263" s="45">
        <v>33120301201</v>
      </c>
      <c r="X263" s="45" t="s">
        <v>812</v>
      </c>
      <c r="Y263" s="43" t="s">
        <v>43</v>
      </c>
      <c r="Z263" s="71" t="s">
        <v>43</v>
      </c>
      <c r="AA263" s="71" t="s">
        <v>40</v>
      </c>
      <c r="AB263" s="48" t="s">
        <v>43</v>
      </c>
      <c r="AC263" s="75">
        <v>1140</v>
      </c>
      <c r="AD263" s="75">
        <v>1025</v>
      </c>
      <c r="AE263" s="80">
        <v>1140</v>
      </c>
      <c r="AF263" s="80">
        <v>1090</v>
      </c>
      <c r="AG263" s="80">
        <v>925</v>
      </c>
    </row>
    <row r="264" ht="20" customHeight="1" spans="1:33">
      <c r="A264" s="43"/>
      <c r="B264" s="43"/>
      <c r="C264" s="43"/>
      <c r="D264" s="43"/>
      <c r="E264" s="48"/>
      <c r="F264" s="48"/>
      <c r="G264" s="43"/>
      <c r="H264" s="48"/>
      <c r="I264" s="76"/>
      <c r="J264" s="76"/>
      <c r="K264" s="84"/>
      <c r="L264" s="84"/>
      <c r="M264" s="84"/>
      <c r="N264" s="63"/>
      <c r="O264" s="63"/>
      <c r="P264" s="63"/>
      <c r="Q264" s="45"/>
      <c r="R264" s="45"/>
      <c r="S264" s="45"/>
      <c r="T264" s="69"/>
      <c r="U264" s="49"/>
      <c r="V264" s="45" t="s">
        <v>813</v>
      </c>
      <c r="W264" s="45">
        <v>33120301203</v>
      </c>
      <c r="X264" s="45" t="s">
        <v>814</v>
      </c>
      <c r="Y264" s="43" t="s">
        <v>43</v>
      </c>
      <c r="Z264" s="71" t="s">
        <v>43</v>
      </c>
      <c r="AA264" s="71" t="s">
        <v>40</v>
      </c>
      <c r="AB264" s="48" t="s">
        <v>43</v>
      </c>
      <c r="AC264" s="75">
        <v>1390</v>
      </c>
      <c r="AD264" s="75">
        <v>1250</v>
      </c>
      <c r="AE264" s="80">
        <v>1390</v>
      </c>
      <c r="AF264" s="80">
        <v>1315</v>
      </c>
      <c r="AG264" s="80">
        <v>1115</v>
      </c>
    </row>
    <row r="265" ht="20" customHeight="1" spans="1:33">
      <c r="A265" s="43"/>
      <c r="B265" s="43"/>
      <c r="C265" s="43"/>
      <c r="D265" s="43"/>
      <c r="E265" s="48"/>
      <c r="F265" s="48"/>
      <c r="G265" s="43"/>
      <c r="H265" s="48"/>
      <c r="I265" s="76"/>
      <c r="J265" s="76"/>
      <c r="K265" s="84"/>
      <c r="L265" s="84"/>
      <c r="M265" s="84"/>
      <c r="N265" s="63"/>
      <c r="O265" s="63"/>
      <c r="P265" s="63"/>
      <c r="Q265" s="45"/>
      <c r="R265" s="45"/>
      <c r="S265" s="45"/>
      <c r="T265" s="69"/>
      <c r="U265" s="49"/>
      <c r="V265" s="45" t="s">
        <v>815</v>
      </c>
      <c r="W265" s="45">
        <v>33110200801</v>
      </c>
      <c r="X265" s="45" t="s">
        <v>816</v>
      </c>
      <c r="Y265" s="43" t="s">
        <v>43</v>
      </c>
      <c r="Z265" s="71" t="s">
        <v>43</v>
      </c>
      <c r="AA265" s="71" t="s">
        <v>40</v>
      </c>
      <c r="AB265" s="48" t="s">
        <v>43</v>
      </c>
      <c r="AC265" s="75">
        <v>2105</v>
      </c>
      <c r="AD265" s="75">
        <v>1900</v>
      </c>
      <c r="AE265" s="80">
        <v>1950</v>
      </c>
      <c r="AF265" s="80">
        <v>1870</v>
      </c>
      <c r="AG265" s="80">
        <v>1590</v>
      </c>
    </row>
    <row r="266" ht="20" customHeight="1" spans="1:33">
      <c r="A266" s="43"/>
      <c r="B266" s="43"/>
      <c r="C266" s="43"/>
      <c r="D266" s="43"/>
      <c r="E266" s="48"/>
      <c r="F266" s="48"/>
      <c r="G266" s="43"/>
      <c r="H266" s="48"/>
      <c r="I266" s="76"/>
      <c r="J266" s="76"/>
      <c r="K266" s="84"/>
      <c r="L266" s="84"/>
      <c r="M266" s="84"/>
      <c r="N266" s="63"/>
      <c r="O266" s="63"/>
      <c r="P266" s="63"/>
      <c r="Q266" s="45"/>
      <c r="R266" s="45"/>
      <c r="S266" s="45"/>
      <c r="T266" s="69"/>
      <c r="U266" s="49"/>
      <c r="V266" s="45" t="s">
        <v>817</v>
      </c>
      <c r="W266" s="45">
        <v>33110200803</v>
      </c>
      <c r="X266" s="45" t="s">
        <v>818</v>
      </c>
      <c r="Y266" s="43" t="s">
        <v>43</v>
      </c>
      <c r="Z266" s="71" t="s">
        <v>43</v>
      </c>
      <c r="AA266" s="71" t="s">
        <v>40</v>
      </c>
      <c r="AB266" s="48" t="s">
        <v>43</v>
      </c>
      <c r="AC266" s="75">
        <v>2905</v>
      </c>
      <c r="AD266" s="75">
        <v>2620</v>
      </c>
      <c r="AE266" s="80">
        <v>2575</v>
      </c>
      <c r="AF266" s="80">
        <v>2470</v>
      </c>
      <c r="AG266" s="80">
        <v>2100</v>
      </c>
    </row>
    <row r="267" ht="20" customHeight="1" spans="1:33">
      <c r="A267" s="43"/>
      <c r="B267" s="43"/>
      <c r="C267" s="43"/>
      <c r="D267" s="43"/>
      <c r="E267" s="48"/>
      <c r="F267" s="48"/>
      <c r="G267" s="43"/>
      <c r="H267" s="48"/>
      <c r="I267" s="76"/>
      <c r="J267" s="76"/>
      <c r="K267" s="84"/>
      <c r="L267" s="84"/>
      <c r="M267" s="84"/>
      <c r="N267" s="63"/>
      <c r="O267" s="63"/>
      <c r="P267" s="63"/>
      <c r="Q267" s="45"/>
      <c r="R267" s="45"/>
      <c r="S267" s="45"/>
      <c r="T267" s="69"/>
      <c r="U267" s="49"/>
      <c r="V267" s="45" t="s">
        <v>819</v>
      </c>
      <c r="W267" s="45">
        <v>33110201201</v>
      </c>
      <c r="X267" s="45" t="s">
        <v>820</v>
      </c>
      <c r="Y267" s="43" t="s">
        <v>43</v>
      </c>
      <c r="Z267" s="71" t="s">
        <v>43</v>
      </c>
      <c r="AA267" s="71" t="s">
        <v>40</v>
      </c>
      <c r="AB267" s="48" t="s">
        <v>43</v>
      </c>
      <c r="AC267" s="75">
        <v>2745</v>
      </c>
      <c r="AD267" s="75">
        <v>2470</v>
      </c>
      <c r="AE267" s="80">
        <v>2420</v>
      </c>
      <c r="AF267" s="80">
        <v>2170</v>
      </c>
      <c r="AG267" s="80">
        <v>1845</v>
      </c>
    </row>
    <row r="268" ht="20" customHeight="1" spans="1:33">
      <c r="A268" s="43"/>
      <c r="B268" s="43"/>
      <c r="C268" s="43"/>
      <c r="D268" s="43"/>
      <c r="E268" s="48"/>
      <c r="F268" s="48"/>
      <c r="G268" s="43"/>
      <c r="H268" s="48"/>
      <c r="I268" s="76"/>
      <c r="J268" s="76"/>
      <c r="K268" s="84"/>
      <c r="L268" s="84"/>
      <c r="M268" s="84"/>
      <c r="N268" s="63"/>
      <c r="O268" s="63"/>
      <c r="P268" s="63"/>
      <c r="Q268" s="45"/>
      <c r="R268" s="45"/>
      <c r="S268" s="45"/>
      <c r="T268" s="69"/>
      <c r="U268" s="49"/>
      <c r="V268" s="45" t="s">
        <v>821</v>
      </c>
      <c r="W268" s="45">
        <v>33110201203</v>
      </c>
      <c r="X268" s="45" t="s">
        <v>822</v>
      </c>
      <c r="Y268" s="43" t="s">
        <v>43</v>
      </c>
      <c r="Z268" s="71" t="s">
        <v>43</v>
      </c>
      <c r="AA268" s="71" t="s">
        <v>40</v>
      </c>
      <c r="AB268" s="48" t="s">
        <v>43</v>
      </c>
      <c r="AC268" s="75">
        <v>3545</v>
      </c>
      <c r="AD268" s="75">
        <v>3190</v>
      </c>
      <c r="AE268" s="80">
        <v>3045</v>
      </c>
      <c r="AF268" s="80">
        <v>2770</v>
      </c>
      <c r="AG268" s="80">
        <v>2355</v>
      </c>
    </row>
    <row r="269" ht="25.5" spans="1:33">
      <c r="A269" s="45">
        <v>50</v>
      </c>
      <c r="B269" s="45" t="s">
        <v>823</v>
      </c>
      <c r="C269" s="45" t="s">
        <v>824</v>
      </c>
      <c r="D269" s="45" t="s">
        <v>213</v>
      </c>
      <c r="E269" s="49" t="s">
        <v>825</v>
      </c>
      <c r="F269" s="49" t="s">
        <v>826</v>
      </c>
      <c r="G269" s="45" t="s">
        <v>40</v>
      </c>
      <c r="H269" s="49">
        <f>I269/I237</f>
        <v>1.31752963194011</v>
      </c>
      <c r="I269" s="53">
        <v>4224</v>
      </c>
      <c r="J269" s="53">
        <v>3802</v>
      </c>
      <c r="K269" s="84">
        <v>3686.23376623377</v>
      </c>
      <c r="L269" s="84">
        <v>3376.26373626374</v>
      </c>
      <c r="M269" s="84">
        <v>3160</v>
      </c>
      <c r="N269" s="63">
        <v>3800</v>
      </c>
      <c r="O269" s="63">
        <v>3420</v>
      </c>
      <c r="P269" s="63">
        <v>2950</v>
      </c>
      <c r="Q269" s="45" t="s">
        <v>54</v>
      </c>
      <c r="R269" s="45" t="s">
        <v>43</v>
      </c>
      <c r="S269" s="45" t="s">
        <v>43</v>
      </c>
      <c r="T269" s="69" t="s">
        <v>67</v>
      </c>
      <c r="U269" s="49" t="s">
        <v>827</v>
      </c>
      <c r="V269" s="43" t="s">
        <v>828</v>
      </c>
      <c r="W269" s="71">
        <v>331101011</v>
      </c>
      <c r="X269" s="43" t="s">
        <v>829</v>
      </c>
      <c r="Y269" s="43" t="s">
        <v>43</v>
      </c>
      <c r="Z269" s="71" t="s">
        <v>43</v>
      </c>
      <c r="AA269" s="71" t="s">
        <v>40</v>
      </c>
      <c r="AB269" s="48" t="s">
        <v>43</v>
      </c>
      <c r="AC269" s="75">
        <v>3460</v>
      </c>
      <c r="AD269" s="75">
        <v>3110</v>
      </c>
      <c r="AE269" s="80">
        <v>3040</v>
      </c>
      <c r="AF269" s="80">
        <v>2740</v>
      </c>
      <c r="AG269" s="80">
        <v>2330</v>
      </c>
    </row>
    <row r="270" ht="25.5" spans="1:33">
      <c r="A270" s="45"/>
      <c r="B270" s="45"/>
      <c r="C270" s="45"/>
      <c r="D270" s="45"/>
      <c r="E270" s="49"/>
      <c r="F270" s="49"/>
      <c r="G270" s="45"/>
      <c r="H270" s="49"/>
      <c r="I270" s="53"/>
      <c r="J270" s="53"/>
      <c r="K270" s="84"/>
      <c r="L270" s="84"/>
      <c r="M270" s="84"/>
      <c r="N270" s="63"/>
      <c r="O270" s="63"/>
      <c r="P270" s="63"/>
      <c r="Q270" s="45"/>
      <c r="R270" s="45"/>
      <c r="S270" s="45"/>
      <c r="T270" s="69"/>
      <c r="U270" s="49"/>
      <c r="V270" s="43" t="s">
        <v>830</v>
      </c>
      <c r="W270" s="71">
        <v>33110101102</v>
      </c>
      <c r="X270" s="43" t="s">
        <v>831</v>
      </c>
      <c r="Y270" s="43" t="s">
        <v>43</v>
      </c>
      <c r="Z270" s="71" t="s">
        <v>43</v>
      </c>
      <c r="AA270" s="71" t="s">
        <v>40</v>
      </c>
      <c r="AB270" s="48" t="s">
        <v>43</v>
      </c>
      <c r="AC270" s="75">
        <v>4260</v>
      </c>
      <c r="AD270" s="75">
        <v>3830</v>
      </c>
      <c r="AE270" s="80">
        <v>3665</v>
      </c>
      <c r="AF270" s="80">
        <v>3340</v>
      </c>
      <c r="AG270" s="80">
        <v>2840</v>
      </c>
    </row>
    <row r="271" ht="24" customHeight="1" spans="1:33">
      <c r="A271" s="45"/>
      <c r="B271" s="45"/>
      <c r="C271" s="45"/>
      <c r="D271" s="45"/>
      <c r="E271" s="49"/>
      <c r="F271" s="49"/>
      <c r="G271" s="45"/>
      <c r="H271" s="49"/>
      <c r="I271" s="53"/>
      <c r="J271" s="53"/>
      <c r="K271" s="84"/>
      <c r="L271" s="84"/>
      <c r="M271" s="84"/>
      <c r="N271" s="63"/>
      <c r="O271" s="63"/>
      <c r="P271" s="63"/>
      <c r="Q271" s="45"/>
      <c r="R271" s="45"/>
      <c r="S271" s="45"/>
      <c r="T271" s="69"/>
      <c r="U271" s="49"/>
      <c r="V271" s="43" t="s">
        <v>832</v>
      </c>
      <c r="W271" s="71">
        <v>331102001</v>
      </c>
      <c r="X271" s="43" t="s">
        <v>833</v>
      </c>
      <c r="Y271" s="43" t="s">
        <v>834</v>
      </c>
      <c r="Z271" s="71" t="s">
        <v>43</v>
      </c>
      <c r="AA271" s="71" t="s">
        <v>40</v>
      </c>
      <c r="AB271" s="48" t="s">
        <v>43</v>
      </c>
      <c r="AC271" s="75">
        <v>4800</v>
      </c>
      <c r="AD271" s="75">
        <v>4320</v>
      </c>
      <c r="AE271" s="80">
        <v>4130</v>
      </c>
      <c r="AF271" s="80">
        <v>3720</v>
      </c>
      <c r="AG271" s="80">
        <v>3160</v>
      </c>
    </row>
    <row r="272" ht="25.5" spans="1:33">
      <c r="A272" s="45"/>
      <c r="B272" s="45"/>
      <c r="C272" s="45"/>
      <c r="D272" s="45"/>
      <c r="E272" s="49"/>
      <c r="F272" s="49"/>
      <c r="G272" s="45"/>
      <c r="H272" s="49"/>
      <c r="I272" s="53"/>
      <c r="J272" s="53"/>
      <c r="K272" s="84"/>
      <c r="L272" s="84"/>
      <c r="M272" s="84"/>
      <c r="N272" s="63"/>
      <c r="O272" s="63"/>
      <c r="P272" s="63"/>
      <c r="Q272" s="45"/>
      <c r="R272" s="45"/>
      <c r="S272" s="45"/>
      <c r="T272" s="69"/>
      <c r="U272" s="49"/>
      <c r="V272" s="43" t="s">
        <v>835</v>
      </c>
      <c r="W272" s="71">
        <v>33110200102</v>
      </c>
      <c r="X272" s="43" t="s">
        <v>836</v>
      </c>
      <c r="Y272" s="43" t="s">
        <v>43</v>
      </c>
      <c r="Z272" s="71" t="s">
        <v>43</v>
      </c>
      <c r="AA272" s="71" t="s">
        <v>40</v>
      </c>
      <c r="AB272" s="48" t="s">
        <v>43</v>
      </c>
      <c r="AC272" s="75">
        <v>5600</v>
      </c>
      <c r="AD272" s="75">
        <v>5040</v>
      </c>
      <c r="AE272" s="80">
        <v>4755</v>
      </c>
      <c r="AF272" s="80">
        <v>4320</v>
      </c>
      <c r="AG272" s="80">
        <v>3670</v>
      </c>
    </row>
    <row r="273" ht="25.5" spans="1:34">
      <c r="A273" s="45"/>
      <c r="B273" s="45"/>
      <c r="C273" s="45"/>
      <c r="D273" s="45"/>
      <c r="E273" s="49"/>
      <c r="F273" s="49"/>
      <c r="G273" s="45"/>
      <c r="H273" s="49"/>
      <c r="I273" s="53"/>
      <c r="J273" s="53"/>
      <c r="K273" s="84"/>
      <c r="L273" s="84"/>
      <c r="M273" s="84"/>
      <c r="N273" s="63"/>
      <c r="O273" s="63"/>
      <c r="P273" s="63"/>
      <c r="Q273" s="45"/>
      <c r="R273" s="45"/>
      <c r="S273" s="45"/>
      <c r="T273" s="69"/>
      <c r="U273" s="49"/>
      <c r="V273" s="43" t="s">
        <v>547</v>
      </c>
      <c r="W273" s="71">
        <v>331101006</v>
      </c>
      <c r="X273" s="43" t="s">
        <v>548</v>
      </c>
      <c r="Y273" s="43" t="s">
        <v>43</v>
      </c>
      <c r="Z273" s="71" t="s">
        <v>43</v>
      </c>
      <c r="AA273" s="71" t="s">
        <v>40</v>
      </c>
      <c r="AB273" s="48" t="s">
        <v>43</v>
      </c>
      <c r="AC273" s="75">
        <v>2500</v>
      </c>
      <c r="AD273" s="75">
        <v>2240</v>
      </c>
      <c r="AE273" s="80">
        <v>2190</v>
      </c>
      <c r="AF273" s="80">
        <v>1970</v>
      </c>
      <c r="AG273" s="80">
        <v>1670</v>
      </c>
      <c r="AH273" s="32" t="s">
        <v>549</v>
      </c>
    </row>
    <row r="274" ht="25.5" spans="1:34">
      <c r="A274" s="45"/>
      <c r="B274" s="45"/>
      <c r="C274" s="45"/>
      <c r="D274" s="45"/>
      <c r="E274" s="49"/>
      <c r="F274" s="49"/>
      <c r="G274" s="45"/>
      <c r="H274" s="49"/>
      <c r="I274" s="53"/>
      <c r="J274" s="53"/>
      <c r="K274" s="84"/>
      <c r="L274" s="84"/>
      <c r="M274" s="84"/>
      <c r="N274" s="63"/>
      <c r="O274" s="63"/>
      <c r="P274" s="63"/>
      <c r="Q274" s="45"/>
      <c r="R274" s="45"/>
      <c r="S274" s="45"/>
      <c r="T274" s="69"/>
      <c r="U274" s="49"/>
      <c r="V274" s="43" t="s">
        <v>550</v>
      </c>
      <c r="W274" s="71">
        <v>33110100602</v>
      </c>
      <c r="X274" s="43" t="s">
        <v>551</v>
      </c>
      <c r="Y274" s="43" t="s">
        <v>43</v>
      </c>
      <c r="Z274" s="71" t="s">
        <v>43</v>
      </c>
      <c r="AA274" s="71" t="s">
        <v>40</v>
      </c>
      <c r="AB274" s="48" t="s">
        <v>43</v>
      </c>
      <c r="AC274" s="75">
        <v>3300</v>
      </c>
      <c r="AD274" s="75">
        <v>2960</v>
      </c>
      <c r="AE274" s="80">
        <v>2815</v>
      </c>
      <c r="AF274" s="80">
        <v>2570</v>
      </c>
      <c r="AG274" s="80">
        <v>2180</v>
      </c>
      <c r="AH274" s="32" t="s">
        <v>549</v>
      </c>
    </row>
    <row r="275" ht="24" customHeight="1" spans="1:33">
      <c r="A275" s="43" t="s">
        <v>81</v>
      </c>
      <c r="B275" s="112" t="s">
        <v>837</v>
      </c>
      <c r="C275" s="43" t="s">
        <v>838</v>
      </c>
      <c r="D275" s="43" t="s">
        <v>213</v>
      </c>
      <c r="E275" s="48" t="s">
        <v>43</v>
      </c>
      <c r="F275" s="48" t="s">
        <v>43</v>
      </c>
      <c r="G275" s="43" t="s">
        <v>40</v>
      </c>
      <c r="H275" s="48" t="s">
        <v>43</v>
      </c>
      <c r="I275" s="53">
        <v>1267</v>
      </c>
      <c r="J275" s="53">
        <v>1140</v>
      </c>
      <c r="K275" s="54"/>
      <c r="L275" s="54"/>
      <c r="M275" s="54"/>
      <c r="N275" s="63">
        <v>1140</v>
      </c>
      <c r="O275" s="63">
        <v>1025</v>
      </c>
      <c r="P275" s="63">
        <v>885</v>
      </c>
      <c r="Q275" s="45" t="s">
        <v>54</v>
      </c>
      <c r="R275" s="45" t="s">
        <v>43</v>
      </c>
      <c r="S275" s="45" t="s">
        <v>43</v>
      </c>
      <c r="T275" s="69"/>
      <c r="U275" s="49"/>
      <c r="V275" s="45" t="s">
        <v>839</v>
      </c>
      <c r="W275" s="45">
        <v>33110101101</v>
      </c>
      <c r="X275" s="45" t="s">
        <v>840</v>
      </c>
      <c r="Y275" s="43" t="s">
        <v>43</v>
      </c>
      <c r="Z275" s="71" t="s">
        <v>43</v>
      </c>
      <c r="AA275" s="71" t="s">
        <v>40</v>
      </c>
      <c r="AB275" s="48" t="s">
        <v>43</v>
      </c>
      <c r="AC275" s="75">
        <v>4500</v>
      </c>
      <c r="AD275" s="75">
        <v>4045</v>
      </c>
      <c r="AE275" s="80">
        <v>3950</v>
      </c>
      <c r="AF275" s="80">
        <v>3560</v>
      </c>
      <c r="AG275" s="80">
        <v>3025</v>
      </c>
    </row>
    <row r="276" ht="24" customHeight="1" spans="1:33">
      <c r="A276" s="43"/>
      <c r="B276" s="43"/>
      <c r="C276" s="43"/>
      <c r="D276" s="43"/>
      <c r="E276" s="48"/>
      <c r="F276" s="48"/>
      <c r="G276" s="43"/>
      <c r="H276" s="48"/>
      <c r="I276" s="76"/>
      <c r="J276" s="76"/>
      <c r="K276" s="54"/>
      <c r="L276" s="54"/>
      <c r="M276" s="54"/>
      <c r="N276" s="63"/>
      <c r="O276" s="63"/>
      <c r="P276" s="63"/>
      <c r="Q276" s="45"/>
      <c r="R276" s="45"/>
      <c r="S276" s="45"/>
      <c r="T276" s="69"/>
      <c r="U276" s="49"/>
      <c r="V276" s="45" t="s">
        <v>841</v>
      </c>
      <c r="W276" s="45">
        <v>33110101103</v>
      </c>
      <c r="X276" s="45" t="s">
        <v>842</v>
      </c>
      <c r="Y276" s="43" t="s">
        <v>43</v>
      </c>
      <c r="Z276" s="71" t="s">
        <v>43</v>
      </c>
      <c r="AA276" s="71" t="s">
        <v>40</v>
      </c>
      <c r="AB276" s="48" t="s">
        <v>43</v>
      </c>
      <c r="AC276" s="75">
        <v>5300</v>
      </c>
      <c r="AD276" s="75">
        <v>4765</v>
      </c>
      <c r="AE276" s="80">
        <v>4575</v>
      </c>
      <c r="AF276" s="80">
        <v>4160</v>
      </c>
      <c r="AG276" s="80">
        <v>3535</v>
      </c>
    </row>
    <row r="277" ht="24" customHeight="1" spans="1:33">
      <c r="A277" s="43"/>
      <c r="B277" s="43"/>
      <c r="C277" s="43"/>
      <c r="D277" s="43"/>
      <c r="E277" s="48"/>
      <c r="F277" s="48"/>
      <c r="G277" s="43"/>
      <c r="H277" s="48"/>
      <c r="I277" s="76"/>
      <c r="J277" s="76"/>
      <c r="K277" s="54"/>
      <c r="L277" s="54"/>
      <c r="M277" s="54"/>
      <c r="N277" s="63"/>
      <c r="O277" s="63"/>
      <c r="P277" s="63"/>
      <c r="Q277" s="45"/>
      <c r="R277" s="45"/>
      <c r="S277" s="45"/>
      <c r="T277" s="69"/>
      <c r="U277" s="49"/>
      <c r="V277" s="45" t="s">
        <v>843</v>
      </c>
      <c r="W277" s="45">
        <v>33110200101</v>
      </c>
      <c r="X277" s="45" t="s">
        <v>844</v>
      </c>
      <c r="Y277" s="43" t="s">
        <v>43</v>
      </c>
      <c r="Z277" s="71" t="s">
        <v>43</v>
      </c>
      <c r="AA277" s="71" t="s">
        <v>40</v>
      </c>
      <c r="AB277" s="48" t="s">
        <v>43</v>
      </c>
      <c r="AC277" s="75">
        <v>6240</v>
      </c>
      <c r="AD277" s="75">
        <v>5615</v>
      </c>
      <c r="AE277" s="80">
        <v>5370</v>
      </c>
      <c r="AF277" s="80">
        <v>4835</v>
      </c>
      <c r="AG277" s="80">
        <v>4110</v>
      </c>
    </row>
    <row r="278" ht="24" customHeight="1" spans="1:33">
      <c r="A278" s="43"/>
      <c r="B278" s="43"/>
      <c r="C278" s="43"/>
      <c r="D278" s="43"/>
      <c r="E278" s="48"/>
      <c r="F278" s="48"/>
      <c r="G278" s="43"/>
      <c r="H278" s="48"/>
      <c r="I278" s="76"/>
      <c r="J278" s="76"/>
      <c r="K278" s="54"/>
      <c r="L278" s="54"/>
      <c r="M278" s="54"/>
      <c r="N278" s="63"/>
      <c r="O278" s="63"/>
      <c r="P278" s="63"/>
      <c r="Q278" s="45"/>
      <c r="R278" s="45"/>
      <c r="S278" s="45"/>
      <c r="T278" s="69"/>
      <c r="U278" s="49"/>
      <c r="V278" s="45" t="s">
        <v>845</v>
      </c>
      <c r="W278" s="45">
        <v>33110200103</v>
      </c>
      <c r="X278" s="45" t="s">
        <v>846</v>
      </c>
      <c r="Y278" s="43" t="s">
        <v>43</v>
      </c>
      <c r="Z278" s="71" t="s">
        <v>43</v>
      </c>
      <c r="AA278" s="71" t="s">
        <v>40</v>
      </c>
      <c r="AB278" s="48" t="s">
        <v>43</v>
      </c>
      <c r="AC278" s="75">
        <v>7040</v>
      </c>
      <c r="AD278" s="75">
        <v>6335</v>
      </c>
      <c r="AE278" s="80">
        <v>5995</v>
      </c>
      <c r="AF278" s="80">
        <v>5435</v>
      </c>
      <c r="AG278" s="80">
        <v>4620</v>
      </c>
    </row>
    <row r="279" ht="24" customHeight="1" spans="1:34">
      <c r="A279" s="43"/>
      <c r="B279" s="43"/>
      <c r="C279" s="43"/>
      <c r="D279" s="43"/>
      <c r="E279" s="48"/>
      <c r="F279" s="48"/>
      <c r="G279" s="43"/>
      <c r="H279" s="48"/>
      <c r="I279" s="76"/>
      <c r="J279" s="76"/>
      <c r="K279" s="54"/>
      <c r="L279" s="54"/>
      <c r="M279" s="54"/>
      <c r="N279" s="63"/>
      <c r="O279" s="63"/>
      <c r="P279" s="63"/>
      <c r="Q279" s="45"/>
      <c r="R279" s="45"/>
      <c r="S279" s="45"/>
      <c r="T279" s="69"/>
      <c r="U279" s="49"/>
      <c r="V279" s="45" t="s">
        <v>558</v>
      </c>
      <c r="W279" s="45">
        <v>33110100601</v>
      </c>
      <c r="X279" s="45" t="s">
        <v>559</v>
      </c>
      <c r="Y279" s="43" t="s">
        <v>43</v>
      </c>
      <c r="Z279" s="71" t="s">
        <v>43</v>
      </c>
      <c r="AA279" s="71" t="s">
        <v>40</v>
      </c>
      <c r="AB279" s="48" t="s">
        <v>43</v>
      </c>
      <c r="AC279" s="75">
        <v>3250</v>
      </c>
      <c r="AD279" s="75">
        <v>2910</v>
      </c>
      <c r="AE279" s="80">
        <v>2845</v>
      </c>
      <c r="AF279" s="80">
        <v>2560</v>
      </c>
      <c r="AG279" s="80">
        <v>2175</v>
      </c>
      <c r="AH279" s="32" t="s">
        <v>549</v>
      </c>
    </row>
    <row r="280" ht="24" customHeight="1" spans="1:34">
      <c r="A280" s="43"/>
      <c r="B280" s="43"/>
      <c r="C280" s="43"/>
      <c r="D280" s="43"/>
      <c r="E280" s="48"/>
      <c r="F280" s="48"/>
      <c r="G280" s="43"/>
      <c r="H280" s="48"/>
      <c r="I280" s="76"/>
      <c r="J280" s="76"/>
      <c r="K280" s="54"/>
      <c r="L280" s="54"/>
      <c r="M280" s="54"/>
      <c r="N280" s="63"/>
      <c r="O280" s="63"/>
      <c r="P280" s="63"/>
      <c r="Q280" s="45"/>
      <c r="R280" s="45"/>
      <c r="S280" s="45"/>
      <c r="T280" s="69"/>
      <c r="U280" s="49"/>
      <c r="V280" s="45" t="s">
        <v>560</v>
      </c>
      <c r="W280" s="45">
        <v>33110100603</v>
      </c>
      <c r="X280" s="45" t="s">
        <v>561</v>
      </c>
      <c r="Y280" s="43" t="s">
        <v>43</v>
      </c>
      <c r="Z280" s="71" t="s">
        <v>43</v>
      </c>
      <c r="AA280" s="71" t="s">
        <v>40</v>
      </c>
      <c r="AB280" s="48" t="s">
        <v>43</v>
      </c>
      <c r="AC280" s="75">
        <v>4050</v>
      </c>
      <c r="AD280" s="75">
        <v>3630</v>
      </c>
      <c r="AE280" s="80">
        <v>3470</v>
      </c>
      <c r="AF280" s="80">
        <v>3160</v>
      </c>
      <c r="AG280" s="80">
        <v>2685</v>
      </c>
      <c r="AH280" s="32" t="s">
        <v>549</v>
      </c>
    </row>
    <row r="281" ht="25.5" spans="1:33">
      <c r="A281" s="45">
        <v>51</v>
      </c>
      <c r="B281" s="45" t="s">
        <v>847</v>
      </c>
      <c r="C281" s="45" t="s">
        <v>848</v>
      </c>
      <c r="D281" s="45" t="s">
        <v>213</v>
      </c>
      <c r="E281" s="49" t="s">
        <v>849</v>
      </c>
      <c r="F281" s="49" t="s">
        <v>850</v>
      </c>
      <c r="G281" s="45" t="s">
        <v>40</v>
      </c>
      <c r="H281" s="49" t="s">
        <v>43</v>
      </c>
      <c r="I281" s="53">
        <v>360</v>
      </c>
      <c r="J281" s="53">
        <v>324</v>
      </c>
      <c r="K281" s="84">
        <v>263.223740759842</v>
      </c>
      <c r="L281" s="84">
        <v>233.509558902061</v>
      </c>
      <c r="M281" s="84">
        <v>235.098214285714</v>
      </c>
      <c r="N281" s="63">
        <v>330</v>
      </c>
      <c r="O281" s="63">
        <v>300</v>
      </c>
      <c r="P281" s="63">
        <v>255</v>
      </c>
      <c r="Q281" s="45" t="s">
        <v>54</v>
      </c>
      <c r="R281" s="45" t="s">
        <v>43</v>
      </c>
      <c r="S281" s="45" t="s">
        <v>43</v>
      </c>
      <c r="T281" s="69" t="s">
        <v>851</v>
      </c>
      <c r="U281" s="49" t="s">
        <v>852</v>
      </c>
      <c r="V281" s="43" t="s">
        <v>853</v>
      </c>
      <c r="W281" s="71">
        <v>311000027</v>
      </c>
      <c r="X281" s="43" t="s">
        <v>854</v>
      </c>
      <c r="Y281" s="43" t="s">
        <v>855</v>
      </c>
      <c r="Z281" s="71" t="s">
        <v>856</v>
      </c>
      <c r="AA281" s="71" t="s">
        <v>40</v>
      </c>
      <c r="AB281" s="48" t="s">
        <v>43</v>
      </c>
      <c r="AC281" s="75">
        <v>275</v>
      </c>
      <c r="AD281" s="75">
        <v>250</v>
      </c>
      <c r="AE281" s="80">
        <v>275</v>
      </c>
      <c r="AF281" s="80">
        <v>250</v>
      </c>
      <c r="AG281" s="80">
        <v>212.5</v>
      </c>
    </row>
    <row r="282" ht="25.5" spans="1:34">
      <c r="A282" s="45"/>
      <c r="B282" s="45"/>
      <c r="C282" s="45"/>
      <c r="D282" s="45"/>
      <c r="E282" s="49"/>
      <c r="F282" s="49"/>
      <c r="G282" s="45"/>
      <c r="H282" s="49"/>
      <c r="I282" s="53"/>
      <c r="J282" s="53"/>
      <c r="K282" s="84"/>
      <c r="L282" s="84"/>
      <c r="M282" s="84"/>
      <c r="N282" s="63"/>
      <c r="O282" s="63"/>
      <c r="P282" s="63"/>
      <c r="Q282" s="45"/>
      <c r="R282" s="45"/>
      <c r="S282" s="45"/>
      <c r="T282" s="69"/>
      <c r="U282" s="49"/>
      <c r="V282" s="43" t="s">
        <v>857</v>
      </c>
      <c r="W282" s="71">
        <v>311000029</v>
      </c>
      <c r="X282" s="43" t="s">
        <v>858</v>
      </c>
      <c r="Y282" s="43" t="s">
        <v>43</v>
      </c>
      <c r="Z282" s="71" t="s">
        <v>43</v>
      </c>
      <c r="AA282" s="71" t="s">
        <v>40</v>
      </c>
      <c r="AB282" s="48" t="s">
        <v>43</v>
      </c>
      <c r="AC282" s="75">
        <v>11</v>
      </c>
      <c r="AD282" s="75">
        <v>10</v>
      </c>
      <c r="AE282" s="80">
        <v>11</v>
      </c>
      <c r="AF282" s="80">
        <v>10</v>
      </c>
      <c r="AG282" s="80">
        <v>8.5</v>
      </c>
      <c r="AH282" s="32" t="s">
        <v>549</v>
      </c>
    </row>
    <row r="283" ht="25.5" spans="1:33">
      <c r="A283" s="45"/>
      <c r="B283" s="45"/>
      <c r="C283" s="45"/>
      <c r="D283" s="45"/>
      <c r="E283" s="49"/>
      <c r="F283" s="49"/>
      <c r="G283" s="45"/>
      <c r="H283" s="49"/>
      <c r="I283" s="53"/>
      <c r="J283" s="53"/>
      <c r="K283" s="84"/>
      <c r="L283" s="84"/>
      <c r="M283" s="84"/>
      <c r="N283" s="63"/>
      <c r="O283" s="63"/>
      <c r="P283" s="63"/>
      <c r="Q283" s="45"/>
      <c r="R283" s="45"/>
      <c r="S283" s="45"/>
      <c r="T283" s="69"/>
      <c r="U283" s="49"/>
      <c r="V283" s="43" t="s">
        <v>859</v>
      </c>
      <c r="W283" s="71">
        <v>311000021</v>
      </c>
      <c r="X283" s="43" t="s">
        <v>860</v>
      </c>
      <c r="Y283" s="43" t="s">
        <v>43</v>
      </c>
      <c r="Z283" s="71" t="s">
        <v>43</v>
      </c>
      <c r="AA283" s="71" t="s">
        <v>48</v>
      </c>
      <c r="AB283" s="48" t="s">
        <v>43</v>
      </c>
      <c r="AC283" s="75">
        <v>220</v>
      </c>
      <c r="AD283" s="75">
        <v>200</v>
      </c>
      <c r="AE283" s="80">
        <v>220</v>
      </c>
      <c r="AF283" s="80">
        <v>200</v>
      </c>
      <c r="AG283" s="80">
        <v>170</v>
      </c>
    </row>
    <row r="284" ht="31" customHeight="1" spans="1:33">
      <c r="A284" s="45"/>
      <c r="B284" s="45"/>
      <c r="C284" s="45"/>
      <c r="D284" s="45"/>
      <c r="E284" s="49"/>
      <c r="F284" s="49"/>
      <c r="G284" s="45"/>
      <c r="H284" s="49"/>
      <c r="I284" s="53"/>
      <c r="J284" s="53"/>
      <c r="K284" s="84"/>
      <c r="L284" s="84"/>
      <c r="M284" s="84"/>
      <c r="N284" s="63"/>
      <c r="O284" s="63"/>
      <c r="P284" s="63"/>
      <c r="Q284" s="45"/>
      <c r="R284" s="45"/>
      <c r="S284" s="45"/>
      <c r="T284" s="69"/>
      <c r="U284" s="49"/>
      <c r="V284" s="43" t="s">
        <v>861</v>
      </c>
      <c r="W284" s="71">
        <v>311000028</v>
      </c>
      <c r="X284" s="43" t="s">
        <v>862</v>
      </c>
      <c r="Y284" s="43" t="s">
        <v>855</v>
      </c>
      <c r="Z284" s="71" t="s">
        <v>856</v>
      </c>
      <c r="AA284" s="71" t="s">
        <v>40</v>
      </c>
      <c r="AB284" s="48" t="s">
        <v>43</v>
      </c>
      <c r="AC284" s="75">
        <v>220</v>
      </c>
      <c r="AD284" s="75">
        <v>200</v>
      </c>
      <c r="AE284" s="80">
        <v>220</v>
      </c>
      <c r="AF284" s="80">
        <v>200</v>
      </c>
      <c r="AG284" s="80">
        <v>170</v>
      </c>
    </row>
    <row r="285" ht="58" customHeight="1" spans="1:33">
      <c r="A285" s="43" t="s">
        <v>81</v>
      </c>
      <c r="B285" s="43" t="s">
        <v>863</v>
      </c>
      <c r="C285" s="43" t="s">
        <v>864</v>
      </c>
      <c r="D285" s="43" t="s">
        <v>213</v>
      </c>
      <c r="E285" s="48" t="s">
        <v>43</v>
      </c>
      <c r="F285" s="48" t="s">
        <v>43</v>
      </c>
      <c r="G285" s="43" t="s">
        <v>40</v>
      </c>
      <c r="H285" s="48" t="s">
        <v>43</v>
      </c>
      <c r="I285" s="53">
        <v>108</v>
      </c>
      <c r="J285" s="53">
        <v>97</v>
      </c>
      <c r="K285" s="54"/>
      <c r="L285" s="54"/>
      <c r="M285" s="54"/>
      <c r="N285" s="63">
        <v>99</v>
      </c>
      <c r="O285" s="63">
        <v>90</v>
      </c>
      <c r="P285" s="63">
        <v>77</v>
      </c>
      <c r="Q285" s="45" t="s">
        <v>54</v>
      </c>
      <c r="R285" s="45" t="s">
        <v>43</v>
      </c>
      <c r="S285" s="45" t="s">
        <v>43</v>
      </c>
      <c r="T285" s="69"/>
      <c r="U285" s="49" t="s">
        <v>446</v>
      </c>
      <c r="V285" s="43"/>
      <c r="W285" s="71"/>
      <c r="X285" s="43"/>
      <c r="Y285" s="43"/>
      <c r="Z285" s="71"/>
      <c r="AA285" s="71"/>
      <c r="AB285" s="48"/>
      <c r="AC285" s="74"/>
      <c r="AD285" s="74"/>
      <c r="AE285" s="78"/>
      <c r="AF285" s="78"/>
      <c r="AG285" s="78"/>
    </row>
    <row r="286" ht="36" customHeight="1" spans="1:33">
      <c r="A286" s="45">
        <v>52</v>
      </c>
      <c r="B286" s="45" t="s">
        <v>865</v>
      </c>
      <c r="C286" s="45" t="s">
        <v>866</v>
      </c>
      <c r="D286" s="45" t="s">
        <v>213</v>
      </c>
      <c r="E286" s="49" t="s">
        <v>867</v>
      </c>
      <c r="F286" s="49" t="s">
        <v>868</v>
      </c>
      <c r="G286" s="45" t="s">
        <v>40</v>
      </c>
      <c r="H286" s="49" t="s">
        <v>43</v>
      </c>
      <c r="I286" s="53">
        <v>350</v>
      </c>
      <c r="J286" s="53">
        <v>315</v>
      </c>
      <c r="K286" s="84">
        <v>256.82962962963</v>
      </c>
      <c r="L286" s="84">
        <v>245.645592163847</v>
      </c>
      <c r="M286" s="84">
        <v>210.126745040411</v>
      </c>
      <c r="N286" s="63">
        <v>320</v>
      </c>
      <c r="O286" s="63">
        <v>290</v>
      </c>
      <c r="P286" s="63">
        <v>245</v>
      </c>
      <c r="Q286" s="45" t="s">
        <v>54</v>
      </c>
      <c r="R286" s="45" t="s">
        <v>43</v>
      </c>
      <c r="S286" s="45" t="s">
        <v>43</v>
      </c>
      <c r="T286" s="69" t="s">
        <v>851</v>
      </c>
      <c r="U286" s="49" t="s">
        <v>852</v>
      </c>
      <c r="V286" s="43" t="s">
        <v>869</v>
      </c>
      <c r="W286" s="71">
        <v>31100002801</v>
      </c>
      <c r="X286" s="43" t="s">
        <v>870</v>
      </c>
      <c r="Y286" s="43" t="s">
        <v>43</v>
      </c>
      <c r="Z286" s="71" t="s">
        <v>43</v>
      </c>
      <c r="AA286" s="71" t="s">
        <v>40</v>
      </c>
      <c r="AB286" s="48" t="s">
        <v>871</v>
      </c>
      <c r="AC286" s="75">
        <v>220</v>
      </c>
      <c r="AD286" s="75">
        <v>200</v>
      </c>
      <c r="AE286" s="80">
        <v>220</v>
      </c>
      <c r="AF286" s="80">
        <v>200</v>
      </c>
      <c r="AG286" s="80">
        <v>170</v>
      </c>
    </row>
    <row r="287" ht="36" customHeight="1" spans="1:33">
      <c r="A287" s="45"/>
      <c r="B287" s="45"/>
      <c r="C287" s="45"/>
      <c r="D287" s="45"/>
      <c r="E287" s="49"/>
      <c r="F287" s="49"/>
      <c r="G287" s="45"/>
      <c r="H287" s="49"/>
      <c r="I287" s="53"/>
      <c r="J287" s="53"/>
      <c r="K287" s="84"/>
      <c r="L287" s="84"/>
      <c r="M287" s="84"/>
      <c r="N287" s="63"/>
      <c r="O287" s="63"/>
      <c r="P287" s="63"/>
      <c r="Q287" s="45"/>
      <c r="R287" s="45"/>
      <c r="S287" s="45"/>
      <c r="T287" s="69"/>
      <c r="U287" s="49"/>
      <c r="V287" s="43" t="s">
        <v>872</v>
      </c>
      <c r="W287" s="71">
        <v>31100002701</v>
      </c>
      <c r="X287" s="43" t="s">
        <v>873</v>
      </c>
      <c r="Y287" s="43" t="s">
        <v>43</v>
      </c>
      <c r="Z287" s="71" t="s">
        <v>43</v>
      </c>
      <c r="AA287" s="71" t="s">
        <v>40</v>
      </c>
      <c r="AB287" s="48" t="s">
        <v>871</v>
      </c>
      <c r="AC287" s="75">
        <v>275</v>
      </c>
      <c r="AD287" s="75">
        <v>250</v>
      </c>
      <c r="AE287" s="80">
        <v>275</v>
      </c>
      <c r="AF287" s="80">
        <v>250</v>
      </c>
      <c r="AG287" s="80">
        <v>212.5</v>
      </c>
    </row>
    <row r="288" ht="56" customHeight="1" spans="1:33">
      <c r="A288" s="43" t="s">
        <v>81</v>
      </c>
      <c r="B288" s="43" t="s">
        <v>874</v>
      </c>
      <c r="C288" s="43" t="s">
        <v>875</v>
      </c>
      <c r="D288" s="43" t="s">
        <v>213</v>
      </c>
      <c r="E288" s="48" t="s">
        <v>43</v>
      </c>
      <c r="F288" s="48" t="s">
        <v>43</v>
      </c>
      <c r="G288" s="43" t="s">
        <v>40</v>
      </c>
      <c r="H288" s="48" t="s">
        <v>43</v>
      </c>
      <c r="I288" s="53">
        <v>105</v>
      </c>
      <c r="J288" s="53">
        <v>95</v>
      </c>
      <c r="K288" s="54"/>
      <c r="L288" s="54"/>
      <c r="M288" s="54"/>
      <c r="N288" s="63">
        <v>96</v>
      </c>
      <c r="O288" s="63">
        <v>87</v>
      </c>
      <c r="P288" s="63">
        <v>74</v>
      </c>
      <c r="Q288" s="45" t="s">
        <v>54</v>
      </c>
      <c r="R288" s="45" t="s">
        <v>43</v>
      </c>
      <c r="S288" s="45" t="s">
        <v>43</v>
      </c>
      <c r="T288" s="69"/>
      <c r="U288" s="49" t="s">
        <v>446</v>
      </c>
      <c r="V288" s="43"/>
      <c r="W288" s="71"/>
      <c r="X288" s="43"/>
      <c r="Y288" s="43"/>
      <c r="Z288" s="71"/>
      <c r="AA288" s="71"/>
      <c r="AB288" s="48"/>
      <c r="AC288" s="74"/>
      <c r="AD288" s="74"/>
      <c r="AE288" s="78"/>
      <c r="AF288" s="78"/>
      <c r="AG288" s="78"/>
    </row>
    <row r="289" ht="25.5" spans="1:33">
      <c r="A289" s="45">
        <v>53</v>
      </c>
      <c r="B289" s="45" t="s">
        <v>876</v>
      </c>
      <c r="C289" s="45" t="s">
        <v>877</v>
      </c>
      <c r="D289" s="45" t="s">
        <v>213</v>
      </c>
      <c r="E289" s="49" t="s">
        <v>878</v>
      </c>
      <c r="F289" s="49" t="s">
        <v>879</v>
      </c>
      <c r="G289" s="45" t="s">
        <v>40</v>
      </c>
      <c r="H289" s="49" t="s">
        <v>43</v>
      </c>
      <c r="I289" s="53">
        <v>1217</v>
      </c>
      <c r="J289" s="53">
        <v>1095</v>
      </c>
      <c r="K289" s="84">
        <v>770.27027027027</v>
      </c>
      <c r="L289" s="84">
        <v>972.151898734177</v>
      </c>
      <c r="M289" s="84">
        <v>612</v>
      </c>
      <c r="N289" s="63">
        <v>1070</v>
      </c>
      <c r="O289" s="63">
        <v>970</v>
      </c>
      <c r="P289" s="63">
        <v>820</v>
      </c>
      <c r="Q289" s="45" t="s">
        <v>54</v>
      </c>
      <c r="R289" s="45" t="s">
        <v>43</v>
      </c>
      <c r="S289" s="45" t="s">
        <v>43</v>
      </c>
      <c r="T289" s="69" t="s">
        <v>67</v>
      </c>
      <c r="U289" s="49" t="s">
        <v>880</v>
      </c>
      <c r="V289" s="43" t="s">
        <v>881</v>
      </c>
      <c r="W289" s="71">
        <v>331103022</v>
      </c>
      <c r="X289" s="43" t="s">
        <v>882</v>
      </c>
      <c r="Y289" s="43" t="s">
        <v>43</v>
      </c>
      <c r="Z289" s="71" t="s">
        <v>883</v>
      </c>
      <c r="AA289" s="71" t="s">
        <v>40</v>
      </c>
      <c r="AB289" s="48" t="s">
        <v>43</v>
      </c>
      <c r="AC289" s="75">
        <v>1620</v>
      </c>
      <c r="AD289" s="75">
        <v>1460</v>
      </c>
      <c r="AE289" s="80">
        <v>1500</v>
      </c>
      <c r="AF289" s="80">
        <v>1440</v>
      </c>
      <c r="AG289" s="80">
        <v>1224</v>
      </c>
    </row>
    <row r="290" ht="25.5" spans="1:33">
      <c r="A290" s="45"/>
      <c r="B290" s="45"/>
      <c r="C290" s="45"/>
      <c r="D290" s="45"/>
      <c r="E290" s="49"/>
      <c r="F290" s="49"/>
      <c r="G290" s="45"/>
      <c r="H290" s="49"/>
      <c r="I290" s="53"/>
      <c r="J290" s="53"/>
      <c r="K290" s="84"/>
      <c r="L290" s="84"/>
      <c r="M290" s="84"/>
      <c r="N290" s="63"/>
      <c r="O290" s="63"/>
      <c r="P290" s="63"/>
      <c r="Q290" s="45"/>
      <c r="R290" s="45"/>
      <c r="S290" s="45"/>
      <c r="T290" s="69"/>
      <c r="U290" s="49"/>
      <c r="V290" s="43" t="s">
        <v>884</v>
      </c>
      <c r="W290" s="71">
        <v>33110302202</v>
      </c>
      <c r="X290" s="43" t="s">
        <v>885</v>
      </c>
      <c r="Y290" s="43" t="s">
        <v>43</v>
      </c>
      <c r="Z290" s="71" t="s">
        <v>43</v>
      </c>
      <c r="AA290" s="71" t="s">
        <v>40</v>
      </c>
      <c r="AB290" s="48" t="s">
        <v>43</v>
      </c>
      <c r="AC290" s="75">
        <v>2420</v>
      </c>
      <c r="AD290" s="75">
        <v>2180</v>
      </c>
      <c r="AE290" s="80">
        <v>2125</v>
      </c>
      <c r="AF290" s="80">
        <v>2040</v>
      </c>
      <c r="AG290" s="80">
        <v>1734</v>
      </c>
    </row>
    <row r="291" ht="25.5" spans="1:33">
      <c r="A291" s="45"/>
      <c r="B291" s="45"/>
      <c r="C291" s="45"/>
      <c r="D291" s="45"/>
      <c r="E291" s="49"/>
      <c r="F291" s="49"/>
      <c r="G291" s="45"/>
      <c r="H291" s="49"/>
      <c r="I291" s="53"/>
      <c r="J291" s="53"/>
      <c r="K291" s="84"/>
      <c r="L291" s="84"/>
      <c r="M291" s="84"/>
      <c r="N291" s="63"/>
      <c r="O291" s="63"/>
      <c r="P291" s="63"/>
      <c r="Q291" s="45"/>
      <c r="R291" s="45"/>
      <c r="S291" s="45"/>
      <c r="T291" s="69"/>
      <c r="U291" s="49"/>
      <c r="V291" s="43" t="s">
        <v>886</v>
      </c>
      <c r="W291" s="71">
        <v>331104022</v>
      </c>
      <c r="X291" s="43" t="s">
        <v>887</v>
      </c>
      <c r="Y291" s="43" t="s">
        <v>43</v>
      </c>
      <c r="Z291" s="71" t="s">
        <v>888</v>
      </c>
      <c r="AA291" s="71" t="s">
        <v>40</v>
      </c>
      <c r="AB291" s="48" t="s">
        <v>43</v>
      </c>
      <c r="AC291" s="75">
        <v>810</v>
      </c>
      <c r="AD291" s="75">
        <v>730</v>
      </c>
      <c r="AE291" s="80">
        <v>750</v>
      </c>
      <c r="AF291" s="80">
        <v>720</v>
      </c>
      <c r="AG291" s="80">
        <v>612</v>
      </c>
    </row>
    <row r="292" ht="25.5" spans="1:33">
      <c r="A292" s="45"/>
      <c r="B292" s="45"/>
      <c r="C292" s="45"/>
      <c r="D292" s="45"/>
      <c r="E292" s="49"/>
      <c r="F292" s="49"/>
      <c r="G292" s="45"/>
      <c r="H292" s="49"/>
      <c r="I292" s="53"/>
      <c r="J292" s="53"/>
      <c r="K292" s="84"/>
      <c r="L292" s="84"/>
      <c r="M292" s="84"/>
      <c r="N292" s="63"/>
      <c r="O292" s="63"/>
      <c r="P292" s="63"/>
      <c r="Q292" s="45"/>
      <c r="R292" s="45"/>
      <c r="S292" s="45"/>
      <c r="T292" s="69"/>
      <c r="U292" s="49"/>
      <c r="V292" s="43" t="s">
        <v>889</v>
      </c>
      <c r="W292" s="71">
        <v>331103023</v>
      </c>
      <c r="X292" s="43" t="s">
        <v>890</v>
      </c>
      <c r="Y292" s="43" t="s">
        <v>43</v>
      </c>
      <c r="Z292" s="71" t="s">
        <v>43</v>
      </c>
      <c r="AA292" s="71" t="s">
        <v>40</v>
      </c>
      <c r="AB292" s="48" t="s">
        <v>43</v>
      </c>
      <c r="AC292" s="74" t="s">
        <v>43</v>
      </c>
      <c r="AD292" s="74" t="s">
        <v>43</v>
      </c>
      <c r="AE292" s="78" t="s">
        <v>43</v>
      </c>
      <c r="AF292" s="78" t="s">
        <v>43</v>
      </c>
      <c r="AG292" s="78" t="s">
        <v>43</v>
      </c>
    </row>
    <row r="293" ht="25.5" spans="1:33">
      <c r="A293" s="43" t="s">
        <v>81</v>
      </c>
      <c r="B293" s="43" t="s">
        <v>891</v>
      </c>
      <c r="C293" s="43" t="s">
        <v>892</v>
      </c>
      <c r="D293" s="43" t="s">
        <v>213</v>
      </c>
      <c r="E293" s="48" t="s">
        <v>43</v>
      </c>
      <c r="F293" s="48" t="s">
        <v>43</v>
      </c>
      <c r="G293" s="43" t="s">
        <v>40</v>
      </c>
      <c r="H293" s="48" t="s">
        <v>43</v>
      </c>
      <c r="I293" s="53">
        <v>365</v>
      </c>
      <c r="J293" s="53">
        <v>329</v>
      </c>
      <c r="K293" s="54"/>
      <c r="L293" s="54"/>
      <c r="M293" s="54"/>
      <c r="N293" s="63">
        <v>320</v>
      </c>
      <c r="O293" s="63">
        <v>290</v>
      </c>
      <c r="P293" s="63">
        <v>245</v>
      </c>
      <c r="Q293" s="45" t="s">
        <v>54</v>
      </c>
      <c r="R293" s="45" t="s">
        <v>43</v>
      </c>
      <c r="S293" s="45" t="s">
        <v>43</v>
      </c>
      <c r="T293" s="69"/>
      <c r="U293" s="49"/>
      <c r="V293" s="45" t="s">
        <v>893</v>
      </c>
      <c r="W293" s="45">
        <v>33110302201</v>
      </c>
      <c r="X293" s="45" t="s">
        <v>894</v>
      </c>
      <c r="Y293" s="43" t="s">
        <v>43</v>
      </c>
      <c r="Z293" s="71" t="s">
        <v>43</v>
      </c>
      <c r="AA293" s="71" t="s">
        <v>40</v>
      </c>
      <c r="AB293" s="48" t="s">
        <v>43</v>
      </c>
      <c r="AC293" s="75">
        <v>2105</v>
      </c>
      <c r="AD293" s="75">
        <v>1900</v>
      </c>
      <c r="AE293" s="80">
        <v>1950</v>
      </c>
      <c r="AF293" s="80">
        <v>1870</v>
      </c>
      <c r="AG293" s="80">
        <v>1590</v>
      </c>
    </row>
    <row r="294" ht="25.5" spans="1:33">
      <c r="A294" s="43"/>
      <c r="B294" s="43"/>
      <c r="C294" s="43"/>
      <c r="D294" s="43"/>
      <c r="E294" s="48"/>
      <c r="F294" s="48"/>
      <c r="G294" s="43"/>
      <c r="H294" s="48"/>
      <c r="I294" s="76"/>
      <c r="J294" s="76"/>
      <c r="K294" s="54"/>
      <c r="L294" s="54"/>
      <c r="M294" s="54"/>
      <c r="N294" s="63"/>
      <c r="O294" s="63"/>
      <c r="P294" s="63"/>
      <c r="Q294" s="45"/>
      <c r="R294" s="45"/>
      <c r="S294" s="45"/>
      <c r="T294" s="69"/>
      <c r="U294" s="49"/>
      <c r="V294" s="45" t="s">
        <v>895</v>
      </c>
      <c r="W294" s="45">
        <v>33110302203</v>
      </c>
      <c r="X294" s="45" t="s">
        <v>896</v>
      </c>
      <c r="Y294" s="43" t="s">
        <v>43</v>
      </c>
      <c r="Z294" s="71" t="s">
        <v>43</v>
      </c>
      <c r="AA294" s="71" t="s">
        <v>40</v>
      </c>
      <c r="AB294" s="48" t="s">
        <v>43</v>
      </c>
      <c r="AC294" s="75">
        <v>2905</v>
      </c>
      <c r="AD294" s="75">
        <v>2620</v>
      </c>
      <c r="AE294" s="80">
        <v>2575</v>
      </c>
      <c r="AF294" s="80">
        <v>2470</v>
      </c>
      <c r="AG294" s="80">
        <v>2100</v>
      </c>
    </row>
    <row r="295" ht="25.5" spans="1:33">
      <c r="A295" s="43"/>
      <c r="B295" s="43"/>
      <c r="C295" s="43"/>
      <c r="D295" s="43"/>
      <c r="E295" s="48"/>
      <c r="F295" s="48"/>
      <c r="G295" s="43"/>
      <c r="H295" s="48"/>
      <c r="I295" s="76"/>
      <c r="J295" s="76"/>
      <c r="K295" s="54"/>
      <c r="L295" s="54"/>
      <c r="M295" s="54"/>
      <c r="N295" s="63"/>
      <c r="O295" s="63"/>
      <c r="P295" s="63"/>
      <c r="Q295" s="45"/>
      <c r="R295" s="45"/>
      <c r="S295" s="45"/>
      <c r="T295" s="69"/>
      <c r="U295" s="49"/>
      <c r="V295" s="45" t="s">
        <v>897</v>
      </c>
      <c r="W295" s="45">
        <v>33110402201</v>
      </c>
      <c r="X295" s="45" t="s">
        <v>898</v>
      </c>
      <c r="Y295" s="43" t="s">
        <v>43</v>
      </c>
      <c r="Z295" s="71" t="s">
        <v>43</v>
      </c>
      <c r="AA295" s="71" t="s">
        <v>40</v>
      </c>
      <c r="AB295" s="48" t="s">
        <v>43</v>
      </c>
      <c r="AC295" s="75">
        <v>1055</v>
      </c>
      <c r="AD295" s="75">
        <v>950</v>
      </c>
      <c r="AE295" s="80">
        <v>975</v>
      </c>
      <c r="AF295" s="80">
        <v>935</v>
      </c>
      <c r="AG295" s="80">
        <v>795</v>
      </c>
    </row>
    <row r="296" ht="25.5" spans="1:33">
      <c r="A296" s="43"/>
      <c r="B296" s="43"/>
      <c r="C296" s="43"/>
      <c r="D296" s="43"/>
      <c r="E296" s="48"/>
      <c r="F296" s="48"/>
      <c r="G296" s="43"/>
      <c r="H296" s="48"/>
      <c r="I296" s="76"/>
      <c r="J296" s="76"/>
      <c r="K296" s="54"/>
      <c r="L296" s="54"/>
      <c r="M296" s="54"/>
      <c r="N296" s="63"/>
      <c r="O296" s="63"/>
      <c r="P296" s="63"/>
      <c r="Q296" s="45"/>
      <c r="R296" s="45"/>
      <c r="S296" s="45"/>
      <c r="T296" s="69"/>
      <c r="U296" s="49"/>
      <c r="V296" s="45" t="s">
        <v>899</v>
      </c>
      <c r="W296" s="45">
        <v>33110302301</v>
      </c>
      <c r="X296" s="45" t="s">
        <v>900</v>
      </c>
      <c r="Y296" s="43" t="s">
        <v>43</v>
      </c>
      <c r="Z296" s="71" t="s">
        <v>43</v>
      </c>
      <c r="AA296" s="71" t="s">
        <v>40</v>
      </c>
      <c r="AB296" s="48" t="s">
        <v>43</v>
      </c>
      <c r="AC296" s="74" t="s">
        <v>43</v>
      </c>
      <c r="AD296" s="74" t="s">
        <v>43</v>
      </c>
      <c r="AE296" s="78" t="s">
        <v>43</v>
      </c>
      <c r="AF296" s="78" t="s">
        <v>43</v>
      </c>
      <c r="AG296" s="78" t="s">
        <v>43</v>
      </c>
    </row>
    <row r="297" ht="97" customHeight="1" spans="1:33">
      <c r="A297" s="45">
        <v>54</v>
      </c>
      <c r="B297" s="45" t="s">
        <v>901</v>
      </c>
      <c r="C297" s="45" t="s">
        <v>902</v>
      </c>
      <c r="D297" s="45" t="s">
        <v>213</v>
      </c>
      <c r="E297" s="49" t="s">
        <v>903</v>
      </c>
      <c r="F297" s="49" t="s">
        <v>904</v>
      </c>
      <c r="G297" s="45" t="s">
        <v>40</v>
      </c>
      <c r="H297" s="49" t="s">
        <v>43</v>
      </c>
      <c r="I297" s="53">
        <v>22</v>
      </c>
      <c r="J297" s="53">
        <v>20</v>
      </c>
      <c r="K297" s="55">
        <v>22</v>
      </c>
      <c r="L297" s="55">
        <v>20</v>
      </c>
      <c r="M297" s="55">
        <v>17</v>
      </c>
      <c r="N297" s="63">
        <v>22</v>
      </c>
      <c r="O297" s="63">
        <v>20</v>
      </c>
      <c r="P297" s="63">
        <v>17</v>
      </c>
      <c r="Q297" s="45" t="s">
        <v>54</v>
      </c>
      <c r="R297" s="45" t="s">
        <v>43</v>
      </c>
      <c r="S297" s="45" t="s">
        <v>43</v>
      </c>
      <c r="T297" s="69" t="s">
        <v>55</v>
      </c>
      <c r="U297" s="49" t="s">
        <v>55</v>
      </c>
      <c r="V297" s="43" t="s">
        <v>905</v>
      </c>
      <c r="W297" s="71">
        <v>311000031</v>
      </c>
      <c r="X297" s="43" t="s">
        <v>906</v>
      </c>
      <c r="Y297" s="43" t="s">
        <v>43</v>
      </c>
      <c r="Z297" s="71" t="s">
        <v>43</v>
      </c>
      <c r="AA297" s="71" t="s">
        <v>40</v>
      </c>
      <c r="AB297" s="48" t="s">
        <v>43</v>
      </c>
      <c r="AC297" s="75">
        <v>22</v>
      </c>
      <c r="AD297" s="75">
        <v>20</v>
      </c>
      <c r="AE297" s="80">
        <v>22</v>
      </c>
      <c r="AF297" s="80">
        <v>20</v>
      </c>
      <c r="AG297" s="80">
        <v>17</v>
      </c>
    </row>
    <row r="298" ht="28" customHeight="1" spans="1:33">
      <c r="A298" s="43" t="s">
        <v>81</v>
      </c>
      <c r="B298" s="43" t="s">
        <v>907</v>
      </c>
      <c r="C298" s="43" t="s">
        <v>908</v>
      </c>
      <c r="D298" s="43" t="s">
        <v>213</v>
      </c>
      <c r="E298" s="48" t="s">
        <v>43</v>
      </c>
      <c r="F298" s="48" t="s">
        <v>43</v>
      </c>
      <c r="G298" s="43" t="s">
        <v>40</v>
      </c>
      <c r="H298" s="48" t="s">
        <v>43</v>
      </c>
      <c r="I298" s="53">
        <v>7</v>
      </c>
      <c r="J298" s="53">
        <v>6</v>
      </c>
      <c r="K298" s="54"/>
      <c r="L298" s="54"/>
      <c r="M298" s="54"/>
      <c r="N298" s="63">
        <v>7</v>
      </c>
      <c r="O298" s="63">
        <v>6</v>
      </c>
      <c r="P298" s="63">
        <v>5</v>
      </c>
      <c r="Q298" s="45" t="s">
        <v>54</v>
      </c>
      <c r="R298" s="45" t="s">
        <v>43</v>
      </c>
      <c r="S298" s="45" t="s">
        <v>43</v>
      </c>
      <c r="T298" s="69"/>
      <c r="U298" s="49" t="s">
        <v>446</v>
      </c>
      <c r="V298" s="43"/>
      <c r="W298" s="71"/>
      <c r="X298" s="43"/>
      <c r="Y298" s="43"/>
      <c r="Z298" s="71"/>
      <c r="AA298" s="71"/>
      <c r="AB298" s="48"/>
      <c r="AC298" s="74"/>
      <c r="AD298" s="74"/>
      <c r="AE298" s="78"/>
      <c r="AF298" s="78"/>
      <c r="AG298" s="78"/>
    </row>
    <row r="299" ht="25.5" spans="1:33">
      <c r="A299" s="45">
        <v>55</v>
      </c>
      <c r="B299" s="45" t="s">
        <v>909</v>
      </c>
      <c r="C299" s="45" t="s">
        <v>910</v>
      </c>
      <c r="D299" s="45" t="s">
        <v>213</v>
      </c>
      <c r="E299" s="49" t="s">
        <v>911</v>
      </c>
      <c r="F299" s="49" t="s">
        <v>912</v>
      </c>
      <c r="G299" s="45" t="s">
        <v>40</v>
      </c>
      <c r="H299" s="49" t="s">
        <v>43</v>
      </c>
      <c r="I299" s="53">
        <v>1378</v>
      </c>
      <c r="J299" s="53">
        <v>1240</v>
      </c>
      <c r="K299" s="84">
        <v>1267.85714285714</v>
      </c>
      <c r="L299" s="84">
        <v>1336</v>
      </c>
      <c r="M299" s="84"/>
      <c r="N299" s="63">
        <v>1270</v>
      </c>
      <c r="O299" s="63">
        <v>1200</v>
      </c>
      <c r="P299" s="63">
        <v>1020</v>
      </c>
      <c r="Q299" s="45" t="s">
        <v>54</v>
      </c>
      <c r="R299" s="45" t="s">
        <v>43</v>
      </c>
      <c r="S299" s="45" t="s">
        <v>43</v>
      </c>
      <c r="T299" s="69" t="s">
        <v>67</v>
      </c>
      <c r="U299" s="49" t="s">
        <v>913</v>
      </c>
      <c r="V299" s="43" t="s">
        <v>914</v>
      </c>
      <c r="W299" s="71">
        <v>331103016</v>
      </c>
      <c r="X299" s="43" t="s">
        <v>915</v>
      </c>
      <c r="Y299" s="43" t="s">
        <v>43</v>
      </c>
      <c r="Z299" s="71" t="s">
        <v>43</v>
      </c>
      <c r="AA299" s="71" t="s">
        <v>40</v>
      </c>
      <c r="AB299" s="48" t="s">
        <v>43</v>
      </c>
      <c r="AC299" s="75">
        <v>1220</v>
      </c>
      <c r="AD299" s="75">
        <v>1090</v>
      </c>
      <c r="AE299" s="80">
        <v>1125</v>
      </c>
      <c r="AF299" s="80">
        <v>1080</v>
      </c>
      <c r="AG299" s="80">
        <v>918</v>
      </c>
    </row>
    <row r="300" ht="25.5" spans="1:33">
      <c r="A300" s="45"/>
      <c r="B300" s="45"/>
      <c r="C300" s="45"/>
      <c r="D300" s="45"/>
      <c r="E300" s="49"/>
      <c r="F300" s="49"/>
      <c r="G300" s="45"/>
      <c r="H300" s="49"/>
      <c r="I300" s="53"/>
      <c r="J300" s="53"/>
      <c r="K300" s="84"/>
      <c r="L300" s="84"/>
      <c r="M300" s="84"/>
      <c r="N300" s="63"/>
      <c r="O300" s="63"/>
      <c r="P300" s="63"/>
      <c r="Q300" s="45"/>
      <c r="R300" s="45"/>
      <c r="S300" s="45"/>
      <c r="T300" s="69"/>
      <c r="U300" s="49"/>
      <c r="V300" s="43" t="s">
        <v>916</v>
      </c>
      <c r="W300" s="71">
        <v>33110301602</v>
      </c>
      <c r="X300" s="43" t="s">
        <v>917</v>
      </c>
      <c r="Y300" s="43" t="s">
        <v>43</v>
      </c>
      <c r="Z300" s="71" t="s">
        <v>43</v>
      </c>
      <c r="AA300" s="71" t="s">
        <v>40</v>
      </c>
      <c r="AB300" s="48" t="s">
        <v>43</v>
      </c>
      <c r="AC300" s="75">
        <v>2020</v>
      </c>
      <c r="AD300" s="75">
        <v>1810</v>
      </c>
      <c r="AE300" s="80">
        <v>1750</v>
      </c>
      <c r="AF300" s="80">
        <v>1680</v>
      </c>
      <c r="AG300" s="80">
        <v>1428</v>
      </c>
    </row>
    <row r="301" ht="25.5" spans="1:33">
      <c r="A301" s="45"/>
      <c r="B301" s="45"/>
      <c r="C301" s="45"/>
      <c r="D301" s="45"/>
      <c r="E301" s="49"/>
      <c r="F301" s="49"/>
      <c r="G301" s="45"/>
      <c r="H301" s="49"/>
      <c r="I301" s="53"/>
      <c r="J301" s="53"/>
      <c r="K301" s="84"/>
      <c r="L301" s="84"/>
      <c r="M301" s="84"/>
      <c r="N301" s="63"/>
      <c r="O301" s="63"/>
      <c r="P301" s="63"/>
      <c r="Q301" s="45"/>
      <c r="R301" s="45"/>
      <c r="S301" s="45"/>
      <c r="T301" s="69"/>
      <c r="U301" s="49"/>
      <c r="V301" s="43" t="s">
        <v>918</v>
      </c>
      <c r="W301" s="71">
        <v>331103017</v>
      </c>
      <c r="X301" s="43" t="s">
        <v>919</v>
      </c>
      <c r="Y301" s="43" t="s">
        <v>43</v>
      </c>
      <c r="Z301" s="71" t="s">
        <v>43</v>
      </c>
      <c r="AA301" s="71" t="s">
        <v>40</v>
      </c>
      <c r="AB301" s="48" t="s">
        <v>43</v>
      </c>
      <c r="AC301" s="75">
        <v>1350</v>
      </c>
      <c r="AD301" s="75">
        <v>1215</v>
      </c>
      <c r="AE301" s="80">
        <v>1250</v>
      </c>
      <c r="AF301" s="80">
        <v>1200</v>
      </c>
      <c r="AG301" s="80">
        <v>1020</v>
      </c>
    </row>
    <row r="302" ht="25.5" spans="1:33">
      <c r="A302" s="45"/>
      <c r="B302" s="45"/>
      <c r="C302" s="45"/>
      <c r="D302" s="45"/>
      <c r="E302" s="49"/>
      <c r="F302" s="49"/>
      <c r="G302" s="45"/>
      <c r="H302" s="49"/>
      <c r="I302" s="53"/>
      <c r="J302" s="53"/>
      <c r="K302" s="84"/>
      <c r="L302" s="84"/>
      <c r="M302" s="84"/>
      <c r="N302" s="63"/>
      <c r="O302" s="63"/>
      <c r="P302" s="63"/>
      <c r="Q302" s="45"/>
      <c r="R302" s="45"/>
      <c r="S302" s="45"/>
      <c r="T302" s="69"/>
      <c r="U302" s="49"/>
      <c r="V302" s="43" t="s">
        <v>920</v>
      </c>
      <c r="W302" s="71">
        <v>33110301702</v>
      </c>
      <c r="X302" s="43" t="s">
        <v>921</v>
      </c>
      <c r="Y302" s="43" t="s">
        <v>43</v>
      </c>
      <c r="Z302" s="71" t="s">
        <v>43</v>
      </c>
      <c r="AA302" s="71" t="s">
        <v>40</v>
      </c>
      <c r="AB302" s="48" t="s">
        <v>43</v>
      </c>
      <c r="AC302" s="75">
        <v>2150</v>
      </c>
      <c r="AD302" s="75">
        <v>1935</v>
      </c>
      <c r="AE302" s="80">
        <v>1875</v>
      </c>
      <c r="AF302" s="80">
        <v>1800</v>
      </c>
      <c r="AG302" s="80">
        <v>1530</v>
      </c>
    </row>
    <row r="303" ht="25.5" spans="1:33">
      <c r="A303" s="45"/>
      <c r="B303" s="45"/>
      <c r="C303" s="45"/>
      <c r="D303" s="45"/>
      <c r="E303" s="49"/>
      <c r="F303" s="49"/>
      <c r="G303" s="45"/>
      <c r="H303" s="49"/>
      <c r="I303" s="53"/>
      <c r="J303" s="53"/>
      <c r="K303" s="84"/>
      <c r="L303" s="84"/>
      <c r="M303" s="84"/>
      <c r="N303" s="63"/>
      <c r="O303" s="63"/>
      <c r="P303" s="63"/>
      <c r="Q303" s="45"/>
      <c r="R303" s="45"/>
      <c r="S303" s="45"/>
      <c r="T303" s="69"/>
      <c r="U303" s="49"/>
      <c r="V303" s="43" t="s">
        <v>922</v>
      </c>
      <c r="W303" s="71">
        <v>331103018</v>
      </c>
      <c r="X303" s="43" t="s">
        <v>923</v>
      </c>
      <c r="Y303" s="43" t="s">
        <v>924</v>
      </c>
      <c r="Z303" s="71" t="s">
        <v>43</v>
      </c>
      <c r="AA303" s="71" t="s">
        <v>40</v>
      </c>
      <c r="AB303" s="48" t="s">
        <v>43</v>
      </c>
      <c r="AC303" s="75">
        <v>3460</v>
      </c>
      <c r="AD303" s="75">
        <v>3110</v>
      </c>
      <c r="AE303" s="80">
        <v>3040</v>
      </c>
      <c r="AF303" s="80">
        <v>2740</v>
      </c>
      <c r="AG303" s="80">
        <v>2330</v>
      </c>
    </row>
    <row r="304" ht="25.5" spans="1:33">
      <c r="A304" s="45"/>
      <c r="B304" s="45"/>
      <c r="C304" s="45"/>
      <c r="D304" s="45"/>
      <c r="E304" s="49"/>
      <c r="F304" s="49"/>
      <c r="G304" s="45"/>
      <c r="H304" s="49"/>
      <c r="I304" s="53"/>
      <c r="J304" s="53"/>
      <c r="K304" s="84"/>
      <c r="L304" s="84"/>
      <c r="M304" s="84"/>
      <c r="N304" s="63"/>
      <c r="O304" s="63"/>
      <c r="P304" s="63"/>
      <c r="Q304" s="45"/>
      <c r="R304" s="45"/>
      <c r="S304" s="45"/>
      <c r="T304" s="69"/>
      <c r="U304" s="49"/>
      <c r="V304" s="43" t="s">
        <v>925</v>
      </c>
      <c r="W304" s="71">
        <v>33110301802</v>
      </c>
      <c r="X304" s="43" t="s">
        <v>926</v>
      </c>
      <c r="Y304" s="43" t="s">
        <v>43</v>
      </c>
      <c r="Z304" s="71" t="s">
        <v>43</v>
      </c>
      <c r="AA304" s="71" t="s">
        <v>40</v>
      </c>
      <c r="AB304" s="48" t="s">
        <v>43</v>
      </c>
      <c r="AC304" s="75">
        <v>4260</v>
      </c>
      <c r="AD304" s="75">
        <v>3830</v>
      </c>
      <c r="AE304" s="80">
        <v>3665</v>
      </c>
      <c r="AF304" s="80">
        <v>3340</v>
      </c>
      <c r="AG304" s="80">
        <v>2840</v>
      </c>
    </row>
    <row r="305" ht="23" customHeight="1" spans="1:33">
      <c r="A305" s="43" t="s">
        <v>81</v>
      </c>
      <c r="B305" s="43" t="s">
        <v>927</v>
      </c>
      <c r="C305" s="43" t="s">
        <v>928</v>
      </c>
      <c r="D305" s="43" t="s">
        <v>213</v>
      </c>
      <c r="E305" s="48" t="s">
        <v>43</v>
      </c>
      <c r="F305" s="48" t="s">
        <v>43</v>
      </c>
      <c r="G305" s="43" t="s">
        <v>40</v>
      </c>
      <c r="H305" s="48" t="s">
        <v>43</v>
      </c>
      <c r="I305" s="53">
        <v>413</v>
      </c>
      <c r="J305" s="53">
        <v>372</v>
      </c>
      <c r="K305" s="54"/>
      <c r="L305" s="54"/>
      <c r="M305" s="54"/>
      <c r="N305" s="63">
        <v>380</v>
      </c>
      <c r="O305" s="63">
        <v>360</v>
      </c>
      <c r="P305" s="63">
        <v>305</v>
      </c>
      <c r="Q305" s="45" t="s">
        <v>54</v>
      </c>
      <c r="R305" s="45" t="s">
        <v>43</v>
      </c>
      <c r="S305" s="45" t="s">
        <v>43</v>
      </c>
      <c r="T305" s="69"/>
      <c r="U305" s="49"/>
      <c r="V305" s="45" t="s">
        <v>929</v>
      </c>
      <c r="W305" s="45">
        <v>33110301601</v>
      </c>
      <c r="X305" s="45" t="s">
        <v>930</v>
      </c>
      <c r="Y305" s="43" t="s">
        <v>43</v>
      </c>
      <c r="Z305" s="71" t="s">
        <v>43</v>
      </c>
      <c r="AA305" s="71" t="s">
        <v>40</v>
      </c>
      <c r="AB305" s="48" t="s">
        <v>43</v>
      </c>
      <c r="AC305" s="75">
        <v>1585</v>
      </c>
      <c r="AD305" s="75">
        <v>1415</v>
      </c>
      <c r="AE305" s="80">
        <v>1465</v>
      </c>
      <c r="AF305" s="80">
        <v>1405</v>
      </c>
      <c r="AG305" s="80">
        <v>1195</v>
      </c>
    </row>
    <row r="306" ht="23" customHeight="1" spans="1:33">
      <c r="A306" s="43"/>
      <c r="B306" s="43"/>
      <c r="C306" s="43"/>
      <c r="D306" s="43"/>
      <c r="E306" s="48"/>
      <c r="F306" s="48"/>
      <c r="G306" s="43"/>
      <c r="H306" s="48"/>
      <c r="I306" s="76"/>
      <c r="J306" s="76"/>
      <c r="K306" s="54"/>
      <c r="L306" s="54"/>
      <c r="M306" s="54"/>
      <c r="N306" s="63"/>
      <c r="O306" s="63"/>
      <c r="P306" s="63"/>
      <c r="Q306" s="45"/>
      <c r="R306" s="45"/>
      <c r="S306" s="45"/>
      <c r="T306" s="69"/>
      <c r="U306" s="49"/>
      <c r="V306" s="45" t="s">
        <v>931</v>
      </c>
      <c r="W306" s="45">
        <v>33110301603</v>
      </c>
      <c r="X306" s="45" t="s">
        <v>932</v>
      </c>
      <c r="Y306" s="43" t="s">
        <v>43</v>
      </c>
      <c r="Z306" s="71" t="s">
        <v>43</v>
      </c>
      <c r="AA306" s="71" t="s">
        <v>40</v>
      </c>
      <c r="AB306" s="48" t="s">
        <v>43</v>
      </c>
      <c r="AC306" s="75">
        <v>2385</v>
      </c>
      <c r="AD306" s="75">
        <v>2135</v>
      </c>
      <c r="AE306" s="80">
        <v>2090</v>
      </c>
      <c r="AF306" s="80">
        <v>2005</v>
      </c>
      <c r="AG306" s="80">
        <v>1705</v>
      </c>
    </row>
    <row r="307" ht="23" customHeight="1" spans="1:33">
      <c r="A307" s="43"/>
      <c r="B307" s="43"/>
      <c r="C307" s="43"/>
      <c r="D307" s="43"/>
      <c r="E307" s="48"/>
      <c r="F307" s="48"/>
      <c r="G307" s="43"/>
      <c r="H307" s="48"/>
      <c r="I307" s="76"/>
      <c r="J307" s="76"/>
      <c r="K307" s="54"/>
      <c r="L307" s="54"/>
      <c r="M307" s="54"/>
      <c r="N307" s="63"/>
      <c r="O307" s="63"/>
      <c r="P307" s="63"/>
      <c r="Q307" s="45"/>
      <c r="R307" s="45"/>
      <c r="S307" s="45"/>
      <c r="T307" s="69"/>
      <c r="U307" s="49"/>
      <c r="V307" s="45" t="s">
        <v>933</v>
      </c>
      <c r="W307" s="45">
        <v>33110301701</v>
      </c>
      <c r="X307" s="45" t="s">
        <v>934</v>
      </c>
      <c r="Y307" s="43" t="s">
        <v>43</v>
      </c>
      <c r="Z307" s="71" t="s">
        <v>43</v>
      </c>
      <c r="AA307" s="71" t="s">
        <v>40</v>
      </c>
      <c r="AB307" s="48" t="s">
        <v>43</v>
      </c>
      <c r="AC307" s="75">
        <v>1755</v>
      </c>
      <c r="AD307" s="75">
        <v>1580</v>
      </c>
      <c r="AE307" s="80">
        <v>1625</v>
      </c>
      <c r="AF307" s="80">
        <v>1560</v>
      </c>
      <c r="AG307" s="80">
        <v>1325</v>
      </c>
    </row>
    <row r="308" ht="23" customHeight="1" spans="1:33">
      <c r="A308" s="43"/>
      <c r="B308" s="43"/>
      <c r="C308" s="43"/>
      <c r="D308" s="43"/>
      <c r="E308" s="48"/>
      <c r="F308" s="48"/>
      <c r="G308" s="43"/>
      <c r="H308" s="48"/>
      <c r="I308" s="76"/>
      <c r="J308" s="76"/>
      <c r="K308" s="54"/>
      <c r="L308" s="54"/>
      <c r="M308" s="54"/>
      <c r="N308" s="63"/>
      <c r="O308" s="63"/>
      <c r="P308" s="63"/>
      <c r="Q308" s="45"/>
      <c r="R308" s="45"/>
      <c r="S308" s="45"/>
      <c r="T308" s="69"/>
      <c r="U308" s="49"/>
      <c r="V308" s="45" t="s">
        <v>935</v>
      </c>
      <c r="W308" s="45">
        <v>33110301703</v>
      </c>
      <c r="X308" s="45" t="s">
        <v>936</v>
      </c>
      <c r="Y308" s="43" t="s">
        <v>43</v>
      </c>
      <c r="Z308" s="71" t="s">
        <v>43</v>
      </c>
      <c r="AA308" s="71" t="s">
        <v>40</v>
      </c>
      <c r="AB308" s="48" t="s">
        <v>43</v>
      </c>
      <c r="AC308" s="75">
        <v>2555</v>
      </c>
      <c r="AD308" s="75">
        <v>2300</v>
      </c>
      <c r="AE308" s="80">
        <v>2250</v>
      </c>
      <c r="AF308" s="80">
        <v>2160</v>
      </c>
      <c r="AG308" s="80">
        <v>1835</v>
      </c>
    </row>
    <row r="309" ht="23" customHeight="1" spans="1:33">
      <c r="A309" s="43"/>
      <c r="B309" s="43"/>
      <c r="C309" s="43"/>
      <c r="D309" s="43"/>
      <c r="E309" s="48"/>
      <c r="F309" s="48"/>
      <c r="G309" s="43"/>
      <c r="H309" s="48"/>
      <c r="I309" s="76"/>
      <c r="J309" s="76"/>
      <c r="K309" s="54"/>
      <c r="L309" s="54"/>
      <c r="M309" s="54"/>
      <c r="N309" s="63"/>
      <c r="O309" s="63"/>
      <c r="P309" s="63"/>
      <c r="Q309" s="45"/>
      <c r="R309" s="45"/>
      <c r="S309" s="45"/>
      <c r="T309" s="69"/>
      <c r="U309" s="49"/>
      <c r="V309" s="45" t="s">
        <v>937</v>
      </c>
      <c r="W309" s="45">
        <v>33110301801</v>
      </c>
      <c r="X309" s="45" t="s">
        <v>938</v>
      </c>
      <c r="Y309" s="43" t="s">
        <v>43</v>
      </c>
      <c r="Z309" s="71" t="s">
        <v>43</v>
      </c>
      <c r="AA309" s="71" t="s">
        <v>40</v>
      </c>
      <c r="AB309" s="48" t="s">
        <v>43</v>
      </c>
      <c r="AC309" s="75">
        <v>4500</v>
      </c>
      <c r="AD309" s="75">
        <v>4045</v>
      </c>
      <c r="AE309" s="80">
        <v>3950</v>
      </c>
      <c r="AF309" s="80">
        <v>3560</v>
      </c>
      <c r="AG309" s="80">
        <v>3025</v>
      </c>
    </row>
    <row r="310" ht="23" customHeight="1" spans="1:33">
      <c r="A310" s="43"/>
      <c r="B310" s="43"/>
      <c r="C310" s="43"/>
      <c r="D310" s="43"/>
      <c r="E310" s="48"/>
      <c r="F310" s="48"/>
      <c r="G310" s="43"/>
      <c r="H310" s="48"/>
      <c r="I310" s="76"/>
      <c r="J310" s="76"/>
      <c r="K310" s="54"/>
      <c r="L310" s="54"/>
      <c r="M310" s="54"/>
      <c r="N310" s="63"/>
      <c r="O310" s="63"/>
      <c r="P310" s="63"/>
      <c r="Q310" s="45"/>
      <c r="R310" s="45"/>
      <c r="S310" s="45"/>
      <c r="T310" s="69"/>
      <c r="U310" s="49"/>
      <c r="V310" s="45" t="s">
        <v>939</v>
      </c>
      <c r="W310" s="45">
        <v>33110301803</v>
      </c>
      <c r="X310" s="45" t="s">
        <v>940</v>
      </c>
      <c r="Y310" s="43" t="s">
        <v>43</v>
      </c>
      <c r="Z310" s="71" t="s">
        <v>43</v>
      </c>
      <c r="AA310" s="71" t="s">
        <v>40</v>
      </c>
      <c r="AB310" s="48" t="s">
        <v>43</v>
      </c>
      <c r="AC310" s="75">
        <v>5300</v>
      </c>
      <c r="AD310" s="75">
        <v>4765</v>
      </c>
      <c r="AE310" s="80">
        <v>4575</v>
      </c>
      <c r="AF310" s="80">
        <v>4160</v>
      </c>
      <c r="AG310" s="80">
        <v>3535</v>
      </c>
    </row>
    <row r="311" ht="25.5" spans="1:33">
      <c r="A311" s="45">
        <v>56</v>
      </c>
      <c r="B311" s="45" t="s">
        <v>941</v>
      </c>
      <c r="C311" s="45" t="s">
        <v>942</v>
      </c>
      <c r="D311" s="45" t="s">
        <v>213</v>
      </c>
      <c r="E311" s="49" t="s">
        <v>943</v>
      </c>
      <c r="F311" s="49" t="s">
        <v>944</v>
      </c>
      <c r="G311" s="45" t="s">
        <v>40</v>
      </c>
      <c r="H311" s="49" t="s">
        <v>43</v>
      </c>
      <c r="I311" s="53">
        <v>2050</v>
      </c>
      <c r="J311" s="53">
        <v>1845</v>
      </c>
      <c r="K311" s="55"/>
      <c r="L311" s="55">
        <v>1975</v>
      </c>
      <c r="M311" s="55"/>
      <c r="N311" s="63">
        <v>2000</v>
      </c>
      <c r="O311" s="63">
        <v>1800</v>
      </c>
      <c r="P311" s="63">
        <v>1530</v>
      </c>
      <c r="Q311" s="45" t="s">
        <v>54</v>
      </c>
      <c r="R311" s="45" t="s">
        <v>43</v>
      </c>
      <c r="S311" s="45" t="s">
        <v>43</v>
      </c>
      <c r="T311" s="69" t="s">
        <v>67</v>
      </c>
      <c r="U311" s="49" t="s">
        <v>945</v>
      </c>
      <c r="V311" s="43" t="s">
        <v>946</v>
      </c>
      <c r="W311" s="71">
        <v>331103021</v>
      </c>
      <c r="X311" s="43" t="s">
        <v>947</v>
      </c>
      <c r="Y311" s="43" t="s">
        <v>948</v>
      </c>
      <c r="Z311" s="71" t="s">
        <v>43</v>
      </c>
      <c r="AA311" s="71" t="s">
        <v>40</v>
      </c>
      <c r="AB311" s="48" t="s">
        <v>43</v>
      </c>
      <c r="AC311" s="75">
        <v>2500</v>
      </c>
      <c r="AD311" s="75">
        <v>2240</v>
      </c>
      <c r="AE311" s="80">
        <v>2190</v>
      </c>
      <c r="AF311" s="80">
        <v>1970</v>
      </c>
      <c r="AG311" s="80">
        <v>1670</v>
      </c>
    </row>
    <row r="312" ht="25.5" spans="1:33">
      <c r="A312" s="45"/>
      <c r="B312" s="45"/>
      <c r="C312" s="45"/>
      <c r="D312" s="45"/>
      <c r="E312" s="49"/>
      <c r="F312" s="49"/>
      <c r="G312" s="45"/>
      <c r="H312" s="49"/>
      <c r="I312" s="53"/>
      <c r="J312" s="53"/>
      <c r="K312" s="55"/>
      <c r="L312" s="55"/>
      <c r="M312" s="55"/>
      <c r="N312" s="63"/>
      <c r="O312" s="63"/>
      <c r="P312" s="63"/>
      <c r="Q312" s="45"/>
      <c r="R312" s="45"/>
      <c r="S312" s="45"/>
      <c r="T312" s="69"/>
      <c r="U312" s="49"/>
      <c r="V312" s="45" t="s">
        <v>949</v>
      </c>
      <c r="W312" s="45">
        <v>33110302102</v>
      </c>
      <c r="X312" s="45" t="s">
        <v>950</v>
      </c>
      <c r="Y312" s="43" t="s">
        <v>43</v>
      </c>
      <c r="Z312" s="71" t="s">
        <v>43</v>
      </c>
      <c r="AA312" s="71" t="s">
        <v>40</v>
      </c>
      <c r="AB312" s="48" t="s">
        <v>43</v>
      </c>
      <c r="AC312" s="75">
        <v>3300</v>
      </c>
      <c r="AD312" s="75">
        <v>2960</v>
      </c>
      <c r="AE312" s="80">
        <v>2815</v>
      </c>
      <c r="AF312" s="80">
        <v>2570</v>
      </c>
      <c r="AG312" s="80">
        <v>2180</v>
      </c>
    </row>
    <row r="313" ht="25.5" spans="1:33">
      <c r="A313" s="45"/>
      <c r="B313" s="45"/>
      <c r="C313" s="45"/>
      <c r="D313" s="45"/>
      <c r="E313" s="49"/>
      <c r="F313" s="49"/>
      <c r="G313" s="45"/>
      <c r="H313" s="49"/>
      <c r="I313" s="53"/>
      <c r="J313" s="53"/>
      <c r="K313" s="55"/>
      <c r="L313" s="55"/>
      <c r="M313" s="55"/>
      <c r="N313" s="63"/>
      <c r="O313" s="63"/>
      <c r="P313" s="63"/>
      <c r="Q313" s="45"/>
      <c r="R313" s="45"/>
      <c r="S313" s="45"/>
      <c r="T313" s="69"/>
      <c r="U313" s="49"/>
      <c r="V313" s="45" t="s">
        <v>951</v>
      </c>
      <c r="W313" s="45">
        <v>331103020</v>
      </c>
      <c r="X313" s="45" t="s">
        <v>952</v>
      </c>
      <c r="Y313" s="43" t="s">
        <v>43</v>
      </c>
      <c r="Z313" s="71" t="s">
        <v>43</v>
      </c>
      <c r="AA313" s="71" t="s">
        <v>40</v>
      </c>
      <c r="AB313" s="48" t="s">
        <v>43</v>
      </c>
      <c r="AC313" s="75">
        <v>1350</v>
      </c>
      <c r="AD313" s="75">
        <v>1215</v>
      </c>
      <c r="AE313" s="80">
        <v>1250</v>
      </c>
      <c r="AF313" s="80">
        <v>1200</v>
      </c>
      <c r="AG313" s="80">
        <v>1020</v>
      </c>
    </row>
    <row r="314" ht="25.5" spans="1:33">
      <c r="A314" s="45"/>
      <c r="B314" s="45"/>
      <c r="C314" s="45"/>
      <c r="D314" s="45"/>
      <c r="E314" s="49"/>
      <c r="F314" s="49"/>
      <c r="G314" s="45"/>
      <c r="H314" s="49"/>
      <c r="I314" s="53"/>
      <c r="J314" s="53"/>
      <c r="K314" s="55"/>
      <c r="L314" s="55"/>
      <c r="M314" s="55"/>
      <c r="N314" s="63"/>
      <c r="O314" s="63"/>
      <c r="P314" s="63"/>
      <c r="Q314" s="45"/>
      <c r="R314" s="45"/>
      <c r="S314" s="45"/>
      <c r="T314" s="69"/>
      <c r="U314" s="49"/>
      <c r="V314" s="45" t="s">
        <v>953</v>
      </c>
      <c r="W314" s="45">
        <v>33110302002</v>
      </c>
      <c r="X314" s="45" t="s">
        <v>954</v>
      </c>
      <c r="Y314" s="43" t="s">
        <v>43</v>
      </c>
      <c r="Z314" s="71" t="s">
        <v>43</v>
      </c>
      <c r="AA314" s="71" t="s">
        <v>40</v>
      </c>
      <c r="AB314" s="48" t="s">
        <v>43</v>
      </c>
      <c r="AC314" s="75">
        <v>2150</v>
      </c>
      <c r="AD314" s="75">
        <v>1935</v>
      </c>
      <c r="AE314" s="80">
        <v>1875</v>
      </c>
      <c r="AF314" s="80">
        <v>1800</v>
      </c>
      <c r="AG314" s="80">
        <v>1530</v>
      </c>
    </row>
    <row r="315" ht="25.5" spans="1:33">
      <c r="A315" s="43" t="s">
        <v>81</v>
      </c>
      <c r="B315" s="43" t="s">
        <v>955</v>
      </c>
      <c r="C315" s="43" t="s">
        <v>956</v>
      </c>
      <c r="D315" s="43" t="s">
        <v>213</v>
      </c>
      <c r="E315" s="48" t="s">
        <v>43</v>
      </c>
      <c r="F315" s="48" t="s">
        <v>43</v>
      </c>
      <c r="G315" s="43" t="s">
        <v>40</v>
      </c>
      <c r="H315" s="48" t="s">
        <v>43</v>
      </c>
      <c r="I315" s="53">
        <v>615</v>
      </c>
      <c r="J315" s="53">
        <v>554</v>
      </c>
      <c r="K315" s="54"/>
      <c r="L315" s="54"/>
      <c r="M315" s="54"/>
      <c r="N315" s="63">
        <v>600</v>
      </c>
      <c r="O315" s="63">
        <v>540</v>
      </c>
      <c r="P315" s="63">
        <v>460</v>
      </c>
      <c r="Q315" s="45" t="s">
        <v>54</v>
      </c>
      <c r="R315" s="45" t="s">
        <v>43</v>
      </c>
      <c r="S315" s="45" t="s">
        <v>43</v>
      </c>
      <c r="T315" s="69"/>
      <c r="U315" s="49" t="s">
        <v>446</v>
      </c>
      <c r="V315" s="45" t="s">
        <v>957</v>
      </c>
      <c r="W315" s="45">
        <v>33110302101</v>
      </c>
      <c r="X315" s="45" t="s">
        <v>958</v>
      </c>
      <c r="Y315" s="43" t="s">
        <v>43</v>
      </c>
      <c r="Z315" s="71" t="s">
        <v>43</v>
      </c>
      <c r="AA315" s="71" t="s">
        <v>40</v>
      </c>
      <c r="AB315" s="48" t="s">
        <v>43</v>
      </c>
      <c r="AC315" s="75">
        <v>3250</v>
      </c>
      <c r="AD315" s="75">
        <v>2910</v>
      </c>
      <c r="AE315" s="80">
        <v>2845</v>
      </c>
      <c r="AF315" s="80">
        <v>2560</v>
      </c>
      <c r="AG315" s="80">
        <v>2175</v>
      </c>
    </row>
    <row r="316" ht="25.5" spans="1:33">
      <c r="A316" s="43"/>
      <c r="B316" s="43"/>
      <c r="C316" s="43"/>
      <c r="D316" s="43"/>
      <c r="E316" s="48"/>
      <c r="F316" s="48"/>
      <c r="G316" s="43"/>
      <c r="H316" s="48"/>
      <c r="I316" s="76"/>
      <c r="J316" s="76"/>
      <c r="K316" s="54"/>
      <c r="L316" s="54"/>
      <c r="M316" s="54"/>
      <c r="N316" s="63"/>
      <c r="O316" s="63"/>
      <c r="P316" s="63"/>
      <c r="Q316" s="45"/>
      <c r="R316" s="45"/>
      <c r="S316" s="45"/>
      <c r="T316" s="69"/>
      <c r="U316" s="49"/>
      <c r="V316" s="45" t="s">
        <v>959</v>
      </c>
      <c r="W316" s="45">
        <v>33110302103</v>
      </c>
      <c r="X316" s="45" t="s">
        <v>960</v>
      </c>
      <c r="Y316" s="43" t="s">
        <v>43</v>
      </c>
      <c r="Z316" s="71" t="s">
        <v>43</v>
      </c>
      <c r="AA316" s="71" t="s">
        <v>40</v>
      </c>
      <c r="AB316" s="48" t="s">
        <v>43</v>
      </c>
      <c r="AC316" s="75">
        <v>4050</v>
      </c>
      <c r="AD316" s="75">
        <v>3630</v>
      </c>
      <c r="AE316" s="80">
        <v>3470</v>
      </c>
      <c r="AF316" s="80">
        <v>3160</v>
      </c>
      <c r="AG316" s="80">
        <v>2685</v>
      </c>
    </row>
    <row r="317" ht="25.5" spans="1:33">
      <c r="A317" s="43"/>
      <c r="B317" s="43"/>
      <c r="C317" s="43"/>
      <c r="D317" s="43"/>
      <c r="E317" s="48"/>
      <c r="F317" s="48"/>
      <c r="G317" s="43"/>
      <c r="H317" s="48"/>
      <c r="I317" s="76"/>
      <c r="J317" s="76"/>
      <c r="K317" s="54"/>
      <c r="L317" s="54"/>
      <c r="M317" s="54"/>
      <c r="N317" s="63"/>
      <c r="O317" s="63"/>
      <c r="P317" s="63"/>
      <c r="Q317" s="45"/>
      <c r="R317" s="45"/>
      <c r="S317" s="45"/>
      <c r="T317" s="69"/>
      <c r="U317" s="49"/>
      <c r="V317" s="45" t="s">
        <v>961</v>
      </c>
      <c r="W317" s="45">
        <v>33110302001</v>
      </c>
      <c r="X317" s="45" t="s">
        <v>962</v>
      </c>
      <c r="Y317" s="43" t="s">
        <v>43</v>
      </c>
      <c r="Z317" s="71" t="s">
        <v>43</v>
      </c>
      <c r="AA317" s="71" t="s">
        <v>40</v>
      </c>
      <c r="AB317" s="48" t="s">
        <v>43</v>
      </c>
      <c r="AC317" s="75">
        <v>1755</v>
      </c>
      <c r="AD317" s="75">
        <v>1580</v>
      </c>
      <c r="AE317" s="80">
        <v>1625</v>
      </c>
      <c r="AF317" s="80">
        <v>1560</v>
      </c>
      <c r="AG317" s="80">
        <v>1325</v>
      </c>
    </row>
    <row r="318" ht="25.5" spans="1:33">
      <c r="A318" s="43"/>
      <c r="B318" s="43"/>
      <c r="C318" s="43"/>
      <c r="D318" s="43"/>
      <c r="E318" s="48"/>
      <c r="F318" s="48"/>
      <c r="G318" s="43"/>
      <c r="H318" s="48"/>
      <c r="I318" s="76"/>
      <c r="J318" s="76"/>
      <c r="K318" s="54"/>
      <c r="L318" s="54"/>
      <c r="M318" s="54"/>
      <c r="N318" s="63"/>
      <c r="O318" s="63"/>
      <c r="P318" s="63"/>
      <c r="Q318" s="45"/>
      <c r="R318" s="45"/>
      <c r="S318" s="45"/>
      <c r="T318" s="69"/>
      <c r="U318" s="49"/>
      <c r="V318" s="45" t="s">
        <v>963</v>
      </c>
      <c r="W318" s="45">
        <v>33110302003</v>
      </c>
      <c r="X318" s="45" t="s">
        <v>964</v>
      </c>
      <c r="Y318" s="43" t="s">
        <v>43</v>
      </c>
      <c r="Z318" s="71" t="s">
        <v>43</v>
      </c>
      <c r="AA318" s="71" t="s">
        <v>40</v>
      </c>
      <c r="AB318" s="48" t="s">
        <v>43</v>
      </c>
      <c r="AC318" s="75">
        <v>2555</v>
      </c>
      <c r="AD318" s="75">
        <v>2300</v>
      </c>
      <c r="AE318" s="80">
        <v>2250</v>
      </c>
      <c r="AF318" s="80">
        <v>2160</v>
      </c>
      <c r="AG318" s="80">
        <v>1835</v>
      </c>
    </row>
    <row r="319" ht="21" customHeight="1" spans="1:33">
      <c r="A319" s="45">
        <v>57</v>
      </c>
      <c r="B319" s="45" t="s">
        <v>965</v>
      </c>
      <c r="C319" s="45" t="s">
        <v>966</v>
      </c>
      <c r="D319" s="45" t="s">
        <v>213</v>
      </c>
      <c r="E319" s="49" t="s">
        <v>967</v>
      </c>
      <c r="F319" s="49" t="s">
        <v>968</v>
      </c>
      <c r="G319" s="45" t="s">
        <v>40</v>
      </c>
      <c r="H319" s="49" t="s">
        <v>43</v>
      </c>
      <c r="I319" s="53">
        <v>2510</v>
      </c>
      <c r="J319" s="53">
        <v>2259</v>
      </c>
      <c r="K319" s="84">
        <v>2088.57142857143</v>
      </c>
      <c r="L319" s="84">
        <v>1781.42857142857</v>
      </c>
      <c r="M319" s="55">
        <v>1020</v>
      </c>
      <c r="N319" s="63">
        <v>2200</v>
      </c>
      <c r="O319" s="63">
        <v>2000</v>
      </c>
      <c r="P319" s="63">
        <v>1700</v>
      </c>
      <c r="Q319" s="45" t="s">
        <v>54</v>
      </c>
      <c r="R319" s="45" t="s">
        <v>43</v>
      </c>
      <c r="S319" s="45" t="s">
        <v>43</v>
      </c>
      <c r="T319" s="69" t="s">
        <v>416</v>
      </c>
      <c r="U319" s="49" t="s">
        <v>969</v>
      </c>
      <c r="V319" s="43" t="s">
        <v>970</v>
      </c>
      <c r="W319" s="71">
        <v>331103003</v>
      </c>
      <c r="X319" s="43" t="s">
        <v>971</v>
      </c>
      <c r="Y319" s="45"/>
      <c r="Z319" s="71" t="s">
        <v>43</v>
      </c>
      <c r="AA319" s="71" t="s">
        <v>40</v>
      </c>
      <c r="AB319" s="48" t="s">
        <v>43</v>
      </c>
      <c r="AC319" s="75">
        <v>2300</v>
      </c>
      <c r="AD319" s="75">
        <v>2080</v>
      </c>
      <c r="AE319" s="80">
        <v>2030</v>
      </c>
      <c r="AF319" s="80">
        <v>1830</v>
      </c>
      <c r="AG319" s="80">
        <v>1560</v>
      </c>
    </row>
    <row r="320" ht="21" customHeight="1" spans="1:33">
      <c r="A320" s="45"/>
      <c r="B320" s="45"/>
      <c r="C320" s="45"/>
      <c r="D320" s="45"/>
      <c r="E320" s="49"/>
      <c r="F320" s="49"/>
      <c r="G320" s="45"/>
      <c r="H320" s="49"/>
      <c r="I320" s="53"/>
      <c r="J320" s="53"/>
      <c r="K320" s="84"/>
      <c r="L320" s="84"/>
      <c r="M320" s="55"/>
      <c r="N320" s="63"/>
      <c r="O320" s="63"/>
      <c r="P320" s="63"/>
      <c r="Q320" s="45"/>
      <c r="R320" s="45"/>
      <c r="S320" s="45"/>
      <c r="T320" s="69"/>
      <c r="U320" s="49"/>
      <c r="V320" s="43" t="s">
        <v>972</v>
      </c>
      <c r="W320" s="71">
        <v>33110300302</v>
      </c>
      <c r="X320" s="43" t="s">
        <v>973</v>
      </c>
      <c r="Y320" s="45"/>
      <c r="Z320" s="71" t="s">
        <v>43</v>
      </c>
      <c r="AA320" s="71" t="s">
        <v>40</v>
      </c>
      <c r="AB320" s="48" t="s">
        <v>43</v>
      </c>
      <c r="AC320" s="75">
        <v>3100</v>
      </c>
      <c r="AD320" s="75">
        <v>2800</v>
      </c>
      <c r="AE320" s="80">
        <v>2655</v>
      </c>
      <c r="AF320" s="80">
        <v>2430</v>
      </c>
      <c r="AG320" s="80">
        <v>2070</v>
      </c>
    </row>
    <row r="321" ht="21" customHeight="1" spans="1:33">
      <c r="A321" s="45"/>
      <c r="B321" s="45"/>
      <c r="C321" s="45"/>
      <c r="D321" s="45"/>
      <c r="E321" s="49"/>
      <c r="F321" s="49"/>
      <c r="G321" s="45"/>
      <c r="H321" s="49"/>
      <c r="I321" s="53"/>
      <c r="J321" s="53"/>
      <c r="K321" s="84"/>
      <c r="L321" s="84"/>
      <c r="M321" s="55"/>
      <c r="N321" s="63"/>
      <c r="O321" s="63"/>
      <c r="P321" s="63"/>
      <c r="Q321" s="45"/>
      <c r="R321" s="45"/>
      <c r="S321" s="45"/>
      <c r="T321" s="69"/>
      <c r="U321" s="49"/>
      <c r="V321" s="43" t="s">
        <v>974</v>
      </c>
      <c r="W321" s="71">
        <v>331103002</v>
      </c>
      <c r="X321" s="43" t="s">
        <v>975</v>
      </c>
      <c r="Y321" s="45"/>
      <c r="Z321" s="71" t="s">
        <v>43</v>
      </c>
      <c r="AA321" s="71" t="s">
        <v>40</v>
      </c>
      <c r="AB321" s="48" t="s">
        <v>43</v>
      </c>
      <c r="AC321" s="75">
        <v>1620</v>
      </c>
      <c r="AD321" s="75">
        <v>1460</v>
      </c>
      <c r="AE321" s="80">
        <v>1500</v>
      </c>
      <c r="AF321" s="80">
        <v>1440</v>
      </c>
      <c r="AG321" s="80">
        <v>1224</v>
      </c>
    </row>
    <row r="322" ht="21" customHeight="1" spans="1:33">
      <c r="A322" s="45"/>
      <c r="B322" s="45"/>
      <c r="C322" s="45"/>
      <c r="D322" s="45"/>
      <c r="E322" s="49"/>
      <c r="F322" s="49"/>
      <c r="G322" s="45"/>
      <c r="H322" s="49"/>
      <c r="I322" s="53"/>
      <c r="J322" s="53"/>
      <c r="K322" s="84"/>
      <c r="L322" s="84"/>
      <c r="M322" s="55"/>
      <c r="N322" s="63"/>
      <c r="O322" s="63"/>
      <c r="P322" s="63"/>
      <c r="Q322" s="45"/>
      <c r="R322" s="45"/>
      <c r="S322" s="45"/>
      <c r="T322" s="69"/>
      <c r="U322" s="49"/>
      <c r="V322" s="43" t="s">
        <v>976</v>
      </c>
      <c r="W322" s="71">
        <v>33110300202</v>
      </c>
      <c r="X322" s="43" t="s">
        <v>977</v>
      </c>
      <c r="Y322" s="45"/>
      <c r="Z322" s="71" t="s">
        <v>43</v>
      </c>
      <c r="AA322" s="71" t="s">
        <v>40</v>
      </c>
      <c r="AB322" s="48" t="s">
        <v>43</v>
      </c>
      <c r="AC322" s="75">
        <v>2420</v>
      </c>
      <c r="AD322" s="75">
        <v>2180</v>
      </c>
      <c r="AE322" s="80">
        <v>2125</v>
      </c>
      <c r="AF322" s="80">
        <v>2040</v>
      </c>
      <c r="AG322" s="80">
        <v>1734</v>
      </c>
    </row>
    <row r="323" ht="21" customHeight="1" spans="1:33">
      <c r="A323" s="45"/>
      <c r="B323" s="45"/>
      <c r="C323" s="45"/>
      <c r="D323" s="45"/>
      <c r="E323" s="49"/>
      <c r="F323" s="49"/>
      <c r="G323" s="45"/>
      <c r="H323" s="49"/>
      <c r="I323" s="53"/>
      <c r="J323" s="53"/>
      <c r="K323" s="84"/>
      <c r="L323" s="84"/>
      <c r="M323" s="55"/>
      <c r="N323" s="63"/>
      <c r="O323" s="63"/>
      <c r="P323" s="63"/>
      <c r="Q323" s="45"/>
      <c r="R323" s="45"/>
      <c r="S323" s="45"/>
      <c r="T323" s="69"/>
      <c r="U323" s="49"/>
      <c r="V323" s="43" t="s">
        <v>978</v>
      </c>
      <c r="W323" s="71">
        <v>331103015</v>
      </c>
      <c r="X323" s="43" t="s">
        <v>979</v>
      </c>
      <c r="Y323" s="45"/>
      <c r="Z323" s="71" t="s">
        <v>43</v>
      </c>
      <c r="AA323" s="71" t="s">
        <v>40</v>
      </c>
      <c r="AB323" s="48" t="s">
        <v>43</v>
      </c>
      <c r="AC323" s="75">
        <v>1080</v>
      </c>
      <c r="AD323" s="75">
        <v>970</v>
      </c>
      <c r="AE323" s="80">
        <v>1000</v>
      </c>
      <c r="AF323" s="80">
        <v>960</v>
      </c>
      <c r="AG323" s="80">
        <v>816</v>
      </c>
    </row>
    <row r="324" ht="21" customHeight="1" spans="1:33">
      <c r="A324" s="45"/>
      <c r="B324" s="45"/>
      <c r="C324" s="45"/>
      <c r="D324" s="45"/>
      <c r="E324" s="49"/>
      <c r="F324" s="49"/>
      <c r="G324" s="45"/>
      <c r="H324" s="49"/>
      <c r="I324" s="53"/>
      <c r="J324" s="53"/>
      <c r="K324" s="84"/>
      <c r="L324" s="84"/>
      <c r="M324" s="55"/>
      <c r="N324" s="63"/>
      <c r="O324" s="63"/>
      <c r="P324" s="63"/>
      <c r="Q324" s="45"/>
      <c r="R324" s="45"/>
      <c r="S324" s="45"/>
      <c r="T324" s="69"/>
      <c r="U324" s="49"/>
      <c r="V324" s="43" t="s">
        <v>980</v>
      </c>
      <c r="W324" s="71">
        <v>33110301502</v>
      </c>
      <c r="X324" s="43" t="s">
        <v>981</v>
      </c>
      <c r="Y324" s="45"/>
      <c r="Z324" s="71" t="s">
        <v>43</v>
      </c>
      <c r="AA324" s="71" t="s">
        <v>40</v>
      </c>
      <c r="AB324" s="48" t="s">
        <v>43</v>
      </c>
      <c r="AC324" s="75">
        <v>1880</v>
      </c>
      <c r="AD324" s="75">
        <v>1690</v>
      </c>
      <c r="AE324" s="80">
        <v>1625</v>
      </c>
      <c r="AF324" s="80">
        <v>1560</v>
      </c>
      <c r="AG324" s="80">
        <v>1326</v>
      </c>
    </row>
    <row r="325" ht="21" customHeight="1" spans="1:33">
      <c r="A325" s="45"/>
      <c r="B325" s="45"/>
      <c r="C325" s="45"/>
      <c r="D325" s="45"/>
      <c r="E325" s="49"/>
      <c r="F325" s="49"/>
      <c r="G325" s="45"/>
      <c r="H325" s="49"/>
      <c r="I325" s="53"/>
      <c r="J325" s="53"/>
      <c r="K325" s="84"/>
      <c r="L325" s="84"/>
      <c r="M325" s="55"/>
      <c r="N325" s="63"/>
      <c r="O325" s="63"/>
      <c r="P325" s="63"/>
      <c r="Q325" s="45"/>
      <c r="R325" s="45"/>
      <c r="S325" s="45"/>
      <c r="T325" s="69"/>
      <c r="U325" s="49"/>
      <c r="V325" s="43" t="s">
        <v>982</v>
      </c>
      <c r="W325" s="71">
        <v>331103024</v>
      </c>
      <c r="X325" s="43" t="s">
        <v>983</v>
      </c>
      <c r="Y325" s="45"/>
      <c r="Z325" s="71" t="s">
        <v>43</v>
      </c>
      <c r="AA325" s="71" t="s">
        <v>40</v>
      </c>
      <c r="AB325" s="48" t="s">
        <v>43</v>
      </c>
      <c r="AC325" s="75">
        <v>1350</v>
      </c>
      <c r="AD325" s="75">
        <v>1215</v>
      </c>
      <c r="AE325" s="80">
        <v>1250</v>
      </c>
      <c r="AF325" s="80">
        <v>1200</v>
      </c>
      <c r="AG325" s="80">
        <v>1020</v>
      </c>
    </row>
    <row r="326" ht="21" customHeight="1" spans="1:33">
      <c r="A326" s="45"/>
      <c r="B326" s="45"/>
      <c r="C326" s="45"/>
      <c r="D326" s="45"/>
      <c r="E326" s="49"/>
      <c r="F326" s="49"/>
      <c r="G326" s="45"/>
      <c r="H326" s="49"/>
      <c r="I326" s="53"/>
      <c r="J326" s="53"/>
      <c r="K326" s="84"/>
      <c r="L326" s="84"/>
      <c r="M326" s="55"/>
      <c r="N326" s="63"/>
      <c r="O326" s="63"/>
      <c r="P326" s="63"/>
      <c r="Q326" s="45"/>
      <c r="R326" s="45"/>
      <c r="S326" s="45"/>
      <c r="T326" s="69"/>
      <c r="U326" s="49"/>
      <c r="V326" s="43" t="s">
        <v>984</v>
      </c>
      <c r="W326" s="71">
        <v>33110302402</v>
      </c>
      <c r="X326" s="43" t="s">
        <v>985</v>
      </c>
      <c r="Y326" s="45"/>
      <c r="Z326" s="71" t="s">
        <v>43</v>
      </c>
      <c r="AA326" s="71" t="s">
        <v>40</v>
      </c>
      <c r="AB326" s="48" t="s">
        <v>43</v>
      </c>
      <c r="AC326" s="75">
        <v>2150</v>
      </c>
      <c r="AD326" s="75">
        <v>1935</v>
      </c>
      <c r="AE326" s="80">
        <v>1875</v>
      </c>
      <c r="AF326" s="80">
        <v>1800</v>
      </c>
      <c r="AG326" s="80">
        <v>1530</v>
      </c>
    </row>
    <row r="327" ht="21" customHeight="1" spans="1:33">
      <c r="A327" s="45"/>
      <c r="B327" s="45"/>
      <c r="C327" s="45"/>
      <c r="D327" s="45"/>
      <c r="E327" s="49"/>
      <c r="F327" s="49"/>
      <c r="G327" s="45"/>
      <c r="H327" s="49"/>
      <c r="I327" s="53"/>
      <c r="J327" s="53"/>
      <c r="K327" s="84"/>
      <c r="L327" s="84"/>
      <c r="M327" s="55"/>
      <c r="N327" s="63"/>
      <c r="O327" s="63"/>
      <c r="P327" s="63"/>
      <c r="Q327" s="45"/>
      <c r="R327" s="45"/>
      <c r="S327" s="45"/>
      <c r="T327" s="69"/>
      <c r="U327" s="49"/>
      <c r="V327" s="43" t="s">
        <v>986</v>
      </c>
      <c r="W327" s="71">
        <v>331103004</v>
      </c>
      <c r="X327" s="43" t="s">
        <v>987</v>
      </c>
      <c r="Y327" s="45"/>
      <c r="Z327" s="71" t="s">
        <v>43</v>
      </c>
      <c r="AA327" s="71" t="s">
        <v>40</v>
      </c>
      <c r="AB327" s="48" t="s">
        <v>43</v>
      </c>
      <c r="AC327" s="75">
        <v>1350</v>
      </c>
      <c r="AD327" s="75">
        <v>1215</v>
      </c>
      <c r="AE327" s="80">
        <v>1250</v>
      </c>
      <c r="AF327" s="80">
        <v>1200</v>
      </c>
      <c r="AG327" s="80">
        <v>1020</v>
      </c>
    </row>
    <row r="328" ht="21" customHeight="1" spans="1:33">
      <c r="A328" s="45"/>
      <c r="B328" s="45"/>
      <c r="C328" s="45"/>
      <c r="D328" s="45"/>
      <c r="E328" s="49"/>
      <c r="F328" s="49"/>
      <c r="G328" s="45"/>
      <c r="H328" s="49"/>
      <c r="I328" s="53"/>
      <c r="J328" s="53"/>
      <c r="K328" s="84"/>
      <c r="L328" s="84"/>
      <c r="M328" s="55"/>
      <c r="N328" s="63"/>
      <c r="O328" s="63"/>
      <c r="P328" s="63"/>
      <c r="Q328" s="45"/>
      <c r="R328" s="45"/>
      <c r="S328" s="45"/>
      <c r="T328" s="69"/>
      <c r="U328" s="49"/>
      <c r="V328" s="43" t="s">
        <v>988</v>
      </c>
      <c r="W328" s="71">
        <v>33110300402</v>
      </c>
      <c r="X328" s="43" t="s">
        <v>989</v>
      </c>
      <c r="Y328" s="45"/>
      <c r="Z328" s="71" t="s">
        <v>43</v>
      </c>
      <c r="AA328" s="71" t="s">
        <v>40</v>
      </c>
      <c r="AB328" s="48" t="s">
        <v>43</v>
      </c>
      <c r="AC328" s="75">
        <v>2150</v>
      </c>
      <c r="AD328" s="75">
        <v>1935</v>
      </c>
      <c r="AE328" s="80">
        <v>1875</v>
      </c>
      <c r="AF328" s="80">
        <v>1800</v>
      </c>
      <c r="AG328" s="80">
        <v>1530</v>
      </c>
    </row>
    <row r="329" ht="21" customHeight="1" spans="1:33">
      <c r="A329" s="45"/>
      <c r="B329" s="45"/>
      <c r="C329" s="45"/>
      <c r="D329" s="45"/>
      <c r="E329" s="49"/>
      <c r="F329" s="49"/>
      <c r="G329" s="45"/>
      <c r="H329" s="49"/>
      <c r="I329" s="53"/>
      <c r="J329" s="53"/>
      <c r="K329" s="84"/>
      <c r="L329" s="84"/>
      <c r="M329" s="55"/>
      <c r="N329" s="63"/>
      <c r="O329" s="63"/>
      <c r="P329" s="63"/>
      <c r="Q329" s="45"/>
      <c r="R329" s="45"/>
      <c r="S329" s="45"/>
      <c r="T329" s="69"/>
      <c r="U329" s="49"/>
      <c r="V329" s="43" t="s">
        <v>990</v>
      </c>
      <c r="W329" s="71">
        <v>331103025</v>
      </c>
      <c r="X329" s="43" t="s">
        <v>991</v>
      </c>
      <c r="Y329" s="45"/>
      <c r="Z329" s="71" t="s">
        <v>43</v>
      </c>
      <c r="AA329" s="71" t="s">
        <v>40</v>
      </c>
      <c r="AB329" s="48" t="s">
        <v>43</v>
      </c>
      <c r="AC329" s="75">
        <v>2500</v>
      </c>
      <c r="AD329" s="75">
        <v>2240</v>
      </c>
      <c r="AE329" s="80">
        <v>2190</v>
      </c>
      <c r="AF329" s="80">
        <v>1970</v>
      </c>
      <c r="AG329" s="80">
        <v>1670</v>
      </c>
    </row>
    <row r="330" ht="21" customHeight="1" spans="1:33">
      <c r="A330" s="43" t="s">
        <v>81</v>
      </c>
      <c r="B330" s="43" t="s">
        <v>992</v>
      </c>
      <c r="C330" s="43" t="s">
        <v>993</v>
      </c>
      <c r="D330" s="43" t="s">
        <v>213</v>
      </c>
      <c r="E330" s="48" t="s">
        <v>43</v>
      </c>
      <c r="F330" s="48" t="s">
        <v>43</v>
      </c>
      <c r="G330" s="43" t="s">
        <v>40</v>
      </c>
      <c r="H330" s="48" t="s">
        <v>43</v>
      </c>
      <c r="I330" s="53">
        <v>600</v>
      </c>
      <c r="J330" s="53">
        <v>540</v>
      </c>
      <c r="K330" s="84"/>
      <c r="L330" s="84"/>
      <c r="M330" s="84"/>
      <c r="N330" s="63">
        <v>525</v>
      </c>
      <c r="O330" s="63">
        <v>470</v>
      </c>
      <c r="P330" s="63">
        <v>400</v>
      </c>
      <c r="Q330" s="45" t="s">
        <v>54</v>
      </c>
      <c r="R330" s="45" t="s">
        <v>43</v>
      </c>
      <c r="S330" s="45" t="s">
        <v>43</v>
      </c>
      <c r="T330" s="69"/>
      <c r="U330" s="49" t="s">
        <v>994</v>
      </c>
      <c r="V330" s="43" t="s">
        <v>995</v>
      </c>
      <c r="W330" s="71">
        <v>331103028</v>
      </c>
      <c r="X330" s="43" t="s">
        <v>996</v>
      </c>
      <c r="Y330" s="45"/>
      <c r="Z330" s="71" t="s">
        <v>43</v>
      </c>
      <c r="AA330" s="71" t="s">
        <v>40</v>
      </c>
      <c r="AB330" s="48" t="s">
        <v>43</v>
      </c>
      <c r="AC330" s="75">
        <v>1760</v>
      </c>
      <c r="AD330" s="75">
        <v>1580</v>
      </c>
      <c r="AE330" s="80">
        <v>1625</v>
      </c>
      <c r="AF330" s="80">
        <v>1560</v>
      </c>
      <c r="AG330" s="80">
        <v>1326</v>
      </c>
    </row>
    <row r="331" ht="21" customHeight="1" spans="1:33">
      <c r="A331" s="43"/>
      <c r="B331" s="43"/>
      <c r="C331" s="43"/>
      <c r="D331" s="43"/>
      <c r="E331" s="48"/>
      <c r="F331" s="48"/>
      <c r="G331" s="43"/>
      <c r="H331" s="48"/>
      <c r="I331" s="76"/>
      <c r="J331" s="76"/>
      <c r="K331" s="84"/>
      <c r="L331" s="84"/>
      <c r="M331" s="84"/>
      <c r="N331" s="63"/>
      <c r="O331" s="63"/>
      <c r="P331" s="63"/>
      <c r="Q331" s="45"/>
      <c r="R331" s="45"/>
      <c r="S331" s="45"/>
      <c r="T331" s="69"/>
      <c r="U331" s="49"/>
      <c r="V331" s="45" t="s">
        <v>997</v>
      </c>
      <c r="W331" s="45">
        <v>33110302801</v>
      </c>
      <c r="X331" s="45" t="s">
        <v>998</v>
      </c>
      <c r="Y331" s="45"/>
      <c r="Z331" s="71" t="s">
        <v>43</v>
      </c>
      <c r="AA331" s="71" t="s">
        <v>40</v>
      </c>
      <c r="AB331" s="48" t="s">
        <v>43</v>
      </c>
      <c r="AC331" s="75">
        <v>2290</v>
      </c>
      <c r="AD331" s="75">
        <v>2055</v>
      </c>
      <c r="AE331" s="80">
        <v>2115</v>
      </c>
      <c r="AF331" s="80">
        <v>2030</v>
      </c>
      <c r="AG331" s="80">
        <v>1725</v>
      </c>
    </row>
    <row r="332" ht="21" customHeight="1" spans="1:33">
      <c r="A332" s="43"/>
      <c r="B332" s="43"/>
      <c r="C332" s="43"/>
      <c r="D332" s="43"/>
      <c r="E332" s="48"/>
      <c r="F332" s="48"/>
      <c r="G332" s="43"/>
      <c r="H332" s="48"/>
      <c r="I332" s="76"/>
      <c r="J332" s="76"/>
      <c r="K332" s="84"/>
      <c r="L332" s="84"/>
      <c r="M332" s="84"/>
      <c r="N332" s="63"/>
      <c r="O332" s="63"/>
      <c r="P332" s="63"/>
      <c r="Q332" s="45"/>
      <c r="R332" s="45"/>
      <c r="S332" s="45"/>
      <c r="T332" s="69"/>
      <c r="U332" s="49"/>
      <c r="V332" s="45" t="s">
        <v>999</v>
      </c>
      <c r="W332" s="45">
        <v>33110302802</v>
      </c>
      <c r="X332" s="45" t="s">
        <v>1000</v>
      </c>
      <c r="Y332" s="43" t="s">
        <v>43</v>
      </c>
      <c r="Z332" s="71" t="s">
        <v>43</v>
      </c>
      <c r="AA332" s="71" t="s">
        <v>40</v>
      </c>
      <c r="AB332" s="48" t="s">
        <v>43</v>
      </c>
      <c r="AC332" s="75">
        <v>2560</v>
      </c>
      <c r="AD332" s="75">
        <v>2300</v>
      </c>
      <c r="AE332" s="80">
        <v>2250</v>
      </c>
      <c r="AF332" s="80">
        <v>2160</v>
      </c>
      <c r="AG332" s="80">
        <v>1836</v>
      </c>
    </row>
    <row r="333" ht="21" customHeight="1" spans="1:33">
      <c r="A333" s="43"/>
      <c r="B333" s="43"/>
      <c r="C333" s="43"/>
      <c r="D333" s="43"/>
      <c r="E333" s="48"/>
      <c r="F333" s="48"/>
      <c r="G333" s="43"/>
      <c r="H333" s="48"/>
      <c r="I333" s="76"/>
      <c r="J333" s="76"/>
      <c r="K333" s="84"/>
      <c r="L333" s="84"/>
      <c r="M333" s="84"/>
      <c r="N333" s="63"/>
      <c r="O333" s="63"/>
      <c r="P333" s="63"/>
      <c r="Q333" s="45"/>
      <c r="R333" s="45"/>
      <c r="S333" s="45"/>
      <c r="T333" s="69"/>
      <c r="U333" s="49"/>
      <c r="V333" s="45" t="s">
        <v>1001</v>
      </c>
      <c r="W333" s="45">
        <v>33110302803</v>
      </c>
      <c r="X333" s="45" t="s">
        <v>1002</v>
      </c>
      <c r="Y333" s="43" t="s">
        <v>43</v>
      </c>
      <c r="Z333" s="71" t="s">
        <v>43</v>
      </c>
      <c r="AA333" s="71" t="s">
        <v>40</v>
      </c>
      <c r="AB333" s="48" t="s">
        <v>43</v>
      </c>
      <c r="AC333" s="75">
        <v>3090</v>
      </c>
      <c r="AD333" s="75">
        <v>2775</v>
      </c>
      <c r="AE333" s="80">
        <v>2740</v>
      </c>
      <c r="AF333" s="80">
        <v>2630</v>
      </c>
      <c r="AG333" s="80">
        <v>2235</v>
      </c>
    </row>
    <row r="334" ht="21" customHeight="1" spans="1:33">
      <c r="A334" s="43" t="s">
        <v>81</v>
      </c>
      <c r="B334" s="43" t="s">
        <v>1003</v>
      </c>
      <c r="C334" s="43" t="s">
        <v>1004</v>
      </c>
      <c r="D334" s="43" t="s">
        <v>213</v>
      </c>
      <c r="E334" s="48" t="s">
        <v>43</v>
      </c>
      <c r="F334" s="48" t="s">
        <v>43</v>
      </c>
      <c r="G334" s="43" t="s">
        <v>40</v>
      </c>
      <c r="H334" s="48" t="s">
        <v>43</v>
      </c>
      <c r="I334" s="53">
        <v>753</v>
      </c>
      <c r="J334" s="53">
        <v>678</v>
      </c>
      <c r="K334" s="54"/>
      <c r="L334" s="54"/>
      <c r="M334" s="54"/>
      <c r="N334" s="63">
        <v>660</v>
      </c>
      <c r="O334" s="63">
        <v>600</v>
      </c>
      <c r="P334" s="63">
        <v>510</v>
      </c>
      <c r="Q334" s="45" t="s">
        <v>54</v>
      </c>
      <c r="R334" s="45" t="s">
        <v>43</v>
      </c>
      <c r="S334" s="45" t="s">
        <v>43</v>
      </c>
      <c r="T334" s="69"/>
      <c r="U334" s="49" t="s">
        <v>446</v>
      </c>
      <c r="V334" s="45" t="s">
        <v>1005</v>
      </c>
      <c r="W334" s="45">
        <v>33110300301</v>
      </c>
      <c r="X334" s="45" t="s">
        <v>1006</v>
      </c>
      <c r="Y334" s="43" t="s">
        <v>43</v>
      </c>
      <c r="Z334" s="71" t="s">
        <v>43</v>
      </c>
      <c r="AA334" s="71" t="s">
        <v>40</v>
      </c>
      <c r="AB334" s="48" t="s">
        <v>43</v>
      </c>
      <c r="AC334" s="75">
        <v>2990</v>
      </c>
      <c r="AD334" s="75">
        <v>2705</v>
      </c>
      <c r="AE334" s="80">
        <v>2640</v>
      </c>
      <c r="AF334" s="80">
        <v>2380</v>
      </c>
      <c r="AG334" s="80">
        <v>2025</v>
      </c>
    </row>
    <row r="335" ht="21" customHeight="1" spans="1:33">
      <c r="A335" s="43"/>
      <c r="B335" s="43"/>
      <c r="C335" s="43"/>
      <c r="D335" s="43"/>
      <c r="E335" s="48"/>
      <c r="F335" s="48"/>
      <c r="G335" s="43"/>
      <c r="H335" s="48"/>
      <c r="I335" s="76"/>
      <c r="J335" s="76"/>
      <c r="K335" s="54"/>
      <c r="L335" s="54"/>
      <c r="M335" s="54"/>
      <c r="N335" s="63"/>
      <c r="O335" s="63"/>
      <c r="P335" s="63"/>
      <c r="Q335" s="45"/>
      <c r="R335" s="45"/>
      <c r="S335" s="45"/>
      <c r="T335" s="69"/>
      <c r="U335" s="49"/>
      <c r="V335" s="45" t="s">
        <v>1007</v>
      </c>
      <c r="W335" s="45">
        <v>33110300303</v>
      </c>
      <c r="X335" s="45" t="s">
        <v>1008</v>
      </c>
      <c r="Y335" s="43" t="s">
        <v>43</v>
      </c>
      <c r="Z335" s="71" t="s">
        <v>43</v>
      </c>
      <c r="AA335" s="71" t="s">
        <v>40</v>
      </c>
      <c r="AB335" s="48" t="s">
        <v>43</v>
      </c>
      <c r="AC335" s="75">
        <v>3790</v>
      </c>
      <c r="AD335" s="75">
        <v>3425</v>
      </c>
      <c r="AE335" s="80">
        <v>3265</v>
      </c>
      <c r="AF335" s="80">
        <v>2980</v>
      </c>
      <c r="AG335" s="80">
        <v>2535</v>
      </c>
    </row>
    <row r="336" ht="21" customHeight="1" spans="1:33">
      <c r="A336" s="43"/>
      <c r="B336" s="43"/>
      <c r="C336" s="43"/>
      <c r="D336" s="43"/>
      <c r="E336" s="48"/>
      <c r="F336" s="48"/>
      <c r="G336" s="43"/>
      <c r="H336" s="48"/>
      <c r="I336" s="76"/>
      <c r="J336" s="76"/>
      <c r="K336" s="54"/>
      <c r="L336" s="54"/>
      <c r="M336" s="54"/>
      <c r="N336" s="63"/>
      <c r="O336" s="63"/>
      <c r="P336" s="63"/>
      <c r="Q336" s="45"/>
      <c r="R336" s="45"/>
      <c r="S336" s="45"/>
      <c r="T336" s="69"/>
      <c r="U336" s="49"/>
      <c r="V336" s="45" t="s">
        <v>1009</v>
      </c>
      <c r="W336" s="45">
        <v>33110300201</v>
      </c>
      <c r="X336" s="45" t="s">
        <v>1010</v>
      </c>
      <c r="Y336" s="43" t="s">
        <v>43</v>
      </c>
      <c r="Z336" s="71" t="s">
        <v>43</v>
      </c>
      <c r="AA336" s="71" t="s">
        <v>40</v>
      </c>
      <c r="AB336" s="48" t="s">
        <v>43</v>
      </c>
      <c r="AC336" s="75">
        <v>2105</v>
      </c>
      <c r="AD336" s="75">
        <v>1900</v>
      </c>
      <c r="AE336" s="80">
        <v>1950</v>
      </c>
      <c r="AF336" s="80">
        <v>1870</v>
      </c>
      <c r="AG336" s="80">
        <v>1590</v>
      </c>
    </row>
    <row r="337" ht="21" customHeight="1" spans="1:33">
      <c r="A337" s="43"/>
      <c r="B337" s="43"/>
      <c r="C337" s="43"/>
      <c r="D337" s="43"/>
      <c r="E337" s="48"/>
      <c r="F337" s="48"/>
      <c r="G337" s="43"/>
      <c r="H337" s="48"/>
      <c r="I337" s="76"/>
      <c r="J337" s="76"/>
      <c r="K337" s="54"/>
      <c r="L337" s="54"/>
      <c r="M337" s="54"/>
      <c r="N337" s="63"/>
      <c r="O337" s="63"/>
      <c r="P337" s="63"/>
      <c r="Q337" s="45"/>
      <c r="R337" s="45"/>
      <c r="S337" s="45"/>
      <c r="T337" s="69"/>
      <c r="U337" s="49"/>
      <c r="V337" s="45" t="s">
        <v>1011</v>
      </c>
      <c r="W337" s="45">
        <v>33110300203</v>
      </c>
      <c r="X337" s="45" t="s">
        <v>1012</v>
      </c>
      <c r="Y337" s="43" t="s">
        <v>43</v>
      </c>
      <c r="Z337" s="71" t="s">
        <v>43</v>
      </c>
      <c r="AA337" s="71" t="s">
        <v>40</v>
      </c>
      <c r="AB337" s="48" t="s">
        <v>43</v>
      </c>
      <c r="AC337" s="75">
        <v>2905</v>
      </c>
      <c r="AD337" s="75">
        <v>2620</v>
      </c>
      <c r="AE337" s="80">
        <v>2575</v>
      </c>
      <c r="AF337" s="80">
        <v>2470</v>
      </c>
      <c r="AG337" s="80">
        <v>2100</v>
      </c>
    </row>
    <row r="338" ht="21" customHeight="1" spans="1:33">
      <c r="A338" s="43"/>
      <c r="B338" s="43"/>
      <c r="C338" s="43"/>
      <c r="D338" s="43"/>
      <c r="E338" s="48"/>
      <c r="F338" s="48"/>
      <c r="G338" s="43"/>
      <c r="H338" s="48"/>
      <c r="I338" s="76"/>
      <c r="J338" s="76"/>
      <c r="K338" s="54"/>
      <c r="L338" s="54"/>
      <c r="M338" s="54"/>
      <c r="N338" s="63"/>
      <c r="O338" s="63"/>
      <c r="P338" s="63"/>
      <c r="Q338" s="45"/>
      <c r="R338" s="45"/>
      <c r="S338" s="45"/>
      <c r="T338" s="69"/>
      <c r="U338" s="49"/>
      <c r="V338" s="45" t="s">
        <v>1013</v>
      </c>
      <c r="W338" s="45">
        <v>33110301501</v>
      </c>
      <c r="X338" s="45" t="s">
        <v>1014</v>
      </c>
      <c r="Y338" s="43" t="s">
        <v>43</v>
      </c>
      <c r="Z338" s="71" t="s">
        <v>43</v>
      </c>
      <c r="AA338" s="71" t="s">
        <v>40</v>
      </c>
      <c r="AB338" s="48" t="s">
        <v>43</v>
      </c>
      <c r="AC338" s="75">
        <v>1405</v>
      </c>
      <c r="AD338" s="75">
        <v>1260</v>
      </c>
      <c r="AE338" s="80">
        <v>1300</v>
      </c>
      <c r="AF338" s="80">
        <v>1250</v>
      </c>
      <c r="AG338" s="80">
        <v>1065</v>
      </c>
    </row>
    <row r="339" ht="21" customHeight="1" spans="1:33">
      <c r="A339" s="43"/>
      <c r="B339" s="43"/>
      <c r="C339" s="43"/>
      <c r="D339" s="43"/>
      <c r="E339" s="48"/>
      <c r="F339" s="48"/>
      <c r="G339" s="43"/>
      <c r="H339" s="48"/>
      <c r="I339" s="76"/>
      <c r="J339" s="76"/>
      <c r="K339" s="54"/>
      <c r="L339" s="54"/>
      <c r="M339" s="54"/>
      <c r="N339" s="63"/>
      <c r="O339" s="63"/>
      <c r="P339" s="63"/>
      <c r="Q339" s="45"/>
      <c r="R339" s="45"/>
      <c r="S339" s="45"/>
      <c r="T339" s="69"/>
      <c r="U339" s="49"/>
      <c r="V339" s="45" t="s">
        <v>1015</v>
      </c>
      <c r="W339" s="45">
        <v>33110301503</v>
      </c>
      <c r="X339" s="45" t="s">
        <v>1016</v>
      </c>
      <c r="Y339" s="43" t="s">
        <v>43</v>
      </c>
      <c r="Z339" s="71" t="s">
        <v>43</v>
      </c>
      <c r="AA339" s="71" t="s">
        <v>40</v>
      </c>
      <c r="AB339" s="48" t="s">
        <v>43</v>
      </c>
      <c r="AC339" s="75">
        <v>2205</v>
      </c>
      <c r="AD339" s="75">
        <v>1980</v>
      </c>
      <c r="AE339" s="80">
        <v>1925</v>
      </c>
      <c r="AF339" s="80">
        <v>1850</v>
      </c>
      <c r="AG339" s="80">
        <v>1575</v>
      </c>
    </row>
    <row r="340" ht="21" customHeight="1" spans="1:33">
      <c r="A340" s="43"/>
      <c r="B340" s="43"/>
      <c r="C340" s="43"/>
      <c r="D340" s="43"/>
      <c r="E340" s="48"/>
      <c r="F340" s="48"/>
      <c r="G340" s="43"/>
      <c r="H340" s="48"/>
      <c r="I340" s="76"/>
      <c r="J340" s="76"/>
      <c r="K340" s="54"/>
      <c r="L340" s="54"/>
      <c r="M340" s="54"/>
      <c r="N340" s="63"/>
      <c r="O340" s="63"/>
      <c r="P340" s="63"/>
      <c r="Q340" s="45"/>
      <c r="R340" s="45"/>
      <c r="S340" s="45"/>
      <c r="T340" s="69"/>
      <c r="U340" s="49"/>
      <c r="V340" s="45" t="s">
        <v>1017</v>
      </c>
      <c r="W340" s="45">
        <v>33110302401</v>
      </c>
      <c r="X340" s="45" t="s">
        <v>1018</v>
      </c>
      <c r="Y340" s="43" t="s">
        <v>43</v>
      </c>
      <c r="Z340" s="71" t="s">
        <v>43</v>
      </c>
      <c r="AA340" s="71" t="s">
        <v>40</v>
      </c>
      <c r="AB340" s="48" t="s">
        <v>43</v>
      </c>
      <c r="AC340" s="75">
        <v>1755</v>
      </c>
      <c r="AD340" s="75">
        <v>1580</v>
      </c>
      <c r="AE340" s="80">
        <v>1625</v>
      </c>
      <c r="AF340" s="80">
        <v>1560</v>
      </c>
      <c r="AG340" s="80">
        <v>1325</v>
      </c>
    </row>
    <row r="341" ht="21" customHeight="1" spans="1:33">
      <c r="A341" s="43"/>
      <c r="B341" s="43"/>
      <c r="C341" s="43"/>
      <c r="D341" s="43"/>
      <c r="E341" s="48"/>
      <c r="F341" s="48"/>
      <c r="G341" s="43"/>
      <c r="H341" s="48"/>
      <c r="I341" s="76"/>
      <c r="J341" s="76"/>
      <c r="K341" s="54"/>
      <c r="L341" s="54"/>
      <c r="M341" s="54"/>
      <c r="N341" s="63"/>
      <c r="O341" s="63"/>
      <c r="P341" s="63"/>
      <c r="Q341" s="45"/>
      <c r="R341" s="45"/>
      <c r="S341" s="45"/>
      <c r="T341" s="69"/>
      <c r="U341" s="49"/>
      <c r="V341" s="45" t="s">
        <v>1019</v>
      </c>
      <c r="W341" s="45">
        <v>33110302403</v>
      </c>
      <c r="X341" s="45" t="s">
        <v>1020</v>
      </c>
      <c r="Y341" s="43" t="s">
        <v>43</v>
      </c>
      <c r="Z341" s="71" t="s">
        <v>43</v>
      </c>
      <c r="AA341" s="71" t="s">
        <v>40</v>
      </c>
      <c r="AB341" s="48" t="s">
        <v>43</v>
      </c>
      <c r="AC341" s="75">
        <v>2555</v>
      </c>
      <c r="AD341" s="75">
        <v>2300</v>
      </c>
      <c r="AE341" s="80">
        <v>2250</v>
      </c>
      <c r="AF341" s="80">
        <v>2160</v>
      </c>
      <c r="AG341" s="80">
        <v>1835</v>
      </c>
    </row>
    <row r="342" ht="21" customHeight="1" spans="1:33">
      <c r="A342" s="43"/>
      <c r="B342" s="43"/>
      <c r="C342" s="43"/>
      <c r="D342" s="43"/>
      <c r="E342" s="48"/>
      <c r="F342" s="48"/>
      <c r="G342" s="43"/>
      <c r="H342" s="48"/>
      <c r="I342" s="76"/>
      <c r="J342" s="76"/>
      <c r="K342" s="54"/>
      <c r="L342" s="54"/>
      <c r="M342" s="54"/>
      <c r="N342" s="63"/>
      <c r="O342" s="63"/>
      <c r="P342" s="63"/>
      <c r="Q342" s="45"/>
      <c r="R342" s="45"/>
      <c r="S342" s="45"/>
      <c r="T342" s="69"/>
      <c r="U342" s="49"/>
      <c r="V342" s="45" t="s">
        <v>1021</v>
      </c>
      <c r="W342" s="45">
        <v>33110300401</v>
      </c>
      <c r="X342" s="45" t="s">
        <v>1022</v>
      </c>
      <c r="Y342" s="43" t="s">
        <v>43</v>
      </c>
      <c r="Z342" s="71" t="s">
        <v>43</v>
      </c>
      <c r="AA342" s="71" t="s">
        <v>40</v>
      </c>
      <c r="AB342" s="48" t="s">
        <v>43</v>
      </c>
      <c r="AC342" s="75">
        <v>1755</v>
      </c>
      <c r="AD342" s="75">
        <v>1580</v>
      </c>
      <c r="AE342" s="80">
        <v>1625</v>
      </c>
      <c r="AF342" s="80">
        <v>1560</v>
      </c>
      <c r="AG342" s="80">
        <v>1325</v>
      </c>
    </row>
    <row r="343" ht="21" customHeight="1" spans="1:33">
      <c r="A343" s="43"/>
      <c r="B343" s="43"/>
      <c r="C343" s="43"/>
      <c r="D343" s="43"/>
      <c r="E343" s="48"/>
      <c r="F343" s="48"/>
      <c r="G343" s="43"/>
      <c r="H343" s="48"/>
      <c r="I343" s="76"/>
      <c r="J343" s="76"/>
      <c r="K343" s="54"/>
      <c r="L343" s="54"/>
      <c r="M343" s="54"/>
      <c r="N343" s="63"/>
      <c r="O343" s="63"/>
      <c r="P343" s="63"/>
      <c r="Q343" s="45"/>
      <c r="R343" s="45"/>
      <c r="S343" s="45"/>
      <c r="T343" s="69"/>
      <c r="U343" s="49"/>
      <c r="V343" s="45" t="s">
        <v>1023</v>
      </c>
      <c r="W343" s="45">
        <v>33110300403</v>
      </c>
      <c r="X343" s="45" t="s">
        <v>1024</v>
      </c>
      <c r="Y343" s="43" t="s">
        <v>43</v>
      </c>
      <c r="Z343" s="71" t="s">
        <v>43</v>
      </c>
      <c r="AA343" s="71" t="s">
        <v>40</v>
      </c>
      <c r="AB343" s="48" t="s">
        <v>43</v>
      </c>
      <c r="AC343" s="75">
        <v>2555</v>
      </c>
      <c r="AD343" s="75">
        <v>2300</v>
      </c>
      <c r="AE343" s="80">
        <v>2250</v>
      </c>
      <c r="AF343" s="80">
        <v>2160</v>
      </c>
      <c r="AG343" s="80">
        <v>1835</v>
      </c>
    </row>
    <row r="344" ht="21" customHeight="1" spans="1:33">
      <c r="A344" s="43"/>
      <c r="B344" s="43"/>
      <c r="C344" s="43"/>
      <c r="D344" s="43"/>
      <c r="E344" s="48"/>
      <c r="F344" s="48"/>
      <c r="G344" s="43"/>
      <c r="H344" s="48"/>
      <c r="I344" s="76"/>
      <c r="J344" s="76"/>
      <c r="K344" s="54"/>
      <c r="L344" s="54"/>
      <c r="M344" s="54"/>
      <c r="N344" s="63"/>
      <c r="O344" s="63"/>
      <c r="P344" s="63"/>
      <c r="Q344" s="45"/>
      <c r="R344" s="45"/>
      <c r="S344" s="45"/>
      <c r="T344" s="69"/>
      <c r="U344" s="49"/>
      <c r="V344" s="45" t="s">
        <v>1025</v>
      </c>
      <c r="W344" s="45">
        <v>33110302501</v>
      </c>
      <c r="X344" s="45" t="s">
        <v>1026</v>
      </c>
      <c r="Y344" s="43" t="s">
        <v>43</v>
      </c>
      <c r="Z344" s="71" t="s">
        <v>43</v>
      </c>
      <c r="AA344" s="71" t="s">
        <v>40</v>
      </c>
      <c r="AB344" s="48" t="s">
        <v>43</v>
      </c>
      <c r="AC344" s="75">
        <v>3250</v>
      </c>
      <c r="AD344" s="75">
        <v>2910</v>
      </c>
      <c r="AE344" s="80">
        <v>2845</v>
      </c>
      <c r="AF344" s="80">
        <v>2560</v>
      </c>
      <c r="AG344" s="80">
        <v>2175</v>
      </c>
    </row>
    <row r="345" ht="41" customHeight="1" spans="1:33">
      <c r="A345" s="45">
        <v>58</v>
      </c>
      <c r="B345" s="45" t="s">
        <v>1027</v>
      </c>
      <c r="C345" s="45" t="s">
        <v>1028</v>
      </c>
      <c r="D345" s="45" t="s">
        <v>213</v>
      </c>
      <c r="E345" s="49" t="s">
        <v>1029</v>
      </c>
      <c r="F345" s="49" t="s">
        <v>968</v>
      </c>
      <c r="G345" s="45" t="s">
        <v>40</v>
      </c>
      <c r="H345" s="49"/>
      <c r="I345" s="53">
        <v>3840</v>
      </c>
      <c r="J345" s="53">
        <v>3456</v>
      </c>
      <c r="K345" s="55"/>
      <c r="L345" s="55">
        <v>3040</v>
      </c>
      <c r="M345" s="55"/>
      <c r="N345" s="63">
        <v>3400</v>
      </c>
      <c r="O345" s="63">
        <v>3050</v>
      </c>
      <c r="P345" s="63">
        <v>2600</v>
      </c>
      <c r="Q345" s="45" t="s">
        <v>54</v>
      </c>
      <c r="R345" s="45" t="s">
        <v>43</v>
      </c>
      <c r="S345" s="45" t="s">
        <v>43</v>
      </c>
      <c r="T345" s="69" t="s">
        <v>67</v>
      </c>
      <c r="U345" s="49" t="s">
        <v>945</v>
      </c>
      <c r="V345" s="43" t="s">
        <v>1030</v>
      </c>
      <c r="W345" s="71">
        <v>331103007</v>
      </c>
      <c r="X345" s="43" t="s">
        <v>1031</v>
      </c>
      <c r="Y345" s="43" t="s">
        <v>43</v>
      </c>
      <c r="Z345" s="71" t="s">
        <v>43</v>
      </c>
      <c r="AA345" s="71" t="s">
        <v>40</v>
      </c>
      <c r="AB345" s="48" t="s">
        <v>43</v>
      </c>
      <c r="AC345" s="75">
        <v>3840</v>
      </c>
      <c r="AD345" s="75">
        <v>3460</v>
      </c>
      <c r="AE345" s="80">
        <v>3380</v>
      </c>
      <c r="AF345" s="80">
        <v>3040</v>
      </c>
      <c r="AG345" s="80">
        <v>2580</v>
      </c>
    </row>
    <row r="346" ht="41" customHeight="1" spans="1:33">
      <c r="A346" s="45"/>
      <c r="B346" s="45"/>
      <c r="C346" s="45"/>
      <c r="D346" s="45"/>
      <c r="E346" s="49"/>
      <c r="F346" s="49"/>
      <c r="G346" s="45"/>
      <c r="H346" s="49"/>
      <c r="I346" s="53"/>
      <c r="J346" s="53"/>
      <c r="K346" s="55"/>
      <c r="L346" s="55"/>
      <c r="M346" s="55"/>
      <c r="N346" s="63"/>
      <c r="O346" s="63"/>
      <c r="P346" s="63"/>
      <c r="Q346" s="45"/>
      <c r="R346" s="45"/>
      <c r="S346" s="45"/>
      <c r="T346" s="69"/>
      <c r="U346" s="49"/>
      <c r="V346" s="43" t="s">
        <v>1032</v>
      </c>
      <c r="W346" s="71">
        <v>33110300702</v>
      </c>
      <c r="X346" s="43" t="s">
        <v>1033</v>
      </c>
      <c r="Y346" s="43" t="s">
        <v>43</v>
      </c>
      <c r="Z346" s="71" t="s">
        <v>43</v>
      </c>
      <c r="AA346" s="71" t="s">
        <v>40</v>
      </c>
      <c r="AB346" s="48" t="s">
        <v>43</v>
      </c>
      <c r="AC346" s="75">
        <v>4640</v>
      </c>
      <c r="AD346" s="75">
        <v>4180</v>
      </c>
      <c r="AE346" s="80">
        <v>4005</v>
      </c>
      <c r="AF346" s="80">
        <v>3640</v>
      </c>
      <c r="AG346" s="80">
        <v>3090</v>
      </c>
    </row>
    <row r="347" ht="33" customHeight="1" spans="1:33">
      <c r="A347" s="43" t="s">
        <v>81</v>
      </c>
      <c r="B347" s="43" t="s">
        <v>1034</v>
      </c>
      <c r="C347" s="43" t="s">
        <v>1035</v>
      </c>
      <c r="D347" s="43" t="s">
        <v>213</v>
      </c>
      <c r="E347" s="48" t="s">
        <v>43</v>
      </c>
      <c r="F347" s="48" t="s">
        <v>43</v>
      </c>
      <c r="G347" s="43" t="s">
        <v>40</v>
      </c>
      <c r="H347" s="48" t="s">
        <v>43</v>
      </c>
      <c r="I347" s="53">
        <v>1152</v>
      </c>
      <c r="J347" s="53">
        <v>1037</v>
      </c>
      <c r="K347" s="54"/>
      <c r="L347" s="54"/>
      <c r="M347" s="54"/>
      <c r="N347" s="63">
        <v>1020</v>
      </c>
      <c r="O347" s="63">
        <v>915</v>
      </c>
      <c r="P347" s="63">
        <v>780</v>
      </c>
      <c r="Q347" s="45" t="s">
        <v>54</v>
      </c>
      <c r="R347" s="45" t="s">
        <v>43</v>
      </c>
      <c r="S347" s="45" t="s">
        <v>43</v>
      </c>
      <c r="T347" s="69"/>
      <c r="U347" s="49" t="s">
        <v>446</v>
      </c>
      <c r="V347" s="45" t="s">
        <v>1036</v>
      </c>
      <c r="W347" s="45">
        <v>33110300701</v>
      </c>
      <c r="X347" s="45" t="s">
        <v>1037</v>
      </c>
      <c r="Y347" s="43" t="s">
        <v>43</v>
      </c>
      <c r="Z347" s="71" t="s">
        <v>43</v>
      </c>
      <c r="AA347" s="71" t="s">
        <v>40</v>
      </c>
      <c r="AB347" s="48" t="s">
        <v>43</v>
      </c>
      <c r="AC347" s="75">
        <v>4990</v>
      </c>
      <c r="AD347" s="75">
        <v>4500</v>
      </c>
      <c r="AE347" s="80">
        <v>4395</v>
      </c>
      <c r="AF347" s="80">
        <v>3950</v>
      </c>
      <c r="AG347" s="80">
        <v>3360</v>
      </c>
    </row>
    <row r="348" ht="47" customHeight="1" spans="1:33">
      <c r="A348" s="43"/>
      <c r="B348" s="43"/>
      <c r="C348" s="43"/>
      <c r="D348" s="43"/>
      <c r="E348" s="48"/>
      <c r="F348" s="48"/>
      <c r="G348" s="43"/>
      <c r="H348" s="48"/>
      <c r="I348" s="76"/>
      <c r="J348" s="76"/>
      <c r="K348" s="54"/>
      <c r="L348" s="54"/>
      <c r="M348" s="54"/>
      <c r="N348" s="63"/>
      <c r="O348" s="63"/>
      <c r="P348" s="63"/>
      <c r="Q348" s="45"/>
      <c r="R348" s="45"/>
      <c r="S348" s="45"/>
      <c r="T348" s="69"/>
      <c r="U348" s="49"/>
      <c r="V348" s="45" t="s">
        <v>1038</v>
      </c>
      <c r="W348" s="45">
        <v>33110300703</v>
      </c>
      <c r="X348" s="45" t="s">
        <v>1039</v>
      </c>
      <c r="Y348" s="43" t="s">
        <v>43</v>
      </c>
      <c r="Z348" s="71" t="s">
        <v>43</v>
      </c>
      <c r="AA348" s="71" t="s">
        <v>40</v>
      </c>
      <c r="AB348" s="48" t="s">
        <v>43</v>
      </c>
      <c r="AC348" s="75">
        <v>5790</v>
      </c>
      <c r="AD348" s="75">
        <v>5220</v>
      </c>
      <c r="AE348" s="80">
        <v>5020</v>
      </c>
      <c r="AF348" s="80">
        <v>4550</v>
      </c>
      <c r="AG348" s="80">
        <v>3870</v>
      </c>
    </row>
    <row r="349" ht="50" customHeight="1" spans="1:33">
      <c r="A349" s="46">
        <v>59</v>
      </c>
      <c r="B349" s="46" t="s">
        <v>1040</v>
      </c>
      <c r="C349" s="46" t="s">
        <v>1041</v>
      </c>
      <c r="D349" s="46" t="s">
        <v>213</v>
      </c>
      <c r="E349" s="50" t="s">
        <v>1042</v>
      </c>
      <c r="F349" s="50" t="s">
        <v>1043</v>
      </c>
      <c r="G349" s="46" t="s">
        <v>40</v>
      </c>
      <c r="H349" s="50" t="s">
        <v>1044</v>
      </c>
      <c r="I349" s="53">
        <v>7234</v>
      </c>
      <c r="J349" s="53">
        <v>6511</v>
      </c>
      <c r="K349" s="58">
        <v>5597.8125</v>
      </c>
      <c r="L349" s="58">
        <v>5060</v>
      </c>
      <c r="M349" s="58">
        <v>4400</v>
      </c>
      <c r="N349" s="63">
        <v>6500</v>
      </c>
      <c r="O349" s="63">
        <v>5850</v>
      </c>
      <c r="P349" s="63">
        <v>4980</v>
      </c>
      <c r="Q349" s="45" t="s">
        <v>54</v>
      </c>
      <c r="R349" s="45" t="s">
        <v>43</v>
      </c>
      <c r="S349" s="45" t="s">
        <v>43</v>
      </c>
      <c r="T349" s="69" t="s">
        <v>416</v>
      </c>
      <c r="U349" s="49" t="s">
        <v>1045</v>
      </c>
      <c r="V349" s="43" t="s">
        <v>1046</v>
      </c>
      <c r="W349" s="71">
        <v>331103006</v>
      </c>
      <c r="X349" s="43" t="s">
        <v>1047</v>
      </c>
      <c r="Y349" s="43" t="s">
        <v>1048</v>
      </c>
      <c r="Z349" s="71" t="s">
        <v>1049</v>
      </c>
      <c r="AA349" s="71" t="s">
        <v>40</v>
      </c>
      <c r="AB349" s="48"/>
      <c r="AC349" s="75">
        <v>6600</v>
      </c>
      <c r="AD349" s="75">
        <v>5540</v>
      </c>
      <c r="AE349" s="80">
        <v>5090</v>
      </c>
      <c r="AF349" s="80">
        <v>4580</v>
      </c>
      <c r="AG349" s="80">
        <v>3890</v>
      </c>
    </row>
    <row r="350" ht="50" customHeight="1" spans="1:33">
      <c r="A350" s="46"/>
      <c r="B350" s="46"/>
      <c r="C350" s="46"/>
      <c r="D350" s="46"/>
      <c r="E350" s="50"/>
      <c r="F350" s="50"/>
      <c r="G350" s="46"/>
      <c r="H350" s="50"/>
      <c r="I350" s="102"/>
      <c r="J350" s="102"/>
      <c r="K350" s="58"/>
      <c r="L350" s="58"/>
      <c r="M350" s="58"/>
      <c r="N350" s="63"/>
      <c r="O350" s="63"/>
      <c r="P350" s="63"/>
      <c r="Q350" s="45"/>
      <c r="R350" s="45"/>
      <c r="S350" s="45"/>
      <c r="T350" s="69"/>
      <c r="U350" s="49"/>
      <c r="V350" s="43" t="s">
        <v>1050</v>
      </c>
      <c r="W350" s="71">
        <v>33110300602</v>
      </c>
      <c r="X350" s="43" t="s">
        <v>1051</v>
      </c>
      <c r="Y350" s="43" t="s">
        <v>43</v>
      </c>
      <c r="Z350" s="71" t="s">
        <v>43</v>
      </c>
      <c r="AA350" s="71" t="s">
        <v>40</v>
      </c>
      <c r="AB350" s="48"/>
      <c r="AC350" s="75">
        <v>7400</v>
      </c>
      <c r="AD350" s="75">
        <v>6260</v>
      </c>
      <c r="AE350" s="80">
        <v>5715</v>
      </c>
      <c r="AF350" s="80">
        <v>5180</v>
      </c>
      <c r="AG350" s="80">
        <v>4400</v>
      </c>
    </row>
    <row r="351" ht="42" customHeight="1" spans="1:33">
      <c r="A351" s="43" t="s">
        <v>81</v>
      </c>
      <c r="B351" s="43" t="s">
        <v>1052</v>
      </c>
      <c r="C351" s="43" t="s">
        <v>1053</v>
      </c>
      <c r="D351" s="43" t="s">
        <v>213</v>
      </c>
      <c r="E351" s="48" t="s">
        <v>43</v>
      </c>
      <c r="F351" s="48" t="s">
        <v>43</v>
      </c>
      <c r="G351" s="43" t="s">
        <v>40</v>
      </c>
      <c r="H351" s="48" t="s">
        <v>43</v>
      </c>
      <c r="I351" s="53">
        <v>600</v>
      </c>
      <c r="J351" s="53">
        <v>540</v>
      </c>
      <c r="K351" s="54"/>
      <c r="L351" s="54"/>
      <c r="M351" s="54"/>
      <c r="N351" s="63">
        <v>540</v>
      </c>
      <c r="O351" s="63">
        <v>485</v>
      </c>
      <c r="P351" s="63">
        <v>415</v>
      </c>
      <c r="Q351" s="45" t="s">
        <v>54</v>
      </c>
      <c r="R351" s="45" t="s">
        <v>43</v>
      </c>
      <c r="S351" s="45" t="s">
        <v>43</v>
      </c>
      <c r="T351" s="69"/>
      <c r="U351" s="49" t="s">
        <v>45</v>
      </c>
      <c r="V351" s="43"/>
      <c r="W351" s="71"/>
      <c r="X351" s="43"/>
      <c r="Y351" s="43"/>
      <c r="Z351" s="71"/>
      <c r="AA351" s="71"/>
      <c r="AB351" s="48"/>
      <c r="AC351" s="74"/>
      <c r="AD351" s="74"/>
      <c r="AE351" s="78"/>
      <c r="AF351" s="78"/>
      <c r="AG351" s="78"/>
    </row>
    <row r="352" ht="27" customHeight="1" spans="1:33">
      <c r="A352" s="43" t="s">
        <v>81</v>
      </c>
      <c r="B352" s="43" t="s">
        <v>1054</v>
      </c>
      <c r="C352" s="43" t="s">
        <v>1055</v>
      </c>
      <c r="D352" s="43" t="s">
        <v>213</v>
      </c>
      <c r="E352" s="48" t="s">
        <v>43</v>
      </c>
      <c r="F352" s="48" t="s">
        <v>43</v>
      </c>
      <c r="G352" s="43" t="s">
        <v>40</v>
      </c>
      <c r="H352" s="48" t="s">
        <v>43</v>
      </c>
      <c r="I352" s="53">
        <v>2170</v>
      </c>
      <c r="J352" s="53">
        <v>1953</v>
      </c>
      <c r="K352" s="54"/>
      <c r="L352" s="54"/>
      <c r="M352" s="54"/>
      <c r="N352" s="63">
        <v>1950</v>
      </c>
      <c r="O352" s="63">
        <v>1755</v>
      </c>
      <c r="P352" s="63">
        <v>1495</v>
      </c>
      <c r="Q352" s="45" t="s">
        <v>54</v>
      </c>
      <c r="R352" s="45" t="s">
        <v>43</v>
      </c>
      <c r="S352" s="45" t="s">
        <v>43</v>
      </c>
      <c r="T352" s="69"/>
      <c r="U352" s="49" t="s">
        <v>446</v>
      </c>
      <c r="V352" s="45" t="s">
        <v>1056</v>
      </c>
      <c r="W352" s="45">
        <v>33110300601</v>
      </c>
      <c r="X352" s="45" t="s">
        <v>1057</v>
      </c>
      <c r="Y352" s="43" t="s">
        <v>43</v>
      </c>
      <c r="Z352" s="71" t="s">
        <v>43</v>
      </c>
      <c r="AA352" s="71" t="s">
        <v>40</v>
      </c>
      <c r="AB352" s="48" t="s">
        <v>43</v>
      </c>
      <c r="AC352" s="75">
        <v>8580</v>
      </c>
      <c r="AD352" s="75">
        <v>7200</v>
      </c>
      <c r="AE352" s="80">
        <v>6615</v>
      </c>
      <c r="AF352" s="80">
        <v>5955</v>
      </c>
      <c r="AG352" s="80">
        <v>5060</v>
      </c>
    </row>
    <row r="353" ht="27" customHeight="1" spans="1:33">
      <c r="A353" s="43"/>
      <c r="B353" s="43"/>
      <c r="C353" s="43"/>
      <c r="D353" s="43"/>
      <c r="E353" s="48"/>
      <c r="F353" s="48"/>
      <c r="G353" s="43"/>
      <c r="H353" s="48"/>
      <c r="I353" s="76"/>
      <c r="J353" s="76"/>
      <c r="K353" s="54"/>
      <c r="L353" s="54"/>
      <c r="M353" s="54"/>
      <c r="N353" s="63"/>
      <c r="O353" s="63"/>
      <c r="P353" s="63"/>
      <c r="Q353" s="45"/>
      <c r="R353" s="45"/>
      <c r="S353" s="45"/>
      <c r="T353" s="69"/>
      <c r="U353" s="49"/>
      <c r="V353" s="45" t="s">
        <v>1058</v>
      </c>
      <c r="W353" s="45">
        <v>33110300603</v>
      </c>
      <c r="X353" s="45" t="s">
        <v>1059</v>
      </c>
      <c r="Y353" s="43" t="s">
        <v>43</v>
      </c>
      <c r="Z353" s="71" t="s">
        <v>43</v>
      </c>
      <c r="AA353" s="71" t="s">
        <v>40</v>
      </c>
      <c r="AB353" s="48" t="s">
        <v>43</v>
      </c>
      <c r="AC353" s="75">
        <v>9380</v>
      </c>
      <c r="AD353" s="75">
        <v>7920</v>
      </c>
      <c r="AE353" s="80">
        <v>7240</v>
      </c>
      <c r="AF353" s="80">
        <v>6555</v>
      </c>
      <c r="AG353" s="80">
        <v>5570</v>
      </c>
    </row>
    <row r="354" ht="30" customHeight="1" spans="1:33">
      <c r="A354" s="45">
        <v>60</v>
      </c>
      <c r="B354" s="45" t="s">
        <v>1060</v>
      </c>
      <c r="C354" s="45" t="s">
        <v>1061</v>
      </c>
      <c r="D354" s="45" t="s">
        <v>213</v>
      </c>
      <c r="E354" s="49" t="s">
        <v>1062</v>
      </c>
      <c r="F354" s="49" t="s">
        <v>1063</v>
      </c>
      <c r="G354" s="45" t="s">
        <v>40</v>
      </c>
      <c r="H354" s="49" t="s">
        <v>43</v>
      </c>
      <c r="I354" s="53">
        <v>900</v>
      </c>
      <c r="J354" s="53">
        <v>810</v>
      </c>
      <c r="K354" s="84">
        <v>625</v>
      </c>
      <c r="L354" s="84">
        <v>696.428571428571</v>
      </c>
      <c r="M354" s="55"/>
      <c r="N354" s="63">
        <v>810</v>
      </c>
      <c r="O354" s="63">
        <v>730</v>
      </c>
      <c r="P354" s="63">
        <v>620</v>
      </c>
      <c r="Q354" s="45" t="s">
        <v>54</v>
      </c>
      <c r="R354" s="45" t="s">
        <v>43</v>
      </c>
      <c r="S354" s="45" t="s">
        <v>43</v>
      </c>
      <c r="T354" s="69" t="s">
        <v>851</v>
      </c>
      <c r="U354" s="49" t="s">
        <v>1064</v>
      </c>
      <c r="V354" s="43" t="s">
        <v>1065</v>
      </c>
      <c r="W354" s="71">
        <v>331201008</v>
      </c>
      <c r="X354" s="43" t="s">
        <v>1066</v>
      </c>
      <c r="Y354" s="43" t="s">
        <v>43</v>
      </c>
      <c r="Z354" s="71" t="s">
        <v>856</v>
      </c>
      <c r="AA354" s="71" t="s">
        <v>40</v>
      </c>
      <c r="AB354" s="48" t="s">
        <v>43</v>
      </c>
      <c r="AC354" s="75">
        <v>625</v>
      </c>
      <c r="AD354" s="75">
        <v>565</v>
      </c>
      <c r="AE354" s="80">
        <v>625</v>
      </c>
      <c r="AF354" s="80">
        <v>600</v>
      </c>
      <c r="AG354" s="80">
        <v>510</v>
      </c>
    </row>
    <row r="355" ht="30" customHeight="1" spans="1:33">
      <c r="A355" s="45"/>
      <c r="B355" s="45"/>
      <c r="C355" s="45"/>
      <c r="D355" s="45"/>
      <c r="E355" s="49"/>
      <c r="F355" s="49"/>
      <c r="G355" s="45"/>
      <c r="H355" s="49"/>
      <c r="I355" s="53"/>
      <c r="J355" s="53"/>
      <c r="K355" s="84"/>
      <c r="L355" s="84"/>
      <c r="M355" s="55"/>
      <c r="N355" s="63"/>
      <c r="O355" s="63"/>
      <c r="P355" s="63"/>
      <c r="Q355" s="45"/>
      <c r="R355" s="45"/>
      <c r="S355" s="45"/>
      <c r="T355" s="69"/>
      <c r="U355" s="49"/>
      <c r="V355" s="43" t="s">
        <v>1067</v>
      </c>
      <c r="W355" s="71">
        <v>33120100802</v>
      </c>
      <c r="X355" s="43" t="s">
        <v>1068</v>
      </c>
      <c r="Y355" s="43" t="s">
        <v>43</v>
      </c>
      <c r="Z355" s="71" t="s">
        <v>43</v>
      </c>
      <c r="AA355" s="71" t="s">
        <v>40</v>
      </c>
      <c r="AB355" s="48" t="s">
        <v>43</v>
      </c>
      <c r="AC355" s="75">
        <v>875</v>
      </c>
      <c r="AD355" s="75">
        <v>790</v>
      </c>
      <c r="AE355" s="80">
        <v>875</v>
      </c>
      <c r="AF355" s="80">
        <v>825</v>
      </c>
      <c r="AG355" s="80">
        <v>700</v>
      </c>
    </row>
    <row r="356" ht="20" customHeight="1" spans="1:33">
      <c r="A356" s="43" t="s">
        <v>81</v>
      </c>
      <c r="B356" s="43" t="s">
        <v>1069</v>
      </c>
      <c r="C356" s="43" t="s">
        <v>1070</v>
      </c>
      <c r="D356" s="43" t="s">
        <v>213</v>
      </c>
      <c r="E356" s="48" t="s">
        <v>43</v>
      </c>
      <c r="F356" s="48" t="s">
        <v>43</v>
      </c>
      <c r="G356" s="43" t="s">
        <v>40</v>
      </c>
      <c r="H356" s="48" t="s">
        <v>43</v>
      </c>
      <c r="I356" s="53">
        <v>270</v>
      </c>
      <c r="J356" s="53">
        <v>243</v>
      </c>
      <c r="K356" s="54"/>
      <c r="L356" s="54"/>
      <c r="M356" s="54"/>
      <c r="N356" s="63">
        <v>245</v>
      </c>
      <c r="O356" s="63">
        <v>220</v>
      </c>
      <c r="P356" s="63">
        <v>185</v>
      </c>
      <c r="Q356" s="45" t="s">
        <v>54</v>
      </c>
      <c r="R356" s="45" t="s">
        <v>43</v>
      </c>
      <c r="S356" s="45" t="s">
        <v>43</v>
      </c>
      <c r="T356" s="69"/>
      <c r="U356" s="49" t="s">
        <v>446</v>
      </c>
      <c r="V356" s="45" t="s">
        <v>1071</v>
      </c>
      <c r="W356" s="45">
        <v>33120100801</v>
      </c>
      <c r="X356" s="45" t="s">
        <v>1072</v>
      </c>
      <c r="Y356" s="43" t="s">
        <v>43</v>
      </c>
      <c r="Z356" s="71" t="s">
        <v>43</v>
      </c>
      <c r="AA356" s="71" t="s">
        <v>40</v>
      </c>
      <c r="AB356" s="48" t="s">
        <v>43</v>
      </c>
      <c r="AC356" s="75">
        <v>815</v>
      </c>
      <c r="AD356" s="75">
        <v>735</v>
      </c>
      <c r="AE356" s="80">
        <v>815</v>
      </c>
      <c r="AF356" s="80">
        <v>780</v>
      </c>
      <c r="AG356" s="80">
        <v>665</v>
      </c>
    </row>
    <row r="357" ht="20" customHeight="1" spans="1:33">
      <c r="A357" s="43"/>
      <c r="B357" s="43"/>
      <c r="C357" s="43"/>
      <c r="D357" s="43"/>
      <c r="E357" s="48"/>
      <c r="F357" s="48"/>
      <c r="G357" s="43"/>
      <c r="H357" s="48"/>
      <c r="I357" s="76"/>
      <c r="J357" s="76"/>
      <c r="K357" s="54"/>
      <c r="L357" s="54"/>
      <c r="M357" s="54"/>
      <c r="N357" s="63"/>
      <c r="O357" s="63"/>
      <c r="P357" s="63"/>
      <c r="Q357" s="45"/>
      <c r="R357" s="45"/>
      <c r="S357" s="45"/>
      <c r="T357" s="69"/>
      <c r="U357" s="49"/>
      <c r="V357" s="45" t="s">
        <v>1073</v>
      </c>
      <c r="W357" s="45">
        <v>33120100803</v>
      </c>
      <c r="X357" s="45" t="s">
        <v>1074</v>
      </c>
      <c r="Y357" s="43" t="s">
        <v>43</v>
      </c>
      <c r="Z357" s="71" t="s">
        <v>43</v>
      </c>
      <c r="AA357" s="71" t="s">
        <v>40</v>
      </c>
      <c r="AB357" s="48" t="s">
        <v>43</v>
      </c>
      <c r="AC357" s="75">
        <v>1065</v>
      </c>
      <c r="AD357" s="75">
        <v>960</v>
      </c>
      <c r="AE357" s="80">
        <v>1065</v>
      </c>
      <c r="AF357" s="80">
        <v>1005</v>
      </c>
      <c r="AG357" s="80">
        <v>855</v>
      </c>
    </row>
    <row r="358" ht="52" customHeight="1" spans="1:33">
      <c r="A358" s="46">
        <v>61</v>
      </c>
      <c r="B358" s="46" t="s">
        <v>1075</v>
      </c>
      <c r="C358" s="46" t="s">
        <v>1076</v>
      </c>
      <c r="D358" s="46" t="s">
        <v>213</v>
      </c>
      <c r="E358" s="50" t="s">
        <v>1077</v>
      </c>
      <c r="F358" s="50" t="s">
        <v>868</v>
      </c>
      <c r="G358" s="46" t="s">
        <v>40</v>
      </c>
      <c r="H358" s="50" t="s">
        <v>43</v>
      </c>
      <c r="I358" s="53">
        <v>400</v>
      </c>
      <c r="J358" s="53">
        <v>360</v>
      </c>
      <c r="K358" s="58">
        <v>220</v>
      </c>
      <c r="L358" s="58">
        <v>200</v>
      </c>
      <c r="M358" s="58">
        <v>170</v>
      </c>
      <c r="N358" s="63">
        <v>360</v>
      </c>
      <c r="O358" s="63">
        <v>325</v>
      </c>
      <c r="P358" s="63">
        <v>280</v>
      </c>
      <c r="Q358" s="45" t="s">
        <v>54</v>
      </c>
      <c r="R358" s="45" t="s">
        <v>43</v>
      </c>
      <c r="S358" s="45" t="s">
        <v>43</v>
      </c>
      <c r="T358" s="69" t="s">
        <v>851</v>
      </c>
      <c r="U358" s="49" t="s">
        <v>1064</v>
      </c>
      <c r="V358" s="43" t="s">
        <v>869</v>
      </c>
      <c r="W358" s="71">
        <v>31100002801</v>
      </c>
      <c r="X358" s="43" t="s">
        <v>870</v>
      </c>
      <c r="Y358" s="43" t="s">
        <v>43</v>
      </c>
      <c r="Z358" s="71" t="s">
        <v>43</v>
      </c>
      <c r="AA358" s="71" t="s">
        <v>40</v>
      </c>
      <c r="AB358" s="48" t="s">
        <v>871</v>
      </c>
      <c r="AC358" s="75">
        <v>220</v>
      </c>
      <c r="AD358" s="75">
        <v>200</v>
      </c>
      <c r="AE358" s="80">
        <v>220</v>
      </c>
      <c r="AF358" s="80">
        <v>200</v>
      </c>
      <c r="AG358" s="80">
        <v>170</v>
      </c>
    </row>
    <row r="359" ht="52" customHeight="1" spans="1:33">
      <c r="A359" s="43" t="s">
        <v>81</v>
      </c>
      <c r="B359" s="43" t="s">
        <v>1078</v>
      </c>
      <c r="C359" s="43" t="s">
        <v>1079</v>
      </c>
      <c r="D359" s="43" t="s">
        <v>213</v>
      </c>
      <c r="E359" s="48" t="s">
        <v>43</v>
      </c>
      <c r="F359" s="48" t="s">
        <v>43</v>
      </c>
      <c r="G359" s="43" t="s">
        <v>40</v>
      </c>
      <c r="H359" s="48" t="s">
        <v>43</v>
      </c>
      <c r="I359" s="53">
        <v>120</v>
      </c>
      <c r="J359" s="53">
        <v>108</v>
      </c>
      <c r="K359" s="54"/>
      <c r="L359" s="54"/>
      <c r="M359" s="54"/>
      <c r="N359" s="63">
        <v>105</v>
      </c>
      <c r="O359" s="63">
        <v>98</v>
      </c>
      <c r="P359" s="63">
        <v>84</v>
      </c>
      <c r="Q359" s="45" t="s">
        <v>54</v>
      </c>
      <c r="R359" s="45" t="s">
        <v>43</v>
      </c>
      <c r="S359" s="45" t="s">
        <v>43</v>
      </c>
      <c r="T359" s="69"/>
      <c r="U359" s="49"/>
      <c r="V359" s="43"/>
      <c r="W359" s="71"/>
      <c r="X359" s="43"/>
      <c r="Y359" s="43"/>
      <c r="Z359" s="71"/>
      <c r="AA359" s="71"/>
      <c r="AB359" s="48"/>
      <c r="AC359" s="74"/>
      <c r="AD359" s="74"/>
      <c r="AE359" s="78"/>
      <c r="AF359" s="78"/>
      <c r="AG359" s="78"/>
    </row>
    <row r="360" ht="17" customHeight="1" spans="1:33">
      <c r="A360" s="45">
        <v>62</v>
      </c>
      <c r="B360" s="45" t="s">
        <v>1080</v>
      </c>
      <c r="C360" s="45" t="s">
        <v>1081</v>
      </c>
      <c r="D360" s="45" t="s">
        <v>213</v>
      </c>
      <c r="E360" s="49" t="s">
        <v>1082</v>
      </c>
      <c r="F360" s="49" t="s">
        <v>1083</v>
      </c>
      <c r="G360" s="45" t="s">
        <v>40</v>
      </c>
      <c r="H360" s="49" t="s">
        <v>43</v>
      </c>
      <c r="I360" s="53">
        <v>1370</v>
      </c>
      <c r="J360" s="53">
        <v>1233</v>
      </c>
      <c r="K360" s="55">
        <v>1300</v>
      </c>
      <c r="L360" s="84">
        <v>1135.21276595745</v>
      </c>
      <c r="M360" s="84">
        <v>843.142857142857</v>
      </c>
      <c r="N360" s="63">
        <v>1300</v>
      </c>
      <c r="O360" s="63">
        <v>1150</v>
      </c>
      <c r="P360" s="63">
        <v>950</v>
      </c>
      <c r="Q360" s="45" t="s">
        <v>54</v>
      </c>
      <c r="R360" s="45" t="s">
        <v>43</v>
      </c>
      <c r="S360" s="45" t="s">
        <v>43</v>
      </c>
      <c r="T360" s="69" t="s">
        <v>67</v>
      </c>
      <c r="U360" s="49" t="s">
        <v>1084</v>
      </c>
      <c r="V360" s="43" t="s">
        <v>1085</v>
      </c>
      <c r="W360" s="71">
        <v>331104020</v>
      </c>
      <c r="X360" s="43" t="s">
        <v>1086</v>
      </c>
      <c r="Y360" s="43" t="s">
        <v>43</v>
      </c>
      <c r="Z360" s="71" t="s">
        <v>43</v>
      </c>
      <c r="AA360" s="71" t="s">
        <v>40</v>
      </c>
      <c r="AB360" s="48" t="s">
        <v>43</v>
      </c>
      <c r="AC360" s="75">
        <v>625</v>
      </c>
      <c r="AD360" s="75">
        <v>565</v>
      </c>
      <c r="AE360" s="80">
        <v>625</v>
      </c>
      <c r="AF360" s="80">
        <v>600</v>
      </c>
      <c r="AG360" s="80">
        <v>510</v>
      </c>
    </row>
    <row r="361" ht="17" customHeight="1" spans="1:33">
      <c r="A361" s="45"/>
      <c r="B361" s="45"/>
      <c r="C361" s="45"/>
      <c r="D361" s="45"/>
      <c r="E361" s="49"/>
      <c r="F361" s="49"/>
      <c r="G361" s="45"/>
      <c r="H361" s="49"/>
      <c r="I361" s="53"/>
      <c r="J361" s="53"/>
      <c r="K361" s="55"/>
      <c r="L361" s="84"/>
      <c r="M361" s="84"/>
      <c r="N361" s="63"/>
      <c r="O361" s="63"/>
      <c r="P361" s="63"/>
      <c r="Q361" s="45"/>
      <c r="R361" s="45"/>
      <c r="S361" s="45"/>
      <c r="T361" s="69"/>
      <c r="U361" s="49"/>
      <c r="V361" s="43" t="s">
        <v>1087</v>
      </c>
      <c r="W361" s="71">
        <v>331104010</v>
      </c>
      <c r="X361" s="43" t="s">
        <v>1088</v>
      </c>
      <c r="Y361" s="43" t="s">
        <v>43</v>
      </c>
      <c r="Z361" s="71" t="s">
        <v>43</v>
      </c>
      <c r="AA361" s="71" t="s">
        <v>40</v>
      </c>
      <c r="AB361" s="48" t="s">
        <v>43</v>
      </c>
      <c r="AC361" s="75">
        <v>1080</v>
      </c>
      <c r="AD361" s="75">
        <v>970</v>
      </c>
      <c r="AE361" s="80">
        <v>1000</v>
      </c>
      <c r="AF361" s="80">
        <v>960</v>
      </c>
      <c r="AG361" s="80">
        <v>816</v>
      </c>
    </row>
    <row r="362" ht="17" customHeight="1" spans="1:33">
      <c r="A362" s="45"/>
      <c r="B362" s="45"/>
      <c r="C362" s="45"/>
      <c r="D362" s="45"/>
      <c r="E362" s="49"/>
      <c r="F362" s="49"/>
      <c r="G362" s="45"/>
      <c r="H362" s="49"/>
      <c r="I362" s="53"/>
      <c r="J362" s="53"/>
      <c r="K362" s="55"/>
      <c r="L362" s="84"/>
      <c r="M362" s="84"/>
      <c r="N362" s="63"/>
      <c r="O362" s="63"/>
      <c r="P362" s="63"/>
      <c r="Q362" s="45"/>
      <c r="R362" s="45"/>
      <c r="S362" s="45"/>
      <c r="T362" s="69"/>
      <c r="U362" s="49"/>
      <c r="V362" s="43" t="s">
        <v>1089</v>
      </c>
      <c r="W362" s="71">
        <v>331104007</v>
      </c>
      <c r="X362" s="43" t="s">
        <v>1090</v>
      </c>
      <c r="Y362" s="43" t="s">
        <v>43</v>
      </c>
      <c r="Z362" s="71" t="s">
        <v>43</v>
      </c>
      <c r="AA362" s="71" t="s">
        <v>40</v>
      </c>
      <c r="AB362" s="48" t="s">
        <v>43</v>
      </c>
      <c r="AC362" s="75">
        <v>1620</v>
      </c>
      <c r="AD362" s="75">
        <v>1460</v>
      </c>
      <c r="AE362" s="80">
        <v>1500</v>
      </c>
      <c r="AF362" s="80">
        <v>1440</v>
      </c>
      <c r="AG362" s="80">
        <v>1224</v>
      </c>
    </row>
    <row r="363" ht="17" customHeight="1" spans="1:33">
      <c r="A363" s="45"/>
      <c r="B363" s="45"/>
      <c r="C363" s="45"/>
      <c r="D363" s="45"/>
      <c r="E363" s="49"/>
      <c r="F363" s="49"/>
      <c r="G363" s="45"/>
      <c r="H363" s="49"/>
      <c r="I363" s="53"/>
      <c r="J363" s="53"/>
      <c r="K363" s="55"/>
      <c r="L363" s="84"/>
      <c r="M363" s="84"/>
      <c r="N363" s="63"/>
      <c r="O363" s="63"/>
      <c r="P363" s="63"/>
      <c r="Q363" s="45"/>
      <c r="R363" s="45"/>
      <c r="S363" s="45"/>
      <c r="T363" s="69"/>
      <c r="U363" s="49"/>
      <c r="V363" s="43" t="s">
        <v>1091</v>
      </c>
      <c r="W363" s="71">
        <v>33110400702</v>
      </c>
      <c r="X363" s="43" t="s">
        <v>1092</v>
      </c>
      <c r="Y363" s="43" t="s">
        <v>43</v>
      </c>
      <c r="Z363" s="71" t="s">
        <v>43</v>
      </c>
      <c r="AA363" s="71" t="s">
        <v>40</v>
      </c>
      <c r="AB363" s="48" t="s">
        <v>43</v>
      </c>
      <c r="AC363" s="75">
        <v>1870</v>
      </c>
      <c r="AD363" s="75">
        <v>1685</v>
      </c>
      <c r="AE363" s="80">
        <v>1750</v>
      </c>
      <c r="AF363" s="80">
        <v>1665</v>
      </c>
      <c r="AG363" s="80">
        <v>1414</v>
      </c>
    </row>
    <row r="364" ht="17" customHeight="1" spans="1:33">
      <c r="A364" s="45"/>
      <c r="B364" s="45"/>
      <c r="C364" s="45"/>
      <c r="D364" s="45"/>
      <c r="E364" s="49"/>
      <c r="F364" s="49"/>
      <c r="G364" s="45"/>
      <c r="H364" s="49"/>
      <c r="I364" s="53"/>
      <c r="J364" s="53"/>
      <c r="K364" s="55"/>
      <c r="L364" s="84"/>
      <c r="M364" s="84"/>
      <c r="N364" s="63"/>
      <c r="O364" s="63"/>
      <c r="P364" s="63"/>
      <c r="Q364" s="45"/>
      <c r="R364" s="45"/>
      <c r="S364" s="45"/>
      <c r="T364" s="69"/>
      <c r="U364" s="49"/>
      <c r="V364" s="43" t="s">
        <v>1093</v>
      </c>
      <c r="W364" s="71">
        <v>331104012</v>
      </c>
      <c r="X364" s="43" t="s">
        <v>1094</v>
      </c>
      <c r="Y364" s="43" t="s">
        <v>43</v>
      </c>
      <c r="Z364" s="71" t="s">
        <v>43</v>
      </c>
      <c r="AA364" s="71" t="s">
        <v>40</v>
      </c>
      <c r="AB364" s="48" t="s">
        <v>43</v>
      </c>
      <c r="AC364" s="75">
        <v>1350</v>
      </c>
      <c r="AD364" s="75">
        <v>1215</v>
      </c>
      <c r="AE364" s="80">
        <v>1250</v>
      </c>
      <c r="AF364" s="80">
        <v>1200</v>
      </c>
      <c r="AG364" s="80">
        <v>1020</v>
      </c>
    </row>
    <row r="365" ht="17" customHeight="1" spans="1:33">
      <c r="A365" s="45"/>
      <c r="B365" s="45"/>
      <c r="C365" s="45"/>
      <c r="D365" s="45"/>
      <c r="E365" s="49"/>
      <c r="F365" s="49"/>
      <c r="G365" s="45"/>
      <c r="H365" s="49"/>
      <c r="I365" s="53"/>
      <c r="J365" s="53"/>
      <c r="K365" s="55"/>
      <c r="L365" s="84"/>
      <c r="M365" s="84"/>
      <c r="N365" s="63"/>
      <c r="O365" s="63"/>
      <c r="P365" s="63"/>
      <c r="Q365" s="45"/>
      <c r="R365" s="45"/>
      <c r="S365" s="45"/>
      <c r="T365" s="69"/>
      <c r="U365" s="49"/>
      <c r="V365" s="43" t="s">
        <v>1095</v>
      </c>
      <c r="W365" s="71">
        <v>331104009</v>
      </c>
      <c r="X365" s="43" t="s">
        <v>1096</v>
      </c>
      <c r="Y365" s="43" t="s">
        <v>43</v>
      </c>
      <c r="Z365" s="71" t="s">
        <v>43</v>
      </c>
      <c r="AA365" s="71" t="s">
        <v>40</v>
      </c>
      <c r="AB365" s="48" t="s">
        <v>43</v>
      </c>
      <c r="AC365" s="75">
        <v>1490</v>
      </c>
      <c r="AD365" s="75">
        <v>1340</v>
      </c>
      <c r="AE365" s="80">
        <v>1375</v>
      </c>
      <c r="AF365" s="80">
        <v>1320</v>
      </c>
      <c r="AG365" s="80">
        <v>1122</v>
      </c>
    </row>
    <row r="366" ht="17" customHeight="1" spans="1:33">
      <c r="A366" s="45"/>
      <c r="B366" s="45"/>
      <c r="C366" s="45"/>
      <c r="D366" s="45"/>
      <c r="E366" s="49"/>
      <c r="F366" s="49"/>
      <c r="G366" s="45"/>
      <c r="H366" s="49"/>
      <c r="I366" s="53"/>
      <c r="J366" s="53"/>
      <c r="K366" s="55"/>
      <c r="L366" s="84"/>
      <c r="M366" s="84"/>
      <c r="N366" s="63"/>
      <c r="O366" s="63"/>
      <c r="P366" s="63"/>
      <c r="Q366" s="45"/>
      <c r="R366" s="45"/>
      <c r="S366" s="45"/>
      <c r="T366" s="69"/>
      <c r="U366" s="49"/>
      <c r="V366" s="43" t="s">
        <v>1097</v>
      </c>
      <c r="W366" s="71">
        <v>33110400902</v>
      </c>
      <c r="X366" s="43" t="s">
        <v>1098</v>
      </c>
      <c r="Y366" s="43" t="s">
        <v>43</v>
      </c>
      <c r="Z366" s="71" t="s">
        <v>43</v>
      </c>
      <c r="AA366" s="71" t="s">
        <v>40</v>
      </c>
      <c r="AB366" s="48" t="s">
        <v>43</v>
      </c>
      <c r="AC366" s="75">
        <v>1740</v>
      </c>
      <c r="AD366" s="75">
        <v>1565</v>
      </c>
      <c r="AE366" s="80">
        <v>1625</v>
      </c>
      <c r="AF366" s="80">
        <v>1545</v>
      </c>
      <c r="AG366" s="80">
        <v>1312</v>
      </c>
    </row>
    <row r="367" ht="17" customHeight="1" spans="1:33">
      <c r="A367" s="45"/>
      <c r="B367" s="45"/>
      <c r="C367" s="45"/>
      <c r="D367" s="45"/>
      <c r="E367" s="49"/>
      <c r="F367" s="49"/>
      <c r="G367" s="45"/>
      <c r="H367" s="49"/>
      <c r="I367" s="53"/>
      <c r="J367" s="53"/>
      <c r="K367" s="55"/>
      <c r="L367" s="84"/>
      <c r="M367" s="84"/>
      <c r="N367" s="63"/>
      <c r="O367" s="63"/>
      <c r="P367" s="63"/>
      <c r="Q367" s="45"/>
      <c r="R367" s="45"/>
      <c r="S367" s="45"/>
      <c r="T367" s="69"/>
      <c r="U367" s="49"/>
      <c r="V367" s="43" t="s">
        <v>1099</v>
      </c>
      <c r="W367" s="71">
        <v>331104006</v>
      </c>
      <c r="X367" s="43" t="s">
        <v>1100</v>
      </c>
      <c r="Y367" s="43" t="s">
        <v>43</v>
      </c>
      <c r="Z367" s="71" t="s">
        <v>43</v>
      </c>
      <c r="AA367" s="71" t="s">
        <v>40</v>
      </c>
      <c r="AB367" s="48" t="s">
        <v>43</v>
      </c>
      <c r="AC367" s="75">
        <v>1350</v>
      </c>
      <c r="AD367" s="75">
        <v>1215</v>
      </c>
      <c r="AE367" s="80">
        <v>1250</v>
      </c>
      <c r="AF367" s="80">
        <v>1200</v>
      </c>
      <c r="AG367" s="80">
        <v>1020</v>
      </c>
    </row>
    <row r="368" ht="17" customHeight="1" spans="1:33">
      <c r="A368" s="45"/>
      <c r="B368" s="45"/>
      <c r="C368" s="45"/>
      <c r="D368" s="45"/>
      <c r="E368" s="49"/>
      <c r="F368" s="49"/>
      <c r="G368" s="45"/>
      <c r="H368" s="49"/>
      <c r="I368" s="53"/>
      <c r="J368" s="53"/>
      <c r="K368" s="55"/>
      <c r="L368" s="84"/>
      <c r="M368" s="84"/>
      <c r="N368" s="63"/>
      <c r="O368" s="63"/>
      <c r="P368" s="63"/>
      <c r="Q368" s="45"/>
      <c r="R368" s="45"/>
      <c r="S368" s="45"/>
      <c r="T368" s="69"/>
      <c r="U368" s="49"/>
      <c r="V368" s="43" t="s">
        <v>1101</v>
      </c>
      <c r="W368" s="71">
        <v>33110400602</v>
      </c>
      <c r="X368" s="43" t="s">
        <v>1102</v>
      </c>
      <c r="Y368" s="43" t="s">
        <v>43</v>
      </c>
      <c r="Z368" s="71" t="s">
        <v>43</v>
      </c>
      <c r="AA368" s="71" t="s">
        <v>40</v>
      </c>
      <c r="AB368" s="48" t="s">
        <v>43</v>
      </c>
      <c r="AC368" s="75">
        <v>1600</v>
      </c>
      <c r="AD368" s="75">
        <v>1440</v>
      </c>
      <c r="AE368" s="80">
        <v>1500</v>
      </c>
      <c r="AF368" s="80">
        <v>1425</v>
      </c>
      <c r="AG368" s="80">
        <v>1210</v>
      </c>
    </row>
    <row r="369" ht="17" customHeight="1" spans="1:33">
      <c r="A369" s="45"/>
      <c r="B369" s="45"/>
      <c r="C369" s="45"/>
      <c r="D369" s="45"/>
      <c r="E369" s="49"/>
      <c r="F369" s="49"/>
      <c r="G369" s="45"/>
      <c r="H369" s="49"/>
      <c r="I369" s="53"/>
      <c r="J369" s="53"/>
      <c r="K369" s="55"/>
      <c r="L369" s="84"/>
      <c r="M369" s="84"/>
      <c r="N369" s="63"/>
      <c r="O369" s="63"/>
      <c r="P369" s="63"/>
      <c r="Q369" s="45"/>
      <c r="R369" s="45"/>
      <c r="S369" s="45"/>
      <c r="T369" s="69"/>
      <c r="U369" s="49"/>
      <c r="V369" s="43" t="s">
        <v>1103</v>
      </c>
      <c r="W369" s="71">
        <v>331104019</v>
      </c>
      <c r="X369" s="43" t="s">
        <v>1104</v>
      </c>
      <c r="Y369" s="43" t="s">
        <v>43</v>
      </c>
      <c r="Z369" s="71" t="s">
        <v>43</v>
      </c>
      <c r="AA369" s="71" t="s">
        <v>40</v>
      </c>
      <c r="AB369" s="48" t="s">
        <v>43</v>
      </c>
      <c r="AC369" s="75">
        <v>1350</v>
      </c>
      <c r="AD369" s="75">
        <v>1215</v>
      </c>
      <c r="AE369" s="80">
        <v>1250</v>
      </c>
      <c r="AF369" s="80">
        <v>1200</v>
      </c>
      <c r="AG369" s="80">
        <v>1020</v>
      </c>
    </row>
    <row r="370" ht="17" customHeight="1" spans="1:33">
      <c r="A370" s="45"/>
      <c r="B370" s="45"/>
      <c r="C370" s="45"/>
      <c r="D370" s="45"/>
      <c r="E370" s="49"/>
      <c r="F370" s="49"/>
      <c r="G370" s="45"/>
      <c r="H370" s="49"/>
      <c r="I370" s="53"/>
      <c r="J370" s="53"/>
      <c r="K370" s="55"/>
      <c r="L370" s="84"/>
      <c r="M370" s="84"/>
      <c r="N370" s="63"/>
      <c r="O370" s="63"/>
      <c r="P370" s="63"/>
      <c r="Q370" s="45"/>
      <c r="R370" s="45"/>
      <c r="S370" s="45"/>
      <c r="T370" s="69"/>
      <c r="U370" s="49"/>
      <c r="V370" s="43" t="s">
        <v>1105</v>
      </c>
      <c r="W370" s="71">
        <v>33110401902</v>
      </c>
      <c r="X370" s="43" t="s">
        <v>1106</v>
      </c>
      <c r="Y370" s="43" t="s">
        <v>43</v>
      </c>
      <c r="Z370" s="71" t="s">
        <v>43</v>
      </c>
      <c r="AA370" s="71" t="s">
        <v>40</v>
      </c>
      <c r="AB370" s="48" t="s">
        <v>43</v>
      </c>
      <c r="AC370" s="75">
        <v>1600</v>
      </c>
      <c r="AD370" s="75">
        <v>1440</v>
      </c>
      <c r="AE370" s="80">
        <v>1500</v>
      </c>
      <c r="AF370" s="80">
        <v>1425</v>
      </c>
      <c r="AG370" s="80">
        <v>1210</v>
      </c>
    </row>
    <row r="371" ht="17" customHeight="1" spans="1:33">
      <c r="A371" s="45"/>
      <c r="B371" s="45"/>
      <c r="C371" s="45"/>
      <c r="D371" s="45"/>
      <c r="E371" s="49"/>
      <c r="F371" s="49"/>
      <c r="G371" s="45"/>
      <c r="H371" s="49"/>
      <c r="I371" s="53"/>
      <c r="J371" s="53"/>
      <c r="K371" s="55"/>
      <c r="L371" s="84"/>
      <c r="M371" s="84"/>
      <c r="N371" s="63"/>
      <c r="O371" s="63"/>
      <c r="P371" s="63"/>
      <c r="Q371" s="45"/>
      <c r="R371" s="45"/>
      <c r="S371" s="45"/>
      <c r="T371" s="69"/>
      <c r="U371" s="49"/>
      <c r="V371" s="43" t="s">
        <v>1107</v>
      </c>
      <c r="W371" s="71">
        <v>331104008</v>
      </c>
      <c r="X371" s="43" t="s">
        <v>1108</v>
      </c>
      <c r="Y371" s="43" t="s">
        <v>43</v>
      </c>
      <c r="Z371" s="71" t="s">
        <v>43</v>
      </c>
      <c r="AA371" s="71" t="s">
        <v>40</v>
      </c>
      <c r="AB371" s="48" t="s">
        <v>43</v>
      </c>
      <c r="AC371" s="75">
        <v>1080</v>
      </c>
      <c r="AD371" s="75">
        <v>970</v>
      </c>
      <c r="AE371" s="80">
        <v>1000</v>
      </c>
      <c r="AF371" s="80">
        <v>960</v>
      </c>
      <c r="AG371" s="80">
        <v>816</v>
      </c>
    </row>
    <row r="372" ht="17" customHeight="1" spans="1:33">
      <c r="A372" s="45"/>
      <c r="B372" s="45"/>
      <c r="C372" s="45"/>
      <c r="D372" s="45"/>
      <c r="E372" s="49"/>
      <c r="F372" s="49"/>
      <c r="G372" s="45"/>
      <c r="H372" s="49"/>
      <c r="I372" s="53"/>
      <c r="J372" s="53"/>
      <c r="K372" s="55"/>
      <c r="L372" s="84"/>
      <c r="M372" s="84"/>
      <c r="N372" s="63"/>
      <c r="O372" s="63"/>
      <c r="P372" s="63"/>
      <c r="Q372" s="45"/>
      <c r="R372" s="45"/>
      <c r="S372" s="45"/>
      <c r="T372" s="69"/>
      <c r="U372" s="49"/>
      <c r="V372" s="43" t="s">
        <v>1109</v>
      </c>
      <c r="W372" s="71">
        <v>33110400802</v>
      </c>
      <c r="X372" s="43" t="s">
        <v>1110</v>
      </c>
      <c r="Y372" s="43" t="s">
        <v>43</v>
      </c>
      <c r="Z372" s="71" t="s">
        <v>43</v>
      </c>
      <c r="AA372" s="71" t="s">
        <v>40</v>
      </c>
      <c r="AB372" s="48" t="s">
        <v>43</v>
      </c>
      <c r="AC372" s="75">
        <v>1330</v>
      </c>
      <c r="AD372" s="75">
        <v>1195</v>
      </c>
      <c r="AE372" s="80">
        <v>1250</v>
      </c>
      <c r="AF372" s="80">
        <v>1185</v>
      </c>
      <c r="AG372" s="80">
        <v>1006</v>
      </c>
    </row>
    <row r="373" ht="17" customHeight="1" spans="1:33">
      <c r="A373" s="43" t="s">
        <v>81</v>
      </c>
      <c r="B373" s="43" t="s">
        <v>1111</v>
      </c>
      <c r="C373" s="43" t="s">
        <v>1112</v>
      </c>
      <c r="D373" s="43" t="s">
        <v>213</v>
      </c>
      <c r="E373" s="48" t="s">
        <v>43</v>
      </c>
      <c r="F373" s="48" t="s">
        <v>43</v>
      </c>
      <c r="G373" s="43" t="s">
        <v>40</v>
      </c>
      <c r="H373" s="48" t="s">
        <v>43</v>
      </c>
      <c r="I373" s="53">
        <v>411</v>
      </c>
      <c r="J373" s="53">
        <v>370</v>
      </c>
      <c r="K373" s="54"/>
      <c r="L373" s="54"/>
      <c r="M373" s="54"/>
      <c r="N373" s="63">
        <v>390</v>
      </c>
      <c r="O373" s="63">
        <v>345</v>
      </c>
      <c r="P373" s="63">
        <v>285</v>
      </c>
      <c r="Q373" s="45" t="s">
        <v>54</v>
      </c>
      <c r="R373" s="45" t="s">
        <v>43</v>
      </c>
      <c r="S373" s="45" t="s">
        <v>43</v>
      </c>
      <c r="T373" s="69"/>
      <c r="U373" s="49" t="s">
        <v>446</v>
      </c>
      <c r="V373" s="45" t="s">
        <v>1113</v>
      </c>
      <c r="W373" s="45">
        <v>33110402001</v>
      </c>
      <c r="X373" s="45" t="s">
        <v>1114</v>
      </c>
      <c r="Y373" s="43" t="s">
        <v>43</v>
      </c>
      <c r="Z373" s="71" t="s">
        <v>43</v>
      </c>
      <c r="AA373" s="71" t="s">
        <v>40</v>
      </c>
      <c r="AB373" s="48" t="s">
        <v>43</v>
      </c>
      <c r="AC373" s="75">
        <v>815</v>
      </c>
      <c r="AD373" s="75">
        <v>735</v>
      </c>
      <c r="AE373" s="80">
        <v>815</v>
      </c>
      <c r="AF373" s="80">
        <v>780</v>
      </c>
      <c r="AG373" s="80">
        <v>665</v>
      </c>
    </row>
    <row r="374" ht="17" customHeight="1" spans="1:33">
      <c r="A374" s="43"/>
      <c r="B374" s="43"/>
      <c r="C374" s="43"/>
      <c r="D374" s="43"/>
      <c r="E374" s="48"/>
      <c r="F374" s="48"/>
      <c r="G374" s="43"/>
      <c r="H374" s="48"/>
      <c r="I374" s="76"/>
      <c r="J374" s="76"/>
      <c r="K374" s="54"/>
      <c r="L374" s="54"/>
      <c r="M374" s="54"/>
      <c r="N374" s="63"/>
      <c r="O374" s="63"/>
      <c r="P374" s="63"/>
      <c r="Q374" s="45"/>
      <c r="R374" s="45"/>
      <c r="S374" s="45"/>
      <c r="T374" s="69"/>
      <c r="U374" s="49"/>
      <c r="V374" s="45" t="s">
        <v>1115</v>
      </c>
      <c r="W374" s="45">
        <v>33110401001</v>
      </c>
      <c r="X374" s="45" t="s">
        <v>1116</v>
      </c>
      <c r="Y374" s="43" t="s">
        <v>43</v>
      </c>
      <c r="Z374" s="71" t="s">
        <v>43</v>
      </c>
      <c r="AA374" s="71" t="s">
        <v>40</v>
      </c>
      <c r="AB374" s="48" t="s">
        <v>43</v>
      </c>
      <c r="AC374" s="75">
        <v>1405</v>
      </c>
      <c r="AD374" s="75">
        <v>1260</v>
      </c>
      <c r="AE374" s="80">
        <v>1300</v>
      </c>
      <c r="AF374" s="80">
        <v>1250</v>
      </c>
      <c r="AG374" s="80">
        <v>1065</v>
      </c>
    </row>
    <row r="375" ht="17" customHeight="1" spans="1:33">
      <c r="A375" s="43"/>
      <c r="B375" s="43"/>
      <c r="C375" s="43"/>
      <c r="D375" s="43"/>
      <c r="E375" s="48"/>
      <c r="F375" s="48"/>
      <c r="G375" s="43"/>
      <c r="H375" s="48"/>
      <c r="I375" s="76"/>
      <c r="J375" s="76"/>
      <c r="K375" s="54"/>
      <c r="L375" s="54"/>
      <c r="M375" s="54"/>
      <c r="N375" s="63"/>
      <c r="O375" s="63"/>
      <c r="P375" s="63"/>
      <c r="Q375" s="45"/>
      <c r="R375" s="45"/>
      <c r="S375" s="45"/>
      <c r="T375" s="69"/>
      <c r="U375" s="49"/>
      <c r="V375" s="45" t="s">
        <v>1117</v>
      </c>
      <c r="W375" s="45">
        <v>33110400701</v>
      </c>
      <c r="X375" s="45" t="s">
        <v>1118</v>
      </c>
      <c r="Y375" s="43" t="s">
        <v>43</v>
      </c>
      <c r="Z375" s="71" t="s">
        <v>43</v>
      </c>
      <c r="AA375" s="71" t="s">
        <v>40</v>
      </c>
      <c r="AB375" s="48" t="s">
        <v>43</v>
      </c>
      <c r="AC375" s="75">
        <v>2105</v>
      </c>
      <c r="AD375" s="75">
        <v>1900</v>
      </c>
      <c r="AE375" s="80">
        <v>1950</v>
      </c>
      <c r="AF375" s="80">
        <v>1870</v>
      </c>
      <c r="AG375" s="80">
        <v>1590</v>
      </c>
    </row>
    <row r="376" ht="17" customHeight="1" spans="1:33">
      <c r="A376" s="43"/>
      <c r="B376" s="43"/>
      <c r="C376" s="43"/>
      <c r="D376" s="43"/>
      <c r="E376" s="48"/>
      <c r="F376" s="48"/>
      <c r="G376" s="43"/>
      <c r="H376" s="48"/>
      <c r="I376" s="76"/>
      <c r="J376" s="76"/>
      <c r="K376" s="54"/>
      <c r="L376" s="54"/>
      <c r="M376" s="54"/>
      <c r="N376" s="63"/>
      <c r="O376" s="63"/>
      <c r="P376" s="63"/>
      <c r="Q376" s="45"/>
      <c r="R376" s="45"/>
      <c r="S376" s="45"/>
      <c r="T376" s="69"/>
      <c r="U376" s="49"/>
      <c r="V376" s="45" t="s">
        <v>1119</v>
      </c>
      <c r="W376" s="45">
        <v>33110400703</v>
      </c>
      <c r="X376" s="45" t="s">
        <v>1120</v>
      </c>
      <c r="Y376" s="43" t="s">
        <v>43</v>
      </c>
      <c r="Z376" s="71" t="s">
        <v>43</v>
      </c>
      <c r="AA376" s="71" t="s">
        <v>40</v>
      </c>
      <c r="AB376" s="48" t="s">
        <v>43</v>
      </c>
      <c r="AC376" s="75">
        <v>2355</v>
      </c>
      <c r="AD376" s="75">
        <v>2125</v>
      </c>
      <c r="AE376" s="80">
        <v>2200</v>
      </c>
      <c r="AF376" s="80">
        <v>2095</v>
      </c>
      <c r="AG376" s="80">
        <v>1780</v>
      </c>
    </row>
    <row r="377" ht="17" customHeight="1" spans="1:33">
      <c r="A377" s="43"/>
      <c r="B377" s="43"/>
      <c r="C377" s="43"/>
      <c r="D377" s="43"/>
      <c r="E377" s="48"/>
      <c r="F377" s="48"/>
      <c r="G377" s="43"/>
      <c r="H377" s="48"/>
      <c r="I377" s="76"/>
      <c r="J377" s="76"/>
      <c r="K377" s="54"/>
      <c r="L377" s="54"/>
      <c r="M377" s="54"/>
      <c r="N377" s="63"/>
      <c r="O377" s="63"/>
      <c r="P377" s="63"/>
      <c r="Q377" s="45"/>
      <c r="R377" s="45"/>
      <c r="S377" s="45"/>
      <c r="T377" s="69"/>
      <c r="U377" s="49"/>
      <c r="V377" s="45" t="s">
        <v>1121</v>
      </c>
      <c r="W377" s="45">
        <v>33110401201</v>
      </c>
      <c r="X377" s="45" t="s">
        <v>1122</v>
      </c>
      <c r="Y377" s="43" t="s">
        <v>43</v>
      </c>
      <c r="Z377" s="71" t="s">
        <v>43</v>
      </c>
      <c r="AA377" s="71" t="s">
        <v>40</v>
      </c>
      <c r="AB377" s="48" t="s">
        <v>43</v>
      </c>
      <c r="AC377" s="75">
        <v>1755</v>
      </c>
      <c r="AD377" s="75">
        <v>1580</v>
      </c>
      <c r="AE377" s="80">
        <v>1625</v>
      </c>
      <c r="AF377" s="80">
        <v>1560</v>
      </c>
      <c r="AG377" s="80">
        <v>1325</v>
      </c>
    </row>
    <row r="378" ht="17" customHeight="1" spans="1:33">
      <c r="A378" s="43"/>
      <c r="B378" s="43"/>
      <c r="C378" s="43"/>
      <c r="D378" s="43"/>
      <c r="E378" s="48"/>
      <c r="F378" s="48"/>
      <c r="G378" s="43"/>
      <c r="H378" s="48"/>
      <c r="I378" s="76"/>
      <c r="J378" s="76"/>
      <c r="K378" s="54"/>
      <c r="L378" s="54"/>
      <c r="M378" s="54"/>
      <c r="N378" s="63"/>
      <c r="O378" s="63"/>
      <c r="P378" s="63"/>
      <c r="Q378" s="45"/>
      <c r="R378" s="45"/>
      <c r="S378" s="45"/>
      <c r="T378" s="69"/>
      <c r="U378" s="49"/>
      <c r="V378" s="45" t="s">
        <v>1123</v>
      </c>
      <c r="W378" s="45">
        <v>33110400901</v>
      </c>
      <c r="X378" s="45" t="s">
        <v>1124</v>
      </c>
      <c r="Y378" s="43" t="s">
        <v>43</v>
      </c>
      <c r="Z378" s="71" t="s">
        <v>43</v>
      </c>
      <c r="AA378" s="71" t="s">
        <v>40</v>
      </c>
      <c r="AB378" s="48" t="s">
        <v>43</v>
      </c>
      <c r="AC378" s="75">
        <v>1935</v>
      </c>
      <c r="AD378" s="75">
        <v>1740</v>
      </c>
      <c r="AE378" s="80">
        <v>1790</v>
      </c>
      <c r="AF378" s="80">
        <v>1715</v>
      </c>
      <c r="AG378" s="80">
        <v>1460</v>
      </c>
    </row>
    <row r="379" ht="17" customHeight="1" spans="1:33">
      <c r="A379" s="43"/>
      <c r="B379" s="43"/>
      <c r="C379" s="43"/>
      <c r="D379" s="43"/>
      <c r="E379" s="48"/>
      <c r="F379" s="48"/>
      <c r="G379" s="43"/>
      <c r="H379" s="48"/>
      <c r="I379" s="76"/>
      <c r="J379" s="76"/>
      <c r="K379" s="54"/>
      <c r="L379" s="54"/>
      <c r="M379" s="54"/>
      <c r="N379" s="63"/>
      <c r="O379" s="63"/>
      <c r="P379" s="63"/>
      <c r="Q379" s="45"/>
      <c r="R379" s="45"/>
      <c r="S379" s="45"/>
      <c r="T379" s="69"/>
      <c r="U379" s="49"/>
      <c r="V379" s="45" t="s">
        <v>1125</v>
      </c>
      <c r="W379" s="45">
        <v>33110400903</v>
      </c>
      <c r="X379" s="45" t="s">
        <v>1126</v>
      </c>
      <c r="Y379" s="43" t="s">
        <v>43</v>
      </c>
      <c r="Z379" s="71" t="s">
        <v>43</v>
      </c>
      <c r="AA379" s="71" t="s">
        <v>40</v>
      </c>
      <c r="AB379" s="48" t="s">
        <v>43</v>
      </c>
      <c r="AC379" s="75">
        <v>2185</v>
      </c>
      <c r="AD379" s="75">
        <v>1965</v>
      </c>
      <c r="AE379" s="80">
        <v>2040</v>
      </c>
      <c r="AF379" s="80">
        <v>1940</v>
      </c>
      <c r="AG379" s="80">
        <v>1650</v>
      </c>
    </row>
    <row r="380" ht="17" customHeight="1" spans="1:33">
      <c r="A380" s="43"/>
      <c r="B380" s="43"/>
      <c r="C380" s="43"/>
      <c r="D380" s="43"/>
      <c r="E380" s="48"/>
      <c r="F380" s="48"/>
      <c r="G380" s="43"/>
      <c r="H380" s="48"/>
      <c r="I380" s="76"/>
      <c r="J380" s="76"/>
      <c r="K380" s="54"/>
      <c r="L380" s="54"/>
      <c r="M380" s="54"/>
      <c r="N380" s="63"/>
      <c r="O380" s="63"/>
      <c r="P380" s="63"/>
      <c r="Q380" s="45"/>
      <c r="R380" s="45"/>
      <c r="S380" s="45"/>
      <c r="T380" s="69"/>
      <c r="U380" s="49"/>
      <c r="V380" s="45" t="s">
        <v>1127</v>
      </c>
      <c r="W380" s="45">
        <v>33110400601</v>
      </c>
      <c r="X380" s="45" t="s">
        <v>1128</v>
      </c>
      <c r="Y380" s="43" t="s">
        <v>43</v>
      </c>
      <c r="Z380" s="71" t="s">
        <v>43</v>
      </c>
      <c r="AA380" s="71" t="s">
        <v>40</v>
      </c>
      <c r="AB380" s="48" t="s">
        <v>43</v>
      </c>
      <c r="AC380" s="75">
        <v>1755</v>
      </c>
      <c r="AD380" s="75">
        <v>1580</v>
      </c>
      <c r="AE380" s="80">
        <v>1625</v>
      </c>
      <c r="AF380" s="80">
        <v>1560</v>
      </c>
      <c r="AG380" s="80">
        <v>1325</v>
      </c>
    </row>
    <row r="381" ht="17" customHeight="1" spans="1:33">
      <c r="A381" s="43"/>
      <c r="B381" s="43"/>
      <c r="C381" s="43"/>
      <c r="D381" s="43"/>
      <c r="E381" s="48"/>
      <c r="F381" s="48"/>
      <c r="G381" s="43"/>
      <c r="H381" s="48"/>
      <c r="I381" s="76"/>
      <c r="J381" s="76"/>
      <c r="K381" s="54"/>
      <c r="L381" s="54"/>
      <c r="M381" s="54"/>
      <c r="N381" s="63"/>
      <c r="O381" s="63"/>
      <c r="P381" s="63"/>
      <c r="Q381" s="45"/>
      <c r="R381" s="45"/>
      <c r="S381" s="45"/>
      <c r="T381" s="69"/>
      <c r="U381" s="49"/>
      <c r="V381" s="45" t="s">
        <v>1129</v>
      </c>
      <c r="W381" s="45">
        <v>33110400603</v>
      </c>
      <c r="X381" s="45" t="s">
        <v>1130</v>
      </c>
      <c r="Y381" s="43" t="s">
        <v>43</v>
      </c>
      <c r="Z381" s="71" t="s">
        <v>43</v>
      </c>
      <c r="AA381" s="71" t="s">
        <v>40</v>
      </c>
      <c r="AB381" s="48" t="s">
        <v>43</v>
      </c>
      <c r="AC381" s="75">
        <v>2005</v>
      </c>
      <c r="AD381" s="75">
        <v>1805</v>
      </c>
      <c r="AE381" s="80">
        <v>1875</v>
      </c>
      <c r="AF381" s="80">
        <v>1785</v>
      </c>
      <c r="AG381" s="80">
        <v>1515</v>
      </c>
    </row>
    <row r="382" ht="17" customHeight="1" spans="1:33">
      <c r="A382" s="43"/>
      <c r="B382" s="43"/>
      <c r="C382" s="43"/>
      <c r="D382" s="43"/>
      <c r="E382" s="48"/>
      <c r="F382" s="48"/>
      <c r="G382" s="43"/>
      <c r="H382" s="48"/>
      <c r="I382" s="76"/>
      <c r="J382" s="76"/>
      <c r="K382" s="54"/>
      <c r="L382" s="54"/>
      <c r="M382" s="54"/>
      <c r="N382" s="63"/>
      <c r="O382" s="63"/>
      <c r="P382" s="63"/>
      <c r="Q382" s="45"/>
      <c r="R382" s="45"/>
      <c r="S382" s="45"/>
      <c r="T382" s="69"/>
      <c r="U382" s="49"/>
      <c r="V382" s="45" t="s">
        <v>1131</v>
      </c>
      <c r="W382" s="45">
        <v>33110401901</v>
      </c>
      <c r="X382" s="45" t="s">
        <v>1132</v>
      </c>
      <c r="Y382" s="43" t="s">
        <v>43</v>
      </c>
      <c r="Z382" s="71" t="s">
        <v>43</v>
      </c>
      <c r="AA382" s="71" t="s">
        <v>40</v>
      </c>
      <c r="AB382" s="48" t="s">
        <v>43</v>
      </c>
      <c r="AC382" s="75">
        <v>1755</v>
      </c>
      <c r="AD382" s="75">
        <v>1580</v>
      </c>
      <c r="AE382" s="80">
        <v>1625</v>
      </c>
      <c r="AF382" s="80">
        <v>1560</v>
      </c>
      <c r="AG382" s="80">
        <v>1325</v>
      </c>
    </row>
    <row r="383" ht="17" customHeight="1" spans="1:33">
      <c r="A383" s="43"/>
      <c r="B383" s="43"/>
      <c r="C383" s="43"/>
      <c r="D383" s="43"/>
      <c r="E383" s="48"/>
      <c r="F383" s="48"/>
      <c r="G383" s="43"/>
      <c r="H383" s="48"/>
      <c r="I383" s="76"/>
      <c r="J383" s="76"/>
      <c r="K383" s="54"/>
      <c r="L383" s="54"/>
      <c r="M383" s="54"/>
      <c r="N383" s="63"/>
      <c r="O383" s="63"/>
      <c r="P383" s="63"/>
      <c r="Q383" s="45"/>
      <c r="R383" s="45"/>
      <c r="S383" s="45"/>
      <c r="T383" s="69"/>
      <c r="U383" s="49"/>
      <c r="V383" s="45" t="s">
        <v>1133</v>
      </c>
      <c r="W383" s="45">
        <v>33110401903</v>
      </c>
      <c r="X383" s="45" t="s">
        <v>1134</v>
      </c>
      <c r="Y383" s="43" t="s">
        <v>43</v>
      </c>
      <c r="Z383" s="71" t="s">
        <v>43</v>
      </c>
      <c r="AA383" s="71" t="s">
        <v>40</v>
      </c>
      <c r="AB383" s="48" t="s">
        <v>43</v>
      </c>
      <c r="AC383" s="75">
        <v>2005</v>
      </c>
      <c r="AD383" s="75">
        <v>1805</v>
      </c>
      <c r="AE383" s="80">
        <v>1875</v>
      </c>
      <c r="AF383" s="80">
        <v>1785</v>
      </c>
      <c r="AG383" s="80">
        <v>1515</v>
      </c>
    </row>
    <row r="384" ht="17" customHeight="1" spans="1:33">
      <c r="A384" s="43"/>
      <c r="B384" s="43"/>
      <c r="C384" s="43"/>
      <c r="D384" s="43"/>
      <c r="E384" s="48"/>
      <c r="F384" s="48"/>
      <c r="G384" s="43"/>
      <c r="H384" s="48"/>
      <c r="I384" s="76"/>
      <c r="J384" s="76"/>
      <c r="K384" s="54"/>
      <c r="L384" s="54"/>
      <c r="M384" s="54"/>
      <c r="N384" s="63"/>
      <c r="O384" s="63"/>
      <c r="P384" s="63"/>
      <c r="Q384" s="45"/>
      <c r="R384" s="45"/>
      <c r="S384" s="45"/>
      <c r="T384" s="69"/>
      <c r="U384" s="49"/>
      <c r="V384" s="45" t="s">
        <v>1135</v>
      </c>
      <c r="W384" s="45">
        <v>33110400801</v>
      </c>
      <c r="X384" s="45" t="s">
        <v>1136</v>
      </c>
      <c r="Y384" s="43" t="s">
        <v>43</v>
      </c>
      <c r="Z384" s="71" t="s">
        <v>43</v>
      </c>
      <c r="AA384" s="71" t="s">
        <v>40</v>
      </c>
      <c r="AB384" s="48" t="s">
        <v>43</v>
      </c>
      <c r="AC384" s="75">
        <v>1405</v>
      </c>
      <c r="AD384" s="75">
        <v>1260</v>
      </c>
      <c r="AE384" s="80">
        <v>1300</v>
      </c>
      <c r="AF384" s="80">
        <v>1250</v>
      </c>
      <c r="AG384" s="80">
        <v>1065</v>
      </c>
    </row>
    <row r="385" ht="17" customHeight="1" spans="1:33">
      <c r="A385" s="43"/>
      <c r="B385" s="43"/>
      <c r="C385" s="43"/>
      <c r="D385" s="43"/>
      <c r="E385" s="48"/>
      <c r="F385" s="48"/>
      <c r="G385" s="43"/>
      <c r="H385" s="48"/>
      <c r="I385" s="76"/>
      <c r="J385" s="76"/>
      <c r="K385" s="54"/>
      <c r="L385" s="54"/>
      <c r="M385" s="54"/>
      <c r="N385" s="63"/>
      <c r="O385" s="63"/>
      <c r="P385" s="63"/>
      <c r="Q385" s="45"/>
      <c r="R385" s="45"/>
      <c r="S385" s="45"/>
      <c r="T385" s="69"/>
      <c r="U385" s="49"/>
      <c r="V385" s="45" t="s">
        <v>1137</v>
      </c>
      <c r="W385" s="45">
        <v>33110400803</v>
      </c>
      <c r="X385" s="45" t="s">
        <v>1138</v>
      </c>
      <c r="Y385" s="43" t="s">
        <v>43</v>
      </c>
      <c r="Z385" s="71" t="s">
        <v>43</v>
      </c>
      <c r="AA385" s="71" t="s">
        <v>40</v>
      </c>
      <c r="AB385" s="48" t="s">
        <v>43</v>
      </c>
      <c r="AC385" s="75">
        <v>1655</v>
      </c>
      <c r="AD385" s="75">
        <v>1485</v>
      </c>
      <c r="AE385" s="80">
        <v>1550</v>
      </c>
      <c r="AF385" s="80">
        <v>1475</v>
      </c>
      <c r="AG385" s="80">
        <v>1255</v>
      </c>
    </row>
    <row r="386" ht="17" customHeight="1" spans="1:33">
      <c r="A386" s="45">
        <v>63</v>
      </c>
      <c r="B386" s="45" t="s">
        <v>1139</v>
      </c>
      <c r="C386" s="45" t="s">
        <v>1140</v>
      </c>
      <c r="D386" s="45" t="s">
        <v>213</v>
      </c>
      <c r="E386" s="49" t="s">
        <v>1141</v>
      </c>
      <c r="F386" s="49" t="s">
        <v>1142</v>
      </c>
      <c r="G386" s="45" t="s">
        <v>40</v>
      </c>
      <c r="H386" s="49"/>
      <c r="I386" s="53">
        <v>2160</v>
      </c>
      <c r="J386" s="53">
        <v>1944</v>
      </c>
      <c r="K386" s="55"/>
      <c r="L386" s="55">
        <v>2505</v>
      </c>
      <c r="M386" s="55"/>
      <c r="N386" s="63">
        <v>2050</v>
      </c>
      <c r="O386" s="63">
        <v>1850</v>
      </c>
      <c r="P386" s="63">
        <v>1570</v>
      </c>
      <c r="Q386" s="45" t="s">
        <v>54</v>
      </c>
      <c r="R386" s="45" t="s">
        <v>43</v>
      </c>
      <c r="S386" s="45" t="s">
        <v>43</v>
      </c>
      <c r="T386" s="69" t="s">
        <v>67</v>
      </c>
      <c r="U386" s="49" t="s">
        <v>1143</v>
      </c>
      <c r="V386" s="43" t="s">
        <v>1030</v>
      </c>
      <c r="W386" s="71">
        <v>331103007</v>
      </c>
      <c r="X386" s="43" t="s">
        <v>1031</v>
      </c>
      <c r="Y386" s="43" t="s">
        <v>43</v>
      </c>
      <c r="Z386" s="71" t="s">
        <v>43</v>
      </c>
      <c r="AA386" s="71" t="s">
        <v>40</v>
      </c>
      <c r="AB386" s="48" t="s">
        <v>43</v>
      </c>
      <c r="AC386" s="75">
        <v>3840</v>
      </c>
      <c r="AD386" s="75">
        <v>3460</v>
      </c>
      <c r="AE386" s="80">
        <v>3380</v>
      </c>
      <c r="AF386" s="80">
        <v>3040</v>
      </c>
      <c r="AG386" s="80">
        <v>2580</v>
      </c>
    </row>
    <row r="387" ht="17" customHeight="1" spans="1:33">
      <c r="A387" s="45"/>
      <c r="B387" s="45"/>
      <c r="C387" s="45"/>
      <c r="D387" s="45"/>
      <c r="E387" s="49"/>
      <c r="F387" s="49"/>
      <c r="G387" s="45"/>
      <c r="H387" s="49"/>
      <c r="I387" s="53"/>
      <c r="J387" s="53"/>
      <c r="K387" s="55"/>
      <c r="L387" s="55"/>
      <c r="M387" s="55"/>
      <c r="N387" s="63"/>
      <c r="O387" s="63"/>
      <c r="P387" s="63"/>
      <c r="Q387" s="45"/>
      <c r="R387" s="45"/>
      <c r="S387" s="45"/>
      <c r="T387" s="69"/>
      <c r="U387" s="49"/>
      <c r="V387" s="43" t="s">
        <v>1032</v>
      </c>
      <c r="W387" s="71">
        <v>33110300702</v>
      </c>
      <c r="X387" s="43" t="s">
        <v>1033</v>
      </c>
      <c r="Y387" s="43" t="s">
        <v>43</v>
      </c>
      <c r="Z387" s="71" t="s">
        <v>43</v>
      </c>
      <c r="AA387" s="71" t="s">
        <v>40</v>
      </c>
      <c r="AB387" s="48" t="s">
        <v>43</v>
      </c>
      <c r="AC387" s="75">
        <v>4640</v>
      </c>
      <c r="AD387" s="75">
        <v>4180</v>
      </c>
      <c r="AE387" s="80">
        <v>4005</v>
      </c>
      <c r="AF387" s="80">
        <v>3640</v>
      </c>
      <c r="AG387" s="80">
        <v>3090</v>
      </c>
    </row>
    <row r="388" ht="17" customHeight="1" spans="1:33">
      <c r="A388" s="45"/>
      <c r="B388" s="45"/>
      <c r="C388" s="45"/>
      <c r="D388" s="45"/>
      <c r="E388" s="49"/>
      <c r="F388" s="49"/>
      <c r="G388" s="45"/>
      <c r="H388" s="49"/>
      <c r="I388" s="53"/>
      <c r="J388" s="53"/>
      <c r="K388" s="55"/>
      <c r="L388" s="55"/>
      <c r="M388" s="55"/>
      <c r="N388" s="63"/>
      <c r="O388" s="63"/>
      <c r="P388" s="63"/>
      <c r="Q388" s="45"/>
      <c r="R388" s="45"/>
      <c r="S388" s="45"/>
      <c r="T388" s="69"/>
      <c r="U388" s="49"/>
      <c r="V388" s="43" t="s">
        <v>1144</v>
      </c>
      <c r="W388" s="71">
        <v>331104011</v>
      </c>
      <c r="X388" s="43" t="s">
        <v>1145</v>
      </c>
      <c r="Y388" s="43" t="s">
        <v>43</v>
      </c>
      <c r="Z388" s="71" t="s">
        <v>43</v>
      </c>
      <c r="AA388" s="71" t="s">
        <v>40</v>
      </c>
      <c r="AB388" s="48" t="s">
        <v>1146</v>
      </c>
      <c r="AC388" s="75">
        <v>2500</v>
      </c>
      <c r="AD388" s="75">
        <v>2240</v>
      </c>
      <c r="AE388" s="80">
        <v>2190</v>
      </c>
      <c r="AF388" s="80">
        <v>1970</v>
      </c>
      <c r="AG388" s="80">
        <v>1670</v>
      </c>
    </row>
    <row r="389" ht="17" customHeight="1" spans="1:33">
      <c r="A389" s="45"/>
      <c r="B389" s="45"/>
      <c r="C389" s="45"/>
      <c r="D389" s="45"/>
      <c r="E389" s="49"/>
      <c r="F389" s="49"/>
      <c r="G389" s="45"/>
      <c r="H389" s="49"/>
      <c r="I389" s="53"/>
      <c r="J389" s="53"/>
      <c r="K389" s="55"/>
      <c r="L389" s="55"/>
      <c r="M389" s="55"/>
      <c r="N389" s="63"/>
      <c r="O389" s="63"/>
      <c r="P389" s="63"/>
      <c r="Q389" s="45"/>
      <c r="R389" s="45"/>
      <c r="S389" s="45"/>
      <c r="T389" s="69"/>
      <c r="U389" s="49"/>
      <c r="V389" s="45" t="s">
        <v>1147</v>
      </c>
      <c r="W389" s="45">
        <v>33110401101</v>
      </c>
      <c r="X389" s="45" t="s">
        <v>1148</v>
      </c>
      <c r="Y389" s="43" t="s">
        <v>43</v>
      </c>
      <c r="Z389" s="71" t="s">
        <v>43</v>
      </c>
      <c r="AA389" s="71" t="s">
        <v>40</v>
      </c>
      <c r="AB389" s="48" t="s">
        <v>1149</v>
      </c>
      <c r="AC389" s="75">
        <v>3540</v>
      </c>
      <c r="AD389" s="75">
        <v>3175</v>
      </c>
      <c r="AE389" s="80">
        <v>3125</v>
      </c>
      <c r="AF389" s="80">
        <v>2810</v>
      </c>
      <c r="AG389" s="80">
        <v>2385</v>
      </c>
    </row>
    <row r="390" ht="17" customHeight="1" spans="1:33">
      <c r="A390" s="45"/>
      <c r="B390" s="45"/>
      <c r="C390" s="45"/>
      <c r="D390" s="45"/>
      <c r="E390" s="49"/>
      <c r="F390" s="49"/>
      <c r="G390" s="45"/>
      <c r="H390" s="49"/>
      <c r="I390" s="53"/>
      <c r="J390" s="53"/>
      <c r="K390" s="55"/>
      <c r="L390" s="55"/>
      <c r="M390" s="55"/>
      <c r="N390" s="63"/>
      <c r="O390" s="63"/>
      <c r="P390" s="63"/>
      <c r="Q390" s="45"/>
      <c r="R390" s="45"/>
      <c r="S390" s="45"/>
      <c r="T390" s="69"/>
      <c r="U390" s="49"/>
      <c r="V390" s="45" t="s">
        <v>1150</v>
      </c>
      <c r="W390" s="45">
        <v>33110401104</v>
      </c>
      <c r="X390" s="45" t="s">
        <v>1151</v>
      </c>
      <c r="Y390" s="43" t="s">
        <v>43</v>
      </c>
      <c r="Z390" s="71" t="s">
        <v>43</v>
      </c>
      <c r="AA390" s="71" t="s">
        <v>40</v>
      </c>
      <c r="AB390" s="48" t="s">
        <v>43</v>
      </c>
      <c r="AC390" s="75">
        <v>3300</v>
      </c>
      <c r="AD390" s="75">
        <v>2960</v>
      </c>
      <c r="AE390" s="80">
        <v>2815</v>
      </c>
      <c r="AF390" s="80">
        <v>2570</v>
      </c>
      <c r="AG390" s="80">
        <v>2180</v>
      </c>
    </row>
    <row r="391" ht="17" customHeight="1" spans="1:33">
      <c r="A391" s="45"/>
      <c r="B391" s="45"/>
      <c r="C391" s="45"/>
      <c r="D391" s="45"/>
      <c r="E391" s="49"/>
      <c r="F391" s="49"/>
      <c r="G391" s="45"/>
      <c r="H391" s="49"/>
      <c r="I391" s="53"/>
      <c r="J391" s="53"/>
      <c r="K391" s="55"/>
      <c r="L391" s="55"/>
      <c r="M391" s="55"/>
      <c r="N391" s="63"/>
      <c r="O391" s="63"/>
      <c r="P391" s="63"/>
      <c r="Q391" s="45"/>
      <c r="R391" s="45"/>
      <c r="S391" s="45"/>
      <c r="T391" s="69"/>
      <c r="U391" s="49"/>
      <c r="V391" s="45" t="s">
        <v>1152</v>
      </c>
      <c r="W391" s="45">
        <v>33110401105</v>
      </c>
      <c r="X391" s="45" t="s">
        <v>1153</v>
      </c>
      <c r="Y391" s="43" t="s">
        <v>43</v>
      </c>
      <c r="Z391" s="71" t="s">
        <v>43</v>
      </c>
      <c r="AA391" s="71" t="s">
        <v>40</v>
      </c>
      <c r="AB391" s="48" t="s">
        <v>1149</v>
      </c>
      <c r="AC391" s="75">
        <v>4340</v>
      </c>
      <c r="AD391" s="75">
        <v>3895</v>
      </c>
      <c r="AE391" s="80">
        <v>3750</v>
      </c>
      <c r="AF391" s="80">
        <v>3410</v>
      </c>
      <c r="AG391" s="80">
        <v>2895</v>
      </c>
    </row>
    <row r="392" ht="17" customHeight="1" spans="1:33">
      <c r="A392" s="43" t="s">
        <v>81</v>
      </c>
      <c r="B392" s="43" t="s">
        <v>1154</v>
      </c>
      <c r="C392" s="43" t="s">
        <v>1155</v>
      </c>
      <c r="D392" s="43" t="s">
        <v>213</v>
      </c>
      <c r="E392" s="48" t="s">
        <v>43</v>
      </c>
      <c r="F392" s="48" t="s">
        <v>43</v>
      </c>
      <c r="G392" s="43" t="s">
        <v>40</v>
      </c>
      <c r="H392" s="48" t="s">
        <v>43</v>
      </c>
      <c r="I392" s="53">
        <v>648</v>
      </c>
      <c r="J392" s="53">
        <v>583</v>
      </c>
      <c r="K392" s="54"/>
      <c r="L392" s="54"/>
      <c r="M392" s="54"/>
      <c r="N392" s="63">
        <v>615</v>
      </c>
      <c r="O392" s="63">
        <v>555</v>
      </c>
      <c r="P392" s="63">
        <v>470</v>
      </c>
      <c r="Q392" s="45" t="s">
        <v>54</v>
      </c>
      <c r="R392" s="45" t="s">
        <v>43</v>
      </c>
      <c r="S392" s="45" t="s">
        <v>43</v>
      </c>
      <c r="T392" s="69"/>
      <c r="U392" s="49" t="s">
        <v>446</v>
      </c>
      <c r="V392" s="45" t="s">
        <v>1036</v>
      </c>
      <c r="W392" s="45">
        <v>33110300701</v>
      </c>
      <c r="X392" s="45" t="s">
        <v>1037</v>
      </c>
      <c r="Y392" s="43" t="s">
        <v>43</v>
      </c>
      <c r="Z392" s="71" t="s">
        <v>43</v>
      </c>
      <c r="AA392" s="71" t="s">
        <v>40</v>
      </c>
      <c r="AB392" s="48" t="s">
        <v>43</v>
      </c>
      <c r="AC392" s="75">
        <v>4990</v>
      </c>
      <c r="AD392" s="75">
        <v>4500</v>
      </c>
      <c r="AE392" s="80">
        <v>4395</v>
      </c>
      <c r="AF392" s="80">
        <v>3950</v>
      </c>
      <c r="AG392" s="80">
        <v>3360</v>
      </c>
    </row>
    <row r="393" ht="17" customHeight="1" spans="1:33">
      <c r="A393" s="43"/>
      <c r="B393" s="43"/>
      <c r="C393" s="43"/>
      <c r="D393" s="43"/>
      <c r="E393" s="48"/>
      <c r="F393" s="48"/>
      <c r="G393" s="43"/>
      <c r="H393" s="48"/>
      <c r="I393" s="76"/>
      <c r="J393" s="76"/>
      <c r="K393" s="54"/>
      <c r="L393" s="54"/>
      <c r="M393" s="54"/>
      <c r="N393" s="63"/>
      <c r="O393" s="63"/>
      <c r="P393" s="63"/>
      <c r="Q393" s="45"/>
      <c r="R393" s="45"/>
      <c r="S393" s="45"/>
      <c r="T393" s="69"/>
      <c r="U393" s="49"/>
      <c r="V393" s="45" t="s">
        <v>1038</v>
      </c>
      <c r="W393" s="45">
        <v>33110300703</v>
      </c>
      <c r="X393" s="45" t="s">
        <v>1039</v>
      </c>
      <c r="Y393" s="43" t="s">
        <v>43</v>
      </c>
      <c r="Z393" s="71" t="s">
        <v>43</v>
      </c>
      <c r="AA393" s="71" t="s">
        <v>40</v>
      </c>
      <c r="AB393" s="48" t="s">
        <v>43</v>
      </c>
      <c r="AC393" s="75">
        <v>5790</v>
      </c>
      <c r="AD393" s="75">
        <v>5220</v>
      </c>
      <c r="AE393" s="80">
        <v>5020</v>
      </c>
      <c r="AF393" s="80">
        <v>4550</v>
      </c>
      <c r="AG393" s="80">
        <v>3870</v>
      </c>
    </row>
    <row r="394" ht="17" customHeight="1" spans="1:33">
      <c r="A394" s="43"/>
      <c r="B394" s="43"/>
      <c r="C394" s="43"/>
      <c r="D394" s="43"/>
      <c r="E394" s="48"/>
      <c r="F394" s="48"/>
      <c r="G394" s="43"/>
      <c r="H394" s="48"/>
      <c r="I394" s="76"/>
      <c r="J394" s="76"/>
      <c r="K394" s="54"/>
      <c r="L394" s="54"/>
      <c r="M394" s="54"/>
      <c r="N394" s="63"/>
      <c r="O394" s="63"/>
      <c r="P394" s="63"/>
      <c r="Q394" s="45"/>
      <c r="R394" s="45"/>
      <c r="S394" s="45"/>
      <c r="T394" s="69"/>
      <c r="U394" s="49"/>
      <c r="V394" s="45" t="s">
        <v>1156</v>
      </c>
      <c r="W394" s="45">
        <v>33110401102</v>
      </c>
      <c r="X394" s="45" t="s">
        <v>1157</v>
      </c>
      <c r="Y394" s="43" t="s">
        <v>43</v>
      </c>
      <c r="Z394" s="71" t="s">
        <v>43</v>
      </c>
      <c r="AA394" s="71" t="s">
        <v>40</v>
      </c>
      <c r="AB394" s="48" t="s">
        <v>43</v>
      </c>
      <c r="AC394" s="75">
        <v>3250</v>
      </c>
      <c r="AD394" s="75">
        <v>2910</v>
      </c>
      <c r="AE394" s="80">
        <v>2845</v>
      </c>
      <c r="AF394" s="80">
        <v>2560</v>
      </c>
      <c r="AG394" s="80">
        <v>2175</v>
      </c>
    </row>
    <row r="395" ht="17" customHeight="1" spans="1:33">
      <c r="A395" s="43"/>
      <c r="B395" s="43"/>
      <c r="C395" s="43"/>
      <c r="D395" s="43"/>
      <c r="E395" s="48"/>
      <c r="F395" s="48"/>
      <c r="G395" s="43"/>
      <c r="H395" s="48"/>
      <c r="I395" s="76"/>
      <c r="J395" s="76"/>
      <c r="K395" s="54"/>
      <c r="L395" s="54"/>
      <c r="M395" s="54"/>
      <c r="N395" s="63"/>
      <c r="O395" s="63"/>
      <c r="P395" s="63"/>
      <c r="Q395" s="45"/>
      <c r="R395" s="45"/>
      <c r="S395" s="45"/>
      <c r="T395" s="69"/>
      <c r="U395" s="49"/>
      <c r="V395" s="45" t="s">
        <v>1158</v>
      </c>
      <c r="W395" s="45">
        <v>33110401103</v>
      </c>
      <c r="X395" s="45" t="s">
        <v>1159</v>
      </c>
      <c r="Y395" s="43" t="s">
        <v>43</v>
      </c>
      <c r="Z395" s="71" t="s">
        <v>43</v>
      </c>
      <c r="AA395" s="71" t="s">
        <v>40</v>
      </c>
      <c r="AB395" s="48" t="s">
        <v>1149</v>
      </c>
      <c r="AC395" s="75">
        <v>4600</v>
      </c>
      <c r="AD395" s="75">
        <v>4130</v>
      </c>
      <c r="AE395" s="80">
        <v>4065</v>
      </c>
      <c r="AF395" s="80">
        <v>3655</v>
      </c>
      <c r="AG395" s="80">
        <v>3105</v>
      </c>
    </row>
    <row r="396" ht="17" customHeight="1" spans="1:33">
      <c r="A396" s="43"/>
      <c r="B396" s="43"/>
      <c r="C396" s="43"/>
      <c r="D396" s="43"/>
      <c r="E396" s="48"/>
      <c r="F396" s="48"/>
      <c r="G396" s="43"/>
      <c r="H396" s="48"/>
      <c r="I396" s="76"/>
      <c r="J396" s="76"/>
      <c r="K396" s="54"/>
      <c r="L396" s="54"/>
      <c r="M396" s="54"/>
      <c r="N396" s="63"/>
      <c r="O396" s="63"/>
      <c r="P396" s="63"/>
      <c r="Q396" s="45"/>
      <c r="R396" s="45"/>
      <c r="S396" s="45"/>
      <c r="T396" s="69"/>
      <c r="U396" s="49"/>
      <c r="V396" s="45" t="s">
        <v>1160</v>
      </c>
      <c r="W396" s="45">
        <v>33110401106</v>
      </c>
      <c r="X396" s="45" t="s">
        <v>1161</v>
      </c>
      <c r="Y396" s="43" t="s">
        <v>43</v>
      </c>
      <c r="Z396" s="71" t="s">
        <v>43</v>
      </c>
      <c r="AA396" s="71" t="s">
        <v>40</v>
      </c>
      <c r="AB396" s="48" t="s">
        <v>43</v>
      </c>
      <c r="AC396" s="75">
        <v>4050</v>
      </c>
      <c r="AD396" s="75">
        <v>3630</v>
      </c>
      <c r="AE396" s="80">
        <v>3470</v>
      </c>
      <c r="AF396" s="80">
        <v>3160</v>
      </c>
      <c r="AG396" s="80">
        <v>2685</v>
      </c>
    </row>
    <row r="397" ht="17" customHeight="1" spans="1:33">
      <c r="A397" s="43"/>
      <c r="B397" s="43"/>
      <c r="C397" s="43"/>
      <c r="D397" s="43"/>
      <c r="E397" s="48"/>
      <c r="F397" s="48"/>
      <c r="G397" s="43"/>
      <c r="H397" s="48"/>
      <c r="I397" s="76"/>
      <c r="J397" s="76"/>
      <c r="K397" s="54"/>
      <c r="L397" s="54"/>
      <c r="M397" s="54"/>
      <c r="N397" s="63"/>
      <c r="O397" s="63"/>
      <c r="P397" s="63"/>
      <c r="Q397" s="45"/>
      <c r="R397" s="45"/>
      <c r="S397" s="45"/>
      <c r="T397" s="69"/>
      <c r="U397" s="49"/>
      <c r="V397" s="45" t="s">
        <v>1162</v>
      </c>
      <c r="W397" s="45">
        <v>33110401107</v>
      </c>
      <c r="X397" s="45" t="s">
        <v>1163</v>
      </c>
      <c r="Y397" s="43" t="s">
        <v>43</v>
      </c>
      <c r="Z397" s="71" t="s">
        <v>43</v>
      </c>
      <c r="AA397" s="71" t="s">
        <v>40</v>
      </c>
      <c r="AB397" s="48" t="s">
        <v>1149</v>
      </c>
      <c r="AC397" s="75">
        <v>5400</v>
      </c>
      <c r="AD397" s="75">
        <v>4850</v>
      </c>
      <c r="AE397" s="80">
        <v>4690</v>
      </c>
      <c r="AF397" s="80">
        <v>4255</v>
      </c>
      <c r="AG397" s="80">
        <v>3615</v>
      </c>
    </row>
    <row r="398" ht="115" customHeight="1" spans="1:33">
      <c r="A398" s="46">
        <v>64</v>
      </c>
      <c r="B398" s="46" t="s">
        <v>1164</v>
      </c>
      <c r="C398" s="46" t="s">
        <v>1165</v>
      </c>
      <c r="D398" s="46" t="s">
        <v>213</v>
      </c>
      <c r="E398" s="50" t="s">
        <v>1166</v>
      </c>
      <c r="F398" s="50" t="s">
        <v>1167</v>
      </c>
      <c r="G398" s="46" t="s">
        <v>40</v>
      </c>
      <c r="H398" s="50" t="s">
        <v>43</v>
      </c>
      <c r="I398" s="53">
        <v>55</v>
      </c>
      <c r="J398" s="53">
        <v>50</v>
      </c>
      <c r="K398" s="58">
        <v>55</v>
      </c>
      <c r="L398" s="58">
        <v>50</v>
      </c>
      <c r="M398" s="55">
        <v>42.5</v>
      </c>
      <c r="N398" s="63">
        <v>55</v>
      </c>
      <c r="O398" s="63">
        <v>50</v>
      </c>
      <c r="P398" s="63">
        <v>43</v>
      </c>
      <c r="Q398" s="45" t="s">
        <v>54</v>
      </c>
      <c r="R398" s="45" t="s">
        <v>43</v>
      </c>
      <c r="S398" s="45" t="s">
        <v>43</v>
      </c>
      <c r="T398" s="69" t="s">
        <v>55</v>
      </c>
      <c r="U398" s="49" t="s">
        <v>1168</v>
      </c>
      <c r="V398" s="43" t="s">
        <v>1169</v>
      </c>
      <c r="W398" s="71">
        <v>311000036</v>
      </c>
      <c r="X398" s="43" t="s">
        <v>1170</v>
      </c>
      <c r="Y398" s="43" t="s">
        <v>43</v>
      </c>
      <c r="Z398" s="71" t="s">
        <v>1171</v>
      </c>
      <c r="AA398" s="71" t="s">
        <v>40</v>
      </c>
      <c r="AB398" s="48" t="s">
        <v>43</v>
      </c>
      <c r="AC398" s="75">
        <v>55</v>
      </c>
      <c r="AD398" s="75">
        <v>50</v>
      </c>
      <c r="AE398" s="80">
        <v>55</v>
      </c>
      <c r="AF398" s="80">
        <v>50</v>
      </c>
      <c r="AG398" s="80">
        <v>42.5</v>
      </c>
    </row>
    <row r="399" ht="41" customHeight="1" spans="1:33">
      <c r="A399" s="43" t="s">
        <v>81</v>
      </c>
      <c r="B399" s="112" t="s">
        <v>1172</v>
      </c>
      <c r="C399" s="43" t="s">
        <v>1173</v>
      </c>
      <c r="D399" s="43" t="s">
        <v>213</v>
      </c>
      <c r="E399" s="48" t="s">
        <v>43</v>
      </c>
      <c r="F399" s="48" t="s">
        <v>43</v>
      </c>
      <c r="G399" s="43" t="s">
        <v>40</v>
      </c>
      <c r="H399" s="48" t="s">
        <v>43</v>
      </c>
      <c r="I399" s="53">
        <v>17</v>
      </c>
      <c r="J399" s="53">
        <v>15</v>
      </c>
      <c r="K399" s="54"/>
      <c r="L399" s="54"/>
      <c r="M399" s="54"/>
      <c r="N399" s="63">
        <v>17</v>
      </c>
      <c r="O399" s="63">
        <v>15</v>
      </c>
      <c r="P399" s="63">
        <v>13</v>
      </c>
      <c r="Q399" s="45" t="s">
        <v>54</v>
      </c>
      <c r="R399" s="45" t="s">
        <v>43</v>
      </c>
      <c r="S399" s="45" t="s">
        <v>43</v>
      </c>
      <c r="T399" s="69"/>
      <c r="U399" s="49" t="s">
        <v>446</v>
      </c>
      <c r="V399" s="43"/>
      <c r="W399" s="71"/>
      <c r="X399" s="43"/>
      <c r="Y399" s="43"/>
      <c r="Z399" s="71"/>
      <c r="AA399" s="71"/>
      <c r="AB399" s="48"/>
      <c r="AC399" s="74"/>
      <c r="AD399" s="74"/>
      <c r="AE399" s="78"/>
      <c r="AF399" s="78"/>
      <c r="AG399" s="78"/>
    </row>
    <row r="400" ht="19" customHeight="1" spans="1:33">
      <c r="A400" s="45">
        <v>65</v>
      </c>
      <c r="B400" s="45" t="s">
        <v>1174</v>
      </c>
      <c r="C400" s="45" t="s">
        <v>1175</v>
      </c>
      <c r="D400" s="45" t="s">
        <v>213</v>
      </c>
      <c r="E400" s="49" t="s">
        <v>1176</v>
      </c>
      <c r="F400" s="49" t="s">
        <v>1177</v>
      </c>
      <c r="G400" s="45" t="s">
        <v>40</v>
      </c>
      <c r="H400" s="49" t="s">
        <v>43</v>
      </c>
      <c r="I400" s="53">
        <v>2660</v>
      </c>
      <c r="J400" s="53">
        <v>2394</v>
      </c>
      <c r="K400" s="84">
        <v>2311.42857142857</v>
      </c>
      <c r="L400" s="84">
        <v>2280</v>
      </c>
      <c r="M400" s="84"/>
      <c r="N400" s="63">
        <v>2400</v>
      </c>
      <c r="O400" s="63">
        <v>2280</v>
      </c>
      <c r="P400" s="63">
        <v>1950</v>
      </c>
      <c r="Q400" s="45" t="s">
        <v>42</v>
      </c>
      <c r="R400" s="45" t="s">
        <v>43</v>
      </c>
      <c r="S400" s="45" t="s">
        <v>43</v>
      </c>
      <c r="T400" s="69" t="s">
        <v>67</v>
      </c>
      <c r="U400" s="49" t="s">
        <v>1178</v>
      </c>
      <c r="V400" s="43" t="s">
        <v>1179</v>
      </c>
      <c r="W400" s="71">
        <v>331104026</v>
      </c>
      <c r="X400" s="43" t="s">
        <v>1180</v>
      </c>
      <c r="Y400" s="43" t="s">
        <v>1181</v>
      </c>
      <c r="Z400" s="71" t="s">
        <v>43</v>
      </c>
      <c r="AA400" s="71" t="s">
        <v>40</v>
      </c>
      <c r="AB400" s="48" t="s">
        <v>43</v>
      </c>
      <c r="AC400" s="75">
        <v>2880</v>
      </c>
      <c r="AD400" s="75">
        <v>2590</v>
      </c>
      <c r="AE400" s="80">
        <v>2530</v>
      </c>
      <c r="AF400" s="80">
        <v>2280</v>
      </c>
      <c r="AG400" s="80">
        <v>1940</v>
      </c>
    </row>
    <row r="401" ht="19" customHeight="1" spans="1:33">
      <c r="A401" s="45"/>
      <c r="B401" s="45"/>
      <c r="C401" s="45"/>
      <c r="D401" s="45"/>
      <c r="E401" s="49"/>
      <c r="F401" s="49"/>
      <c r="G401" s="45"/>
      <c r="H401" s="49"/>
      <c r="I401" s="53"/>
      <c r="J401" s="53"/>
      <c r="K401" s="84"/>
      <c r="L401" s="84"/>
      <c r="M401" s="84"/>
      <c r="N401" s="63"/>
      <c r="O401" s="63"/>
      <c r="P401" s="63"/>
      <c r="Q401" s="45"/>
      <c r="R401" s="45"/>
      <c r="S401" s="45"/>
      <c r="T401" s="69"/>
      <c r="U401" s="49"/>
      <c r="V401" s="43" t="s">
        <v>1182</v>
      </c>
      <c r="W401" s="71">
        <v>331104023</v>
      </c>
      <c r="X401" s="43" t="s">
        <v>1183</v>
      </c>
      <c r="Y401" s="43" t="s">
        <v>43</v>
      </c>
      <c r="Z401" s="71" t="s">
        <v>43</v>
      </c>
      <c r="AA401" s="71" t="s">
        <v>40</v>
      </c>
      <c r="AB401" s="48" t="s">
        <v>43</v>
      </c>
      <c r="AC401" s="75">
        <v>2880</v>
      </c>
      <c r="AD401" s="75">
        <v>2590</v>
      </c>
      <c r="AE401" s="80">
        <v>2530</v>
      </c>
      <c r="AF401" s="80">
        <v>2280</v>
      </c>
      <c r="AG401" s="80">
        <v>1940</v>
      </c>
    </row>
    <row r="402" ht="19" customHeight="1" spans="1:33">
      <c r="A402" s="45"/>
      <c r="B402" s="45"/>
      <c r="C402" s="45"/>
      <c r="D402" s="45"/>
      <c r="E402" s="49"/>
      <c r="F402" s="49"/>
      <c r="G402" s="45"/>
      <c r="H402" s="49"/>
      <c r="I402" s="53"/>
      <c r="J402" s="53"/>
      <c r="K402" s="84"/>
      <c r="L402" s="84"/>
      <c r="M402" s="84"/>
      <c r="N402" s="63"/>
      <c r="O402" s="63"/>
      <c r="P402" s="63"/>
      <c r="Q402" s="45"/>
      <c r="R402" s="45"/>
      <c r="S402" s="45"/>
      <c r="T402" s="69"/>
      <c r="U402" s="49"/>
      <c r="V402" s="43" t="s">
        <v>1184</v>
      </c>
      <c r="W402" s="71">
        <v>331104024</v>
      </c>
      <c r="X402" s="43" t="s">
        <v>1185</v>
      </c>
      <c r="Y402" s="43" t="s">
        <v>43</v>
      </c>
      <c r="Z402" s="71" t="s">
        <v>43</v>
      </c>
      <c r="AA402" s="71" t="s">
        <v>40</v>
      </c>
      <c r="AB402" s="48" t="s">
        <v>43</v>
      </c>
      <c r="AC402" s="75">
        <v>2880</v>
      </c>
      <c r="AD402" s="75">
        <v>2590</v>
      </c>
      <c r="AE402" s="80">
        <v>2530</v>
      </c>
      <c r="AF402" s="80">
        <v>2280</v>
      </c>
      <c r="AG402" s="80">
        <v>1940</v>
      </c>
    </row>
    <row r="403" ht="19" customHeight="1" spans="1:33">
      <c r="A403" s="45"/>
      <c r="B403" s="45"/>
      <c r="C403" s="45"/>
      <c r="D403" s="45"/>
      <c r="E403" s="49"/>
      <c r="F403" s="49"/>
      <c r="G403" s="45"/>
      <c r="H403" s="49"/>
      <c r="I403" s="53"/>
      <c r="J403" s="53"/>
      <c r="K403" s="84"/>
      <c r="L403" s="84"/>
      <c r="M403" s="84"/>
      <c r="N403" s="63"/>
      <c r="O403" s="63"/>
      <c r="P403" s="63"/>
      <c r="Q403" s="45"/>
      <c r="R403" s="45"/>
      <c r="S403" s="45"/>
      <c r="T403" s="69"/>
      <c r="U403" s="49"/>
      <c r="V403" s="43" t="s">
        <v>1186</v>
      </c>
      <c r="W403" s="71">
        <v>331104025</v>
      </c>
      <c r="X403" s="43" t="s">
        <v>1187</v>
      </c>
      <c r="Y403" s="43" t="s">
        <v>43</v>
      </c>
      <c r="Z403" s="71" t="s">
        <v>43</v>
      </c>
      <c r="AA403" s="71" t="s">
        <v>40</v>
      </c>
      <c r="AB403" s="48" t="s">
        <v>43</v>
      </c>
      <c r="AC403" s="75">
        <v>1080</v>
      </c>
      <c r="AD403" s="75">
        <v>970</v>
      </c>
      <c r="AE403" s="80">
        <v>1000</v>
      </c>
      <c r="AF403" s="80">
        <v>960</v>
      </c>
      <c r="AG403" s="80">
        <v>816</v>
      </c>
    </row>
    <row r="404" ht="19" customHeight="1" spans="1:33">
      <c r="A404" s="45"/>
      <c r="B404" s="45"/>
      <c r="C404" s="45"/>
      <c r="D404" s="45"/>
      <c r="E404" s="49"/>
      <c r="F404" s="49"/>
      <c r="G404" s="45"/>
      <c r="H404" s="49"/>
      <c r="I404" s="53"/>
      <c r="J404" s="53"/>
      <c r="K404" s="84"/>
      <c r="L404" s="84"/>
      <c r="M404" s="84"/>
      <c r="N404" s="63"/>
      <c r="O404" s="63"/>
      <c r="P404" s="63"/>
      <c r="Q404" s="45"/>
      <c r="R404" s="45"/>
      <c r="S404" s="45"/>
      <c r="T404" s="69"/>
      <c r="U404" s="49"/>
      <c r="V404" s="43" t="s">
        <v>1188</v>
      </c>
      <c r="W404" s="71">
        <v>331104027</v>
      </c>
      <c r="X404" s="43" t="s">
        <v>1189</v>
      </c>
      <c r="Y404" s="43" t="s">
        <v>1190</v>
      </c>
      <c r="Z404" s="71" t="s">
        <v>43</v>
      </c>
      <c r="AA404" s="71" t="s">
        <v>40</v>
      </c>
      <c r="AB404" s="48" t="s">
        <v>43</v>
      </c>
      <c r="AC404" s="75">
        <v>2880</v>
      </c>
      <c r="AD404" s="75">
        <v>2590</v>
      </c>
      <c r="AE404" s="80">
        <v>2530</v>
      </c>
      <c r="AF404" s="80">
        <v>2280</v>
      </c>
      <c r="AG404" s="80">
        <v>1940</v>
      </c>
    </row>
    <row r="405" ht="19" customHeight="1" spans="1:33">
      <c r="A405" s="45"/>
      <c r="B405" s="45"/>
      <c r="C405" s="45"/>
      <c r="D405" s="45"/>
      <c r="E405" s="49"/>
      <c r="F405" s="49"/>
      <c r="G405" s="45"/>
      <c r="H405" s="49"/>
      <c r="I405" s="53"/>
      <c r="J405" s="53"/>
      <c r="K405" s="84"/>
      <c r="L405" s="84"/>
      <c r="M405" s="84"/>
      <c r="N405" s="63"/>
      <c r="O405" s="63"/>
      <c r="P405" s="63"/>
      <c r="Q405" s="45"/>
      <c r="R405" s="45"/>
      <c r="S405" s="45"/>
      <c r="T405" s="69"/>
      <c r="U405" s="49"/>
      <c r="V405" s="43" t="s">
        <v>1191</v>
      </c>
      <c r="W405" s="71">
        <v>331104028</v>
      </c>
      <c r="X405" s="43" t="s">
        <v>1192</v>
      </c>
      <c r="Y405" s="43" t="s">
        <v>43</v>
      </c>
      <c r="Z405" s="71" t="s">
        <v>43</v>
      </c>
      <c r="AA405" s="71" t="s">
        <v>40</v>
      </c>
      <c r="AB405" s="48" t="s">
        <v>1193</v>
      </c>
      <c r="AC405" s="75">
        <v>3070</v>
      </c>
      <c r="AD405" s="75">
        <v>2760</v>
      </c>
      <c r="AE405" s="80">
        <v>2700</v>
      </c>
      <c r="AF405" s="80">
        <v>2430</v>
      </c>
      <c r="AG405" s="80">
        <v>2070</v>
      </c>
    </row>
    <row r="406" ht="19" customHeight="1" spans="1:33">
      <c r="A406" s="45"/>
      <c r="B406" s="45"/>
      <c r="C406" s="45"/>
      <c r="D406" s="45"/>
      <c r="E406" s="49"/>
      <c r="F406" s="49"/>
      <c r="G406" s="45"/>
      <c r="H406" s="49"/>
      <c r="I406" s="53"/>
      <c r="J406" s="53"/>
      <c r="K406" s="84"/>
      <c r="L406" s="84"/>
      <c r="M406" s="84"/>
      <c r="N406" s="63"/>
      <c r="O406" s="63"/>
      <c r="P406" s="63"/>
      <c r="Q406" s="45"/>
      <c r="R406" s="45"/>
      <c r="S406" s="45"/>
      <c r="T406" s="69"/>
      <c r="U406" s="49"/>
      <c r="V406" s="43" t="s">
        <v>1194</v>
      </c>
      <c r="W406" s="71">
        <v>33110402801</v>
      </c>
      <c r="X406" s="43" t="s">
        <v>1195</v>
      </c>
      <c r="Y406" s="43" t="s">
        <v>43</v>
      </c>
      <c r="Z406" s="71" t="s">
        <v>43</v>
      </c>
      <c r="AA406" s="71" t="s">
        <v>40</v>
      </c>
      <c r="AB406" s="48" t="s">
        <v>1196</v>
      </c>
      <c r="AC406" s="75">
        <v>3870</v>
      </c>
      <c r="AD406" s="75">
        <v>3480</v>
      </c>
      <c r="AE406" s="80">
        <v>3420</v>
      </c>
      <c r="AF406" s="80">
        <v>3080</v>
      </c>
      <c r="AG406" s="80">
        <v>2625</v>
      </c>
    </row>
    <row r="407" ht="19" customHeight="1" spans="1:33">
      <c r="A407" s="43" t="s">
        <v>81</v>
      </c>
      <c r="B407" s="43" t="s">
        <v>1197</v>
      </c>
      <c r="C407" s="43" t="s">
        <v>1198</v>
      </c>
      <c r="D407" s="43" t="s">
        <v>213</v>
      </c>
      <c r="E407" s="48" t="s">
        <v>43</v>
      </c>
      <c r="F407" s="48" t="s">
        <v>43</v>
      </c>
      <c r="G407" s="43" t="s">
        <v>40</v>
      </c>
      <c r="H407" s="48" t="s">
        <v>43</v>
      </c>
      <c r="I407" s="53">
        <v>798</v>
      </c>
      <c r="J407" s="53">
        <v>718</v>
      </c>
      <c r="K407" s="84">
        <v>747.857142857143</v>
      </c>
      <c r="L407" s="84">
        <v>685</v>
      </c>
      <c r="M407" s="84" t="e">
        <v>#DIV/0!</v>
      </c>
      <c r="N407" s="63">
        <v>720</v>
      </c>
      <c r="O407" s="63">
        <v>685</v>
      </c>
      <c r="P407" s="63">
        <v>585</v>
      </c>
      <c r="Q407" s="45" t="s">
        <v>42</v>
      </c>
      <c r="R407" s="45" t="s">
        <v>43</v>
      </c>
      <c r="S407" s="45" t="s">
        <v>43</v>
      </c>
      <c r="T407" s="69"/>
      <c r="U407" s="49" t="s">
        <v>446</v>
      </c>
      <c r="V407" s="45" t="s">
        <v>1199</v>
      </c>
      <c r="W407" s="45">
        <v>33110402601</v>
      </c>
      <c r="X407" s="45" t="s">
        <v>1200</v>
      </c>
      <c r="Y407" s="43" t="s">
        <v>43</v>
      </c>
      <c r="Z407" s="71" t="s">
        <v>43</v>
      </c>
      <c r="AA407" s="71" t="s">
        <v>40</v>
      </c>
      <c r="AB407" s="48" t="s">
        <v>43</v>
      </c>
      <c r="AC407" s="75">
        <v>3745</v>
      </c>
      <c r="AD407" s="75">
        <v>3365</v>
      </c>
      <c r="AE407" s="80">
        <v>3290</v>
      </c>
      <c r="AF407" s="80">
        <v>2965</v>
      </c>
      <c r="AG407" s="80">
        <v>2520</v>
      </c>
    </row>
    <row r="408" ht="19" customHeight="1" spans="1:33">
      <c r="A408" s="43"/>
      <c r="B408" s="43"/>
      <c r="C408" s="43"/>
      <c r="D408" s="43"/>
      <c r="E408" s="48"/>
      <c r="F408" s="48"/>
      <c r="G408" s="43"/>
      <c r="H408" s="48"/>
      <c r="I408" s="76"/>
      <c r="J408" s="76"/>
      <c r="K408" s="84"/>
      <c r="L408" s="84"/>
      <c r="M408" s="84"/>
      <c r="N408" s="63"/>
      <c r="O408" s="63"/>
      <c r="P408" s="63"/>
      <c r="Q408" s="45"/>
      <c r="R408" s="45"/>
      <c r="S408" s="45"/>
      <c r="T408" s="69"/>
      <c r="U408" s="49"/>
      <c r="V408" s="45" t="s">
        <v>1201</v>
      </c>
      <c r="W408" s="45">
        <v>33110402301</v>
      </c>
      <c r="X408" s="45" t="s">
        <v>1202</v>
      </c>
      <c r="Y408" s="43" t="s">
        <v>43</v>
      </c>
      <c r="Z408" s="71" t="s">
        <v>43</v>
      </c>
      <c r="AA408" s="71" t="s">
        <v>40</v>
      </c>
      <c r="AB408" s="48" t="s">
        <v>43</v>
      </c>
      <c r="AC408" s="75">
        <v>3745</v>
      </c>
      <c r="AD408" s="75">
        <v>3365</v>
      </c>
      <c r="AE408" s="80">
        <v>3290</v>
      </c>
      <c r="AF408" s="80">
        <v>2965</v>
      </c>
      <c r="AG408" s="80">
        <v>2520</v>
      </c>
    </row>
    <row r="409" ht="19" customHeight="1" spans="1:33">
      <c r="A409" s="43"/>
      <c r="B409" s="43"/>
      <c r="C409" s="43"/>
      <c r="D409" s="43"/>
      <c r="E409" s="48"/>
      <c r="F409" s="48"/>
      <c r="G409" s="43"/>
      <c r="H409" s="48"/>
      <c r="I409" s="76"/>
      <c r="J409" s="76"/>
      <c r="K409" s="84"/>
      <c r="L409" s="84"/>
      <c r="M409" s="84"/>
      <c r="N409" s="63"/>
      <c r="O409" s="63"/>
      <c r="P409" s="63"/>
      <c r="Q409" s="45"/>
      <c r="R409" s="45"/>
      <c r="S409" s="45"/>
      <c r="T409" s="69"/>
      <c r="U409" s="49"/>
      <c r="V409" s="45" t="s">
        <v>1203</v>
      </c>
      <c r="W409" s="45">
        <v>33110402401</v>
      </c>
      <c r="X409" s="45" t="s">
        <v>1204</v>
      </c>
      <c r="Y409" s="43" t="s">
        <v>43</v>
      </c>
      <c r="Z409" s="71" t="s">
        <v>43</v>
      </c>
      <c r="AA409" s="71" t="s">
        <v>40</v>
      </c>
      <c r="AB409" s="48" t="s">
        <v>43</v>
      </c>
      <c r="AC409" s="75">
        <v>3745</v>
      </c>
      <c r="AD409" s="75">
        <v>3365</v>
      </c>
      <c r="AE409" s="80">
        <v>3290</v>
      </c>
      <c r="AF409" s="80">
        <v>2965</v>
      </c>
      <c r="AG409" s="80">
        <v>2520</v>
      </c>
    </row>
    <row r="410" ht="19" customHeight="1" spans="1:33">
      <c r="A410" s="43"/>
      <c r="B410" s="43"/>
      <c r="C410" s="43"/>
      <c r="D410" s="43"/>
      <c r="E410" s="48"/>
      <c r="F410" s="48"/>
      <c r="G410" s="43"/>
      <c r="H410" s="48"/>
      <c r="I410" s="76"/>
      <c r="J410" s="76"/>
      <c r="K410" s="84"/>
      <c r="L410" s="84"/>
      <c r="M410" s="84"/>
      <c r="N410" s="63"/>
      <c r="O410" s="63"/>
      <c r="P410" s="63"/>
      <c r="Q410" s="45"/>
      <c r="R410" s="45"/>
      <c r="S410" s="45"/>
      <c r="T410" s="69"/>
      <c r="U410" s="49"/>
      <c r="V410" s="45" t="s">
        <v>1205</v>
      </c>
      <c r="W410" s="45">
        <v>33110402501</v>
      </c>
      <c r="X410" s="45" t="s">
        <v>1206</v>
      </c>
      <c r="Y410" s="43" t="s">
        <v>43</v>
      </c>
      <c r="Z410" s="71" t="s">
        <v>43</v>
      </c>
      <c r="AA410" s="71" t="s">
        <v>40</v>
      </c>
      <c r="AB410" s="48" t="s">
        <v>43</v>
      </c>
      <c r="AC410" s="75">
        <v>1405</v>
      </c>
      <c r="AD410" s="75">
        <v>1260</v>
      </c>
      <c r="AE410" s="80">
        <v>1300</v>
      </c>
      <c r="AF410" s="80">
        <v>1250</v>
      </c>
      <c r="AG410" s="80">
        <v>1065</v>
      </c>
    </row>
    <row r="411" ht="19" customHeight="1" spans="1:33">
      <c r="A411" s="43"/>
      <c r="B411" s="43"/>
      <c r="C411" s="43"/>
      <c r="D411" s="43"/>
      <c r="E411" s="48"/>
      <c r="F411" s="48"/>
      <c r="G411" s="43"/>
      <c r="H411" s="48"/>
      <c r="I411" s="76"/>
      <c r="J411" s="76"/>
      <c r="K411" s="84"/>
      <c r="L411" s="84"/>
      <c r="M411" s="84"/>
      <c r="N411" s="63"/>
      <c r="O411" s="63"/>
      <c r="P411" s="63"/>
      <c r="Q411" s="45"/>
      <c r="R411" s="45"/>
      <c r="S411" s="45"/>
      <c r="T411" s="69"/>
      <c r="U411" s="49"/>
      <c r="V411" s="45" t="s">
        <v>1207</v>
      </c>
      <c r="W411" s="45">
        <v>33110402701</v>
      </c>
      <c r="X411" s="45" t="s">
        <v>1208</v>
      </c>
      <c r="Y411" s="43" t="s">
        <v>43</v>
      </c>
      <c r="Z411" s="71" t="s">
        <v>43</v>
      </c>
      <c r="AA411" s="71" t="s">
        <v>40</v>
      </c>
      <c r="AB411" s="48" t="s">
        <v>43</v>
      </c>
      <c r="AC411" s="75">
        <v>3745</v>
      </c>
      <c r="AD411" s="75">
        <v>3365</v>
      </c>
      <c r="AE411" s="80">
        <v>3290</v>
      </c>
      <c r="AF411" s="80">
        <v>2965</v>
      </c>
      <c r="AG411" s="80">
        <v>2520</v>
      </c>
    </row>
    <row r="412" ht="19" customHeight="1" spans="1:33">
      <c r="A412" s="43"/>
      <c r="B412" s="43"/>
      <c r="C412" s="43"/>
      <c r="D412" s="43"/>
      <c r="E412" s="48"/>
      <c r="F412" s="48"/>
      <c r="G412" s="43"/>
      <c r="H412" s="48"/>
      <c r="I412" s="76"/>
      <c r="J412" s="76"/>
      <c r="K412" s="84"/>
      <c r="L412" s="84"/>
      <c r="M412" s="84"/>
      <c r="N412" s="63"/>
      <c r="O412" s="63"/>
      <c r="P412" s="63"/>
      <c r="Q412" s="45"/>
      <c r="R412" s="45"/>
      <c r="S412" s="45"/>
      <c r="T412" s="69"/>
      <c r="U412" s="49"/>
      <c r="V412" s="45" t="s">
        <v>1209</v>
      </c>
      <c r="W412" s="45">
        <v>33110402802</v>
      </c>
      <c r="X412" s="45" t="s">
        <v>1210</v>
      </c>
      <c r="Y412" s="43" t="s">
        <v>43</v>
      </c>
      <c r="Z412" s="71" t="s">
        <v>43</v>
      </c>
      <c r="AA412" s="71" t="s">
        <v>40</v>
      </c>
      <c r="AB412" s="48" t="s">
        <v>43</v>
      </c>
      <c r="AC412" s="75">
        <v>3990</v>
      </c>
      <c r="AD412" s="75">
        <v>3590</v>
      </c>
      <c r="AE412" s="80">
        <v>3510</v>
      </c>
      <c r="AF412" s="80">
        <v>3160</v>
      </c>
      <c r="AG412" s="80">
        <v>2685</v>
      </c>
    </row>
    <row r="413" ht="19" customHeight="1" spans="1:33">
      <c r="A413" s="43"/>
      <c r="B413" s="43"/>
      <c r="C413" s="43"/>
      <c r="D413" s="43"/>
      <c r="E413" s="48"/>
      <c r="F413" s="48"/>
      <c r="G413" s="43"/>
      <c r="H413" s="48"/>
      <c r="I413" s="76"/>
      <c r="J413" s="76"/>
      <c r="K413" s="84"/>
      <c r="L413" s="84"/>
      <c r="M413" s="84"/>
      <c r="N413" s="63"/>
      <c r="O413" s="63"/>
      <c r="P413" s="63"/>
      <c r="Q413" s="45"/>
      <c r="R413" s="45"/>
      <c r="S413" s="45"/>
      <c r="T413" s="69"/>
      <c r="U413" s="49"/>
      <c r="V413" s="45" t="s">
        <v>1211</v>
      </c>
      <c r="W413" s="45">
        <v>33110402803</v>
      </c>
      <c r="X413" s="45" t="s">
        <v>1212</v>
      </c>
      <c r="Y413" s="43" t="s">
        <v>43</v>
      </c>
      <c r="Z413" s="71" t="s">
        <v>43</v>
      </c>
      <c r="AA413" s="71" t="s">
        <v>40</v>
      </c>
      <c r="AB413" s="48" t="s">
        <v>1196</v>
      </c>
      <c r="AC413" s="75">
        <v>5030</v>
      </c>
      <c r="AD413" s="75">
        <v>4525</v>
      </c>
      <c r="AE413" s="80">
        <v>4445</v>
      </c>
      <c r="AF413" s="80">
        <v>4005</v>
      </c>
      <c r="AG413" s="80">
        <v>3405</v>
      </c>
    </row>
    <row r="414" ht="66" customHeight="1" spans="1:33">
      <c r="A414" s="46">
        <v>66</v>
      </c>
      <c r="B414" s="46">
        <v>13311000360000</v>
      </c>
      <c r="C414" s="46" t="s">
        <v>1213</v>
      </c>
      <c r="D414" s="46" t="s">
        <v>213</v>
      </c>
      <c r="E414" s="50" t="s">
        <v>1214</v>
      </c>
      <c r="F414" s="50" t="s">
        <v>1177</v>
      </c>
      <c r="G414" s="46" t="s">
        <v>40</v>
      </c>
      <c r="H414" s="50" t="s">
        <v>1215</v>
      </c>
      <c r="I414" s="53">
        <v>3358</v>
      </c>
      <c r="J414" s="53">
        <v>3022</v>
      </c>
      <c r="K414" s="58"/>
      <c r="L414" s="58"/>
      <c r="M414" s="58"/>
      <c r="N414" s="63">
        <v>3050</v>
      </c>
      <c r="O414" s="63">
        <v>2900</v>
      </c>
      <c r="P414" s="63">
        <v>2465</v>
      </c>
      <c r="Q414" s="45" t="s">
        <v>54</v>
      </c>
      <c r="R414" s="45" t="s">
        <v>43</v>
      </c>
      <c r="S414" s="45">
        <v>0.2</v>
      </c>
      <c r="T414" s="69" t="s">
        <v>99</v>
      </c>
      <c r="U414" s="49" t="s">
        <v>1216</v>
      </c>
      <c r="V414" s="43"/>
      <c r="W414" s="71"/>
      <c r="X414" s="43"/>
      <c r="Y414" s="43"/>
      <c r="Z414" s="71"/>
      <c r="AA414" s="71"/>
      <c r="AB414" s="48"/>
      <c r="AC414" s="74"/>
      <c r="AD414" s="74"/>
      <c r="AE414" s="78"/>
      <c r="AF414" s="78"/>
      <c r="AG414" s="78"/>
    </row>
    <row r="415" ht="37" customHeight="1" spans="1:33">
      <c r="A415" s="43" t="s">
        <v>81</v>
      </c>
      <c r="B415" s="112" t="s">
        <v>1217</v>
      </c>
      <c r="C415" s="43" t="s">
        <v>1218</v>
      </c>
      <c r="D415" s="43" t="s">
        <v>213</v>
      </c>
      <c r="E415" s="48" t="s">
        <v>43</v>
      </c>
      <c r="F415" s="48" t="s">
        <v>43</v>
      </c>
      <c r="G415" s="43" t="s">
        <v>40</v>
      </c>
      <c r="H415" s="48"/>
      <c r="I415" s="53">
        <v>1007</v>
      </c>
      <c r="J415" s="53">
        <v>907</v>
      </c>
      <c r="K415" s="54"/>
      <c r="L415" s="54"/>
      <c r="M415" s="54"/>
      <c r="N415" s="63">
        <v>915</v>
      </c>
      <c r="O415" s="63">
        <v>870</v>
      </c>
      <c r="P415" s="63">
        <v>740</v>
      </c>
      <c r="Q415" s="45" t="s">
        <v>54</v>
      </c>
      <c r="R415" s="45" t="s">
        <v>43</v>
      </c>
      <c r="S415" s="45">
        <v>0.2</v>
      </c>
      <c r="T415" s="69"/>
      <c r="U415" s="49" t="s">
        <v>446</v>
      </c>
      <c r="V415" s="43"/>
      <c r="W415" s="71"/>
      <c r="X415" s="43"/>
      <c r="Y415" s="43"/>
      <c r="Z415" s="71"/>
      <c r="AA415" s="71"/>
      <c r="AB415" s="48"/>
      <c r="AC415" s="74"/>
      <c r="AD415" s="74"/>
      <c r="AE415" s="78"/>
      <c r="AF415" s="78"/>
      <c r="AG415" s="78"/>
    </row>
    <row r="416" ht="15" customHeight="1" spans="1:33">
      <c r="A416" s="45">
        <v>67</v>
      </c>
      <c r="B416" s="45" t="s">
        <v>1219</v>
      </c>
      <c r="C416" s="45" t="s">
        <v>1220</v>
      </c>
      <c r="D416" s="45" t="s">
        <v>213</v>
      </c>
      <c r="E416" s="49" t="s">
        <v>1221</v>
      </c>
      <c r="F416" s="49" t="s">
        <v>1222</v>
      </c>
      <c r="G416" s="45" t="s">
        <v>40</v>
      </c>
      <c r="H416" s="49" t="s">
        <v>43</v>
      </c>
      <c r="I416" s="53">
        <v>3301</v>
      </c>
      <c r="J416" s="53">
        <v>2971</v>
      </c>
      <c r="K416" s="55">
        <v>3040</v>
      </c>
      <c r="L416" s="55"/>
      <c r="M416" s="55">
        <v>2330</v>
      </c>
      <c r="N416" s="63">
        <v>3040</v>
      </c>
      <c r="O416" s="63">
        <v>2740</v>
      </c>
      <c r="P416" s="63">
        <v>2330</v>
      </c>
      <c r="Q416" s="45" t="s">
        <v>54</v>
      </c>
      <c r="R416" s="45" t="s">
        <v>43</v>
      </c>
      <c r="S416" s="45" t="s">
        <v>43</v>
      </c>
      <c r="T416" s="69" t="s">
        <v>55</v>
      </c>
      <c r="U416" s="49" t="s">
        <v>55</v>
      </c>
      <c r="V416" s="43" t="s">
        <v>1223</v>
      </c>
      <c r="W416" s="71">
        <v>331103013</v>
      </c>
      <c r="X416" s="43" t="s">
        <v>1224</v>
      </c>
      <c r="Y416" s="43" t="s">
        <v>43</v>
      </c>
      <c r="Z416" s="71" t="s">
        <v>43</v>
      </c>
      <c r="AA416" s="71" t="s">
        <v>40</v>
      </c>
      <c r="AB416" s="48" t="s">
        <v>43</v>
      </c>
      <c r="AC416" s="74" t="s">
        <v>43</v>
      </c>
      <c r="AD416" s="74" t="s">
        <v>43</v>
      </c>
      <c r="AE416" s="78" t="s">
        <v>43</v>
      </c>
      <c r="AF416" s="78" t="s">
        <v>43</v>
      </c>
      <c r="AG416" s="78" t="s">
        <v>43</v>
      </c>
    </row>
    <row r="417" s="30" customFormat="1" ht="15" customHeight="1" spans="1:36">
      <c r="A417" s="45"/>
      <c r="B417" s="45"/>
      <c r="C417" s="45"/>
      <c r="D417" s="45"/>
      <c r="E417" s="49"/>
      <c r="F417" s="49"/>
      <c r="G417" s="45"/>
      <c r="H417" s="49"/>
      <c r="I417" s="53"/>
      <c r="J417" s="53"/>
      <c r="K417" s="55"/>
      <c r="L417" s="55"/>
      <c r="M417" s="55"/>
      <c r="N417" s="63"/>
      <c r="O417" s="63"/>
      <c r="P417" s="63"/>
      <c r="Q417" s="45"/>
      <c r="R417" s="45"/>
      <c r="S417" s="45"/>
      <c r="T417" s="69"/>
      <c r="U417" s="49"/>
      <c r="V417" s="45" t="s">
        <v>1225</v>
      </c>
      <c r="W417" s="45">
        <v>33110301302</v>
      </c>
      <c r="X417" s="45" t="s">
        <v>1226</v>
      </c>
      <c r="Y417" s="43" t="s">
        <v>43</v>
      </c>
      <c r="Z417" s="71" t="s">
        <v>43</v>
      </c>
      <c r="AA417" s="71" t="s">
        <v>40</v>
      </c>
      <c r="AB417" s="48" t="s">
        <v>43</v>
      </c>
      <c r="AC417" s="74" t="s">
        <v>43</v>
      </c>
      <c r="AD417" s="74" t="s">
        <v>43</v>
      </c>
      <c r="AE417" s="78" t="s">
        <v>43</v>
      </c>
      <c r="AF417" s="78" t="s">
        <v>43</v>
      </c>
      <c r="AG417" s="78" t="s">
        <v>43</v>
      </c>
      <c r="AH417" s="32"/>
      <c r="AI417" s="32"/>
      <c r="AJ417" s="32"/>
    </row>
    <row r="418" ht="15" customHeight="1" spans="1:33">
      <c r="A418" s="45"/>
      <c r="B418" s="45"/>
      <c r="C418" s="45"/>
      <c r="D418" s="45"/>
      <c r="E418" s="49"/>
      <c r="F418" s="49"/>
      <c r="G418" s="45"/>
      <c r="H418" s="49"/>
      <c r="I418" s="53"/>
      <c r="J418" s="53"/>
      <c r="K418" s="55"/>
      <c r="L418" s="55"/>
      <c r="M418" s="55"/>
      <c r="N418" s="63"/>
      <c r="O418" s="63"/>
      <c r="P418" s="63"/>
      <c r="Q418" s="45"/>
      <c r="R418" s="45"/>
      <c r="S418" s="45"/>
      <c r="T418" s="69"/>
      <c r="U418" s="49"/>
      <c r="V418" s="43" t="s">
        <v>1227</v>
      </c>
      <c r="W418" s="71">
        <v>331103008</v>
      </c>
      <c r="X418" s="43" t="s">
        <v>1228</v>
      </c>
      <c r="Y418" s="43" t="s">
        <v>1229</v>
      </c>
      <c r="Z418" s="71" t="s">
        <v>43</v>
      </c>
      <c r="AA418" s="71" t="s">
        <v>40</v>
      </c>
      <c r="AB418" s="48" t="s">
        <v>43</v>
      </c>
      <c r="AC418" s="75">
        <v>6000</v>
      </c>
      <c r="AD418" s="75">
        <v>5400</v>
      </c>
      <c r="AE418" s="80">
        <v>5160</v>
      </c>
      <c r="AF418" s="80">
        <v>4640</v>
      </c>
      <c r="AG418" s="80">
        <v>3940</v>
      </c>
    </row>
    <row r="419" ht="15" customHeight="1" spans="1:33">
      <c r="A419" s="45"/>
      <c r="B419" s="45"/>
      <c r="C419" s="45"/>
      <c r="D419" s="45"/>
      <c r="E419" s="49"/>
      <c r="F419" s="49"/>
      <c r="G419" s="45"/>
      <c r="H419" s="49"/>
      <c r="I419" s="53"/>
      <c r="J419" s="53"/>
      <c r="K419" s="55"/>
      <c r="L419" s="55"/>
      <c r="M419" s="55"/>
      <c r="N419" s="63"/>
      <c r="O419" s="63"/>
      <c r="P419" s="63"/>
      <c r="Q419" s="45"/>
      <c r="R419" s="45"/>
      <c r="S419" s="45"/>
      <c r="T419" s="69"/>
      <c r="U419" s="49"/>
      <c r="V419" s="43" t="s">
        <v>1230</v>
      </c>
      <c r="W419" s="71">
        <v>33110300802</v>
      </c>
      <c r="X419" s="43" t="s">
        <v>1231</v>
      </c>
      <c r="Y419" s="43" t="s">
        <v>43</v>
      </c>
      <c r="Z419" s="71" t="s">
        <v>43</v>
      </c>
      <c r="AA419" s="71" t="s">
        <v>40</v>
      </c>
      <c r="AB419" s="48" t="s">
        <v>43</v>
      </c>
      <c r="AC419" s="75">
        <v>6800</v>
      </c>
      <c r="AD419" s="75">
        <v>6120</v>
      </c>
      <c r="AE419" s="80">
        <v>5785</v>
      </c>
      <c r="AF419" s="80">
        <v>5240</v>
      </c>
      <c r="AG419" s="80">
        <v>4450</v>
      </c>
    </row>
    <row r="420" ht="15" customHeight="1" spans="1:33">
      <c r="A420" s="45"/>
      <c r="B420" s="45"/>
      <c r="C420" s="45"/>
      <c r="D420" s="45"/>
      <c r="E420" s="49"/>
      <c r="F420" s="49"/>
      <c r="G420" s="45"/>
      <c r="H420" s="49"/>
      <c r="I420" s="53"/>
      <c r="J420" s="53"/>
      <c r="K420" s="55"/>
      <c r="L420" s="55"/>
      <c r="M420" s="55"/>
      <c r="N420" s="63"/>
      <c r="O420" s="63"/>
      <c r="P420" s="63"/>
      <c r="Q420" s="45"/>
      <c r="R420" s="45"/>
      <c r="S420" s="45"/>
      <c r="T420" s="69"/>
      <c r="U420" s="49"/>
      <c r="V420" s="43" t="s">
        <v>1232</v>
      </c>
      <c r="W420" s="71">
        <v>331103009</v>
      </c>
      <c r="X420" s="43" t="s">
        <v>1233</v>
      </c>
      <c r="Y420" s="43" t="s">
        <v>1234</v>
      </c>
      <c r="Z420" s="71" t="s">
        <v>43</v>
      </c>
      <c r="AA420" s="71" t="s">
        <v>40</v>
      </c>
      <c r="AB420" s="48" t="s">
        <v>43</v>
      </c>
      <c r="AC420" s="75">
        <v>3460</v>
      </c>
      <c r="AD420" s="75">
        <v>3110</v>
      </c>
      <c r="AE420" s="80">
        <v>3040</v>
      </c>
      <c r="AF420" s="80">
        <v>2740</v>
      </c>
      <c r="AG420" s="80">
        <v>2330</v>
      </c>
    </row>
    <row r="421" ht="15" customHeight="1" spans="1:33">
      <c r="A421" s="45"/>
      <c r="B421" s="45"/>
      <c r="C421" s="45"/>
      <c r="D421" s="45"/>
      <c r="E421" s="49"/>
      <c r="F421" s="49"/>
      <c r="G421" s="45"/>
      <c r="H421" s="49"/>
      <c r="I421" s="53"/>
      <c r="J421" s="53"/>
      <c r="K421" s="55"/>
      <c r="L421" s="55"/>
      <c r="M421" s="55"/>
      <c r="N421" s="63"/>
      <c r="O421" s="63"/>
      <c r="P421" s="63"/>
      <c r="Q421" s="45"/>
      <c r="R421" s="45"/>
      <c r="S421" s="45"/>
      <c r="T421" s="69"/>
      <c r="U421" s="49"/>
      <c r="V421" s="43" t="s">
        <v>1235</v>
      </c>
      <c r="W421" s="71">
        <v>33110300902</v>
      </c>
      <c r="X421" s="71" t="s">
        <v>1236</v>
      </c>
      <c r="Y421" s="43" t="s">
        <v>43</v>
      </c>
      <c r="Z421" s="71" t="s">
        <v>43</v>
      </c>
      <c r="AA421" s="71" t="s">
        <v>40</v>
      </c>
      <c r="AB421" s="48" t="s">
        <v>43</v>
      </c>
      <c r="AC421" s="75">
        <v>4260</v>
      </c>
      <c r="AD421" s="75">
        <v>3830</v>
      </c>
      <c r="AE421" s="80">
        <v>3665</v>
      </c>
      <c r="AF421" s="80">
        <v>3340</v>
      </c>
      <c r="AG421" s="80">
        <v>2840</v>
      </c>
    </row>
    <row r="422" ht="15" customHeight="1" spans="1:33">
      <c r="A422" s="45"/>
      <c r="B422" s="45"/>
      <c r="C422" s="45"/>
      <c r="D422" s="45"/>
      <c r="E422" s="49"/>
      <c r="F422" s="49"/>
      <c r="G422" s="45"/>
      <c r="H422" s="49"/>
      <c r="I422" s="53"/>
      <c r="J422" s="53"/>
      <c r="K422" s="55"/>
      <c r="L422" s="55"/>
      <c r="M422" s="55"/>
      <c r="N422" s="63"/>
      <c r="O422" s="63"/>
      <c r="P422" s="63"/>
      <c r="Q422" s="45"/>
      <c r="R422" s="45"/>
      <c r="S422" s="45"/>
      <c r="T422" s="69"/>
      <c r="U422" s="49"/>
      <c r="V422" s="43" t="s">
        <v>1237</v>
      </c>
      <c r="W422" s="71">
        <v>331103012</v>
      </c>
      <c r="X422" s="43" t="s">
        <v>1238</v>
      </c>
      <c r="Y422" s="43" t="s">
        <v>1239</v>
      </c>
      <c r="Z422" s="71" t="s">
        <v>43</v>
      </c>
      <c r="AA422" s="71" t="s">
        <v>40</v>
      </c>
      <c r="AB422" s="48" t="s">
        <v>43</v>
      </c>
      <c r="AC422" s="75">
        <v>3070</v>
      </c>
      <c r="AD422" s="75">
        <v>2760</v>
      </c>
      <c r="AE422" s="80">
        <v>2700</v>
      </c>
      <c r="AF422" s="80">
        <v>2430</v>
      </c>
      <c r="AG422" s="80">
        <v>2070</v>
      </c>
    </row>
    <row r="423" ht="15" customHeight="1" spans="1:33">
      <c r="A423" s="45"/>
      <c r="B423" s="45"/>
      <c r="C423" s="45"/>
      <c r="D423" s="45"/>
      <c r="E423" s="49"/>
      <c r="F423" s="49"/>
      <c r="G423" s="45"/>
      <c r="H423" s="49"/>
      <c r="I423" s="53"/>
      <c r="J423" s="53"/>
      <c r="K423" s="55"/>
      <c r="L423" s="55"/>
      <c r="M423" s="55"/>
      <c r="N423" s="63"/>
      <c r="O423" s="63"/>
      <c r="P423" s="63"/>
      <c r="Q423" s="45"/>
      <c r="R423" s="45"/>
      <c r="S423" s="45"/>
      <c r="T423" s="69"/>
      <c r="U423" s="49"/>
      <c r="V423" s="43" t="s">
        <v>1240</v>
      </c>
      <c r="W423" s="71">
        <v>33110301202</v>
      </c>
      <c r="X423" s="43" t="s">
        <v>1241</v>
      </c>
      <c r="Y423" s="43" t="s">
        <v>43</v>
      </c>
      <c r="Z423" s="71" t="s">
        <v>43</v>
      </c>
      <c r="AA423" s="71" t="s">
        <v>40</v>
      </c>
      <c r="AB423" s="48" t="s">
        <v>43</v>
      </c>
      <c r="AC423" s="75">
        <v>3870</v>
      </c>
      <c r="AD423" s="75">
        <v>3480</v>
      </c>
      <c r="AE423" s="80">
        <v>3325</v>
      </c>
      <c r="AF423" s="80">
        <v>3030</v>
      </c>
      <c r="AG423" s="80">
        <v>2580</v>
      </c>
    </row>
    <row r="424" ht="15" customHeight="1" spans="1:33">
      <c r="A424" s="45"/>
      <c r="B424" s="45"/>
      <c r="C424" s="45"/>
      <c r="D424" s="45"/>
      <c r="E424" s="49"/>
      <c r="F424" s="49"/>
      <c r="G424" s="45"/>
      <c r="H424" s="49"/>
      <c r="I424" s="53"/>
      <c r="J424" s="53"/>
      <c r="K424" s="55"/>
      <c r="L424" s="55"/>
      <c r="M424" s="55"/>
      <c r="N424" s="63"/>
      <c r="O424" s="63"/>
      <c r="P424" s="63"/>
      <c r="Q424" s="45"/>
      <c r="R424" s="45"/>
      <c r="S424" s="45"/>
      <c r="T424" s="69"/>
      <c r="U424" s="49"/>
      <c r="V424" s="43" t="s">
        <v>1242</v>
      </c>
      <c r="W424" s="71">
        <v>331103011</v>
      </c>
      <c r="X424" s="43" t="s">
        <v>1243</v>
      </c>
      <c r="Y424" s="43" t="s">
        <v>1244</v>
      </c>
      <c r="Z424" s="71" t="s">
        <v>43</v>
      </c>
      <c r="AA424" s="71" t="s">
        <v>40</v>
      </c>
      <c r="AB424" s="48" t="s">
        <v>43</v>
      </c>
      <c r="AC424" s="75">
        <v>3460</v>
      </c>
      <c r="AD424" s="75">
        <v>3110</v>
      </c>
      <c r="AE424" s="80">
        <v>3040</v>
      </c>
      <c r="AF424" s="80">
        <v>2740</v>
      </c>
      <c r="AG424" s="80">
        <v>2330</v>
      </c>
    </row>
    <row r="425" ht="15" customHeight="1" spans="1:33">
      <c r="A425" s="45"/>
      <c r="B425" s="45"/>
      <c r="C425" s="45"/>
      <c r="D425" s="45"/>
      <c r="E425" s="49"/>
      <c r="F425" s="49"/>
      <c r="G425" s="45"/>
      <c r="H425" s="49"/>
      <c r="I425" s="53"/>
      <c r="J425" s="53"/>
      <c r="K425" s="55"/>
      <c r="L425" s="55"/>
      <c r="M425" s="55"/>
      <c r="N425" s="63"/>
      <c r="O425" s="63"/>
      <c r="P425" s="63"/>
      <c r="Q425" s="45"/>
      <c r="R425" s="45"/>
      <c r="S425" s="45"/>
      <c r="T425" s="69"/>
      <c r="U425" s="49"/>
      <c r="V425" s="43" t="s">
        <v>1245</v>
      </c>
      <c r="W425" s="71">
        <v>33110301102</v>
      </c>
      <c r="X425" s="43" t="s">
        <v>1246</v>
      </c>
      <c r="Y425" s="43" t="s">
        <v>43</v>
      </c>
      <c r="Z425" s="71" t="s">
        <v>43</v>
      </c>
      <c r="AA425" s="71" t="s">
        <v>40</v>
      </c>
      <c r="AB425" s="48" t="s">
        <v>43</v>
      </c>
      <c r="AC425" s="75">
        <v>4260</v>
      </c>
      <c r="AD425" s="75">
        <v>3830</v>
      </c>
      <c r="AE425" s="80">
        <v>3665</v>
      </c>
      <c r="AF425" s="80">
        <v>3340</v>
      </c>
      <c r="AG425" s="80">
        <v>2840</v>
      </c>
    </row>
    <row r="426" ht="15" customHeight="1" spans="1:33">
      <c r="A426" s="43" t="s">
        <v>81</v>
      </c>
      <c r="B426" s="43" t="s">
        <v>1247</v>
      </c>
      <c r="C426" s="43" t="s">
        <v>1248</v>
      </c>
      <c r="D426" s="43" t="s">
        <v>213</v>
      </c>
      <c r="E426" s="48" t="s">
        <v>43</v>
      </c>
      <c r="F426" s="48" t="s">
        <v>43</v>
      </c>
      <c r="G426" s="43" t="s">
        <v>40</v>
      </c>
      <c r="H426" s="48" t="s">
        <v>43</v>
      </c>
      <c r="I426" s="53">
        <v>880</v>
      </c>
      <c r="J426" s="53">
        <v>792</v>
      </c>
      <c r="K426" s="54"/>
      <c r="L426" s="54"/>
      <c r="M426" s="54"/>
      <c r="N426" s="63">
        <v>810</v>
      </c>
      <c r="O426" s="63">
        <v>730</v>
      </c>
      <c r="P426" s="63">
        <v>620</v>
      </c>
      <c r="Q426" s="45" t="s">
        <v>54</v>
      </c>
      <c r="R426" s="45" t="s">
        <v>43</v>
      </c>
      <c r="S426" s="45" t="s">
        <v>43</v>
      </c>
      <c r="T426" s="69"/>
      <c r="U426" s="49" t="s">
        <v>1249</v>
      </c>
      <c r="V426" s="43" t="s">
        <v>1250</v>
      </c>
      <c r="W426" s="71">
        <v>331103014</v>
      </c>
      <c r="X426" s="43" t="s">
        <v>1251</v>
      </c>
      <c r="Y426" s="43" t="s">
        <v>43</v>
      </c>
      <c r="Z426" s="71" t="s">
        <v>43</v>
      </c>
      <c r="AA426" s="71" t="s">
        <v>40</v>
      </c>
      <c r="AB426" s="48" t="s">
        <v>43</v>
      </c>
      <c r="AC426" s="75">
        <v>3840</v>
      </c>
      <c r="AD426" s="75">
        <v>3460</v>
      </c>
      <c r="AE426" s="80">
        <v>3380</v>
      </c>
      <c r="AF426" s="80">
        <v>3040</v>
      </c>
      <c r="AG426" s="80">
        <v>2580</v>
      </c>
    </row>
    <row r="427" ht="15" customHeight="1" spans="1:33">
      <c r="A427" s="43"/>
      <c r="B427" s="43"/>
      <c r="C427" s="43"/>
      <c r="D427" s="43"/>
      <c r="E427" s="48"/>
      <c r="F427" s="48"/>
      <c r="G427" s="43"/>
      <c r="H427" s="48"/>
      <c r="I427" s="76"/>
      <c r="J427" s="76"/>
      <c r="K427" s="54"/>
      <c r="L427" s="54"/>
      <c r="M427" s="54"/>
      <c r="N427" s="63"/>
      <c r="O427" s="63"/>
      <c r="P427" s="63"/>
      <c r="Q427" s="45"/>
      <c r="R427" s="45"/>
      <c r="S427" s="45"/>
      <c r="T427" s="69"/>
      <c r="U427" s="49"/>
      <c r="V427" s="45" t="s">
        <v>1252</v>
      </c>
      <c r="W427" s="45">
        <v>33110301401</v>
      </c>
      <c r="X427" s="45" t="s">
        <v>1253</v>
      </c>
      <c r="Y427" s="43" t="s">
        <v>43</v>
      </c>
      <c r="Z427" s="71" t="s">
        <v>43</v>
      </c>
      <c r="AA427" s="71" t="s">
        <v>40</v>
      </c>
      <c r="AB427" s="48" t="s">
        <v>43</v>
      </c>
      <c r="AC427" s="75">
        <v>4990</v>
      </c>
      <c r="AD427" s="75">
        <v>4500</v>
      </c>
      <c r="AE427" s="80">
        <v>4395</v>
      </c>
      <c r="AF427" s="80">
        <v>3950</v>
      </c>
      <c r="AG427" s="80">
        <v>3360</v>
      </c>
    </row>
    <row r="428" ht="15" customHeight="1" spans="1:33">
      <c r="A428" s="43"/>
      <c r="B428" s="43"/>
      <c r="C428" s="43"/>
      <c r="D428" s="43"/>
      <c r="E428" s="48"/>
      <c r="F428" s="48"/>
      <c r="G428" s="43"/>
      <c r="H428" s="48"/>
      <c r="I428" s="76"/>
      <c r="J428" s="76"/>
      <c r="K428" s="54"/>
      <c r="L428" s="54"/>
      <c r="M428" s="54"/>
      <c r="N428" s="63"/>
      <c r="O428" s="63"/>
      <c r="P428" s="63"/>
      <c r="Q428" s="45"/>
      <c r="R428" s="45"/>
      <c r="S428" s="45"/>
      <c r="T428" s="69"/>
      <c r="U428" s="49"/>
      <c r="V428" s="45" t="s">
        <v>1254</v>
      </c>
      <c r="W428" s="45">
        <v>33110301402</v>
      </c>
      <c r="X428" s="45" t="s">
        <v>1255</v>
      </c>
      <c r="Y428" s="43" t="s">
        <v>43</v>
      </c>
      <c r="Z428" s="71" t="s">
        <v>43</v>
      </c>
      <c r="AA428" s="71" t="s">
        <v>40</v>
      </c>
      <c r="AB428" s="48" t="s">
        <v>43</v>
      </c>
      <c r="AC428" s="75">
        <v>4640</v>
      </c>
      <c r="AD428" s="75">
        <v>4180</v>
      </c>
      <c r="AE428" s="80">
        <v>4005</v>
      </c>
      <c r="AF428" s="80">
        <v>3640</v>
      </c>
      <c r="AG428" s="80">
        <v>3090</v>
      </c>
    </row>
    <row r="429" ht="15" customHeight="1" spans="1:33">
      <c r="A429" s="43"/>
      <c r="B429" s="43"/>
      <c r="C429" s="43"/>
      <c r="D429" s="43"/>
      <c r="E429" s="48"/>
      <c r="F429" s="48"/>
      <c r="G429" s="43"/>
      <c r="H429" s="48"/>
      <c r="I429" s="76"/>
      <c r="J429" s="76"/>
      <c r="K429" s="54"/>
      <c r="L429" s="54"/>
      <c r="M429" s="54"/>
      <c r="N429" s="63"/>
      <c r="O429" s="63"/>
      <c r="P429" s="63"/>
      <c r="Q429" s="45"/>
      <c r="R429" s="45"/>
      <c r="S429" s="45"/>
      <c r="T429" s="69"/>
      <c r="U429" s="49"/>
      <c r="V429" s="45" t="s">
        <v>1256</v>
      </c>
      <c r="W429" s="45">
        <v>33110301403</v>
      </c>
      <c r="X429" s="45" t="s">
        <v>1257</v>
      </c>
      <c r="Y429" s="43" t="s">
        <v>43</v>
      </c>
      <c r="Z429" s="71" t="s">
        <v>43</v>
      </c>
      <c r="AA429" s="71" t="s">
        <v>40</v>
      </c>
      <c r="AB429" s="48" t="s">
        <v>43</v>
      </c>
      <c r="AC429" s="75">
        <v>5790</v>
      </c>
      <c r="AD429" s="75">
        <v>5220</v>
      </c>
      <c r="AE429" s="80">
        <v>5020</v>
      </c>
      <c r="AF429" s="80">
        <v>4550</v>
      </c>
      <c r="AG429" s="80">
        <v>3870</v>
      </c>
    </row>
    <row r="430" ht="15" customHeight="1" spans="1:33">
      <c r="A430" s="43"/>
      <c r="B430" s="43"/>
      <c r="C430" s="43"/>
      <c r="D430" s="43"/>
      <c r="E430" s="48"/>
      <c r="F430" s="48"/>
      <c r="G430" s="43"/>
      <c r="H430" s="48"/>
      <c r="I430" s="76"/>
      <c r="J430" s="76"/>
      <c r="K430" s="54"/>
      <c r="L430" s="54"/>
      <c r="M430" s="54"/>
      <c r="N430" s="63"/>
      <c r="O430" s="63"/>
      <c r="P430" s="63"/>
      <c r="Q430" s="45"/>
      <c r="R430" s="45"/>
      <c r="S430" s="45"/>
      <c r="T430" s="69"/>
      <c r="U430" s="49"/>
      <c r="V430" s="43" t="s">
        <v>1258</v>
      </c>
      <c r="W430" s="71">
        <v>331103010</v>
      </c>
      <c r="X430" s="43" t="s">
        <v>1259</v>
      </c>
      <c r="Y430" s="43" t="s">
        <v>1234</v>
      </c>
      <c r="Z430" s="71" t="s">
        <v>43</v>
      </c>
      <c r="AA430" s="71" t="s">
        <v>40</v>
      </c>
      <c r="AB430" s="48" t="s">
        <v>43</v>
      </c>
      <c r="AC430" s="75">
        <v>4800</v>
      </c>
      <c r="AD430" s="75">
        <v>4320</v>
      </c>
      <c r="AE430" s="80">
        <v>4130</v>
      </c>
      <c r="AF430" s="80">
        <v>3720</v>
      </c>
      <c r="AG430" s="80">
        <v>3160</v>
      </c>
    </row>
    <row r="431" ht="15" customHeight="1" spans="1:33">
      <c r="A431" s="43"/>
      <c r="B431" s="43"/>
      <c r="C431" s="43"/>
      <c r="D431" s="43"/>
      <c r="E431" s="48"/>
      <c r="F431" s="48"/>
      <c r="G431" s="43"/>
      <c r="H431" s="48"/>
      <c r="I431" s="76"/>
      <c r="J431" s="76"/>
      <c r="K431" s="54"/>
      <c r="L431" s="54"/>
      <c r="M431" s="54"/>
      <c r="N431" s="63"/>
      <c r="O431" s="63"/>
      <c r="P431" s="63"/>
      <c r="Q431" s="45"/>
      <c r="R431" s="45"/>
      <c r="S431" s="45"/>
      <c r="T431" s="69"/>
      <c r="U431" s="49"/>
      <c r="V431" s="45" t="s">
        <v>1260</v>
      </c>
      <c r="W431" s="45">
        <v>33110301001</v>
      </c>
      <c r="X431" s="45" t="s">
        <v>1261</v>
      </c>
      <c r="Y431" s="43" t="s">
        <v>43</v>
      </c>
      <c r="Z431" s="71" t="s">
        <v>43</v>
      </c>
      <c r="AA431" s="71" t="s">
        <v>40</v>
      </c>
      <c r="AB431" s="48" t="s">
        <v>43</v>
      </c>
      <c r="AC431" s="75">
        <v>6240</v>
      </c>
      <c r="AD431" s="75">
        <v>5615</v>
      </c>
      <c r="AE431" s="80">
        <v>5370</v>
      </c>
      <c r="AF431" s="80">
        <v>4835</v>
      </c>
      <c r="AG431" s="80">
        <v>4110</v>
      </c>
    </row>
    <row r="432" ht="15" customHeight="1" spans="1:33">
      <c r="A432" s="43"/>
      <c r="B432" s="43"/>
      <c r="C432" s="43"/>
      <c r="D432" s="43"/>
      <c r="E432" s="48"/>
      <c r="F432" s="48"/>
      <c r="G432" s="43"/>
      <c r="H432" s="48"/>
      <c r="I432" s="76"/>
      <c r="J432" s="76"/>
      <c r="K432" s="54"/>
      <c r="L432" s="54"/>
      <c r="M432" s="54"/>
      <c r="N432" s="63"/>
      <c r="O432" s="63"/>
      <c r="P432" s="63"/>
      <c r="Q432" s="45"/>
      <c r="R432" s="45"/>
      <c r="S432" s="45"/>
      <c r="T432" s="69"/>
      <c r="U432" s="49"/>
      <c r="V432" s="45" t="s">
        <v>1262</v>
      </c>
      <c r="W432" s="45">
        <v>33110301002</v>
      </c>
      <c r="X432" s="45" t="s">
        <v>1263</v>
      </c>
      <c r="Y432" s="43" t="s">
        <v>43</v>
      </c>
      <c r="Z432" s="71" t="s">
        <v>43</v>
      </c>
      <c r="AA432" s="71" t="s">
        <v>40</v>
      </c>
      <c r="AB432" s="48" t="s">
        <v>43</v>
      </c>
      <c r="AC432" s="75">
        <v>5600</v>
      </c>
      <c r="AD432" s="75">
        <v>5040</v>
      </c>
      <c r="AE432" s="80">
        <v>4755</v>
      </c>
      <c r="AF432" s="80">
        <v>4320</v>
      </c>
      <c r="AG432" s="80">
        <v>3670</v>
      </c>
    </row>
    <row r="433" ht="15" customHeight="1" spans="1:33">
      <c r="A433" s="43"/>
      <c r="B433" s="43"/>
      <c r="C433" s="43"/>
      <c r="D433" s="43"/>
      <c r="E433" s="48"/>
      <c r="F433" s="48"/>
      <c r="G433" s="43"/>
      <c r="H433" s="48"/>
      <c r="I433" s="76"/>
      <c r="J433" s="76"/>
      <c r="K433" s="54"/>
      <c r="L433" s="54"/>
      <c r="M433" s="54"/>
      <c r="N433" s="63"/>
      <c r="O433" s="63"/>
      <c r="P433" s="63"/>
      <c r="Q433" s="45"/>
      <c r="R433" s="45"/>
      <c r="S433" s="45"/>
      <c r="T433" s="69"/>
      <c r="U433" s="49"/>
      <c r="V433" s="45" t="s">
        <v>1264</v>
      </c>
      <c r="W433" s="45">
        <v>33110301003</v>
      </c>
      <c r="X433" s="45" t="s">
        <v>1265</v>
      </c>
      <c r="Y433" s="43" t="s">
        <v>43</v>
      </c>
      <c r="Z433" s="71" t="s">
        <v>43</v>
      </c>
      <c r="AA433" s="71" t="s">
        <v>40</v>
      </c>
      <c r="AB433" s="48" t="s">
        <v>43</v>
      </c>
      <c r="AC433" s="75">
        <v>7040</v>
      </c>
      <c r="AD433" s="75">
        <v>6335</v>
      </c>
      <c r="AE433" s="80">
        <v>5995</v>
      </c>
      <c r="AF433" s="80">
        <v>5435</v>
      </c>
      <c r="AG433" s="80">
        <v>4620</v>
      </c>
    </row>
    <row r="434" ht="15" customHeight="1" spans="1:33">
      <c r="A434" s="43" t="s">
        <v>81</v>
      </c>
      <c r="B434" s="43" t="s">
        <v>1266</v>
      </c>
      <c r="C434" s="43" t="s">
        <v>1267</v>
      </c>
      <c r="D434" s="43" t="s">
        <v>213</v>
      </c>
      <c r="E434" s="48" t="s">
        <v>43</v>
      </c>
      <c r="F434" s="48" t="s">
        <v>43</v>
      </c>
      <c r="G434" s="43" t="s">
        <v>40</v>
      </c>
      <c r="H434" s="48" t="s">
        <v>1268</v>
      </c>
      <c r="I434" s="53">
        <v>801</v>
      </c>
      <c r="J434" s="53">
        <v>721</v>
      </c>
      <c r="K434" s="54">
        <v>850</v>
      </c>
      <c r="L434" s="54">
        <v>770</v>
      </c>
      <c r="M434" s="54">
        <v>660</v>
      </c>
      <c r="N434" s="63">
        <v>740</v>
      </c>
      <c r="O434" s="63">
        <v>670</v>
      </c>
      <c r="P434" s="63">
        <v>570</v>
      </c>
      <c r="Q434" s="45" t="s">
        <v>54</v>
      </c>
      <c r="R434" s="45" t="s">
        <v>43</v>
      </c>
      <c r="S434" s="45" t="s">
        <v>43</v>
      </c>
      <c r="T434" s="69"/>
      <c r="U434" s="49" t="s">
        <v>1269</v>
      </c>
      <c r="V434" s="43" t="s">
        <v>1270</v>
      </c>
      <c r="W434" s="71">
        <v>331102013</v>
      </c>
      <c r="X434" s="43" t="s">
        <v>1271</v>
      </c>
      <c r="Y434" s="43" t="s">
        <v>43</v>
      </c>
      <c r="Z434" s="71" t="s">
        <v>43</v>
      </c>
      <c r="AA434" s="71" t="s">
        <v>40</v>
      </c>
      <c r="AB434" s="48" t="s">
        <v>1272</v>
      </c>
      <c r="AC434" s="75">
        <v>2500</v>
      </c>
      <c r="AD434" s="75">
        <v>2240</v>
      </c>
      <c r="AE434" s="80">
        <v>2190</v>
      </c>
      <c r="AF434" s="80">
        <v>1970</v>
      </c>
      <c r="AG434" s="80">
        <v>1670</v>
      </c>
    </row>
    <row r="435" ht="15" customHeight="1" spans="1:33">
      <c r="A435" s="43"/>
      <c r="B435" s="43"/>
      <c r="C435" s="43"/>
      <c r="D435" s="43"/>
      <c r="E435" s="48"/>
      <c r="F435" s="48"/>
      <c r="G435" s="43"/>
      <c r="H435" s="48"/>
      <c r="I435" s="76"/>
      <c r="J435" s="76"/>
      <c r="K435" s="54"/>
      <c r="L435" s="54"/>
      <c r="M435" s="54"/>
      <c r="N435" s="63"/>
      <c r="O435" s="63"/>
      <c r="P435" s="63"/>
      <c r="Q435" s="45"/>
      <c r="R435" s="45"/>
      <c r="S435" s="45"/>
      <c r="T435" s="69"/>
      <c r="U435" s="49"/>
      <c r="V435" s="45" t="s">
        <v>1273</v>
      </c>
      <c r="W435" s="45">
        <v>33110201301</v>
      </c>
      <c r="X435" s="45" t="s">
        <v>1274</v>
      </c>
      <c r="Y435" s="43" t="s">
        <v>43</v>
      </c>
      <c r="Z435" s="71" t="s">
        <v>43</v>
      </c>
      <c r="AA435" s="71" t="s">
        <v>40</v>
      </c>
      <c r="AB435" s="48" t="s">
        <v>43</v>
      </c>
      <c r="AC435" s="75">
        <v>3250</v>
      </c>
      <c r="AD435" s="75">
        <v>2910</v>
      </c>
      <c r="AE435" s="80">
        <v>2845</v>
      </c>
      <c r="AF435" s="80">
        <v>2560</v>
      </c>
      <c r="AG435" s="80">
        <v>2175</v>
      </c>
    </row>
    <row r="436" ht="15" customHeight="1" spans="1:33">
      <c r="A436" s="43"/>
      <c r="B436" s="43"/>
      <c r="C436" s="43"/>
      <c r="D436" s="43"/>
      <c r="E436" s="48"/>
      <c r="F436" s="48"/>
      <c r="G436" s="43"/>
      <c r="H436" s="48"/>
      <c r="I436" s="76"/>
      <c r="J436" s="76"/>
      <c r="K436" s="54"/>
      <c r="L436" s="54"/>
      <c r="M436" s="54"/>
      <c r="N436" s="63"/>
      <c r="O436" s="63"/>
      <c r="P436" s="63"/>
      <c r="Q436" s="45"/>
      <c r="R436" s="45"/>
      <c r="S436" s="45"/>
      <c r="T436" s="69"/>
      <c r="U436" s="49"/>
      <c r="V436" s="45" t="s">
        <v>1275</v>
      </c>
      <c r="W436" s="45">
        <v>33110201302</v>
      </c>
      <c r="X436" s="45" t="s">
        <v>1276</v>
      </c>
      <c r="Y436" s="43" t="s">
        <v>43</v>
      </c>
      <c r="Z436" s="71" t="s">
        <v>43</v>
      </c>
      <c r="AA436" s="71" t="s">
        <v>40</v>
      </c>
      <c r="AB436" s="48" t="s">
        <v>43</v>
      </c>
      <c r="AC436" s="75">
        <v>3300</v>
      </c>
      <c r="AD436" s="75">
        <v>2960</v>
      </c>
      <c r="AE436" s="80">
        <v>2815</v>
      </c>
      <c r="AF436" s="80">
        <v>2570</v>
      </c>
      <c r="AG436" s="80">
        <v>2180</v>
      </c>
    </row>
    <row r="437" ht="15" customHeight="1" spans="1:33">
      <c r="A437" s="43"/>
      <c r="B437" s="43"/>
      <c r="C437" s="43"/>
      <c r="D437" s="43"/>
      <c r="E437" s="48"/>
      <c r="F437" s="48"/>
      <c r="G437" s="43"/>
      <c r="H437" s="48"/>
      <c r="I437" s="76"/>
      <c r="J437" s="76"/>
      <c r="K437" s="54"/>
      <c r="L437" s="54"/>
      <c r="M437" s="54"/>
      <c r="N437" s="63"/>
      <c r="O437" s="63"/>
      <c r="P437" s="63"/>
      <c r="Q437" s="45"/>
      <c r="R437" s="45"/>
      <c r="S437" s="45"/>
      <c r="T437" s="69"/>
      <c r="U437" s="49"/>
      <c r="V437" s="45" t="s">
        <v>1277</v>
      </c>
      <c r="W437" s="45">
        <v>33110201303</v>
      </c>
      <c r="X437" s="45" t="s">
        <v>1278</v>
      </c>
      <c r="Y437" s="43" t="s">
        <v>43</v>
      </c>
      <c r="Z437" s="71" t="s">
        <v>43</v>
      </c>
      <c r="AA437" s="71" t="s">
        <v>40</v>
      </c>
      <c r="AB437" s="48" t="s">
        <v>43</v>
      </c>
      <c r="AC437" s="75">
        <v>4050</v>
      </c>
      <c r="AD437" s="75">
        <v>3630</v>
      </c>
      <c r="AE437" s="80">
        <v>3470</v>
      </c>
      <c r="AF437" s="80">
        <v>3160</v>
      </c>
      <c r="AG437" s="80">
        <v>2685</v>
      </c>
    </row>
    <row r="438" ht="15" customHeight="1" spans="1:33">
      <c r="A438" s="43" t="s">
        <v>81</v>
      </c>
      <c r="B438" s="112" t="s">
        <v>1279</v>
      </c>
      <c r="C438" s="43" t="s">
        <v>1280</v>
      </c>
      <c r="D438" s="43" t="s">
        <v>213</v>
      </c>
      <c r="E438" s="48" t="s">
        <v>43</v>
      </c>
      <c r="F438" s="48" t="s">
        <v>43</v>
      </c>
      <c r="G438" s="43" t="s">
        <v>40</v>
      </c>
      <c r="H438" s="48" t="s">
        <v>43</v>
      </c>
      <c r="I438" s="53">
        <v>990</v>
      </c>
      <c r="J438" s="53">
        <v>891</v>
      </c>
      <c r="K438" s="54"/>
      <c r="L438" s="54"/>
      <c r="M438" s="54"/>
      <c r="N438" s="63">
        <v>910</v>
      </c>
      <c r="O438" s="63">
        <v>820</v>
      </c>
      <c r="P438" s="63">
        <v>700</v>
      </c>
      <c r="Q438" s="45" t="s">
        <v>54</v>
      </c>
      <c r="R438" s="45" t="s">
        <v>43</v>
      </c>
      <c r="S438" s="45" t="s">
        <v>43</v>
      </c>
      <c r="T438" s="69"/>
      <c r="U438" s="49" t="s">
        <v>446</v>
      </c>
      <c r="V438" s="45" t="s">
        <v>1281</v>
      </c>
      <c r="W438" s="45">
        <v>33110301301</v>
      </c>
      <c r="X438" s="45" t="s">
        <v>1282</v>
      </c>
      <c r="Y438" s="43" t="s">
        <v>43</v>
      </c>
      <c r="Z438" s="71" t="s">
        <v>43</v>
      </c>
      <c r="AA438" s="71" t="s">
        <v>40</v>
      </c>
      <c r="AB438" s="48" t="s">
        <v>43</v>
      </c>
      <c r="AC438" s="74" t="s">
        <v>43</v>
      </c>
      <c r="AD438" s="74" t="s">
        <v>43</v>
      </c>
      <c r="AE438" s="78" t="s">
        <v>43</v>
      </c>
      <c r="AF438" s="78" t="s">
        <v>43</v>
      </c>
      <c r="AG438" s="78" t="s">
        <v>43</v>
      </c>
    </row>
    <row r="439" ht="15" customHeight="1" spans="1:33">
      <c r="A439" s="43"/>
      <c r="B439" s="43"/>
      <c r="C439" s="43"/>
      <c r="D439" s="43"/>
      <c r="E439" s="48"/>
      <c r="F439" s="48"/>
      <c r="G439" s="43"/>
      <c r="H439" s="48"/>
      <c r="I439" s="76"/>
      <c r="J439" s="76"/>
      <c r="K439" s="54"/>
      <c r="L439" s="54"/>
      <c r="M439" s="54"/>
      <c r="N439" s="63"/>
      <c r="O439" s="63"/>
      <c r="P439" s="63"/>
      <c r="Q439" s="45"/>
      <c r="R439" s="45"/>
      <c r="S439" s="45"/>
      <c r="T439" s="69"/>
      <c r="U439" s="49"/>
      <c r="V439" s="45" t="s">
        <v>1283</v>
      </c>
      <c r="W439" s="45">
        <v>33110301303</v>
      </c>
      <c r="X439" s="45" t="s">
        <v>1284</v>
      </c>
      <c r="Y439" s="43" t="s">
        <v>43</v>
      </c>
      <c r="Z439" s="71" t="s">
        <v>43</v>
      </c>
      <c r="AA439" s="71" t="s">
        <v>40</v>
      </c>
      <c r="AB439" s="48" t="s">
        <v>43</v>
      </c>
      <c r="AC439" s="74" t="s">
        <v>43</v>
      </c>
      <c r="AD439" s="74" t="s">
        <v>43</v>
      </c>
      <c r="AE439" s="78" t="s">
        <v>43</v>
      </c>
      <c r="AF439" s="78" t="s">
        <v>43</v>
      </c>
      <c r="AG439" s="78" t="s">
        <v>43</v>
      </c>
    </row>
    <row r="440" ht="15" customHeight="1" spans="1:33">
      <c r="A440" s="43"/>
      <c r="B440" s="43"/>
      <c r="C440" s="43"/>
      <c r="D440" s="43"/>
      <c r="E440" s="48"/>
      <c r="F440" s="48"/>
      <c r="G440" s="43"/>
      <c r="H440" s="48"/>
      <c r="I440" s="76"/>
      <c r="J440" s="76"/>
      <c r="K440" s="54"/>
      <c r="L440" s="54"/>
      <c r="M440" s="54"/>
      <c r="N440" s="63"/>
      <c r="O440" s="63"/>
      <c r="P440" s="63"/>
      <c r="Q440" s="45"/>
      <c r="R440" s="45"/>
      <c r="S440" s="45"/>
      <c r="T440" s="69"/>
      <c r="U440" s="49"/>
      <c r="V440" s="45" t="s">
        <v>1285</v>
      </c>
      <c r="W440" s="45">
        <v>33110300801</v>
      </c>
      <c r="X440" s="45" t="s">
        <v>1286</v>
      </c>
      <c r="Y440" s="43" t="s">
        <v>43</v>
      </c>
      <c r="Z440" s="71" t="s">
        <v>43</v>
      </c>
      <c r="AA440" s="71" t="s">
        <v>40</v>
      </c>
      <c r="AB440" s="48" t="s">
        <v>43</v>
      </c>
      <c r="AC440" s="75">
        <v>7800</v>
      </c>
      <c r="AD440" s="75">
        <v>7020</v>
      </c>
      <c r="AE440" s="80">
        <v>6710</v>
      </c>
      <c r="AF440" s="80">
        <v>6030</v>
      </c>
      <c r="AG440" s="80">
        <v>5125</v>
      </c>
    </row>
    <row r="441" ht="15" customHeight="1" spans="1:33">
      <c r="A441" s="43"/>
      <c r="B441" s="43"/>
      <c r="C441" s="43"/>
      <c r="D441" s="43"/>
      <c r="E441" s="48"/>
      <c r="F441" s="48"/>
      <c r="G441" s="43"/>
      <c r="H441" s="48"/>
      <c r="I441" s="76"/>
      <c r="J441" s="76"/>
      <c r="K441" s="54"/>
      <c r="L441" s="54"/>
      <c r="M441" s="54"/>
      <c r="N441" s="63"/>
      <c r="O441" s="63"/>
      <c r="P441" s="63"/>
      <c r="Q441" s="45"/>
      <c r="R441" s="45"/>
      <c r="S441" s="45"/>
      <c r="T441" s="69"/>
      <c r="U441" s="49"/>
      <c r="V441" s="45" t="s">
        <v>1287</v>
      </c>
      <c r="W441" s="45">
        <v>33110300803</v>
      </c>
      <c r="X441" s="45" t="s">
        <v>1288</v>
      </c>
      <c r="Y441" s="43" t="s">
        <v>43</v>
      </c>
      <c r="Z441" s="71" t="s">
        <v>43</v>
      </c>
      <c r="AA441" s="71" t="s">
        <v>40</v>
      </c>
      <c r="AB441" s="48" t="s">
        <v>43</v>
      </c>
      <c r="AC441" s="75">
        <v>8600</v>
      </c>
      <c r="AD441" s="75">
        <v>7740</v>
      </c>
      <c r="AE441" s="80">
        <v>7335</v>
      </c>
      <c r="AF441" s="80">
        <v>6630</v>
      </c>
      <c r="AG441" s="80">
        <v>5635</v>
      </c>
    </row>
    <row r="442" ht="15" customHeight="1" spans="1:33">
      <c r="A442" s="43"/>
      <c r="B442" s="43"/>
      <c r="C442" s="43"/>
      <c r="D442" s="43"/>
      <c r="E442" s="48"/>
      <c r="F442" s="48"/>
      <c r="G442" s="43"/>
      <c r="H442" s="48"/>
      <c r="I442" s="76"/>
      <c r="J442" s="76"/>
      <c r="K442" s="54"/>
      <c r="L442" s="54"/>
      <c r="M442" s="54"/>
      <c r="N442" s="63"/>
      <c r="O442" s="63"/>
      <c r="P442" s="63"/>
      <c r="Q442" s="45"/>
      <c r="R442" s="45"/>
      <c r="S442" s="45"/>
      <c r="T442" s="69"/>
      <c r="U442" s="49"/>
      <c r="V442" s="45" t="s">
        <v>1289</v>
      </c>
      <c r="W442" s="45">
        <v>33110300901</v>
      </c>
      <c r="X442" s="45" t="s">
        <v>1290</v>
      </c>
      <c r="Y442" s="43" t="s">
        <v>43</v>
      </c>
      <c r="Z442" s="71" t="s">
        <v>43</v>
      </c>
      <c r="AA442" s="71" t="s">
        <v>40</v>
      </c>
      <c r="AB442" s="48" t="s">
        <v>43</v>
      </c>
      <c r="AC442" s="75">
        <v>4500</v>
      </c>
      <c r="AD442" s="75">
        <v>4045</v>
      </c>
      <c r="AE442" s="80">
        <v>3950</v>
      </c>
      <c r="AF442" s="80">
        <v>3560</v>
      </c>
      <c r="AG442" s="80">
        <v>3025</v>
      </c>
    </row>
    <row r="443" ht="15" customHeight="1" spans="1:33">
      <c r="A443" s="43"/>
      <c r="B443" s="43"/>
      <c r="C443" s="43"/>
      <c r="D443" s="43"/>
      <c r="E443" s="48"/>
      <c r="F443" s="48"/>
      <c r="G443" s="43"/>
      <c r="H443" s="48"/>
      <c r="I443" s="76"/>
      <c r="J443" s="76"/>
      <c r="K443" s="54"/>
      <c r="L443" s="54"/>
      <c r="M443" s="54"/>
      <c r="N443" s="63"/>
      <c r="O443" s="63"/>
      <c r="P443" s="63"/>
      <c r="Q443" s="45"/>
      <c r="R443" s="45"/>
      <c r="S443" s="45"/>
      <c r="T443" s="69"/>
      <c r="U443" s="49"/>
      <c r="V443" s="45" t="s">
        <v>1291</v>
      </c>
      <c r="W443" s="45">
        <v>33110300903</v>
      </c>
      <c r="X443" s="45" t="s">
        <v>1292</v>
      </c>
      <c r="Y443" s="43" t="s">
        <v>43</v>
      </c>
      <c r="Z443" s="71" t="s">
        <v>43</v>
      </c>
      <c r="AA443" s="71" t="s">
        <v>40</v>
      </c>
      <c r="AB443" s="48" t="s">
        <v>43</v>
      </c>
      <c r="AC443" s="75">
        <v>5300</v>
      </c>
      <c r="AD443" s="75">
        <v>4765</v>
      </c>
      <c r="AE443" s="80">
        <v>4575</v>
      </c>
      <c r="AF443" s="80">
        <v>4160</v>
      </c>
      <c r="AG443" s="80">
        <v>3535</v>
      </c>
    </row>
    <row r="444" ht="15" customHeight="1" spans="1:33">
      <c r="A444" s="43"/>
      <c r="B444" s="43"/>
      <c r="C444" s="43"/>
      <c r="D444" s="43"/>
      <c r="E444" s="48"/>
      <c r="F444" s="48"/>
      <c r="G444" s="43"/>
      <c r="H444" s="48"/>
      <c r="I444" s="76"/>
      <c r="J444" s="76"/>
      <c r="K444" s="54"/>
      <c r="L444" s="54"/>
      <c r="M444" s="54"/>
      <c r="N444" s="63"/>
      <c r="O444" s="63"/>
      <c r="P444" s="63"/>
      <c r="Q444" s="45"/>
      <c r="R444" s="45"/>
      <c r="S444" s="45"/>
      <c r="T444" s="69"/>
      <c r="U444" s="49"/>
      <c r="V444" s="45" t="s">
        <v>1293</v>
      </c>
      <c r="W444" s="45">
        <v>33110301201</v>
      </c>
      <c r="X444" s="45" t="s">
        <v>1294</v>
      </c>
      <c r="Y444" s="43" t="s">
        <v>43</v>
      </c>
      <c r="Z444" s="71" t="s">
        <v>43</v>
      </c>
      <c r="AA444" s="71" t="s">
        <v>40</v>
      </c>
      <c r="AB444" s="48" t="s">
        <v>43</v>
      </c>
      <c r="AC444" s="75">
        <v>3990</v>
      </c>
      <c r="AD444" s="75">
        <v>3590</v>
      </c>
      <c r="AE444" s="80">
        <v>3510</v>
      </c>
      <c r="AF444" s="80">
        <v>3160</v>
      </c>
      <c r="AG444" s="80">
        <v>2685</v>
      </c>
    </row>
    <row r="445" ht="15" customHeight="1" spans="1:33">
      <c r="A445" s="43"/>
      <c r="B445" s="43"/>
      <c r="C445" s="43"/>
      <c r="D445" s="43"/>
      <c r="E445" s="48"/>
      <c r="F445" s="48"/>
      <c r="G445" s="43"/>
      <c r="H445" s="48"/>
      <c r="I445" s="76"/>
      <c r="J445" s="76"/>
      <c r="K445" s="54"/>
      <c r="L445" s="54"/>
      <c r="M445" s="54"/>
      <c r="N445" s="63"/>
      <c r="O445" s="63"/>
      <c r="P445" s="63"/>
      <c r="Q445" s="45"/>
      <c r="R445" s="45"/>
      <c r="S445" s="45"/>
      <c r="T445" s="69"/>
      <c r="U445" s="49"/>
      <c r="V445" s="45" t="s">
        <v>1295</v>
      </c>
      <c r="W445" s="45">
        <v>33110301203</v>
      </c>
      <c r="X445" s="45" t="s">
        <v>1296</v>
      </c>
      <c r="Y445" s="43" t="s">
        <v>43</v>
      </c>
      <c r="Z445" s="71" t="s">
        <v>43</v>
      </c>
      <c r="AA445" s="71" t="s">
        <v>40</v>
      </c>
      <c r="AB445" s="48" t="s">
        <v>43</v>
      </c>
      <c r="AC445" s="75">
        <v>4790</v>
      </c>
      <c r="AD445" s="75">
        <v>4310</v>
      </c>
      <c r="AE445" s="80">
        <v>4135</v>
      </c>
      <c r="AF445" s="80">
        <v>3760</v>
      </c>
      <c r="AG445" s="80">
        <v>3195</v>
      </c>
    </row>
    <row r="446" ht="15" customHeight="1" spans="1:33">
      <c r="A446" s="43"/>
      <c r="B446" s="43"/>
      <c r="C446" s="43"/>
      <c r="D446" s="43"/>
      <c r="E446" s="48"/>
      <c r="F446" s="48"/>
      <c r="G446" s="43"/>
      <c r="H446" s="48"/>
      <c r="I446" s="76"/>
      <c r="J446" s="76"/>
      <c r="K446" s="54"/>
      <c r="L446" s="54"/>
      <c r="M446" s="54"/>
      <c r="N446" s="63"/>
      <c r="O446" s="63"/>
      <c r="P446" s="63"/>
      <c r="Q446" s="45"/>
      <c r="R446" s="45"/>
      <c r="S446" s="45"/>
      <c r="T446" s="69"/>
      <c r="U446" s="49"/>
      <c r="V446" s="45" t="s">
        <v>1297</v>
      </c>
      <c r="W446" s="45">
        <v>33110301101</v>
      </c>
      <c r="X446" s="45" t="s">
        <v>1298</v>
      </c>
      <c r="Y446" s="43" t="s">
        <v>43</v>
      </c>
      <c r="Z446" s="71" t="s">
        <v>43</v>
      </c>
      <c r="AA446" s="71" t="s">
        <v>40</v>
      </c>
      <c r="AB446" s="48" t="s">
        <v>43</v>
      </c>
      <c r="AC446" s="75">
        <v>4500</v>
      </c>
      <c r="AD446" s="75">
        <v>4045</v>
      </c>
      <c r="AE446" s="80">
        <v>3950</v>
      </c>
      <c r="AF446" s="80">
        <v>3560</v>
      </c>
      <c r="AG446" s="80">
        <v>3025</v>
      </c>
    </row>
    <row r="447" ht="15" customHeight="1" spans="1:33">
      <c r="A447" s="43"/>
      <c r="B447" s="43"/>
      <c r="C447" s="43"/>
      <c r="D447" s="43"/>
      <c r="E447" s="48"/>
      <c r="F447" s="48"/>
      <c r="G447" s="43"/>
      <c r="H447" s="48"/>
      <c r="I447" s="76"/>
      <c r="J447" s="76"/>
      <c r="K447" s="54"/>
      <c r="L447" s="54"/>
      <c r="M447" s="54"/>
      <c r="N447" s="63"/>
      <c r="O447" s="63"/>
      <c r="P447" s="63"/>
      <c r="Q447" s="45"/>
      <c r="R447" s="45"/>
      <c r="S447" s="45"/>
      <c r="T447" s="69"/>
      <c r="U447" s="49"/>
      <c r="V447" s="45" t="s">
        <v>1299</v>
      </c>
      <c r="W447" s="45">
        <v>33110301103</v>
      </c>
      <c r="X447" s="45" t="s">
        <v>1300</v>
      </c>
      <c r="Y447" s="43" t="s">
        <v>43</v>
      </c>
      <c r="Z447" s="71" t="s">
        <v>43</v>
      </c>
      <c r="AA447" s="71" t="s">
        <v>40</v>
      </c>
      <c r="AB447" s="48" t="s">
        <v>43</v>
      </c>
      <c r="AC447" s="75">
        <v>5300</v>
      </c>
      <c r="AD447" s="75">
        <v>4765</v>
      </c>
      <c r="AE447" s="80">
        <v>4575</v>
      </c>
      <c r="AF447" s="80">
        <v>4160</v>
      </c>
      <c r="AG447" s="80">
        <v>3535</v>
      </c>
    </row>
    <row r="448" ht="14" customHeight="1" spans="1:33">
      <c r="A448" s="45">
        <v>68</v>
      </c>
      <c r="B448" s="45" t="s">
        <v>1301</v>
      </c>
      <c r="C448" s="45" t="s">
        <v>1302</v>
      </c>
      <c r="D448" s="45" t="s">
        <v>213</v>
      </c>
      <c r="E448" s="49" t="s">
        <v>1303</v>
      </c>
      <c r="F448" s="49" t="s">
        <v>1304</v>
      </c>
      <c r="G448" s="45" t="s">
        <v>40</v>
      </c>
      <c r="H448" s="49"/>
      <c r="I448" s="53">
        <v>2820</v>
      </c>
      <c r="J448" s="53">
        <v>2538</v>
      </c>
      <c r="K448" s="84">
        <v>2444.17808219178</v>
      </c>
      <c r="L448" s="84">
        <v>2390.49689440994</v>
      </c>
      <c r="M448" s="84">
        <v>1290</v>
      </c>
      <c r="N448" s="63">
        <v>2550</v>
      </c>
      <c r="O448" s="63">
        <v>2390</v>
      </c>
      <c r="P448" s="63">
        <v>2000</v>
      </c>
      <c r="Q448" s="45" t="s">
        <v>54</v>
      </c>
      <c r="R448" s="45" t="s">
        <v>43</v>
      </c>
      <c r="S448" s="45" t="s">
        <v>43</v>
      </c>
      <c r="T448" s="69" t="s">
        <v>416</v>
      </c>
      <c r="U448" s="49" t="s">
        <v>1305</v>
      </c>
      <c r="V448" s="43" t="s">
        <v>1306</v>
      </c>
      <c r="W448" s="43">
        <v>331102003</v>
      </c>
      <c r="X448" s="43" t="s">
        <v>1307</v>
      </c>
      <c r="Y448" s="43" t="s">
        <v>1308</v>
      </c>
      <c r="Z448" s="71" t="s">
        <v>43</v>
      </c>
      <c r="AA448" s="71" t="s">
        <v>40</v>
      </c>
      <c r="AB448" s="48" t="s">
        <v>43</v>
      </c>
      <c r="AC448" s="75">
        <v>3070</v>
      </c>
      <c r="AD448" s="75">
        <v>2760</v>
      </c>
      <c r="AE448" s="80">
        <v>2700</v>
      </c>
      <c r="AF448" s="80">
        <v>2430</v>
      </c>
      <c r="AG448" s="80">
        <v>2070</v>
      </c>
    </row>
    <row r="449" ht="14" customHeight="1" spans="1:33">
      <c r="A449" s="45"/>
      <c r="B449" s="45"/>
      <c r="C449" s="45"/>
      <c r="D449" s="45"/>
      <c r="E449" s="49"/>
      <c r="F449" s="49"/>
      <c r="G449" s="45"/>
      <c r="H449" s="49"/>
      <c r="I449" s="53"/>
      <c r="J449" s="53"/>
      <c r="K449" s="84"/>
      <c r="L449" s="84"/>
      <c r="M449" s="84"/>
      <c r="N449" s="63"/>
      <c r="O449" s="63"/>
      <c r="P449" s="63"/>
      <c r="Q449" s="45"/>
      <c r="R449" s="45"/>
      <c r="S449" s="45"/>
      <c r="T449" s="69"/>
      <c r="U449" s="49"/>
      <c r="V449" s="43" t="s">
        <v>1309</v>
      </c>
      <c r="W449" s="71">
        <v>331102005</v>
      </c>
      <c r="X449" s="43" t="s">
        <v>1310</v>
      </c>
      <c r="Y449" s="43" t="s">
        <v>1311</v>
      </c>
      <c r="Z449" s="71" t="s">
        <v>43</v>
      </c>
      <c r="AA449" s="71" t="s">
        <v>40</v>
      </c>
      <c r="AB449" s="48" t="s">
        <v>1312</v>
      </c>
      <c r="AC449" s="75">
        <v>3070</v>
      </c>
      <c r="AD449" s="75">
        <v>2760</v>
      </c>
      <c r="AE449" s="80">
        <v>2700</v>
      </c>
      <c r="AF449" s="80">
        <v>2430</v>
      </c>
      <c r="AG449" s="80">
        <v>2070</v>
      </c>
    </row>
    <row r="450" ht="14" customHeight="1" spans="1:33">
      <c r="A450" s="45"/>
      <c r="B450" s="45"/>
      <c r="C450" s="45"/>
      <c r="D450" s="45"/>
      <c r="E450" s="49"/>
      <c r="F450" s="49"/>
      <c r="G450" s="45"/>
      <c r="H450" s="49"/>
      <c r="I450" s="53"/>
      <c r="J450" s="53"/>
      <c r="K450" s="84"/>
      <c r="L450" s="84"/>
      <c r="M450" s="84"/>
      <c r="N450" s="63"/>
      <c r="O450" s="63"/>
      <c r="P450" s="63"/>
      <c r="Q450" s="45"/>
      <c r="R450" s="45"/>
      <c r="S450" s="45"/>
      <c r="T450" s="69"/>
      <c r="U450" s="49"/>
      <c r="V450" s="43" t="s">
        <v>1313</v>
      </c>
      <c r="W450" s="43">
        <v>33110200501</v>
      </c>
      <c r="X450" s="43" t="s">
        <v>1314</v>
      </c>
      <c r="Y450" s="43" t="s">
        <v>43</v>
      </c>
      <c r="Z450" s="71" t="s">
        <v>43</v>
      </c>
      <c r="AA450" s="71" t="s">
        <v>40</v>
      </c>
      <c r="AB450" s="48" t="s">
        <v>1315</v>
      </c>
      <c r="AC450" s="75">
        <v>4350</v>
      </c>
      <c r="AD450" s="75">
        <v>3910</v>
      </c>
      <c r="AE450" s="80">
        <v>3850</v>
      </c>
      <c r="AF450" s="80">
        <v>3470</v>
      </c>
      <c r="AG450" s="80">
        <v>2955</v>
      </c>
    </row>
    <row r="451" ht="14" customHeight="1" spans="1:33">
      <c r="A451" s="45"/>
      <c r="B451" s="45"/>
      <c r="C451" s="45"/>
      <c r="D451" s="45"/>
      <c r="E451" s="49"/>
      <c r="F451" s="49"/>
      <c r="G451" s="45"/>
      <c r="H451" s="49"/>
      <c r="I451" s="53"/>
      <c r="J451" s="53"/>
      <c r="K451" s="84"/>
      <c r="L451" s="84"/>
      <c r="M451" s="84"/>
      <c r="N451" s="63"/>
      <c r="O451" s="63"/>
      <c r="P451" s="63"/>
      <c r="Q451" s="45"/>
      <c r="R451" s="45"/>
      <c r="S451" s="45"/>
      <c r="T451" s="69"/>
      <c r="U451" s="49"/>
      <c r="V451" s="43" t="s">
        <v>1316</v>
      </c>
      <c r="W451" s="71">
        <v>33110200504</v>
      </c>
      <c r="X451" s="43" t="s">
        <v>1317</v>
      </c>
      <c r="Y451" s="43" t="s">
        <v>43</v>
      </c>
      <c r="Z451" s="71" t="s">
        <v>43</v>
      </c>
      <c r="AA451" s="71" t="s">
        <v>40</v>
      </c>
      <c r="AB451" s="48" t="s">
        <v>43</v>
      </c>
      <c r="AC451" s="75">
        <v>3870</v>
      </c>
      <c r="AD451" s="75">
        <v>3480</v>
      </c>
      <c r="AE451" s="80">
        <v>3325</v>
      </c>
      <c r="AF451" s="80">
        <v>3030</v>
      </c>
      <c r="AG451" s="80">
        <v>2580</v>
      </c>
    </row>
    <row r="452" ht="14" customHeight="1" spans="1:33">
      <c r="A452" s="45"/>
      <c r="B452" s="45"/>
      <c r="C452" s="45"/>
      <c r="D452" s="45"/>
      <c r="E452" s="49"/>
      <c r="F452" s="49"/>
      <c r="G452" s="45"/>
      <c r="H452" s="49"/>
      <c r="I452" s="53"/>
      <c r="J452" s="53"/>
      <c r="K452" s="84"/>
      <c r="L452" s="84"/>
      <c r="M452" s="84"/>
      <c r="N452" s="63"/>
      <c r="O452" s="63"/>
      <c r="P452" s="63"/>
      <c r="Q452" s="45"/>
      <c r="R452" s="45"/>
      <c r="S452" s="45"/>
      <c r="T452" s="69"/>
      <c r="U452" s="49"/>
      <c r="V452" s="43" t="s">
        <v>1318</v>
      </c>
      <c r="W452" s="71">
        <v>33110200505</v>
      </c>
      <c r="X452" s="43" t="s">
        <v>1319</v>
      </c>
      <c r="Y452" s="43" t="s">
        <v>43</v>
      </c>
      <c r="Z452" s="71" t="s">
        <v>43</v>
      </c>
      <c r="AA452" s="71" t="s">
        <v>40</v>
      </c>
      <c r="AB452" s="48" t="s">
        <v>1315</v>
      </c>
      <c r="AC452" s="75">
        <v>5150</v>
      </c>
      <c r="AD452" s="75">
        <v>4630</v>
      </c>
      <c r="AE452" s="80">
        <v>4475</v>
      </c>
      <c r="AF452" s="80">
        <v>4070</v>
      </c>
      <c r="AG452" s="80">
        <v>3465</v>
      </c>
    </row>
    <row r="453" ht="14" customHeight="1" spans="1:33">
      <c r="A453" s="45"/>
      <c r="B453" s="45"/>
      <c r="C453" s="45"/>
      <c r="D453" s="45"/>
      <c r="E453" s="49"/>
      <c r="F453" s="49"/>
      <c r="G453" s="45"/>
      <c r="H453" s="49"/>
      <c r="I453" s="53"/>
      <c r="J453" s="53"/>
      <c r="K453" s="84"/>
      <c r="L453" s="84"/>
      <c r="M453" s="84"/>
      <c r="N453" s="63"/>
      <c r="O453" s="63"/>
      <c r="P453" s="63"/>
      <c r="Q453" s="45"/>
      <c r="R453" s="45"/>
      <c r="S453" s="45"/>
      <c r="T453" s="69"/>
      <c r="U453" s="49"/>
      <c r="V453" s="43" t="s">
        <v>1320</v>
      </c>
      <c r="W453" s="71">
        <v>331102015</v>
      </c>
      <c r="X453" s="71" t="s">
        <v>1321</v>
      </c>
      <c r="Y453" s="43" t="s">
        <v>43</v>
      </c>
      <c r="Z453" s="71" t="s">
        <v>43</v>
      </c>
      <c r="AA453" s="71" t="s">
        <v>40</v>
      </c>
      <c r="AB453" s="48" t="s">
        <v>43</v>
      </c>
      <c r="AC453" s="75">
        <v>1490</v>
      </c>
      <c r="AD453" s="75">
        <v>1340</v>
      </c>
      <c r="AE453" s="80">
        <v>1375</v>
      </c>
      <c r="AF453" s="80">
        <v>1320</v>
      </c>
      <c r="AG453" s="80">
        <v>1122</v>
      </c>
    </row>
    <row r="454" ht="14" customHeight="1" spans="1:33">
      <c r="A454" s="45"/>
      <c r="B454" s="45"/>
      <c r="C454" s="45"/>
      <c r="D454" s="45"/>
      <c r="E454" s="49"/>
      <c r="F454" s="49"/>
      <c r="G454" s="45"/>
      <c r="H454" s="49"/>
      <c r="I454" s="53"/>
      <c r="J454" s="53"/>
      <c r="K454" s="84"/>
      <c r="L454" s="84"/>
      <c r="M454" s="84"/>
      <c r="N454" s="63"/>
      <c r="O454" s="63"/>
      <c r="P454" s="63"/>
      <c r="Q454" s="45"/>
      <c r="R454" s="45"/>
      <c r="S454" s="45"/>
      <c r="T454" s="69"/>
      <c r="U454" s="49"/>
      <c r="V454" s="43" t="s">
        <v>1322</v>
      </c>
      <c r="W454" s="71">
        <v>33110201502</v>
      </c>
      <c r="X454" s="71" t="s">
        <v>1323</v>
      </c>
      <c r="Y454" s="43" t="s">
        <v>43</v>
      </c>
      <c r="Z454" s="71" t="s">
        <v>43</v>
      </c>
      <c r="AA454" s="71" t="s">
        <v>40</v>
      </c>
      <c r="AB454" s="48" t="s">
        <v>43</v>
      </c>
      <c r="AC454" s="75">
        <v>2290</v>
      </c>
      <c r="AD454" s="75">
        <v>2060</v>
      </c>
      <c r="AE454" s="80">
        <v>2000</v>
      </c>
      <c r="AF454" s="80">
        <v>1920</v>
      </c>
      <c r="AG454" s="80">
        <v>1632</v>
      </c>
    </row>
    <row r="455" ht="14" customHeight="1" spans="1:33">
      <c r="A455" s="45"/>
      <c r="B455" s="45"/>
      <c r="C455" s="45"/>
      <c r="D455" s="45"/>
      <c r="E455" s="49"/>
      <c r="F455" s="49"/>
      <c r="G455" s="45"/>
      <c r="H455" s="49"/>
      <c r="I455" s="53"/>
      <c r="J455" s="53"/>
      <c r="K455" s="84"/>
      <c r="L455" s="84"/>
      <c r="M455" s="84"/>
      <c r="N455" s="63"/>
      <c r="O455" s="63"/>
      <c r="P455" s="63"/>
      <c r="Q455" s="45"/>
      <c r="R455" s="45"/>
      <c r="S455" s="45"/>
      <c r="T455" s="69"/>
      <c r="U455" s="49"/>
      <c r="V455" s="43" t="s">
        <v>1324</v>
      </c>
      <c r="W455" s="71">
        <v>331102016</v>
      </c>
      <c r="X455" s="71" t="s">
        <v>1325</v>
      </c>
      <c r="Y455" s="43" t="s">
        <v>43</v>
      </c>
      <c r="Z455" s="71" t="s">
        <v>43</v>
      </c>
      <c r="AA455" s="71" t="s">
        <v>40</v>
      </c>
      <c r="AB455" s="48" t="s">
        <v>43</v>
      </c>
      <c r="AC455" s="75">
        <v>2500</v>
      </c>
      <c r="AD455" s="75">
        <v>2240</v>
      </c>
      <c r="AE455" s="80">
        <v>2190</v>
      </c>
      <c r="AF455" s="80">
        <v>1970</v>
      </c>
      <c r="AG455" s="80">
        <v>1670</v>
      </c>
    </row>
    <row r="456" ht="14" customHeight="1" spans="1:33">
      <c r="A456" s="45"/>
      <c r="B456" s="45"/>
      <c r="C456" s="45"/>
      <c r="D456" s="45"/>
      <c r="E456" s="49"/>
      <c r="F456" s="49"/>
      <c r="G456" s="45"/>
      <c r="H456" s="49"/>
      <c r="I456" s="53"/>
      <c r="J456" s="53"/>
      <c r="K456" s="84"/>
      <c r="L456" s="84"/>
      <c r="M456" s="84"/>
      <c r="N456" s="63"/>
      <c r="O456" s="63"/>
      <c r="P456" s="63"/>
      <c r="Q456" s="45"/>
      <c r="R456" s="45"/>
      <c r="S456" s="45"/>
      <c r="T456" s="69"/>
      <c r="U456" s="49"/>
      <c r="V456" s="43" t="s">
        <v>1326</v>
      </c>
      <c r="W456" s="71">
        <v>33110201602</v>
      </c>
      <c r="X456" s="71" t="s">
        <v>1327</v>
      </c>
      <c r="Y456" s="43" t="s">
        <v>43</v>
      </c>
      <c r="Z456" s="71" t="s">
        <v>43</v>
      </c>
      <c r="AA456" s="71" t="s">
        <v>40</v>
      </c>
      <c r="AB456" s="48" t="s">
        <v>43</v>
      </c>
      <c r="AC456" s="75">
        <v>3300</v>
      </c>
      <c r="AD456" s="75">
        <v>2960</v>
      </c>
      <c r="AE456" s="80">
        <v>2815</v>
      </c>
      <c r="AF456" s="80">
        <v>2570</v>
      </c>
      <c r="AG456" s="80">
        <v>2180</v>
      </c>
    </row>
    <row r="457" ht="14" customHeight="1" spans="1:33">
      <c r="A457" s="45"/>
      <c r="B457" s="45"/>
      <c r="C457" s="45"/>
      <c r="D457" s="45"/>
      <c r="E457" s="49"/>
      <c r="F457" s="49"/>
      <c r="G457" s="45"/>
      <c r="H457" s="49"/>
      <c r="I457" s="53"/>
      <c r="J457" s="53"/>
      <c r="K457" s="84"/>
      <c r="L457" s="84"/>
      <c r="M457" s="84"/>
      <c r="N457" s="63"/>
      <c r="O457" s="63"/>
      <c r="P457" s="63"/>
      <c r="Q457" s="45"/>
      <c r="R457" s="45"/>
      <c r="S457" s="45"/>
      <c r="T457" s="69"/>
      <c r="U457" s="49"/>
      <c r="V457" s="43" t="s">
        <v>1328</v>
      </c>
      <c r="W457" s="43">
        <v>331102002</v>
      </c>
      <c r="X457" s="43" t="s">
        <v>1329</v>
      </c>
      <c r="Y457" s="43" t="s">
        <v>43</v>
      </c>
      <c r="Z457" s="71" t="s">
        <v>43</v>
      </c>
      <c r="AA457" s="71" t="s">
        <v>40</v>
      </c>
      <c r="AB457" s="48" t="s">
        <v>43</v>
      </c>
      <c r="AC457" s="75">
        <v>3070</v>
      </c>
      <c r="AD457" s="75">
        <v>2760</v>
      </c>
      <c r="AE457" s="80">
        <v>2700</v>
      </c>
      <c r="AF457" s="80">
        <v>2430</v>
      </c>
      <c r="AG457" s="80">
        <v>2070</v>
      </c>
    </row>
    <row r="458" ht="14" customHeight="1" spans="1:33">
      <c r="A458" s="45"/>
      <c r="B458" s="45"/>
      <c r="C458" s="45"/>
      <c r="D458" s="45"/>
      <c r="E458" s="49"/>
      <c r="F458" s="49"/>
      <c r="G458" s="45"/>
      <c r="H458" s="49"/>
      <c r="I458" s="53"/>
      <c r="J458" s="53"/>
      <c r="K458" s="84"/>
      <c r="L458" s="84"/>
      <c r="M458" s="84"/>
      <c r="N458" s="63"/>
      <c r="O458" s="63"/>
      <c r="P458" s="63"/>
      <c r="Q458" s="45"/>
      <c r="R458" s="45"/>
      <c r="S458" s="45"/>
      <c r="T458" s="69"/>
      <c r="U458" s="49"/>
      <c r="V458" s="43" t="s">
        <v>1330</v>
      </c>
      <c r="W458" s="43">
        <v>33110200202</v>
      </c>
      <c r="X458" s="43" t="s">
        <v>1331</v>
      </c>
      <c r="Y458" s="43" t="s">
        <v>43</v>
      </c>
      <c r="Z458" s="71" t="s">
        <v>43</v>
      </c>
      <c r="AA458" s="71" t="s">
        <v>40</v>
      </c>
      <c r="AB458" s="48" t="s">
        <v>43</v>
      </c>
      <c r="AC458" s="75">
        <v>3870</v>
      </c>
      <c r="AD458" s="75">
        <v>3480</v>
      </c>
      <c r="AE458" s="80">
        <v>3325</v>
      </c>
      <c r="AF458" s="80">
        <v>3030</v>
      </c>
      <c r="AG458" s="80">
        <v>2580</v>
      </c>
    </row>
    <row r="459" ht="14" customHeight="1" spans="1:33">
      <c r="A459" s="45"/>
      <c r="B459" s="45"/>
      <c r="C459" s="45"/>
      <c r="D459" s="45"/>
      <c r="E459" s="49"/>
      <c r="F459" s="49"/>
      <c r="G459" s="45"/>
      <c r="H459" s="49"/>
      <c r="I459" s="53"/>
      <c r="J459" s="53"/>
      <c r="K459" s="84"/>
      <c r="L459" s="84"/>
      <c r="M459" s="84"/>
      <c r="N459" s="63"/>
      <c r="O459" s="63"/>
      <c r="P459" s="63"/>
      <c r="Q459" s="45"/>
      <c r="R459" s="45"/>
      <c r="S459" s="45"/>
      <c r="T459" s="69"/>
      <c r="U459" s="49"/>
      <c r="V459" s="43" t="s">
        <v>1332</v>
      </c>
      <c r="W459" s="43">
        <v>331104021</v>
      </c>
      <c r="X459" s="43" t="s">
        <v>1333</v>
      </c>
      <c r="Y459" s="43" t="s">
        <v>43</v>
      </c>
      <c r="Z459" s="71" t="s">
        <v>43</v>
      </c>
      <c r="AA459" s="71" t="s">
        <v>40</v>
      </c>
      <c r="AB459" s="48" t="s">
        <v>43</v>
      </c>
      <c r="AC459" s="75">
        <v>1080</v>
      </c>
      <c r="AD459" s="75">
        <v>970</v>
      </c>
      <c r="AE459" s="80">
        <v>1000</v>
      </c>
      <c r="AF459" s="80">
        <v>960</v>
      </c>
      <c r="AG459" s="80">
        <v>816</v>
      </c>
    </row>
    <row r="460" ht="14" customHeight="1" spans="1:33">
      <c r="A460" s="45"/>
      <c r="B460" s="45"/>
      <c r="C460" s="45"/>
      <c r="D460" s="45"/>
      <c r="E460" s="49"/>
      <c r="F460" s="49"/>
      <c r="G460" s="45"/>
      <c r="H460" s="49"/>
      <c r="I460" s="53"/>
      <c r="J460" s="53"/>
      <c r="K460" s="84"/>
      <c r="L460" s="84"/>
      <c r="M460" s="84"/>
      <c r="N460" s="63"/>
      <c r="O460" s="63"/>
      <c r="P460" s="63"/>
      <c r="Q460" s="45"/>
      <c r="R460" s="45"/>
      <c r="S460" s="45"/>
      <c r="T460" s="69"/>
      <c r="U460" s="49"/>
      <c r="V460" s="43" t="s">
        <v>1334</v>
      </c>
      <c r="W460" s="71">
        <v>331102017</v>
      </c>
      <c r="X460" s="43" t="s">
        <v>1335</v>
      </c>
      <c r="Y460" s="43" t="s">
        <v>43</v>
      </c>
      <c r="Z460" s="71" t="s">
        <v>43</v>
      </c>
      <c r="AA460" s="71" t="s">
        <v>40</v>
      </c>
      <c r="AB460" s="48" t="s">
        <v>43</v>
      </c>
      <c r="AC460" s="75">
        <v>2690</v>
      </c>
      <c r="AD460" s="75">
        <v>2420</v>
      </c>
      <c r="AE460" s="80">
        <v>2360</v>
      </c>
      <c r="AF460" s="80">
        <v>2120</v>
      </c>
      <c r="AG460" s="80">
        <v>1800</v>
      </c>
    </row>
    <row r="461" ht="14" customHeight="1" spans="1:33">
      <c r="A461" s="45"/>
      <c r="B461" s="45"/>
      <c r="C461" s="45"/>
      <c r="D461" s="45"/>
      <c r="E461" s="49"/>
      <c r="F461" s="49"/>
      <c r="G461" s="45"/>
      <c r="H461" s="49"/>
      <c r="I461" s="53"/>
      <c r="J461" s="53"/>
      <c r="K461" s="84"/>
      <c r="L461" s="84"/>
      <c r="M461" s="84"/>
      <c r="N461" s="63"/>
      <c r="O461" s="63"/>
      <c r="P461" s="63"/>
      <c r="Q461" s="45"/>
      <c r="R461" s="45"/>
      <c r="S461" s="45"/>
      <c r="T461" s="69"/>
      <c r="U461" s="49"/>
      <c r="V461" s="45" t="s">
        <v>1336</v>
      </c>
      <c r="W461" s="45">
        <v>33110201702</v>
      </c>
      <c r="X461" s="45" t="s">
        <v>1337</v>
      </c>
      <c r="Y461" s="43" t="s">
        <v>43</v>
      </c>
      <c r="Z461" s="71" t="s">
        <v>43</v>
      </c>
      <c r="AA461" s="71" t="s">
        <v>40</v>
      </c>
      <c r="AB461" s="48" t="s">
        <v>43</v>
      </c>
      <c r="AC461" s="75">
        <v>3490</v>
      </c>
      <c r="AD461" s="75">
        <v>3140</v>
      </c>
      <c r="AE461" s="80">
        <v>2985</v>
      </c>
      <c r="AF461" s="80">
        <v>2720</v>
      </c>
      <c r="AG461" s="80">
        <v>2310</v>
      </c>
    </row>
    <row r="462" ht="14" customHeight="1" spans="1:33">
      <c r="A462" s="45"/>
      <c r="B462" s="45"/>
      <c r="C462" s="45"/>
      <c r="D462" s="45"/>
      <c r="E462" s="49"/>
      <c r="F462" s="49"/>
      <c r="G462" s="45"/>
      <c r="H462" s="49"/>
      <c r="I462" s="53"/>
      <c r="J462" s="53"/>
      <c r="K462" s="84"/>
      <c r="L462" s="84"/>
      <c r="M462" s="84"/>
      <c r="N462" s="63"/>
      <c r="O462" s="63"/>
      <c r="P462" s="63"/>
      <c r="Q462" s="45"/>
      <c r="R462" s="45"/>
      <c r="S462" s="45"/>
      <c r="T462" s="69"/>
      <c r="U462" s="49"/>
      <c r="V462" s="43" t="s">
        <v>1338</v>
      </c>
      <c r="W462" s="71">
        <v>331104016</v>
      </c>
      <c r="X462" s="43" t="s">
        <v>1339</v>
      </c>
      <c r="Y462" s="43" t="s">
        <v>43</v>
      </c>
      <c r="Z462" s="71" t="s">
        <v>43</v>
      </c>
      <c r="AA462" s="71" t="s">
        <v>40</v>
      </c>
      <c r="AB462" s="48" t="s">
        <v>43</v>
      </c>
      <c r="AC462" s="75">
        <v>2690</v>
      </c>
      <c r="AD462" s="75">
        <v>2420</v>
      </c>
      <c r="AE462" s="80">
        <v>2360</v>
      </c>
      <c r="AF462" s="80">
        <v>2120</v>
      </c>
      <c r="AG462" s="80">
        <v>1800</v>
      </c>
    </row>
    <row r="463" ht="14" customHeight="1" spans="1:33">
      <c r="A463" s="45"/>
      <c r="B463" s="45"/>
      <c r="C463" s="45"/>
      <c r="D463" s="45"/>
      <c r="E463" s="49"/>
      <c r="F463" s="49"/>
      <c r="G463" s="45"/>
      <c r="H463" s="49"/>
      <c r="I463" s="53"/>
      <c r="J463" s="53"/>
      <c r="K463" s="84"/>
      <c r="L463" s="84"/>
      <c r="M463" s="84"/>
      <c r="N463" s="63"/>
      <c r="O463" s="63"/>
      <c r="P463" s="63"/>
      <c r="Q463" s="45"/>
      <c r="R463" s="45"/>
      <c r="S463" s="45"/>
      <c r="T463" s="69"/>
      <c r="U463" s="49"/>
      <c r="V463" s="43" t="s">
        <v>1340</v>
      </c>
      <c r="W463" s="71">
        <v>331104004</v>
      </c>
      <c r="X463" s="43" t="s">
        <v>1341</v>
      </c>
      <c r="Y463" s="43" t="s">
        <v>43</v>
      </c>
      <c r="Z463" s="71" t="s">
        <v>43</v>
      </c>
      <c r="AA463" s="71" t="s">
        <v>40</v>
      </c>
      <c r="AB463" s="48" t="s">
        <v>43</v>
      </c>
      <c r="AC463" s="75">
        <v>1350</v>
      </c>
      <c r="AD463" s="75">
        <v>1215</v>
      </c>
      <c r="AE463" s="80">
        <v>1250</v>
      </c>
      <c r="AF463" s="80">
        <v>1200</v>
      </c>
      <c r="AG463" s="80">
        <v>1020</v>
      </c>
    </row>
    <row r="464" ht="14" customHeight="1" spans="1:33">
      <c r="A464" s="45"/>
      <c r="B464" s="45"/>
      <c r="C464" s="45"/>
      <c r="D464" s="45"/>
      <c r="E464" s="49"/>
      <c r="F464" s="49"/>
      <c r="G464" s="45"/>
      <c r="H464" s="49"/>
      <c r="I464" s="53"/>
      <c r="J464" s="53"/>
      <c r="K464" s="84"/>
      <c r="L464" s="84"/>
      <c r="M464" s="84"/>
      <c r="N464" s="63"/>
      <c r="O464" s="63"/>
      <c r="P464" s="63"/>
      <c r="Q464" s="45"/>
      <c r="R464" s="45"/>
      <c r="S464" s="45"/>
      <c r="T464" s="69"/>
      <c r="U464" s="49"/>
      <c r="V464" s="45" t="s">
        <v>1342</v>
      </c>
      <c r="W464" s="45">
        <v>33110400402</v>
      </c>
      <c r="X464" s="45" t="s">
        <v>1343</v>
      </c>
      <c r="Y464" s="43" t="s">
        <v>43</v>
      </c>
      <c r="Z464" s="71" t="s">
        <v>43</v>
      </c>
      <c r="AA464" s="71" t="s">
        <v>40</v>
      </c>
      <c r="AB464" s="48" t="s">
        <v>43</v>
      </c>
      <c r="AC464" s="75">
        <v>1600</v>
      </c>
      <c r="AD464" s="75">
        <v>1440</v>
      </c>
      <c r="AE464" s="80">
        <v>1500</v>
      </c>
      <c r="AF464" s="80">
        <v>1425</v>
      </c>
      <c r="AG464" s="80">
        <v>1210</v>
      </c>
    </row>
    <row r="465" ht="14" customHeight="1" spans="1:33">
      <c r="A465" s="45"/>
      <c r="B465" s="45"/>
      <c r="C465" s="45"/>
      <c r="D465" s="45"/>
      <c r="E465" s="49"/>
      <c r="F465" s="49"/>
      <c r="G465" s="45"/>
      <c r="H465" s="49"/>
      <c r="I465" s="53"/>
      <c r="J465" s="53"/>
      <c r="K465" s="84"/>
      <c r="L465" s="84"/>
      <c r="M465" s="84"/>
      <c r="N465" s="63"/>
      <c r="O465" s="63"/>
      <c r="P465" s="63"/>
      <c r="Q465" s="45"/>
      <c r="R465" s="45"/>
      <c r="S465" s="45"/>
      <c r="T465" s="69"/>
      <c r="U465" s="49"/>
      <c r="V465" s="43" t="s">
        <v>1344</v>
      </c>
      <c r="W465" s="71">
        <v>331104002</v>
      </c>
      <c r="X465" s="43" t="s">
        <v>1345</v>
      </c>
      <c r="Y465" s="43" t="s">
        <v>43</v>
      </c>
      <c r="Z465" s="71" t="s">
        <v>43</v>
      </c>
      <c r="AA465" s="71" t="s">
        <v>40</v>
      </c>
      <c r="AB465" s="48" t="s">
        <v>43</v>
      </c>
      <c r="AC465" s="75">
        <v>2110</v>
      </c>
      <c r="AD465" s="75">
        <v>1900</v>
      </c>
      <c r="AE465" s="80">
        <v>1860</v>
      </c>
      <c r="AF465" s="80">
        <v>1670</v>
      </c>
      <c r="AG465" s="80">
        <v>1420</v>
      </c>
    </row>
    <row r="466" ht="14" customHeight="1" spans="1:33">
      <c r="A466" s="45"/>
      <c r="B466" s="45"/>
      <c r="C466" s="45"/>
      <c r="D466" s="45"/>
      <c r="E466" s="49"/>
      <c r="F466" s="49"/>
      <c r="G466" s="45"/>
      <c r="H466" s="49"/>
      <c r="I466" s="53"/>
      <c r="J466" s="53"/>
      <c r="K466" s="84"/>
      <c r="L466" s="84"/>
      <c r="M466" s="84"/>
      <c r="N466" s="63"/>
      <c r="O466" s="63"/>
      <c r="P466" s="63"/>
      <c r="Q466" s="45"/>
      <c r="R466" s="45"/>
      <c r="S466" s="45"/>
      <c r="T466" s="69"/>
      <c r="U466" s="49"/>
      <c r="V466" s="45" t="s">
        <v>1346</v>
      </c>
      <c r="W466" s="45">
        <v>33110400202</v>
      </c>
      <c r="X466" s="45" t="s">
        <v>1347</v>
      </c>
      <c r="Y466" s="43" t="s">
        <v>43</v>
      </c>
      <c r="Z466" s="71" t="s">
        <v>43</v>
      </c>
      <c r="AA466" s="71" t="s">
        <v>40</v>
      </c>
      <c r="AB466" s="48" t="s">
        <v>43</v>
      </c>
      <c r="AC466" s="75">
        <v>2360</v>
      </c>
      <c r="AD466" s="75">
        <v>2125</v>
      </c>
      <c r="AE466" s="80">
        <v>2110</v>
      </c>
      <c r="AF466" s="80">
        <v>1895</v>
      </c>
      <c r="AG466" s="80">
        <v>1610</v>
      </c>
    </row>
    <row r="467" ht="14" customHeight="1" spans="1:33">
      <c r="A467" s="45"/>
      <c r="B467" s="45"/>
      <c r="C467" s="45"/>
      <c r="D467" s="45"/>
      <c r="E467" s="49"/>
      <c r="F467" s="49"/>
      <c r="G467" s="45"/>
      <c r="H467" s="49"/>
      <c r="I467" s="53"/>
      <c r="J467" s="53"/>
      <c r="K467" s="84"/>
      <c r="L467" s="84"/>
      <c r="M467" s="84"/>
      <c r="N467" s="63"/>
      <c r="O467" s="63"/>
      <c r="P467" s="63"/>
      <c r="Q467" s="45"/>
      <c r="R467" s="45"/>
      <c r="S467" s="45"/>
      <c r="T467" s="69"/>
      <c r="U467" s="49"/>
      <c r="V467" s="43" t="s">
        <v>1348</v>
      </c>
      <c r="W467" s="71">
        <v>331104001</v>
      </c>
      <c r="X467" s="43" t="s">
        <v>1349</v>
      </c>
      <c r="Y467" s="43" t="s">
        <v>1350</v>
      </c>
      <c r="Z467" s="71" t="s">
        <v>43</v>
      </c>
      <c r="AA467" s="71" t="s">
        <v>40</v>
      </c>
      <c r="AB467" s="48" t="s">
        <v>43</v>
      </c>
      <c r="AC467" s="75">
        <v>2880</v>
      </c>
      <c r="AD467" s="75">
        <v>2590</v>
      </c>
      <c r="AE467" s="80">
        <v>2530</v>
      </c>
      <c r="AF467" s="80">
        <v>2280</v>
      </c>
      <c r="AG467" s="80">
        <v>1940</v>
      </c>
    </row>
    <row r="468" ht="14" customHeight="1" spans="1:33">
      <c r="A468" s="45"/>
      <c r="B468" s="45"/>
      <c r="C468" s="45"/>
      <c r="D468" s="45"/>
      <c r="E468" s="49"/>
      <c r="F468" s="49"/>
      <c r="G468" s="45"/>
      <c r="H468" s="49"/>
      <c r="I468" s="53"/>
      <c r="J468" s="53"/>
      <c r="K468" s="84"/>
      <c r="L468" s="84"/>
      <c r="M468" s="84"/>
      <c r="N468" s="63"/>
      <c r="O468" s="63"/>
      <c r="P468" s="63"/>
      <c r="Q468" s="45"/>
      <c r="R468" s="45"/>
      <c r="S468" s="45"/>
      <c r="T468" s="69"/>
      <c r="U468" s="49"/>
      <c r="V468" s="45" t="s">
        <v>1351</v>
      </c>
      <c r="W468" s="45">
        <v>33110400102</v>
      </c>
      <c r="X468" s="45" t="s">
        <v>1352</v>
      </c>
      <c r="Y468" s="43" t="s">
        <v>43</v>
      </c>
      <c r="Z468" s="71" t="s">
        <v>43</v>
      </c>
      <c r="AA468" s="71" t="s">
        <v>40</v>
      </c>
      <c r="AB468" s="48" t="s">
        <v>43</v>
      </c>
      <c r="AC468" s="75">
        <v>3130</v>
      </c>
      <c r="AD468" s="75">
        <v>2815</v>
      </c>
      <c r="AE468" s="80">
        <v>2780</v>
      </c>
      <c r="AF468" s="80">
        <v>2505</v>
      </c>
      <c r="AG468" s="80">
        <v>2130</v>
      </c>
    </row>
    <row r="469" ht="14" customHeight="1" spans="1:33">
      <c r="A469" s="45"/>
      <c r="B469" s="45"/>
      <c r="C469" s="45"/>
      <c r="D469" s="45"/>
      <c r="E469" s="49"/>
      <c r="F469" s="49"/>
      <c r="G469" s="45"/>
      <c r="H469" s="49"/>
      <c r="I469" s="53"/>
      <c r="J469" s="53"/>
      <c r="K469" s="84"/>
      <c r="L469" s="84"/>
      <c r="M469" s="84"/>
      <c r="N469" s="63"/>
      <c r="O469" s="63"/>
      <c r="P469" s="63"/>
      <c r="Q469" s="45"/>
      <c r="R469" s="45"/>
      <c r="S469" s="45"/>
      <c r="T469" s="69"/>
      <c r="U469" s="49"/>
      <c r="V469" s="43" t="s">
        <v>1353</v>
      </c>
      <c r="W469" s="71">
        <v>331104013</v>
      </c>
      <c r="X469" s="43" t="s">
        <v>1354</v>
      </c>
      <c r="Y469" s="43" t="s">
        <v>1355</v>
      </c>
      <c r="Z469" s="71" t="s">
        <v>43</v>
      </c>
      <c r="AA469" s="71" t="s">
        <v>40</v>
      </c>
      <c r="AB469" s="48" t="s">
        <v>43</v>
      </c>
      <c r="AC469" s="75">
        <v>2880</v>
      </c>
      <c r="AD469" s="75">
        <v>2590</v>
      </c>
      <c r="AE469" s="80">
        <v>2530</v>
      </c>
      <c r="AF469" s="80">
        <v>2280</v>
      </c>
      <c r="AG469" s="80">
        <v>1940</v>
      </c>
    </row>
    <row r="470" ht="14" customHeight="1" spans="1:33">
      <c r="A470" s="45"/>
      <c r="B470" s="45"/>
      <c r="C470" s="45"/>
      <c r="D470" s="45"/>
      <c r="E470" s="49"/>
      <c r="F470" s="49"/>
      <c r="G470" s="45"/>
      <c r="H470" s="49"/>
      <c r="I470" s="53"/>
      <c r="J470" s="53"/>
      <c r="K470" s="84"/>
      <c r="L470" s="84"/>
      <c r="M470" s="84"/>
      <c r="N470" s="63"/>
      <c r="O470" s="63"/>
      <c r="P470" s="63"/>
      <c r="Q470" s="45"/>
      <c r="R470" s="45"/>
      <c r="S470" s="45"/>
      <c r="T470" s="69"/>
      <c r="U470" s="49"/>
      <c r="V470" s="45" t="s">
        <v>1356</v>
      </c>
      <c r="W470" s="45">
        <v>33110401302</v>
      </c>
      <c r="X470" s="45" t="s">
        <v>1357</v>
      </c>
      <c r="Y470" s="43" t="s">
        <v>43</v>
      </c>
      <c r="Z470" s="71" t="s">
        <v>43</v>
      </c>
      <c r="AA470" s="71" t="s">
        <v>40</v>
      </c>
      <c r="AB470" s="48" t="s">
        <v>43</v>
      </c>
      <c r="AC470" s="75">
        <v>3130</v>
      </c>
      <c r="AD470" s="75">
        <v>2815</v>
      </c>
      <c r="AE470" s="80">
        <v>2780</v>
      </c>
      <c r="AF470" s="80">
        <v>2505</v>
      </c>
      <c r="AG470" s="80">
        <v>2130</v>
      </c>
    </row>
    <row r="471" ht="14" customHeight="1" spans="1:33">
      <c r="A471" s="45"/>
      <c r="B471" s="45"/>
      <c r="C471" s="45"/>
      <c r="D471" s="45"/>
      <c r="E471" s="49"/>
      <c r="F471" s="49"/>
      <c r="G471" s="45"/>
      <c r="H471" s="49"/>
      <c r="I471" s="53"/>
      <c r="J471" s="53"/>
      <c r="K471" s="84"/>
      <c r="L471" s="84"/>
      <c r="M471" s="84"/>
      <c r="N471" s="63"/>
      <c r="O471" s="63"/>
      <c r="P471" s="63"/>
      <c r="Q471" s="45"/>
      <c r="R471" s="45"/>
      <c r="S471" s="45"/>
      <c r="T471" s="69"/>
      <c r="U471" s="49"/>
      <c r="V471" s="43" t="s">
        <v>1358</v>
      </c>
      <c r="W471" s="71">
        <v>331104003</v>
      </c>
      <c r="X471" s="43" t="s">
        <v>1359</v>
      </c>
      <c r="Y471" s="43" t="s">
        <v>43</v>
      </c>
      <c r="Z471" s="71" t="s">
        <v>43</v>
      </c>
      <c r="AA471" s="71" t="s">
        <v>40</v>
      </c>
      <c r="AB471" s="48" t="s">
        <v>43</v>
      </c>
      <c r="AC471" s="75">
        <v>1920</v>
      </c>
      <c r="AD471" s="75">
        <v>1730</v>
      </c>
      <c r="AE471" s="80">
        <v>1690</v>
      </c>
      <c r="AF471" s="80">
        <v>1520</v>
      </c>
      <c r="AG471" s="80">
        <v>1290</v>
      </c>
    </row>
    <row r="472" ht="14" customHeight="1" spans="1:33">
      <c r="A472" s="45"/>
      <c r="B472" s="45"/>
      <c r="C472" s="45"/>
      <c r="D472" s="45"/>
      <c r="E472" s="49"/>
      <c r="F472" s="49"/>
      <c r="G472" s="45"/>
      <c r="H472" s="49"/>
      <c r="I472" s="53"/>
      <c r="J472" s="53"/>
      <c r="K472" s="84"/>
      <c r="L472" s="84"/>
      <c r="M472" s="84"/>
      <c r="N472" s="63"/>
      <c r="O472" s="63"/>
      <c r="P472" s="63"/>
      <c r="Q472" s="45"/>
      <c r="R472" s="45"/>
      <c r="S472" s="45"/>
      <c r="T472" s="69"/>
      <c r="U472" s="49"/>
      <c r="V472" s="45" t="s">
        <v>1360</v>
      </c>
      <c r="W472" s="45">
        <v>33110400302</v>
      </c>
      <c r="X472" s="45" t="s">
        <v>1361</v>
      </c>
      <c r="Y472" s="43" t="s">
        <v>43</v>
      </c>
      <c r="Z472" s="71" t="s">
        <v>43</v>
      </c>
      <c r="AA472" s="71" t="s">
        <v>40</v>
      </c>
      <c r="AB472" s="48" t="s">
        <v>43</v>
      </c>
      <c r="AC472" s="75">
        <v>2170</v>
      </c>
      <c r="AD472" s="75">
        <v>1955</v>
      </c>
      <c r="AE472" s="80">
        <v>1940</v>
      </c>
      <c r="AF472" s="80">
        <v>1745</v>
      </c>
      <c r="AG472" s="80">
        <v>1480</v>
      </c>
    </row>
    <row r="473" ht="14" customHeight="1" spans="1:33">
      <c r="A473" s="45"/>
      <c r="B473" s="45"/>
      <c r="C473" s="45"/>
      <c r="D473" s="45"/>
      <c r="E473" s="49"/>
      <c r="F473" s="49"/>
      <c r="G473" s="45"/>
      <c r="H473" s="49"/>
      <c r="I473" s="53"/>
      <c r="J473" s="53"/>
      <c r="K473" s="84"/>
      <c r="L473" s="84"/>
      <c r="M473" s="84"/>
      <c r="N473" s="63"/>
      <c r="O473" s="63"/>
      <c r="P473" s="63"/>
      <c r="Q473" s="45"/>
      <c r="R473" s="45"/>
      <c r="S473" s="45"/>
      <c r="T473" s="69"/>
      <c r="U473" s="49"/>
      <c r="V473" s="54" t="s">
        <v>1362</v>
      </c>
      <c r="W473" s="93">
        <v>331101002</v>
      </c>
      <c r="X473" s="54" t="s">
        <v>1363</v>
      </c>
      <c r="Y473" s="54" t="s">
        <v>43</v>
      </c>
      <c r="Z473" s="93" t="s">
        <v>43</v>
      </c>
      <c r="AA473" s="93" t="s">
        <v>40</v>
      </c>
      <c r="AB473" s="94" t="s">
        <v>43</v>
      </c>
      <c r="AC473" s="75">
        <v>2300</v>
      </c>
      <c r="AD473" s="75">
        <v>2080</v>
      </c>
      <c r="AE473" s="80">
        <v>2030</v>
      </c>
      <c r="AF473" s="80">
        <v>1830</v>
      </c>
      <c r="AG473" s="80">
        <v>1560</v>
      </c>
    </row>
    <row r="474" ht="14" customHeight="1" spans="1:33">
      <c r="A474" s="45"/>
      <c r="B474" s="45"/>
      <c r="C474" s="45"/>
      <c r="D474" s="45"/>
      <c r="E474" s="49"/>
      <c r="F474" s="49"/>
      <c r="G474" s="45"/>
      <c r="H474" s="49"/>
      <c r="I474" s="53"/>
      <c r="J474" s="53"/>
      <c r="K474" s="84"/>
      <c r="L474" s="84"/>
      <c r="M474" s="84"/>
      <c r="N474" s="63"/>
      <c r="O474" s="63"/>
      <c r="P474" s="63"/>
      <c r="Q474" s="45"/>
      <c r="R474" s="45"/>
      <c r="S474" s="45"/>
      <c r="T474" s="69"/>
      <c r="U474" s="49"/>
      <c r="V474" s="55" t="s">
        <v>1364</v>
      </c>
      <c r="W474" s="55">
        <v>33110100202</v>
      </c>
      <c r="X474" s="55" t="s">
        <v>1365</v>
      </c>
      <c r="Y474" s="54" t="s">
        <v>43</v>
      </c>
      <c r="Z474" s="93" t="s">
        <v>43</v>
      </c>
      <c r="AA474" s="93" t="s">
        <v>40</v>
      </c>
      <c r="AB474" s="94" t="s">
        <v>43</v>
      </c>
      <c r="AC474" s="75">
        <v>3100</v>
      </c>
      <c r="AD474" s="75">
        <v>2800</v>
      </c>
      <c r="AE474" s="80">
        <v>2655</v>
      </c>
      <c r="AF474" s="80">
        <v>2430</v>
      </c>
      <c r="AG474" s="80">
        <v>2070</v>
      </c>
    </row>
    <row r="475" ht="14" customHeight="1" spans="1:33">
      <c r="A475" s="45"/>
      <c r="B475" s="45"/>
      <c r="C475" s="45"/>
      <c r="D475" s="45"/>
      <c r="E475" s="49"/>
      <c r="F475" s="49"/>
      <c r="G475" s="45"/>
      <c r="H475" s="49"/>
      <c r="I475" s="53"/>
      <c r="J475" s="53"/>
      <c r="K475" s="84"/>
      <c r="L475" s="84"/>
      <c r="M475" s="84"/>
      <c r="N475" s="63"/>
      <c r="O475" s="63"/>
      <c r="P475" s="63"/>
      <c r="Q475" s="45"/>
      <c r="R475" s="45"/>
      <c r="S475" s="45"/>
      <c r="T475" s="69"/>
      <c r="U475" s="49"/>
      <c r="V475" s="54" t="s">
        <v>1366</v>
      </c>
      <c r="W475" s="93">
        <v>331101003</v>
      </c>
      <c r="X475" s="54" t="s">
        <v>1367</v>
      </c>
      <c r="Y475" s="54" t="s">
        <v>43</v>
      </c>
      <c r="Z475" s="93" t="s">
        <v>43</v>
      </c>
      <c r="AA475" s="93" t="s">
        <v>40</v>
      </c>
      <c r="AB475" s="94" t="s">
        <v>43</v>
      </c>
      <c r="AC475" s="75">
        <v>2690</v>
      </c>
      <c r="AD475" s="75">
        <v>2420</v>
      </c>
      <c r="AE475" s="80">
        <v>2360</v>
      </c>
      <c r="AF475" s="80">
        <v>2120</v>
      </c>
      <c r="AG475" s="80">
        <v>1800</v>
      </c>
    </row>
    <row r="476" ht="14" customHeight="1" spans="1:33">
      <c r="A476" s="45"/>
      <c r="B476" s="45"/>
      <c r="C476" s="45"/>
      <c r="D476" s="45"/>
      <c r="E476" s="49"/>
      <c r="F476" s="49"/>
      <c r="G476" s="45"/>
      <c r="H476" s="49"/>
      <c r="I476" s="53"/>
      <c r="J476" s="53"/>
      <c r="K476" s="84"/>
      <c r="L476" s="84"/>
      <c r="M476" s="84"/>
      <c r="N476" s="63"/>
      <c r="O476" s="63"/>
      <c r="P476" s="63"/>
      <c r="Q476" s="45"/>
      <c r="R476" s="45"/>
      <c r="S476" s="45"/>
      <c r="T476" s="69"/>
      <c r="U476" s="49"/>
      <c r="V476" s="55" t="s">
        <v>1368</v>
      </c>
      <c r="W476" s="55">
        <v>33110100302</v>
      </c>
      <c r="X476" s="55" t="s">
        <v>1369</v>
      </c>
      <c r="Y476" s="54" t="s">
        <v>43</v>
      </c>
      <c r="Z476" s="93" t="s">
        <v>43</v>
      </c>
      <c r="AA476" s="93" t="s">
        <v>40</v>
      </c>
      <c r="AB476" s="94" t="s">
        <v>43</v>
      </c>
      <c r="AC476" s="75">
        <v>3490</v>
      </c>
      <c r="AD476" s="75">
        <v>3140</v>
      </c>
      <c r="AE476" s="80">
        <v>2985</v>
      </c>
      <c r="AF476" s="80">
        <v>2720</v>
      </c>
      <c r="AG476" s="80">
        <v>2310</v>
      </c>
    </row>
    <row r="477" ht="14" customHeight="1" spans="1:33">
      <c r="A477" s="43" t="s">
        <v>81</v>
      </c>
      <c r="B477" s="43" t="s">
        <v>1370</v>
      </c>
      <c r="C477" s="43" t="s">
        <v>1371</v>
      </c>
      <c r="D477" s="43" t="s">
        <v>213</v>
      </c>
      <c r="E477" s="48" t="s">
        <v>43</v>
      </c>
      <c r="F477" s="48" t="s">
        <v>43</v>
      </c>
      <c r="G477" s="43" t="s">
        <v>40</v>
      </c>
      <c r="H477" s="48" t="s">
        <v>43</v>
      </c>
      <c r="I477" s="53">
        <v>846</v>
      </c>
      <c r="J477" s="53">
        <v>761</v>
      </c>
      <c r="K477" s="84">
        <v>1178.18181818182</v>
      </c>
      <c r="L477" s="84">
        <v>1370</v>
      </c>
      <c r="M477" s="84" t="e">
        <v>#DIV/0!</v>
      </c>
      <c r="N477" s="63">
        <v>765</v>
      </c>
      <c r="O477" s="63">
        <v>715</v>
      </c>
      <c r="P477" s="63">
        <v>600</v>
      </c>
      <c r="Q477" s="45" t="s">
        <v>54</v>
      </c>
      <c r="R477" s="45" t="s">
        <v>43</v>
      </c>
      <c r="S477" s="45" t="s">
        <v>43</v>
      </c>
      <c r="T477" s="69"/>
      <c r="U477" s="49" t="s">
        <v>446</v>
      </c>
      <c r="V477" s="45" t="s">
        <v>1372</v>
      </c>
      <c r="W477" s="45">
        <v>33110200301</v>
      </c>
      <c r="X477" s="45" t="s">
        <v>1373</v>
      </c>
      <c r="Y477" s="43" t="s">
        <v>43</v>
      </c>
      <c r="Z477" s="71" t="s">
        <v>43</v>
      </c>
      <c r="AA477" s="71" t="s">
        <v>40</v>
      </c>
      <c r="AB477" s="48" t="s">
        <v>43</v>
      </c>
      <c r="AC477" s="75">
        <v>3990</v>
      </c>
      <c r="AD477" s="75">
        <v>3590</v>
      </c>
      <c r="AE477" s="80">
        <v>3510</v>
      </c>
      <c r="AF477" s="80">
        <v>3160</v>
      </c>
      <c r="AG477" s="80">
        <v>2685</v>
      </c>
    </row>
    <row r="478" ht="14" customHeight="1" spans="1:33">
      <c r="A478" s="43"/>
      <c r="B478" s="43"/>
      <c r="C478" s="43"/>
      <c r="D478" s="43"/>
      <c r="E478" s="48"/>
      <c r="F478" s="48"/>
      <c r="G478" s="43"/>
      <c r="H478" s="48"/>
      <c r="I478" s="76"/>
      <c r="J478" s="76"/>
      <c r="K478" s="84"/>
      <c r="L478" s="84"/>
      <c r="M478" s="84"/>
      <c r="N478" s="63"/>
      <c r="O478" s="63"/>
      <c r="P478" s="63"/>
      <c r="Q478" s="45"/>
      <c r="R478" s="45"/>
      <c r="S478" s="45"/>
      <c r="T478" s="69"/>
      <c r="U478" s="49"/>
      <c r="V478" s="43" t="s">
        <v>1374</v>
      </c>
      <c r="W478" s="71">
        <v>33110200502</v>
      </c>
      <c r="X478" s="43" t="s">
        <v>1375</v>
      </c>
      <c r="Y478" s="43" t="s">
        <v>43</v>
      </c>
      <c r="Z478" s="71" t="s">
        <v>43</v>
      </c>
      <c r="AA478" s="71" t="s">
        <v>40</v>
      </c>
      <c r="AB478" s="48" t="s">
        <v>43</v>
      </c>
      <c r="AC478" s="75">
        <v>3990</v>
      </c>
      <c r="AD478" s="75">
        <v>3590</v>
      </c>
      <c r="AE478" s="80">
        <v>3510</v>
      </c>
      <c r="AF478" s="80">
        <v>3160</v>
      </c>
      <c r="AG478" s="80">
        <v>2685</v>
      </c>
    </row>
    <row r="479" ht="14" customHeight="1" spans="1:33">
      <c r="A479" s="43"/>
      <c r="B479" s="43"/>
      <c r="C479" s="43"/>
      <c r="D479" s="43"/>
      <c r="E479" s="48"/>
      <c r="F479" s="48"/>
      <c r="G479" s="43"/>
      <c r="H479" s="48"/>
      <c r="I479" s="76"/>
      <c r="J479" s="76"/>
      <c r="K479" s="84"/>
      <c r="L479" s="84"/>
      <c r="M479" s="84"/>
      <c r="N479" s="63"/>
      <c r="O479" s="63"/>
      <c r="P479" s="63"/>
      <c r="Q479" s="45"/>
      <c r="R479" s="45"/>
      <c r="S479" s="45"/>
      <c r="T479" s="69"/>
      <c r="U479" s="49"/>
      <c r="V479" s="43" t="s">
        <v>1376</v>
      </c>
      <c r="W479" s="71">
        <v>33110200503</v>
      </c>
      <c r="X479" s="43" t="s">
        <v>1377</v>
      </c>
      <c r="Y479" s="43" t="s">
        <v>43</v>
      </c>
      <c r="Z479" s="71" t="s">
        <v>43</v>
      </c>
      <c r="AA479" s="71" t="s">
        <v>40</v>
      </c>
      <c r="AB479" s="48" t="s">
        <v>1315</v>
      </c>
      <c r="AC479" s="75">
        <v>5655</v>
      </c>
      <c r="AD479" s="75">
        <v>5085</v>
      </c>
      <c r="AE479" s="80">
        <v>5005</v>
      </c>
      <c r="AF479" s="80">
        <v>4510</v>
      </c>
      <c r="AG479" s="80">
        <v>3835</v>
      </c>
    </row>
    <row r="480" ht="14" customHeight="1" spans="1:33">
      <c r="A480" s="43"/>
      <c r="B480" s="43"/>
      <c r="C480" s="43"/>
      <c r="D480" s="43"/>
      <c r="E480" s="48"/>
      <c r="F480" s="48"/>
      <c r="G480" s="43"/>
      <c r="H480" s="48"/>
      <c r="I480" s="76"/>
      <c r="J480" s="76"/>
      <c r="K480" s="84"/>
      <c r="L480" s="84"/>
      <c r="M480" s="84"/>
      <c r="N480" s="63"/>
      <c r="O480" s="63"/>
      <c r="P480" s="63"/>
      <c r="Q480" s="45"/>
      <c r="R480" s="45"/>
      <c r="S480" s="45"/>
      <c r="T480" s="69"/>
      <c r="U480" s="49"/>
      <c r="V480" s="43" t="s">
        <v>1378</v>
      </c>
      <c r="W480" s="71">
        <v>33110200506</v>
      </c>
      <c r="X480" s="43" t="s">
        <v>1379</v>
      </c>
      <c r="Y480" s="43" t="s">
        <v>43</v>
      </c>
      <c r="Z480" s="71" t="s">
        <v>43</v>
      </c>
      <c r="AA480" s="71" t="s">
        <v>40</v>
      </c>
      <c r="AB480" s="48" t="s">
        <v>43</v>
      </c>
      <c r="AC480" s="75">
        <v>4790</v>
      </c>
      <c r="AD480" s="75">
        <v>4310</v>
      </c>
      <c r="AE480" s="80">
        <v>4135</v>
      </c>
      <c r="AF480" s="80">
        <v>3760</v>
      </c>
      <c r="AG480" s="80">
        <v>3195</v>
      </c>
    </row>
    <row r="481" ht="14" customHeight="1" spans="1:33">
      <c r="A481" s="43"/>
      <c r="B481" s="43"/>
      <c r="C481" s="43"/>
      <c r="D481" s="43"/>
      <c r="E481" s="48"/>
      <c r="F481" s="48"/>
      <c r="G481" s="43"/>
      <c r="H481" s="48"/>
      <c r="I481" s="76"/>
      <c r="J481" s="76"/>
      <c r="K481" s="84"/>
      <c r="L481" s="84"/>
      <c r="M481" s="84"/>
      <c r="N481" s="63"/>
      <c r="O481" s="63"/>
      <c r="P481" s="63"/>
      <c r="Q481" s="45"/>
      <c r="R481" s="45"/>
      <c r="S481" s="45"/>
      <c r="T481" s="69"/>
      <c r="U481" s="49"/>
      <c r="V481" s="43" t="s">
        <v>1380</v>
      </c>
      <c r="W481" s="71">
        <v>33110200507</v>
      </c>
      <c r="X481" s="43" t="s">
        <v>1381</v>
      </c>
      <c r="Y481" s="43" t="s">
        <v>43</v>
      </c>
      <c r="Z481" s="71" t="s">
        <v>43</v>
      </c>
      <c r="AA481" s="71" t="s">
        <v>40</v>
      </c>
      <c r="AB481" s="48" t="s">
        <v>1315</v>
      </c>
      <c r="AC481" s="75">
        <v>6455</v>
      </c>
      <c r="AD481" s="75">
        <v>5805</v>
      </c>
      <c r="AE481" s="80">
        <v>5630</v>
      </c>
      <c r="AF481" s="80">
        <v>5110</v>
      </c>
      <c r="AG481" s="80">
        <v>4345</v>
      </c>
    </row>
    <row r="482" ht="14" customHeight="1" spans="1:33">
      <c r="A482" s="43"/>
      <c r="B482" s="43"/>
      <c r="C482" s="43"/>
      <c r="D482" s="43"/>
      <c r="E482" s="48"/>
      <c r="F482" s="48"/>
      <c r="G482" s="43"/>
      <c r="H482" s="48"/>
      <c r="I482" s="76"/>
      <c r="J482" s="76"/>
      <c r="K482" s="84"/>
      <c r="L482" s="84"/>
      <c r="M482" s="84"/>
      <c r="N482" s="63"/>
      <c r="O482" s="63"/>
      <c r="P482" s="63"/>
      <c r="Q482" s="45"/>
      <c r="R482" s="45"/>
      <c r="S482" s="45"/>
      <c r="T482" s="69"/>
      <c r="U482" s="49"/>
      <c r="V482" s="45" t="s">
        <v>1382</v>
      </c>
      <c r="W482" s="45">
        <v>33110201501</v>
      </c>
      <c r="X482" s="45" t="s">
        <v>1383</v>
      </c>
      <c r="Y482" s="43" t="s">
        <v>43</v>
      </c>
      <c r="Z482" s="71" t="s">
        <v>43</v>
      </c>
      <c r="AA482" s="71" t="s">
        <v>40</v>
      </c>
      <c r="AB482" s="48" t="s">
        <v>43</v>
      </c>
      <c r="AC482" s="75">
        <v>1935</v>
      </c>
      <c r="AD482" s="75">
        <v>1740</v>
      </c>
      <c r="AE482" s="80">
        <v>1790</v>
      </c>
      <c r="AF482" s="80">
        <v>1715</v>
      </c>
      <c r="AG482" s="80">
        <v>1460</v>
      </c>
    </row>
    <row r="483" ht="14" customHeight="1" spans="1:33">
      <c r="A483" s="43"/>
      <c r="B483" s="43"/>
      <c r="C483" s="43"/>
      <c r="D483" s="43"/>
      <c r="E483" s="48"/>
      <c r="F483" s="48"/>
      <c r="G483" s="43"/>
      <c r="H483" s="48"/>
      <c r="I483" s="76"/>
      <c r="J483" s="76"/>
      <c r="K483" s="84"/>
      <c r="L483" s="84"/>
      <c r="M483" s="84"/>
      <c r="N483" s="63"/>
      <c r="O483" s="63"/>
      <c r="P483" s="63"/>
      <c r="Q483" s="45"/>
      <c r="R483" s="45"/>
      <c r="S483" s="45"/>
      <c r="T483" s="69"/>
      <c r="U483" s="49"/>
      <c r="V483" s="45" t="s">
        <v>1384</v>
      </c>
      <c r="W483" s="45">
        <v>33110201503</v>
      </c>
      <c r="X483" s="45" t="s">
        <v>1385</v>
      </c>
      <c r="Y483" s="43" t="s">
        <v>43</v>
      </c>
      <c r="Z483" s="71" t="s">
        <v>43</v>
      </c>
      <c r="AA483" s="71" t="s">
        <v>40</v>
      </c>
      <c r="AB483" s="48" t="s">
        <v>43</v>
      </c>
      <c r="AC483" s="75">
        <v>2735</v>
      </c>
      <c r="AD483" s="75">
        <v>2460</v>
      </c>
      <c r="AE483" s="80">
        <v>2415</v>
      </c>
      <c r="AF483" s="80">
        <v>2315</v>
      </c>
      <c r="AG483" s="80">
        <v>1970</v>
      </c>
    </row>
    <row r="484" ht="14" customHeight="1" spans="1:33">
      <c r="A484" s="43"/>
      <c r="B484" s="43"/>
      <c r="C484" s="43"/>
      <c r="D484" s="43"/>
      <c r="E484" s="48"/>
      <c r="F484" s="48"/>
      <c r="G484" s="43"/>
      <c r="H484" s="48"/>
      <c r="I484" s="76"/>
      <c r="J484" s="76"/>
      <c r="K484" s="84"/>
      <c r="L484" s="84"/>
      <c r="M484" s="84"/>
      <c r="N484" s="63"/>
      <c r="O484" s="63"/>
      <c r="P484" s="63"/>
      <c r="Q484" s="45"/>
      <c r="R484" s="45"/>
      <c r="S484" s="45"/>
      <c r="T484" s="69"/>
      <c r="U484" s="49"/>
      <c r="V484" s="45" t="s">
        <v>1386</v>
      </c>
      <c r="W484" s="45">
        <v>33110201601</v>
      </c>
      <c r="X484" s="45" t="s">
        <v>1387</v>
      </c>
      <c r="Y484" s="43" t="s">
        <v>43</v>
      </c>
      <c r="Z484" s="71" t="s">
        <v>43</v>
      </c>
      <c r="AA484" s="71" t="s">
        <v>40</v>
      </c>
      <c r="AB484" s="48" t="s">
        <v>43</v>
      </c>
      <c r="AC484" s="75">
        <v>3250</v>
      </c>
      <c r="AD484" s="75">
        <v>2910</v>
      </c>
      <c r="AE484" s="80">
        <v>2845</v>
      </c>
      <c r="AF484" s="80">
        <v>2560</v>
      </c>
      <c r="AG484" s="80">
        <v>2175</v>
      </c>
    </row>
    <row r="485" ht="14" customHeight="1" spans="1:33">
      <c r="A485" s="43"/>
      <c r="B485" s="43"/>
      <c r="C485" s="43"/>
      <c r="D485" s="43"/>
      <c r="E485" s="48"/>
      <c r="F485" s="48"/>
      <c r="G485" s="43"/>
      <c r="H485" s="48"/>
      <c r="I485" s="76"/>
      <c r="J485" s="76"/>
      <c r="K485" s="84"/>
      <c r="L485" s="84"/>
      <c r="M485" s="84"/>
      <c r="N485" s="63"/>
      <c r="O485" s="63"/>
      <c r="P485" s="63"/>
      <c r="Q485" s="45"/>
      <c r="R485" s="45"/>
      <c r="S485" s="45"/>
      <c r="T485" s="69"/>
      <c r="U485" s="49"/>
      <c r="V485" s="45" t="s">
        <v>1388</v>
      </c>
      <c r="W485" s="45">
        <v>33110201603</v>
      </c>
      <c r="X485" s="45" t="s">
        <v>1389</v>
      </c>
      <c r="Y485" s="43" t="s">
        <v>43</v>
      </c>
      <c r="Z485" s="71" t="s">
        <v>43</v>
      </c>
      <c r="AA485" s="71" t="s">
        <v>40</v>
      </c>
      <c r="AB485" s="48" t="s">
        <v>43</v>
      </c>
      <c r="AC485" s="75">
        <v>4050</v>
      </c>
      <c r="AD485" s="75">
        <v>3630</v>
      </c>
      <c r="AE485" s="80">
        <v>3470</v>
      </c>
      <c r="AF485" s="80">
        <v>3160</v>
      </c>
      <c r="AG485" s="80">
        <v>2685</v>
      </c>
    </row>
    <row r="486" ht="14" customHeight="1" spans="1:33">
      <c r="A486" s="43"/>
      <c r="B486" s="43"/>
      <c r="C486" s="43"/>
      <c r="D486" s="43"/>
      <c r="E486" s="48"/>
      <c r="F486" s="48"/>
      <c r="G486" s="43"/>
      <c r="H486" s="48"/>
      <c r="I486" s="76"/>
      <c r="J486" s="76"/>
      <c r="K486" s="84"/>
      <c r="L486" s="84"/>
      <c r="M486" s="84"/>
      <c r="N486" s="63"/>
      <c r="O486" s="63"/>
      <c r="P486" s="63"/>
      <c r="Q486" s="45"/>
      <c r="R486" s="45"/>
      <c r="S486" s="45"/>
      <c r="T486" s="69"/>
      <c r="U486" s="49"/>
      <c r="V486" s="45" t="s">
        <v>1390</v>
      </c>
      <c r="W486" s="45">
        <v>33110200201</v>
      </c>
      <c r="X486" s="45" t="s">
        <v>1391</v>
      </c>
      <c r="Y486" s="43" t="s">
        <v>43</v>
      </c>
      <c r="Z486" s="71" t="s">
        <v>43</v>
      </c>
      <c r="AA486" s="71" t="s">
        <v>40</v>
      </c>
      <c r="AB486" s="48" t="s">
        <v>43</v>
      </c>
      <c r="AC486" s="75">
        <v>3990</v>
      </c>
      <c r="AD486" s="75">
        <v>3590</v>
      </c>
      <c r="AE486" s="80">
        <v>3510</v>
      </c>
      <c r="AF486" s="80">
        <v>3160</v>
      </c>
      <c r="AG486" s="80">
        <v>2685</v>
      </c>
    </row>
    <row r="487" ht="14" customHeight="1" spans="1:33">
      <c r="A487" s="43"/>
      <c r="B487" s="43"/>
      <c r="C487" s="43"/>
      <c r="D487" s="43"/>
      <c r="E487" s="48"/>
      <c r="F487" s="48"/>
      <c r="G487" s="43"/>
      <c r="H487" s="48"/>
      <c r="I487" s="76"/>
      <c r="J487" s="76"/>
      <c r="K487" s="84"/>
      <c r="L487" s="84"/>
      <c r="M487" s="84"/>
      <c r="N487" s="63"/>
      <c r="O487" s="63"/>
      <c r="P487" s="63"/>
      <c r="Q487" s="45"/>
      <c r="R487" s="45"/>
      <c r="S487" s="45"/>
      <c r="T487" s="69"/>
      <c r="U487" s="49"/>
      <c r="V487" s="45" t="s">
        <v>1392</v>
      </c>
      <c r="W487" s="45">
        <v>33110200203</v>
      </c>
      <c r="X487" s="45" t="s">
        <v>1393</v>
      </c>
      <c r="Y487" s="43" t="s">
        <v>43</v>
      </c>
      <c r="Z487" s="71" t="s">
        <v>43</v>
      </c>
      <c r="AA487" s="71" t="s">
        <v>40</v>
      </c>
      <c r="AB487" s="48" t="s">
        <v>43</v>
      </c>
      <c r="AC487" s="75">
        <v>4790</v>
      </c>
      <c r="AD487" s="75">
        <v>4310</v>
      </c>
      <c r="AE487" s="80">
        <v>4135</v>
      </c>
      <c r="AF487" s="80">
        <v>3760</v>
      </c>
      <c r="AG487" s="80">
        <v>3195</v>
      </c>
    </row>
    <row r="488" ht="14" customHeight="1" spans="1:33">
      <c r="A488" s="43"/>
      <c r="B488" s="43"/>
      <c r="C488" s="43"/>
      <c r="D488" s="43"/>
      <c r="E488" s="48"/>
      <c r="F488" s="48"/>
      <c r="G488" s="43"/>
      <c r="H488" s="48"/>
      <c r="I488" s="76"/>
      <c r="J488" s="76"/>
      <c r="K488" s="84"/>
      <c r="L488" s="84"/>
      <c r="M488" s="84"/>
      <c r="N488" s="63"/>
      <c r="O488" s="63"/>
      <c r="P488" s="63"/>
      <c r="Q488" s="45"/>
      <c r="R488" s="45"/>
      <c r="S488" s="45"/>
      <c r="T488" s="69"/>
      <c r="U488" s="49"/>
      <c r="V488" s="45" t="s">
        <v>1394</v>
      </c>
      <c r="W488" s="45">
        <v>33110402101</v>
      </c>
      <c r="X488" s="45" t="s">
        <v>1395</v>
      </c>
      <c r="Y488" s="43" t="s">
        <v>43</v>
      </c>
      <c r="Z488" s="71" t="s">
        <v>43</v>
      </c>
      <c r="AA488" s="71" t="s">
        <v>40</v>
      </c>
      <c r="AB488" s="48" t="s">
        <v>43</v>
      </c>
      <c r="AC488" s="75">
        <v>1405</v>
      </c>
      <c r="AD488" s="75">
        <v>1260</v>
      </c>
      <c r="AE488" s="80">
        <v>1300</v>
      </c>
      <c r="AF488" s="80">
        <v>1250</v>
      </c>
      <c r="AG488" s="80">
        <v>1065</v>
      </c>
    </row>
    <row r="489" ht="14" customHeight="1" spans="1:33">
      <c r="A489" s="43"/>
      <c r="B489" s="43"/>
      <c r="C489" s="43"/>
      <c r="D489" s="43"/>
      <c r="E489" s="48"/>
      <c r="F489" s="48"/>
      <c r="G489" s="43"/>
      <c r="H489" s="48"/>
      <c r="I489" s="76"/>
      <c r="J489" s="76"/>
      <c r="K489" s="84"/>
      <c r="L489" s="84"/>
      <c r="M489" s="84"/>
      <c r="N489" s="63"/>
      <c r="O489" s="63"/>
      <c r="P489" s="63"/>
      <c r="Q489" s="45"/>
      <c r="R489" s="45"/>
      <c r="S489" s="45"/>
      <c r="T489" s="69"/>
      <c r="U489" s="49"/>
      <c r="V489" s="45" t="s">
        <v>1396</v>
      </c>
      <c r="W489" s="45">
        <v>33110201701</v>
      </c>
      <c r="X489" s="45" t="s">
        <v>1397</v>
      </c>
      <c r="Y489" s="43" t="s">
        <v>43</v>
      </c>
      <c r="Z489" s="71" t="s">
        <v>43</v>
      </c>
      <c r="AA489" s="71" t="s">
        <v>40</v>
      </c>
      <c r="AB489" s="48" t="s">
        <v>43</v>
      </c>
      <c r="AC489" s="75">
        <v>3495</v>
      </c>
      <c r="AD489" s="75">
        <v>3145</v>
      </c>
      <c r="AE489" s="80">
        <v>3070</v>
      </c>
      <c r="AF489" s="80">
        <v>2755</v>
      </c>
      <c r="AG489" s="80">
        <v>2340</v>
      </c>
    </row>
    <row r="490" ht="14" customHeight="1" spans="1:33">
      <c r="A490" s="43"/>
      <c r="B490" s="43"/>
      <c r="C490" s="43"/>
      <c r="D490" s="43"/>
      <c r="E490" s="48"/>
      <c r="F490" s="48"/>
      <c r="G490" s="43"/>
      <c r="H490" s="48"/>
      <c r="I490" s="76"/>
      <c r="J490" s="76"/>
      <c r="K490" s="84"/>
      <c r="L490" s="84"/>
      <c r="M490" s="84"/>
      <c r="N490" s="63"/>
      <c r="O490" s="63"/>
      <c r="P490" s="63"/>
      <c r="Q490" s="45"/>
      <c r="R490" s="45"/>
      <c r="S490" s="45"/>
      <c r="T490" s="69"/>
      <c r="U490" s="49"/>
      <c r="V490" s="45" t="s">
        <v>1398</v>
      </c>
      <c r="W490" s="45">
        <v>33110201703</v>
      </c>
      <c r="X490" s="45" t="s">
        <v>1399</v>
      </c>
      <c r="Y490" s="43" t="s">
        <v>43</v>
      </c>
      <c r="Z490" s="71" t="s">
        <v>43</v>
      </c>
      <c r="AA490" s="71" t="s">
        <v>40</v>
      </c>
      <c r="AB490" s="48" t="s">
        <v>43</v>
      </c>
      <c r="AC490" s="75">
        <v>4295</v>
      </c>
      <c r="AD490" s="75">
        <v>3865</v>
      </c>
      <c r="AE490" s="80">
        <v>3695</v>
      </c>
      <c r="AF490" s="80">
        <v>3355</v>
      </c>
      <c r="AG490" s="80">
        <v>2850</v>
      </c>
    </row>
    <row r="491" ht="14" customHeight="1" spans="1:33">
      <c r="A491" s="43"/>
      <c r="B491" s="43"/>
      <c r="C491" s="43"/>
      <c r="D491" s="43"/>
      <c r="E491" s="48"/>
      <c r="F491" s="48"/>
      <c r="G491" s="43"/>
      <c r="H491" s="48"/>
      <c r="I491" s="76"/>
      <c r="J491" s="76"/>
      <c r="K491" s="84"/>
      <c r="L491" s="84"/>
      <c r="M491" s="84"/>
      <c r="N491" s="63"/>
      <c r="O491" s="63"/>
      <c r="P491" s="63"/>
      <c r="Q491" s="45"/>
      <c r="R491" s="45"/>
      <c r="S491" s="45"/>
      <c r="T491" s="69"/>
      <c r="U491" s="49"/>
      <c r="V491" s="45" t="s">
        <v>1400</v>
      </c>
      <c r="W491" s="45">
        <v>33110401601</v>
      </c>
      <c r="X491" s="45" t="s">
        <v>1401</v>
      </c>
      <c r="Y491" s="43" t="s">
        <v>43</v>
      </c>
      <c r="Z491" s="71" t="s">
        <v>43</v>
      </c>
      <c r="AA491" s="71" t="s">
        <v>40</v>
      </c>
      <c r="AB491" s="48" t="s">
        <v>43</v>
      </c>
      <c r="AC491" s="75">
        <v>3495</v>
      </c>
      <c r="AD491" s="75">
        <v>3145</v>
      </c>
      <c r="AE491" s="80">
        <v>3070</v>
      </c>
      <c r="AF491" s="80">
        <v>2755</v>
      </c>
      <c r="AG491" s="80">
        <v>2340</v>
      </c>
    </row>
    <row r="492" ht="14" customHeight="1" spans="1:33">
      <c r="A492" s="43"/>
      <c r="B492" s="43"/>
      <c r="C492" s="43"/>
      <c r="D492" s="43"/>
      <c r="E492" s="48"/>
      <c r="F492" s="48"/>
      <c r="G492" s="43"/>
      <c r="H492" s="48"/>
      <c r="I492" s="76"/>
      <c r="J492" s="76"/>
      <c r="K492" s="84"/>
      <c r="L492" s="84"/>
      <c r="M492" s="84"/>
      <c r="N492" s="63"/>
      <c r="O492" s="63"/>
      <c r="P492" s="63"/>
      <c r="Q492" s="45"/>
      <c r="R492" s="45"/>
      <c r="S492" s="45"/>
      <c r="T492" s="69"/>
      <c r="U492" s="49"/>
      <c r="V492" s="45" t="s">
        <v>1402</v>
      </c>
      <c r="W492" s="45">
        <v>33110400401</v>
      </c>
      <c r="X492" s="45" t="s">
        <v>1403</v>
      </c>
      <c r="Y492" s="43" t="s">
        <v>43</v>
      </c>
      <c r="Z492" s="71" t="s">
        <v>43</v>
      </c>
      <c r="AA492" s="71" t="s">
        <v>40</v>
      </c>
      <c r="AB492" s="48" t="s">
        <v>43</v>
      </c>
      <c r="AC492" s="75">
        <v>1755</v>
      </c>
      <c r="AD492" s="75">
        <v>1580</v>
      </c>
      <c r="AE492" s="80">
        <v>1625</v>
      </c>
      <c r="AF492" s="80">
        <v>1560</v>
      </c>
      <c r="AG492" s="80">
        <v>1325</v>
      </c>
    </row>
    <row r="493" ht="14" customHeight="1" spans="1:33">
      <c r="A493" s="43"/>
      <c r="B493" s="43"/>
      <c r="C493" s="43"/>
      <c r="D493" s="43"/>
      <c r="E493" s="48"/>
      <c r="F493" s="48"/>
      <c r="G493" s="43"/>
      <c r="H493" s="48"/>
      <c r="I493" s="76"/>
      <c r="J493" s="76"/>
      <c r="K493" s="84"/>
      <c r="L493" s="84"/>
      <c r="M493" s="84"/>
      <c r="N493" s="63"/>
      <c r="O493" s="63"/>
      <c r="P493" s="63"/>
      <c r="Q493" s="45"/>
      <c r="R493" s="45"/>
      <c r="S493" s="45"/>
      <c r="T493" s="69"/>
      <c r="U493" s="49"/>
      <c r="V493" s="45" t="s">
        <v>1404</v>
      </c>
      <c r="W493" s="45">
        <v>33110400403</v>
      </c>
      <c r="X493" s="45" t="s">
        <v>1405</v>
      </c>
      <c r="Y493" s="43" t="s">
        <v>43</v>
      </c>
      <c r="Z493" s="71" t="s">
        <v>43</v>
      </c>
      <c r="AA493" s="71" t="s">
        <v>40</v>
      </c>
      <c r="AB493" s="48" t="s">
        <v>43</v>
      </c>
      <c r="AC493" s="75">
        <v>2005</v>
      </c>
      <c r="AD493" s="75">
        <v>1805</v>
      </c>
      <c r="AE493" s="80">
        <v>1875</v>
      </c>
      <c r="AF493" s="80">
        <v>1785</v>
      </c>
      <c r="AG493" s="80">
        <v>1515</v>
      </c>
    </row>
    <row r="494" ht="14" customHeight="1" spans="1:33">
      <c r="A494" s="43"/>
      <c r="B494" s="43"/>
      <c r="C494" s="43"/>
      <c r="D494" s="43"/>
      <c r="E494" s="48"/>
      <c r="F494" s="48"/>
      <c r="G494" s="43"/>
      <c r="H494" s="48"/>
      <c r="I494" s="76"/>
      <c r="J494" s="76"/>
      <c r="K494" s="84"/>
      <c r="L494" s="84"/>
      <c r="M494" s="84"/>
      <c r="N494" s="63"/>
      <c r="O494" s="63"/>
      <c r="P494" s="63"/>
      <c r="Q494" s="45"/>
      <c r="R494" s="45"/>
      <c r="S494" s="45"/>
      <c r="T494" s="69"/>
      <c r="U494" s="49"/>
      <c r="V494" s="45" t="s">
        <v>1406</v>
      </c>
      <c r="W494" s="45">
        <v>33110400201</v>
      </c>
      <c r="X494" s="45" t="s">
        <v>1407</v>
      </c>
      <c r="Y494" s="43" t="s">
        <v>43</v>
      </c>
      <c r="Z494" s="71" t="s">
        <v>43</v>
      </c>
      <c r="AA494" s="71" t="s">
        <v>40</v>
      </c>
      <c r="AB494" s="48" t="s">
        <v>43</v>
      </c>
      <c r="AC494" s="75">
        <v>2745</v>
      </c>
      <c r="AD494" s="75">
        <v>2470</v>
      </c>
      <c r="AE494" s="80">
        <v>2420</v>
      </c>
      <c r="AF494" s="80">
        <v>2170</v>
      </c>
      <c r="AG494" s="80">
        <v>1845</v>
      </c>
    </row>
    <row r="495" ht="14" customHeight="1" spans="1:33">
      <c r="A495" s="43"/>
      <c r="B495" s="43"/>
      <c r="C495" s="43"/>
      <c r="D495" s="43"/>
      <c r="E495" s="48"/>
      <c r="F495" s="48"/>
      <c r="G495" s="43"/>
      <c r="H495" s="48"/>
      <c r="I495" s="76"/>
      <c r="J495" s="76"/>
      <c r="K495" s="84"/>
      <c r="L495" s="84"/>
      <c r="M495" s="84"/>
      <c r="N495" s="63"/>
      <c r="O495" s="63"/>
      <c r="P495" s="63"/>
      <c r="Q495" s="45"/>
      <c r="R495" s="45"/>
      <c r="S495" s="45"/>
      <c r="T495" s="69"/>
      <c r="U495" s="49"/>
      <c r="V495" s="45" t="s">
        <v>1408</v>
      </c>
      <c r="W495" s="45">
        <v>33110400203</v>
      </c>
      <c r="X495" s="45" t="s">
        <v>1409</v>
      </c>
      <c r="Y495" s="43" t="s">
        <v>43</v>
      </c>
      <c r="Z495" s="71" t="s">
        <v>43</v>
      </c>
      <c r="AA495" s="71" t="s">
        <v>40</v>
      </c>
      <c r="AB495" s="48" t="s">
        <v>43</v>
      </c>
      <c r="AC495" s="75">
        <v>2995</v>
      </c>
      <c r="AD495" s="75">
        <v>2695</v>
      </c>
      <c r="AE495" s="80">
        <v>2670</v>
      </c>
      <c r="AF495" s="80">
        <v>2395</v>
      </c>
      <c r="AG495" s="80">
        <v>2035</v>
      </c>
    </row>
    <row r="496" ht="14" customHeight="1" spans="1:33">
      <c r="A496" s="43"/>
      <c r="B496" s="43"/>
      <c r="C496" s="43"/>
      <c r="D496" s="43"/>
      <c r="E496" s="48"/>
      <c r="F496" s="48"/>
      <c r="G496" s="43"/>
      <c r="H496" s="48"/>
      <c r="I496" s="76"/>
      <c r="J496" s="76"/>
      <c r="K496" s="84"/>
      <c r="L496" s="84"/>
      <c r="M496" s="84"/>
      <c r="N496" s="63"/>
      <c r="O496" s="63"/>
      <c r="P496" s="63"/>
      <c r="Q496" s="45"/>
      <c r="R496" s="45"/>
      <c r="S496" s="45"/>
      <c r="T496" s="69"/>
      <c r="U496" s="49"/>
      <c r="V496" s="45" t="s">
        <v>1410</v>
      </c>
      <c r="W496" s="45">
        <v>33110400101</v>
      </c>
      <c r="X496" s="45" t="s">
        <v>1411</v>
      </c>
      <c r="Y496" s="43" t="s">
        <v>43</v>
      </c>
      <c r="Z496" s="71" t="s">
        <v>43</v>
      </c>
      <c r="AA496" s="71" t="s">
        <v>40</v>
      </c>
      <c r="AB496" s="48" t="s">
        <v>43</v>
      </c>
      <c r="AC496" s="75">
        <v>3745</v>
      </c>
      <c r="AD496" s="75">
        <v>3365</v>
      </c>
      <c r="AE496" s="80">
        <v>3290</v>
      </c>
      <c r="AF496" s="80">
        <v>2965</v>
      </c>
      <c r="AG496" s="80">
        <v>2520</v>
      </c>
    </row>
    <row r="497" ht="14" customHeight="1" spans="1:33">
      <c r="A497" s="43"/>
      <c r="B497" s="43"/>
      <c r="C497" s="43"/>
      <c r="D497" s="43"/>
      <c r="E497" s="48"/>
      <c r="F497" s="48"/>
      <c r="G497" s="43"/>
      <c r="H497" s="48"/>
      <c r="I497" s="76"/>
      <c r="J497" s="76"/>
      <c r="K497" s="84"/>
      <c r="L497" s="84"/>
      <c r="M497" s="84"/>
      <c r="N497" s="63"/>
      <c r="O497" s="63"/>
      <c r="P497" s="63"/>
      <c r="Q497" s="45"/>
      <c r="R497" s="45"/>
      <c r="S497" s="45"/>
      <c r="T497" s="69"/>
      <c r="U497" s="49"/>
      <c r="V497" s="45" t="s">
        <v>1412</v>
      </c>
      <c r="W497" s="45">
        <v>33110400103</v>
      </c>
      <c r="X497" s="45" t="s">
        <v>1413</v>
      </c>
      <c r="Y497" s="43" t="s">
        <v>43</v>
      </c>
      <c r="Z497" s="71" t="s">
        <v>43</v>
      </c>
      <c r="AA497" s="71" t="s">
        <v>40</v>
      </c>
      <c r="AB497" s="48" t="s">
        <v>43</v>
      </c>
      <c r="AC497" s="75">
        <v>3995</v>
      </c>
      <c r="AD497" s="75">
        <v>3590</v>
      </c>
      <c r="AE497" s="80">
        <v>3540</v>
      </c>
      <c r="AF497" s="80">
        <v>3190</v>
      </c>
      <c r="AG497" s="80">
        <v>2710</v>
      </c>
    </row>
    <row r="498" ht="14" customHeight="1" spans="1:33">
      <c r="A498" s="43"/>
      <c r="B498" s="43"/>
      <c r="C498" s="43"/>
      <c r="D498" s="43"/>
      <c r="E498" s="48"/>
      <c r="F498" s="48"/>
      <c r="G498" s="43"/>
      <c r="H498" s="48"/>
      <c r="I498" s="76"/>
      <c r="J498" s="76"/>
      <c r="K498" s="84"/>
      <c r="L498" s="84"/>
      <c r="M498" s="84"/>
      <c r="N498" s="63"/>
      <c r="O498" s="63"/>
      <c r="P498" s="63"/>
      <c r="Q498" s="45"/>
      <c r="R498" s="45"/>
      <c r="S498" s="45"/>
      <c r="T498" s="69"/>
      <c r="U498" s="49"/>
      <c r="V498" s="45" t="s">
        <v>1414</v>
      </c>
      <c r="W498" s="45">
        <v>33110401301</v>
      </c>
      <c r="X498" s="45" t="s">
        <v>1415</v>
      </c>
      <c r="Y498" s="43" t="s">
        <v>43</v>
      </c>
      <c r="Z498" s="71" t="s">
        <v>43</v>
      </c>
      <c r="AA498" s="71" t="s">
        <v>40</v>
      </c>
      <c r="AB498" s="48" t="s">
        <v>43</v>
      </c>
      <c r="AC498" s="75">
        <v>3745</v>
      </c>
      <c r="AD498" s="75">
        <v>3365</v>
      </c>
      <c r="AE498" s="80">
        <v>3290</v>
      </c>
      <c r="AF498" s="80">
        <v>2965</v>
      </c>
      <c r="AG498" s="80">
        <v>2520</v>
      </c>
    </row>
    <row r="499" ht="14" customHeight="1" spans="1:33">
      <c r="A499" s="43"/>
      <c r="B499" s="43"/>
      <c r="C499" s="43"/>
      <c r="D499" s="43"/>
      <c r="E499" s="48"/>
      <c r="F499" s="48"/>
      <c r="G499" s="43"/>
      <c r="H499" s="48"/>
      <c r="I499" s="76"/>
      <c r="J499" s="76"/>
      <c r="K499" s="84"/>
      <c r="L499" s="84"/>
      <c r="M499" s="84"/>
      <c r="N499" s="63"/>
      <c r="O499" s="63"/>
      <c r="P499" s="63"/>
      <c r="Q499" s="45"/>
      <c r="R499" s="45"/>
      <c r="S499" s="45"/>
      <c r="T499" s="69"/>
      <c r="U499" s="49"/>
      <c r="V499" s="45" t="s">
        <v>1416</v>
      </c>
      <c r="W499" s="45">
        <v>33110401303</v>
      </c>
      <c r="X499" s="45" t="s">
        <v>1417</v>
      </c>
      <c r="Y499" s="43" t="s">
        <v>43</v>
      </c>
      <c r="Z499" s="71" t="s">
        <v>43</v>
      </c>
      <c r="AA499" s="71" t="s">
        <v>40</v>
      </c>
      <c r="AB499" s="48" t="s">
        <v>43</v>
      </c>
      <c r="AC499" s="75">
        <v>3995</v>
      </c>
      <c r="AD499" s="75">
        <v>3590</v>
      </c>
      <c r="AE499" s="80">
        <v>3540</v>
      </c>
      <c r="AF499" s="80">
        <v>3190</v>
      </c>
      <c r="AG499" s="80">
        <v>2710</v>
      </c>
    </row>
    <row r="500" ht="14" customHeight="1" spans="1:33">
      <c r="A500" s="43"/>
      <c r="B500" s="43"/>
      <c r="C500" s="43"/>
      <c r="D500" s="43"/>
      <c r="E500" s="48"/>
      <c r="F500" s="48"/>
      <c r="G500" s="43"/>
      <c r="H500" s="48"/>
      <c r="I500" s="76"/>
      <c r="J500" s="76"/>
      <c r="K500" s="84"/>
      <c r="L500" s="84"/>
      <c r="M500" s="84"/>
      <c r="N500" s="63"/>
      <c r="O500" s="63"/>
      <c r="P500" s="63"/>
      <c r="Q500" s="45"/>
      <c r="R500" s="45"/>
      <c r="S500" s="45"/>
      <c r="T500" s="69"/>
      <c r="U500" s="49"/>
      <c r="V500" s="45" t="s">
        <v>1418</v>
      </c>
      <c r="W500" s="45">
        <v>33110400301</v>
      </c>
      <c r="X500" s="45" t="s">
        <v>1419</v>
      </c>
      <c r="Y500" s="43" t="s">
        <v>43</v>
      </c>
      <c r="Z500" s="71" t="s">
        <v>43</v>
      </c>
      <c r="AA500" s="71" t="s">
        <v>40</v>
      </c>
      <c r="AB500" s="48" t="s">
        <v>43</v>
      </c>
      <c r="AC500" s="75">
        <v>2495</v>
      </c>
      <c r="AD500" s="75">
        <v>2250</v>
      </c>
      <c r="AE500" s="80">
        <v>2195</v>
      </c>
      <c r="AF500" s="80">
        <v>1975</v>
      </c>
      <c r="AG500" s="80">
        <v>1680</v>
      </c>
    </row>
    <row r="501" ht="14" customHeight="1" spans="1:33">
      <c r="A501" s="43"/>
      <c r="B501" s="43"/>
      <c r="C501" s="43"/>
      <c r="D501" s="43"/>
      <c r="E501" s="48"/>
      <c r="F501" s="48"/>
      <c r="G501" s="43"/>
      <c r="H501" s="48"/>
      <c r="I501" s="76"/>
      <c r="J501" s="76"/>
      <c r="K501" s="84"/>
      <c r="L501" s="84"/>
      <c r="M501" s="84"/>
      <c r="N501" s="63"/>
      <c r="O501" s="63"/>
      <c r="P501" s="63"/>
      <c r="Q501" s="45"/>
      <c r="R501" s="45"/>
      <c r="S501" s="45"/>
      <c r="T501" s="69"/>
      <c r="U501" s="49"/>
      <c r="V501" s="45" t="s">
        <v>1420</v>
      </c>
      <c r="W501" s="45">
        <v>33110400303</v>
      </c>
      <c r="X501" s="45" t="s">
        <v>1421</v>
      </c>
      <c r="Y501" s="43" t="s">
        <v>43</v>
      </c>
      <c r="Z501" s="71" t="s">
        <v>43</v>
      </c>
      <c r="AA501" s="71" t="s">
        <v>40</v>
      </c>
      <c r="AB501" s="48" t="s">
        <v>43</v>
      </c>
      <c r="AC501" s="75">
        <v>2745</v>
      </c>
      <c r="AD501" s="75">
        <v>2475</v>
      </c>
      <c r="AE501" s="80">
        <v>2445</v>
      </c>
      <c r="AF501" s="80">
        <v>2200</v>
      </c>
      <c r="AG501" s="80">
        <v>1870</v>
      </c>
    </row>
    <row r="502" ht="14" customHeight="1" spans="1:34">
      <c r="A502" s="43"/>
      <c r="B502" s="43"/>
      <c r="C502" s="43"/>
      <c r="D502" s="43"/>
      <c r="E502" s="48"/>
      <c r="F502" s="48"/>
      <c r="G502" s="43"/>
      <c r="H502" s="48"/>
      <c r="I502" s="76"/>
      <c r="J502" s="76"/>
      <c r="K502" s="84"/>
      <c r="L502" s="84"/>
      <c r="M502" s="84"/>
      <c r="N502" s="63"/>
      <c r="O502" s="63"/>
      <c r="P502" s="63"/>
      <c r="Q502" s="45"/>
      <c r="R502" s="45"/>
      <c r="S502" s="45"/>
      <c r="T502" s="69"/>
      <c r="U502" s="49"/>
      <c r="V502" s="55" t="s">
        <v>1422</v>
      </c>
      <c r="W502" s="55">
        <v>33110100201</v>
      </c>
      <c r="X502" s="55" t="s">
        <v>1423</v>
      </c>
      <c r="Y502" s="54" t="s">
        <v>43</v>
      </c>
      <c r="Z502" s="93" t="s">
        <v>43</v>
      </c>
      <c r="AA502" s="93" t="s">
        <v>40</v>
      </c>
      <c r="AB502" s="94" t="s">
        <v>43</v>
      </c>
      <c r="AC502" s="75">
        <v>2990</v>
      </c>
      <c r="AD502" s="75">
        <v>2705</v>
      </c>
      <c r="AE502" s="80">
        <v>2640</v>
      </c>
      <c r="AF502" s="80">
        <v>2380</v>
      </c>
      <c r="AG502" s="80">
        <v>2025</v>
      </c>
      <c r="AH502" s="32" t="s">
        <v>549</v>
      </c>
    </row>
    <row r="503" ht="14" customHeight="1" spans="1:34">
      <c r="A503" s="43"/>
      <c r="B503" s="43"/>
      <c r="C503" s="43"/>
      <c r="D503" s="43"/>
      <c r="E503" s="48"/>
      <c r="F503" s="48"/>
      <c r="G503" s="43"/>
      <c r="H503" s="48"/>
      <c r="I503" s="76"/>
      <c r="J503" s="76"/>
      <c r="K503" s="84"/>
      <c r="L503" s="84"/>
      <c r="M503" s="84"/>
      <c r="N503" s="63"/>
      <c r="O503" s="63"/>
      <c r="P503" s="63"/>
      <c r="Q503" s="45"/>
      <c r="R503" s="45"/>
      <c r="S503" s="45"/>
      <c r="T503" s="69"/>
      <c r="U503" s="49"/>
      <c r="V503" s="55" t="s">
        <v>1424</v>
      </c>
      <c r="W503" s="55">
        <v>33110100203</v>
      </c>
      <c r="X503" s="55" t="s">
        <v>1425</v>
      </c>
      <c r="Y503" s="54" t="s">
        <v>43</v>
      </c>
      <c r="Z503" s="93" t="s">
        <v>43</v>
      </c>
      <c r="AA503" s="93" t="s">
        <v>40</v>
      </c>
      <c r="AB503" s="94" t="s">
        <v>43</v>
      </c>
      <c r="AC503" s="75">
        <v>3790</v>
      </c>
      <c r="AD503" s="75">
        <v>3425</v>
      </c>
      <c r="AE503" s="80">
        <v>3265</v>
      </c>
      <c r="AF503" s="80">
        <v>2980</v>
      </c>
      <c r="AG503" s="80">
        <v>2535</v>
      </c>
      <c r="AH503" s="32" t="s">
        <v>549</v>
      </c>
    </row>
    <row r="504" ht="14" customHeight="1" spans="1:34">
      <c r="A504" s="43"/>
      <c r="B504" s="43"/>
      <c r="C504" s="43"/>
      <c r="D504" s="43"/>
      <c r="E504" s="48"/>
      <c r="F504" s="48"/>
      <c r="G504" s="43"/>
      <c r="H504" s="48"/>
      <c r="I504" s="76"/>
      <c r="J504" s="76"/>
      <c r="K504" s="84"/>
      <c r="L504" s="84"/>
      <c r="M504" s="84"/>
      <c r="N504" s="63"/>
      <c r="O504" s="63"/>
      <c r="P504" s="63"/>
      <c r="Q504" s="45"/>
      <c r="R504" s="45"/>
      <c r="S504" s="45"/>
      <c r="T504" s="69"/>
      <c r="U504" s="49"/>
      <c r="V504" s="55" t="s">
        <v>1426</v>
      </c>
      <c r="W504" s="55">
        <v>33110100301</v>
      </c>
      <c r="X504" s="55" t="s">
        <v>1427</v>
      </c>
      <c r="Y504" s="54" t="s">
        <v>43</v>
      </c>
      <c r="Z504" s="93" t="s">
        <v>43</v>
      </c>
      <c r="AA504" s="93" t="s">
        <v>40</v>
      </c>
      <c r="AB504" s="94" t="s">
        <v>43</v>
      </c>
      <c r="AC504" s="75">
        <v>3495</v>
      </c>
      <c r="AD504" s="75">
        <v>3145</v>
      </c>
      <c r="AE504" s="80">
        <v>3070</v>
      </c>
      <c r="AF504" s="80">
        <v>2755</v>
      </c>
      <c r="AG504" s="80">
        <v>2340</v>
      </c>
      <c r="AH504" s="32" t="s">
        <v>549</v>
      </c>
    </row>
    <row r="505" ht="14" customHeight="1" spans="1:34">
      <c r="A505" s="43"/>
      <c r="B505" s="43"/>
      <c r="C505" s="43"/>
      <c r="D505" s="43"/>
      <c r="E505" s="48"/>
      <c r="F505" s="48"/>
      <c r="G505" s="43"/>
      <c r="H505" s="48"/>
      <c r="I505" s="76"/>
      <c r="J505" s="76"/>
      <c r="K505" s="84"/>
      <c r="L505" s="84"/>
      <c r="M505" s="84"/>
      <c r="N505" s="63"/>
      <c r="O505" s="63"/>
      <c r="P505" s="63"/>
      <c r="Q505" s="45"/>
      <c r="R505" s="45"/>
      <c r="S505" s="45"/>
      <c r="T505" s="69"/>
      <c r="U505" s="49"/>
      <c r="V505" s="55" t="s">
        <v>1428</v>
      </c>
      <c r="W505" s="55">
        <v>33110100303</v>
      </c>
      <c r="X505" s="55" t="s">
        <v>1429</v>
      </c>
      <c r="Y505" s="54" t="s">
        <v>43</v>
      </c>
      <c r="Z505" s="93" t="s">
        <v>43</v>
      </c>
      <c r="AA505" s="93" t="s">
        <v>40</v>
      </c>
      <c r="AB505" s="94" t="s">
        <v>43</v>
      </c>
      <c r="AC505" s="75">
        <v>4295</v>
      </c>
      <c r="AD505" s="75">
        <v>3865</v>
      </c>
      <c r="AE505" s="80">
        <v>3695</v>
      </c>
      <c r="AF505" s="80">
        <v>3355</v>
      </c>
      <c r="AG505" s="80">
        <v>2850</v>
      </c>
      <c r="AH505" s="32" t="s">
        <v>549</v>
      </c>
    </row>
    <row r="506" ht="14" customHeight="1" spans="1:33">
      <c r="A506" s="45">
        <v>69</v>
      </c>
      <c r="B506" s="45" t="s">
        <v>1430</v>
      </c>
      <c r="C506" s="45" t="s">
        <v>1431</v>
      </c>
      <c r="D506" s="45" t="s">
        <v>213</v>
      </c>
      <c r="E506" s="49" t="s">
        <v>1432</v>
      </c>
      <c r="F506" s="49" t="s">
        <v>1304</v>
      </c>
      <c r="G506" s="45" t="s">
        <v>40</v>
      </c>
      <c r="H506" s="49" t="s">
        <v>1433</v>
      </c>
      <c r="I506" s="53">
        <v>3500</v>
      </c>
      <c r="J506" s="53">
        <v>3150</v>
      </c>
      <c r="K506" s="84">
        <v>2606.66666666667</v>
      </c>
      <c r="L506" s="84">
        <v>3800</v>
      </c>
      <c r="M506" s="84" t="e">
        <v>#DIV/0!</v>
      </c>
      <c r="N506" s="63">
        <v>3150</v>
      </c>
      <c r="O506" s="63">
        <v>2970</v>
      </c>
      <c r="P506" s="63">
        <v>2480</v>
      </c>
      <c r="Q506" s="45" t="s">
        <v>54</v>
      </c>
      <c r="R506" s="45" t="s">
        <v>43</v>
      </c>
      <c r="S506" s="45" t="s">
        <v>43</v>
      </c>
      <c r="T506" s="69" t="s">
        <v>67</v>
      </c>
      <c r="U506" s="49" t="s">
        <v>1434</v>
      </c>
      <c r="V506" s="43" t="s">
        <v>1435</v>
      </c>
      <c r="W506" s="71">
        <v>331102018</v>
      </c>
      <c r="X506" s="43" t="s">
        <v>1436</v>
      </c>
      <c r="Y506" s="43" t="s">
        <v>43</v>
      </c>
      <c r="Z506" s="71" t="s">
        <v>43</v>
      </c>
      <c r="AA506" s="71" t="s">
        <v>40</v>
      </c>
      <c r="AB506" s="48" t="s">
        <v>43</v>
      </c>
      <c r="AC506" s="75">
        <v>2500</v>
      </c>
      <c r="AD506" s="75">
        <v>2240</v>
      </c>
      <c r="AE506" s="80">
        <v>2190</v>
      </c>
      <c r="AF506" s="80">
        <v>1970</v>
      </c>
      <c r="AG506" s="80">
        <v>1670</v>
      </c>
    </row>
    <row r="507" ht="14" customHeight="1" spans="1:33">
      <c r="A507" s="45"/>
      <c r="B507" s="45"/>
      <c r="C507" s="45"/>
      <c r="D507" s="45"/>
      <c r="E507" s="49"/>
      <c r="F507" s="49"/>
      <c r="G507" s="45"/>
      <c r="H507" s="49"/>
      <c r="I507" s="53"/>
      <c r="J507" s="53"/>
      <c r="K507" s="84"/>
      <c r="L507" s="84"/>
      <c r="M507" s="84"/>
      <c r="N507" s="63"/>
      <c r="O507" s="63"/>
      <c r="P507" s="63"/>
      <c r="Q507" s="45"/>
      <c r="R507" s="45"/>
      <c r="S507" s="45"/>
      <c r="T507" s="69"/>
      <c r="U507" s="49"/>
      <c r="V507" s="43" t="s">
        <v>1437</v>
      </c>
      <c r="W507" s="71">
        <v>33110201802</v>
      </c>
      <c r="X507" s="43" t="s">
        <v>1438</v>
      </c>
      <c r="Y507" s="43" t="s">
        <v>43</v>
      </c>
      <c r="Z507" s="71" t="s">
        <v>43</v>
      </c>
      <c r="AA507" s="71" t="s">
        <v>40</v>
      </c>
      <c r="AB507" s="48" t="s">
        <v>43</v>
      </c>
      <c r="AC507" s="75">
        <v>3300</v>
      </c>
      <c r="AD507" s="75">
        <v>2960</v>
      </c>
      <c r="AE507" s="80">
        <v>2815</v>
      </c>
      <c r="AF507" s="80">
        <v>2570</v>
      </c>
      <c r="AG507" s="80">
        <v>2180</v>
      </c>
    </row>
    <row r="508" ht="14" customHeight="1" spans="1:33">
      <c r="A508" s="45"/>
      <c r="B508" s="45"/>
      <c r="C508" s="45"/>
      <c r="D508" s="45"/>
      <c r="E508" s="49"/>
      <c r="F508" s="49"/>
      <c r="G508" s="45"/>
      <c r="H508" s="49"/>
      <c r="I508" s="53"/>
      <c r="J508" s="53"/>
      <c r="K508" s="84"/>
      <c r="L508" s="84"/>
      <c r="M508" s="84"/>
      <c r="N508" s="63"/>
      <c r="O508" s="63"/>
      <c r="P508" s="63"/>
      <c r="Q508" s="45"/>
      <c r="R508" s="45"/>
      <c r="S508" s="45"/>
      <c r="T508" s="69"/>
      <c r="U508" s="49"/>
      <c r="V508" s="43" t="s">
        <v>1439</v>
      </c>
      <c r="W508" s="71">
        <v>331102019</v>
      </c>
      <c r="X508" s="43" t="s">
        <v>1440</v>
      </c>
      <c r="Y508" s="43" t="s">
        <v>43</v>
      </c>
      <c r="Z508" s="71" t="s">
        <v>43</v>
      </c>
      <c r="AA508" s="71" t="s">
        <v>40</v>
      </c>
      <c r="AB508" s="48" t="s">
        <v>43</v>
      </c>
      <c r="AC508" s="75">
        <v>2500</v>
      </c>
      <c r="AD508" s="75">
        <v>2240</v>
      </c>
      <c r="AE508" s="80">
        <v>2190</v>
      </c>
      <c r="AF508" s="80">
        <v>1970</v>
      </c>
      <c r="AG508" s="80">
        <v>1670</v>
      </c>
    </row>
    <row r="509" ht="14" customHeight="1" spans="1:33">
      <c r="A509" s="45"/>
      <c r="B509" s="45"/>
      <c r="C509" s="45"/>
      <c r="D509" s="45"/>
      <c r="E509" s="49"/>
      <c r="F509" s="49"/>
      <c r="G509" s="45"/>
      <c r="H509" s="49"/>
      <c r="I509" s="53"/>
      <c r="J509" s="53"/>
      <c r="K509" s="84"/>
      <c r="L509" s="84"/>
      <c r="M509" s="84"/>
      <c r="N509" s="63"/>
      <c r="O509" s="63"/>
      <c r="P509" s="63"/>
      <c r="Q509" s="45"/>
      <c r="R509" s="45"/>
      <c r="S509" s="45"/>
      <c r="T509" s="69"/>
      <c r="U509" s="49"/>
      <c r="V509" s="43" t="s">
        <v>1441</v>
      </c>
      <c r="W509" s="71">
        <v>33110201902</v>
      </c>
      <c r="X509" s="43" t="s">
        <v>1442</v>
      </c>
      <c r="Y509" s="43" t="s">
        <v>43</v>
      </c>
      <c r="Z509" s="71" t="s">
        <v>43</v>
      </c>
      <c r="AA509" s="71" t="s">
        <v>40</v>
      </c>
      <c r="AB509" s="48" t="s">
        <v>43</v>
      </c>
      <c r="AC509" s="75">
        <v>3300</v>
      </c>
      <c r="AD509" s="75">
        <v>2960</v>
      </c>
      <c r="AE509" s="80">
        <v>2815</v>
      </c>
      <c r="AF509" s="80">
        <v>2570</v>
      </c>
      <c r="AG509" s="80">
        <v>2180</v>
      </c>
    </row>
    <row r="510" ht="14" customHeight="1" spans="1:34">
      <c r="A510" s="45"/>
      <c r="B510" s="45"/>
      <c r="C510" s="45"/>
      <c r="D510" s="45"/>
      <c r="E510" s="49"/>
      <c r="F510" s="49"/>
      <c r="G510" s="45"/>
      <c r="H510" s="49"/>
      <c r="I510" s="53"/>
      <c r="J510" s="53"/>
      <c r="K510" s="84"/>
      <c r="L510" s="84"/>
      <c r="M510" s="84"/>
      <c r="N510" s="63"/>
      <c r="O510" s="63"/>
      <c r="P510" s="63"/>
      <c r="Q510" s="45"/>
      <c r="R510" s="45"/>
      <c r="S510" s="45"/>
      <c r="T510" s="69"/>
      <c r="U510" s="49"/>
      <c r="V510" s="54" t="s">
        <v>1362</v>
      </c>
      <c r="W510" s="93">
        <v>331101002</v>
      </c>
      <c r="X510" s="54" t="s">
        <v>1363</v>
      </c>
      <c r="Y510" s="54" t="s">
        <v>43</v>
      </c>
      <c r="Z510" s="93" t="s">
        <v>43</v>
      </c>
      <c r="AA510" s="93" t="s">
        <v>40</v>
      </c>
      <c r="AB510" s="94" t="s">
        <v>43</v>
      </c>
      <c r="AC510" s="75">
        <v>2300</v>
      </c>
      <c r="AD510" s="75">
        <v>2080</v>
      </c>
      <c r="AE510" s="80">
        <v>2030</v>
      </c>
      <c r="AF510" s="80">
        <v>1830</v>
      </c>
      <c r="AG510" s="80">
        <v>1560</v>
      </c>
      <c r="AH510" s="32" t="s">
        <v>549</v>
      </c>
    </row>
    <row r="511" ht="14" customHeight="1" spans="1:34">
      <c r="A511" s="45"/>
      <c r="B511" s="45"/>
      <c r="C511" s="45"/>
      <c r="D511" s="45"/>
      <c r="E511" s="49"/>
      <c r="F511" s="49"/>
      <c r="G511" s="45"/>
      <c r="H511" s="49"/>
      <c r="I511" s="53"/>
      <c r="J511" s="53"/>
      <c r="K511" s="84"/>
      <c r="L511" s="84"/>
      <c r="M511" s="84"/>
      <c r="N511" s="63"/>
      <c r="O511" s="63"/>
      <c r="P511" s="63"/>
      <c r="Q511" s="45"/>
      <c r="R511" s="45"/>
      <c r="S511" s="45"/>
      <c r="T511" s="69"/>
      <c r="U511" s="49"/>
      <c r="V511" s="54" t="s">
        <v>1364</v>
      </c>
      <c r="W511" s="93">
        <v>33110100202</v>
      </c>
      <c r="X511" s="54" t="s">
        <v>1365</v>
      </c>
      <c r="Y511" s="54" t="s">
        <v>43</v>
      </c>
      <c r="Z511" s="93" t="s">
        <v>43</v>
      </c>
      <c r="AA511" s="93" t="s">
        <v>40</v>
      </c>
      <c r="AB511" s="94" t="s">
        <v>43</v>
      </c>
      <c r="AC511" s="75">
        <v>3100</v>
      </c>
      <c r="AD511" s="75">
        <v>2800</v>
      </c>
      <c r="AE511" s="80">
        <v>2655</v>
      </c>
      <c r="AF511" s="80">
        <v>2430</v>
      </c>
      <c r="AG511" s="80">
        <v>2070</v>
      </c>
      <c r="AH511" s="32" t="s">
        <v>549</v>
      </c>
    </row>
    <row r="512" ht="14" customHeight="1" spans="1:34">
      <c r="A512" s="45"/>
      <c r="B512" s="45"/>
      <c r="C512" s="45"/>
      <c r="D512" s="45"/>
      <c r="E512" s="49"/>
      <c r="F512" s="49"/>
      <c r="G512" s="45"/>
      <c r="H512" s="49"/>
      <c r="I512" s="53"/>
      <c r="J512" s="53"/>
      <c r="K512" s="84"/>
      <c r="L512" s="84"/>
      <c r="M512" s="84"/>
      <c r="N512" s="63"/>
      <c r="O512" s="63"/>
      <c r="P512" s="63"/>
      <c r="Q512" s="45"/>
      <c r="R512" s="45"/>
      <c r="S512" s="45"/>
      <c r="T512" s="69"/>
      <c r="U512" s="49"/>
      <c r="V512" s="54" t="s">
        <v>1366</v>
      </c>
      <c r="W512" s="93">
        <v>331101003</v>
      </c>
      <c r="X512" s="54" t="s">
        <v>1367</v>
      </c>
      <c r="Y512" s="54" t="s">
        <v>43</v>
      </c>
      <c r="Z512" s="93" t="s">
        <v>43</v>
      </c>
      <c r="AA512" s="93" t="s">
        <v>40</v>
      </c>
      <c r="AB512" s="94" t="s">
        <v>43</v>
      </c>
      <c r="AC512" s="75">
        <v>2690</v>
      </c>
      <c r="AD512" s="75">
        <v>2420</v>
      </c>
      <c r="AE512" s="80">
        <v>2360</v>
      </c>
      <c r="AF512" s="80">
        <v>2120</v>
      </c>
      <c r="AG512" s="80">
        <v>1800</v>
      </c>
      <c r="AH512" s="32" t="s">
        <v>549</v>
      </c>
    </row>
    <row r="513" ht="14" customHeight="1" spans="1:34">
      <c r="A513" s="45"/>
      <c r="B513" s="45"/>
      <c r="C513" s="45"/>
      <c r="D513" s="45"/>
      <c r="E513" s="49"/>
      <c r="F513" s="49"/>
      <c r="G513" s="45"/>
      <c r="H513" s="49"/>
      <c r="I513" s="53"/>
      <c r="J513" s="53"/>
      <c r="K513" s="84"/>
      <c r="L513" s="84"/>
      <c r="M513" s="84"/>
      <c r="N513" s="63"/>
      <c r="O513" s="63"/>
      <c r="P513" s="63"/>
      <c r="Q513" s="45"/>
      <c r="R513" s="45"/>
      <c r="S513" s="45"/>
      <c r="T513" s="69"/>
      <c r="U513" s="49"/>
      <c r="V513" s="54" t="s">
        <v>1368</v>
      </c>
      <c r="W513" s="93">
        <v>33110100302</v>
      </c>
      <c r="X513" s="54" t="s">
        <v>1369</v>
      </c>
      <c r="Y513" s="54" t="s">
        <v>43</v>
      </c>
      <c r="Z513" s="93" t="s">
        <v>43</v>
      </c>
      <c r="AA513" s="93" t="s">
        <v>40</v>
      </c>
      <c r="AB513" s="94" t="s">
        <v>43</v>
      </c>
      <c r="AC513" s="75">
        <v>3490</v>
      </c>
      <c r="AD513" s="75">
        <v>3140</v>
      </c>
      <c r="AE513" s="80">
        <v>2985</v>
      </c>
      <c r="AF513" s="80">
        <v>2720</v>
      </c>
      <c r="AG513" s="80">
        <v>2310</v>
      </c>
      <c r="AH513" s="32" t="s">
        <v>549</v>
      </c>
    </row>
    <row r="514" ht="14" customHeight="1" spans="1:33">
      <c r="A514" s="43" t="s">
        <v>81</v>
      </c>
      <c r="B514" s="43" t="s">
        <v>1443</v>
      </c>
      <c r="C514" s="43" t="s">
        <v>1444</v>
      </c>
      <c r="D514" s="43" t="s">
        <v>213</v>
      </c>
      <c r="E514" s="48" t="s">
        <v>43</v>
      </c>
      <c r="F514" s="48" t="s">
        <v>43</v>
      </c>
      <c r="G514" s="43" t="s">
        <v>40</v>
      </c>
      <c r="H514" s="48" t="s">
        <v>43</v>
      </c>
      <c r="I514" s="53">
        <v>1050</v>
      </c>
      <c r="J514" s="53">
        <v>945</v>
      </c>
      <c r="K514" s="54"/>
      <c r="L514" s="54"/>
      <c r="M514" s="54"/>
      <c r="N514" s="63">
        <v>945</v>
      </c>
      <c r="O514" s="63">
        <v>890</v>
      </c>
      <c r="P514" s="63">
        <v>745</v>
      </c>
      <c r="Q514" s="45" t="s">
        <v>54</v>
      </c>
      <c r="R514" s="45" t="s">
        <v>43</v>
      </c>
      <c r="S514" s="45" t="s">
        <v>43</v>
      </c>
      <c r="T514" s="69"/>
      <c r="U514" s="49" t="s">
        <v>446</v>
      </c>
      <c r="V514" s="45" t="s">
        <v>1445</v>
      </c>
      <c r="W514" s="45">
        <v>33110201801</v>
      </c>
      <c r="X514" s="45" t="s">
        <v>1446</v>
      </c>
      <c r="Y514" s="43" t="s">
        <v>43</v>
      </c>
      <c r="Z514" s="71" t="s">
        <v>43</v>
      </c>
      <c r="AA514" s="71" t="s">
        <v>40</v>
      </c>
      <c r="AB514" s="48" t="s">
        <v>43</v>
      </c>
      <c r="AC514" s="75">
        <v>3250</v>
      </c>
      <c r="AD514" s="75">
        <v>2910</v>
      </c>
      <c r="AE514" s="80">
        <v>2845</v>
      </c>
      <c r="AF514" s="80">
        <v>2560</v>
      </c>
      <c r="AG514" s="80">
        <v>2175</v>
      </c>
    </row>
    <row r="515" ht="14" customHeight="1" spans="1:33">
      <c r="A515" s="43"/>
      <c r="B515" s="43"/>
      <c r="C515" s="43"/>
      <c r="D515" s="43"/>
      <c r="E515" s="48"/>
      <c r="F515" s="48"/>
      <c r="G515" s="43"/>
      <c r="H515" s="48"/>
      <c r="I515" s="76"/>
      <c r="J515" s="76"/>
      <c r="K515" s="54"/>
      <c r="L515" s="54"/>
      <c r="M515" s="54"/>
      <c r="N515" s="63"/>
      <c r="O515" s="63"/>
      <c r="P515" s="63"/>
      <c r="Q515" s="45"/>
      <c r="R515" s="45"/>
      <c r="S515" s="45"/>
      <c r="T515" s="69"/>
      <c r="U515" s="49"/>
      <c r="V515" s="45" t="s">
        <v>1447</v>
      </c>
      <c r="W515" s="45">
        <v>33110201803</v>
      </c>
      <c r="X515" s="45" t="s">
        <v>1448</v>
      </c>
      <c r="Y515" s="43" t="s">
        <v>43</v>
      </c>
      <c r="Z515" s="71" t="s">
        <v>43</v>
      </c>
      <c r="AA515" s="71" t="s">
        <v>40</v>
      </c>
      <c r="AB515" s="48" t="s">
        <v>43</v>
      </c>
      <c r="AC515" s="75">
        <v>4050</v>
      </c>
      <c r="AD515" s="75">
        <v>3630</v>
      </c>
      <c r="AE515" s="80">
        <v>3470</v>
      </c>
      <c r="AF515" s="80">
        <v>3160</v>
      </c>
      <c r="AG515" s="80">
        <v>2685</v>
      </c>
    </row>
    <row r="516" ht="14" customHeight="1" spans="1:33">
      <c r="A516" s="43"/>
      <c r="B516" s="43"/>
      <c r="C516" s="43"/>
      <c r="D516" s="43"/>
      <c r="E516" s="48"/>
      <c r="F516" s="48"/>
      <c r="G516" s="43"/>
      <c r="H516" s="48"/>
      <c r="I516" s="76"/>
      <c r="J516" s="76"/>
      <c r="K516" s="54"/>
      <c r="L516" s="54"/>
      <c r="M516" s="54"/>
      <c r="N516" s="63"/>
      <c r="O516" s="63"/>
      <c r="P516" s="63"/>
      <c r="Q516" s="45"/>
      <c r="R516" s="45"/>
      <c r="S516" s="45"/>
      <c r="T516" s="69"/>
      <c r="U516" s="49"/>
      <c r="V516" s="45" t="s">
        <v>1449</v>
      </c>
      <c r="W516" s="45">
        <v>33110201901</v>
      </c>
      <c r="X516" s="45" t="s">
        <v>1450</v>
      </c>
      <c r="Y516" s="43" t="s">
        <v>43</v>
      </c>
      <c r="Z516" s="71" t="s">
        <v>43</v>
      </c>
      <c r="AA516" s="71" t="s">
        <v>40</v>
      </c>
      <c r="AB516" s="48" t="s">
        <v>43</v>
      </c>
      <c r="AC516" s="75">
        <v>3250</v>
      </c>
      <c r="AD516" s="75">
        <v>2910</v>
      </c>
      <c r="AE516" s="80">
        <v>2845</v>
      </c>
      <c r="AF516" s="80">
        <v>2560</v>
      </c>
      <c r="AG516" s="80">
        <v>2175</v>
      </c>
    </row>
    <row r="517" ht="14" customHeight="1" spans="1:33">
      <c r="A517" s="43"/>
      <c r="B517" s="43"/>
      <c r="C517" s="43"/>
      <c r="D517" s="43"/>
      <c r="E517" s="48"/>
      <c r="F517" s="48"/>
      <c r="G517" s="43"/>
      <c r="H517" s="48"/>
      <c r="I517" s="76"/>
      <c r="J517" s="76"/>
      <c r="K517" s="54"/>
      <c r="L517" s="54"/>
      <c r="M517" s="54"/>
      <c r="N517" s="63"/>
      <c r="O517" s="63"/>
      <c r="P517" s="63"/>
      <c r="Q517" s="45"/>
      <c r="R517" s="45"/>
      <c r="S517" s="45"/>
      <c r="T517" s="69"/>
      <c r="U517" s="49"/>
      <c r="V517" s="45" t="s">
        <v>1451</v>
      </c>
      <c r="W517" s="45">
        <v>33110201903</v>
      </c>
      <c r="X517" s="45" t="s">
        <v>1452</v>
      </c>
      <c r="Y517" s="43" t="s">
        <v>43</v>
      </c>
      <c r="Z517" s="71" t="s">
        <v>43</v>
      </c>
      <c r="AA517" s="71" t="s">
        <v>40</v>
      </c>
      <c r="AB517" s="48" t="s">
        <v>43</v>
      </c>
      <c r="AC517" s="75">
        <v>4050</v>
      </c>
      <c r="AD517" s="75">
        <v>3630</v>
      </c>
      <c r="AE517" s="80">
        <v>3470</v>
      </c>
      <c r="AF517" s="80">
        <v>3160</v>
      </c>
      <c r="AG517" s="80">
        <v>2685</v>
      </c>
    </row>
    <row r="518" ht="14" customHeight="1" spans="1:34">
      <c r="A518" s="43"/>
      <c r="B518" s="43"/>
      <c r="C518" s="43"/>
      <c r="D518" s="43"/>
      <c r="E518" s="48"/>
      <c r="F518" s="48"/>
      <c r="G518" s="43"/>
      <c r="H518" s="48"/>
      <c r="I518" s="76"/>
      <c r="J518" s="76"/>
      <c r="K518" s="54"/>
      <c r="L518" s="54"/>
      <c r="M518" s="54"/>
      <c r="N518" s="63"/>
      <c r="O518" s="63"/>
      <c r="P518" s="63"/>
      <c r="Q518" s="45"/>
      <c r="R518" s="45"/>
      <c r="S518" s="45"/>
      <c r="T518" s="69"/>
      <c r="U518" s="49"/>
      <c r="V518" s="55" t="s">
        <v>1422</v>
      </c>
      <c r="W518" s="55">
        <v>33110100201</v>
      </c>
      <c r="X518" s="55" t="s">
        <v>1423</v>
      </c>
      <c r="Y518" s="54" t="s">
        <v>43</v>
      </c>
      <c r="Z518" s="93" t="s">
        <v>43</v>
      </c>
      <c r="AA518" s="93" t="s">
        <v>40</v>
      </c>
      <c r="AB518" s="94" t="s">
        <v>43</v>
      </c>
      <c r="AC518" s="75">
        <v>2990</v>
      </c>
      <c r="AD518" s="75">
        <v>2705</v>
      </c>
      <c r="AE518" s="80">
        <v>2640</v>
      </c>
      <c r="AF518" s="80">
        <v>2380</v>
      </c>
      <c r="AG518" s="80">
        <v>2025</v>
      </c>
      <c r="AH518" s="32" t="s">
        <v>549</v>
      </c>
    </row>
    <row r="519" ht="14" customHeight="1" spans="1:34">
      <c r="A519" s="43"/>
      <c r="B519" s="43"/>
      <c r="C519" s="43"/>
      <c r="D519" s="43"/>
      <c r="E519" s="48"/>
      <c r="F519" s="48"/>
      <c r="G519" s="43"/>
      <c r="H519" s="48"/>
      <c r="I519" s="76"/>
      <c r="J519" s="76"/>
      <c r="K519" s="54"/>
      <c r="L519" s="54"/>
      <c r="M519" s="54"/>
      <c r="N519" s="63"/>
      <c r="O519" s="63"/>
      <c r="P519" s="63"/>
      <c r="Q519" s="45"/>
      <c r="R519" s="45"/>
      <c r="S519" s="45"/>
      <c r="T519" s="69"/>
      <c r="U519" s="49"/>
      <c r="V519" s="55" t="s">
        <v>1424</v>
      </c>
      <c r="W519" s="55">
        <v>33110100203</v>
      </c>
      <c r="X519" s="55" t="s">
        <v>1425</v>
      </c>
      <c r="Y519" s="54" t="s">
        <v>43</v>
      </c>
      <c r="Z519" s="93" t="s">
        <v>43</v>
      </c>
      <c r="AA519" s="93" t="s">
        <v>40</v>
      </c>
      <c r="AB519" s="94" t="s">
        <v>43</v>
      </c>
      <c r="AC519" s="75">
        <v>3790</v>
      </c>
      <c r="AD519" s="75">
        <v>3425</v>
      </c>
      <c r="AE519" s="80">
        <v>3265</v>
      </c>
      <c r="AF519" s="80">
        <v>2980</v>
      </c>
      <c r="AG519" s="80">
        <v>2535</v>
      </c>
      <c r="AH519" s="32" t="s">
        <v>549</v>
      </c>
    </row>
    <row r="520" ht="14" customHeight="1" spans="1:34">
      <c r="A520" s="43"/>
      <c r="B520" s="43"/>
      <c r="C520" s="43"/>
      <c r="D520" s="43"/>
      <c r="E520" s="48"/>
      <c r="F520" s="48"/>
      <c r="G520" s="43"/>
      <c r="H520" s="48"/>
      <c r="I520" s="76"/>
      <c r="J520" s="76"/>
      <c r="K520" s="54"/>
      <c r="L520" s="54"/>
      <c r="M520" s="54"/>
      <c r="N520" s="63"/>
      <c r="O520" s="63"/>
      <c r="P520" s="63"/>
      <c r="Q520" s="45"/>
      <c r="R520" s="45"/>
      <c r="S520" s="45"/>
      <c r="T520" s="69"/>
      <c r="U520" s="49"/>
      <c r="V520" s="55" t="s">
        <v>1426</v>
      </c>
      <c r="W520" s="55">
        <v>33110100301</v>
      </c>
      <c r="X520" s="55" t="s">
        <v>1427</v>
      </c>
      <c r="Y520" s="54" t="s">
        <v>43</v>
      </c>
      <c r="Z520" s="93" t="s">
        <v>43</v>
      </c>
      <c r="AA520" s="93" t="s">
        <v>40</v>
      </c>
      <c r="AB520" s="94" t="s">
        <v>43</v>
      </c>
      <c r="AC520" s="75">
        <v>3495</v>
      </c>
      <c r="AD520" s="75">
        <v>3145</v>
      </c>
      <c r="AE520" s="80">
        <v>3070</v>
      </c>
      <c r="AF520" s="80">
        <v>2755</v>
      </c>
      <c r="AG520" s="80">
        <v>2340</v>
      </c>
      <c r="AH520" s="32" t="s">
        <v>549</v>
      </c>
    </row>
    <row r="521" ht="14" customHeight="1" spans="1:34">
      <c r="A521" s="43"/>
      <c r="B521" s="43"/>
      <c r="C521" s="43"/>
      <c r="D521" s="43"/>
      <c r="E521" s="48"/>
      <c r="F521" s="48"/>
      <c r="G521" s="43"/>
      <c r="H521" s="48"/>
      <c r="I521" s="76"/>
      <c r="J521" s="76"/>
      <c r="K521" s="54"/>
      <c r="L521" s="54"/>
      <c r="M521" s="54"/>
      <c r="N521" s="63"/>
      <c r="O521" s="63"/>
      <c r="P521" s="63"/>
      <c r="Q521" s="45"/>
      <c r="R521" s="45"/>
      <c r="S521" s="45"/>
      <c r="T521" s="69"/>
      <c r="U521" s="49"/>
      <c r="V521" s="55" t="s">
        <v>1428</v>
      </c>
      <c r="W521" s="55">
        <v>33110100303</v>
      </c>
      <c r="X521" s="55" t="s">
        <v>1429</v>
      </c>
      <c r="Y521" s="54" t="s">
        <v>43</v>
      </c>
      <c r="Z521" s="93" t="s">
        <v>43</v>
      </c>
      <c r="AA521" s="93" t="s">
        <v>40</v>
      </c>
      <c r="AB521" s="94" t="s">
        <v>43</v>
      </c>
      <c r="AC521" s="75">
        <v>4295</v>
      </c>
      <c r="AD521" s="75">
        <v>3865</v>
      </c>
      <c r="AE521" s="80">
        <v>3695</v>
      </c>
      <c r="AF521" s="80">
        <v>3355</v>
      </c>
      <c r="AG521" s="80">
        <v>2850</v>
      </c>
      <c r="AH521" s="32" t="s">
        <v>549</v>
      </c>
    </row>
    <row r="522" ht="72" customHeight="1" spans="1:33">
      <c r="A522" s="46">
        <v>70</v>
      </c>
      <c r="B522" s="46" t="s">
        <v>1453</v>
      </c>
      <c r="C522" s="46" t="s">
        <v>1454</v>
      </c>
      <c r="D522" s="46" t="s">
        <v>213</v>
      </c>
      <c r="E522" s="50" t="s">
        <v>1455</v>
      </c>
      <c r="F522" s="50" t="s">
        <v>1456</v>
      </c>
      <c r="G522" s="46" t="s">
        <v>40</v>
      </c>
      <c r="H522" s="50" t="s">
        <v>1457</v>
      </c>
      <c r="I522" s="53">
        <v>1700</v>
      </c>
      <c r="J522" s="53">
        <v>1530</v>
      </c>
      <c r="K522" s="58"/>
      <c r="L522" s="58"/>
      <c r="M522" s="58"/>
      <c r="N522" s="63">
        <v>1550</v>
      </c>
      <c r="O522" s="63">
        <v>1400</v>
      </c>
      <c r="P522" s="63">
        <v>1200</v>
      </c>
      <c r="Q522" s="45" t="s">
        <v>54</v>
      </c>
      <c r="R522" s="45" t="s">
        <v>43</v>
      </c>
      <c r="S522" s="45">
        <v>0.2</v>
      </c>
      <c r="T522" s="69" t="s">
        <v>99</v>
      </c>
      <c r="U522" s="49" t="s">
        <v>187</v>
      </c>
      <c r="V522" s="43" t="s">
        <v>198</v>
      </c>
      <c r="W522" s="71" t="s">
        <v>198</v>
      </c>
      <c r="X522" s="43" t="s">
        <v>198</v>
      </c>
      <c r="Y522" s="43"/>
      <c r="Z522" s="71"/>
      <c r="AA522" s="71"/>
      <c r="AB522" s="48"/>
      <c r="AC522" s="74"/>
      <c r="AD522" s="74"/>
      <c r="AE522" s="78"/>
      <c r="AF522" s="78"/>
      <c r="AG522" s="78"/>
    </row>
    <row r="523" ht="35" customHeight="1" spans="1:33">
      <c r="A523" s="43" t="s">
        <v>81</v>
      </c>
      <c r="B523" s="43" t="s">
        <v>1458</v>
      </c>
      <c r="C523" s="43" t="s">
        <v>1459</v>
      </c>
      <c r="D523" s="43" t="s">
        <v>213</v>
      </c>
      <c r="E523" s="48" t="s">
        <v>43</v>
      </c>
      <c r="F523" s="48" t="s">
        <v>43</v>
      </c>
      <c r="G523" s="43" t="s">
        <v>40</v>
      </c>
      <c r="H523" s="48" t="s">
        <v>43</v>
      </c>
      <c r="I523" s="53">
        <v>510</v>
      </c>
      <c r="J523" s="53">
        <v>459</v>
      </c>
      <c r="K523" s="54"/>
      <c r="L523" s="54"/>
      <c r="M523" s="54"/>
      <c r="N523" s="63">
        <v>465</v>
      </c>
      <c r="O523" s="63">
        <v>420</v>
      </c>
      <c r="P523" s="63">
        <v>360</v>
      </c>
      <c r="Q523" s="45" t="s">
        <v>54</v>
      </c>
      <c r="R523" s="45" t="s">
        <v>43</v>
      </c>
      <c r="S523" s="45">
        <v>0.2</v>
      </c>
      <c r="T523" s="69"/>
      <c r="U523" s="49" t="s">
        <v>446</v>
      </c>
      <c r="V523" s="43"/>
      <c r="W523" s="71"/>
      <c r="X523" s="43"/>
      <c r="Y523" s="43"/>
      <c r="Z523" s="71"/>
      <c r="AA523" s="71"/>
      <c r="AB523" s="48"/>
      <c r="AC523" s="74"/>
      <c r="AD523" s="74"/>
      <c r="AE523" s="78"/>
      <c r="AF523" s="78"/>
      <c r="AG523" s="78"/>
    </row>
    <row r="524" ht="65" customHeight="1" spans="1:33">
      <c r="A524" s="46">
        <v>71</v>
      </c>
      <c r="B524" s="46" t="s">
        <v>1460</v>
      </c>
      <c r="C524" s="46" t="s">
        <v>1461</v>
      </c>
      <c r="D524" s="46" t="s">
        <v>213</v>
      </c>
      <c r="E524" s="50" t="s">
        <v>1462</v>
      </c>
      <c r="F524" s="50" t="s">
        <v>1463</v>
      </c>
      <c r="G524" s="46" t="s">
        <v>40</v>
      </c>
      <c r="H524" s="50" t="s">
        <v>1457</v>
      </c>
      <c r="I524" s="53">
        <v>1700</v>
      </c>
      <c r="J524" s="53">
        <v>1530</v>
      </c>
      <c r="K524" s="58"/>
      <c r="L524" s="58"/>
      <c r="M524" s="58"/>
      <c r="N524" s="63">
        <v>1550</v>
      </c>
      <c r="O524" s="63">
        <v>1400</v>
      </c>
      <c r="P524" s="63">
        <v>1200</v>
      </c>
      <c r="Q524" s="45" t="s">
        <v>54</v>
      </c>
      <c r="R524" s="45" t="s">
        <v>43</v>
      </c>
      <c r="S524" s="45">
        <v>0.2</v>
      </c>
      <c r="T524" s="69" t="s">
        <v>99</v>
      </c>
      <c r="U524" s="49" t="s">
        <v>1464</v>
      </c>
      <c r="V524" s="43" t="s">
        <v>198</v>
      </c>
      <c r="W524" s="71" t="s">
        <v>198</v>
      </c>
      <c r="X524" s="43" t="s">
        <v>198</v>
      </c>
      <c r="Y524" s="43"/>
      <c r="Z524" s="71"/>
      <c r="AA524" s="71"/>
      <c r="AB524" s="48"/>
      <c r="AC524" s="74"/>
      <c r="AD524" s="74"/>
      <c r="AE524" s="78"/>
      <c r="AF524" s="78"/>
      <c r="AG524" s="78"/>
    </row>
    <row r="525" ht="35" customHeight="1" spans="1:33">
      <c r="A525" s="43" t="s">
        <v>81</v>
      </c>
      <c r="B525" s="43" t="s">
        <v>1465</v>
      </c>
      <c r="C525" s="43" t="s">
        <v>1466</v>
      </c>
      <c r="D525" s="43" t="s">
        <v>213</v>
      </c>
      <c r="E525" s="48" t="s">
        <v>43</v>
      </c>
      <c r="F525" s="48" t="s">
        <v>43</v>
      </c>
      <c r="G525" s="43" t="s">
        <v>40</v>
      </c>
      <c r="H525" s="48" t="s">
        <v>43</v>
      </c>
      <c r="I525" s="53">
        <v>510</v>
      </c>
      <c r="J525" s="53">
        <v>459</v>
      </c>
      <c r="K525" s="54"/>
      <c r="L525" s="54"/>
      <c r="M525" s="54"/>
      <c r="N525" s="63">
        <v>465</v>
      </c>
      <c r="O525" s="63">
        <v>420</v>
      </c>
      <c r="P525" s="63">
        <v>360</v>
      </c>
      <c r="Q525" s="45" t="s">
        <v>54</v>
      </c>
      <c r="R525" s="45" t="s">
        <v>43</v>
      </c>
      <c r="S525" s="45">
        <v>0.2</v>
      </c>
      <c r="T525" s="69"/>
      <c r="U525" s="49" t="s">
        <v>446</v>
      </c>
      <c r="V525" s="43"/>
      <c r="W525" s="71"/>
      <c r="X525" s="43"/>
      <c r="Y525" s="43"/>
      <c r="Z525" s="71"/>
      <c r="AA525" s="71"/>
      <c r="AB525" s="48"/>
      <c r="AC525" s="74"/>
      <c r="AD525" s="74"/>
      <c r="AE525" s="78"/>
      <c r="AF525" s="78"/>
      <c r="AG525" s="78"/>
    </row>
    <row r="526" ht="64" customHeight="1" spans="1:33">
      <c r="A526" s="46">
        <v>72</v>
      </c>
      <c r="B526" s="46" t="s">
        <v>1467</v>
      </c>
      <c r="C526" s="46" t="s">
        <v>1468</v>
      </c>
      <c r="D526" s="46" t="s">
        <v>213</v>
      </c>
      <c r="E526" s="50" t="s">
        <v>1469</v>
      </c>
      <c r="F526" s="50" t="s">
        <v>1456</v>
      </c>
      <c r="G526" s="46" t="s">
        <v>40</v>
      </c>
      <c r="H526" s="50" t="s">
        <v>1470</v>
      </c>
      <c r="I526" s="53">
        <v>1700</v>
      </c>
      <c r="J526" s="53">
        <v>1530</v>
      </c>
      <c r="K526" s="58"/>
      <c r="L526" s="58"/>
      <c r="M526" s="58"/>
      <c r="N526" s="63">
        <v>1550</v>
      </c>
      <c r="O526" s="63">
        <v>1400</v>
      </c>
      <c r="P526" s="63">
        <v>1200</v>
      </c>
      <c r="Q526" s="45" t="s">
        <v>54</v>
      </c>
      <c r="R526" s="45" t="s">
        <v>43</v>
      </c>
      <c r="S526" s="45">
        <v>0.2</v>
      </c>
      <c r="T526" s="69" t="s">
        <v>99</v>
      </c>
      <c r="U526" s="49" t="s">
        <v>1464</v>
      </c>
      <c r="V526" s="43" t="s">
        <v>198</v>
      </c>
      <c r="W526" s="71" t="s">
        <v>198</v>
      </c>
      <c r="X526" s="43" t="s">
        <v>198</v>
      </c>
      <c r="Y526" s="43"/>
      <c r="Z526" s="71"/>
      <c r="AA526" s="71"/>
      <c r="AB526" s="48"/>
      <c r="AC526" s="74"/>
      <c r="AD526" s="74"/>
      <c r="AE526" s="78"/>
      <c r="AF526" s="78"/>
      <c r="AG526" s="78"/>
    </row>
    <row r="527" ht="35" customHeight="1" spans="1:33">
      <c r="A527" s="43" t="s">
        <v>81</v>
      </c>
      <c r="B527" s="43" t="s">
        <v>1471</v>
      </c>
      <c r="C527" s="43" t="s">
        <v>1472</v>
      </c>
      <c r="D527" s="43" t="s">
        <v>213</v>
      </c>
      <c r="E527" s="48" t="s">
        <v>43</v>
      </c>
      <c r="F527" s="48" t="s">
        <v>43</v>
      </c>
      <c r="G527" s="43" t="s">
        <v>40</v>
      </c>
      <c r="H527" s="48" t="s">
        <v>43</v>
      </c>
      <c r="I527" s="53">
        <v>510</v>
      </c>
      <c r="J527" s="53">
        <v>459</v>
      </c>
      <c r="K527" s="54"/>
      <c r="L527" s="54"/>
      <c r="M527" s="54"/>
      <c r="N527" s="63">
        <v>465</v>
      </c>
      <c r="O527" s="63">
        <v>420</v>
      </c>
      <c r="P527" s="63">
        <v>360</v>
      </c>
      <c r="Q527" s="45" t="s">
        <v>54</v>
      </c>
      <c r="R527" s="45" t="s">
        <v>43</v>
      </c>
      <c r="S527" s="45">
        <v>0.2</v>
      </c>
      <c r="T527" s="69"/>
      <c r="U527" s="49" t="s">
        <v>446</v>
      </c>
      <c r="V527" s="43"/>
      <c r="W527" s="71"/>
      <c r="X527" s="43"/>
      <c r="Y527" s="43"/>
      <c r="Z527" s="71"/>
      <c r="AA527" s="71"/>
      <c r="AB527" s="48"/>
      <c r="AC527" s="74"/>
      <c r="AD527" s="74"/>
      <c r="AE527" s="78"/>
      <c r="AF527" s="78"/>
      <c r="AG527" s="78"/>
    </row>
    <row r="528" ht="69" customHeight="1" spans="1:33">
      <c r="A528" s="46">
        <v>73</v>
      </c>
      <c r="B528" s="46" t="s">
        <v>1473</v>
      </c>
      <c r="C528" s="46" t="s">
        <v>1474</v>
      </c>
      <c r="D528" s="46" t="s">
        <v>213</v>
      </c>
      <c r="E528" s="50" t="s">
        <v>1475</v>
      </c>
      <c r="F528" s="50" t="s">
        <v>1476</v>
      </c>
      <c r="G528" s="46" t="s">
        <v>48</v>
      </c>
      <c r="H528" s="50" t="s">
        <v>43</v>
      </c>
      <c r="I528" s="53">
        <v>3070</v>
      </c>
      <c r="J528" s="53">
        <v>2763</v>
      </c>
      <c r="K528" s="58">
        <v>2700</v>
      </c>
      <c r="L528" s="58">
        <v>2430</v>
      </c>
      <c r="M528" s="58">
        <v>2070</v>
      </c>
      <c r="N528" s="63">
        <v>2700</v>
      </c>
      <c r="O528" s="63">
        <v>2430</v>
      </c>
      <c r="P528" s="63">
        <v>2070</v>
      </c>
      <c r="Q528" s="45" t="s">
        <v>54</v>
      </c>
      <c r="R528" s="45" t="s">
        <v>43</v>
      </c>
      <c r="S528" s="45" t="s">
        <v>43</v>
      </c>
      <c r="T528" s="69" t="s">
        <v>55</v>
      </c>
      <c r="U528" s="49" t="s">
        <v>55</v>
      </c>
      <c r="V528" s="43" t="s">
        <v>1477</v>
      </c>
      <c r="W528" s="71">
        <v>331202013</v>
      </c>
      <c r="X528" s="81" t="s">
        <v>1478</v>
      </c>
      <c r="Y528" s="43" t="s">
        <v>43</v>
      </c>
      <c r="Z528" s="71" t="s">
        <v>43</v>
      </c>
      <c r="AA528" s="71" t="s">
        <v>40</v>
      </c>
      <c r="AB528" s="48" t="s">
        <v>43</v>
      </c>
      <c r="AC528" s="75">
        <v>3070</v>
      </c>
      <c r="AD528" s="75">
        <v>2760</v>
      </c>
      <c r="AE528" s="80">
        <v>2700</v>
      </c>
      <c r="AF528" s="80">
        <v>2430</v>
      </c>
      <c r="AG528" s="80">
        <v>2070</v>
      </c>
    </row>
    <row r="529" ht="35" customHeight="1" spans="1:33">
      <c r="A529" s="46" t="s">
        <v>81</v>
      </c>
      <c r="B529" s="46" t="s">
        <v>1479</v>
      </c>
      <c r="C529" s="46" t="s">
        <v>1480</v>
      </c>
      <c r="D529" s="46" t="s">
        <v>213</v>
      </c>
      <c r="E529" s="50" t="s">
        <v>43</v>
      </c>
      <c r="F529" s="50" t="s">
        <v>43</v>
      </c>
      <c r="G529" s="46" t="s">
        <v>48</v>
      </c>
      <c r="H529" s="50" t="s">
        <v>43</v>
      </c>
      <c r="I529" s="53">
        <v>3070</v>
      </c>
      <c r="J529" s="53">
        <v>2763</v>
      </c>
      <c r="K529" s="55"/>
      <c r="L529" s="58"/>
      <c r="M529" s="58"/>
      <c r="N529" s="63">
        <v>2700</v>
      </c>
      <c r="O529" s="63">
        <v>2430</v>
      </c>
      <c r="P529" s="63">
        <v>2070</v>
      </c>
      <c r="Q529" s="45" t="s">
        <v>54</v>
      </c>
      <c r="R529" s="45" t="s">
        <v>43</v>
      </c>
      <c r="S529" s="45" t="s">
        <v>43</v>
      </c>
      <c r="T529" s="69"/>
      <c r="U529" s="49"/>
      <c r="V529" s="43" t="s">
        <v>198</v>
      </c>
      <c r="W529" s="71" t="s">
        <v>198</v>
      </c>
      <c r="X529" s="43" t="s">
        <v>198</v>
      </c>
      <c r="Y529" s="43"/>
      <c r="Z529" s="71"/>
      <c r="AA529" s="71"/>
      <c r="AB529" s="48"/>
      <c r="AC529" s="74"/>
      <c r="AD529" s="74"/>
      <c r="AE529" s="78"/>
      <c r="AF529" s="78"/>
      <c r="AG529" s="78"/>
    </row>
    <row r="530" ht="35" customHeight="1" spans="1:33">
      <c r="A530" s="43" t="s">
        <v>81</v>
      </c>
      <c r="B530" s="43" t="s">
        <v>1481</v>
      </c>
      <c r="C530" s="43" t="s">
        <v>1482</v>
      </c>
      <c r="D530" s="43" t="s">
        <v>213</v>
      </c>
      <c r="E530" s="48" t="s">
        <v>43</v>
      </c>
      <c r="F530" s="48" t="s">
        <v>43</v>
      </c>
      <c r="G530" s="43" t="s">
        <v>48</v>
      </c>
      <c r="H530" s="48" t="s">
        <v>43</v>
      </c>
      <c r="I530" s="53">
        <v>921</v>
      </c>
      <c r="J530" s="53">
        <v>829</v>
      </c>
      <c r="K530" s="54"/>
      <c r="L530" s="54"/>
      <c r="M530" s="54"/>
      <c r="N530" s="63">
        <v>810</v>
      </c>
      <c r="O530" s="63">
        <v>730</v>
      </c>
      <c r="P530" s="63">
        <v>620</v>
      </c>
      <c r="Q530" s="45" t="s">
        <v>54</v>
      </c>
      <c r="R530" s="45" t="s">
        <v>43</v>
      </c>
      <c r="S530" s="45" t="s">
        <v>43</v>
      </c>
      <c r="T530" s="69"/>
      <c r="U530" s="49" t="s">
        <v>446</v>
      </c>
      <c r="V530" s="45" t="s">
        <v>1483</v>
      </c>
      <c r="W530" s="45">
        <v>33120201301</v>
      </c>
      <c r="X530" s="45" t="s">
        <v>1484</v>
      </c>
      <c r="Y530" s="43" t="s">
        <v>43</v>
      </c>
      <c r="Z530" s="71" t="s">
        <v>43</v>
      </c>
      <c r="AA530" s="71" t="s">
        <v>40</v>
      </c>
      <c r="AB530" s="48" t="s">
        <v>43</v>
      </c>
      <c r="AC530" s="75">
        <v>3990</v>
      </c>
      <c r="AD530" s="75">
        <v>3590</v>
      </c>
      <c r="AE530" s="80">
        <v>3510</v>
      </c>
      <c r="AF530" s="80">
        <v>3160</v>
      </c>
      <c r="AG530" s="80">
        <v>2685</v>
      </c>
    </row>
    <row r="531" ht="91" customHeight="1" spans="1:33">
      <c r="A531" s="45">
        <v>74</v>
      </c>
      <c r="B531" s="45" t="s">
        <v>1485</v>
      </c>
      <c r="C531" s="45" t="s">
        <v>1486</v>
      </c>
      <c r="D531" s="45" t="s">
        <v>213</v>
      </c>
      <c r="E531" s="49" t="s">
        <v>1487</v>
      </c>
      <c r="F531" s="49" t="s">
        <v>1488</v>
      </c>
      <c r="G531" s="45" t="s">
        <v>48</v>
      </c>
      <c r="H531" s="49" t="s">
        <v>43</v>
      </c>
      <c r="I531" s="53">
        <v>1000</v>
      </c>
      <c r="J531" s="53">
        <v>900</v>
      </c>
      <c r="K531" s="55"/>
      <c r="L531" s="55"/>
      <c r="M531" s="55"/>
      <c r="N531" s="63">
        <v>900</v>
      </c>
      <c r="O531" s="63">
        <v>810</v>
      </c>
      <c r="P531" s="63">
        <v>700</v>
      </c>
      <c r="Q531" s="45" t="s">
        <v>54</v>
      </c>
      <c r="R531" s="45" t="s">
        <v>43</v>
      </c>
      <c r="S531" s="45" t="s">
        <v>43</v>
      </c>
      <c r="T531" s="69" t="s">
        <v>99</v>
      </c>
      <c r="U531" s="49" t="s">
        <v>187</v>
      </c>
      <c r="V531" s="43" t="s">
        <v>198</v>
      </c>
      <c r="W531" s="71" t="s">
        <v>198</v>
      </c>
      <c r="X531" s="43"/>
      <c r="Y531" s="43"/>
      <c r="Z531" s="71"/>
      <c r="AA531" s="71"/>
      <c r="AB531" s="48"/>
      <c r="AC531" s="74"/>
      <c r="AD531" s="74"/>
      <c r="AE531" s="78"/>
      <c r="AF531" s="78"/>
      <c r="AG531" s="78"/>
    </row>
    <row r="532" ht="24" customHeight="1" spans="1:33">
      <c r="A532" s="43" t="s">
        <v>81</v>
      </c>
      <c r="B532" s="112" t="s">
        <v>1489</v>
      </c>
      <c r="C532" s="43" t="s">
        <v>1490</v>
      </c>
      <c r="D532" s="43" t="s">
        <v>213</v>
      </c>
      <c r="E532" s="48" t="s">
        <v>43</v>
      </c>
      <c r="F532" s="48" t="s">
        <v>43</v>
      </c>
      <c r="G532" s="43" t="s">
        <v>48</v>
      </c>
      <c r="H532" s="48" t="s">
        <v>1491</v>
      </c>
      <c r="I532" s="53">
        <v>482</v>
      </c>
      <c r="J532" s="53">
        <v>434</v>
      </c>
      <c r="K532" s="54">
        <v>200</v>
      </c>
      <c r="L532" s="54">
        <v>402</v>
      </c>
      <c r="M532" s="54">
        <v>365</v>
      </c>
      <c r="N532" s="63">
        <v>440</v>
      </c>
      <c r="O532" s="63">
        <v>400</v>
      </c>
      <c r="P532" s="63">
        <v>340</v>
      </c>
      <c r="Q532" s="45" t="s">
        <v>54</v>
      </c>
      <c r="R532" s="45" t="s">
        <v>43</v>
      </c>
      <c r="S532" s="45" t="s">
        <v>43</v>
      </c>
      <c r="T532" s="69"/>
      <c r="U532" s="49" t="s">
        <v>1492</v>
      </c>
      <c r="V532" s="43" t="s">
        <v>1493</v>
      </c>
      <c r="W532" s="71">
        <v>331202005</v>
      </c>
      <c r="X532" s="43" t="s">
        <v>1494</v>
      </c>
      <c r="Y532" s="43" t="s">
        <v>1495</v>
      </c>
      <c r="Z532" s="71" t="s">
        <v>43</v>
      </c>
      <c r="AA532" s="71" t="s">
        <v>48</v>
      </c>
      <c r="AB532" s="48" t="s">
        <v>43</v>
      </c>
      <c r="AC532" s="75">
        <v>1080</v>
      </c>
      <c r="AD532" s="75">
        <v>970</v>
      </c>
      <c r="AE532" s="80">
        <v>1000</v>
      </c>
      <c r="AF532" s="80">
        <v>960</v>
      </c>
      <c r="AG532" s="80">
        <v>816</v>
      </c>
    </row>
    <row r="533" ht="24" customHeight="1" spans="1:33">
      <c r="A533" s="43"/>
      <c r="B533" s="43"/>
      <c r="C533" s="43"/>
      <c r="D533" s="43"/>
      <c r="E533" s="48"/>
      <c r="F533" s="48"/>
      <c r="G533" s="43"/>
      <c r="H533" s="48"/>
      <c r="I533" s="76"/>
      <c r="J533" s="76"/>
      <c r="K533" s="54"/>
      <c r="L533" s="54"/>
      <c r="M533" s="54"/>
      <c r="N533" s="63"/>
      <c r="O533" s="63"/>
      <c r="P533" s="63"/>
      <c r="Q533" s="45"/>
      <c r="R533" s="45"/>
      <c r="S533" s="45"/>
      <c r="T533" s="69"/>
      <c r="U533" s="49"/>
      <c r="V533" s="45" t="s">
        <v>1496</v>
      </c>
      <c r="W533" s="45">
        <v>33120200501</v>
      </c>
      <c r="X533" s="45" t="s">
        <v>1497</v>
      </c>
      <c r="Y533" s="43" t="s">
        <v>43</v>
      </c>
      <c r="Z533" s="71" t="s">
        <v>43</v>
      </c>
      <c r="AA533" s="71" t="s">
        <v>48</v>
      </c>
      <c r="AB533" s="48" t="s">
        <v>43</v>
      </c>
      <c r="AC533" s="75">
        <v>1405</v>
      </c>
      <c r="AD533" s="75">
        <v>1260</v>
      </c>
      <c r="AE533" s="80">
        <v>1300</v>
      </c>
      <c r="AF533" s="80">
        <v>1250</v>
      </c>
      <c r="AG533" s="80">
        <v>1065</v>
      </c>
    </row>
    <row r="534" ht="24" customHeight="1" spans="1:33">
      <c r="A534" s="43"/>
      <c r="B534" s="43"/>
      <c r="C534" s="43"/>
      <c r="D534" s="43"/>
      <c r="E534" s="48"/>
      <c r="F534" s="48"/>
      <c r="G534" s="43"/>
      <c r="H534" s="48"/>
      <c r="I534" s="76"/>
      <c r="J534" s="76"/>
      <c r="K534" s="54"/>
      <c r="L534" s="54"/>
      <c r="M534" s="54"/>
      <c r="N534" s="63"/>
      <c r="O534" s="63"/>
      <c r="P534" s="63"/>
      <c r="Q534" s="45"/>
      <c r="R534" s="45"/>
      <c r="S534" s="45"/>
      <c r="T534" s="69"/>
      <c r="U534" s="49"/>
      <c r="V534" s="45" t="s">
        <v>1498</v>
      </c>
      <c r="W534" s="45">
        <v>33120200502</v>
      </c>
      <c r="X534" s="45" t="s">
        <v>1499</v>
      </c>
      <c r="Y534" s="43" t="s">
        <v>43</v>
      </c>
      <c r="Z534" s="71" t="s">
        <v>43</v>
      </c>
      <c r="AA534" s="71" t="s">
        <v>48</v>
      </c>
      <c r="AB534" s="48" t="s">
        <v>43</v>
      </c>
      <c r="AC534" s="75">
        <v>1880</v>
      </c>
      <c r="AD534" s="75">
        <v>1690</v>
      </c>
      <c r="AE534" s="80">
        <v>1625</v>
      </c>
      <c r="AF534" s="80">
        <v>1560</v>
      </c>
      <c r="AG534" s="80">
        <v>1326</v>
      </c>
    </row>
    <row r="535" ht="24" customHeight="1" spans="1:33">
      <c r="A535" s="43"/>
      <c r="B535" s="43"/>
      <c r="C535" s="43"/>
      <c r="D535" s="43"/>
      <c r="E535" s="48"/>
      <c r="F535" s="48"/>
      <c r="G535" s="43"/>
      <c r="H535" s="48"/>
      <c r="I535" s="76"/>
      <c r="J535" s="76"/>
      <c r="K535" s="54"/>
      <c r="L535" s="54"/>
      <c r="M535" s="54"/>
      <c r="N535" s="63"/>
      <c r="O535" s="63"/>
      <c r="P535" s="63"/>
      <c r="Q535" s="45"/>
      <c r="R535" s="45"/>
      <c r="S535" s="45"/>
      <c r="T535" s="69"/>
      <c r="U535" s="49"/>
      <c r="V535" s="45" t="s">
        <v>1500</v>
      </c>
      <c r="W535" s="45">
        <v>33120200503</v>
      </c>
      <c r="X535" s="45" t="s">
        <v>1501</v>
      </c>
      <c r="Y535" s="43" t="s">
        <v>43</v>
      </c>
      <c r="Z535" s="71" t="s">
        <v>43</v>
      </c>
      <c r="AA535" s="71" t="s">
        <v>48</v>
      </c>
      <c r="AB535" s="48" t="s">
        <v>43</v>
      </c>
      <c r="AC535" s="75">
        <v>2205</v>
      </c>
      <c r="AD535" s="75">
        <v>1980</v>
      </c>
      <c r="AE535" s="80">
        <v>1925</v>
      </c>
      <c r="AF535" s="80">
        <v>1850</v>
      </c>
      <c r="AG535" s="80">
        <v>1575</v>
      </c>
    </row>
    <row r="536" ht="43" customHeight="1" spans="1:33">
      <c r="A536" s="43" t="s">
        <v>81</v>
      </c>
      <c r="B536" s="43" t="s">
        <v>1502</v>
      </c>
      <c r="C536" s="43" t="s">
        <v>1503</v>
      </c>
      <c r="D536" s="43" t="s">
        <v>213</v>
      </c>
      <c r="E536" s="48" t="s">
        <v>43</v>
      </c>
      <c r="F536" s="48" t="s">
        <v>43</v>
      </c>
      <c r="G536" s="43" t="s">
        <v>48</v>
      </c>
      <c r="H536" s="48" t="s">
        <v>43</v>
      </c>
      <c r="I536" s="53">
        <v>300</v>
      </c>
      <c r="J536" s="53">
        <v>270</v>
      </c>
      <c r="K536" s="54"/>
      <c r="L536" s="54"/>
      <c r="M536" s="54"/>
      <c r="N536" s="63">
        <v>270</v>
      </c>
      <c r="O536" s="63">
        <v>245</v>
      </c>
      <c r="P536" s="63">
        <v>210</v>
      </c>
      <c r="Q536" s="45" t="s">
        <v>54</v>
      </c>
      <c r="R536" s="45" t="s">
        <v>43</v>
      </c>
      <c r="S536" s="45" t="s">
        <v>43</v>
      </c>
      <c r="T536" s="69"/>
      <c r="U536" s="49" t="s">
        <v>446</v>
      </c>
      <c r="V536" s="43"/>
      <c r="W536" s="71"/>
      <c r="X536" s="43"/>
      <c r="Y536" s="43"/>
      <c r="Z536" s="71"/>
      <c r="AA536" s="71"/>
      <c r="AB536" s="48"/>
      <c r="AC536" s="74"/>
      <c r="AD536" s="74"/>
      <c r="AE536" s="78"/>
      <c r="AF536" s="78"/>
      <c r="AG536" s="78"/>
    </row>
    <row r="537" ht="51" spans="1:33">
      <c r="A537" s="45">
        <v>75</v>
      </c>
      <c r="B537" s="45" t="s">
        <v>1504</v>
      </c>
      <c r="C537" s="45" t="s">
        <v>1505</v>
      </c>
      <c r="D537" s="45" t="s">
        <v>213</v>
      </c>
      <c r="E537" s="49" t="s">
        <v>1506</v>
      </c>
      <c r="F537" s="49" t="s">
        <v>1507</v>
      </c>
      <c r="G537" s="45" t="s">
        <v>48</v>
      </c>
      <c r="H537" s="49" t="s">
        <v>43</v>
      </c>
      <c r="I537" s="53">
        <v>785</v>
      </c>
      <c r="J537" s="53">
        <v>707</v>
      </c>
      <c r="K537" s="55">
        <v>750</v>
      </c>
      <c r="L537" s="55">
        <v>720</v>
      </c>
      <c r="M537" s="55">
        <v>612</v>
      </c>
      <c r="N537" s="63">
        <v>750</v>
      </c>
      <c r="O537" s="63">
        <v>705</v>
      </c>
      <c r="P537" s="63">
        <v>600</v>
      </c>
      <c r="Q537" s="45" t="s">
        <v>54</v>
      </c>
      <c r="R537" s="45" t="s">
        <v>43</v>
      </c>
      <c r="S537" s="45" t="s">
        <v>43</v>
      </c>
      <c r="T537" s="69" t="s">
        <v>67</v>
      </c>
      <c r="U537" s="49" t="s">
        <v>77</v>
      </c>
      <c r="V537" s="43" t="s">
        <v>1508</v>
      </c>
      <c r="W537" s="71">
        <v>331202011</v>
      </c>
      <c r="X537" s="43" t="s">
        <v>1509</v>
      </c>
      <c r="Y537" s="43" t="s">
        <v>43</v>
      </c>
      <c r="Z537" s="71" t="s">
        <v>43</v>
      </c>
      <c r="AA537" s="71" t="s">
        <v>48</v>
      </c>
      <c r="AB537" s="48" t="s">
        <v>43</v>
      </c>
      <c r="AC537" s="75">
        <v>750</v>
      </c>
      <c r="AD537" s="75">
        <v>675</v>
      </c>
      <c r="AE537" s="80">
        <v>750</v>
      </c>
      <c r="AF537" s="80">
        <v>720</v>
      </c>
      <c r="AG537" s="80">
        <v>612</v>
      </c>
    </row>
    <row r="538" ht="36" customHeight="1" spans="1:33">
      <c r="A538" s="43" t="s">
        <v>81</v>
      </c>
      <c r="B538" s="43" t="s">
        <v>1510</v>
      </c>
      <c r="C538" s="43" t="s">
        <v>1511</v>
      </c>
      <c r="D538" s="43" t="s">
        <v>213</v>
      </c>
      <c r="E538" s="48" t="s">
        <v>43</v>
      </c>
      <c r="F538" s="48" t="s">
        <v>43</v>
      </c>
      <c r="G538" s="43" t="s">
        <v>48</v>
      </c>
      <c r="H538" s="48" t="s">
        <v>43</v>
      </c>
      <c r="I538" s="53">
        <v>1300</v>
      </c>
      <c r="J538" s="53">
        <v>1170</v>
      </c>
      <c r="K538" s="54"/>
      <c r="L538" s="54"/>
      <c r="M538" s="54"/>
      <c r="N538" s="63">
        <v>1200</v>
      </c>
      <c r="O538" s="63">
        <v>1080</v>
      </c>
      <c r="P538" s="63">
        <v>920</v>
      </c>
      <c r="Q538" s="45" t="s">
        <v>54</v>
      </c>
      <c r="R538" s="45" t="s">
        <v>43</v>
      </c>
      <c r="S538" s="45" t="s">
        <v>43</v>
      </c>
      <c r="T538" s="69"/>
      <c r="U538" s="49" t="s">
        <v>187</v>
      </c>
      <c r="V538" s="43" t="s">
        <v>198</v>
      </c>
      <c r="W538" s="71" t="s">
        <v>198</v>
      </c>
      <c r="X538" s="43" t="s">
        <v>198</v>
      </c>
      <c r="Y538" s="43"/>
      <c r="Z538" s="71"/>
      <c r="AA538" s="71"/>
      <c r="AB538" s="48"/>
      <c r="AC538" s="74"/>
      <c r="AD538" s="74"/>
      <c r="AE538" s="78"/>
      <c r="AF538" s="78"/>
      <c r="AG538" s="78"/>
    </row>
    <row r="539" ht="25.5" spans="1:33">
      <c r="A539" s="45" t="s">
        <v>81</v>
      </c>
      <c r="B539" s="111" t="s">
        <v>1512</v>
      </c>
      <c r="C539" s="45" t="s">
        <v>1513</v>
      </c>
      <c r="D539" s="45" t="s">
        <v>213</v>
      </c>
      <c r="E539" s="49" t="s">
        <v>43</v>
      </c>
      <c r="F539" s="49" t="s">
        <v>43</v>
      </c>
      <c r="G539" s="45" t="s">
        <v>48</v>
      </c>
      <c r="H539" s="49" t="s">
        <v>43</v>
      </c>
      <c r="I539" s="53">
        <v>785</v>
      </c>
      <c r="J539" s="53">
        <v>707</v>
      </c>
      <c r="K539" s="55">
        <v>875</v>
      </c>
      <c r="L539" s="55">
        <v>840</v>
      </c>
      <c r="M539" s="55">
        <v>714</v>
      </c>
      <c r="N539" s="63">
        <v>750</v>
      </c>
      <c r="O539" s="63">
        <v>705</v>
      </c>
      <c r="P539" s="63">
        <v>600</v>
      </c>
      <c r="Q539" s="45" t="s">
        <v>54</v>
      </c>
      <c r="R539" s="45" t="s">
        <v>43</v>
      </c>
      <c r="S539" s="45" t="s">
        <v>43</v>
      </c>
      <c r="T539" s="69"/>
      <c r="U539" s="49" t="s">
        <v>84</v>
      </c>
      <c r="V539" s="43" t="s">
        <v>1514</v>
      </c>
      <c r="W539" s="71">
        <v>331203001</v>
      </c>
      <c r="X539" s="43" t="s">
        <v>1515</v>
      </c>
      <c r="Y539" s="43" t="s">
        <v>1516</v>
      </c>
      <c r="Z539" s="71" t="s">
        <v>43</v>
      </c>
      <c r="AA539" s="71" t="s">
        <v>40</v>
      </c>
      <c r="AB539" s="48" t="s">
        <v>43</v>
      </c>
      <c r="AC539" s="75">
        <v>875</v>
      </c>
      <c r="AD539" s="75">
        <v>790</v>
      </c>
      <c r="AE539" s="80">
        <v>875</v>
      </c>
      <c r="AF539" s="80">
        <v>840</v>
      </c>
      <c r="AG539" s="80">
        <v>714</v>
      </c>
    </row>
    <row r="540" ht="25.5" spans="1:33">
      <c r="A540" s="45"/>
      <c r="B540" s="45"/>
      <c r="C540" s="45"/>
      <c r="D540" s="45"/>
      <c r="E540" s="49"/>
      <c r="F540" s="49"/>
      <c r="G540" s="45"/>
      <c r="H540" s="49"/>
      <c r="I540" s="53"/>
      <c r="J540" s="53"/>
      <c r="K540" s="55"/>
      <c r="L540" s="55"/>
      <c r="M540" s="55"/>
      <c r="N540" s="63"/>
      <c r="O540" s="63"/>
      <c r="P540" s="63"/>
      <c r="Q540" s="45"/>
      <c r="R540" s="45"/>
      <c r="S540" s="45"/>
      <c r="T540" s="69"/>
      <c r="U540" s="49"/>
      <c r="V540" s="45" t="s">
        <v>1517</v>
      </c>
      <c r="W540" s="45">
        <v>33120300101</v>
      </c>
      <c r="X540" s="45" t="s">
        <v>1518</v>
      </c>
      <c r="Y540" s="43" t="s">
        <v>43</v>
      </c>
      <c r="Z540" s="71" t="s">
        <v>43</v>
      </c>
      <c r="AA540" s="71" t="s">
        <v>40</v>
      </c>
      <c r="AB540" s="48" t="s">
        <v>43</v>
      </c>
      <c r="AC540" s="75">
        <v>1140</v>
      </c>
      <c r="AD540" s="75">
        <v>1025</v>
      </c>
      <c r="AE540" s="80">
        <v>1140</v>
      </c>
      <c r="AF540" s="80">
        <v>1090</v>
      </c>
      <c r="AG540" s="80">
        <v>925</v>
      </c>
    </row>
    <row r="541" ht="25.5" spans="1:33">
      <c r="A541" s="45"/>
      <c r="B541" s="45"/>
      <c r="C541" s="45"/>
      <c r="D541" s="45"/>
      <c r="E541" s="49"/>
      <c r="F541" s="49"/>
      <c r="G541" s="45"/>
      <c r="H541" s="49"/>
      <c r="I541" s="53"/>
      <c r="J541" s="53"/>
      <c r="K541" s="55"/>
      <c r="L541" s="55"/>
      <c r="M541" s="55"/>
      <c r="N541" s="63"/>
      <c r="O541" s="63"/>
      <c r="P541" s="63"/>
      <c r="Q541" s="45"/>
      <c r="R541" s="45"/>
      <c r="S541" s="45"/>
      <c r="T541" s="69"/>
      <c r="U541" s="49"/>
      <c r="V541" s="45" t="s">
        <v>1519</v>
      </c>
      <c r="W541" s="45">
        <v>33120300102</v>
      </c>
      <c r="X541" s="45" t="s">
        <v>1520</v>
      </c>
      <c r="Y541" s="43" t="s">
        <v>43</v>
      </c>
      <c r="Z541" s="71" t="s">
        <v>43</v>
      </c>
      <c r="AA541" s="71" t="s">
        <v>40</v>
      </c>
      <c r="AB541" s="48" t="s">
        <v>43</v>
      </c>
      <c r="AC541" s="75">
        <v>1675</v>
      </c>
      <c r="AD541" s="75">
        <v>1510</v>
      </c>
      <c r="AE541" s="80">
        <v>1500</v>
      </c>
      <c r="AF541" s="80">
        <v>1440</v>
      </c>
      <c r="AG541" s="80">
        <v>1224</v>
      </c>
    </row>
    <row r="542" ht="25.5" spans="1:33">
      <c r="A542" s="45"/>
      <c r="B542" s="45"/>
      <c r="C542" s="45"/>
      <c r="D542" s="45"/>
      <c r="E542" s="49"/>
      <c r="F542" s="49"/>
      <c r="G542" s="45"/>
      <c r="H542" s="49"/>
      <c r="I542" s="53"/>
      <c r="J542" s="53"/>
      <c r="K542" s="55"/>
      <c r="L542" s="55"/>
      <c r="M542" s="55"/>
      <c r="N542" s="63"/>
      <c r="O542" s="63"/>
      <c r="P542" s="63"/>
      <c r="Q542" s="45"/>
      <c r="R542" s="45"/>
      <c r="S542" s="45"/>
      <c r="T542" s="69"/>
      <c r="U542" s="49"/>
      <c r="V542" s="45" t="s">
        <v>1521</v>
      </c>
      <c r="W542" s="45">
        <v>33120300103</v>
      </c>
      <c r="X542" s="45" t="s">
        <v>1522</v>
      </c>
      <c r="Y542" s="43" t="s">
        <v>43</v>
      </c>
      <c r="Z542" s="71" t="s">
        <v>43</v>
      </c>
      <c r="AA542" s="71" t="s">
        <v>40</v>
      </c>
      <c r="AB542" s="48" t="s">
        <v>43</v>
      </c>
      <c r="AC542" s="75">
        <v>1940</v>
      </c>
      <c r="AD542" s="75">
        <v>1745</v>
      </c>
      <c r="AE542" s="80">
        <v>1765</v>
      </c>
      <c r="AF542" s="80">
        <v>1690</v>
      </c>
      <c r="AG542" s="80">
        <v>1435</v>
      </c>
    </row>
    <row r="543" ht="33" customHeight="1" spans="1:33">
      <c r="A543" s="43" t="s">
        <v>81</v>
      </c>
      <c r="B543" s="43" t="s">
        <v>1523</v>
      </c>
      <c r="C543" s="43" t="s">
        <v>1524</v>
      </c>
      <c r="D543" s="43" t="s">
        <v>213</v>
      </c>
      <c r="E543" s="48" t="s">
        <v>43</v>
      </c>
      <c r="F543" s="48" t="s">
        <v>43</v>
      </c>
      <c r="G543" s="43" t="s">
        <v>48</v>
      </c>
      <c r="H543" s="48" t="s">
        <v>43</v>
      </c>
      <c r="I543" s="53">
        <v>236</v>
      </c>
      <c r="J543" s="53">
        <v>212</v>
      </c>
      <c r="K543" s="54">
        <v>225</v>
      </c>
      <c r="L543" s="54">
        <v>230</v>
      </c>
      <c r="M543" s="54">
        <v>195</v>
      </c>
      <c r="N543" s="63">
        <v>225</v>
      </c>
      <c r="O543" s="63">
        <v>210</v>
      </c>
      <c r="P543" s="63">
        <v>180</v>
      </c>
      <c r="Q543" s="45" t="s">
        <v>54</v>
      </c>
      <c r="R543" s="45" t="s">
        <v>43</v>
      </c>
      <c r="S543" s="45" t="s">
        <v>43</v>
      </c>
      <c r="T543" s="69"/>
      <c r="U543" s="49" t="s">
        <v>446</v>
      </c>
      <c r="V543" s="45" t="s">
        <v>1525</v>
      </c>
      <c r="W543" s="45">
        <v>33120201101</v>
      </c>
      <c r="X543" s="45" t="s">
        <v>1526</v>
      </c>
      <c r="Y543" s="43" t="s">
        <v>43</v>
      </c>
      <c r="Z543" s="71" t="s">
        <v>43</v>
      </c>
      <c r="AA543" s="71" t="s">
        <v>48</v>
      </c>
      <c r="AB543" s="48" t="s">
        <v>43</v>
      </c>
      <c r="AC543" s="75">
        <v>975</v>
      </c>
      <c r="AD543" s="75">
        <v>880</v>
      </c>
      <c r="AE543" s="80">
        <v>975</v>
      </c>
      <c r="AF543" s="80">
        <v>935</v>
      </c>
      <c r="AG543" s="80">
        <v>795</v>
      </c>
    </row>
    <row r="544" ht="15" customHeight="1" spans="1:33">
      <c r="A544" s="45">
        <v>76</v>
      </c>
      <c r="B544" s="45" t="s">
        <v>1527</v>
      </c>
      <c r="C544" s="45" t="s">
        <v>1528</v>
      </c>
      <c r="D544" s="45" t="s">
        <v>213</v>
      </c>
      <c r="E544" s="49" t="s">
        <v>1529</v>
      </c>
      <c r="F544" s="49" t="s">
        <v>1530</v>
      </c>
      <c r="G544" s="45" t="s">
        <v>48</v>
      </c>
      <c r="H544" s="49" t="s">
        <v>43</v>
      </c>
      <c r="I544" s="53">
        <v>825</v>
      </c>
      <c r="J544" s="53">
        <v>743</v>
      </c>
      <c r="K544" s="84">
        <v>793.402777777778</v>
      </c>
      <c r="L544" s="84">
        <v>641.796875</v>
      </c>
      <c r="M544" s="84">
        <v>540.783783783784</v>
      </c>
      <c r="N544" s="63">
        <v>800</v>
      </c>
      <c r="O544" s="63">
        <v>720</v>
      </c>
      <c r="P544" s="63">
        <v>600</v>
      </c>
      <c r="Q544" s="45" t="s">
        <v>54</v>
      </c>
      <c r="R544" s="45" t="s">
        <v>43</v>
      </c>
      <c r="S544" s="45" t="s">
        <v>43</v>
      </c>
      <c r="T544" s="69" t="s">
        <v>67</v>
      </c>
      <c r="U544" s="49" t="s">
        <v>1531</v>
      </c>
      <c r="V544" s="43" t="s">
        <v>1532</v>
      </c>
      <c r="W544" s="71">
        <v>331202006</v>
      </c>
      <c r="X544" s="43" t="s">
        <v>1533</v>
      </c>
      <c r="Y544" s="43" t="s">
        <v>43</v>
      </c>
      <c r="Z544" s="71" t="s">
        <v>43</v>
      </c>
      <c r="AA544" s="71" t="s">
        <v>48</v>
      </c>
      <c r="AB544" s="48" t="s">
        <v>43</v>
      </c>
      <c r="AC544" s="75">
        <v>625</v>
      </c>
      <c r="AD544" s="75">
        <v>565</v>
      </c>
      <c r="AE544" s="80">
        <v>625</v>
      </c>
      <c r="AF544" s="80">
        <v>600</v>
      </c>
      <c r="AG544" s="80">
        <v>510</v>
      </c>
    </row>
    <row r="545" ht="15" customHeight="1" spans="1:33">
      <c r="A545" s="45"/>
      <c r="B545" s="45"/>
      <c r="C545" s="45"/>
      <c r="D545" s="45"/>
      <c r="E545" s="49"/>
      <c r="F545" s="49"/>
      <c r="G545" s="45"/>
      <c r="H545" s="49"/>
      <c r="I545" s="53"/>
      <c r="J545" s="53"/>
      <c r="K545" s="84"/>
      <c r="L545" s="84"/>
      <c r="M545" s="84"/>
      <c r="N545" s="63"/>
      <c r="O545" s="63"/>
      <c r="P545" s="63"/>
      <c r="Q545" s="45"/>
      <c r="R545" s="45"/>
      <c r="S545" s="45"/>
      <c r="T545" s="69"/>
      <c r="U545" s="49"/>
      <c r="V545" s="43" t="s">
        <v>1534</v>
      </c>
      <c r="W545" s="71">
        <v>33120200602</v>
      </c>
      <c r="X545" s="43" t="s">
        <v>1535</v>
      </c>
      <c r="Y545" s="43" t="s">
        <v>43</v>
      </c>
      <c r="Z545" s="71" t="s">
        <v>43</v>
      </c>
      <c r="AA545" s="71" t="s">
        <v>48</v>
      </c>
      <c r="AB545" s="48" t="s">
        <v>43</v>
      </c>
      <c r="AC545" s="75">
        <v>1425</v>
      </c>
      <c r="AD545" s="75">
        <v>1285</v>
      </c>
      <c r="AE545" s="80">
        <v>1250</v>
      </c>
      <c r="AF545" s="80">
        <v>1200</v>
      </c>
      <c r="AG545" s="80">
        <v>1020</v>
      </c>
    </row>
    <row r="546" ht="15" customHeight="1" spans="1:33">
      <c r="A546" s="45"/>
      <c r="B546" s="45"/>
      <c r="C546" s="45"/>
      <c r="D546" s="45"/>
      <c r="E546" s="49"/>
      <c r="F546" s="49"/>
      <c r="G546" s="45"/>
      <c r="H546" s="49"/>
      <c r="I546" s="53"/>
      <c r="J546" s="53"/>
      <c r="K546" s="84"/>
      <c r="L546" s="84"/>
      <c r="M546" s="84"/>
      <c r="N546" s="63"/>
      <c r="O546" s="63"/>
      <c r="P546" s="63"/>
      <c r="Q546" s="45"/>
      <c r="R546" s="45"/>
      <c r="S546" s="45"/>
      <c r="T546" s="69"/>
      <c r="U546" s="49"/>
      <c r="V546" s="43" t="s">
        <v>1536</v>
      </c>
      <c r="W546" s="71">
        <v>331202007</v>
      </c>
      <c r="X546" s="43" t="s">
        <v>1537</v>
      </c>
      <c r="Y546" s="43" t="s">
        <v>43</v>
      </c>
      <c r="Z546" s="71" t="s">
        <v>43</v>
      </c>
      <c r="AA546" s="71" t="s">
        <v>48</v>
      </c>
      <c r="AB546" s="48" t="s">
        <v>1538</v>
      </c>
      <c r="AC546" s="75">
        <v>875</v>
      </c>
      <c r="AD546" s="75">
        <v>790</v>
      </c>
      <c r="AE546" s="80">
        <v>875</v>
      </c>
      <c r="AF546" s="80">
        <v>840</v>
      </c>
      <c r="AG546" s="80">
        <v>714</v>
      </c>
    </row>
    <row r="547" ht="15" customHeight="1" spans="1:33">
      <c r="A547" s="45"/>
      <c r="B547" s="45"/>
      <c r="C547" s="45"/>
      <c r="D547" s="45"/>
      <c r="E547" s="49"/>
      <c r="F547" s="49"/>
      <c r="G547" s="45"/>
      <c r="H547" s="49"/>
      <c r="I547" s="53"/>
      <c r="J547" s="53"/>
      <c r="K547" s="84"/>
      <c r="L547" s="84"/>
      <c r="M547" s="84"/>
      <c r="N547" s="63"/>
      <c r="O547" s="63"/>
      <c r="P547" s="63"/>
      <c r="Q547" s="45"/>
      <c r="R547" s="45"/>
      <c r="S547" s="45"/>
      <c r="T547" s="69"/>
      <c r="U547" s="49"/>
      <c r="V547" s="43" t="s">
        <v>1539</v>
      </c>
      <c r="W547" s="71">
        <v>33120200702</v>
      </c>
      <c r="X547" s="43" t="s">
        <v>1540</v>
      </c>
      <c r="Y547" s="43" t="s">
        <v>43</v>
      </c>
      <c r="Z547" s="71" t="s">
        <v>43</v>
      </c>
      <c r="AA547" s="71" t="s">
        <v>48</v>
      </c>
      <c r="AB547" s="48" t="s">
        <v>43</v>
      </c>
      <c r="AC547" s="75">
        <v>1675</v>
      </c>
      <c r="AD547" s="75">
        <v>1510</v>
      </c>
      <c r="AE547" s="80">
        <v>1500</v>
      </c>
      <c r="AF547" s="80">
        <v>1440</v>
      </c>
      <c r="AG547" s="80">
        <v>1224</v>
      </c>
    </row>
    <row r="548" s="30" customFormat="1" ht="15" customHeight="1" spans="1:36">
      <c r="A548" s="45"/>
      <c r="B548" s="45"/>
      <c r="C548" s="45"/>
      <c r="D548" s="45"/>
      <c r="E548" s="49"/>
      <c r="F548" s="49"/>
      <c r="G548" s="45"/>
      <c r="H548" s="49"/>
      <c r="I548" s="53"/>
      <c r="J548" s="53"/>
      <c r="K548" s="84"/>
      <c r="L548" s="84"/>
      <c r="M548" s="84"/>
      <c r="N548" s="63"/>
      <c r="O548" s="63"/>
      <c r="P548" s="63"/>
      <c r="Q548" s="45"/>
      <c r="R548" s="45"/>
      <c r="S548" s="45"/>
      <c r="T548" s="69"/>
      <c r="U548" s="49"/>
      <c r="V548" s="45" t="s">
        <v>1541</v>
      </c>
      <c r="W548" s="45">
        <v>33120200704</v>
      </c>
      <c r="X548" s="45" t="s">
        <v>1542</v>
      </c>
      <c r="Y548" s="43" t="s">
        <v>43</v>
      </c>
      <c r="Z548" s="71" t="s">
        <v>43</v>
      </c>
      <c r="AA548" s="71" t="s">
        <v>48</v>
      </c>
      <c r="AB548" s="48" t="s">
        <v>43</v>
      </c>
      <c r="AC548" s="75">
        <v>530</v>
      </c>
      <c r="AD548" s="75">
        <v>480</v>
      </c>
      <c r="AE548" s="80">
        <v>525</v>
      </c>
      <c r="AF548" s="80">
        <v>500</v>
      </c>
      <c r="AG548" s="80">
        <v>425</v>
      </c>
      <c r="AH548" s="32"/>
      <c r="AI548" s="32"/>
      <c r="AJ548" s="32"/>
    </row>
    <row r="549" s="31" customFormat="1" ht="15" customHeight="1" spans="1:36">
      <c r="A549" s="43" t="s">
        <v>81</v>
      </c>
      <c r="B549" s="43" t="s">
        <v>1543</v>
      </c>
      <c r="C549" s="43" t="s">
        <v>1544</v>
      </c>
      <c r="D549" s="43" t="s">
        <v>213</v>
      </c>
      <c r="E549" s="48" t="s">
        <v>43</v>
      </c>
      <c r="F549" s="48" t="s">
        <v>43</v>
      </c>
      <c r="G549" s="43" t="s">
        <v>48</v>
      </c>
      <c r="H549" s="48" t="s">
        <v>43</v>
      </c>
      <c r="I549" s="53">
        <v>248</v>
      </c>
      <c r="J549" s="53">
        <v>223</v>
      </c>
      <c r="K549" s="84">
        <v>723.799126637555</v>
      </c>
      <c r="L549" s="84">
        <v>238.224299065421</v>
      </c>
      <c r="M549" s="84">
        <v>325</v>
      </c>
      <c r="N549" s="63">
        <v>240</v>
      </c>
      <c r="O549" s="63">
        <v>215</v>
      </c>
      <c r="P549" s="63">
        <v>180</v>
      </c>
      <c r="Q549" s="45" t="s">
        <v>54</v>
      </c>
      <c r="R549" s="45" t="s">
        <v>43</v>
      </c>
      <c r="S549" s="45" t="s">
        <v>43</v>
      </c>
      <c r="T549" s="69"/>
      <c r="U549" s="49" t="s">
        <v>446</v>
      </c>
      <c r="V549" s="45" t="s">
        <v>1545</v>
      </c>
      <c r="W549" s="45">
        <v>33120200601</v>
      </c>
      <c r="X549" s="45" t="s">
        <v>1546</v>
      </c>
      <c r="Y549" s="43" t="s">
        <v>43</v>
      </c>
      <c r="Z549" s="71" t="s">
        <v>43</v>
      </c>
      <c r="AA549" s="71" t="s">
        <v>48</v>
      </c>
      <c r="AB549" s="48" t="s">
        <v>43</v>
      </c>
      <c r="AC549" s="75">
        <v>815</v>
      </c>
      <c r="AD549" s="75">
        <v>735</v>
      </c>
      <c r="AE549" s="80">
        <v>815</v>
      </c>
      <c r="AF549" s="80">
        <v>780</v>
      </c>
      <c r="AG549" s="80">
        <v>665</v>
      </c>
      <c r="AH549" s="32"/>
      <c r="AI549" s="32"/>
      <c r="AJ549" s="32"/>
    </row>
    <row r="550" s="31" customFormat="1" ht="15" customHeight="1" spans="1:36">
      <c r="A550" s="43"/>
      <c r="B550" s="43"/>
      <c r="C550" s="43"/>
      <c r="D550" s="43"/>
      <c r="E550" s="48"/>
      <c r="F550" s="48"/>
      <c r="G550" s="43"/>
      <c r="H550" s="48"/>
      <c r="I550" s="76"/>
      <c r="J550" s="76"/>
      <c r="K550" s="84"/>
      <c r="L550" s="84"/>
      <c r="M550" s="84"/>
      <c r="N550" s="63"/>
      <c r="O550" s="63"/>
      <c r="P550" s="63"/>
      <c r="Q550" s="45"/>
      <c r="R550" s="45"/>
      <c r="S550" s="45"/>
      <c r="T550" s="69"/>
      <c r="U550" s="49"/>
      <c r="V550" s="45" t="s">
        <v>1547</v>
      </c>
      <c r="W550" s="45">
        <v>33120200603</v>
      </c>
      <c r="X550" s="45" t="s">
        <v>1548</v>
      </c>
      <c r="Y550" s="43" t="s">
        <v>43</v>
      </c>
      <c r="Z550" s="71" t="s">
        <v>43</v>
      </c>
      <c r="AA550" s="71" t="s">
        <v>48</v>
      </c>
      <c r="AB550" s="48" t="s">
        <v>43</v>
      </c>
      <c r="AC550" s="75">
        <v>1615</v>
      </c>
      <c r="AD550" s="75">
        <v>1455</v>
      </c>
      <c r="AE550" s="80">
        <v>1440</v>
      </c>
      <c r="AF550" s="80">
        <v>1380</v>
      </c>
      <c r="AG550" s="80">
        <v>1175</v>
      </c>
      <c r="AH550" s="32"/>
      <c r="AI550" s="32"/>
      <c r="AJ550" s="32"/>
    </row>
    <row r="551" s="31" customFormat="1" ht="15" customHeight="1" spans="1:36">
      <c r="A551" s="43"/>
      <c r="B551" s="43"/>
      <c r="C551" s="43"/>
      <c r="D551" s="43"/>
      <c r="E551" s="48"/>
      <c r="F551" s="48"/>
      <c r="G551" s="43"/>
      <c r="H551" s="48"/>
      <c r="I551" s="76"/>
      <c r="J551" s="76"/>
      <c r="K551" s="84"/>
      <c r="L551" s="84"/>
      <c r="M551" s="84"/>
      <c r="N551" s="63"/>
      <c r="O551" s="63"/>
      <c r="P551" s="63"/>
      <c r="Q551" s="45"/>
      <c r="R551" s="45"/>
      <c r="S551" s="45"/>
      <c r="T551" s="69"/>
      <c r="U551" s="49"/>
      <c r="V551" s="45" t="s">
        <v>1549</v>
      </c>
      <c r="W551" s="45">
        <v>33120200701</v>
      </c>
      <c r="X551" s="45" t="s">
        <v>1550</v>
      </c>
      <c r="Y551" s="43" t="s">
        <v>43</v>
      </c>
      <c r="Z551" s="71" t="s">
        <v>43</v>
      </c>
      <c r="AA551" s="71" t="s">
        <v>48</v>
      </c>
      <c r="AB551" s="48" t="s">
        <v>43</v>
      </c>
      <c r="AC551" s="75">
        <v>1140</v>
      </c>
      <c r="AD551" s="75">
        <v>1025</v>
      </c>
      <c r="AE551" s="80">
        <v>1140</v>
      </c>
      <c r="AF551" s="80">
        <v>1090</v>
      </c>
      <c r="AG551" s="80">
        <v>925</v>
      </c>
      <c r="AH551" s="32"/>
      <c r="AI551" s="32"/>
      <c r="AJ551" s="32"/>
    </row>
    <row r="552" s="31" customFormat="1" ht="15" customHeight="1" spans="1:36">
      <c r="A552" s="43"/>
      <c r="B552" s="43"/>
      <c r="C552" s="43"/>
      <c r="D552" s="43"/>
      <c r="E552" s="48"/>
      <c r="F552" s="48"/>
      <c r="G552" s="43"/>
      <c r="H552" s="48"/>
      <c r="I552" s="76"/>
      <c r="J552" s="76"/>
      <c r="K552" s="84"/>
      <c r="L552" s="84"/>
      <c r="M552" s="84"/>
      <c r="N552" s="63"/>
      <c r="O552" s="63"/>
      <c r="P552" s="63"/>
      <c r="Q552" s="45"/>
      <c r="R552" s="45"/>
      <c r="S552" s="45"/>
      <c r="T552" s="69"/>
      <c r="U552" s="49"/>
      <c r="V552" s="45" t="s">
        <v>1551</v>
      </c>
      <c r="W552" s="45">
        <v>33120200703</v>
      </c>
      <c r="X552" s="45" t="s">
        <v>1552</v>
      </c>
      <c r="Y552" s="43" t="s">
        <v>43</v>
      </c>
      <c r="Z552" s="71" t="s">
        <v>43</v>
      </c>
      <c r="AA552" s="71" t="s">
        <v>48</v>
      </c>
      <c r="AB552" s="48" t="s">
        <v>43</v>
      </c>
      <c r="AC552" s="75">
        <v>1940</v>
      </c>
      <c r="AD552" s="75">
        <v>1745</v>
      </c>
      <c r="AE552" s="80">
        <v>1765</v>
      </c>
      <c r="AF552" s="80">
        <v>1690</v>
      </c>
      <c r="AG552" s="80">
        <v>1435</v>
      </c>
      <c r="AH552" s="32"/>
      <c r="AI552" s="32"/>
      <c r="AJ552" s="32"/>
    </row>
    <row r="553" s="31" customFormat="1" ht="15" customHeight="1" spans="1:36">
      <c r="A553" s="43"/>
      <c r="B553" s="43"/>
      <c r="C553" s="43"/>
      <c r="D553" s="43"/>
      <c r="E553" s="48"/>
      <c r="F553" s="48"/>
      <c r="G553" s="43"/>
      <c r="H553" s="48"/>
      <c r="I553" s="76"/>
      <c r="J553" s="76"/>
      <c r="K553" s="84"/>
      <c r="L553" s="84"/>
      <c r="M553" s="84"/>
      <c r="N553" s="63"/>
      <c r="O553" s="63"/>
      <c r="P553" s="63"/>
      <c r="Q553" s="45"/>
      <c r="R553" s="45"/>
      <c r="S553" s="45"/>
      <c r="T553" s="69"/>
      <c r="U553" s="49"/>
      <c r="V553" s="45" t="s">
        <v>1553</v>
      </c>
      <c r="W553" s="45">
        <v>33120200705</v>
      </c>
      <c r="X553" s="45" t="s">
        <v>1554</v>
      </c>
      <c r="Y553" s="43" t="s">
        <v>43</v>
      </c>
      <c r="Z553" s="71" t="s">
        <v>43</v>
      </c>
      <c r="AA553" s="71" t="s">
        <v>48</v>
      </c>
      <c r="AB553" s="48" t="s">
        <v>43</v>
      </c>
      <c r="AC553" s="75">
        <v>689</v>
      </c>
      <c r="AD553" s="75">
        <v>624</v>
      </c>
      <c r="AE553" s="80">
        <v>685</v>
      </c>
      <c r="AF553" s="80">
        <v>650</v>
      </c>
      <c r="AG553" s="80">
        <v>555</v>
      </c>
      <c r="AH553" s="32"/>
      <c r="AI553" s="32"/>
      <c r="AJ553" s="32"/>
    </row>
    <row r="554" ht="31" customHeight="1" spans="1:33">
      <c r="A554" s="45">
        <v>77</v>
      </c>
      <c r="B554" s="45" t="s">
        <v>1555</v>
      </c>
      <c r="C554" s="45" t="s">
        <v>1556</v>
      </c>
      <c r="D554" s="45" t="s">
        <v>213</v>
      </c>
      <c r="E554" s="49" t="s">
        <v>1557</v>
      </c>
      <c r="F554" s="49" t="s">
        <v>1558</v>
      </c>
      <c r="G554" s="45" t="s">
        <v>48</v>
      </c>
      <c r="H554" s="49" t="s">
        <v>43</v>
      </c>
      <c r="I554" s="53">
        <v>1000</v>
      </c>
      <c r="J554" s="53">
        <v>900</v>
      </c>
      <c r="K554" s="55">
        <v>1000</v>
      </c>
      <c r="L554" s="55">
        <v>960</v>
      </c>
      <c r="M554" s="55"/>
      <c r="N554" s="63">
        <v>950</v>
      </c>
      <c r="O554" s="63">
        <v>900</v>
      </c>
      <c r="P554" s="63">
        <v>770</v>
      </c>
      <c r="Q554" s="45" t="s">
        <v>54</v>
      </c>
      <c r="R554" s="45" t="s">
        <v>43</v>
      </c>
      <c r="S554" s="45" t="s">
        <v>43</v>
      </c>
      <c r="T554" s="69" t="s">
        <v>76</v>
      </c>
      <c r="U554" s="49" t="s">
        <v>1559</v>
      </c>
      <c r="V554" s="43" t="s">
        <v>1560</v>
      </c>
      <c r="W554" s="71">
        <v>331202009</v>
      </c>
      <c r="X554" s="43" t="s">
        <v>1561</v>
      </c>
      <c r="Y554" s="43" t="s">
        <v>43</v>
      </c>
      <c r="Z554" s="71" t="s">
        <v>43</v>
      </c>
      <c r="AA554" s="71" t="s">
        <v>40</v>
      </c>
      <c r="AB554" s="48" t="s">
        <v>43</v>
      </c>
      <c r="AC554" s="75">
        <v>1000</v>
      </c>
      <c r="AD554" s="75">
        <v>900</v>
      </c>
      <c r="AE554" s="80">
        <v>1000</v>
      </c>
      <c r="AF554" s="80">
        <v>960</v>
      </c>
      <c r="AG554" s="80">
        <v>816</v>
      </c>
    </row>
    <row r="555" ht="31" customHeight="1" spans="1:33">
      <c r="A555" s="45"/>
      <c r="B555" s="45"/>
      <c r="C555" s="45"/>
      <c r="D555" s="45"/>
      <c r="E555" s="49"/>
      <c r="F555" s="49"/>
      <c r="G555" s="45"/>
      <c r="H555" s="49"/>
      <c r="I555" s="53"/>
      <c r="J555" s="53"/>
      <c r="K555" s="55"/>
      <c r="L555" s="55"/>
      <c r="M555" s="55"/>
      <c r="N555" s="63"/>
      <c r="O555" s="63"/>
      <c r="P555" s="63"/>
      <c r="Q555" s="45"/>
      <c r="R555" s="45"/>
      <c r="S555" s="45"/>
      <c r="T555" s="69"/>
      <c r="U555" s="49"/>
      <c r="V555" s="45" t="s">
        <v>1562</v>
      </c>
      <c r="W555" s="71">
        <v>33120200902</v>
      </c>
      <c r="X555" s="43" t="s">
        <v>1563</v>
      </c>
      <c r="Y555" s="43" t="s">
        <v>43</v>
      </c>
      <c r="Z555" s="71" t="s">
        <v>43</v>
      </c>
      <c r="AA555" s="71" t="s">
        <v>40</v>
      </c>
      <c r="AB555" s="48" t="s">
        <v>43</v>
      </c>
      <c r="AC555" s="75">
        <v>1800</v>
      </c>
      <c r="AD555" s="75">
        <v>1620</v>
      </c>
      <c r="AE555" s="80">
        <v>1625</v>
      </c>
      <c r="AF555" s="80">
        <v>1560</v>
      </c>
      <c r="AG555" s="80">
        <v>1326</v>
      </c>
    </row>
    <row r="556" ht="25.5" spans="1:33">
      <c r="A556" s="43" t="s">
        <v>81</v>
      </c>
      <c r="B556" s="43" t="s">
        <v>1564</v>
      </c>
      <c r="C556" s="43" t="s">
        <v>1565</v>
      </c>
      <c r="D556" s="43" t="s">
        <v>213</v>
      </c>
      <c r="E556" s="48" t="s">
        <v>43</v>
      </c>
      <c r="F556" s="48" t="s">
        <v>43</v>
      </c>
      <c r="G556" s="43" t="s">
        <v>48</v>
      </c>
      <c r="H556" s="48" t="s">
        <v>43</v>
      </c>
      <c r="I556" s="53">
        <v>300</v>
      </c>
      <c r="J556" s="53">
        <v>270</v>
      </c>
      <c r="K556" s="54"/>
      <c r="L556" s="54"/>
      <c r="M556" s="54"/>
      <c r="N556" s="63">
        <v>285</v>
      </c>
      <c r="O556" s="63">
        <v>270</v>
      </c>
      <c r="P556" s="63">
        <v>230</v>
      </c>
      <c r="Q556" s="45" t="s">
        <v>54</v>
      </c>
      <c r="R556" s="45" t="s">
        <v>43</v>
      </c>
      <c r="S556" s="45" t="s">
        <v>43</v>
      </c>
      <c r="T556" s="69"/>
      <c r="U556" s="49"/>
      <c r="V556" s="45" t="s">
        <v>1566</v>
      </c>
      <c r="W556" s="45">
        <v>33120200901</v>
      </c>
      <c r="X556" s="45" t="s">
        <v>1567</v>
      </c>
      <c r="Y556" s="43" t="s">
        <v>43</v>
      </c>
      <c r="Z556" s="71" t="s">
        <v>43</v>
      </c>
      <c r="AA556" s="71" t="s">
        <v>40</v>
      </c>
      <c r="AB556" s="48" t="s">
        <v>43</v>
      </c>
      <c r="AC556" s="75">
        <v>1300</v>
      </c>
      <c r="AD556" s="75">
        <v>1170</v>
      </c>
      <c r="AE556" s="80">
        <v>1300</v>
      </c>
      <c r="AF556" s="80">
        <v>1250</v>
      </c>
      <c r="AG556" s="80">
        <v>1065</v>
      </c>
    </row>
    <row r="557" ht="25.5" spans="1:33">
      <c r="A557" s="43"/>
      <c r="B557" s="43"/>
      <c r="C557" s="43"/>
      <c r="D557" s="43"/>
      <c r="E557" s="48"/>
      <c r="F557" s="48"/>
      <c r="G557" s="43"/>
      <c r="H557" s="48"/>
      <c r="I557" s="76"/>
      <c r="J557" s="76"/>
      <c r="K557" s="54"/>
      <c r="L557" s="54"/>
      <c r="M557" s="54"/>
      <c r="N557" s="63"/>
      <c r="O557" s="63"/>
      <c r="P557" s="63"/>
      <c r="Q557" s="45"/>
      <c r="R557" s="45"/>
      <c r="S557" s="45"/>
      <c r="T557" s="69"/>
      <c r="U557" s="49"/>
      <c r="V557" s="45" t="s">
        <v>1568</v>
      </c>
      <c r="W557" s="45">
        <v>33120200903</v>
      </c>
      <c r="X557" s="45" t="s">
        <v>1569</v>
      </c>
      <c r="Y557" s="43" t="s">
        <v>43</v>
      </c>
      <c r="Z557" s="71" t="s">
        <v>43</v>
      </c>
      <c r="AA557" s="71" t="s">
        <v>40</v>
      </c>
      <c r="AB557" s="48" t="s">
        <v>43</v>
      </c>
      <c r="AC557" s="75">
        <v>2100</v>
      </c>
      <c r="AD557" s="75">
        <v>1890</v>
      </c>
      <c r="AE557" s="80">
        <v>1925</v>
      </c>
      <c r="AF557" s="80">
        <v>1850</v>
      </c>
      <c r="AG557" s="80">
        <v>1575</v>
      </c>
    </row>
    <row r="558" ht="25.5" spans="1:33">
      <c r="A558" s="45">
        <v>78</v>
      </c>
      <c r="B558" s="45" t="s">
        <v>1570</v>
      </c>
      <c r="C558" s="45" t="s">
        <v>1571</v>
      </c>
      <c r="D558" s="45" t="s">
        <v>213</v>
      </c>
      <c r="E558" s="49" t="s">
        <v>1572</v>
      </c>
      <c r="F558" s="49" t="s">
        <v>1573</v>
      </c>
      <c r="G558" s="45" t="s">
        <v>48</v>
      </c>
      <c r="H558" s="49" t="s">
        <v>43</v>
      </c>
      <c r="I558" s="53">
        <v>1191</v>
      </c>
      <c r="J558" s="53">
        <v>1072</v>
      </c>
      <c r="K558" s="84">
        <v>1125.48484848485</v>
      </c>
      <c r="L558" s="84">
        <v>989.798657718121</v>
      </c>
      <c r="M558" s="84">
        <v>795.6</v>
      </c>
      <c r="N558" s="63">
        <v>1125</v>
      </c>
      <c r="O558" s="63">
        <v>1000</v>
      </c>
      <c r="P558" s="63">
        <v>850</v>
      </c>
      <c r="Q558" s="45" t="s">
        <v>54</v>
      </c>
      <c r="R558" s="45" t="s">
        <v>43</v>
      </c>
      <c r="S558" s="45" t="s">
        <v>43</v>
      </c>
      <c r="T558" s="69" t="s">
        <v>76</v>
      </c>
      <c r="U558" s="49" t="s">
        <v>1531</v>
      </c>
      <c r="V558" s="43" t="s">
        <v>1574</v>
      </c>
      <c r="W558" s="71">
        <v>331202010</v>
      </c>
      <c r="X558" s="43" t="s">
        <v>1575</v>
      </c>
      <c r="Y558" s="43" t="s">
        <v>1576</v>
      </c>
      <c r="Z558" s="71" t="s">
        <v>43</v>
      </c>
      <c r="AA558" s="71" t="s">
        <v>48</v>
      </c>
      <c r="AB558" s="48" t="s">
        <v>43</v>
      </c>
      <c r="AC558" s="75">
        <v>1000</v>
      </c>
      <c r="AD558" s="75">
        <v>900</v>
      </c>
      <c r="AE558" s="80">
        <v>1000</v>
      </c>
      <c r="AF558" s="80">
        <v>960</v>
      </c>
      <c r="AG558" s="80">
        <v>816</v>
      </c>
    </row>
    <row r="559" ht="25.5" spans="1:33">
      <c r="A559" s="45"/>
      <c r="B559" s="45"/>
      <c r="C559" s="45"/>
      <c r="D559" s="45"/>
      <c r="E559" s="49"/>
      <c r="F559" s="49"/>
      <c r="G559" s="45"/>
      <c r="H559" s="49"/>
      <c r="I559" s="53"/>
      <c r="J559" s="53"/>
      <c r="K559" s="84"/>
      <c r="L559" s="84"/>
      <c r="M559" s="84"/>
      <c r="N559" s="63"/>
      <c r="O559" s="63"/>
      <c r="P559" s="63"/>
      <c r="Q559" s="45"/>
      <c r="R559" s="45"/>
      <c r="S559" s="45"/>
      <c r="T559" s="69"/>
      <c r="U559" s="49"/>
      <c r="V559" s="43" t="s">
        <v>1577</v>
      </c>
      <c r="W559" s="71">
        <v>33120201002</v>
      </c>
      <c r="X559" s="43" t="s">
        <v>1578</v>
      </c>
      <c r="Y559" s="43" t="s">
        <v>43</v>
      </c>
      <c r="Z559" s="71" t="s">
        <v>43</v>
      </c>
      <c r="AA559" s="71" t="s">
        <v>48</v>
      </c>
      <c r="AB559" s="48" t="s">
        <v>43</v>
      </c>
      <c r="AC559" s="75">
        <v>1800</v>
      </c>
      <c r="AD559" s="75">
        <v>1620</v>
      </c>
      <c r="AE559" s="80">
        <v>1625</v>
      </c>
      <c r="AF559" s="80">
        <v>1560</v>
      </c>
      <c r="AG559" s="80">
        <v>1326</v>
      </c>
    </row>
    <row r="560" ht="25.5" spans="1:33">
      <c r="A560" s="45"/>
      <c r="B560" s="45"/>
      <c r="C560" s="45"/>
      <c r="D560" s="45"/>
      <c r="E560" s="49"/>
      <c r="F560" s="49"/>
      <c r="G560" s="45"/>
      <c r="H560" s="49"/>
      <c r="I560" s="53"/>
      <c r="J560" s="53"/>
      <c r="K560" s="84"/>
      <c r="L560" s="84"/>
      <c r="M560" s="84"/>
      <c r="N560" s="63"/>
      <c r="O560" s="63"/>
      <c r="P560" s="63"/>
      <c r="Q560" s="45"/>
      <c r="R560" s="45"/>
      <c r="S560" s="45"/>
      <c r="T560" s="69"/>
      <c r="U560" s="49"/>
      <c r="V560" s="43" t="s">
        <v>1579</v>
      </c>
      <c r="W560" s="71">
        <v>331202008</v>
      </c>
      <c r="X560" s="43" t="s">
        <v>1580</v>
      </c>
      <c r="Y560" s="43" t="s">
        <v>1581</v>
      </c>
      <c r="Z560" s="71" t="s">
        <v>43</v>
      </c>
      <c r="AA560" s="71" t="s">
        <v>48</v>
      </c>
      <c r="AB560" s="48" t="s">
        <v>43</v>
      </c>
      <c r="AC560" s="75">
        <v>875</v>
      </c>
      <c r="AD560" s="75">
        <v>790</v>
      </c>
      <c r="AE560" s="80">
        <v>875</v>
      </c>
      <c r="AF560" s="80">
        <v>840</v>
      </c>
      <c r="AG560" s="80">
        <v>714</v>
      </c>
    </row>
    <row r="561" ht="25.5" spans="1:33">
      <c r="A561" s="45"/>
      <c r="B561" s="45"/>
      <c r="C561" s="45"/>
      <c r="D561" s="45"/>
      <c r="E561" s="49"/>
      <c r="F561" s="49"/>
      <c r="G561" s="45"/>
      <c r="H561" s="49"/>
      <c r="I561" s="53"/>
      <c r="J561" s="53"/>
      <c r="K561" s="84"/>
      <c r="L561" s="84"/>
      <c r="M561" s="84"/>
      <c r="N561" s="63"/>
      <c r="O561" s="63"/>
      <c r="P561" s="63"/>
      <c r="Q561" s="45"/>
      <c r="R561" s="45"/>
      <c r="S561" s="45"/>
      <c r="T561" s="69"/>
      <c r="U561" s="49"/>
      <c r="V561" s="43" t="s">
        <v>1582</v>
      </c>
      <c r="W561" s="71">
        <v>33120200802</v>
      </c>
      <c r="X561" s="43" t="s">
        <v>1583</v>
      </c>
      <c r="Y561" s="43" t="s">
        <v>43</v>
      </c>
      <c r="Z561" s="71" t="s">
        <v>43</v>
      </c>
      <c r="AA561" s="71" t="s">
        <v>48</v>
      </c>
      <c r="AB561" s="48" t="s">
        <v>43</v>
      </c>
      <c r="AC561" s="75">
        <v>1675</v>
      </c>
      <c r="AD561" s="75">
        <v>1510</v>
      </c>
      <c r="AE561" s="80">
        <v>1500</v>
      </c>
      <c r="AF561" s="80">
        <v>1440</v>
      </c>
      <c r="AG561" s="80">
        <v>1224</v>
      </c>
    </row>
    <row r="562" ht="25.5" spans="1:33">
      <c r="A562" s="45"/>
      <c r="B562" s="45"/>
      <c r="C562" s="45"/>
      <c r="D562" s="45"/>
      <c r="E562" s="49"/>
      <c r="F562" s="49"/>
      <c r="G562" s="45"/>
      <c r="H562" s="49"/>
      <c r="I562" s="53"/>
      <c r="J562" s="53"/>
      <c r="K562" s="84"/>
      <c r="L562" s="84"/>
      <c r="M562" s="84"/>
      <c r="N562" s="63"/>
      <c r="O562" s="63"/>
      <c r="P562" s="63"/>
      <c r="Q562" s="45"/>
      <c r="R562" s="45"/>
      <c r="S562" s="45"/>
      <c r="T562" s="69"/>
      <c r="U562" s="49"/>
      <c r="V562" s="43" t="s">
        <v>1584</v>
      </c>
      <c r="W562" s="71">
        <v>331202014</v>
      </c>
      <c r="X562" s="43" t="s">
        <v>1585</v>
      </c>
      <c r="Y562" s="43" t="s">
        <v>1586</v>
      </c>
      <c r="Z562" s="71" t="s">
        <v>43</v>
      </c>
      <c r="AA562" s="71" t="s">
        <v>48</v>
      </c>
      <c r="AB562" s="48" t="s">
        <v>43</v>
      </c>
      <c r="AC562" s="75">
        <v>2880</v>
      </c>
      <c r="AD562" s="75">
        <v>2590</v>
      </c>
      <c r="AE562" s="80">
        <v>2530</v>
      </c>
      <c r="AF562" s="80">
        <v>2280</v>
      </c>
      <c r="AG562" s="80">
        <v>1940</v>
      </c>
    </row>
    <row r="563" ht="25.5" spans="1:33">
      <c r="A563" s="43" t="s">
        <v>81</v>
      </c>
      <c r="B563" s="112" t="s">
        <v>1587</v>
      </c>
      <c r="C563" s="43" t="s">
        <v>1588</v>
      </c>
      <c r="D563" s="43" t="s">
        <v>213</v>
      </c>
      <c r="E563" s="48" t="s">
        <v>43</v>
      </c>
      <c r="F563" s="48" t="s">
        <v>43</v>
      </c>
      <c r="G563" s="43" t="s">
        <v>48</v>
      </c>
      <c r="H563" s="48" t="s">
        <v>43</v>
      </c>
      <c r="I563" s="53">
        <v>357</v>
      </c>
      <c r="J563" s="53">
        <v>322</v>
      </c>
      <c r="K563" s="84">
        <v>627.679045092838</v>
      </c>
      <c r="L563" s="84">
        <v>325</v>
      </c>
      <c r="M563" s="84"/>
      <c r="N563" s="63">
        <v>340</v>
      </c>
      <c r="O563" s="63">
        <v>300</v>
      </c>
      <c r="P563" s="63">
        <v>255</v>
      </c>
      <c r="Q563" s="45" t="s">
        <v>54</v>
      </c>
      <c r="R563" s="45" t="s">
        <v>43</v>
      </c>
      <c r="S563" s="45" t="s">
        <v>43</v>
      </c>
      <c r="T563" s="69"/>
      <c r="U563" s="49"/>
      <c r="V563" s="45" t="s">
        <v>1589</v>
      </c>
      <c r="W563" s="45">
        <v>33120201001</v>
      </c>
      <c r="X563" s="45" t="s">
        <v>1590</v>
      </c>
      <c r="Y563" s="43" t="s">
        <v>43</v>
      </c>
      <c r="Z563" s="71" t="s">
        <v>43</v>
      </c>
      <c r="AA563" s="71" t="s">
        <v>48</v>
      </c>
      <c r="AB563" s="48" t="s">
        <v>43</v>
      </c>
      <c r="AC563" s="75">
        <v>1300</v>
      </c>
      <c r="AD563" s="75">
        <v>1170</v>
      </c>
      <c r="AE563" s="80">
        <v>1300</v>
      </c>
      <c r="AF563" s="80">
        <v>1250</v>
      </c>
      <c r="AG563" s="80">
        <v>1065</v>
      </c>
    </row>
    <row r="564" ht="25.5" spans="1:33">
      <c r="A564" s="43"/>
      <c r="B564" s="43"/>
      <c r="C564" s="43"/>
      <c r="D564" s="43"/>
      <c r="E564" s="48"/>
      <c r="F564" s="48"/>
      <c r="G564" s="43"/>
      <c r="H564" s="48"/>
      <c r="I564" s="76"/>
      <c r="J564" s="76"/>
      <c r="K564" s="84"/>
      <c r="L564" s="84"/>
      <c r="M564" s="84"/>
      <c r="N564" s="63"/>
      <c r="O564" s="63"/>
      <c r="P564" s="63"/>
      <c r="Q564" s="45"/>
      <c r="R564" s="45"/>
      <c r="S564" s="45"/>
      <c r="T564" s="69"/>
      <c r="U564" s="49"/>
      <c r="V564" s="45" t="s">
        <v>1591</v>
      </c>
      <c r="W564" s="45">
        <v>33120201003</v>
      </c>
      <c r="X564" s="45" t="s">
        <v>1592</v>
      </c>
      <c r="Y564" s="43" t="s">
        <v>43</v>
      </c>
      <c r="Z564" s="71" t="s">
        <v>43</v>
      </c>
      <c r="AA564" s="71" t="s">
        <v>48</v>
      </c>
      <c r="AB564" s="48" t="s">
        <v>43</v>
      </c>
      <c r="AC564" s="75">
        <v>2100</v>
      </c>
      <c r="AD564" s="75">
        <v>1890</v>
      </c>
      <c r="AE564" s="80">
        <v>1925</v>
      </c>
      <c r="AF564" s="80">
        <v>1850</v>
      </c>
      <c r="AG564" s="80">
        <v>1575</v>
      </c>
    </row>
    <row r="565" ht="25.5" spans="1:33">
      <c r="A565" s="43"/>
      <c r="B565" s="43"/>
      <c r="C565" s="43"/>
      <c r="D565" s="43"/>
      <c r="E565" s="48"/>
      <c r="F565" s="48"/>
      <c r="G565" s="43"/>
      <c r="H565" s="48"/>
      <c r="I565" s="76"/>
      <c r="J565" s="76"/>
      <c r="K565" s="84"/>
      <c r="L565" s="84"/>
      <c r="M565" s="84"/>
      <c r="N565" s="63"/>
      <c r="O565" s="63"/>
      <c r="P565" s="63"/>
      <c r="Q565" s="45"/>
      <c r="R565" s="45"/>
      <c r="S565" s="45"/>
      <c r="T565" s="69"/>
      <c r="U565" s="49"/>
      <c r="V565" s="45" t="s">
        <v>1593</v>
      </c>
      <c r="W565" s="45">
        <v>33120200801</v>
      </c>
      <c r="X565" s="45" t="s">
        <v>1594</v>
      </c>
      <c r="Y565" s="43" t="s">
        <v>43</v>
      </c>
      <c r="Z565" s="71" t="s">
        <v>43</v>
      </c>
      <c r="AA565" s="71" t="s">
        <v>48</v>
      </c>
      <c r="AB565" s="48" t="s">
        <v>43</v>
      </c>
      <c r="AC565" s="75">
        <v>1140</v>
      </c>
      <c r="AD565" s="75">
        <v>1025</v>
      </c>
      <c r="AE565" s="80">
        <v>1140</v>
      </c>
      <c r="AF565" s="80">
        <v>1090</v>
      </c>
      <c r="AG565" s="80">
        <v>925</v>
      </c>
    </row>
    <row r="566" ht="25.5" spans="1:33">
      <c r="A566" s="43"/>
      <c r="B566" s="43"/>
      <c r="C566" s="43"/>
      <c r="D566" s="43"/>
      <c r="E566" s="48"/>
      <c r="F566" s="48"/>
      <c r="G566" s="43"/>
      <c r="H566" s="48"/>
      <c r="I566" s="76"/>
      <c r="J566" s="76"/>
      <c r="K566" s="84"/>
      <c r="L566" s="84"/>
      <c r="M566" s="84"/>
      <c r="N566" s="63"/>
      <c r="O566" s="63"/>
      <c r="P566" s="63"/>
      <c r="Q566" s="45"/>
      <c r="R566" s="45"/>
      <c r="S566" s="45"/>
      <c r="T566" s="69"/>
      <c r="U566" s="49"/>
      <c r="V566" s="45" t="s">
        <v>1595</v>
      </c>
      <c r="W566" s="45">
        <v>33120200803</v>
      </c>
      <c r="X566" s="45" t="s">
        <v>1596</v>
      </c>
      <c r="Y566" s="43" t="s">
        <v>43</v>
      </c>
      <c r="Z566" s="71" t="s">
        <v>43</v>
      </c>
      <c r="AA566" s="71" t="s">
        <v>48</v>
      </c>
      <c r="AB566" s="48" t="s">
        <v>43</v>
      </c>
      <c r="AC566" s="75">
        <v>1940</v>
      </c>
      <c r="AD566" s="75">
        <v>1745</v>
      </c>
      <c r="AE566" s="80">
        <v>1765</v>
      </c>
      <c r="AF566" s="80">
        <v>1690</v>
      </c>
      <c r="AG566" s="80">
        <v>1435</v>
      </c>
    </row>
    <row r="567" ht="25.5" spans="1:33">
      <c r="A567" s="43"/>
      <c r="B567" s="43"/>
      <c r="C567" s="43"/>
      <c r="D567" s="43"/>
      <c r="E567" s="48"/>
      <c r="F567" s="48"/>
      <c r="G567" s="43"/>
      <c r="H567" s="48"/>
      <c r="I567" s="76"/>
      <c r="J567" s="76"/>
      <c r="K567" s="84"/>
      <c r="L567" s="84"/>
      <c r="M567" s="84"/>
      <c r="N567" s="63"/>
      <c r="O567" s="63"/>
      <c r="P567" s="63"/>
      <c r="Q567" s="45"/>
      <c r="R567" s="45"/>
      <c r="S567" s="45"/>
      <c r="T567" s="69"/>
      <c r="U567" s="49"/>
      <c r="V567" s="45" t="s">
        <v>1597</v>
      </c>
      <c r="W567" s="45">
        <v>33120201401</v>
      </c>
      <c r="X567" s="45" t="s">
        <v>1598</v>
      </c>
      <c r="Y567" s="43" t="s">
        <v>43</v>
      </c>
      <c r="Z567" s="71" t="s">
        <v>43</v>
      </c>
      <c r="AA567" s="71" t="s">
        <v>48</v>
      </c>
      <c r="AB567" s="48" t="s">
        <v>43</v>
      </c>
      <c r="AC567" s="75">
        <v>3745</v>
      </c>
      <c r="AD567" s="75">
        <v>3365</v>
      </c>
      <c r="AE567" s="80">
        <v>4135</v>
      </c>
      <c r="AF567" s="80">
        <v>3760</v>
      </c>
      <c r="AG567" s="80">
        <v>3195</v>
      </c>
    </row>
    <row r="568" ht="103" customHeight="1" spans="1:33">
      <c r="A568" s="45">
        <v>79</v>
      </c>
      <c r="B568" s="45" t="s">
        <v>1599</v>
      </c>
      <c r="C568" s="45" t="s">
        <v>1600</v>
      </c>
      <c r="D568" s="45" t="s">
        <v>213</v>
      </c>
      <c r="E568" s="49" t="s">
        <v>1601</v>
      </c>
      <c r="F568" s="49" t="s">
        <v>1602</v>
      </c>
      <c r="G568" s="45" t="s">
        <v>40</v>
      </c>
      <c r="H568" s="49" t="s">
        <v>43</v>
      </c>
      <c r="I568" s="53">
        <v>40</v>
      </c>
      <c r="J568" s="53">
        <v>36</v>
      </c>
      <c r="K568" s="55"/>
      <c r="L568" s="55">
        <v>30</v>
      </c>
      <c r="M568" s="55">
        <v>25.5</v>
      </c>
      <c r="N568" s="63">
        <v>36</v>
      </c>
      <c r="O568" s="63">
        <v>33</v>
      </c>
      <c r="P568" s="63">
        <v>28</v>
      </c>
      <c r="Q568" s="45" t="s">
        <v>54</v>
      </c>
      <c r="R568" s="45" t="s">
        <v>43</v>
      </c>
      <c r="S568" s="45" t="s">
        <v>43</v>
      </c>
      <c r="T568" s="69" t="s">
        <v>416</v>
      </c>
      <c r="U568" s="49" t="s">
        <v>1603</v>
      </c>
      <c r="V568" s="43" t="s">
        <v>1604</v>
      </c>
      <c r="W568" s="71">
        <v>311100018</v>
      </c>
      <c r="X568" s="43" t="s">
        <v>1605</v>
      </c>
      <c r="Y568" s="43" t="s">
        <v>43</v>
      </c>
      <c r="Z568" s="71" t="s">
        <v>1606</v>
      </c>
      <c r="AA568" s="71" t="s">
        <v>40</v>
      </c>
      <c r="AB568" s="48" t="s">
        <v>464</v>
      </c>
      <c r="AC568" s="75">
        <v>40</v>
      </c>
      <c r="AD568" s="75">
        <v>36</v>
      </c>
      <c r="AE568" s="80">
        <v>33</v>
      </c>
      <c r="AF568" s="80">
        <v>30</v>
      </c>
      <c r="AG568" s="80">
        <v>25.5</v>
      </c>
    </row>
    <row r="569" ht="47" customHeight="1" spans="1:33">
      <c r="A569" s="43" t="s">
        <v>81</v>
      </c>
      <c r="B569" s="43" t="s">
        <v>1607</v>
      </c>
      <c r="C569" s="43" t="s">
        <v>1608</v>
      </c>
      <c r="D569" s="43" t="s">
        <v>213</v>
      </c>
      <c r="E569" s="48" t="s">
        <v>43</v>
      </c>
      <c r="F569" s="48" t="s">
        <v>43</v>
      </c>
      <c r="G569" s="43" t="s">
        <v>40</v>
      </c>
      <c r="H569" s="48" t="s">
        <v>43</v>
      </c>
      <c r="I569" s="53">
        <v>12</v>
      </c>
      <c r="J569" s="53">
        <v>11</v>
      </c>
      <c r="K569" s="54"/>
      <c r="L569" s="54"/>
      <c r="M569" s="54"/>
      <c r="N569" s="63">
        <v>11</v>
      </c>
      <c r="O569" s="63">
        <v>10</v>
      </c>
      <c r="P569" s="63">
        <v>8.5</v>
      </c>
      <c r="Q569" s="45" t="s">
        <v>54</v>
      </c>
      <c r="R569" s="45" t="s">
        <v>43</v>
      </c>
      <c r="S569" s="45" t="s">
        <v>43</v>
      </c>
      <c r="T569" s="69"/>
      <c r="U569" s="49" t="s">
        <v>446</v>
      </c>
      <c r="V569" s="45" t="s">
        <v>1609</v>
      </c>
      <c r="W569" s="45">
        <v>31110001801</v>
      </c>
      <c r="X569" s="45" t="s">
        <v>1610</v>
      </c>
      <c r="Y569" s="43" t="s">
        <v>43</v>
      </c>
      <c r="Z569" s="71" t="s">
        <v>43</v>
      </c>
      <c r="AA569" s="71" t="s">
        <v>40</v>
      </c>
      <c r="AB569" s="48" t="s">
        <v>43</v>
      </c>
      <c r="AC569" s="75">
        <v>52</v>
      </c>
      <c r="AD569" s="75">
        <v>47</v>
      </c>
      <c r="AE569" s="80">
        <v>43</v>
      </c>
      <c r="AF569" s="80">
        <v>39</v>
      </c>
      <c r="AG569" s="80">
        <v>33</v>
      </c>
    </row>
    <row r="570" ht="30" customHeight="1" spans="1:33">
      <c r="A570" s="45">
        <v>80</v>
      </c>
      <c r="B570" s="45" t="s">
        <v>1611</v>
      </c>
      <c r="C570" s="45" t="s">
        <v>1612</v>
      </c>
      <c r="D570" s="45" t="s">
        <v>213</v>
      </c>
      <c r="E570" s="49" t="s">
        <v>1613</v>
      </c>
      <c r="F570" s="49" t="s">
        <v>1614</v>
      </c>
      <c r="G570" s="45" t="s">
        <v>48</v>
      </c>
      <c r="H570" s="49" t="s">
        <v>43</v>
      </c>
      <c r="I570" s="53">
        <v>300</v>
      </c>
      <c r="J570" s="53">
        <v>270</v>
      </c>
      <c r="K570" s="55">
        <v>500</v>
      </c>
      <c r="L570" s="55">
        <v>480</v>
      </c>
      <c r="M570" s="55"/>
      <c r="N570" s="63">
        <v>285</v>
      </c>
      <c r="O570" s="63">
        <v>270</v>
      </c>
      <c r="P570" s="63">
        <v>230</v>
      </c>
      <c r="Q570" s="45" t="s">
        <v>54</v>
      </c>
      <c r="R570" s="45" t="s">
        <v>43</v>
      </c>
      <c r="S570" s="45" t="s">
        <v>43</v>
      </c>
      <c r="T570" s="69" t="s">
        <v>1615</v>
      </c>
      <c r="U570" s="49" t="s">
        <v>1616</v>
      </c>
      <c r="V570" s="43" t="s">
        <v>1617</v>
      </c>
      <c r="W570" s="71">
        <v>331203008</v>
      </c>
      <c r="X570" s="43" t="s">
        <v>1618</v>
      </c>
      <c r="Y570" s="43" t="s">
        <v>43</v>
      </c>
      <c r="Z570" s="71" t="s">
        <v>43</v>
      </c>
      <c r="AA570" s="71" t="s">
        <v>40</v>
      </c>
      <c r="AB570" s="48" t="s">
        <v>43</v>
      </c>
      <c r="AC570" s="75">
        <v>500</v>
      </c>
      <c r="AD570" s="75">
        <v>450</v>
      </c>
      <c r="AE570" s="80">
        <v>500</v>
      </c>
      <c r="AF570" s="80">
        <v>480</v>
      </c>
      <c r="AG570" s="80">
        <v>408</v>
      </c>
    </row>
    <row r="571" ht="30" customHeight="1" spans="1:33">
      <c r="A571" s="45"/>
      <c r="B571" s="45"/>
      <c r="C571" s="45"/>
      <c r="D571" s="45"/>
      <c r="E571" s="49"/>
      <c r="F571" s="49"/>
      <c r="G571" s="45"/>
      <c r="H571" s="49"/>
      <c r="I571" s="53"/>
      <c r="J571" s="53"/>
      <c r="K571" s="55"/>
      <c r="L571" s="55"/>
      <c r="M571" s="55"/>
      <c r="N571" s="63"/>
      <c r="O571" s="63"/>
      <c r="P571" s="63"/>
      <c r="Q571" s="45"/>
      <c r="R571" s="45"/>
      <c r="S571" s="45"/>
      <c r="T571" s="69"/>
      <c r="U571" s="49"/>
      <c r="V571" s="43" t="s">
        <v>1619</v>
      </c>
      <c r="W571" s="71">
        <v>331203009</v>
      </c>
      <c r="X571" s="43" t="s">
        <v>1620</v>
      </c>
      <c r="Y571" s="43" t="s">
        <v>43</v>
      </c>
      <c r="Z571" s="71" t="s">
        <v>43</v>
      </c>
      <c r="AA571" s="71" t="s">
        <v>40</v>
      </c>
      <c r="AB571" s="48" t="s">
        <v>1621</v>
      </c>
      <c r="AC571" s="75">
        <v>500</v>
      </c>
      <c r="AD571" s="75">
        <v>450</v>
      </c>
      <c r="AE571" s="80">
        <v>500</v>
      </c>
      <c r="AF571" s="80">
        <v>480</v>
      </c>
      <c r="AG571" s="80">
        <v>408</v>
      </c>
    </row>
    <row r="572" ht="30" customHeight="1" spans="1:33">
      <c r="A572" s="45"/>
      <c r="B572" s="45"/>
      <c r="C572" s="45"/>
      <c r="D572" s="45"/>
      <c r="E572" s="49"/>
      <c r="F572" s="49"/>
      <c r="G572" s="45"/>
      <c r="H572" s="49"/>
      <c r="I572" s="53"/>
      <c r="J572" s="53"/>
      <c r="K572" s="55"/>
      <c r="L572" s="55"/>
      <c r="M572" s="55"/>
      <c r="N572" s="63"/>
      <c r="O572" s="63"/>
      <c r="P572" s="63"/>
      <c r="Q572" s="45"/>
      <c r="R572" s="45"/>
      <c r="S572" s="45"/>
      <c r="T572" s="69"/>
      <c r="U572" s="49"/>
      <c r="V572" s="45" t="s">
        <v>1622</v>
      </c>
      <c r="W572" s="45">
        <v>33120300901</v>
      </c>
      <c r="X572" s="45" t="s">
        <v>1623</v>
      </c>
      <c r="Y572" s="43" t="s">
        <v>43</v>
      </c>
      <c r="Z572" s="71" t="s">
        <v>43</v>
      </c>
      <c r="AA572" s="71" t="s">
        <v>40</v>
      </c>
      <c r="AB572" s="48" t="s">
        <v>1624</v>
      </c>
      <c r="AC572" s="75">
        <v>600</v>
      </c>
      <c r="AD572" s="75">
        <v>540</v>
      </c>
      <c r="AE572" s="80">
        <v>600</v>
      </c>
      <c r="AF572" s="80">
        <v>576</v>
      </c>
      <c r="AG572" s="80">
        <v>489.6</v>
      </c>
    </row>
    <row r="573" ht="16" customHeight="1" spans="1:33">
      <c r="A573" s="43" t="s">
        <v>81</v>
      </c>
      <c r="B573" s="43" t="s">
        <v>1625</v>
      </c>
      <c r="C573" s="43" t="s">
        <v>1626</v>
      </c>
      <c r="D573" s="43" t="s">
        <v>213</v>
      </c>
      <c r="E573" s="48" t="s">
        <v>43</v>
      </c>
      <c r="F573" s="48" t="s">
        <v>43</v>
      </c>
      <c r="G573" s="43" t="s">
        <v>48</v>
      </c>
      <c r="H573" s="48" t="s">
        <v>43</v>
      </c>
      <c r="I573" s="53">
        <v>90</v>
      </c>
      <c r="J573" s="53">
        <v>81</v>
      </c>
      <c r="K573" s="54"/>
      <c r="L573" s="54"/>
      <c r="M573" s="54"/>
      <c r="N573" s="63">
        <v>86</v>
      </c>
      <c r="O573" s="63">
        <v>81</v>
      </c>
      <c r="P573" s="63">
        <v>69</v>
      </c>
      <c r="Q573" s="45" t="s">
        <v>54</v>
      </c>
      <c r="R573" s="45" t="s">
        <v>43</v>
      </c>
      <c r="S573" s="45" t="s">
        <v>43</v>
      </c>
      <c r="T573" s="69"/>
      <c r="U573" s="49" t="s">
        <v>446</v>
      </c>
      <c r="V573" s="45" t="s">
        <v>1627</v>
      </c>
      <c r="W573" s="45">
        <v>33120300801</v>
      </c>
      <c r="X573" s="45" t="s">
        <v>1628</v>
      </c>
      <c r="Y573" s="43" t="s">
        <v>43</v>
      </c>
      <c r="Z573" s="71" t="s">
        <v>43</v>
      </c>
      <c r="AA573" s="71" t="s">
        <v>40</v>
      </c>
      <c r="AB573" s="48" t="s">
        <v>43</v>
      </c>
      <c r="AC573" s="75">
        <v>650</v>
      </c>
      <c r="AD573" s="75">
        <v>585</v>
      </c>
      <c r="AE573" s="80">
        <v>650</v>
      </c>
      <c r="AF573" s="80">
        <v>625</v>
      </c>
      <c r="AG573" s="80">
        <v>530</v>
      </c>
    </row>
    <row r="574" ht="16" customHeight="1" spans="1:33">
      <c r="A574" s="43"/>
      <c r="B574" s="43"/>
      <c r="C574" s="43"/>
      <c r="D574" s="43"/>
      <c r="E574" s="48"/>
      <c r="F574" s="48"/>
      <c r="G574" s="43"/>
      <c r="H574" s="48"/>
      <c r="I574" s="76"/>
      <c r="J574" s="76"/>
      <c r="K574" s="54"/>
      <c r="L574" s="54"/>
      <c r="M574" s="54"/>
      <c r="N574" s="63"/>
      <c r="O574" s="63"/>
      <c r="P574" s="63"/>
      <c r="Q574" s="45"/>
      <c r="R574" s="45"/>
      <c r="S574" s="45"/>
      <c r="T574" s="69"/>
      <c r="U574" s="49"/>
      <c r="V574" s="45" t="s">
        <v>1629</v>
      </c>
      <c r="W574" s="45">
        <v>33120300902</v>
      </c>
      <c r="X574" s="45" t="s">
        <v>1630</v>
      </c>
      <c r="Y574" s="43" t="s">
        <v>43</v>
      </c>
      <c r="Z574" s="71" t="s">
        <v>43</v>
      </c>
      <c r="AA574" s="71" t="s">
        <v>40</v>
      </c>
      <c r="AB574" s="48" t="s">
        <v>43</v>
      </c>
      <c r="AC574" s="75">
        <v>650</v>
      </c>
      <c r="AD574" s="75">
        <v>585</v>
      </c>
      <c r="AE574" s="80">
        <v>650</v>
      </c>
      <c r="AF574" s="80">
        <v>625</v>
      </c>
      <c r="AG574" s="80">
        <v>530</v>
      </c>
    </row>
    <row r="575" ht="16" customHeight="1" spans="1:33">
      <c r="A575" s="43"/>
      <c r="B575" s="43"/>
      <c r="C575" s="43"/>
      <c r="D575" s="43"/>
      <c r="E575" s="48"/>
      <c r="F575" s="48"/>
      <c r="G575" s="43"/>
      <c r="H575" s="48"/>
      <c r="I575" s="76"/>
      <c r="J575" s="76"/>
      <c r="K575" s="54"/>
      <c r="L575" s="54"/>
      <c r="M575" s="54"/>
      <c r="N575" s="63"/>
      <c r="O575" s="63"/>
      <c r="P575" s="63"/>
      <c r="Q575" s="45"/>
      <c r="R575" s="45"/>
      <c r="S575" s="45"/>
      <c r="T575" s="69"/>
      <c r="U575" s="49"/>
      <c r="V575" s="45" t="s">
        <v>1631</v>
      </c>
      <c r="W575" s="45">
        <v>33120300903</v>
      </c>
      <c r="X575" s="45" t="s">
        <v>1632</v>
      </c>
      <c r="Y575" s="43" t="s">
        <v>43</v>
      </c>
      <c r="Z575" s="71" t="s">
        <v>43</v>
      </c>
      <c r="AA575" s="71" t="s">
        <v>40</v>
      </c>
      <c r="AB575" s="48" t="s">
        <v>1624</v>
      </c>
      <c r="AC575" s="75">
        <v>780</v>
      </c>
      <c r="AD575" s="75">
        <v>700</v>
      </c>
      <c r="AE575" s="80">
        <v>780</v>
      </c>
      <c r="AF575" s="80">
        <v>750</v>
      </c>
      <c r="AG575" s="80">
        <v>640</v>
      </c>
    </row>
    <row r="576" ht="37" customHeight="1" spans="1:33">
      <c r="A576" s="45">
        <v>81</v>
      </c>
      <c r="B576" s="45" t="s">
        <v>1633</v>
      </c>
      <c r="C576" s="45" t="s">
        <v>1634</v>
      </c>
      <c r="D576" s="45" t="s">
        <v>213</v>
      </c>
      <c r="E576" s="49" t="s">
        <v>1635</v>
      </c>
      <c r="F576" s="49" t="s">
        <v>1636</v>
      </c>
      <c r="G576" s="45" t="s">
        <v>48</v>
      </c>
      <c r="H576" s="49" t="s">
        <v>43</v>
      </c>
      <c r="I576" s="53">
        <v>625</v>
      </c>
      <c r="J576" s="53">
        <v>563</v>
      </c>
      <c r="K576" s="55">
        <v>625</v>
      </c>
      <c r="L576" s="55">
        <v>600</v>
      </c>
      <c r="M576" s="55">
        <v>510</v>
      </c>
      <c r="N576" s="63">
        <v>600</v>
      </c>
      <c r="O576" s="63">
        <v>560</v>
      </c>
      <c r="P576" s="63">
        <v>480</v>
      </c>
      <c r="Q576" s="45" t="s">
        <v>54</v>
      </c>
      <c r="R576" s="45" t="s">
        <v>43</v>
      </c>
      <c r="S576" s="45" t="s">
        <v>43</v>
      </c>
      <c r="T576" s="69" t="s">
        <v>76</v>
      </c>
      <c r="U576" s="49" t="s">
        <v>1637</v>
      </c>
      <c r="V576" s="43" t="s">
        <v>1638</v>
      </c>
      <c r="W576" s="71">
        <v>331203011</v>
      </c>
      <c r="X576" s="43" t="s">
        <v>1639</v>
      </c>
      <c r="Y576" s="43" t="s">
        <v>43</v>
      </c>
      <c r="Z576" s="71" t="s">
        <v>43</v>
      </c>
      <c r="AA576" s="71" t="s">
        <v>48</v>
      </c>
      <c r="AB576" s="48" t="s">
        <v>43</v>
      </c>
      <c r="AC576" s="75">
        <v>625</v>
      </c>
      <c r="AD576" s="75">
        <v>565</v>
      </c>
      <c r="AE576" s="80">
        <v>625</v>
      </c>
      <c r="AF576" s="80">
        <v>600</v>
      </c>
      <c r="AG576" s="80">
        <v>510</v>
      </c>
    </row>
    <row r="577" ht="37" customHeight="1" spans="1:33">
      <c r="A577" s="45"/>
      <c r="B577" s="45"/>
      <c r="C577" s="45"/>
      <c r="D577" s="45"/>
      <c r="E577" s="49"/>
      <c r="F577" s="49"/>
      <c r="G577" s="45"/>
      <c r="H577" s="49"/>
      <c r="I577" s="53"/>
      <c r="J577" s="53"/>
      <c r="K577" s="55"/>
      <c r="L577" s="55"/>
      <c r="M577" s="55"/>
      <c r="N577" s="63"/>
      <c r="O577" s="63"/>
      <c r="P577" s="63"/>
      <c r="Q577" s="45"/>
      <c r="R577" s="45"/>
      <c r="S577" s="45"/>
      <c r="T577" s="69"/>
      <c r="U577" s="49"/>
      <c r="V577" s="43" t="s">
        <v>1640</v>
      </c>
      <c r="W577" s="71">
        <v>331203010</v>
      </c>
      <c r="X577" s="43" t="s">
        <v>1641</v>
      </c>
      <c r="Y577" s="43" t="s">
        <v>43</v>
      </c>
      <c r="Z577" s="71" t="s">
        <v>43</v>
      </c>
      <c r="AA577" s="71" t="s">
        <v>40</v>
      </c>
      <c r="AB577" s="48" t="s">
        <v>43</v>
      </c>
      <c r="AC577" s="75">
        <v>625</v>
      </c>
      <c r="AD577" s="75">
        <v>565</v>
      </c>
      <c r="AE577" s="80">
        <v>625</v>
      </c>
      <c r="AF577" s="80">
        <v>600</v>
      </c>
      <c r="AG577" s="80">
        <v>510</v>
      </c>
    </row>
    <row r="578" ht="31" customHeight="1" spans="1:33">
      <c r="A578" s="43" t="s">
        <v>81</v>
      </c>
      <c r="B578" s="43" t="s">
        <v>1642</v>
      </c>
      <c r="C578" s="43" t="s">
        <v>1643</v>
      </c>
      <c r="D578" s="43" t="s">
        <v>213</v>
      </c>
      <c r="E578" s="48" t="s">
        <v>43</v>
      </c>
      <c r="F578" s="48" t="s">
        <v>43</v>
      </c>
      <c r="G578" s="43" t="s">
        <v>48</v>
      </c>
      <c r="H578" s="48" t="s">
        <v>43</v>
      </c>
      <c r="I578" s="53">
        <v>455</v>
      </c>
      <c r="J578" s="53">
        <v>410</v>
      </c>
      <c r="K578" s="63">
        <v>400</v>
      </c>
      <c r="L578" s="63">
        <v>400</v>
      </c>
      <c r="M578" s="63">
        <v>336</v>
      </c>
      <c r="N578" s="63">
        <v>425</v>
      </c>
      <c r="O578" s="63">
        <v>400</v>
      </c>
      <c r="P578" s="63">
        <v>335</v>
      </c>
      <c r="Q578" s="45" t="s">
        <v>54</v>
      </c>
      <c r="R578" s="45" t="s">
        <v>43</v>
      </c>
      <c r="S578" s="45" t="s">
        <v>43</v>
      </c>
      <c r="T578" s="69"/>
      <c r="U578" s="49" t="s">
        <v>77</v>
      </c>
      <c r="V578" s="43" t="s">
        <v>1644</v>
      </c>
      <c r="W578" s="71">
        <v>331203002</v>
      </c>
      <c r="X578" s="43" t="s">
        <v>1645</v>
      </c>
      <c r="Y578" s="43" t="s">
        <v>43</v>
      </c>
      <c r="Z578" s="71" t="s">
        <v>43</v>
      </c>
      <c r="AA578" s="71" t="s">
        <v>48</v>
      </c>
      <c r="AB578" s="48" t="s">
        <v>43</v>
      </c>
      <c r="AC578" s="75">
        <v>1080</v>
      </c>
      <c r="AD578" s="75">
        <v>970</v>
      </c>
      <c r="AE578" s="80">
        <v>1000</v>
      </c>
      <c r="AF578" s="80">
        <v>960</v>
      </c>
      <c r="AG578" s="80">
        <v>816</v>
      </c>
    </row>
    <row r="579" ht="18" customHeight="1" spans="1:33">
      <c r="A579" s="43" t="s">
        <v>81</v>
      </c>
      <c r="B579" s="43" t="s">
        <v>1646</v>
      </c>
      <c r="C579" s="43" t="s">
        <v>1647</v>
      </c>
      <c r="D579" s="43" t="s">
        <v>213</v>
      </c>
      <c r="E579" s="48" t="s">
        <v>43</v>
      </c>
      <c r="F579" s="48" t="s">
        <v>43</v>
      </c>
      <c r="G579" s="43" t="s">
        <v>48</v>
      </c>
      <c r="H579" s="48" t="s">
        <v>43</v>
      </c>
      <c r="I579" s="53">
        <v>188</v>
      </c>
      <c r="J579" s="53">
        <v>169</v>
      </c>
      <c r="K579" s="54"/>
      <c r="L579" s="54"/>
      <c r="M579" s="54"/>
      <c r="N579" s="63">
        <v>180</v>
      </c>
      <c r="O579" s="63">
        <v>165</v>
      </c>
      <c r="P579" s="63">
        <v>145</v>
      </c>
      <c r="Q579" s="45" t="s">
        <v>54</v>
      </c>
      <c r="R579" s="45" t="s">
        <v>43</v>
      </c>
      <c r="S579" s="45" t="s">
        <v>43</v>
      </c>
      <c r="T579" s="69"/>
      <c r="U579" s="49" t="s">
        <v>446</v>
      </c>
      <c r="V579" s="45" t="s">
        <v>1648</v>
      </c>
      <c r="W579" s="45">
        <v>33120301101</v>
      </c>
      <c r="X579" s="45" t="s">
        <v>1649</v>
      </c>
      <c r="Y579" s="43" t="s">
        <v>43</v>
      </c>
      <c r="Z579" s="71" t="s">
        <v>43</v>
      </c>
      <c r="AA579" s="71" t="s">
        <v>48</v>
      </c>
      <c r="AB579" s="48" t="s">
        <v>43</v>
      </c>
      <c r="AC579" s="75">
        <v>815</v>
      </c>
      <c r="AD579" s="75">
        <v>735</v>
      </c>
      <c r="AE579" s="80">
        <v>815</v>
      </c>
      <c r="AF579" s="80">
        <v>780</v>
      </c>
      <c r="AG579" s="80">
        <v>665</v>
      </c>
    </row>
    <row r="580" ht="18" customHeight="1" spans="1:33">
      <c r="A580" s="43"/>
      <c r="B580" s="43"/>
      <c r="C580" s="43"/>
      <c r="D580" s="43"/>
      <c r="E580" s="48"/>
      <c r="F580" s="48"/>
      <c r="G580" s="43"/>
      <c r="H580" s="48"/>
      <c r="I580" s="76"/>
      <c r="J580" s="76"/>
      <c r="K580" s="54"/>
      <c r="L580" s="54"/>
      <c r="M580" s="54"/>
      <c r="N580" s="63"/>
      <c r="O580" s="63"/>
      <c r="P580" s="63"/>
      <c r="Q580" s="45"/>
      <c r="R580" s="45"/>
      <c r="S580" s="45"/>
      <c r="T580" s="69"/>
      <c r="U580" s="49"/>
      <c r="V580" s="45" t="s">
        <v>1650</v>
      </c>
      <c r="W580" s="45">
        <v>33120301001</v>
      </c>
      <c r="X580" s="45" t="s">
        <v>1651</v>
      </c>
      <c r="Y580" s="43" t="s">
        <v>43</v>
      </c>
      <c r="Z580" s="71" t="s">
        <v>43</v>
      </c>
      <c r="AA580" s="71" t="s">
        <v>40</v>
      </c>
      <c r="AB580" s="48" t="s">
        <v>43</v>
      </c>
      <c r="AC580" s="75">
        <v>815</v>
      </c>
      <c r="AD580" s="75">
        <v>735</v>
      </c>
      <c r="AE580" s="80">
        <v>815</v>
      </c>
      <c r="AF580" s="80">
        <v>780</v>
      </c>
      <c r="AG580" s="80">
        <v>665</v>
      </c>
    </row>
    <row r="581" ht="18" customHeight="1" spans="1:33">
      <c r="A581" s="43"/>
      <c r="B581" s="43"/>
      <c r="C581" s="43"/>
      <c r="D581" s="43"/>
      <c r="E581" s="48"/>
      <c r="F581" s="48"/>
      <c r="G581" s="43"/>
      <c r="H581" s="48"/>
      <c r="I581" s="76"/>
      <c r="J581" s="76"/>
      <c r="K581" s="54"/>
      <c r="L581" s="54"/>
      <c r="M581" s="54"/>
      <c r="N581" s="63"/>
      <c r="O581" s="63"/>
      <c r="P581" s="63"/>
      <c r="Q581" s="45"/>
      <c r="R581" s="45"/>
      <c r="S581" s="45"/>
      <c r="T581" s="69"/>
      <c r="U581" s="49"/>
      <c r="V581" s="45" t="s">
        <v>1652</v>
      </c>
      <c r="W581" s="45">
        <v>33120300201</v>
      </c>
      <c r="X581" s="45" t="s">
        <v>1653</v>
      </c>
      <c r="Y581" s="43" t="s">
        <v>43</v>
      </c>
      <c r="Z581" s="71" t="s">
        <v>43</v>
      </c>
      <c r="AA581" s="71" t="s">
        <v>48</v>
      </c>
      <c r="AB581" s="48" t="s">
        <v>43</v>
      </c>
      <c r="AC581" s="75">
        <v>1405</v>
      </c>
      <c r="AD581" s="75">
        <v>1260</v>
      </c>
      <c r="AE581" s="80">
        <v>1300</v>
      </c>
      <c r="AF581" s="80">
        <v>1250</v>
      </c>
      <c r="AG581" s="80">
        <v>1065</v>
      </c>
    </row>
    <row r="582" ht="25.5" spans="1:33">
      <c r="A582" s="45">
        <v>82</v>
      </c>
      <c r="B582" s="45" t="s">
        <v>1654</v>
      </c>
      <c r="C582" s="45" t="s">
        <v>1655</v>
      </c>
      <c r="D582" s="45" t="s">
        <v>213</v>
      </c>
      <c r="E582" s="49" t="s">
        <v>1656</v>
      </c>
      <c r="F582" s="49" t="s">
        <v>1657</v>
      </c>
      <c r="G582" s="45" t="s">
        <v>40</v>
      </c>
      <c r="H582" s="49" t="s">
        <v>43</v>
      </c>
      <c r="I582" s="53">
        <v>650</v>
      </c>
      <c r="J582" s="53">
        <v>585</v>
      </c>
      <c r="K582" s="55">
        <v>500</v>
      </c>
      <c r="L582" s="55"/>
      <c r="M582" s="55"/>
      <c r="N582" s="63">
        <v>590</v>
      </c>
      <c r="O582" s="63">
        <v>530</v>
      </c>
      <c r="P582" s="63">
        <v>450</v>
      </c>
      <c r="Q582" s="45" t="s">
        <v>54</v>
      </c>
      <c r="R582" s="45" t="s">
        <v>43</v>
      </c>
      <c r="S582" s="45" t="s">
        <v>43</v>
      </c>
      <c r="T582" s="69" t="s">
        <v>416</v>
      </c>
      <c r="U582" s="49" t="s">
        <v>1658</v>
      </c>
      <c r="V582" s="43" t="s">
        <v>1659</v>
      </c>
      <c r="W582" s="71">
        <v>331203007</v>
      </c>
      <c r="X582" s="43" t="s">
        <v>1660</v>
      </c>
      <c r="Y582" s="43" t="s">
        <v>43</v>
      </c>
      <c r="Z582" s="71" t="s">
        <v>1661</v>
      </c>
      <c r="AA582" s="71" t="s">
        <v>40</v>
      </c>
      <c r="AB582" s="48" t="s">
        <v>1621</v>
      </c>
      <c r="AC582" s="75">
        <v>500</v>
      </c>
      <c r="AD582" s="75">
        <v>450</v>
      </c>
      <c r="AE582" s="80">
        <v>500</v>
      </c>
      <c r="AF582" s="80">
        <v>480</v>
      </c>
      <c r="AG582" s="80">
        <v>408</v>
      </c>
    </row>
    <row r="583" ht="25.5" spans="1:33">
      <c r="A583" s="45"/>
      <c r="B583" s="45"/>
      <c r="C583" s="45"/>
      <c r="D583" s="45"/>
      <c r="E583" s="49"/>
      <c r="F583" s="49"/>
      <c r="G583" s="45"/>
      <c r="H583" s="49"/>
      <c r="I583" s="53"/>
      <c r="J583" s="53"/>
      <c r="K583" s="55"/>
      <c r="L583" s="55"/>
      <c r="M583" s="55"/>
      <c r="N583" s="63"/>
      <c r="O583" s="63"/>
      <c r="P583" s="63"/>
      <c r="Q583" s="45"/>
      <c r="R583" s="45"/>
      <c r="S583" s="45"/>
      <c r="T583" s="69"/>
      <c r="U583" s="49"/>
      <c r="V583" s="45" t="s">
        <v>1662</v>
      </c>
      <c r="W583" s="45">
        <v>33120300701</v>
      </c>
      <c r="X583" s="45" t="s">
        <v>1663</v>
      </c>
      <c r="Y583" s="43" t="s">
        <v>43</v>
      </c>
      <c r="Z583" s="71" t="s">
        <v>43</v>
      </c>
      <c r="AA583" s="71" t="s">
        <v>40</v>
      </c>
      <c r="AB583" s="48" t="s">
        <v>1624</v>
      </c>
      <c r="AC583" s="75">
        <v>600</v>
      </c>
      <c r="AD583" s="75">
        <v>540</v>
      </c>
      <c r="AE583" s="80">
        <v>600</v>
      </c>
      <c r="AF583" s="80">
        <v>576</v>
      </c>
      <c r="AG583" s="80">
        <v>489.6</v>
      </c>
    </row>
    <row r="584" ht="25.5" spans="1:33">
      <c r="A584" s="45"/>
      <c r="B584" s="45"/>
      <c r="C584" s="45"/>
      <c r="D584" s="45"/>
      <c r="E584" s="49"/>
      <c r="F584" s="49"/>
      <c r="G584" s="45"/>
      <c r="H584" s="49"/>
      <c r="I584" s="53"/>
      <c r="J584" s="53"/>
      <c r="K584" s="55"/>
      <c r="L584" s="55"/>
      <c r="M584" s="55"/>
      <c r="N584" s="63"/>
      <c r="O584" s="63"/>
      <c r="P584" s="63"/>
      <c r="Q584" s="45"/>
      <c r="R584" s="45"/>
      <c r="S584" s="45"/>
      <c r="T584" s="69"/>
      <c r="U584" s="49"/>
      <c r="V584" s="43" t="s">
        <v>1664</v>
      </c>
      <c r="W584" s="71">
        <v>331203013</v>
      </c>
      <c r="X584" s="43" t="s">
        <v>1665</v>
      </c>
      <c r="Y584" s="43" t="s">
        <v>43</v>
      </c>
      <c r="Z584" s="71" t="s">
        <v>43</v>
      </c>
      <c r="AA584" s="71" t="s">
        <v>40</v>
      </c>
      <c r="AB584" s="48" t="s">
        <v>43</v>
      </c>
      <c r="AC584" s="75">
        <v>875</v>
      </c>
      <c r="AD584" s="75">
        <v>790</v>
      </c>
      <c r="AE584" s="80">
        <v>875</v>
      </c>
      <c r="AF584" s="80">
        <v>840</v>
      </c>
      <c r="AG584" s="80">
        <v>714</v>
      </c>
    </row>
    <row r="585" ht="25.5" spans="1:33">
      <c r="A585" s="43" t="s">
        <v>81</v>
      </c>
      <c r="B585" s="43" t="s">
        <v>1666</v>
      </c>
      <c r="C585" s="43" t="s">
        <v>1667</v>
      </c>
      <c r="D585" s="43" t="s">
        <v>213</v>
      </c>
      <c r="E585" s="48" t="s">
        <v>43</v>
      </c>
      <c r="F585" s="48" t="s">
        <v>43</v>
      </c>
      <c r="G585" s="43" t="s">
        <v>40</v>
      </c>
      <c r="H585" s="48" t="s">
        <v>43</v>
      </c>
      <c r="I585" s="53">
        <v>195</v>
      </c>
      <c r="J585" s="53">
        <v>176</v>
      </c>
      <c r="K585" s="54"/>
      <c r="L585" s="54"/>
      <c r="M585" s="54"/>
      <c r="N585" s="63">
        <v>180</v>
      </c>
      <c r="O585" s="63">
        <v>160</v>
      </c>
      <c r="P585" s="63">
        <v>135</v>
      </c>
      <c r="Q585" s="45" t="s">
        <v>54</v>
      </c>
      <c r="R585" s="45" t="s">
        <v>43</v>
      </c>
      <c r="S585" s="45" t="s">
        <v>43</v>
      </c>
      <c r="T585" s="69"/>
      <c r="U585" s="49"/>
      <c r="V585" s="45" t="s">
        <v>1668</v>
      </c>
      <c r="W585" s="45">
        <v>33120300702</v>
      </c>
      <c r="X585" s="45" t="s">
        <v>1669</v>
      </c>
      <c r="Y585" s="43" t="s">
        <v>43</v>
      </c>
      <c r="Z585" s="71" t="s">
        <v>43</v>
      </c>
      <c r="AA585" s="71" t="s">
        <v>40</v>
      </c>
      <c r="AB585" s="48" t="s">
        <v>43</v>
      </c>
      <c r="AC585" s="75">
        <v>650</v>
      </c>
      <c r="AD585" s="75">
        <v>585</v>
      </c>
      <c r="AE585" s="80">
        <v>650</v>
      </c>
      <c r="AF585" s="80">
        <v>625</v>
      </c>
      <c r="AG585" s="80">
        <v>530</v>
      </c>
    </row>
    <row r="586" ht="25.5" spans="1:33">
      <c r="A586" s="43"/>
      <c r="B586" s="43"/>
      <c r="C586" s="43"/>
      <c r="D586" s="43"/>
      <c r="E586" s="48"/>
      <c r="F586" s="48"/>
      <c r="G586" s="43"/>
      <c r="H586" s="48"/>
      <c r="I586" s="76"/>
      <c r="J586" s="76"/>
      <c r="K586" s="54"/>
      <c r="L586" s="54"/>
      <c r="M586" s="54"/>
      <c r="N586" s="63"/>
      <c r="O586" s="63"/>
      <c r="P586" s="63"/>
      <c r="Q586" s="45"/>
      <c r="R586" s="45"/>
      <c r="S586" s="45"/>
      <c r="T586" s="69"/>
      <c r="U586" s="49"/>
      <c r="V586" s="45" t="s">
        <v>1670</v>
      </c>
      <c r="W586" s="45">
        <v>33120300703</v>
      </c>
      <c r="X586" s="45" t="s">
        <v>1671</v>
      </c>
      <c r="Y586" s="43" t="s">
        <v>43</v>
      </c>
      <c r="Z586" s="71" t="s">
        <v>43</v>
      </c>
      <c r="AA586" s="71" t="s">
        <v>40</v>
      </c>
      <c r="AB586" s="48" t="s">
        <v>1624</v>
      </c>
      <c r="AC586" s="75">
        <v>780</v>
      </c>
      <c r="AD586" s="75">
        <v>700</v>
      </c>
      <c r="AE586" s="80">
        <v>780</v>
      </c>
      <c r="AF586" s="80">
        <v>750</v>
      </c>
      <c r="AG586" s="80">
        <v>640</v>
      </c>
    </row>
    <row r="587" ht="25.5" spans="1:33">
      <c r="A587" s="43"/>
      <c r="B587" s="43"/>
      <c r="C587" s="43"/>
      <c r="D587" s="43"/>
      <c r="E587" s="48"/>
      <c r="F587" s="48"/>
      <c r="G587" s="43"/>
      <c r="H587" s="48"/>
      <c r="I587" s="76"/>
      <c r="J587" s="76"/>
      <c r="K587" s="54"/>
      <c r="L587" s="54"/>
      <c r="M587" s="54"/>
      <c r="N587" s="63"/>
      <c r="O587" s="63"/>
      <c r="P587" s="63"/>
      <c r="Q587" s="45"/>
      <c r="R587" s="45"/>
      <c r="S587" s="45"/>
      <c r="T587" s="69"/>
      <c r="U587" s="49"/>
      <c r="V587" s="45" t="s">
        <v>1672</v>
      </c>
      <c r="W587" s="45">
        <v>33120301301</v>
      </c>
      <c r="X587" s="45" t="s">
        <v>1673</v>
      </c>
      <c r="Y587" s="43" t="s">
        <v>43</v>
      </c>
      <c r="Z587" s="71" t="s">
        <v>43</v>
      </c>
      <c r="AA587" s="71" t="s">
        <v>40</v>
      </c>
      <c r="AB587" s="48" t="s">
        <v>43</v>
      </c>
      <c r="AC587" s="75">
        <v>1140</v>
      </c>
      <c r="AD587" s="75">
        <v>1025</v>
      </c>
      <c r="AE587" s="80">
        <v>1140</v>
      </c>
      <c r="AF587" s="80">
        <v>1090</v>
      </c>
      <c r="AG587" s="80">
        <v>925</v>
      </c>
    </row>
    <row r="588" ht="25.5" spans="1:33">
      <c r="A588" s="45">
        <v>83</v>
      </c>
      <c r="B588" s="45" t="s">
        <v>1674</v>
      </c>
      <c r="C588" s="45" t="s">
        <v>1675</v>
      </c>
      <c r="D588" s="45" t="s">
        <v>213</v>
      </c>
      <c r="E588" s="49" t="s">
        <v>1676</v>
      </c>
      <c r="F588" s="49" t="s">
        <v>1677</v>
      </c>
      <c r="G588" s="45" t="s">
        <v>40</v>
      </c>
      <c r="H588" s="49" t="s">
        <v>43</v>
      </c>
      <c r="I588" s="53">
        <v>500</v>
      </c>
      <c r="J588" s="53">
        <v>450</v>
      </c>
      <c r="K588" s="55">
        <v>500</v>
      </c>
      <c r="L588" s="55"/>
      <c r="M588" s="55"/>
      <c r="N588" s="63">
        <v>475</v>
      </c>
      <c r="O588" s="63">
        <v>450</v>
      </c>
      <c r="P588" s="63">
        <v>385</v>
      </c>
      <c r="Q588" s="45" t="s">
        <v>54</v>
      </c>
      <c r="R588" s="45" t="s">
        <v>43</v>
      </c>
      <c r="S588" s="45" t="s">
        <v>43</v>
      </c>
      <c r="T588" s="69" t="s">
        <v>76</v>
      </c>
      <c r="U588" s="49" t="s">
        <v>1658</v>
      </c>
      <c r="V588" s="43" t="s">
        <v>1659</v>
      </c>
      <c r="W588" s="71">
        <v>331203007</v>
      </c>
      <c r="X588" s="43" t="s">
        <v>1660</v>
      </c>
      <c r="Y588" s="43" t="s">
        <v>43</v>
      </c>
      <c r="Z588" s="71" t="s">
        <v>1661</v>
      </c>
      <c r="AA588" s="71" t="s">
        <v>40</v>
      </c>
      <c r="AB588" s="48" t="s">
        <v>1621</v>
      </c>
      <c r="AC588" s="75">
        <v>500</v>
      </c>
      <c r="AD588" s="75">
        <v>450</v>
      </c>
      <c r="AE588" s="80">
        <v>500</v>
      </c>
      <c r="AF588" s="80">
        <v>480</v>
      </c>
      <c r="AG588" s="80">
        <v>408</v>
      </c>
    </row>
    <row r="589" ht="25.5" spans="1:33">
      <c r="A589" s="45"/>
      <c r="B589" s="45"/>
      <c r="C589" s="45"/>
      <c r="D589" s="45"/>
      <c r="E589" s="49"/>
      <c r="F589" s="49"/>
      <c r="G589" s="45"/>
      <c r="H589" s="49"/>
      <c r="I589" s="53"/>
      <c r="J589" s="53"/>
      <c r="K589" s="55"/>
      <c r="L589" s="55"/>
      <c r="M589" s="55"/>
      <c r="N589" s="63"/>
      <c r="O589" s="63"/>
      <c r="P589" s="63"/>
      <c r="Q589" s="45"/>
      <c r="R589" s="45"/>
      <c r="S589" s="45"/>
      <c r="T589" s="69"/>
      <c r="U589" s="49"/>
      <c r="V589" s="45" t="s">
        <v>1662</v>
      </c>
      <c r="W589" s="45">
        <v>33120300701</v>
      </c>
      <c r="X589" s="45" t="s">
        <v>1663</v>
      </c>
      <c r="Y589" s="43" t="s">
        <v>43</v>
      </c>
      <c r="Z589" s="71" t="s">
        <v>43</v>
      </c>
      <c r="AA589" s="71" t="s">
        <v>40</v>
      </c>
      <c r="AB589" s="48" t="s">
        <v>1624</v>
      </c>
      <c r="AC589" s="75">
        <v>600</v>
      </c>
      <c r="AD589" s="75">
        <v>540</v>
      </c>
      <c r="AE589" s="80">
        <v>600</v>
      </c>
      <c r="AF589" s="80">
        <v>576</v>
      </c>
      <c r="AG589" s="80">
        <v>489.6</v>
      </c>
    </row>
    <row r="590" ht="30" customHeight="1" spans="1:33">
      <c r="A590" s="43" t="s">
        <v>81</v>
      </c>
      <c r="B590" s="43" t="s">
        <v>1678</v>
      </c>
      <c r="C590" s="43" t="s">
        <v>1679</v>
      </c>
      <c r="D590" s="43" t="s">
        <v>213</v>
      </c>
      <c r="E590" s="48" t="s">
        <v>43</v>
      </c>
      <c r="F590" s="48" t="s">
        <v>43</v>
      </c>
      <c r="G590" s="43" t="s">
        <v>40</v>
      </c>
      <c r="H590" s="48" t="s">
        <v>43</v>
      </c>
      <c r="I590" s="53">
        <v>150</v>
      </c>
      <c r="J590" s="53">
        <v>135</v>
      </c>
      <c r="K590" s="54"/>
      <c r="L590" s="54"/>
      <c r="M590" s="54"/>
      <c r="N590" s="63">
        <v>140</v>
      </c>
      <c r="O590" s="63">
        <v>135</v>
      </c>
      <c r="P590" s="63">
        <v>115</v>
      </c>
      <c r="Q590" s="45" t="s">
        <v>54</v>
      </c>
      <c r="R590" s="45" t="s">
        <v>43</v>
      </c>
      <c r="S590" s="45" t="s">
        <v>43</v>
      </c>
      <c r="T590" s="69"/>
      <c r="U590" s="49" t="s">
        <v>446</v>
      </c>
      <c r="V590" s="45" t="s">
        <v>1668</v>
      </c>
      <c r="W590" s="45">
        <v>33120300702</v>
      </c>
      <c r="X590" s="45" t="s">
        <v>1669</v>
      </c>
      <c r="Y590" s="43" t="s">
        <v>43</v>
      </c>
      <c r="Z590" s="71" t="s">
        <v>43</v>
      </c>
      <c r="AA590" s="71" t="s">
        <v>40</v>
      </c>
      <c r="AB590" s="48" t="s">
        <v>43</v>
      </c>
      <c r="AC590" s="75">
        <v>650</v>
      </c>
      <c r="AD590" s="75">
        <v>585</v>
      </c>
      <c r="AE590" s="80">
        <v>650</v>
      </c>
      <c r="AF590" s="80">
        <v>625</v>
      </c>
      <c r="AG590" s="80">
        <v>530</v>
      </c>
    </row>
    <row r="591" ht="30" customHeight="1" spans="1:33">
      <c r="A591" s="43"/>
      <c r="B591" s="43"/>
      <c r="C591" s="43"/>
      <c r="D591" s="43"/>
      <c r="E591" s="48"/>
      <c r="F591" s="48"/>
      <c r="G591" s="43"/>
      <c r="H591" s="48"/>
      <c r="I591" s="76"/>
      <c r="J591" s="76"/>
      <c r="K591" s="54"/>
      <c r="L591" s="54"/>
      <c r="M591" s="54"/>
      <c r="N591" s="63"/>
      <c r="O591" s="63"/>
      <c r="P591" s="63"/>
      <c r="Q591" s="45"/>
      <c r="R591" s="45"/>
      <c r="S591" s="45"/>
      <c r="T591" s="69"/>
      <c r="U591" s="49"/>
      <c r="V591" s="45" t="s">
        <v>1670</v>
      </c>
      <c r="W591" s="45">
        <v>33120300703</v>
      </c>
      <c r="X591" s="45" t="s">
        <v>1671</v>
      </c>
      <c r="Y591" s="43" t="s">
        <v>43</v>
      </c>
      <c r="Z591" s="71" t="s">
        <v>43</v>
      </c>
      <c r="AA591" s="71" t="s">
        <v>40</v>
      </c>
      <c r="AB591" s="48" t="s">
        <v>1624</v>
      </c>
      <c r="AC591" s="75">
        <v>780</v>
      </c>
      <c r="AD591" s="75">
        <v>700</v>
      </c>
      <c r="AE591" s="80">
        <v>780</v>
      </c>
      <c r="AF591" s="80">
        <v>750</v>
      </c>
      <c r="AG591" s="80">
        <v>640</v>
      </c>
    </row>
    <row r="592" ht="30" customHeight="1" spans="1:33">
      <c r="A592" s="46">
        <v>84</v>
      </c>
      <c r="B592" s="46" t="s">
        <v>1680</v>
      </c>
      <c r="C592" s="46" t="s">
        <v>1681</v>
      </c>
      <c r="D592" s="46" t="s">
        <v>213</v>
      </c>
      <c r="E592" s="50" t="s">
        <v>1682</v>
      </c>
      <c r="F592" s="50" t="s">
        <v>1683</v>
      </c>
      <c r="G592" s="46" t="s">
        <v>40</v>
      </c>
      <c r="H592" s="50" t="s">
        <v>43</v>
      </c>
      <c r="I592" s="53">
        <v>2078</v>
      </c>
      <c r="J592" s="53">
        <v>1870</v>
      </c>
      <c r="K592" s="58"/>
      <c r="L592" s="58">
        <v>2120</v>
      </c>
      <c r="M592" s="58"/>
      <c r="N592" s="63">
        <v>1950</v>
      </c>
      <c r="O592" s="63">
        <v>1850</v>
      </c>
      <c r="P592" s="63">
        <v>1550</v>
      </c>
      <c r="Q592" s="45" t="s">
        <v>54</v>
      </c>
      <c r="R592" s="45" t="s">
        <v>43</v>
      </c>
      <c r="S592" s="45" t="s">
        <v>43</v>
      </c>
      <c r="T592" s="69" t="s">
        <v>67</v>
      </c>
      <c r="U592" s="49" t="s">
        <v>1658</v>
      </c>
      <c r="V592" s="43" t="s">
        <v>1684</v>
      </c>
      <c r="W592" s="71">
        <v>331201009</v>
      </c>
      <c r="X592" s="43" t="s">
        <v>1685</v>
      </c>
      <c r="Y592" s="43" t="s">
        <v>43</v>
      </c>
      <c r="Z592" s="71" t="s">
        <v>43</v>
      </c>
      <c r="AA592" s="71" t="s">
        <v>40</v>
      </c>
      <c r="AB592" s="48" t="s">
        <v>43</v>
      </c>
      <c r="AC592" s="75">
        <v>1920</v>
      </c>
      <c r="AD592" s="75">
        <v>1730</v>
      </c>
      <c r="AE592" s="80">
        <v>1690</v>
      </c>
      <c r="AF592" s="80">
        <v>1520</v>
      </c>
      <c r="AG592" s="80">
        <v>1290</v>
      </c>
    </row>
    <row r="593" ht="30" customHeight="1" spans="1:33">
      <c r="A593" s="46"/>
      <c r="B593" s="46"/>
      <c r="C593" s="46"/>
      <c r="D593" s="46"/>
      <c r="E593" s="50"/>
      <c r="F593" s="50"/>
      <c r="G593" s="46"/>
      <c r="H593" s="50"/>
      <c r="I593" s="102"/>
      <c r="J593" s="102"/>
      <c r="K593" s="58"/>
      <c r="L593" s="58"/>
      <c r="M593" s="58"/>
      <c r="N593" s="63"/>
      <c r="O593" s="63"/>
      <c r="P593" s="63"/>
      <c r="Q593" s="45"/>
      <c r="R593" s="45"/>
      <c r="S593" s="45"/>
      <c r="T593" s="69"/>
      <c r="U593" s="49"/>
      <c r="V593" s="45" t="s">
        <v>1686</v>
      </c>
      <c r="W593" s="71">
        <v>33120100902</v>
      </c>
      <c r="X593" s="43" t="s">
        <v>1687</v>
      </c>
      <c r="Y593" s="43" t="s">
        <v>43</v>
      </c>
      <c r="Z593" s="71" t="s">
        <v>43</v>
      </c>
      <c r="AA593" s="71" t="s">
        <v>40</v>
      </c>
      <c r="AB593" s="48" t="s">
        <v>43</v>
      </c>
      <c r="AC593" s="75">
        <v>2720</v>
      </c>
      <c r="AD593" s="75">
        <v>2450</v>
      </c>
      <c r="AE593" s="80">
        <v>2315</v>
      </c>
      <c r="AF593" s="80">
        <v>2120</v>
      </c>
      <c r="AG593" s="80">
        <v>1300</v>
      </c>
    </row>
    <row r="594" ht="67" customHeight="1" spans="1:33">
      <c r="A594" s="43" t="s">
        <v>81</v>
      </c>
      <c r="B594" s="43" t="s">
        <v>1688</v>
      </c>
      <c r="C594" s="43" t="s">
        <v>1689</v>
      </c>
      <c r="D594" s="43" t="s">
        <v>213</v>
      </c>
      <c r="E594" s="48" t="s">
        <v>43</v>
      </c>
      <c r="F594" s="48" t="s">
        <v>43</v>
      </c>
      <c r="G594" s="43" t="s">
        <v>40</v>
      </c>
      <c r="H594" s="48" t="s">
        <v>43</v>
      </c>
      <c r="I594" s="53">
        <v>1300</v>
      </c>
      <c r="J594" s="53">
        <v>1170</v>
      </c>
      <c r="K594" s="54"/>
      <c r="L594" s="54"/>
      <c r="M594" s="54"/>
      <c r="N594" s="63">
        <v>1200</v>
      </c>
      <c r="O594" s="63">
        <v>1080</v>
      </c>
      <c r="P594" s="63">
        <v>920</v>
      </c>
      <c r="Q594" s="45" t="s">
        <v>54</v>
      </c>
      <c r="R594" s="45" t="s">
        <v>43</v>
      </c>
      <c r="S594" s="45" t="s">
        <v>43</v>
      </c>
      <c r="T594" s="69"/>
      <c r="U594" s="49" t="s">
        <v>187</v>
      </c>
      <c r="V594" s="43" t="s">
        <v>198</v>
      </c>
      <c r="W594" s="71" t="s">
        <v>198</v>
      </c>
      <c r="X594" s="43" t="s">
        <v>198</v>
      </c>
      <c r="Y594" s="43"/>
      <c r="Z594" s="71"/>
      <c r="AA594" s="71"/>
      <c r="AB594" s="48"/>
      <c r="AC594" s="74"/>
      <c r="AD594" s="74"/>
      <c r="AE594" s="78"/>
      <c r="AF594" s="78"/>
      <c r="AG594" s="78"/>
    </row>
    <row r="595" ht="35" customHeight="1" spans="1:33">
      <c r="A595" s="43" t="s">
        <v>81</v>
      </c>
      <c r="B595" s="43" t="s">
        <v>1690</v>
      </c>
      <c r="C595" s="43" t="s">
        <v>1691</v>
      </c>
      <c r="D595" s="43" t="s">
        <v>213</v>
      </c>
      <c r="E595" s="48" t="s">
        <v>43</v>
      </c>
      <c r="F595" s="48" t="s">
        <v>43</v>
      </c>
      <c r="G595" s="43" t="s">
        <v>40</v>
      </c>
      <c r="H595" s="48" t="s">
        <v>43</v>
      </c>
      <c r="I595" s="53">
        <v>623</v>
      </c>
      <c r="J595" s="53">
        <v>561</v>
      </c>
      <c r="K595" s="54"/>
      <c r="L595" s="54"/>
      <c r="M595" s="54"/>
      <c r="N595" s="63">
        <v>585</v>
      </c>
      <c r="O595" s="63">
        <v>555</v>
      </c>
      <c r="P595" s="63">
        <v>465</v>
      </c>
      <c r="Q595" s="45" t="s">
        <v>54</v>
      </c>
      <c r="R595" s="45" t="s">
        <v>43</v>
      </c>
      <c r="S595" s="45" t="s">
        <v>43</v>
      </c>
      <c r="T595" s="69"/>
      <c r="U595" s="49" t="s">
        <v>446</v>
      </c>
      <c r="V595" s="45" t="s">
        <v>1692</v>
      </c>
      <c r="W595" s="45">
        <v>33120100901</v>
      </c>
      <c r="X595" s="45" t="s">
        <v>1693</v>
      </c>
      <c r="Y595" s="43" t="s">
        <v>43</v>
      </c>
      <c r="Z595" s="71" t="s">
        <v>43</v>
      </c>
      <c r="AA595" s="71" t="s">
        <v>40</v>
      </c>
      <c r="AB595" s="48" t="s">
        <v>43</v>
      </c>
      <c r="AC595" s="75">
        <v>2495</v>
      </c>
      <c r="AD595" s="75">
        <v>2250</v>
      </c>
      <c r="AE595" s="80">
        <v>2195</v>
      </c>
      <c r="AF595" s="80">
        <v>1975</v>
      </c>
      <c r="AG595" s="80">
        <v>1680</v>
      </c>
    </row>
    <row r="596" ht="35" customHeight="1" spans="1:33">
      <c r="A596" s="43"/>
      <c r="B596" s="43"/>
      <c r="C596" s="43"/>
      <c r="D596" s="43"/>
      <c r="E596" s="48"/>
      <c r="F596" s="48"/>
      <c r="G596" s="43"/>
      <c r="H596" s="48"/>
      <c r="I596" s="76"/>
      <c r="J596" s="76"/>
      <c r="K596" s="54"/>
      <c r="L596" s="54"/>
      <c r="M596" s="54"/>
      <c r="N596" s="63"/>
      <c r="O596" s="63"/>
      <c r="P596" s="63"/>
      <c r="Q596" s="45"/>
      <c r="R596" s="45"/>
      <c r="S596" s="45"/>
      <c r="T596" s="69"/>
      <c r="U596" s="49"/>
      <c r="V596" s="45" t="s">
        <v>1694</v>
      </c>
      <c r="W596" s="45">
        <v>33120100903</v>
      </c>
      <c r="X596" s="45" t="s">
        <v>1695</v>
      </c>
      <c r="Y596" s="43" t="s">
        <v>43</v>
      </c>
      <c r="Z596" s="71" t="s">
        <v>43</v>
      </c>
      <c r="AA596" s="71" t="s">
        <v>40</v>
      </c>
      <c r="AB596" s="48" t="s">
        <v>43</v>
      </c>
      <c r="AC596" s="75">
        <v>3295</v>
      </c>
      <c r="AD596" s="75">
        <v>2970</v>
      </c>
      <c r="AE596" s="80">
        <v>2820</v>
      </c>
      <c r="AF596" s="80">
        <v>2575</v>
      </c>
      <c r="AG596" s="80">
        <v>2190</v>
      </c>
    </row>
    <row r="597" ht="25.5" spans="1:33">
      <c r="A597" s="45">
        <v>85</v>
      </c>
      <c r="B597" s="45" t="s">
        <v>1696</v>
      </c>
      <c r="C597" s="45" t="s">
        <v>1697</v>
      </c>
      <c r="D597" s="45" t="s">
        <v>213</v>
      </c>
      <c r="E597" s="49" t="s">
        <v>1698</v>
      </c>
      <c r="F597" s="49" t="s">
        <v>1699</v>
      </c>
      <c r="G597" s="45" t="s">
        <v>48</v>
      </c>
      <c r="H597" s="49" t="s">
        <v>43</v>
      </c>
      <c r="I597" s="53">
        <v>996</v>
      </c>
      <c r="J597" s="53">
        <v>896</v>
      </c>
      <c r="K597" s="84">
        <v>868.821292775665</v>
      </c>
      <c r="L597" s="84">
        <v>875.555555555556</v>
      </c>
      <c r="M597" s="84">
        <v>782</v>
      </c>
      <c r="N597" s="63">
        <v>900</v>
      </c>
      <c r="O597" s="63">
        <v>860</v>
      </c>
      <c r="P597" s="63">
        <v>750</v>
      </c>
      <c r="Q597" s="45" t="s">
        <v>54</v>
      </c>
      <c r="R597" s="45" t="s">
        <v>43</v>
      </c>
      <c r="S597" s="45" t="s">
        <v>43</v>
      </c>
      <c r="T597" s="69" t="s">
        <v>67</v>
      </c>
      <c r="U597" s="49" t="s">
        <v>880</v>
      </c>
      <c r="V597" s="43" t="s">
        <v>1700</v>
      </c>
      <c r="W597" s="71">
        <v>331203006</v>
      </c>
      <c r="X597" s="43" t="s">
        <v>1701</v>
      </c>
      <c r="Y597" s="43" t="s">
        <v>43</v>
      </c>
      <c r="Z597" s="71" t="s">
        <v>43</v>
      </c>
      <c r="AA597" s="71" t="s">
        <v>48</v>
      </c>
      <c r="AB597" s="48" t="s">
        <v>1702</v>
      </c>
      <c r="AC597" s="75">
        <v>970</v>
      </c>
      <c r="AD597" s="75">
        <v>880</v>
      </c>
      <c r="AE597" s="80">
        <v>750</v>
      </c>
      <c r="AF597" s="80">
        <v>720</v>
      </c>
      <c r="AG597" s="80">
        <v>612</v>
      </c>
    </row>
    <row r="598" ht="25.5" spans="1:33">
      <c r="A598" s="45"/>
      <c r="B598" s="45"/>
      <c r="C598" s="45"/>
      <c r="D598" s="45"/>
      <c r="E598" s="49"/>
      <c r="F598" s="49"/>
      <c r="G598" s="45"/>
      <c r="H598" s="49"/>
      <c r="I598" s="53"/>
      <c r="J598" s="53"/>
      <c r="K598" s="84"/>
      <c r="L598" s="84"/>
      <c r="M598" s="84"/>
      <c r="N598" s="63"/>
      <c r="O598" s="63"/>
      <c r="P598" s="63"/>
      <c r="Q598" s="45"/>
      <c r="R598" s="45"/>
      <c r="S598" s="45"/>
      <c r="T598" s="69"/>
      <c r="U598" s="49"/>
      <c r="V598" s="43" t="s">
        <v>1703</v>
      </c>
      <c r="W598" s="71">
        <v>33120300601</v>
      </c>
      <c r="X598" s="43" t="s">
        <v>1704</v>
      </c>
      <c r="Y598" s="43" t="s">
        <v>43</v>
      </c>
      <c r="Z598" s="71" t="s">
        <v>43</v>
      </c>
      <c r="AA598" s="71" t="s">
        <v>48</v>
      </c>
      <c r="AB598" s="48" t="s">
        <v>1705</v>
      </c>
      <c r="AC598" s="75">
        <v>1290</v>
      </c>
      <c r="AD598" s="75">
        <v>1160</v>
      </c>
      <c r="AE598" s="80">
        <v>1000</v>
      </c>
      <c r="AF598" s="80">
        <v>960</v>
      </c>
      <c r="AG598" s="80">
        <v>816</v>
      </c>
    </row>
    <row r="599" ht="25.5" spans="1:33">
      <c r="A599" s="45"/>
      <c r="B599" s="45"/>
      <c r="C599" s="45"/>
      <c r="D599" s="45"/>
      <c r="E599" s="49"/>
      <c r="F599" s="49"/>
      <c r="G599" s="45"/>
      <c r="H599" s="49"/>
      <c r="I599" s="53"/>
      <c r="J599" s="53"/>
      <c r="K599" s="84"/>
      <c r="L599" s="84"/>
      <c r="M599" s="84"/>
      <c r="N599" s="63"/>
      <c r="O599" s="63"/>
      <c r="P599" s="63"/>
      <c r="Q599" s="45"/>
      <c r="R599" s="45"/>
      <c r="S599" s="45"/>
      <c r="T599" s="69"/>
      <c r="U599" s="49"/>
      <c r="V599" s="43" t="s">
        <v>1706</v>
      </c>
      <c r="W599" s="71">
        <v>33120300604</v>
      </c>
      <c r="X599" s="43" t="s">
        <v>1707</v>
      </c>
      <c r="Y599" s="43" t="s">
        <v>43</v>
      </c>
      <c r="Z599" s="71" t="s">
        <v>43</v>
      </c>
      <c r="AA599" s="71" t="s">
        <v>48</v>
      </c>
      <c r="AB599" s="48" t="s">
        <v>43</v>
      </c>
      <c r="AC599" s="75">
        <v>1930</v>
      </c>
      <c r="AD599" s="75">
        <v>1740</v>
      </c>
      <c r="AE599" s="80">
        <v>1375</v>
      </c>
      <c r="AF599" s="80">
        <v>1320</v>
      </c>
      <c r="AG599" s="80">
        <v>1122</v>
      </c>
    </row>
    <row r="600" s="32" customFormat="1" ht="25.5" spans="1:33">
      <c r="A600" s="45"/>
      <c r="B600" s="45"/>
      <c r="C600" s="45"/>
      <c r="D600" s="45"/>
      <c r="E600" s="49"/>
      <c r="F600" s="49"/>
      <c r="G600" s="45"/>
      <c r="H600" s="49"/>
      <c r="I600" s="53"/>
      <c r="J600" s="53"/>
      <c r="K600" s="84"/>
      <c r="L600" s="84"/>
      <c r="M600" s="84"/>
      <c r="N600" s="63"/>
      <c r="O600" s="63"/>
      <c r="P600" s="63"/>
      <c r="Q600" s="45"/>
      <c r="R600" s="45"/>
      <c r="S600" s="45"/>
      <c r="T600" s="69"/>
      <c r="U600" s="49"/>
      <c r="V600" s="43" t="s">
        <v>1708</v>
      </c>
      <c r="W600" s="43">
        <v>33120300606</v>
      </c>
      <c r="X600" s="43" t="s">
        <v>1709</v>
      </c>
      <c r="Y600" s="43" t="s">
        <v>43</v>
      </c>
      <c r="Z600" s="71" t="s">
        <v>43</v>
      </c>
      <c r="AA600" s="71" t="s">
        <v>48</v>
      </c>
      <c r="AB600" s="48" t="s">
        <v>1705</v>
      </c>
      <c r="AC600" s="75">
        <v>2250</v>
      </c>
      <c r="AD600" s="75">
        <v>2030</v>
      </c>
      <c r="AE600" s="80">
        <v>1625</v>
      </c>
      <c r="AF600" s="80">
        <v>1560</v>
      </c>
      <c r="AG600" s="80">
        <v>1326</v>
      </c>
    </row>
    <row r="601" ht="25.5" spans="1:33">
      <c r="A601" s="45"/>
      <c r="B601" s="45"/>
      <c r="C601" s="45"/>
      <c r="D601" s="45"/>
      <c r="E601" s="49"/>
      <c r="F601" s="49"/>
      <c r="G601" s="45"/>
      <c r="H601" s="49"/>
      <c r="I601" s="53"/>
      <c r="J601" s="53"/>
      <c r="K601" s="84"/>
      <c r="L601" s="84"/>
      <c r="M601" s="84"/>
      <c r="N601" s="63"/>
      <c r="O601" s="63"/>
      <c r="P601" s="63"/>
      <c r="Q601" s="45"/>
      <c r="R601" s="45"/>
      <c r="S601" s="45"/>
      <c r="T601" s="69"/>
      <c r="U601" s="49"/>
      <c r="V601" s="43" t="s">
        <v>1710</v>
      </c>
      <c r="W601" s="71">
        <v>331203003</v>
      </c>
      <c r="X601" s="43" t="s">
        <v>1711</v>
      </c>
      <c r="Y601" s="43" t="s">
        <v>43</v>
      </c>
      <c r="Z601" s="71" t="s">
        <v>43</v>
      </c>
      <c r="AA601" s="71" t="s">
        <v>40</v>
      </c>
      <c r="AB601" s="48" t="s">
        <v>43</v>
      </c>
      <c r="AC601" s="75">
        <v>1080</v>
      </c>
      <c r="AD601" s="75">
        <v>970</v>
      </c>
      <c r="AE601" s="80">
        <v>1000</v>
      </c>
      <c r="AF601" s="80">
        <v>960</v>
      </c>
      <c r="AG601" s="80">
        <v>816</v>
      </c>
    </row>
    <row r="602" ht="34" customHeight="1" spans="1:33">
      <c r="A602" s="45" t="s">
        <v>81</v>
      </c>
      <c r="B602" s="45" t="s">
        <v>1712</v>
      </c>
      <c r="C602" s="45" t="s">
        <v>1713</v>
      </c>
      <c r="D602" s="45" t="s">
        <v>213</v>
      </c>
      <c r="E602" s="49" t="s">
        <v>43</v>
      </c>
      <c r="F602" s="49" t="s">
        <v>43</v>
      </c>
      <c r="G602" s="45" t="s">
        <v>48</v>
      </c>
      <c r="H602" s="49" t="s">
        <v>43</v>
      </c>
      <c r="I602" s="53">
        <v>996</v>
      </c>
      <c r="J602" s="53">
        <v>896</v>
      </c>
      <c r="K602" s="55">
        <v>875</v>
      </c>
      <c r="L602" s="55"/>
      <c r="M602" s="55"/>
      <c r="N602" s="63">
        <v>900</v>
      </c>
      <c r="O602" s="63">
        <v>860</v>
      </c>
      <c r="P602" s="63">
        <v>750</v>
      </c>
      <c r="Q602" s="45" t="s">
        <v>54</v>
      </c>
      <c r="R602" s="45" t="s">
        <v>43</v>
      </c>
      <c r="S602" s="45" t="s">
        <v>43</v>
      </c>
      <c r="T602" s="69"/>
      <c r="U602" s="49" t="s">
        <v>84</v>
      </c>
      <c r="V602" s="43" t="s">
        <v>1714</v>
      </c>
      <c r="W602" s="71">
        <v>331203004</v>
      </c>
      <c r="X602" s="43" t="s">
        <v>1715</v>
      </c>
      <c r="Y602" s="43" t="s">
        <v>43</v>
      </c>
      <c r="Z602" s="71" t="s">
        <v>43</v>
      </c>
      <c r="AA602" s="71" t="s">
        <v>40</v>
      </c>
      <c r="AB602" s="48" t="s">
        <v>43</v>
      </c>
      <c r="AC602" s="75">
        <v>945</v>
      </c>
      <c r="AD602" s="75">
        <v>850</v>
      </c>
      <c r="AE602" s="80">
        <v>875</v>
      </c>
      <c r="AF602" s="80">
        <v>840</v>
      </c>
      <c r="AG602" s="80">
        <v>714</v>
      </c>
    </row>
    <row r="603" ht="34" customHeight="1" spans="1:33">
      <c r="A603" s="45"/>
      <c r="B603" s="45"/>
      <c r="C603" s="45"/>
      <c r="D603" s="45"/>
      <c r="E603" s="49"/>
      <c r="F603" s="49"/>
      <c r="G603" s="45"/>
      <c r="H603" s="49"/>
      <c r="I603" s="53"/>
      <c r="J603" s="53"/>
      <c r="K603" s="55"/>
      <c r="L603" s="55"/>
      <c r="M603" s="55"/>
      <c r="N603" s="63"/>
      <c r="O603" s="63"/>
      <c r="P603" s="63"/>
      <c r="Q603" s="45"/>
      <c r="R603" s="45"/>
      <c r="S603" s="45"/>
      <c r="T603" s="69"/>
      <c r="U603" s="49"/>
      <c r="V603" s="45" t="s">
        <v>1716</v>
      </c>
      <c r="W603" s="45">
        <v>33120300401</v>
      </c>
      <c r="X603" s="45" t="s">
        <v>1717</v>
      </c>
      <c r="Y603" s="43" t="s">
        <v>43</v>
      </c>
      <c r="Z603" s="71" t="s">
        <v>43</v>
      </c>
      <c r="AA603" s="71" t="s">
        <v>40</v>
      </c>
      <c r="AB603" s="48" t="s">
        <v>43</v>
      </c>
      <c r="AC603" s="75">
        <v>1230</v>
      </c>
      <c r="AD603" s="75">
        <v>1105</v>
      </c>
      <c r="AE603" s="80">
        <v>1140</v>
      </c>
      <c r="AF603" s="80">
        <v>1090</v>
      </c>
      <c r="AG603" s="80">
        <v>925</v>
      </c>
    </row>
    <row r="604" ht="23" customHeight="1" spans="1:33">
      <c r="A604" s="43" t="s">
        <v>81</v>
      </c>
      <c r="B604" s="43" t="s">
        <v>1718</v>
      </c>
      <c r="C604" s="43" t="s">
        <v>1719</v>
      </c>
      <c r="D604" s="43" t="s">
        <v>213</v>
      </c>
      <c r="E604" s="48" t="s">
        <v>43</v>
      </c>
      <c r="F604" s="48" t="s">
        <v>43</v>
      </c>
      <c r="G604" s="43" t="s">
        <v>48</v>
      </c>
      <c r="H604" s="48" t="s">
        <v>43</v>
      </c>
      <c r="I604" s="53">
        <v>299</v>
      </c>
      <c r="J604" s="53">
        <v>269</v>
      </c>
      <c r="K604" s="54"/>
      <c r="L604" s="54"/>
      <c r="M604" s="54"/>
      <c r="N604" s="63">
        <v>270</v>
      </c>
      <c r="O604" s="63">
        <v>260</v>
      </c>
      <c r="P604" s="63">
        <v>225</v>
      </c>
      <c r="Q604" s="45" t="s">
        <v>54</v>
      </c>
      <c r="R604" s="45" t="s">
        <v>43</v>
      </c>
      <c r="S604" s="45" t="s">
        <v>43</v>
      </c>
      <c r="T604" s="69"/>
      <c r="U604" s="49"/>
      <c r="V604" s="43" t="s">
        <v>1720</v>
      </c>
      <c r="W604" s="43">
        <v>33120300602</v>
      </c>
      <c r="X604" s="43" t="s">
        <v>1721</v>
      </c>
      <c r="Y604" s="43" t="s">
        <v>43</v>
      </c>
      <c r="Z604" s="71" t="s">
        <v>43</v>
      </c>
      <c r="AA604" s="71" t="s">
        <v>48</v>
      </c>
      <c r="AB604" s="48" t="s">
        <v>43</v>
      </c>
      <c r="AC604" s="75">
        <v>1260</v>
      </c>
      <c r="AD604" s="75">
        <v>1140</v>
      </c>
      <c r="AE604" s="80">
        <v>975</v>
      </c>
      <c r="AF604" s="80">
        <v>935</v>
      </c>
      <c r="AG604" s="80">
        <v>795</v>
      </c>
    </row>
    <row r="605" ht="23" customHeight="1" spans="1:33">
      <c r="A605" s="43"/>
      <c r="B605" s="43"/>
      <c r="C605" s="43"/>
      <c r="D605" s="43"/>
      <c r="E605" s="48"/>
      <c r="F605" s="48"/>
      <c r="G605" s="43"/>
      <c r="H605" s="48"/>
      <c r="I605" s="76"/>
      <c r="J605" s="76"/>
      <c r="K605" s="54"/>
      <c r="L605" s="54"/>
      <c r="M605" s="54"/>
      <c r="N605" s="63"/>
      <c r="O605" s="63"/>
      <c r="P605" s="63"/>
      <c r="Q605" s="45"/>
      <c r="R605" s="45"/>
      <c r="S605" s="45"/>
      <c r="T605" s="69"/>
      <c r="U605" s="49"/>
      <c r="V605" s="43" t="s">
        <v>1722</v>
      </c>
      <c r="W605" s="43">
        <v>33120300603</v>
      </c>
      <c r="X605" s="43" t="s">
        <v>1723</v>
      </c>
      <c r="Y605" s="43" t="s">
        <v>43</v>
      </c>
      <c r="Z605" s="71" t="s">
        <v>43</v>
      </c>
      <c r="AA605" s="71" t="s">
        <v>48</v>
      </c>
      <c r="AB605" s="48" t="s">
        <v>1705</v>
      </c>
      <c r="AC605" s="75">
        <v>1680</v>
      </c>
      <c r="AD605" s="75">
        <v>1510</v>
      </c>
      <c r="AE605" s="80">
        <v>1300</v>
      </c>
      <c r="AF605" s="80">
        <v>1250</v>
      </c>
      <c r="AG605" s="80">
        <v>1065</v>
      </c>
    </row>
    <row r="606" ht="23" customHeight="1" spans="1:33">
      <c r="A606" s="43"/>
      <c r="B606" s="43"/>
      <c r="C606" s="43"/>
      <c r="D606" s="43"/>
      <c r="E606" s="48"/>
      <c r="F606" s="48"/>
      <c r="G606" s="43"/>
      <c r="H606" s="48"/>
      <c r="I606" s="76"/>
      <c r="J606" s="76"/>
      <c r="K606" s="54"/>
      <c r="L606" s="54"/>
      <c r="M606" s="54"/>
      <c r="N606" s="63"/>
      <c r="O606" s="63"/>
      <c r="P606" s="63"/>
      <c r="Q606" s="45"/>
      <c r="R606" s="45"/>
      <c r="S606" s="45"/>
      <c r="T606" s="69"/>
      <c r="U606" s="49"/>
      <c r="V606" s="43" t="s">
        <v>1724</v>
      </c>
      <c r="W606" s="43">
        <v>33120300605</v>
      </c>
      <c r="X606" s="43" t="s">
        <v>1725</v>
      </c>
      <c r="Y606" s="43" t="s">
        <v>43</v>
      </c>
      <c r="Z606" s="71" t="s">
        <v>43</v>
      </c>
      <c r="AA606" s="71" t="s">
        <v>48</v>
      </c>
      <c r="AB606" s="48" t="s">
        <v>43</v>
      </c>
      <c r="AC606" s="75">
        <v>2220</v>
      </c>
      <c r="AD606" s="75">
        <v>2000</v>
      </c>
      <c r="AE606" s="80">
        <v>1600</v>
      </c>
      <c r="AF606" s="80">
        <v>1535</v>
      </c>
      <c r="AG606" s="80">
        <v>1305</v>
      </c>
    </row>
    <row r="607" ht="23" customHeight="1" spans="1:33">
      <c r="A607" s="43"/>
      <c r="B607" s="43"/>
      <c r="C607" s="43"/>
      <c r="D607" s="43"/>
      <c r="E607" s="48"/>
      <c r="F607" s="48"/>
      <c r="G607" s="43"/>
      <c r="H607" s="48"/>
      <c r="I607" s="76"/>
      <c r="J607" s="76"/>
      <c r="K607" s="54"/>
      <c r="L607" s="54"/>
      <c r="M607" s="54"/>
      <c r="N607" s="63"/>
      <c r="O607" s="63"/>
      <c r="P607" s="63"/>
      <c r="Q607" s="45"/>
      <c r="R607" s="45"/>
      <c r="S607" s="45"/>
      <c r="T607" s="69"/>
      <c r="U607" s="49"/>
      <c r="V607" s="43" t="s">
        <v>1726</v>
      </c>
      <c r="W607" s="43">
        <v>33120300607</v>
      </c>
      <c r="X607" s="43" t="s">
        <v>1727</v>
      </c>
      <c r="Y607" s="43" t="s">
        <v>43</v>
      </c>
      <c r="Z607" s="71" t="s">
        <v>43</v>
      </c>
      <c r="AA607" s="71" t="s">
        <v>48</v>
      </c>
      <c r="AB607" s="48" t="s">
        <v>1705</v>
      </c>
      <c r="AC607" s="75">
        <v>2640</v>
      </c>
      <c r="AD607" s="75">
        <v>2370</v>
      </c>
      <c r="AE607" s="80">
        <v>1925</v>
      </c>
      <c r="AF607" s="80">
        <v>1850</v>
      </c>
      <c r="AG607" s="80">
        <v>1575</v>
      </c>
    </row>
    <row r="608" ht="23" customHeight="1" spans="1:33">
      <c r="A608" s="43"/>
      <c r="B608" s="43"/>
      <c r="C608" s="43"/>
      <c r="D608" s="43"/>
      <c r="E608" s="48"/>
      <c r="F608" s="48"/>
      <c r="G608" s="43"/>
      <c r="H608" s="48"/>
      <c r="I608" s="76"/>
      <c r="J608" s="76"/>
      <c r="K608" s="54"/>
      <c r="L608" s="54"/>
      <c r="M608" s="54"/>
      <c r="N608" s="63"/>
      <c r="O608" s="63"/>
      <c r="P608" s="63"/>
      <c r="Q608" s="45"/>
      <c r="R608" s="45"/>
      <c r="S608" s="45"/>
      <c r="T608" s="69"/>
      <c r="U608" s="49"/>
      <c r="V608" s="45" t="s">
        <v>1728</v>
      </c>
      <c r="W608" s="45">
        <v>33120300301</v>
      </c>
      <c r="X608" s="45" t="s">
        <v>1729</v>
      </c>
      <c r="Y608" s="43" t="s">
        <v>43</v>
      </c>
      <c r="Z608" s="71" t="s">
        <v>43</v>
      </c>
      <c r="AA608" s="71" t="s">
        <v>40</v>
      </c>
      <c r="AB608" s="48" t="s">
        <v>43</v>
      </c>
      <c r="AC608" s="75">
        <v>1405</v>
      </c>
      <c r="AD608" s="75">
        <v>1260</v>
      </c>
      <c r="AE608" s="80">
        <v>1300</v>
      </c>
      <c r="AF608" s="80">
        <v>1250</v>
      </c>
      <c r="AG608" s="80">
        <v>1065</v>
      </c>
    </row>
    <row r="609" ht="95" customHeight="1" spans="1:33">
      <c r="A609" s="45">
        <v>86</v>
      </c>
      <c r="B609" s="45" t="s">
        <v>1730</v>
      </c>
      <c r="C609" s="45" t="s">
        <v>1731</v>
      </c>
      <c r="D609" s="45" t="s">
        <v>213</v>
      </c>
      <c r="E609" s="49" t="s">
        <v>1732</v>
      </c>
      <c r="F609" s="49" t="s">
        <v>1733</v>
      </c>
      <c r="G609" s="45" t="s">
        <v>40</v>
      </c>
      <c r="H609" s="49" t="s">
        <v>43</v>
      </c>
      <c r="I609" s="53">
        <v>875</v>
      </c>
      <c r="J609" s="53">
        <v>788</v>
      </c>
      <c r="K609" s="55">
        <v>875</v>
      </c>
      <c r="L609" s="55">
        <v>840</v>
      </c>
      <c r="M609" s="55">
        <v>714</v>
      </c>
      <c r="N609" s="63">
        <v>830</v>
      </c>
      <c r="O609" s="63">
        <v>760</v>
      </c>
      <c r="P609" s="63">
        <v>650</v>
      </c>
      <c r="Q609" s="45" t="s">
        <v>54</v>
      </c>
      <c r="R609" s="45" t="s">
        <v>43</v>
      </c>
      <c r="S609" s="45" t="s">
        <v>43</v>
      </c>
      <c r="T609" s="69" t="s">
        <v>76</v>
      </c>
      <c r="U609" s="49" t="s">
        <v>1734</v>
      </c>
      <c r="V609" s="43" t="s">
        <v>1735</v>
      </c>
      <c r="W609" s="71">
        <v>331203005</v>
      </c>
      <c r="X609" s="43" t="s">
        <v>1736</v>
      </c>
      <c r="Y609" s="43" t="s">
        <v>43</v>
      </c>
      <c r="Z609" s="71" t="s">
        <v>43</v>
      </c>
      <c r="AA609" s="71" t="s">
        <v>40</v>
      </c>
      <c r="AB609" s="48" t="s">
        <v>43</v>
      </c>
      <c r="AC609" s="75">
        <v>875</v>
      </c>
      <c r="AD609" s="75">
        <v>790</v>
      </c>
      <c r="AE609" s="80">
        <v>875</v>
      </c>
      <c r="AF609" s="80">
        <v>840</v>
      </c>
      <c r="AG609" s="80">
        <v>714</v>
      </c>
    </row>
    <row r="610" ht="35" customHeight="1" spans="1:33">
      <c r="A610" s="43" t="s">
        <v>81</v>
      </c>
      <c r="B610" s="43" t="s">
        <v>1737</v>
      </c>
      <c r="C610" s="43" t="s">
        <v>1738</v>
      </c>
      <c r="D610" s="43" t="s">
        <v>213</v>
      </c>
      <c r="E610" s="48" t="s">
        <v>43</v>
      </c>
      <c r="F610" s="48" t="s">
        <v>43</v>
      </c>
      <c r="G610" s="43" t="s">
        <v>40</v>
      </c>
      <c r="H610" s="48" t="s">
        <v>43</v>
      </c>
      <c r="I610" s="53">
        <v>263</v>
      </c>
      <c r="J610" s="53">
        <v>237</v>
      </c>
      <c r="K610" s="54"/>
      <c r="L610" s="54"/>
      <c r="M610" s="54"/>
      <c r="N610" s="63">
        <v>250</v>
      </c>
      <c r="O610" s="63">
        <v>230</v>
      </c>
      <c r="P610" s="63">
        <v>195</v>
      </c>
      <c r="Q610" s="45" t="s">
        <v>54</v>
      </c>
      <c r="R610" s="45" t="s">
        <v>43</v>
      </c>
      <c r="S610" s="45" t="s">
        <v>43</v>
      </c>
      <c r="T610" s="69"/>
      <c r="U610" s="49" t="s">
        <v>446</v>
      </c>
      <c r="V610" s="45" t="s">
        <v>1739</v>
      </c>
      <c r="W610" s="45">
        <v>33120300501</v>
      </c>
      <c r="X610" s="45" t="s">
        <v>1740</v>
      </c>
      <c r="Y610" s="43" t="s">
        <v>43</v>
      </c>
      <c r="Z610" s="71" t="s">
        <v>43</v>
      </c>
      <c r="AA610" s="71" t="s">
        <v>40</v>
      </c>
      <c r="AB610" s="48" t="s">
        <v>43</v>
      </c>
      <c r="AC610" s="75">
        <v>1140</v>
      </c>
      <c r="AD610" s="75">
        <v>1025</v>
      </c>
      <c r="AE610" s="80">
        <v>1140</v>
      </c>
      <c r="AF610" s="80">
        <v>1090</v>
      </c>
      <c r="AG610" s="80">
        <v>925</v>
      </c>
    </row>
    <row r="611" ht="45" customHeight="1" spans="1:33">
      <c r="A611" s="46">
        <v>87</v>
      </c>
      <c r="B611" s="46" t="s">
        <v>1741</v>
      </c>
      <c r="C611" s="46" t="s">
        <v>1742</v>
      </c>
      <c r="D611" s="46" t="s">
        <v>127</v>
      </c>
      <c r="E611" s="50" t="s">
        <v>1743</v>
      </c>
      <c r="F611" s="50" t="s">
        <v>1744</v>
      </c>
      <c r="G611" s="46" t="s">
        <v>40</v>
      </c>
      <c r="H611" s="50" t="s">
        <v>43</v>
      </c>
      <c r="I611" s="53">
        <v>22</v>
      </c>
      <c r="J611" s="53">
        <v>20</v>
      </c>
      <c r="K611" s="58">
        <v>22</v>
      </c>
      <c r="L611" s="58">
        <v>20</v>
      </c>
      <c r="M611" s="58">
        <v>17</v>
      </c>
      <c r="N611" s="63">
        <v>22</v>
      </c>
      <c r="O611" s="63">
        <v>20</v>
      </c>
      <c r="P611" s="63">
        <v>17</v>
      </c>
      <c r="Q611" s="45" t="s">
        <v>54</v>
      </c>
      <c r="R611" s="45" t="s">
        <v>43</v>
      </c>
      <c r="S611" s="45" t="s">
        <v>43</v>
      </c>
      <c r="T611" s="69" t="s">
        <v>55</v>
      </c>
      <c r="U611" s="49" t="s">
        <v>1745</v>
      </c>
      <c r="V611" s="43" t="s">
        <v>1746</v>
      </c>
      <c r="W611" s="71">
        <v>311100015</v>
      </c>
      <c r="X611" s="43" t="s">
        <v>1747</v>
      </c>
      <c r="Y611" s="43" t="s">
        <v>43</v>
      </c>
      <c r="Z611" s="71" t="s">
        <v>43</v>
      </c>
      <c r="AA611" s="71" t="s">
        <v>40</v>
      </c>
      <c r="AB611" s="48" t="s">
        <v>43</v>
      </c>
      <c r="AC611" s="75">
        <v>22</v>
      </c>
      <c r="AD611" s="75">
        <v>20</v>
      </c>
      <c r="AE611" s="80">
        <v>22</v>
      </c>
      <c r="AF611" s="80">
        <v>20</v>
      </c>
      <c r="AG611" s="80">
        <v>17</v>
      </c>
    </row>
    <row r="612" ht="45" customHeight="1" spans="1:33">
      <c r="A612" s="45">
        <v>88</v>
      </c>
      <c r="B612" s="45" t="s">
        <v>1748</v>
      </c>
      <c r="C612" s="45" t="s">
        <v>1749</v>
      </c>
      <c r="D612" s="45" t="s">
        <v>127</v>
      </c>
      <c r="E612" s="49" t="s">
        <v>1750</v>
      </c>
      <c r="F612" s="49" t="s">
        <v>1751</v>
      </c>
      <c r="G612" s="45" t="s">
        <v>40</v>
      </c>
      <c r="H612" s="49" t="s">
        <v>43</v>
      </c>
      <c r="I612" s="53">
        <v>33</v>
      </c>
      <c r="J612" s="53">
        <v>30</v>
      </c>
      <c r="K612" s="55">
        <v>33</v>
      </c>
      <c r="L612" s="55">
        <v>30</v>
      </c>
      <c r="M612" s="55">
        <v>25.5</v>
      </c>
      <c r="N612" s="63">
        <v>33</v>
      </c>
      <c r="O612" s="63">
        <v>30</v>
      </c>
      <c r="P612" s="63">
        <v>26</v>
      </c>
      <c r="Q612" s="45" t="s">
        <v>54</v>
      </c>
      <c r="R612" s="45" t="s">
        <v>43</v>
      </c>
      <c r="S612" s="45" t="s">
        <v>43</v>
      </c>
      <c r="T612" s="69" t="s">
        <v>55</v>
      </c>
      <c r="U612" s="49" t="s">
        <v>1752</v>
      </c>
      <c r="V612" s="43" t="s">
        <v>1753</v>
      </c>
      <c r="W612" s="71">
        <v>311100016</v>
      </c>
      <c r="X612" s="43" t="s">
        <v>1754</v>
      </c>
      <c r="Y612" s="43" t="s">
        <v>43</v>
      </c>
      <c r="Z612" s="71" t="s">
        <v>43</v>
      </c>
      <c r="AA612" s="71" t="s">
        <v>40</v>
      </c>
      <c r="AB612" s="48" t="s">
        <v>43</v>
      </c>
      <c r="AC612" s="75">
        <v>33</v>
      </c>
      <c r="AD612" s="75">
        <v>30</v>
      </c>
      <c r="AE612" s="80">
        <v>33</v>
      </c>
      <c r="AF612" s="80">
        <v>30</v>
      </c>
      <c r="AG612" s="80">
        <v>25.5</v>
      </c>
    </row>
    <row r="613" ht="24" customHeight="1" spans="1:33">
      <c r="A613" s="45">
        <v>89</v>
      </c>
      <c r="B613" s="45" t="s">
        <v>1755</v>
      </c>
      <c r="C613" s="45" t="s">
        <v>1756</v>
      </c>
      <c r="D613" s="45" t="s">
        <v>213</v>
      </c>
      <c r="E613" s="49" t="s">
        <v>1757</v>
      </c>
      <c r="F613" s="49" t="s">
        <v>1758</v>
      </c>
      <c r="G613" s="45" t="s">
        <v>40</v>
      </c>
      <c r="H613" s="49" t="s">
        <v>43</v>
      </c>
      <c r="I613" s="53">
        <v>3038</v>
      </c>
      <c r="J613" s="53">
        <v>2734</v>
      </c>
      <c r="K613" s="55">
        <v>2530</v>
      </c>
      <c r="L613" s="55">
        <v>2430</v>
      </c>
      <c r="M613" s="55" t="e">
        <v>#DIV/0!</v>
      </c>
      <c r="N613" s="63">
        <v>2680</v>
      </c>
      <c r="O613" s="63">
        <v>2430</v>
      </c>
      <c r="P613" s="63">
        <v>2070</v>
      </c>
      <c r="Q613" s="45" t="s">
        <v>54</v>
      </c>
      <c r="R613" s="45" t="s">
        <v>43</v>
      </c>
      <c r="S613" s="45" t="s">
        <v>43</v>
      </c>
      <c r="T613" s="69" t="s">
        <v>67</v>
      </c>
      <c r="U613" s="49" t="s">
        <v>1759</v>
      </c>
      <c r="V613" s="43" t="s">
        <v>1760</v>
      </c>
      <c r="W613" s="71">
        <v>331201002</v>
      </c>
      <c r="X613" s="43" t="s">
        <v>1761</v>
      </c>
      <c r="Y613" s="43" t="s">
        <v>43</v>
      </c>
      <c r="Z613" s="71" t="s">
        <v>43</v>
      </c>
      <c r="AA613" s="71" t="s">
        <v>40</v>
      </c>
      <c r="AB613" s="48" t="s">
        <v>43</v>
      </c>
      <c r="AC613" s="75">
        <v>2880</v>
      </c>
      <c r="AD613" s="75">
        <v>2590</v>
      </c>
      <c r="AE613" s="80">
        <v>2530</v>
      </c>
      <c r="AF613" s="80">
        <v>2280</v>
      </c>
      <c r="AG613" s="80">
        <v>1940</v>
      </c>
    </row>
    <row r="614" ht="24" customHeight="1" spans="1:33">
      <c r="A614" s="45"/>
      <c r="B614" s="45"/>
      <c r="C614" s="45"/>
      <c r="D614" s="45"/>
      <c r="E614" s="49"/>
      <c r="F614" s="49"/>
      <c r="G614" s="45"/>
      <c r="H614" s="49"/>
      <c r="I614" s="53"/>
      <c r="J614" s="53"/>
      <c r="K614" s="55"/>
      <c r="L614" s="55"/>
      <c r="M614" s="55"/>
      <c r="N614" s="63"/>
      <c r="O614" s="63"/>
      <c r="P614" s="63"/>
      <c r="Q614" s="45"/>
      <c r="R614" s="45"/>
      <c r="S614" s="45"/>
      <c r="T614" s="69"/>
      <c r="U614" s="49"/>
      <c r="V614" s="43" t="s">
        <v>1762</v>
      </c>
      <c r="W614" s="71">
        <v>331201003</v>
      </c>
      <c r="X614" s="43" t="s">
        <v>1763</v>
      </c>
      <c r="Y614" s="43" t="s">
        <v>43</v>
      </c>
      <c r="Z614" s="71" t="s">
        <v>43</v>
      </c>
      <c r="AA614" s="71" t="s">
        <v>40</v>
      </c>
      <c r="AB614" s="48" t="s">
        <v>43</v>
      </c>
      <c r="AC614" s="75">
        <v>2880</v>
      </c>
      <c r="AD614" s="75">
        <v>2590</v>
      </c>
      <c r="AE614" s="80">
        <v>2530</v>
      </c>
      <c r="AF614" s="80">
        <v>2280</v>
      </c>
      <c r="AG614" s="80">
        <v>1940</v>
      </c>
    </row>
    <row r="615" ht="24" customHeight="1" spans="1:33">
      <c r="A615" s="45"/>
      <c r="B615" s="45"/>
      <c r="C615" s="45"/>
      <c r="D615" s="45"/>
      <c r="E615" s="49"/>
      <c r="F615" s="49"/>
      <c r="G615" s="45"/>
      <c r="H615" s="49"/>
      <c r="I615" s="53"/>
      <c r="J615" s="53"/>
      <c r="K615" s="55"/>
      <c r="L615" s="55"/>
      <c r="M615" s="55"/>
      <c r="N615" s="63"/>
      <c r="O615" s="63"/>
      <c r="P615" s="63"/>
      <c r="Q615" s="45"/>
      <c r="R615" s="45"/>
      <c r="S615" s="45"/>
      <c r="T615" s="69"/>
      <c r="U615" s="49"/>
      <c r="V615" s="45" t="s">
        <v>1764</v>
      </c>
      <c r="W615" s="71">
        <v>33120100302</v>
      </c>
      <c r="X615" s="43" t="s">
        <v>1765</v>
      </c>
      <c r="Y615" s="43" t="s">
        <v>43</v>
      </c>
      <c r="Z615" s="71" t="s">
        <v>43</v>
      </c>
      <c r="AA615" s="71" t="s">
        <v>40</v>
      </c>
      <c r="AB615" s="48" t="s">
        <v>43</v>
      </c>
      <c r="AC615" s="75">
        <v>3680</v>
      </c>
      <c r="AD615" s="75">
        <v>3310</v>
      </c>
      <c r="AE615" s="80">
        <v>3155</v>
      </c>
      <c r="AF615" s="80">
        <v>2880</v>
      </c>
      <c r="AG615" s="80">
        <v>2450</v>
      </c>
    </row>
    <row r="616" ht="24" customHeight="1" spans="1:33">
      <c r="A616" s="43" t="s">
        <v>81</v>
      </c>
      <c r="B616" s="43" t="s">
        <v>1766</v>
      </c>
      <c r="C616" s="43" t="s">
        <v>1767</v>
      </c>
      <c r="D616" s="43" t="s">
        <v>213</v>
      </c>
      <c r="E616" s="48" t="s">
        <v>43</v>
      </c>
      <c r="F616" s="48" t="s">
        <v>43</v>
      </c>
      <c r="G616" s="43" t="s">
        <v>40</v>
      </c>
      <c r="H616" s="48" t="s">
        <v>43</v>
      </c>
      <c r="I616" s="53">
        <v>911</v>
      </c>
      <c r="J616" s="53">
        <v>820</v>
      </c>
      <c r="K616" s="54"/>
      <c r="L616" s="54"/>
      <c r="M616" s="54"/>
      <c r="N616" s="63">
        <v>805</v>
      </c>
      <c r="O616" s="63">
        <v>730</v>
      </c>
      <c r="P616" s="63">
        <v>620</v>
      </c>
      <c r="Q616" s="45" t="s">
        <v>54</v>
      </c>
      <c r="R616" s="45" t="s">
        <v>43</v>
      </c>
      <c r="S616" s="45" t="s">
        <v>43</v>
      </c>
      <c r="T616" s="69"/>
      <c r="U616" s="49" t="s">
        <v>446</v>
      </c>
      <c r="V616" s="45" t="s">
        <v>1768</v>
      </c>
      <c r="W616" s="45">
        <v>33120100201</v>
      </c>
      <c r="X616" s="45" t="s">
        <v>1769</v>
      </c>
      <c r="Y616" s="43" t="s">
        <v>43</v>
      </c>
      <c r="Z616" s="71" t="s">
        <v>43</v>
      </c>
      <c r="AA616" s="71" t="s">
        <v>40</v>
      </c>
      <c r="AB616" s="48" t="s">
        <v>43</v>
      </c>
      <c r="AC616" s="75">
        <v>3745</v>
      </c>
      <c r="AD616" s="75">
        <v>3365</v>
      </c>
      <c r="AE616" s="80">
        <v>3290</v>
      </c>
      <c r="AF616" s="80">
        <v>2965</v>
      </c>
      <c r="AG616" s="80">
        <v>2520</v>
      </c>
    </row>
    <row r="617" ht="24" customHeight="1" spans="1:33">
      <c r="A617" s="43"/>
      <c r="B617" s="43"/>
      <c r="C617" s="43"/>
      <c r="D617" s="43"/>
      <c r="E617" s="48"/>
      <c r="F617" s="48"/>
      <c r="G617" s="43"/>
      <c r="H617" s="48"/>
      <c r="I617" s="76"/>
      <c r="J617" s="76"/>
      <c r="K617" s="54"/>
      <c r="L617" s="54"/>
      <c r="M617" s="54"/>
      <c r="N617" s="63"/>
      <c r="O617" s="63"/>
      <c r="P617" s="63"/>
      <c r="Q617" s="45"/>
      <c r="R617" s="45"/>
      <c r="S617" s="45"/>
      <c r="T617" s="69"/>
      <c r="U617" s="49"/>
      <c r="V617" s="45" t="s">
        <v>1770</v>
      </c>
      <c r="W617" s="45">
        <v>33120100301</v>
      </c>
      <c r="X617" s="45" t="s">
        <v>1771</v>
      </c>
      <c r="Y617" s="43" t="s">
        <v>43</v>
      </c>
      <c r="Z617" s="71" t="s">
        <v>43</v>
      </c>
      <c r="AA617" s="71" t="s">
        <v>40</v>
      </c>
      <c r="AB617" s="48" t="s">
        <v>43</v>
      </c>
      <c r="AC617" s="75">
        <v>3745</v>
      </c>
      <c r="AD617" s="75">
        <v>3365</v>
      </c>
      <c r="AE617" s="80">
        <v>3290</v>
      </c>
      <c r="AF617" s="80">
        <v>2965</v>
      </c>
      <c r="AG617" s="80">
        <v>2520</v>
      </c>
    </row>
    <row r="618" ht="24" customHeight="1" spans="1:33">
      <c r="A618" s="43"/>
      <c r="B618" s="43"/>
      <c r="C618" s="43"/>
      <c r="D618" s="43"/>
      <c r="E618" s="48"/>
      <c r="F618" s="48"/>
      <c r="G618" s="43"/>
      <c r="H618" s="48"/>
      <c r="I618" s="76"/>
      <c r="J618" s="76"/>
      <c r="K618" s="54"/>
      <c r="L618" s="54"/>
      <c r="M618" s="54"/>
      <c r="N618" s="63"/>
      <c r="O618" s="63"/>
      <c r="P618" s="63"/>
      <c r="Q618" s="45"/>
      <c r="R618" s="45"/>
      <c r="S618" s="45"/>
      <c r="T618" s="69"/>
      <c r="U618" s="49"/>
      <c r="V618" s="45" t="s">
        <v>1772</v>
      </c>
      <c r="W618" s="45">
        <v>33120100303</v>
      </c>
      <c r="X618" s="45" t="s">
        <v>1773</v>
      </c>
      <c r="Y618" s="43" t="s">
        <v>43</v>
      </c>
      <c r="Z618" s="71" t="s">
        <v>43</v>
      </c>
      <c r="AA618" s="71" t="s">
        <v>40</v>
      </c>
      <c r="AB618" s="48" t="s">
        <v>43</v>
      </c>
      <c r="AC618" s="75">
        <v>4545</v>
      </c>
      <c r="AD618" s="75">
        <v>4085</v>
      </c>
      <c r="AE618" s="80">
        <v>3915</v>
      </c>
      <c r="AF618" s="80">
        <v>3565</v>
      </c>
      <c r="AG618" s="80">
        <v>3030</v>
      </c>
    </row>
    <row r="619" ht="30" customHeight="1" spans="1:33">
      <c r="A619" s="46">
        <v>90</v>
      </c>
      <c r="B619" s="46" t="s">
        <v>1774</v>
      </c>
      <c r="C619" s="46" t="s">
        <v>1775</v>
      </c>
      <c r="D619" s="46" t="s">
        <v>213</v>
      </c>
      <c r="E619" s="50" t="s">
        <v>1776</v>
      </c>
      <c r="F619" s="50" t="s">
        <v>1777</v>
      </c>
      <c r="G619" s="46" t="s">
        <v>40</v>
      </c>
      <c r="H619" s="50" t="s">
        <v>43</v>
      </c>
      <c r="I619" s="53">
        <v>4779</v>
      </c>
      <c r="J619" s="53">
        <v>4301</v>
      </c>
      <c r="K619" s="58">
        <v>4127.5</v>
      </c>
      <c r="L619" s="58">
        <v>3775</v>
      </c>
      <c r="M619" s="58">
        <v>3210</v>
      </c>
      <c r="N619" s="63">
        <v>4300</v>
      </c>
      <c r="O619" s="63">
        <v>3900</v>
      </c>
      <c r="P619" s="63">
        <v>3300</v>
      </c>
      <c r="Q619" s="45" t="s">
        <v>54</v>
      </c>
      <c r="R619" s="45" t="s">
        <v>43</v>
      </c>
      <c r="S619" s="45" t="s">
        <v>43</v>
      </c>
      <c r="T619" s="69" t="s">
        <v>416</v>
      </c>
      <c r="U619" s="49" t="s">
        <v>1778</v>
      </c>
      <c r="V619" s="43" t="s">
        <v>1779</v>
      </c>
      <c r="W619" s="71">
        <v>331201001</v>
      </c>
      <c r="X619" s="43" t="s">
        <v>1780</v>
      </c>
      <c r="Y619" s="43" t="s">
        <v>1781</v>
      </c>
      <c r="Z619" s="71" t="s">
        <v>43</v>
      </c>
      <c r="AA619" s="71" t="s">
        <v>40</v>
      </c>
      <c r="AB619" s="48" t="s">
        <v>43</v>
      </c>
      <c r="AC619" s="75">
        <v>5280</v>
      </c>
      <c r="AD619" s="75">
        <v>4750</v>
      </c>
      <c r="AE619" s="80">
        <v>4540</v>
      </c>
      <c r="AF619" s="80">
        <v>4090</v>
      </c>
      <c r="AG619" s="80">
        <v>3480</v>
      </c>
    </row>
    <row r="620" ht="30" customHeight="1" spans="1:33">
      <c r="A620" s="46"/>
      <c r="B620" s="46"/>
      <c r="C620" s="46"/>
      <c r="D620" s="46"/>
      <c r="E620" s="50"/>
      <c r="F620" s="50"/>
      <c r="G620" s="46"/>
      <c r="H620" s="50"/>
      <c r="I620" s="53"/>
      <c r="J620" s="53"/>
      <c r="K620" s="58"/>
      <c r="L620" s="58"/>
      <c r="M620" s="58"/>
      <c r="N620" s="63"/>
      <c r="O620" s="63"/>
      <c r="P620" s="63"/>
      <c r="Q620" s="45"/>
      <c r="R620" s="45"/>
      <c r="S620" s="45"/>
      <c r="T620" s="69"/>
      <c r="U620" s="49"/>
      <c r="V620" s="43" t="s">
        <v>1782</v>
      </c>
      <c r="W620" s="71">
        <v>33120100102</v>
      </c>
      <c r="X620" s="43" t="s">
        <v>1783</v>
      </c>
      <c r="Y620" s="43" t="s">
        <v>43</v>
      </c>
      <c r="Z620" s="71" t="s">
        <v>43</v>
      </c>
      <c r="AA620" s="71" t="s">
        <v>40</v>
      </c>
      <c r="AB620" s="48" t="s">
        <v>43</v>
      </c>
      <c r="AC620" s="75">
        <v>6080</v>
      </c>
      <c r="AD620" s="75">
        <v>5470</v>
      </c>
      <c r="AE620" s="80">
        <v>5165</v>
      </c>
      <c r="AF620" s="80">
        <v>4690</v>
      </c>
      <c r="AG620" s="80">
        <v>3990</v>
      </c>
    </row>
    <row r="621" ht="30" customHeight="1" spans="1:34">
      <c r="A621" s="46"/>
      <c r="B621" s="46"/>
      <c r="C621" s="46"/>
      <c r="D621" s="46"/>
      <c r="E621" s="50"/>
      <c r="F621" s="50"/>
      <c r="G621" s="46"/>
      <c r="H621" s="50"/>
      <c r="I621" s="102"/>
      <c r="J621" s="102"/>
      <c r="K621" s="58"/>
      <c r="L621" s="58"/>
      <c r="M621" s="58"/>
      <c r="N621" s="63"/>
      <c r="O621" s="63"/>
      <c r="P621" s="63"/>
      <c r="Q621" s="45"/>
      <c r="R621" s="45"/>
      <c r="S621" s="45"/>
      <c r="T621" s="69"/>
      <c r="U621" s="49"/>
      <c r="V621" s="95" t="s">
        <v>1784</v>
      </c>
      <c r="W621" s="95">
        <v>330900006</v>
      </c>
      <c r="X621" s="95" t="s">
        <v>1785</v>
      </c>
      <c r="Y621" s="96" t="s">
        <v>1786</v>
      </c>
      <c r="Z621" s="97"/>
      <c r="AA621" s="97"/>
      <c r="AB621" s="98"/>
      <c r="AC621" s="99"/>
      <c r="AD621" s="99"/>
      <c r="AE621" s="99">
        <v>2075</v>
      </c>
      <c r="AF621" s="99">
        <v>1830</v>
      </c>
      <c r="AG621" s="99">
        <v>1560</v>
      </c>
      <c r="AH621" s="32" t="s">
        <v>1787</v>
      </c>
    </row>
    <row r="622" ht="30" customHeight="1" spans="1:33">
      <c r="A622" s="43" t="s">
        <v>81</v>
      </c>
      <c r="B622" s="43" t="s">
        <v>1788</v>
      </c>
      <c r="C622" s="43" t="s">
        <v>1789</v>
      </c>
      <c r="D622" s="43" t="s">
        <v>213</v>
      </c>
      <c r="E622" s="48"/>
      <c r="F622" s="48"/>
      <c r="G622" s="43" t="s">
        <v>40</v>
      </c>
      <c r="H622" s="48"/>
      <c r="I622" s="53">
        <v>600</v>
      </c>
      <c r="J622" s="53">
        <v>540</v>
      </c>
      <c r="K622" s="54"/>
      <c r="L622" s="54"/>
      <c r="M622" s="54"/>
      <c r="N622" s="63">
        <v>540</v>
      </c>
      <c r="O622" s="63">
        <v>485</v>
      </c>
      <c r="P622" s="63">
        <v>415</v>
      </c>
      <c r="Q622" s="45"/>
      <c r="R622" s="45"/>
      <c r="S622" s="45"/>
      <c r="T622" s="69"/>
      <c r="U622" s="49" t="s">
        <v>187</v>
      </c>
      <c r="V622" s="45"/>
      <c r="W622" s="45"/>
      <c r="X622" s="45"/>
      <c r="Y622" s="43"/>
      <c r="Z622" s="71"/>
      <c r="AA622" s="71"/>
      <c r="AB622" s="48"/>
      <c r="AC622" s="75"/>
      <c r="AD622" s="75"/>
      <c r="AE622" s="80"/>
      <c r="AF622" s="80"/>
      <c r="AG622" s="80"/>
    </row>
    <row r="623" ht="22" customHeight="1" spans="1:33">
      <c r="A623" s="43" t="s">
        <v>81</v>
      </c>
      <c r="B623" s="112" t="s">
        <v>1790</v>
      </c>
      <c r="C623" s="43" t="s">
        <v>1791</v>
      </c>
      <c r="D623" s="43" t="s">
        <v>213</v>
      </c>
      <c r="E623" s="48" t="s">
        <v>43</v>
      </c>
      <c r="F623" s="48" t="s">
        <v>43</v>
      </c>
      <c r="G623" s="43" t="s">
        <v>40</v>
      </c>
      <c r="H623" s="48" t="s">
        <v>43</v>
      </c>
      <c r="I623" s="53">
        <v>1434</v>
      </c>
      <c r="J623" s="53">
        <v>1290</v>
      </c>
      <c r="K623" s="54"/>
      <c r="L623" s="54"/>
      <c r="M623" s="54"/>
      <c r="N623" s="63">
        <v>1290</v>
      </c>
      <c r="O623" s="63">
        <v>1170</v>
      </c>
      <c r="P623" s="63">
        <v>990</v>
      </c>
      <c r="Q623" s="45" t="s">
        <v>54</v>
      </c>
      <c r="R623" s="45" t="s">
        <v>43</v>
      </c>
      <c r="S623" s="45" t="s">
        <v>43</v>
      </c>
      <c r="T623" s="69"/>
      <c r="U623" s="49" t="s">
        <v>446</v>
      </c>
      <c r="V623" s="45" t="s">
        <v>1792</v>
      </c>
      <c r="W623" s="45">
        <v>33120100101</v>
      </c>
      <c r="X623" s="45" t="s">
        <v>1793</v>
      </c>
      <c r="Y623" s="43" t="s">
        <v>43</v>
      </c>
      <c r="Z623" s="71" t="s">
        <v>43</v>
      </c>
      <c r="AA623" s="71" t="s">
        <v>40</v>
      </c>
      <c r="AB623" s="48" t="s">
        <v>43</v>
      </c>
      <c r="AC623" s="75">
        <v>6865</v>
      </c>
      <c r="AD623" s="75">
        <v>6175</v>
      </c>
      <c r="AE623" s="80">
        <v>5900</v>
      </c>
      <c r="AF623" s="80">
        <v>5315</v>
      </c>
      <c r="AG623" s="80">
        <v>4520</v>
      </c>
    </row>
    <row r="624" ht="22" customHeight="1" spans="1:33">
      <c r="A624" s="43"/>
      <c r="B624" s="43"/>
      <c r="C624" s="43"/>
      <c r="D624" s="43"/>
      <c r="E624" s="48"/>
      <c r="F624" s="48"/>
      <c r="G624" s="43"/>
      <c r="H624" s="48"/>
      <c r="I624" s="76"/>
      <c r="J624" s="76"/>
      <c r="K624" s="54"/>
      <c r="L624" s="54"/>
      <c r="M624" s="54"/>
      <c r="N624" s="63"/>
      <c r="O624" s="63"/>
      <c r="P624" s="63"/>
      <c r="Q624" s="45"/>
      <c r="R624" s="45"/>
      <c r="S624" s="45"/>
      <c r="T624" s="69"/>
      <c r="U624" s="49"/>
      <c r="V624" s="45" t="s">
        <v>1794</v>
      </c>
      <c r="W624" s="45">
        <v>33120100103</v>
      </c>
      <c r="X624" s="45" t="s">
        <v>1795</v>
      </c>
      <c r="Y624" s="43" t="s">
        <v>43</v>
      </c>
      <c r="Z624" s="71" t="s">
        <v>43</v>
      </c>
      <c r="AA624" s="71" t="s">
        <v>40</v>
      </c>
      <c r="AB624" s="48" t="s">
        <v>43</v>
      </c>
      <c r="AC624" s="75">
        <v>7665</v>
      </c>
      <c r="AD624" s="75">
        <v>6895</v>
      </c>
      <c r="AE624" s="80">
        <v>6525</v>
      </c>
      <c r="AF624" s="80">
        <v>5915</v>
      </c>
      <c r="AG624" s="80">
        <v>5030</v>
      </c>
    </row>
    <row r="625" ht="32" customHeight="1" spans="1:33">
      <c r="A625" s="46">
        <v>91</v>
      </c>
      <c r="B625" s="46" t="s">
        <v>1796</v>
      </c>
      <c r="C625" s="46" t="s">
        <v>1797</v>
      </c>
      <c r="D625" s="46" t="s">
        <v>213</v>
      </c>
      <c r="E625" s="50" t="s">
        <v>1798</v>
      </c>
      <c r="F625" s="50" t="s">
        <v>1799</v>
      </c>
      <c r="G625" s="46" t="s">
        <v>40</v>
      </c>
      <c r="H625" s="50" t="s">
        <v>43</v>
      </c>
      <c r="I625" s="53">
        <v>1540</v>
      </c>
      <c r="J625" s="53">
        <v>1386</v>
      </c>
      <c r="K625" s="58"/>
      <c r="L625" s="58"/>
      <c r="M625" s="58"/>
      <c r="N625" s="63">
        <v>1400</v>
      </c>
      <c r="O625" s="63">
        <v>1260</v>
      </c>
      <c r="P625" s="63">
        <v>1070</v>
      </c>
      <c r="Q625" s="45" t="s">
        <v>54</v>
      </c>
      <c r="R625" s="45" t="s">
        <v>43</v>
      </c>
      <c r="S625" s="45" t="s">
        <v>43</v>
      </c>
      <c r="T625" s="69" t="s">
        <v>67</v>
      </c>
      <c r="U625" s="49" t="s">
        <v>566</v>
      </c>
      <c r="V625" s="43" t="s">
        <v>1800</v>
      </c>
      <c r="W625" s="71">
        <v>331201005</v>
      </c>
      <c r="X625" s="43" t="s">
        <v>1801</v>
      </c>
      <c r="Y625" s="43" t="s">
        <v>43</v>
      </c>
      <c r="Z625" s="71" t="s">
        <v>43</v>
      </c>
      <c r="AA625" s="71" t="s">
        <v>40</v>
      </c>
      <c r="AB625" s="48" t="s">
        <v>1802</v>
      </c>
      <c r="AC625" s="75">
        <v>1540</v>
      </c>
      <c r="AD625" s="75">
        <v>1380</v>
      </c>
      <c r="AE625" s="80">
        <v>1350</v>
      </c>
      <c r="AF625" s="80">
        <v>1220</v>
      </c>
      <c r="AG625" s="80">
        <v>1040</v>
      </c>
    </row>
    <row r="626" ht="32" customHeight="1" spans="1:33">
      <c r="A626" s="46"/>
      <c r="B626" s="46"/>
      <c r="C626" s="46"/>
      <c r="D626" s="46"/>
      <c r="E626" s="50"/>
      <c r="F626" s="50"/>
      <c r="G626" s="46"/>
      <c r="H626" s="50"/>
      <c r="I626" s="102"/>
      <c r="J626" s="102"/>
      <c r="K626" s="58"/>
      <c r="L626" s="58"/>
      <c r="M626" s="58"/>
      <c r="N626" s="63"/>
      <c r="O626" s="63"/>
      <c r="P626" s="63"/>
      <c r="Q626" s="45"/>
      <c r="R626" s="45"/>
      <c r="S626" s="45"/>
      <c r="T626" s="69"/>
      <c r="U626" s="49"/>
      <c r="V626" s="45" t="s">
        <v>1803</v>
      </c>
      <c r="W626" s="45">
        <v>33120100501</v>
      </c>
      <c r="X626" s="45" t="s">
        <v>1804</v>
      </c>
      <c r="Y626" s="43" t="s">
        <v>43</v>
      </c>
      <c r="Z626" s="71" t="s">
        <v>43</v>
      </c>
      <c r="AA626" s="71" t="s">
        <v>40</v>
      </c>
      <c r="AB626" s="48" t="s">
        <v>325</v>
      </c>
      <c r="AC626" s="75">
        <v>2500</v>
      </c>
      <c r="AD626" s="75">
        <v>2250</v>
      </c>
      <c r="AE626" s="80">
        <v>2020</v>
      </c>
      <c r="AF626" s="80">
        <v>1820</v>
      </c>
      <c r="AG626" s="80">
        <v>1550</v>
      </c>
    </row>
    <row r="627" ht="32" customHeight="1" spans="1:33">
      <c r="A627" s="46"/>
      <c r="B627" s="46"/>
      <c r="C627" s="46"/>
      <c r="D627" s="46"/>
      <c r="E627" s="50"/>
      <c r="F627" s="50"/>
      <c r="G627" s="46"/>
      <c r="H627" s="50"/>
      <c r="I627" s="102"/>
      <c r="J627" s="102"/>
      <c r="K627" s="58"/>
      <c r="L627" s="58"/>
      <c r="M627" s="58"/>
      <c r="N627" s="63"/>
      <c r="O627" s="63"/>
      <c r="P627" s="63"/>
      <c r="Q627" s="45"/>
      <c r="R627" s="45"/>
      <c r="S627" s="45"/>
      <c r="T627" s="69"/>
      <c r="U627" s="49"/>
      <c r="V627" s="45" t="s">
        <v>1805</v>
      </c>
      <c r="W627" s="45">
        <v>33120100504</v>
      </c>
      <c r="X627" s="45" t="s">
        <v>1806</v>
      </c>
      <c r="Y627" s="43" t="s">
        <v>43</v>
      </c>
      <c r="Z627" s="71" t="s">
        <v>43</v>
      </c>
      <c r="AA627" s="71" t="s">
        <v>40</v>
      </c>
      <c r="AB627" s="48" t="s">
        <v>43</v>
      </c>
      <c r="AC627" s="75">
        <v>1790</v>
      </c>
      <c r="AD627" s="75">
        <v>1605</v>
      </c>
      <c r="AE627" s="80">
        <v>1600</v>
      </c>
      <c r="AF627" s="80">
        <v>1445</v>
      </c>
      <c r="AG627" s="80">
        <v>1230</v>
      </c>
    </row>
    <row r="628" ht="32" customHeight="1" spans="1:33">
      <c r="A628" s="46"/>
      <c r="B628" s="46"/>
      <c r="C628" s="46"/>
      <c r="D628" s="46"/>
      <c r="E628" s="50"/>
      <c r="F628" s="50"/>
      <c r="G628" s="46"/>
      <c r="H628" s="50"/>
      <c r="I628" s="102"/>
      <c r="J628" s="102"/>
      <c r="K628" s="58"/>
      <c r="L628" s="58"/>
      <c r="M628" s="58"/>
      <c r="N628" s="63"/>
      <c r="O628" s="63"/>
      <c r="P628" s="63"/>
      <c r="Q628" s="45"/>
      <c r="R628" s="45"/>
      <c r="S628" s="45"/>
      <c r="T628" s="69"/>
      <c r="U628" s="49"/>
      <c r="V628" s="45" t="s">
        <v>1807</v>
      </c>
      <c r="W628" s="45">
        <v>33120100505</v>
      </c>
      <c r="X628" s="45" t="s">
        <v>1808</v>
      </c>
      <c r="Y628" s="43" t="s">
        <v>43</v>
      </c>
      <c r="Z628" s="71" t="s">
        <v>43</v>
      </c>
      <c r="AA628" s="71" t="s">
        <v>40</v>
      </c>
      <c r="AB628" s="48" t="s">
        <v>325</v>
      </c>
      <c r="AC628" s="75">
        <v>2750</v>
      </c>
      <c r="AD628" s="75">
        <v>2475</v>
      </c>
      <c r="AE628" s="80">
        <v>2270</v>
      </c>
      <c r="AF628" s="80">
        <v>2045</v>
      </c>
      <c r="AG628" s="80">
        <v>1740</v>
      </c>
    </row>
    <row r="629" ht="20" customHeight="1" spans="1:33">
      <c r="A629" s="43" t="s">
        <v>81</v>
      </c>
      <c r="B629" s="43" t="s">
        <v>1809</v>
      </c>
      <c r="C629" s="43" t="s">
        <v>1810</v>
      </c>
      <c r="D629" s="43" t="s">
        <v>213</v>
      </c>
      <c r="E629" s="48" t="s">
        <v>43</v>
      </c>
      <c r="F629" s="48" t="s">
        <v>43</v>
      </c>
      <c r="G629" s="43" t="s">
        <v>40</v>
      </c>
      <c r="H629" s="48" t="s">
        <v>43</v>
      </c>
      <c r="I629" s="53">
        <v>392</v>
      </c>
      <c r="J629" s="53">
        <v>353</v>
      </c>
      <c r="K629" s="54"/>
      <c r="L629" s="54"/>
      <c r="M629" s="54"/>
      <c r="N629" s="63">
        <v>360</v>
      </c>
      <c r="O629" s="63">
        <v>325</v>
      </c>
      <c r="P629" s="63">
        <v>275</v>
      </c>
      <c r="Q629" s="45" t="s">
        <v>54</v>
      </c>
      <c r="R629" s="45" t="s">
        <v>43</v>
      </c>
      <c r="S629" s="45" t="s">
        <v>43</v>
      </c>
      <c r="T629" s="69"/>
      <c r="U629" s="49" t="s">
        <v>566</v>
      </c>
      <c r="V629" s="43" t="s">
        <v>1811</v>
      </c>
      <c r="W629" s="71">
        <v>331201004</v>
      </c>
      <c r="X629" s="43" t="s">
        <v>1812</v>
      </c>
      <c r="Y629" s="43" t="s">
        <v>43</v>
      </c>
      <c r="Z629" s="71" t="s">
        <v>43</v>
      </c>
      <c r="AA629" s="71" t="s">
        <v>40</v>
      </c>
      <c r="AB629" s="48" t="s">
        <v>1802</v>
      </c>
      <c r="AC629" s="75">
        <v>1540</v>
      </c>
      <c r="AD629" s="75">
        <v>1380</v>
      </c>
      <c r="AE629" s="80">
        <v>1350</v>
      </c>
      <c r="AF629" s="80">
        <v>1220</v>
      </c>
      <c r="AG629" s="80">
        <v>1040</v>
      </c>
    </row>
    <row r="630" ht="20" customHeight="1" spans="1:33">
      <c r="A630" s="43"/>
      <c r="B630" s="43"/>
      <c r="C630" s="43"/>
      <c r="D630" s="43"/>
      <c r="E630" s="48"/>
      <c r="F630" s="48"/>
      <c r="G630" s="43"/>
      <c r="H630" s="48"/>
      <c r="I630" s="76"/>
      <c r="J630" s="76"/>
      <c r="K630" s="54"/>
      <c r="L630" s="54"/>
      <c r="M630" s="54"/>
      <c r="N630" s="63"/>
      <c r="O630" s="63"/>
      <c r="P630" s="63"/>
      <c r="Q630" s="45"/>
      <c r="R630" s="45"/>
      <c r="S630" s="45"/>
      <c r="T630" s="69"/>
      <c r="U630" s="49"/>
      <c r="V630" s="45" t="s">
        <v>1813</v>
      </c>
      <c r="W630" s="45">
        <v>33120100401</v>
      </c>
      <c r="X630" s="45" t="s">
        <v>1814</v>
      </c>
      <c r="Y630" s="43" t="s">
        <v>43</v>
      </c>
      <c r="Z630" s="71" t="s">
        <v>43</v>
      </c>
      <c r="AA630" s="71" t="s">
        <v>40</v>
      </c>
      <c r="AB630" s="48" t="s">
        <v>325</v>
      </c>
      <c r="AC630" s="75">
        <v>2500</v>
      </c>
      <c r="AD630" s="75">
        <v>2250</v>
      </c>
      <c r="AE630" s="80">
        <v>2020</v>
      </c>
      <c r="AF630" s="80">
        <v>1820</v>
      </c>
      <c r="AG630" s="80">
        <v>1550</v>
      </c>
    </row>
    <row r="631" ht="20" customHeight="1" spans="1:33">
      <c r="A631" s="43"/>
      <c r="B631" s="43"/>
      <c r="C631" s="43"/>
      <c r="D631" s="43"/>
      <c r="E631" s="48"/>
      <c r="F631" s="48"/>
      <c r="G631" s="43"/>
      <c r="H631" s="48"/>
      <c r="I631" s="76"/>
      <c r="J631" s="76"/>
      <c r="K631" s="54"/>
      <c r="L631" s="54"/>
      <c r="M631" s="54"/>
      <c r="N631" s="63"/>
      <c r="O631" s="63"/>
      <c r="P631" s="63"/>
      <c r="Q631" s="45"/>
      <c r="R631" s="45"/>
      <c r="S631" s="45"/>
      <c r="T631" s="69"/>
      <c r="U631" s="49"/>
      <c r="V631" s="45" t="s">
        <v>1815</v>
      </c>
      <c r="W631" s="45">
        <v>33120100402</v>
      </c>
      <c r="X631" s="45" t="s">
        <v>1816</v>
      </c>
      <c r="Y631" s="43" t="s">
        <v>43</v>
      </c>
      <c r="Z631" s="71" t="s">
        <v>43</v>
      </c>
      <c r="AA631" s="71" t="s">
        <v>40</v>
      </c>
      <c r="AB631" s="48" t="s">
        <v>43</v>
      </c>
      <c r="AC631" s="75">
        <v>2000</v>
      </c>
      <c r="AD631" s="75">
        <v>1795</v>
      </c>
      <c r="AE631" s="80">
        <v>1755</v>
      </c>
      <c r="AF631" s="80">
        <v>1585</v>
      </c>
      <c r="AG631" s="80">
        <v>1345</v>
      </c>
    </row>
    <row r="632" ht="20" customHeight="1" spans="1:33">
      <c r="A632" s="43"/>
      <c r="B632" s="43"/>
      <c r="C632" s="43"/>
      <c r="D632" s="43"/>
      <c r="E632" s="48"/>
      <c r="F632" s="48"/>
      <c r="G632" s="43"/>
      <c r="H632" s="48"/>
      <c r="I632" s="76"/>
      <c r="J632" s="76"/>
      <c r="K632" s="54"/>
      <c r="L632" s="54"/>
      <c r="M632" s="54"/>
      <c r="N632" s="63"/>
      <c r="O632" s="63"/>
      <c r="P632" s="63"/>
      <c r="Q632" s="45"/>
      <c r="R632" s="45"/>
      <c r="S632" s="45"/>
      <c r="T632" s="69"/>
      <c r="U632" s="49"/>
      <c r="V632" s="45" t="s">
        <v>1817</v>
      </c>
      <c r="W632" s="45">
        <v>33120100403</v>
      </c>
      <c r="X632" s="45" t="s">
        <v>1818</v>
      </c>
      <c r="Y632" s="43" t="s">
        <v>43</v>
      </c>
      <c r="Z632" s="71" t="s">
        <v>43</v>
      </c>
      <c r="AA632" s="71" t="s">
        <v>40</v>
      </c>
      <c r="AB632" s="48" t="s">
        <v>325</v>
      </c>
      <c r="AC632" s="75">
        <v>3250</v>
      </c>
      <c r="AD632" s="75">
        <v>2925</v>
      </c>
      <c r="AE632" s="80">
        <v>2625</v>
      </c>
      <c r="AF632" s="80">
        <v>2365</v>
      </c>
      <c r="AG632" s="80">
        <v>2010</v>
      </c>
    </row>
    <row r="633" ht="20" customHeight="1" spans="1:33">
      <c r="A633" s="43"/>
      <c r="B633" s="43"/>
      <c r="C633" s="43"/>
      <c r="D633" s="43"/>
      <c r="E633" s="48"/>
      <c r="F633" s="48"/>
      <c r="G633" s="43"/>
      <c r="H633" s="48"/>
      <c r="I633" s="76"/>
      <c r="J633" s="76"/>
      <c r="K633" s="54"/>
      <c r="L633" s="54"/>
      <c r="M633" s="54"/>
      <c r="N633" s="63"/>
      <c r="O633" s="63"/>
      <c r="P633" s="63"/>
      <c r="Q633" s="45"/>
      <c r="R633" s="45"/>
      <c r="S633" s="45"/>
      <c r="T633" s="69"/>
      <c r="U633" s="49"/>
      <c r="V633" s="45" t="s">
        <v>1819</v>
      </c>
      <c r="W633" s="45">
        <v>33120100404</v>
      </c>
      <c r="X633" s="45" t="s">
        <v>1820</v>
      </c>
      <c r="Y633" s="43" t="s">
        <v>43</v>
      </c>
      <c r="Z633" s="71" t="s">
        <v>43</v>
      </c>
      <c r="AA633" s="71" t="s">
        <v>40</v>
      </c>
      <c r="AB633" s="48" t="s">
        <v>43</v>
      </c>
      <c r="AC633" s="75">
        <v>2340</v>
      </c>
      <c r="AD633" s="75">
        <v>2100</v>
      </c>
      <c r="AE633" s="80">
        <v>1975</v>
      </c>
      <c r="AF633" s="80">
        <v>1820</v>
      </c>
      <c r="AG633" s="80">
        <v>1550</v>
      </c>
    </row>
    <row r="634" ht="20" customHeight="1" spans="1:33">
      <c r="A634" s="43"/>
      <c r="B634" s="43"/>
      <c r="C634" s="43"/>
      <c r="D634" s="43"/>
      <c r="E634" s="48"/>
      <c r="F634" s="48"/>
      <c r="G634" s="43"/>
      <c r="H634" s="48"/>
      <c r="I634" s="76"/>
      <c r="J634" s="76"/>
      <c r="K634" s="54"/>
      <c r="L634" s="54"/>
      <c r="M634" s="54"/>
      <c r="N634" s="63"/>
      <c r="O634" s="63"/>
      <c r="P634" s="63"/>
      <c r="Q634" s="45"/>
      <c r="R634" s="45"/>
      <c r="S634" s="45"/>
      <c r="T634" s="69"/>
      <c r="U634" s="49"/>
      <c r="V634" s="45" t="s">
        <v>1821</v>
      </c>
      <c r="W634" s="45">
        <v>33120100405</v>
      </c>
      <c r="X634" s="45" t="s">
        <v>1822</v>
      </c>
      <c r="Y634" s="43" t="s">
        <v>43</v>
      </c>
      <c r="Z634" s="71" t="s">
        <v>43</v>
      </c>
      <c r="AA634" s="71" t="s">
        <v>40</v>
      </c>
      <c r="AB634" s="48" t="s">
        <v>325</v>
      </c>
      <c r="AC634" s="75">
        <v>3300</v>
      </c>
      <c r="AD634" s="75">
        <v>2970</v>
      </c>
      <c r="AE634" s="80">
        <v>2645</v>
      </c>
      <c r="AF634" s="80">
        <v>2420</v>
      </c>
      <c r="AG634" s="80">
        <v>2060</v>
      </c>
    </row>
    <row r="635" ht="20" customHeight="1" spans="1:33">
      <c r="A635" s="43"/>
      <c r="B635" s="43"/>
      <c r="C635" s="43"/>
      <c r="D635" s="43"/>
      <c r="E635" s="48"/>
      <c r="F635" s="48"/>
      <c r="G635" s="43"/>
      <c r="H635" s="48"/>
      <c r="I635" s="76"/>
      <c r="J635" s="76"/>
      <c r="K635" s="54"/>
      <c r="L635" s="54"/>
      <c r="M635" s="54"/>
      <c r="N635" s="63"/>
      <c r="O635" s="63"/>
      <c r="P635" s="63"/>
      <c r="Q635" s="45"/>
      <c r="R635" s="45"/>
      <c r="S635" s="45"/>
      <c r="T635" s="69"/>
      <c r="U635" s="49"/>
      <c r="V635" s="45" t="s">
        <v>1823</v>
      </c>
      <c r="W635" s="45">
        <v>33120100406</v>
      </c>
      <c r="X635" s="45" t="s">
        <v>1824</v>
      </c>
      <c r="Y635" s="43" t="s">
        <v>43</v>
      </c>
      <c r="Z635" s="71" t="s">
        <v>43</v>
      </c>
      <c r="AA635" s="71" t="s">
        <v>40</v>
      </c>
      <c r="AB635" s="48" t="s">
        <v>43</v>
      </c>
      <c r="AC635" s="75">
        <v>2800</v>
      </c>
      <c r="AD635" s="75">
        <v>2515</v>
      </c>
      <c r="AE635" s="80">
        <v>2380</v>
      </c>
      <c r="AF635" s="80">
        <v>2185</v>
      </c>
      <c r="AG635" s="80">
        <v>1855</v>
      </c>
    </row>
    <row r="636" ht="20" customHeight="1" spans="1:33">
      <c r="A636" s="43"/>
      <c r="B636" s="43"/>
      <c r="C636" s="43"/>
      <c r="D636" s="43"/>
      <c r="E636" s="48"/>
      <c r="F636" s="48"/>
      <c r="G636" s="43"/>
      <c r="H636" s="48"/>
      <c r="I636" s="76"/>
      <c r="J636" s="76"/>
      <c r="K636" s="54"/>
      <c r="L636" s="54"/>
      <c r="M636" s="54"/>
      <c r="N636" s="63"/>
      <c r="O636" s="63"/>
      <c r="P636" s="63"/>
      <c r="Q636" s="45"/>
      <c r="R636" s="45"/>
      <c r="S636" s="45"/>
      <c r="T636" s="69"/>
      <c r="U636" s="49"/>
      <c r="V636" s="45" t="s">
        <v>1825</v>
      </c>
      <c r="W636" s="45">
        <v>33120100407</v>
      </c>
      <c r="X636" s="45" t="s">
        <v>1826</v>
      </c>
      <c r="Y636" s="43" t="s">
        <v>43</v>
      </c>
      <c r="Z636" s="71" t="s">
        <v>43</v>
      </c>
      <c r="AA636" s="71" t="s">
        <v>40</v>
      </c>
      <c r="AB636" s="48" t="s">
        <v>325</v>
      </c>
      <c r="AC636" s="75">
        <v>4050</v>
      </c>
      <c r="AD636" s="75">
        <v>3645</v>
      </c>
      <c r="AE636" s="80">
        <v>3250</v>
      </c>
      <c r="AF636" s="80">
        <v>2965</v>
      </c>
      <c r="AG636" s="80">
        <v>2520</v>
      </c>
    </row>
    <row r="637" ht="20" customHeight="1" spans="1:33">
      <c r="A637" s="43" t="s">
        <v>81</v>
      </c>
      <c r="B637" s="43" t="s">
        <v>1827</v>
      </c>
      <c r="C637" s="43" t="s">
        <v>1828</v>
      </c>
      <c r="D637" s="43" t="s">
        <v>213</v>
      </c>
      <c r="E637" s="48" t="s">
        <v>43</v>
      </c>
      <c r="F637" s="48" t="s">
        <v>43</v>
      </c>
      <c r="G637" s="43" t="s">
        <v>40</v>
      </c>
      <c r="H637" s="48" t="s">
        <v>43</v>
      </c>
      <c r="I637" s="53">
        <v>462</v>
      </c>
      <c r="J637" s="53">
        <v>416</v>
      </c>
      <c r="K637" s="54"/>
      <c r="L637" s="54"/>
      <c r="M637" s="54"/>
      <c r="N637" s="63">
        <v>420</v>
      </c>
      <c r="O637" s="63">
        <v>380</v>
      </c>
      <c r="P637" s="63">
        <v>320</v>
      </c>
      <c r="Q637" s="45" t="s">
        <v>54</v>
      </c>
      <c r="R637" s="45" t="s">
        <v>43</v>
      </c>
      <c r="S637" s="45" t="s">
        <v>43</v>
      </c>
      <c r="T637" s="69"/>
      <c r="U637" s="49"/>
      <c r="V637" s="45" t="s">
        <v>1829</v>
      </c>
      <c r="W637" s="45">
        <v>33120100502</v>
      </c>
      <c r="X637" s="45" t="s">
        <v>1830</v>
      </c>
      <c r="Y637" s="43" t="s">
        <v>43</v>
      </c>
      <c r="Z637" s="71" t="s">
        <v>43</v>
      </c>
      <c r="AA637" s="71" t="s">
        <v>40</v>
      </c>
      <c r="AB637" s="48" t="s">
        <v>43</v>
      </c>
      <c r="AC637" s="75">
        <v>2000</v>
      </c>
      <c r="AD637" s="75">
        <v>1795</v>
      </c>
      <c r="AE637" s="80">
        <v>1755</v>
      </c>
      <c r="AF637" s="80">
        <v>1585</v>
      </c>
      <c r="AG637" s="80">
        <v>1345</v>
      </c>
    </row>
    <row r="638" ht="20" customHeight="1" spans="1:33">
      <c r="A638" s="43"/>
      <c r="B638" s="43"/>
      <c r="C638" s="43"/>
      <c r="D638" s="43"/>
      <c r="E638" s="48"/>
      <c r="F638" s="48"/>
      <c r="G638" s="43"/>
      <c r="H638" s="48"/>
      <c r="I638" s="76"/>
      <c r="J638" s="76"/>
      <c r="K638" s="54"/>
      <c r="L638" s="54"/>
      <c r="M638" s="54"/>
      <c r="N638" s="63"/>
      <c r="O638" s="63"/>
      <c r="P638" s="63"/>
      <c r="Q638" s="45"/>
      <c r="R638" s="45"/>
      <c r="S638" s="45"/>
      <c r="T638" s="69"/>
      <c r="U638" s="49"/>
      <c r="V638" s="45" t="s">
        <v>1831</v>
      </c>
      <c r="W638" s="45">
        <v>33120100503</v>
      </c>
      <c r="X638" s="45" t="s">
        <v>1832</v>
      </c>
      <c r="Y638" s="43" t="s">
        <v>43</v>
      </c>
      <c r="Z638" s="71" t="s">
        <v>43</v>
      </c>
      <c r="AA638" s="71" t="s">
        <v>40</v>
      </c>
      <c r="AB638" s="48" t="s">
        <v>325</v>
      </c>
      <c r="AC638" s="75">
        <v>3250</v>
      </c>
      <c r="AD638" s="75">
        <v>2925</v>
      </c>
      <c r="AE638" s="80">
        <v>2625</v>
      </c>
      <c r="AF638" s="80">
        <v>2365</v>
      </c>
      <c r="AG638" s="80">
        <v>2010</v>
      </c>
    </row>
    <row r="639" ht="20" customHeight="1" spans="1:33">
      <c r="A639" s="43"/>
      <c r="B639" s="43"/>
      <c r="C639" s="43"/>
      <c r="D639" s="43"/>
      <c r="E639" s="48"/>
      <c r="F639" s="48"/>
      <c r="G639" s="43"/>
      <c r="H639" s="48"/>
      <c r="I639" s="76"/>
      <c r="J639" s="76"/>
      <c r="K639" s="54"/>
      <c r="L639" s="54"/>
      <c r="M639" s="54"/>
      <c r="N639" s="63"/>
      <c r="O639" s="63"/>
      <c r="P639" s="63"/>
      <c r="Q639" s="45"/>
      <c r="R639" s="45"/>
      <c r="S639" s="45"/>
      <c r="T639" s="69"/>
      <c r="U639" s="49"/>
      <c r="V639" s="45" t="s">
        <v>1833</v>
      </c>
      <c r="W639" s="45">
        <v>33120100506</v>
      </c>
      <c r="X639" s="45" t="s">
        <v>1834</v>
      </c>
      <c r="Y639" s="43" t="s">
        <v>43</v>
      </c>
      <c r="Z639" s="71" t="s">
        <v>43</v>
      </c>
      <c r="AA639" s="71" t="s">
        <v>40</v>
      </c>
      <c r="AB639" s="48" t="s">
        <v>43</v>
      </c>
      <c r="AC639" s="75">
        <v>2250</v>
      </c>
      <c r="AD639" s="75">
        <v>2020</v>
      </c>
      <c r="AE639" s="80">
        <v>2005</v>
      </c>
      <c r="AF639" s="80">
        <v>1810</v>
      </c>
      <c r="AG639" s="80">
        <v>1535</v>
      </c>
    </row>
    <row r="640" ht="20" customHeight="1" spans="1:33">
      <c r="A640" s="43"/>
      <c r="B640" s="43"/>
      <c r="C640" s="43"/>
      <c r="D640" s="43"/>
      <c r="E640" s="48"/>
      <c r="F640" s="48"/>
      <c r="G640" s="43"/>
      <c r="H640" s="48"/>
      <c r="I640" s="76"/>
      <c r="J640" s="76"/>
      <c r="K640" s="54"/>
      <c r="L640" s="54"/>
      <c r="M640" s="54"/>
      <c r="N640" s="63"/>
      <c r="O640" s="63"/>
      <c r="P640" s="63"/>
      <c r="Q640" s="45"/>
      <c r="R640" s="45"/>
      <c r="S640" s="45"/>
      <c r="T640" s="69"/>
      <c r="U640" s="49"/>
      <c r="V640" s="45" t="s">
        <v>1835</v>
      </c>
      <c r="W640" s="45">
        <v>33120100507</v>
      </c>
      <c r="X640" s="45" t="s">
        <v>1836</v>
      </c>
      <c r="Y640" s="43" t="s">
        <v>43</v>
      </c>
      <c r="Z640" s="71" t="s">
        <v>43</v>
      </c>
      <c r="AA640" s="71" t="s">
        <v>40</v>
      </c>
      <c r="AB640" s="48" t="s">
        <v>325</v>
      </c>
      <c r="AC640" s="75">
        <v>3500</v>
      </c>
      <c r="AD640" s="75">
        <v>3150</v>
      </c>
      <c r="AE640" s="80">
        <v>2875</v>
      </c>
      <c r="AF640" s="80">
        <v>2590</v>
      </c>
      <c r="AG640" s="80">
        <v>2200</v>
      </c>
    </row>
    <row r="641" ht="66" customHeight="1" spans="1:33">
      <c r="A641" s="46">
        <v>92</v>
      </c>
      <c r="B641" s="46" t="s">
        <v>1837</v>
      </c>
      <c r="C641" s="46" t="s">
        <v>1838</v>
      </c>
      <c r="D641" s="46" t="s">
        <v>213</v>
      </c>
      <c r="E641" s="50" t="s">
        <v>1839</v>
      </c>
      <c r="F641" s="50" t="s">
        <v>1840</v>
      </c>
      <c r="G641" s="46" t="s">
        <v>40</v>
      </c>
      <c r="H641" s="50" t="s">
        <v>43</v>
      </c>
      <c r="I641" s="53">
        <v>625</v>
      </c>
      <c r="J641" s="53">
        <v>563</v>
      </c>
      <c r="K641" s="58">
        <v>625</v>
      </c>
      <c r="L641" s="58">
        <v>600</v>
      </c>
      <c r="M641" s="58">
        <v>510</v>
      </c>
      <c r="N641" s="63">
        <v>600</v>
      </c>
      <c r="O641" s="63">
        <v>560</v>
      </c>
      <c r="P641" s="63">
        <v>480</v>
      </c>
      <c r="Q641" s="45" t="s">
        <v>54</v>
      </c>
      <c r="R641" s="45" t="s">
        <v>43</v>
      </c>
      <c r="S641" s="45" t="s">
        <v>43</v>
      </c>
      <c r="T641" s="69" t="s">
        <v>76</v>
      </c>
      <c r="U641" s="49" t="s">
        <v>1637</v>
      </c>
      <c r="V641" s="43" t="s">
        <v>1841</v>
      </c>
      <c r="W641" s="71">
        <v>331202004</v>
      </c>
      <c r="X641" s="81" t="s">
        <v>1842</v>
      </c>
      <c r="Y641" s="43" t="s">
        <v>43</v>
      </c>
      <c r="Z641" s="71" t="s">
        <v>43</v>
      </c>
      <c r="AA641" s="71" t="s">
        <v>40</v>
      </c>
      <c r="AB641" s="48" t="s">
        <v>43</v>
      </c>
      <c r="AC641" s="75">
        <v>625</v>
      </c>
      <c r="AD641" s="75">
        <v>565</v>
      </c>
      <c r="AE641" s="80">
        <v>625</v>
      </c>
      <c r="AF641" s="80">
        <v>600</v>
      </c>
      <c r="AG641" s="80">
        <v>510</v>
      </c>
    </row>
    <row r="642" ht="38" customHeight="1" spans="1:33">
      <c r="A642" s="43" t="s">
        <v>81</v>
      </c>
      <c r="B642" s="43" t="s">
        <v>1843</v>
      </c>
      <c r="C642" s="43" t="s">
        <v>1844</v>
      </c>
      <c r="D642" s="43" t="s">
        <v>213</v>
      </c>
      <c r="E642" s="48" t="s">
        <v>43</v>
      </c>
      <c r="F642" s="48" t="s">
        <v>43</v>
      </c>
      <c r="G642" s="43" t="s">
        <v>40</v>
      </c>
      <c r="H642" s="48" t="s">
        <v>43</v>
      </c>
      <c r="I642" s="53">
        <v>1300</v>
      </c>
      <c r="J642" s="53">
        <v>1170</v>
      </c>
      <c r="K642" s="54"/>
      <c r="L642" s="54"/>
      <c r="M642" s="54"/>
      <c r="N642" s="63">
        <v>1200</v>
      </c>
      <c r="O642" s="63">
        <v>1080</v>
      </c>
      <c r="P642" s="63">
        <v>920</v>
      </c>
      <c r="Q642" s="45" t="s">
        <v>54</v>
      </c>
      <c r="R642" s="45" t="s">
        <v>43</v>
      </c>
      <c r="S642" s="45" t="s">
        <v>43</v>
      </c>
      <c r="T642" s="69"/>
      <c r="U642" s="49" t="s">
        <v>187</v>
      </c>
      <c r="V642" s="43" t="s">
        <v>198</v>
      </c>
      <c r="W642" s="71" t="s">
        <v>198</v>
      </c>
      <c r="X642" s="43" t="s">
        <v>198</v>
      </c>
      <c r="Y642" s="43"/>
      <c r="Z642" s="71"/>
      <c r="AA642" s="71"/>
      <c r="AB642" s="48"/>
      <c r="AC642" s="74"/>
      <c r="AD642" s="74"/>
      <c r="AE642" s="78"/>
      <c r="AF642" s="78"/>
      <c r="AG642" s="78"/>
    </row>
    <row r="643" ht="47" customHeight="1" spans="1:33">
      <c r="A643" s="43" t="s">
        <v>81</v>
      </c>
      <c r="B643" s="43" t="s">
        <v>1845</v>
      </c>
      <c r="C643" s="43" t="s">
        <v>1846</v>
      </c>
      <c r="D643" s="43" t="s">
        <v>213</v>
      </c>
      <c r="E643" s="48" t="s">
        <v>43</v>
      </c>
      <c r="F643" s="48" t="s">
        <v>43</v>
      </c>
      <c r="G643" s="43" t="s">
        <v>40</v>
      </c>
      <c r="H643" s="48" t="s">
        <v>43</v>
      </c>
      <c r="I643" s="53">
        <v>188</v>
      </c>
      <c r="J643" s="53">
        <v>169</v>
      </c>
      <c r="K643" s="54">
        <v>215</v>
      </c>
      <c r="L643" s="54">
        <v>220</v>
      </c>
      <c r="M643" s="54">
        <v>185</v>
      </c>
      <c r="N643" s="63">
        <v>180</v>
      </c>
      <c r="O643" s="63">
        <v>165</v>
      </c>
      <c r="P643" s="63">
        <v>145</v>
      </c>
      <c r="Q643" s="45" t="s">
        <v>54</v>
      </c>
      <c r="R643" s="45" t="s">
        <v>43</v>
      </c>
      <c r="S643" s="45" t="s">
        <v>43</v>
      </c>
      <c r="T643" s="69"/>
      <c r="U643" s="49" t="s">
        <v>446</v>
      </c>
      <c r="V643" s="45" t="s">
        <v>1847</v>
      </c>
      <c r="W643" s="45">
        <v>33120200401</v>
      </c>
      <c r="X643" s="45" t="s">
        <v>1848</v>
      </c>
      <c r="Y643" s="43" t="s">
        <v>43</v>
      </c>
      <c r="Z643" s="71" t="s">
        <v>43</v>
      </c>
      <c r="AA643" s="71" t="s">
        <v>40</v>
      </c>
      <c r="AB643" s="48" t="s">
        <v>43</v>
      </c>
      <c r="AC643" s="75">
        <v>815</v>
      </c>
      <c r="AD643" s="75">
        <v>735</v>
      </c>
      <c r="AE643" s="80">
        <v>815</v>
      </c>
      <c r="AF643" s="80">
        <v>780</v>
      </c>
      <c r="AG643" s="80">
        <v>665</v>
      </c>
    </row>
    <row r="644" ht="33" customHeight="1" spans="1:33">
      <c r="A644" s="46">
        <v>93</v>
      </c>
      <c r="B644" s="46" t="s">
        <v>1849</v>
      </c>
      <c r="C644" s="46" t="s">
        <v>1850</v>
      </c>
      <c r="D644" s="46" t="s">
        <v>213</v>
      </c>
      <c r="E644" s="50" t="s">
        <v>1851</v>
      </c>
      <c r="F644" s="50" t="s">
        <v>1852</v>
      </c>
      <c r="G644" s="46" t="s">
        <v>40</v>
      </c>
      <c r="H644" s="50" t="s">
        <v>43</v>
      </c>
      <c r="I644" s="53">
        <v>250</v>
      </c>
      <c r="J644" s="53">
        <v>225</v>
      </c>
      <c r="K644" s="58">
        <v>250</v>
      </c>
      <c r="L644" s="58">
        <v>240</v>
      </c>
      <c r="M644" s="58">
        <v>204</v>
      </c>
      <c r="N644" s="63">
        <v>250</v>
      </c>
      <c r="O644" s="63">
        <v>225</v>
      </c>
      <c r="P644" s="63">
        <v>190</v>
      </c>
      <c r="Q644" s="45" t="s">
        <v>54</v>
      </c>
      <c r="R644" s="45" t="s">
        <v>43</v>
      </c>
      <c r="S644" s="45" t="s">
        <v>43</v>
      </c>
      <c r="T644" s="69" t="s">
        <v>67</v>
      </c>
      <c r="U644" s="49" t="s">
        <v>77</v>
      </c>
      <c r="V644" s="43" t="s">
        <v>1853</v>
      </c>
      <c r="W644" s="71">
        <v>331202001</v>
      </c>
      <c r="X644" s="43" t="s">
        <v>1854</v>
      </c>
      <c r="Y644" s="43" t="s">
        <v>43</v>
      </c>
      <c r="Z644" s="71" t="s">
        <v>43</v>
      </c>
      <c r="AA644" s="71" t="s">
        <v>40</v>
      </c>
      <c r="AB644" s="48" t="s">
        <v>43</v>
      </c>
      <c r="AC644" s="75">
        <v>250</v>
      </c>
      <c r="AD644" s="75">
        <v>225</v>
      </c>
      <c r="AE644" s="80">
        <v>250</v>
      </c>
      <c r="AF644" s="80">
        <v>240</v>
      </c>
      <c r="AG644" s="80">
        <v>204</v>
      </c>
    </row>
    <row r="645" ht="33" customHeight="1" spans="1:33">
      <c r="A645" s="46"/>
      <c r="B645" s="46"/>
      <c r="C645" s="46"/>
      <c r="D645" s="46"/>
      <c r="E645" s="50"/>
      <c r="F645" s="50"/>
      <c r="G645" s="46"/>
      <c r="H645" s="50"/>
      <c r="I645" s="102"/>
      <c r="J645" s="102"/>
      <c r="K645" s="58"/>
      <c r="L645" s="58"/>
      <c r="M645" s="58"/>
      <c r="N645" s="63"/>
      <c r="O645" s="63"/>
      <c r="P645" s="63"/>
      <c r="Q645" s="45"/>
      <c r="R645" s="45"/>
      <c r="S645" s="45"/>
      <c r="T645" s="69"/>
      <c r="U645" s="49"/>
      <c r="V645" s="43" t="s">
        <v>1855</v>
      </c>
      <c r="W645" s="71">
        <v>331202002</v>
      </c>
      <c r="X645" s="43" t="s">
        <v>1856</v>
      </c>
      <c r="Y645" s="43" t="s">
        <v>1857</v>
      </c>
      <c r="Z645" s="71" t="s">
        <v>43</v>
      </c>
      <c r="AA645" s="71" t="s">
        <v>40</v>
      </c>
      <c r="AB645" s="48" t="s">
        <v>43</v>
      </c>
      <c r="AC645" s="75">
        <v>250</v>
      </c>
      <c r="AD645" s="75">
        <v>225</v>
      </c>
      <c r="AE645" s="80">
        <v>250</v>
      </c>
      <c r="AF645" s="80">
        <v>240</v>
      </c>
      <c r="AG645" s="80">
        <v>204</v>
      </c>
    </row>
    <row r="646" ht="22" customHeight="1" spans="1:33">
      <c r="A646" s="43" t="s">
        <v>81</v>
      </c>
      <c r="B646" s="43" t="s">
        <v>1858</v>
      </c>
      <c r="C646" s="43" t="s">
        <v>1859</v>
      </c>
      <c r="D646" s="43" t="s">
        <v>213</v>
      </c>
      <c r="E646" s="48" t="s">
        <v>43</v>
      </c>
      <c r="F646" s="48" t="s">
        <v>43</v>
      </c>
      <c r="G646" s="43" t="s">
        <v>40</v>
      </c>
      <c r="H646" s="48" t="s">
        <v>43</v>
      </c>
      <c r="I646" s="53">
        <v>75</v>
      </c>
      <c r="J646" s="53">
        <v>68</v>
      </c>
      <c r="K646" s="54"/>
      <c r="L646" s="54"/>
      <c r="M646" s="54"/>
      <c r="N646" s="63">
        <v>75</v>
      </c>
      <c r="O646" s="63">
        <v>68</v>
      </c>
      <c r="P646" s="63">
        <v>57</v>
      </c>
      <c r="Q646" s="45" t="s">
        <v>54</v>
      </c>
      <c r="R646" s="45" t="s">
        <v>43</v>
      </c>
      <c r="S646" s="45" t="s">
        <v>43</v>
      </c>
      <c r="T646" s="69"/>
      <c r="U646" s="49" t="s">
        <v>446</v>
      </c>
      <c r="V646" s="45" t="s">
        <v>1860</v>
      </c>
      <c r="W646" s="45">
        <v>33120200101</v>
      </c>
      <c r="X646" s="45" t="s">
        <v>1861</v>
      </c>
      <c r="Y646" s="43" t="s">
        <v>43</v>
      </c>
      <c r="Z646" s="71" t="s">
        <v>43</v>
      </c>
      <c r="AA646" s="71" t="s">
        <v>40</v>
      </c>
      <c r="AB646" s="48" t="s">
        <v>43</v>
      </c>
      <c r="AC646" s="75">
        <v>325</v>
      </c>
      <c r="AD646" s="75">
        <v>295</v>
      </c>
      <c r="AE646" s="80">
        <v>325</v>
      </c>
      <c r="AF646" s="80">
        <v>310</v>
      </c>
      <c r="AG646" s="80">
        <v>265</v>
      </c>
    </row>
    <row r="647" ht="22" customHeight="1" spans="1:33">
      <c r="A647" s="43"/>
      <c r="B647" s="43"/>
      <c r="C647" s="43"/>
      <c r="D647" s="43"/>
      <c r="E647" s="48"/>
      <c r="F647" s="48"/>
      <c r="G647" s="43"/>
      <c r="H647" s="48"/>
      <c r="I647" s="76"/>
      <c r="J647" s="76"/>
      <c r="K647" s="54"/>
      <c r="L647" s="54"/>
      <c r="M647" s="54"/>
      <c r="N647" s="63"/>
      <c r="O647" s="63"/>
      <c r="P647" s="63"/>
      <c r="Q647" s="45"/>
      <c r="R647" s="45"/>
      <c r="S647" s="45"/>
      <c r="T647" s="69"/>
      <c r="U647" s="49"/>
      <c r="V647" s="45" t="s">
        <v>1862</v>
      </c>
      <c r="W647" s="45">
        <v>33120200201</v>
      </c>
      <c r="X647" s="45" t="s">
        <v>1863</v>
      </c>
      <c r="Y647" s="43" t="s">
        <v>43</v>
      </c>
      <c r="Z647" s="71" t="s">
        <v>43</v>
      </c>
      <c r="AA647" s="71" t="s">
        <v>40</v>
      </c>
      <c r="AB647" s="48" t="s">
        <v>43</v>
      </c>
      <c r="AC647" s="75">
        <v>325</v>
      </c>
      <c r="AD647" s="75">
        <v>295</v>
      </c>
      <c r="AE647" s="80">
        <v>325</v>
      </c>
      <c r="AF647" s="80">
        <v>310</v>
      </c>
      <c r="AG647" s="80">
        <v>265</v>
      </c>
    </row>
    <row r="648" ht="47" customHeight="1" spans="1:33">
      <c r="A648" s="46">
        <v>94</v>
      </c>
      <c r="B648" s="46" t="s">
        <v>1864</v>
      </c>
      <c r="C648" s="46" t="s">
        <v>1865</v>
      </c>
      <c r="D648" s="46" t="s">
        <v>127</v>
      </c>
      <c r="E648" s="50" t="s">
        <v>1866</v>
      </c>
      <c r="F648" s="50" t="s">
        <v>1867</v>
      </c>
      <c r="G648" s="46" t="s">
        <v>40</v>
      </c>
      <c r="H648" s="50" t="s">
        <v>43</v>
      </c>
      <c r="I648" s="53">
        <v>22</v>
      </c>
      <c r="J648" s="53">
        <v>20</v>
      </c>
      <c r="K648" s="58">
        <v>22</v>
      </c>
      <c r="L648" s="58">
        <v>20</v>
      </c>
      <c r="M648" s="58">
        <v>17</v>
      </c>
      <c r="N648" s="63">
        <v>22</v>
      </c>
      <c r="O648" s="63">
        <v>20</v>
      </c>
      <c r="P648" s="63">
        <v>17</v>
      </c>
      <c r="Q648" s="45" t="s">
        <v>42</v>
      </c>
      <c r="R648" s="45" t="s">
        <v>43</v>
      </c>
      <c r="S648" s="45" t="s">
        <v>43</v>
      </c>
      <c r="T648" s="69" t="s">
        <v>55</v>
      </c>
      <c r="U648" s="49" t="s">
        <v>1745</v>
      </c>
      <c r="V648" s="43" t="s">
        <v>1868</v>
      </c>
      <c r="W648" s="71">
        <v>311100009</v>
      </c>
      <c r="X648" s="43" t="s">
        <v>1869</v>
      </c>
      <c r="Y648" s="43" t="s">
        <v>43</v>
      </c>
      <c r="Z648" s="71" t="s">
        <v>43</v>
      </c>
      <c r="AA648" s="71" t="s">
        <v>40</v>
      </c>
      <c r="AB648" s="48" t="s">
        <v>43</v>
      </c>
      <c r="AC648" s="75">
        <v>22</v>
      </c>
      <c r="AD648" s="75">
        <v>20</v>
      </c>
      <c r="AE648" s="80">
        <v>22</v>
      </c>
      <c r="AF648" s="80">
        <v>20</v>
      </c>
      <c r="AG648" s="80">
        <v>17</v>
      </c>
    </row>
    <row r="649" ht="47" customHeight="1" spans="1:33">
      <c r="A649" s="46">
        <v>95</v>
      </c>
      <c r="B649" s="46" t="s">
        <v>1870</v>
      </c>
      <c r="C649" s="46" t="s">
        <v>1871</v>
      </c>
      <c r="D649" s="46" t="s">
        <v>127</v>
      </c>
      <c r="E649" s="50" t="s">
        <v>1872</v>
      </c>
      <c r="F649" s="50" t="s">
        <v>1873</v>
      </c>
      <c r="G649" s="46" t="s">
        <v>40</v>
      </c>
      <c r="H649" s="50" t="s">
        <v>43</v>
      </c>
      <c r="I649" s="53">
        <v>198</v>
      </c>
      <c r="J649" s="53">
        <v>180</v>
      </c>
      <c r="K649" s="58">
        <v>198</v>
      </c>
      <c r="L649" s="58">
        <v>180</v>
      </c>
      <c r="M649" s="58">
        <v>153</v>
      </c>
      <c r="N649" s="63">
        <v>190</v>
      </c>
      <c r="O649" s="63">
        <v>175</v>
      </c>
      <c r="P649" s="63">
        <v>150</v>
      </c>
      <c r="Q649" s="45" t="s">
        <v>42</v>
      </c>
      <c r="R649" s="45" t="s">
        <v>43</v>
      </c>
      <c r="S649" s="45" t="s">
        <v>43</v>
      </c>
      <c r="T649" s="69" t="s">
        <v>76</v>
      </c>
      <c r="U649" s="49" t="s">
        <v>1734</v>
      </c>
      <c r="V649" s="43" t="s">
        <v>1874</v>
      </c>
      <c r="W649" s="71">
        <v>311100012</v>
      </c>
      <c r="X649" s="43" t="s">
        <v>1875</v>
      </c>
      <c r="Y649" s="43" t="s">
        <v>43</v>
      </c>
      <c r="Z649" s="71" t="s">
        <v>43</v>
      </c>
      <c r="AA649" s="71" t="s">
        <v>40</v>
      </c>
      <c r="AB649" s="48" t="s">
        <v>43</v>
      </c>
      <c r="AC649" s="75">
        <v>198</v>
      </c>
      <c r="AD649" s="75">
        <v>180</v>
      </c>
      <c r="AE649" s="80">
        <v>198</v>
      </c>
      <c r="AF649" s="80">
        <v>180</v>
      </c>
      <c r="AG649" s="80">
        <v>153</v>
      </c>
    </row>
    <row r="650" ht="36" customHeight="1" spans="1:33">
      <c r="A650" s="45">
        <v>96</v>
      </c>
      <c r="B650" s="45" t="s">
        <v>1876</v>
      </c>
      <c r="C650" s="45" t="s">
        <v>1877</v>
      </c>
      <c r="D650" s="45" t="s">
        <v>213</v>
      </c>
      <c r="E650" s="49" t="s">
        <v>1878</v>
      </c>
      <c r="F650" s="49" t="s">
        <v>1879</v>
      </c>
      <c r="G650" s="45" t="s">
        <v>40</v>
      </c>
      <c r="H650" s="49" t="s">
        <v>43</v>
      </c>
      <c r="I650" s="53">
        <v>911</v>
      </c>
      <c r="J650" s="53">
        <v>820</v>
      </c>
      <c r="K650" s="84">
        <v>889.240506329114</v>
      </c>
      <c r="L650" s="84">
        <v>816</v>
      </c>
      <c r="M650" s="84" t="e">
        <v>#DIV/0!</v>
      </c>
      <c r="N650" s="63">
        <v>890</v>
      </c>
      <c r="O650" s="63">
        <v>816</v>
      </c>
      <c r="P650" s="63">
        <v>695</v>
      </c>
      <c r="Q650" s="45" t="s">
        <v>54</v>
      </c>
      <c r="R650" s="45" t="s">
        <v>43</v>
      </c>
      <c r="S650" s="45" t="s">
        <v>43</v>
      </c>
      <c r="T650" s="69" t="s">
        <v>273</v>
      </c>
      <c r="U650" s="49" t="s">
        <v>274</v>
      </c>
      <c r="V650" s="43" t="s">
        <v>1880</v>
      </c>
      <c r="W650" s="71">
        <v>331204007</v>
      </c>
      <c r="X650" s="43" t="s">
        <v>1881</v>
      </c>
      <c r="Y650" s="43" t="s">
        <v>1882</v>
      </c>
      <c r="Z650" s="71" t="s">
        <v>43</v>
      </c>
      <c r="AA650" s="71" t="s">
        <v>40</v>
      </c>
      <c r="AB650" s="48" t="s">
        <v>43</v>
      </c>
      <c r="AC650" s="75">
        <v>1080</v>
      </c>
      <c r="AD650" s="75">
        <v>970</v>
      </c>
      <c r="AE650" s="80">
        <v>1000</v>
      </c>
      <c r="AF650" s="80">
        <v>960</v>
      </c>
      <c r="AG650" s="80">
        <v>816</v>
      </c>
    </row>
    <row r="651" ht="36" customHeight="1" spans="1:33">
      <c r="A651" s="45"/>
      <c r="B651" s="45"/>
      <c r="C651" s="45"/>
      <c r="D651" s="45"/>
      <c r="E651" s="49"/>
      <c r="F651" s="49"/>
      <c r="G651" s="45"/>
      <c r="H651" s="49"/>
      <c r="I651" s="53"/>
      <c r="J651" s="53"/>
      <c r="K651" s="84"/>
      <c r="L651" s="84"/>
      <c r="M651" s="84"/>
      <c r="N651" s="63"/>
      <c r="O651" s="63"/>
      <c r="P651" s="63"/>
      <c r="Q651" s="45"/>
      <c r="R651" s="45"/>
      <c r="S651" s="45"/>
      <c r="T651" s="69"/>
      <c r="U651" s="49"/>
      <c r="V651" s="43" t="s">
        <v>1883</v>
      </c>
      <c r="W651" s="71">
        <v>331204006</v>
      </c>
      <c r="X651" s="43" t="s">
        <v>1884</v>
      </c>
      <c r="Y651" s="43" t="s">
        <v>1885</v>
      </c>
      <c r="Z651" s="71" t="s">
        <v>43</v>
      </c>
      <c r="AA651" s="71" t="s">
        <v>40</v>
      </c>
      <c r="AB651" s="48" t="s">
        <v>43</v>
      </c>
      <c r="AC651" s="75">
        <v>750</v>
      </c>
      <c r="AD651" s="75">
        <v>675</v>
      </c>
      <c r="AE651" s="80">
        <v>750</v>
      </c>
      <c r="AF651" s="80">
        <v>720</v>
      </c>
      <c r="AG651" s="80">
        <v>612</v>
      </c>
    </row>
    <row r="652" ht="21" customHeight="1" spans="1:33">
      <c r="A652" s="43" t="s">
        <v>81</v>
      </c>
      <c r="B652" s="43" t="s">
        <v>1886</v>
      </c>
      <c r="C652" s="43" t="s">
        <v>1887</v>
      </c>
      <c r="D652" s="43" t="s">
        <v>213</v>
      </c>
      <c r="E652" s="48" t="s">
        <v>43</v>
      </c>
      <c r="F652" s="48" t="s">
        <v>43</v>
      </c>
      <c r="G652" s="43" t="s">
        <v>40</v>
      </c>
      <c r="H652" s="48" t="s">
        <v>43</v>
      </c>
      <c r="I652" s="53">
        <v>273</v>
      </c>
      <c r="J652" s="53">
        <v>246</v>
      </c>
      <c r="K652" s="54"/>
      <c r="L652" s="54"/>
      <c r="M652" s="54"/>
      <c r="N652" s="63">
        <v>265</v>
      </c>
      <c r="O652" s="63">
        <v>245</v>
      </c>
      <c r="P652" s="63">
        <v>210</v>
      </c>
      <c r="Q652" s="45" t="s">
        <v>54</v>
      </c>
      <c r="R652" s="45" t="s">
        <v>43</v>
      </c>
      <c r="S652" s="45" t="s">
        <v>43</v>
      </c>
      <c r="T652" s="69"/>
      <c r="U652" s="49"/>
      <c r="V652" s="45" t="s">
        <v>1888</v>
      </c>
      <c r="W652" s="45">
        <v>33120400701</v>
      </c>
      <c r="X652" s="45" t="s">
        <v>1889</v>
      </c>
      <c r="Y652" s="43" t="s">
        <v>43</v>
      </c>
      <c r="Z652" s="71" t="s">
        <v>43</v>
      </c>
      <c r="AA652" s="71" t="s">
        <v>40</v>
      </c>
      <c r="AB652" s="48" t="s">
        <v>43</v>
      </c>
      <c r="AC652" s="75">
        <v>1405</v>
      </c>
      <c r="AD652" s="75">
        <v>1260</v>
      </c>
      <c r="AE652" s="80">
        <v>1300</v>
      </c>
      <c r="AF652" s="80">
        <v>1250</v>
      </c>
      <c r="AG652" s="80">
        <v>1065</v>
      </c>
    </row>
    <row r="653" ht="21" customHeight="1" spans="1:33">
      <c r="A653" s="43"/>
      <c r="B653" s="43"/>
      <c r="C653" s="43"/>
      <c r="D653" s="43"/>
      <c r="E653" s="48"/>
      <c r="F653" s="48"/>
      <c r="G653" s="43"/>
      <c r="H653" s="48"/>
      <c r="I653" s="76"/>
      <c r="J653" s="76"/>
      <c r="K653" s="54"/>
      <c r="L653" s="54"/>
      <c r="M653" s="54"/>
      <c r="N653" s="63"/>
      <c r="O653" s="63"/>
      <c r="P653" s="63"/>
      <c r="Q653" s="45"/>
      <c r="R653" s="45"/>
      <c r="S653" s="45"/>
      <c r="T653" s="69"/>
      <c r="U653" s="49"/>
      <c r="V653" s="45" t="s">
        <v>1890</v>
      </c>
      <c r="W653" s="45">
        <v>33120400601</v>
      </c>
      <c r="X653" s="45" t="s">
        <v>1891</v>
      </c>
      <c r="Y653" s="43" t="s">
        <v>43</v>
      </c>
      <c r="Z653" s="71" t="s">
        <v>43</v>
      </c>
      <c r="AA653" s="71" t="s">
        <v>40</v>
      </c>
      <c r="AB653" s="48" t="s">
        <v>43</v>
      </c>
      <c r="AC653" s="75">
        <v>975</v>
      </c>
      <c r="AD653" s="75">
        <v>880</v>
      </c>
      <c r="AE653" s="80">
        <v>975</v>
      </c>
      <c r="AF653" s="80">
        <v>935</v>
      </c>
      <c r="AG653" s="80">
        <v>795</v>
      </c>
    </row>
    <row r="654" ht="85" customHeight="1" spans="1:33">
      <c r="A654" s="45">
        <v>97</v>
      </c>
      <c r="B654" s="45" t="s">
        <v>1892</v>
      </c>
      <c r="C654" s="45" t="s">
        <v>1893</v>
      </c>
      <c r="D654" s="45" t="s">
        <v>213</v>
      </c>
      <c r="E654" s="49" t="s">
        <v>1894</v>
      </c>
      <c r="F654" s="49" t="s">
        <v>1895</v>
      </c>
      <c r="G654" s="45" t="s">
        <v>40</v>
      </c>
      <c r="H654" s="49" t="s">
        <v>43</v>
      </c>
      <c r="I654" s="53">
        <v>1670</v>
      </c>
      <c r="J654" s="53">
        <v>1503</v>
      </c>
      <c r="K654" s="55"/>
      <c r="L654" s="55">
        <v>1200</v>
      </c>
      <c r="M654" s="55"/>
      <c r="N654" s="63">
        <v>1500</v>
      </c>
      <c r="O654" s="63">
        <v>1350</v>
      </c>
      <c r="P654" s="63">
        <v>1150</v>
      </c>
      <c r="Q654" s="45" t="s">
        <v>54</v>
      </c>
      <c r="R654" s="45" t="s">
        <v>43</v>
      </c>
      <c r="S654" s="45" t="s">
        <v>43</v>
      </c>
      <c r="T654" s="69" t="s">
        <v>851</v>
      </c>
      <c r="U654" s="49" t="s">
        <v>1896</v>
      </c>
      <c r="V654" s="43" t="s">
        <v>1897</v>
      </c>
      <c r="W654" s="71">
        <v>331204008</v>
      </c>
      <c r="X654" s="43" t="s">
        <v>1898</v>
      </c>
      <c r="Y654" s="43" t="s">
        <v>1882</v>
      </c>
      <c r="Z654" s="71" t="s">
        <v>43</v>
      </c>
      <c r="AA654" s="71" t="s">
        <v>40</v>
      </c>
      <c r="AB654" s="48" t="s">
        <v>43</v>
      </c>
      <c r="AC654" s="75">
        <v>1350</v>
      </c>
      <c r="AD654" s="75">
        <v>1215</v>
      </c>
      <c r="AE654" s="80">
        <v>1250</v>
      </c>
      <c r="AF654" s="80">
        <v>1200</v>
      </c>
      <c r="AG654" s="80">
        <v>1020</v>
      </c>
    </row>
    <row r="655" ht="20" customHeight="1" spans="1:33">
      <c r="A655" s="43" t="s">
        <v>81</v>
      </c>
      <c r="B655" s="43" t="s">
        <v>1899</v>
      </c>
      <c r="C655" s="43" t="s">
        <v>1900</v>
      </c>
      <c r="D655" s="43" t="s">
        <v>213</v>
      </c>
      <c r="E655" s="48" t="s">
        <v>43</v>
      </c>
      <c r="F655" s="48" t="s">
        <v>43</v>
      </c>
      <c r="G655" s="43" t="s">
        <v>40</v>
      </c>
      <c r="H655" s="48" t="s">
        <v>43</v>
      </c>
      <c r="I655" s="53">
        <v>1530</v>
      </c>
      <c r="J655" s="53">
        <v>1377</v>
      </c>
      <c r="K655" s="54"/>
      <c r="L655" s="54"/>
      <c r="M655" s="54"/>
      <c r="N655" s="63">
        <v>1375</v>
      </c>
      <c r="O655" s="63">
        <v>1235</v>
      </c>
      <c r="P655" s="63">
        <v>1055</v>
      </c>
      <c r="Q655" s="45" t="s">
        <v>54</v>
      </c>
      <c r="R655" s="45" t="s">
        <v>43</v>
      </c>
      <c r="S655" s="45" t="s">
        <v>43</v>
      </c>
      <c r="T655" s="69"/>
      <c r="U655" s="49" t="s">
        <v>1901</v>
      </c>
      <c r="V655" s="45" t="s">
        <v>1902</v>
      </c>
      <c r="W655" s="45">
        <v>331204009</v>
      </c>
      <c r="X655" s="45" t="s">
        <v>1903</v>
      </c>
      <c r="Y655" s="43" t="s">
        <v>43</v>
      </c>
      <c r="Z655" s="71" t="s">
        <v>43</v>
      </c>
      <c r="AA655" s="71" t="s">
        <v>40</v>
      </c>
      <c r="AB655" s="48" t="s">
        <v>1904</v>
      </c>
      <c r="AC655" s="75">
        <v>2880</v>
      </c>
      <c r="AD655" s="75">
        <v>2590</v>
      </c>
      <c r="AE655" s="80">
        <v>2530</v>
      </c>
      <c r="AF655" s="80">
        <v>2280</v>
      </c>
      <c r="AG655" s="80">
        <v>1940</v>
      </c>
    </row>
    <row r="656" ht="20" customHeight="1" spans="1:33">
      <c r="A656" s="43"/>
      <c r="B656" s="43"/>
      <c r="C656" s="43"/>
      <c r="D656" s="43"/>
      <c r="E656" s="48"/>
      <c r="F656" s="48"/>
      <c r="G656" s="43"/>
      <c r="H656" s="48"/>
      <c r="I656" s="76"/>
      <c r="J656" s="76"/>
      <c r="K656" s="54"/>
      <c r="L656" s="54"/>
      <c r="M656" s="54"/>
      <c r="N656" s="63"/>
      <c r="O656" s="63"/>
      <c r="P656" s="63"/>
      <c r="Q656" s="45"/>
      <c r="R656" s="45"/>
      <c r="S656" s="45"/>
      <c r="T656" s="69"/>
      <c r="U656" s="49"/>
      <c r="V656" s="45" t="s">
        <v>1905</v>
      </c>
      <c r="W656" s="45">
        <v>33120400901</v>
      </c>
      <c r="X656" s="45" t="s">
        <v>1906</v>
      </c>
      <c r="Y656" s="43" t="s">
        <v>43</v>
      </c>
      <c r="Z656" s="71" t="s">
        <v>43</v>
      </c>
      <c r="AA656" s="71" t="s">
        <v>40</v>
      </c>
      <c r="AB656" s="48" t="s">
        <v>1907</v>
      </c>
      <c r="AC656" s="75">
        <v>3200</v>
      </c>
      <c r="AD656" s="75">
        <v>2880</v>
      </c>
      <c r="AE656" s="80">
        <v>2820</v>
      </c>
      <c r="AF656" s="80">
        <v>2540</v>
      </c>
      <c r="AG656" s="80">
        <v>2160</v>
      </c>
    </row>
    <row r="657" ht="20" customHeight="1" spans="1:33">
      <c r="A657" s="43"/>
      <c r="B657" s="43"/>
      <c r="C657" s="43"/>
      <c r="D657" s="43"/>
      <c r="E657" s="48"/>
      <c r="F657" s="48"/>
      <c r="G657" s="43"/>
      <c r="H657" s="48"/>
      <c r="I657" s="76"/>
      <c r="J657" s="76"/>
      <c r="K657" s="54"/>
      <c r="L657" s="54"/>
      <c r="M657" s="54"/>
      <c r="N657" s="63"/>
      <c r="O657" s="63"/>
      <c r="P657" s="63"/>
      <c r="Q657" s="45"/>
      <c r="R657" s="45"/>
      <c r="S657" s="45"/>
      <c r="T657" s="69"/>
      <c r="U657" s="49"/>
      <c r="V657" s="45" t="s">
        <v>1908</v>
      </c>
      <c r="W657" s="45">
        <v>33120400902</v>
      </c>
      <c r="X657" s="45" t="s">
        <v>1909</v>
      </c>
      <c r="Y657" s="43" t="s">
        <v>43</v>
      </c>
      <c r="Z657" s="71" t="s">
        <v>43</v>
      </c>
      <c r="AA657" s="71" t="s">
        <v>40</v>
      </c>
      <c r="AB657" s="48" t="s">
        <v>43</v>
      </c>
      <c r="AC657" s="75">
        <v>3745</v>
      </c>
      <c r="AD657" s="75">
        <v>3365</v>
      </c>
      <c r="AE657" s="80">
        <v>3290</v>
      </c>
      <c r="AF657" s="80">
        <v>2965</v>
      </c>
      <c r="AG657" s="80">
        <v>2520</v>
      </c>
    </row>
    <row r="658" ht="20" customHeight="1" spans="1:33">
      <c r="A658" s="43"/>
      <c r="B658" s="43"/>
      <c r="C658" s="43"/>
      <c r="D658" s="43"/>
      <c r="E658" s="48"/>
      <c r="F658" s="48"/>
      <c r="G658" s="43"/>
      <c r="H658" s="48"/>
      <c r="I658" s="76"/>
      <c r="J658" s="76"/>
      <c r="K658" s="54"/>
      <c r="L658" s="54"/>
      <c r="M658" s="54"/>
      <c r="N658" s="63"/>
      <c r="O658" s="63"/>
      <c r="P658" s="63"/>
      <c r="Q658" s="45"/>
      <c r="R658" s="45"/>
      <c r="S658" s="45"/>
      <c r="T658" s="69"/>
      <c r="U658" s="49"/>
      <c r="V658" s="45" t="s">
        <v>1910</v>
      </c>
      <c r="W658" s="45">
        <v>33120400903</v>
      </c>
      <c r="X658" s="45" t="s">
        <v>1911</v>
      </c>
      <c r="Y658" s="43" t="s">
        <v>43</v>
      </c>
      <c r="Z658" s="71" t="s">
        <v>43</v>
      </c>
      <c r="AA658" s="71" t="s">
        <v>40</v>
      </c>
      <c r="AB658" s="48" t="s">
        <v>1907</v>
      </c>
      <c r="AC658" s="75">
        <v>4160</v>
      </c>
      <c r="AD658" s="75">
        <v>3745</v>
      </c>
      <c r="AE658" s="80">
        <v>3665</v>
      </c>
      <c r="AF658" s="80">
        <v>3300</v>
      </c>
      <c r="AG658" s="80">
        <v>2805</v>
      </c>
    </row>
    <row r="659" ht="38" customHeight="1" spans="1:33">
      <c r="A659" s="43" t="s">
        <v>81</v>
      </c>
      <c r="B659" s="43" t="s">
        <v>1912</v>
      </c>
      <c r="C659" s="43" t="s">
        <v>1913</v>
      </c>
      <c r="D659" s="43" t="s">
        <v>213</v>
      </c>
      <c r="E659" s="48" t="s">
        <v>43</v>
      </c>
      <c r="F659" s="48" t="s">
        <v>43</v>
      </c>
      <c r="G659" s="43" t="s">
        <v>40</v>
      </c>
      <c r="H659" s="48" t="s">
        <v>43</v>
      </c>
      <c r="I659" s="53">
        <v>501</v>
      </c>
      <c r="J659" s="53">
        <v>451</v>
      </c>
      <c r="K659" s="54"/>
      <c r="L659" s="54"/>
      <c r="M659" s="54"/>
      <c r="N659" s="63">
        <v>450</v>
      </c>
      <c r="O659" s="63">
        <v>405</v>
      </c>
      <c r="P659" s="63">
        <v>345</v>
      </c>
      <c r="Q659" s="45" t="s">
        <v>54</v>
      </c>
      <c r="R659" s="45" t="s">
        <v>43</v>
      </c>
      <c r="S659" s="45" t="s">
        <v>43</v>
      </c>
      <c r="T659" s="69"/>
      <c r="U659" s="49" t="s">
        <v>446</v>
      </c>
      <c r="V659" s="45" t="s">
        <v>1914</v>
      </c>
      <c r="W659" s="45">
        <v>33120400801</v>
      </c>
      <c r="X659" s="45" t="s">
        <v>1915</v>
      </c>
      <c r="Y659" s="43" t="s">
        <v>43</v>
      </c>
      <c r="Z659" s="71" t="s">
        <v>43</v>
      </c>
      <c r="AA659" s="71" t="s">
        <v>40</v>
      </c>
      <c r="AB659" s="48" t="s">
        <v>43</v>
      </c>
      <c r="AC659" s="75">
        <v>1755</v>
      </c>
      <c r="AD659" s="75">
        <v>1580</v>
      </c>
      <c r="AE659" s="80">
        <v>1625</v>
      </c>
      <c r="AF659" s="80">
        <v>1560</v>
      </c>
      <c r="AG659" s="80">
        <v>1325</v>
      </c>
    </row>
    <row r="660" ht="98" customHeight="1" spans="1:33">
      <c r="A660" s="45">
        <v>98</v>
      </c>
      <c r="B660" s="45" t="s">
        <v>1916</v>
      </c>
      <c r="C660" s="45" t="s">
        <v>1917</v>
      </c>
      <c r="D660" s="45" t="s">
        <v>213</v>
      </c>
      <c r="E660" s="49" t="s">
        <v>1918</v>
      </c>
      <c r="F660" s="49" t="s">
        <v>1919</v>
      </c>
      <c r="G660" s="45" t="s">
        <v>40</v>
      </c>
      <c r="H660" s="49" t="s">
        <v>1920</v>
      </c>
      <c r="I660" s="53">
        <v>1350</v>
      </c>
      <c r="J660" s="53">
        <v>1215</v>
      </c>
      <c r="K660" s="55">
        <v>1250</v>
      </c>
      <c r="L660" s="55">
        <v>1200</v>
      </c>
      <c r="M660" s="55">
        <v>1020</v>
      </c>
      <c r="N660" s="63">
        <v>1250</v>
      </c>
      <c r="O660" s="63">
        <v>1200</v>
      </c>
      <c r="P660" s="63">
        <v>1020</v>
      </c>
      <c r="Q660" s="45" t="s">
        <v>42</v>
      </c>
      <c r="R660" s="45" t="s">
        <v>43</v>
      </c>
      <c r="S660" s="45" t="s">
        <v>43</v>
      </c>
      <c r="T660" s="69" t="s">
        <v>55</v>
      </c>
      <c r="U660" s="49" t="s">
        <v>55</v>
      </c>
      <c r="V660" s="43" t="s">
        <v>1921</v>
      </c>
      <c r="W660" s="71">
        <v>331204012</v>
      </c>
      <c r="X660" s="43" t="s">
        <v>1922</v>
      </c>
      <c r="Y660" s="43" t="s">
        <v>43</v>
      </c>
      <c r="Z660" s="71" t="s">
        <v>43</v>
      </c>
      <c r="AA660" s="71" t="s">
        <v>40</v>
      </c>
      <c r="AB660" s="48" t="s">
        <v>43</v>
      </c>
      <c r="AC660" s="75">
        <v>1350</v>
      </c>
      <c r="AD660" s="75">
        <v>1215</v>
      </c>
      <c r="AE660" s="80">
        <v>1250</v>
      </c>
      <c r="AF660" s="80">
        <v>1200</v>
      </c>
      <c r="AG660" s="80">
        <v>1020</v>
      </c>
    </row>
    <row r="661" ht="40" customHeight="1" spans="1:33">
      <c r="A661" s="43" t="s">
        <v>81</v>
      </c>
      <c r="B661" s="43" t="s">
        <v>1923</v>
      </c>
      <c r="C661" s="43" t="s">
        <v>1924</v>
      </c>
      <c r="D661" s="43" t="s">
        <v>213</v>
      </c>
      <c r="E661" s="48" t="s">
        <v>43</v>
      </c>
      <c r="F661" s="48" t="s">
        <v>43</v>
      </c>
      <c r="G661" s="43" t="s">
        <v>40</v>
      </c>
      <c r="H661" s="48" t="s">
        <v>43</v>
      </c>
      <c r="I661" s="53">
        <v>405</v>
      </c>
      <c r="J661" s="53">
        <v>365</v>
      </c>
      <c r="K661" s="54"/>
      <c r="L661" s="54"/>
      <c r="M661" s="54"/>
      <c r="N661" s="63">
        <v>375</v>
      </c>
      <c r="O661" s="63">
        <v>360</v>
      </c>
      <c r="P661" s="63">
        <v>305</v>
      </c>
      <c r="Q661" s="45" t="s">
        <v>42</v>
      </c>
      <c r="R661" s="45" t="s">
        <v>43</v>
      </c>
      <c r="S661" s="45" t="s">
        <v>43</v>
      </c>
      <c r="T661" s="69"/>
      <c r="U661" s="49" t="s">
        <v>446</v>
      </c>
      <c r="V661" s="45" t="s">
        <v>1925</v>
      </c>
      <c r="W661" s="45">
        <v>33120401201</v>
      </c>
      <c r="X661" s="45" t="s">
        <v>1926</v>
      </c>
      <c r="Y661" s="43" t="s">
        <v>43</v>
      </c>
      <c r="Z661" s="71" t="s">
        <v>43</v>
      </c>
      <c r="AA661" s="71" t="s">
        <v>40</v>
      </c>
      <c r="AB661" s="48" t="s">
        <v>43</v>
      </c>
      <c r="AC661" s="75">
        <v>1755</v>
      </c>
      <c r="AD661" s="75">
        <v>1580</v>
      </c>
      <c r="AE661" s="80">
        <v>1625</v>
      </c>
      <c r="AF661" s="80">
        <v>1560</v>
      </c>
      <c r="AG661" s="80">
        <v>1325</v>
      </c>
    </row>
    <row r="662" ht="111" customHeight="1" spans="1:33">
      <c r="A662" s="46">
        <v>99</v>
      </c>
      <c r="B662" s="46" t="s">
        <v>1927</v>
      </c>
      <c r="C662" s="46" t="s">
        <v>1928</v>
      </c>
      <c r="D662" s="46" t="s">
        <v>213</v>
      </c>
      <c r="E662" s="50" t="s">
        <v>1929</v>
      </c>
      <c r="F662" s="50" t="s">
        <v>1930</v>
      </c>
      <c r="G662" s="46" t="s">
        <v>40</v>
      </c>
      <c r="H662" s="50" t="s">
        <v>1920</v>
      </c>
      <c r="I662" s="53">
        <v>1892</v>
      </c>
      <c r="J662" s="53">
        <v>1703</v>
      </c>
      <c r="K662" s="55"/>
      <c r="L662" s="58"/>
      <c r="M662" s="58"/>
      <c r="N662" s="63">
        <v>1750</v>
      </c>
      <c r="O662" s="63">
        <v>1680</v>
      </c>
      <c r="P662" s="63">
        <v>1425</v>
      </c>
      <c r="Q662" s="45" t="s">
        <v>42</v>
      </c>
      <c r="R662" s="45" t="s">
        <v>43</v>
      </c>
      <c r="S662" s="45" t="s">
        <v>43</v>
      </c>
      <c r="T662" s="69" t="s">
        <v>99</v>
      </c>
      <c r="U662" s="49" t="s">
        <v>1931</v>
      </c>
      <c r="V662" s="43"/>
      <c r="W662" s="71"/>
      <c r="X662" s="43"/>
      <c r="Y662" s="43"/>
      <c r="Z662" s="71"/>
      <c r="AA662" s="71"/>
      <c r="AB662" s="48"/>
      <c r="AC662" s="74"/>
      <c r="AD662" s="74"/>
      <c r="AE662" s="78"/>
      <c r="AF662" s="78"/>
      <c r="AG662" s="78"/>
    </row>
    <row r="663" ht="38" customHeight="1" spans="1:33">
      <c r="A663" s="43" t="s">
        <v>81</v>
      </c>
      <c r="B663" s="43" t="s">
        <v>1932</v>
      </c>
      <c r="C663" s="43" t="s">
        <v>1933</v>
      </c>
      <c r="D663" s="43" t="s">
        <v>213</v>
      </c>
      <c r="E663" s="48" t="s">
        <v>43</v>
      </c>
      <c r="F663" s="48" t="s">
        <v>43</v>
      </c>
      <c r="G663" s="43" t="s">
        <v>40</v>
      </c>
      <c r="H663" s="48" t="s">
        <v>43</v>
      </c>
      <c r="I663" s="53">
        <v>568</v>
      </c>
      <c r="J663" s="53">
        <v>511</v>
      </c>
      <c r="K663" s="54"/>
      <c r="L663" s="54"/>
      <c r="M663" s="54"/>
      <c r="N663" s="63">
        <v>525</v>
      </c>
      <c r="O663" s="63">
        <v>505</v>
      </c>
      <c r="P663" s="63">
        <v>430</v>
      </c>
      <c r="Q663" s="45" t="s">
        <v>42</v>
      </c>
      <c r="R663" s="45" t="s">
        <v>43</v>
      </c>
      <c r="S663" s="45" t="s">
        <v>43</v>
      </c>
      <c r="T663" s="69"/>
      <c r="U663" s="49" t="s">
        <v>446</v>
      </c>
      <c r="V663" s="43"/>
      <c r="W663" s="71"/>
      <c r="X663" s="43"/>
      <c r="Y663" s="43"/>
      <c r="Z663" s="71"/>
      <c r="AA663" s="71"/>
      <c r="AB663" s="48"/>
      <c r="AC663" s="74"/>
      <c r="AD663" s="74"/>
      <c r="AE663" s="78"/>
      <c r="AF663" s="78"/>
      <c r="AG663" s="78"/>
    </row>
    <row r="664" ht="107" customHeight="1" spans="1:33">
      <c r="A664" s="46">
        <v>100</v>
      </c>
      <c r="B664" s="46" t="s">
        <v>1934</v>
      </c>
      <c r="C664" s="46" t="s">
        <v>1935</v>
      </c>
      <c r="D664" s="46" t="s">
        <v>213</v>
      </c>
      <c r="E664" s="50" t="s">
        <v>1936</v>
      </c>
      <c r="F664" s="50" t="s">
        <v>1937</v>
      </c>
      <c r="G664" s="46" t="s">
        <v>40</v>
      </c>
      <c r="H664" s="50" t="s">
        <v>1938</v>
      </c>
      <c r="I664" s="53">
        <v>2567</v>
      </c>
      <c r="J664" s="53">
        <v>2310</v>
      </c>
      <c r="K664" s="58"/>
      <c r="L664" s="58"/>
      <c r="M664" s="58"/>
      <c r="N664" s="63">
        <v>2375</v>
      </c>
      <c r="O664" s="63">
        <v>2280</v>
      </c>
      <c r="P664" s="63">
        <v>1935</v>
      </c>
      <c r="Q664" s="45" t="s">
        <v>42</v>
      </c>
      <c r="R664" s="45" t="s">
        <v>43</v>
      </c>
      <c r="S664" s="45" t="s">
        <v>43</v>
      </c>
      <c r="T664" s="69" t="s">
        <v>99</v>
      </c>
      <c r="U664" s="49" t="s">
        <v>1939</v>
      </c>
      <c r="V664" s="43"/>
      <c r="W664" s="71"/>
      <c r="X664" s="43"/>
      <c r="Y664" s="43"/>
      <c r="Z664" s="71"/>
      <c r="AA664" s="71"/>
      <c r="AB664" s="48"/>
      <c r="AC664" s="74"/>
      <c r="AD664" s="74"/>
      <c r="AE664" s="78"/>
      <c r="AF664" s="78"/>
      <c r="AG664" s="78"/>
    </row>
    <row r="665" ht="39" customHeight="1" spans="1:33">
      <c r="A665" s="43" t="s">
        <v>81</v>
      </c>
      <c r="B665" s="43" t="s">
        <v>1940</v>
      </c>
      <c r="C665" s="43" t="s">
        <v>1941</v>
      </c>
      <c r="D665" s="43" t="s">
        <v>213</v>
      </c>
      <c r="E665" s="48" t="s">
        <v>43</v>
      </c>
      <c r="F665" s="48" t="s">
        <v>43</v>
      </c>
      <c r="G665" s="43" t="s">
        <v>40</v>
      </c>
      <c r="H665" s="48" t="s">
        <v>43</v>
      </c>
      <c r="I665" s="53">
        <v>770</v>
      </c>
      <c r="J665" s="53">
        <v>693</v>
      </c>
      <c r="K665" s="54"/>
      <c r="L665" s="54"/>
      <c r="M665" s="54"/>
      <c r="N665" s="63">
        <v>715</v>
      </c>
      <c r="O665" s="63">
        <v>685</v>
      </c>
      <c r="P665" s="63">
        <v>580</v>
      </c>
      <c r="Q665" s="45" t="s">
        <v>42</v>
      </c>
      <c r="R665" s="45" t="s">
        <v>43</v>
      </c>
      <c r="S665" s="45" t="s">
        <v>43</v>
      </c>
      <c r="T665" s="69"/>
      <c r="U665" s="49" t="s">
        <v>446</v>
      </c>
      <c r="V665" s="43"/>
      <c r="W665" s="71"/>
      <c r="X665" s="43"/>
      <c r="Y665" s="43"/>
      <c r="Z665" s="71"/>
      <c r="AA665" s="71"/>
      <c r="AB665" s="48"/>
      <c r="AC665" s="74"/>
      <c r="AD665" s="74"/>
      <c r="AE665" s="78"/>
      <c r="AF665" s="78"/>
      <c r="AG665" s="78"/>
    </row>
    <row r="666" ht="35" customHeight="1" spans="1:33">
      <c r="A666" s="46">
        <v>101</v>
      </c>
      <c r="B666" s="46" t="s">
        <v>1942</v>
      </c>
      <c r="C666" s="46" t="s">
        <v>1943</v>
      </c>
      <c r="D666" s="46" t="s">
        <v>213</v>
      </c>
      <c r="E666" s="50" t="s">
        <v>1944</v>
      </c>
      <c r="F666" s="50" t="s">
        <v>1945</v>
      </c>
      <c r="G666" s="46" t="s">
        <v>40</v>
      </c>
      <c r="H666" s="50" t="s">
        <v>43</v>
      </c>
      <c r="I666" s="53">
        <v>2880</v>
      </c>
      <c r="J666" s="53">
        <v>2592</v>
      </c>
      <c r="K666" s="58"/>
      <c r="L666" s="58"/>
      <c r="M666" s="58"/>
      <c r="N666" s="63">
        <v>2600</v>
      </c>
      <c r="O666" s="63">
        <v>2350</v>
      </c>
      <c r="P666" s="63">
        <v>2000</v>
      </c>
      <c r="Q666" s="45" t="s">
        <v>42</v>
      </c>
      <c r="R666" s="45" t="s">
        <v>43</v>
      </c>
      <c r="S666" s="45" t="s">
        <v>43</v>
      </c>
      <c r="T666" s="69" t="s">
        <v>67</v>
      </c>
      <c r="U666" s="49" t="s">
        <v>566</v>
      </c>
      <c r="V666" s="43" t="s">
        <v>1946</v>
      </c>
      <c r="W666" s="71">
        <v>331204005</v>
      </c>
      <c r="X666" s="43" t="s">
        <v>1947</v>
      </c>
      <c r="Y666" s="43" t="s">
        <v>43</v>
      </c>
      <c r="Z666" s="71" t="s">
        <v>43</v>
      </c>
      <c r="AA666" s="71" t="s">
        <v>40</v>
      </c>
      <c r="AB666" s="48" t="s">
        <v>43</v>
      </c>
      <c r="AC666" s="75">
        <v>2880</v>
      </c>
      <c r="AD666" s="75">
        <v>2590</v>
      </c>
      <c r="AE666" s="80">
        <v>2530</v>
      </c>
      <c r="AF666" s="80">
        <v>2280</v>
      </c>
      <c r="AG666" s="80">
        <v>1940</v>
      </c>
    </row>
    <row r="667" ht="35" customHeight="1" spans="1:33">
      <c r="A667" s="46"/>
      <c r="B667" s="46"/>
      <c r="C667" s="46"/>
      <c r="D667" s="46"/>
      <c r="E667" s="50"/>
      <c r="F667" s="50"/>
      <c r="G667" s="46"/>
      <c r="H667" s="50"/>
      <c r="I667" s="102"/>
      <c r="J667" s="102"/>
      <c r="K667" s="58"/>
      <c r="L667" s="58"/>
      <c r="M667" s="58"/>
      <c r="N667" s="63"/>
      <c r="O667" s="63"/>
      <c r="P667" s="63"/>
      <c r="Q667" s="45"/>
      <c r="R667" s="45"/>
      <c r="S667" s="45"/>
      <c r="T667" s="69"/>
      <c r="U667" s="49"/>
      <c r="V667" s="43" t="s">
        <v>1948</v>
      </c>
      <c r="W667" s="71">
        <v>331204011</v>
      </c>
      <c r="X667" s="43" t="s">
        <v>1949</v>
      </c>
      <c r="Y667" s="43" t="s">
        <v>1950</v>
      </c>
      <c r="Z667" s="71" t="s">
        <v>43</v>
      </c>
      <c r="AA667" s="71" t="s">
        <v>40</v>
      </c>
      <c r="AB667" s="48" t="s">
        <v>43</v>
      </c>
      <c r="AC667" s="75">
        <v>3460</v>
      </c>
      <c r="AD667" s="75">
        <v>3110</v>
      </c>
      <c r="AE667" s="80">
        <v>3040</v>
      </c>
      <c r="AF667" s="80">
        <v>2740</v>
      </c>
      <c r="AG667" s="80">
        <v>2330</v>
      </c>
    </row>
    <row r="668" ht="39" customHeight="1" spans="1:33">
      <c r="A668" s="46" t="s">
        <v>81</v>
      </c>
      <c r="B668" s="46" t="s">
        <v>1951</v>
      </c>
      <c r="C668" s="46" t="s">
        <v>1952</v>
      </c>
      <c r="D668" s="46" t="s">
        <v>213</v>
      </c>
      <c r="E668" s="50" t="s">
        <v>43</v>
      </c>
      <c r="F668" s="50" t="s">
        <v>43</v>
      </c>
      <c r="G668" s="46" t="s">
        <v>40</v>
      </c>
      <c r="H668" s="50" t="s">
        <v>43</v>
      </c>
      <c r="I668" s="53">
        <v>2880</v>
      </c>
      <c r="J668" s="53">
        <v>2592</v>
      </c>
      <c r="K668" s="58"/>
      <c r="L668" s="58"/>
      <c r="M668" s="58"/>
      <c r="N668" s="63">
        <v>2600</v>
      </c>
      <c r="O668" s="63">
        <v>2350</v>
      </c>
      <c r="P668" s="63">
        <v>2000</v>
      </c>
      <c r="Q668" s="45" t="s">
        <v>42</v>
      </c>
      <c r="R668" s="45" t="s">
        <v>43</v>
      </c>
      <c r="S668" s="45" t="s">
        <v>43</v>
      </c>
      <c r="T668" s="69"/>
      <c r="U668" s="49" t="s">
        <v>84</v>
      </c>
      <c r="V668" s="43"/>
      <c r="W668" s="71"/>
      <c r="X668" s="43"/>
      <c r="Y668" s="43"/>
      <c r="Z668" s="71"/>
      <c r="AA668" s="71"/>
      <c r="AB668" s="48"/>
      <c r="AC668" s="74"/>
      <c r="AD668" s="74"/>
      <c r="AE668" s="78"/>
      <c r="AF668" s="78"/>
      <c r="AG668" s="78"/>
    </row>
    <row r="669" ht="26" customHeight="1" spans="1:33">
      <c r="A669" s="43" t="s">
        <v>81</v>
      </c>
      <c r="B669" s="43" t="s">
        <v>1953</v>
      </c>
      <c r="C669" s="43" t="s">
        <v>1954</v>
      </c>
      <c r="D669" s="43" t="s">
        <v>213</v>
      </c>
      <c r="E669" s="48" t="s">
        <v>43</v>
      </c>
      <c r="F669" s="48" t="s">
        <v>43</v>
      </c>
      <c r="G669" s="43" t="s">
        <v>40</v>
      </c>
      <c r="H669" s="48" t="s">
        <v>43</v>
      </c>
      <c r="I669" s="53">
        <v>864</v>
      </c>
      <c r="J669" s="53">
        <v>778</v>
      </c>
      <c r="K669" s="54"/>
      <c r="L669" s="54"/>
      <c r="M669" s="54"/>
      <c r="N669" s="63">
        <v>780</v>
      </c>
      <c r="O669" s="63">
        <v>705</v>
      </c>
      <c r="P669" s="63">
        <v>600</v>
      </c>
      <c r="Q669" s="45" t="s">
        <v>42</v>
      </c>
      <c r="R669" s="45" t="s">
        <v>43</v>
      </c>
      <c r="S669" s="45" t="s">
        <v>43</v>
      </c>
      <c r="T669" s="69"/>
      <c r="U669" s="49" t="s">
        <v>446</v>
      </c>
      <c r="V669" s="45" t="s">
        <v>1955</v>
      </c>
      <c r="W669" s="45">
        <v>33120400501</v>
      </c>
      <c r="X669" s="45" t="s">
        <v>1956</v>
      </c>
      <c r="Y669" s="43" t="s">
        <v>43</v>
      </c>
      <c r="Z669" s="71" t="s">
        <v>43</v>
      </c>
      <c r="AA669" s="71" t="s">
        <v>40</v>
      </c>
      <c r="AB669" s="48" t="s">
        <v>43</v>
      </c>
      <c r="AC669" s="75">
        <v>3745</v>
      </c>
      <c r="AD669" s="75">
        <v>3365</v>
      </c>
      <c r="AE669" s="80">
        <v>3290</v>
      </c>
      <c r="AF669" s="80">
        <v>2965</v>
      </c>
      <c r="AG669" s="80">
        <v>2520</v>
      </c>
    </row>
    <row r="670" ht="26" customHeight="1" spans="1:33">
      <c r="A670" s="43"/>
      <c r="B670" s="43"/>
      <c r="C670" s="43"/>
      <c r="D670" s="43"/>
      <c r="E670" s="48"/>
      <c r="F670" s="48"/>
      <c r="G670" s="43"/>
      <c r="H670" s="48"/>
      <c r="I670" s="76"/>
      <c r="J670" s="76"/>
      <c r="K670" s="54"/>
      <c r="L670" s="54"/>
      <c r="M670" s="54"/>
      <c r="N670" s="63"/>
      <c r="O670" s="63"/>
      <c r="P670" s="63"/>
      <c r="Q670" s="45"/>
      <c r="R670" s="45"/>
      <c r="S670" s="45"/>
      <c r="T670" s="69"/>
      <c r="U670" s="49"/>
      <c r="V670" s="45" t="s">
        <v>1957</v>
      </c>
      <c r="W670" s="45">
        <v>33120401101</v>
      </c>
      <c r="X670" s="45" t="s">
        <v>1958</v>
      </c>
      <c r="Y670" s="43" t="s">
        <v>43</v>
      </c>
      <c r="Z670" s="71" t="s">
        <v>43</v>
      </c>
      <c r="AA670" s="71" t="s">
        <v>40</v>
      </c>
      <c r="AB670" s="48" t="s">
        <v>43</v>
      </c>
      <c r="AC670" s="75">
        <v>4500</v>
      </c>
      <c r="AD670" s="75">
        <v>4045</v>
      </c>
      <c r="AE670" s="80">
        <v>3950</v>
      </c>
      <c r="AF670" s="80">
        <v>3560</v>
      </c>
      <c r="AG670" s="80">
        <v>3025</v>
      </c>
    </row>
    <row r="671" ht="19" customHeight="1" spans="1:33">
      <c r="A671" s="45">
        <v>102</v>
      </c>
      <c r="B671" s="45" t="s">
        <v>1959</v>
      </c>
      <c r="C671" s="45" t="s">
        <v>1960</v>
      </c>
      <c r="D671" s="45" t="s">
        <v>213</v>
      </c>
      <c r="E671" s="49" t="s">
        <v>1961</v>
      </c>
      <c r="F671" s="49" t="s">
        <v>1962</v>
      </c>
      <c r="G671" s="45" t="s">
        <v>40</v>
      </c>
      <c r="H671" s="49" t="s">
        <v>43</v>
      </c>
      <c r="I671" s="53">
        <v>1937</v>
      </c>
      <c r="J671" s="53">
        <v>1743</v>
      </c>
      <c r="K671" s="84">
        <v>1691.81621621622</v>
      </c>
      <c r="L671" s="84">
        <v>1532.49211356467</v>
      </c>
      <c r="M671" s="84">
        <v>1290</v>
      </c>
      <c r="N671" s="63">
        <v>1710</v>
      </c>
      <c r="O671" s="63">
        <v>1539</v>
      </c>
      <c r="P671" s="63">
        <v>1290</v>
      </c>
      <c r="Q671" s="45" t="s">
        <v>42</v>
      </c>
      <c r="R671" s="45" t="s">
        <v>43</v>
      </c>
      <c r="S671" s="45" t="s">
        <v>43</v>
      </c>
      <c r="T671" s="69" t="s">
        <v>416</v>
      </c>
      <c r="U671" s="49" t="s">
        <v>1963</v>
      </c>
      <c r="V671" s="43" t="s">
        <v>1964</v>
      </c>
      <c r="W671" s="71">
        <v>331204014</v>
      </c>
      <c r="X671" s="43" t="s">
        <v>1965</v>
      </c>
      <c r="Y671" s="43" t="s">
        <v>1966</v>
      </c>
      <c r="Z671" s="71" t="s">
        <v>43</v>
      </c>
      <c r="AA671" s="71" t="s">
        <v>40</v>
      </c>
      <c r="AB671" s="48" t="s">
        <v>43</v>
      </c>
      <c r="AC671" s="75">
        <v>1920</v>
      </c>
      <c r="AD671" s="75">
        <v>1730</v>
      </c>
      <c r="AE671" s="80">
        <v>1690</v>
      </c>
      <c r="AF671" s="80">
        <v>1520</v>
      </c>
      <c r="AG671" s="80">
        <v>1290</v>
      </c>
    </row>
    <row r="672" s="31" customFormat="1" ht="19" customHeight="1" spans="1:36">
      <c r="A672" s="45"/>
      <c r="B672" s="45"/>
      <c r="C672" s="45"/>
      <c r="D672" s="45"/>
      <c r="E672" s="49"/>
      <c r="F672" s="49"/>
      <c r="G672" s="45"/>
      <c r="H672" s="49"/>
      <c r="I672" s="53"/>
      <c r="J672" s="53"/>
      <c r="K672" s="84"/>
      <c r="L672" s="84"/>
      <c r="M672" s="84"/>
      <c r="N672" s="63"/>
      <c r="O672" s="63"/>
      <c r="P672" s="63"/>
      <c r="Q672" s="45"/>
      <c r="R672" s="45"/>
      <c r="S672" s="45"/>
      <c r="T672" s="69"/>
      <c r="U672" s="49"/>
      <c r="V672" s="43" t="s">
        <v>1967</v>
      </c>
      <c r="W672" s="71">
        <v>331204013</v>
      </c>
      <c r="X672" s="43" t="s">
        <v>1968</v>
      </c>
      <c r="Y672" s="43" t="s">
        <v>1969</v>
      </c>
      <c r="Z672" s="71" t="s">
        <v>43</v>
      </c>
      <c r="AA672" s="71" t="s">
        <v>40</v>
      </c>
      <c r="AB672" s="48" t="s">
        <v>43</v>
      </c>
      <c r="AC672" s="75">
        <v>1920</v>
      </c>
      <c r="AD672" s="75">
        <v>1730</v>
      </c>
      <c r="AE672" s="80">
        <v>1690</v>
      </c>
      <c r="AF672" s="80">
        <v>1520</v>
      </c>
      <c r="AG672" s="80">
        <v>1290</v>
      </c>
      <c r="AH672" s="32"/>
      <c r="AI672" s="32"/>
      <c r="AJ672" s="32"/>
    </row>
    <row r="673" s="31" customFormat="1" ht="19" customHeight="1" spans="1:36">
      <c r="A673" s="45"/>
      <c r="B673" s="45"/>
      <c r="C673" s="45"/>
      <c r="D673" s="45"/>
      <c r="E673" s="49"/>
      <c r="F673" s="49"/>
      <c r="G673" s="45"/>
      <c r="H673" s="49"/>
      <c r="I673" s="53"/>
      <c r="J673" s="53"/>
      <c r="K673" s="84"/>
      <c r="L673" s="84"/>
      <c r="M673" s="84"/>
      <c r="N673" s="63"/>
      <c r="O673" s="63"/>
      <c r="P673" s="63"/>
      <c r="Q673" s="45"/>
      <c r="R673" s="45"/>
      <c r="S673" s="45"/>
      <c r="T673" s="69"/>
      <c r="U673" s="49"/>
      <c r="V673" s="43" t="s">
        <v>1970</v>
      </c>
      <c r="W673" s="71">
        <v>331204015</v>
      </c>
      <c r="X673" s="43" t="s">
        <v>1971</v>
      </c>
      <c r="Y673" s="43" t="s">
        <v>43</v>
      </c>
      <c r="Z673" s="71" t="s">
        <v>43</v>
      </c>
      <c r="AA673" s="71" t="s">
        <v>40</v>
      </c>
      <c r="AB673" s="48" t="s">
        <v>1972</v>
      </c>
      <c r="AC673" s="75">
        <v>2880</v>
      </c>
      <c r="AD673" s="75">
        <v>2590</v>
      </c>
      <c r="AE673" s="80">
        <v>2530</v>
      </c>
      <c r="AF673" s="80">
        <v>2280</v>
      </c>
      <c r="AG673" s="80">
        <v>1940</v>
      </c>
      <c r="AH673" s="32"/>
      <c r="AI673" s="32"/>
      <c r="AJ673" s="32"/>
    </row>
    <row r="674" s="31" customFormat="1" ht="19" customHeight="1" spans="1:36">
      <c r="A674" s="45"/>
      <c r="B674" s="45"/>
      <c r="C674" s="45"/>
      <c r="D674" s="45"/>
      <c r="E674" s="49"/>
      <c r="F674" s="49"/>
      <c r="G674" s="45"/>
      <c r="H674" s="49"/>
      <c r="I674" s="53"/>
      <c r="J674" s="53"/>
      <c r="K674" s="84"/>
      <c r="L674" s="84"/>
      <c r="M674" s="84"/>
      <c r="N674" s="63"/>
      <c r="O674" s="63"/>
      <c r="P674" s="63"/>
      <c r="Q674" s="45"/>
      <c r="R674" s="45"/>
      <c r="S674" s="45"/>
      <c r="T674" s="69"/>
      <c r="U674" s="49"/>
      <c r="V674" s="43" t="s">
        <v>1973</v>
      </c>
      <c r="W674" s="71">
        <v>33120401501</v>
      </c>
      <c r="X674" s="43" t="s">
        <v>1974</v>
      </c>
      <c r="Y674" s="43" t="s">
        <v>43</v>
      </c>
      <c r="Z674" s="71" t="s">
        <v>43</v>
      </c>
      <c r="AA674" s="71" t="s">
        <v>40</v>
      </c>
      <c r="AB674" s="48" t="s">
        <v>1975</v>
      </c>
      <c r="AC674" s="75">
        <v>3600</v>
      </c>
      <c r="AD674" s="75">
        <v>3240</v>
      </c>
      <c r="AE674" s="80">
        <v>3180</v>
      </c>
      <c r="AF674" s="80">
        <v>2865</v>
      </c>
      <c r="AG674" s="80">
        <v>2440</v>
      </c>
      <c r="AH674" s="32"/>
      <c r="AI674" s="32"/>
      <c r="AJ674" s="32"/>
    </row>
    <row r="675" s="33" customFormat="1" ht="19" customHeight="1" spans="1:36">
      <c r="A675" s="45"/>
      <c r="B675" s="45"/>
      <c r="C675" s="45"/>
      <c r="D675" s="45"/>
      <c r="E675" s="49"/>
      <c r="F675" s="49"/>
      <c r="G675" s="45"/>
      <c r="H675" s="49"/>
      <c r="I675" s="53"/>
      <c r="J675" s="53"/>
      <c r="K675" s="84"/>
      <c r="L675" s="84"/>
      <c r="M675" s="84"/>
      <c r="N675" s="63"/>
      <c r="O675" s="63"/>
      <c r="P675" s="63"/>
      <c r="Q675" s="45"/>
      <c r="R675" s="45"/>
      <c r="S675" s="45"/>
      <c r="T675" s="69"/>
      <c r="U675" s="49"/>
      <c r="V675" s="45" t="s">
        <v>1976</v>
      </c>
      <c r="W675" s="45">
        <v>331204010</v>
      </c>
      <c r="X675" s="43" t="s">
        <v>1977</v>
      </c>
      <c r="Y675" s="43" t="s">
        <v>1978</v>
      </c>
      <c r="Z675" s="71" t="s">
        <v>43</v>
      </c>
      <c r="AA675" s="71" t="s">
        <v>40</v>
      </c>
      <c r="AB675" s="48" t="s">
        <v>43</v>
      </c>
      <c r="AC675" s="75">
        <v>3460</v>
      </c>
      <c r="AD675" s="75">
        <v>3110</v>
      </c>
      <c r="AE675" s="80">
        <v>3040</v>
      </c>
      <c r="AF675" s="80">
        <v>2740</v>
      </c>
      <c r="AG675" s="80">
        <v>2330</v>
      </c>
      <c r="AH675" s="32"/>
      <c r="AI675" s="32"/>
      <c r="AJ675" s="32"/>
    </row>
    <row r="676" s="33" customFormat="1" ht="19" customHeight="1" spans="1:36">
      <c r="A676" s="45"/>
      <c r="B676" s="45"/>
      <c r="C676" s="45"/>
      <c r="D676" s="45"/>
      <c r="E676" s="49"/>
      <c r="F676" s="49"/>
      <c r="G676" s="45"/>
      <c r="H676" s="49"/>
      <c r="I676" s="53"/>
      <c r="J676" s="53"/>
      <c r="K676" s="84"/>
      <c r="L676" s="84"/>
      <c r="M676" s="84"/>
      <c r="N676" s="63"/>
      <c r="O676" s="63"/>
      <c r="P676" s="63"/>
      <c r="Q676" s="45"/>
      <c r="R676" s="45"/>
      <c r="S676" s="45"/>
      <c r="T676" s="69"/>
      <c r="U676" s="49"/>
      <c r="V676" s="45" t="s">
        <v>1979</v>
      </c>
      <c r="W676" s="45">
        <v>331204017</v>
      </c>
      <c r="X676" s="45" t="s">
        <v>1980</v>
      </c>
      <c r="Y676" s="43" t="s">
        <v>43</v>
      </c>
      <c r="Z676" s="71" t="s">
        <v>43</v>
      </c>
      <c r="AA676" s="71" t="s">
        <v>40</v>
      </c>
      <c r="AB676" s="48" t="s">
        <v>43</v>
      </c>
      <c r="AC676" s="75">
        <v>2880</v>
      </c>
      <c r="AD676" s="75">
        <v>2590</v>
      </c>
      <c r="AE676" s="80">
        <v>2530</v>
      </c>
      <c r="AF676" s="80">
        <v>2280</v>
      </c>
      <c r="AG676" s="80">
        <v>1940</v>
      </c>
      <c r="AH676" s="32"/>
      <c r="AI676" s="32"/>
      <c r="AJ676" s="32"/>
    </row>
    <row r="677" s="33" customFormat="1" ht="19" customHeight="1" spans="1:36">
      <c r="A677" s="45"/>
      <c r="B677" s="45"/>
      <c r="C677" s="45"/>
      <c r="D677" s="45"/>
      <c r="E677" s="49"/>
      <c r="F677" s="49"/>
      <c r="G677" s="45"/>
      <c r="H677" s="49"/>
      <c r="I677" s="53"/>
      <c r="J677" s="53"/>
      <c r="K677" s="84"/>
      <c r="L677" s="84"/>
      <c r="M677" s="84"/>
      <c r="N677" s="63"/>
      <c r="O677" s="63"/>
      <c r="P677" s="63"/>
      <c r="Q677" s="45"/>
      <c r="R677" s="45"/>
      <c r="S677" s="45"/>
      <c r="T677" s="69"/>
      <c r="U677" s="49"/>
      <c r="V677" s="45" t="s">
        <v>1981</v>
      </c>
      <c r="W677" s="45">
        <v>331204019</v>
      </c>
      <c r="X677" s="45" t="s">
        <v>1982</v>
      </c>
      <c r="Y677" s="43" t="s">
        <v>1983</v>
      </c>
      <c r="Z677" s="71" t="s">
        <v>43</v>
      </c>
      <c r="AA677" s="71" t="s">
        <v>40</v>
      </c>
      <c r="AB677" s="48" t="s">
        <v>43</v>
      </c>
      <c r="AC677" s="75">
        <v>1220</v>
      </c>
      <c r="AD677" s="75">
        <v>1090</v>
      </c>
      <c r="AE677" s="80">
        <v>1125</v>
      </c>
      <c r="AF677" s="80">
        <v>1080</v>
      </c>
      <c r="AG677" s="80">
        <v>918</v>
      </c>
      <c r="AH677" s="32"/>
      <c r="AI677" s="32"/>
      <c r="AJ677" s="32"/>
    </row>
    <row r="678" s="33" customFormat="1" ht="19" customHeight="1" spans="1:36">
      <c r="A678" s="43" t="s">
        <v>81</v>
      </c>
      <c r="B678" s="112" t="s">
        <v>1984</v>
      </c>
      <c r="C678" s="43" t="s">
        <v>1985</v>
      </c>
      <c r="D678" s="43" t="s">
        <v>213</v>
      </c>
      <c r="E678" s="48" t="s">
        <v>43</v>
      </c>
      <c r="F678" s="48" t="s">
        <v>43</v>
      </c>
      <c r="G678" s="43" t="s">
        <v>40</v>
      </c>
      <c r="H678" s="48" t="s">
        <v>43</v>
      </c>
      <c r="I678" s="53">
        <v>581</v>
      </c>
      <c r="J678" s="53">
        <v>523</v>
      </c>
      <c r="K678" s="55">
        <v>485</v>
      </c>
      <c r="L678" s="55">
        <v>436</v>
      </c>
      <c r="M678" s="84"/>
      <c r="N678" s="63">
        <v>515</v>
      </c>
      <c r="O678" s="63">
        <v>460</v>
      </c>
      <c r="P678" s="63">
        <v>385</v>
      </c>
      <c r="Q678" s="45" t="s">
        <v>42</v>
      </c>
      <c r="R678" s="45" t="s">
        <v>43</v>
      </c>
      <c r="S678" s="45" t="s">
        <v>43</v>
      </c>
      <c r="T678" s="69"/>
      <c r="U678" s="49" t="s">
        <v>446</v>
      </c>
      <c r="V678" s="45" t="s">
        <v>1986</v>
      </c>
      <c r="W678" s="45">
        <v>33120401401</v>
      </c>
      <c r="X678" s="43" t="s">
        <v>1987</v>
      </c>
      <c r="Y678" s="43" t="s">
        <v>43</v>
      </c>
      <c r="Z678" s="71" t="s">
        <v>43</v>
      </c>
      <c r="AA678" s="71" t="s">
        <v>40</v>
      </c>
      <c r="AB678" s="48" t="s">
        <v>43</v>
      </c>
      <c r="AC678" s="75">
        <v>2495</v>
      </c>
      <c r="AD678" s="75">
        <v>2250</v>
      </c>
      <c r="AE678" s="80">
        <v>2195</v>
      </c>
      <c r="AF678" s="80">
        <v>1975</v>
      </c>
      <c r="AG678" s="80">
        <v>1680</v>
      </c>
      <c r="AH678" s="32"/>
      <c r="AI678" s="32"/>
      <c r="AJ678" s="32"/>
    </row>
    <row r="679" s="33" customFormat="1" ht="19" customHeight="1" spans="1:36">
      <c r="A679" s="43"/>
      <c r="B679" s="43"/>
      <c r="C679" s="43"/>
      <c r="D679" s="43"/>
      <c r="E679" s="48"/>
      <c r="F679" s="48"/>
      <c r="G679" s="43"/>
      <c r="H679" s="48"/>
      <c r="I679" s="76"/>
      <c r="J679" s="76"/>
      <c r="K679" s="55"/>
      <c r="L679" s="55"/>
      <c r="M679" s="84"/>
      <c r="N679" s="63"/>
      <c r="O679" s="63"/>
      <c r="P679" s="63"/>
      <c r="Q679" s="45"/>
      <c r="R679" s="45"/>
      <c r="S679" s="45"/>
      <c r="T679" s="69"/>
      <c r="U679" s="49"/>
      <c r="V679" s="45" t="s">
        <v>1988</v>
      </c>
      <c r="W679" s="45">
        <v>33120401301</v>
      </c>
      <c r="X679" s="43" t="s">
        <v>1989</v>
      </c>
      <c r="Y679" s="43" t="s">
        <v>43</v>
      </c>
      <c r="Z679" s="71" t="s">
        <v>43</v>
      </c>
      <c r="AA679" s="71" t="s">
        <v>40</v>
      </c>
      <c r="AB679" s="48" t="s">
        <v>43</v>
      </c>
      <c r="AC679" s="75">
        <v>2495</v>
      </c>
      <c r="AD679" s="75">
        <v>2250</v>
      </c>
      <c r="AE679" s="80">
        <v>2195</v>
      </c>
      <c r="AF679" s="80">
        <v>1975</v>
      </c>
      <c r="AG679" s="80">
        <v>1680</v>
      </c>
      <c r="AH679" s="32"/>
      <c r="AI679" s="32"/>
      <c r="AJ679" s="32"/>
    </row>
    <row r="680" s="33" customFormat="1" ht="19" customHeight="1" spans="1:36">
      <c r="A680" s="43"/>
      <c r="B680" s="43"/>
      <c r="C680" s="43"/>
      <c r="D680" s="43"/>
      <c r="E680" s="48"/>
      <c r="F680" s="48"/>
      <c r="G680" s="43"/>
      <c r="H680" s="48"/>
      <c r="I680" s="76"/>
      <c r="J680" s="76"/>
      <c r="K680" s="55"/>
      <c r="L680" s="55"/>
      <c r="M680" s="84"/>
      <c r="N680" s="63"/>
      <c r="O680" s="63"/>
      <c r="P680" s="63"/>
      <c r="Q680" s="45"/>
      <c r="R680" s="45"/>
      <c r="S680" s="45"/>
      <c r="T680" s="69"/>
      <c r="U680" s="49"/>
      <c r="V680" s="45" t="s">
        <v>1990</v>
      </c>
      <c r="W680" s="45">
        <v>33120401502</v>
      </c>
      <c r="X680" s="45" t="s">
        <v>1991</v>
      </c>
      <c r="Y680" s="43" t="s">
        <v>43</v>
      </c>
      <c r="Z680" s="71" t="s">
        <v>43</v>
      </c>
      <c r="AA680" s="71" t="s">
        <v>40</v>
      </c>
      <c r="AB680" s="48" t="s">
        <v>43</v>
      </c>
      <c r="AC680" s="75">
        <v>3745</v>
      </c>
      <c r="AD680" s="75">
        <v>3365</v>
      </c>
      <c r="AE680" s="80">
        <v>3290</v>
      </c>
      <c r="AF680" s="80">
        <v>2965</v>
      </c>
      <c r="AG680" s="80">
        <v>2520</v>
      </c>
      <c r="AH680" s="32"/>
      <c r="AI680" s="32"/>
      <c r="AJ680" s="32"/>
    </row>
    <row r="681" s="33" customFormat="1" ht="19" customHeight="1" spans="1:36">
      <c r="A681" s="43"/>
      <c r="B681" s="43"/>
      <c r="C681" s="43"/>
      <c r="D681" s="43"/>
      <c r="E681" s="48"/>
      <c r="F681" s="48"/>
      <c r="G681" s="43"/>
      <c r="H681" s="48"/>
      <c r="I681" s="76"/>
      <c r="J681" s="76"/>
      <c r="K681" s="55"/>
      <c r="L681" s="55"/>
      <c r="M681" s="84"/>
      <c r="N681" s="63"/>
      <c r="O681" s="63"/>
      <c r="P681" s="63"/>
      <c r="Q681" s="45"/>
      <c r="R681" s="45"/>
      <c r="S681" s="45"/>
      <c r="T681" s="69"/>
      <c r="U681" s="49"/>
      <c r="V681" s="45" t="s">
        <v>1992</v>
      </c>
      <c r="W681" s="45">
        <v>33120401503</v>
      </c>
      <c r="X681" s="45" t="s">
        <v>1993</v>
      </c>
      <c r="Y681" s="43" t="s">
        <v>43</v>
      </c>
      <c r="Z681" s="71" t="s">
        <v>43</v>
      </c>
      <c r="AA681" s="71" t="s">
        <v>40</v>
      </c>
      <c r="AB681" s="48" t="s">
        <v>1975</v>
      </c>
      <c r="AC681" s="75">
        <v>4680</v>
      </c>
      <c r="AD681" s="75">
        <v>4210</v>
      </c>
      <c r="AE681" s="80">
        <v>4135</v>
      </c>
      <c r="AF681" s="80">
        <v>3725</v>
      </c>
      <c r="AG681" s="80">
        <v>3165</v>
      </c>
      <c r="AH681" s="32"/>
      <c r="AI681" s="32"/>
      <c r="AJ681" s="32"/>
    </row>
    <row r="682" s="33" customFormat="1" ht="19" customHeight="1" spans="1:36">
      <c r="A682" s="43"/>
      <c r="B682" s="43"/>
      <c r="C682" s="43"/>
      <c r="D682" s="43"/>
      <c r="E682" s="48"/>
      <c r="F682" s="48"/>
      <c r="G682" s="43"/>
      <c r="H682" s="48"/>
      <c r="I682" s="76"/>
      <c r="J682" s="76"/>
      <c r="K682" s="55"/>
      <c r="L682" s="55"/>
      <c r="M682" s="84"/>
      <c r="N682" s="63"/>
      <c r="O682" s="63"/>
      <c r="P682" s="63"/>
      <c r="Q682" s="45"/>
      <c r="R682" s="45"/>
      <c r="S682" s="45"/>
      <c r="T682" s="69"/>
      <c r="U682" s="49"/>
      <c r="V682" s="45" t="s">
        <v>1994</v>
      </c>
      <c r="W682" s="45">
        <v>33120401001</v>
      </c>
      <c r="X682" s="43" t="s">
        <v>1995</v>
      </c>
      <c r="Y682" s="43" t="s">
        <v>43</v>
      </c>
      <c r="Z682" s="71" t="s">
        <v>43</v>
      </c>
      <c r="AA682" s="71" t="s">
        <v>40</v>
      </c>
      <c r="AB682" s="48" t="s">
        <v>43</v>
      </c>
      <c r="AC682" s="75">
        <v>4500</v>
      </c>
      <c r="AD682" s="75">
        <v>4045</v>
      </c>
      <c r="AE682" s="80">
        <v>3950</v>
      </c>
      <c r="AF682" s="80">
        <v>3560</v>
      </c>
      <c r="AG682" s="80">
        <v>3025</v>
      </c>
      <c r="AH682" s="32"/>
      <c r="AI682" s="32"/>
      <c r="AJ682" s="32"/>
    </row>
    <row r="683" s="33" customFormat="1" ht="19" customHeight="1" spans="1:36">
      <c r="A683" s="43"/>
      <c r="B683" s="43"/>
      <c r="C683" s="43"/>
      <c r="D683" s="43"/>
      <c r="E683" s="48"/>
      <c r="F683" s="48"/>
      <c r="G683" s="43"/>
      <c r="H683" s="48"/>
      <c r="I683" s="76"/>
      <c r="J683" s="76"/>
      <c r="K683" s="55"/>
      <c r="L683" s="55"/>
      <c r="M683" s="84"/>
      <c r="N683" s="63"/>
      <c r="O683" s="63"/>
      <c r="P683" s="63"/>
      <c r="Q683" s="45"/>
      <c r="R683" s="45"/>
      <c r="S683" s="45"/>
      <c r="T683" s="69"/>
      <c r="U683" s="49"/>
      <c r="V683" s="45" t="s">
        <v>1996</v>
      </c>
      <c r="W683" s="45">
        <v>33120401701</v>
      </c>
      <c r="X683" s="45" t="s">
        <v>1997</v>
      </c>
      <c r="Y683" s="43" t="s">
        <v>43</v>
      </c>
      <c r="Z683" s="71" t="s">
        <v>43</v>
      </c>
      <c r="AA683" s="71" t="s">
        <v>40</v>
      </c>
      <c r="AB683" s="48" t="s">
        <v>43</v>
      </c>
      <c r="AC683" s="75">
        <v>3745</v>
      </c>
      <c r="AD683" s="75">
        <v>3365</v>
      </c>
      <c r="AE683" s="80">
        <v>3290</v>
      </c>
      <c r="AF683" s="80">
        <v>2965</v>
      </c>
      <c r="AG683" s="80">
        <v>2520</v>
      </c>
      <c r="AH683" s="32"/>
      <c r="AI683" s="32"/>
      <c r="AJ683" s="32"/>
    </row>
    <row r="684" s="33" customFormat="1" ht="19" customHeight="1" spans="1:36">
      <c r="A684" s="43"/>
      <c r="B684" s="43"/>
      <c r="C684" s="43"/>
      <c r="D684" s="43"/>
      <c r="E684" s="48"/>
      <c r="F684" s="48"/>
      <c r="G684" s="43"/>
      <c r="H684" s="48"/>
      <c r="I684" s="76"/>
      <c r="J684" s="76"/>
      <c r="K684" s="55"/>
      <c r="L684" s="55"/>
      <c r="M684" s="84"/>
      <c r="N684" s="63"/>
      <c r="O684" s="63"/>
      <c r="P684" s="63"/>
      <c r="Q684" s="45"/>
      <c r="R684" s="45"/>
      <c r="S684" s="45"/>
      <c r="T684" s="69"/>
      <c r="U684" s="49"/>
      <c r="V684" s="45" t="s">
        <v>1998</v>
      </c>
      <c r="W684" s="45">
        <v>33120401901</v>
      </c>
      <c r="X684" s="45" t="s">
        <v>1999</v>
      </c>
      <c r="Y684" s="43" t="s">
        <v>43</v>
      </c>
      <c r="Z684" s="71" t="s">
        <v>43</v>
      </c>
      <c r="AA684" s="71" t="s">
        <v>40</v>
      </c>
      <c r="AB684" s="48" t="s">
        <v>43</v>
      </c>
      <c r="AC684" s="75">
        <v>1585</v>
      </c>
      <c r="AD684" s="75">
        <v>1415</v>
      </c>
      <c r="AE684" s="80">
        <v>1465</v>
      </c>
      <c r="AF684" s="80">
        <v>1405</v>
      </c>
      <c r="AG684" s="80">
        <v>1195</v>
      </c>
      <c r="AH684" s="32"/>
      <c r="AI684" s="32"/>
      <c r="AJ684" s="32"/>
    </row>
    <row r="685" s="33" customFormat="1" ht="32" customHeight="1" spans="1:36">
      <c r="A685" s="45">
        <v>103</v>
      </c>
      <c r="B685" s="45" t="s">
        <v>2000</v>
      </c>
      <c r="C685" s="45" t="s">
        <v>2001</v>
      </c>
      <c r="D685" s="45" t="s">
        <v>213</v>
      </c>
      <c r="E685" s="49" t="s">
        <v>2002</v>
      </c>
      <c r="F685" s="49" t="s">
        <v>2003</v>
      </c>
      <c r="G685" s="45" t="s">
        <v>40</v>
      </c>
      <c r="H685" s="49" t="s">
        <v>43</v>
      </c>
      <c r="I685" s="53">
        <v>1220</v>
      </c>
      <c r="J685" s="53">
        <v>1098</v>
      </c>
      <c r="K685" s="55"/>
      <c r="L685" s="55"/>
      <c r="M685" s="55"/>
      <c r="N685" s="63">
        <v>1100</v>
      </c>
      <c r="O685" s="63">
        <v>990</v>
      </c>
      <c r="P685" s="63">
        <v>840</v>
      </c>
      <c r="Q685" s="45" t="s">
        <v>42</v>
      </c>
      <c r="R685" s="45" t="s">
        <v>43</v>
      </c>
      <c r="S685" s="45" t="s">
        <v>43</v>
      </c>
      <c r="T685" s="69" t="s">
        <v>67</v>
      </c>
      <c r="U685" s="49" t="s">
        <v>566</v>
      </c>
      <c r="V685" s="43" t="s">
        <v>2004</v>
      </c>
      <c r="W685" s="71">
        <v>331204018</v>
      </c>
      <c r="X685" s="43" t="s">
        <v>2005</v>
      </c>
      <c r="Y685" s="43" t="s">
        <v>43</v>
      </c>
      <c r="Z685" s="71" t="s">
        <v>43</v>
      </c>
      <c r="AA685" s="71" t="s">
        <v>40</v>
      </c>
      <c r="AB685" s="48" t="s">
        <v>43</v>
      </c>
      <c r="AC685" s="75">
        <v>1080</v>
      </c>
      <c r="AD685" s="75">
        <v>970</v>
      </c>
      <c r="AE685" s="80">
        <v>1000</v>
      </c>
      <c r="AF685" s="80">
        <v>960</v>
      </c>
      <c r="AG685" s="80">
        <v>816</v>
      </c>
      <c r="AH685" s="32"/>
      <c r="AI685" s="32"/>
      <c r="AJ685" s="32"/>
    </row>
    <row r="686" s="33" customFormat="1" ht="32" customHeight="1" spans="1:36">
      <c r="A686" s="45"/>
      <c r="B686" s="45"/>
      <c r="C686" s="45"/>
      <c r="D686" s="45"/>
      <c r="E686" s="49"/>
      <c r="F686" s="49"/>
      <c r="G686" s="45"/>
      <c r="H686" s="49"/>
      <c r="I686" s="53"/>
      <c r="J686" s="53"/>
      <c r="K686" s="55"/>
      <c r="L686" s="55"/>
      <c r="M686" s="55"/>
      <c r="N686" s="63"/>
      <c r="O686" s="63"/>
      <c r="P686" s="63"/>
      <c r="Q686" s="45"/>
      <c r="R686" s="45"/>
      <c r="S686" s="45"/>
      <c r="T686" s="69"/>
      <c r="U686" s="49"/>
      <c r="V686" s="43" t="s">
        <v>2006</v>
      </c>
      <c r="W686" s="71">
        <v>331204016</v>
      </c>
      <c r="X686" s="43" t="s">
        <v>2007</v>
      </c>
      <c r="Y686" s="43" t="s">
        <v>43</v>
      </c>
      <c r="Z686" s="71" t="s">
        <v>43</v>
      </c>
      <c r="AA686" s="71" t="s">
        <v>40</v>
      </c>
      <c r="AB686" s="48" t="s">
        <v>43</v>
      </c>
      <c r="AC686" s="75">
        <v>1220</v>
      </c>
      <c r="AD686" s="75">
        <v>1090</v>
      </c>
      <c r="AE686" s="80">
        <v>1125</v>
      </c>
      <c r="AF686" s="80">
        <v>1080</v>
      </c>
      <c r="AG686" s="80">
        <v>918</v>
      </c>
      <c r="AH686" s="32"/>
      <c r="AI686" s="32"/>
      <c r="AJ686" s="32"/>
    </row>
    <row r="687" s="30" customFormat="1" ht="18" customHeight="1" spans="1:36">
      <c r="A687" s="43" t="s">
        <v>81</v>
      </c>
      <c r="B687" s="43" t="s">
        <v>2008</v>
      </c>
      <c r="C687" s="43" t="s">
        <v>2009</v>
      </c>
      <c r="D687" s="43" t="s">
        <v>213</v>
      </c>
      <c r="E687" s="48" t="s">
        <v>43</v>
      </c>
      <c r="F687" s="48" t="s">
        <v>43</v>
      </c>
      <c r="G687" s="43" t="s">
        <v>40</v>
      </c>
      <c r="H687" s="48" t="s">
        <v>43</v>
      </c>
      <c r="I687" s="53">
        <v>366</v>
      </c>
      <c r="J687" s="53">
        <v>329</v>
      </c>
      <c r="K687" s="54"/>
      <c r="L687" s="54"/>
      <c r="M687" s="54"/>
      <c r="N687" s="63">
        <v>330</v>
      </c>
      <c r="O687" s="63">
        <v>295</v>
      </c>
      <c r="P687" s="63">
        <v>250</v>
      </c>
      <c r="Q687" s="45" t="s">
        <v>42</v>
      </c>
      <c r="R687" s="45" t="s">
        <v>43</v>
      </c>
      <c r="S687" s="45" t="s">
        <v>43</v>
      </c>
      <c r="T687" s="69"/>
      <c r="U687" s="49" t="s">
        <v>446</v>
      </c>
      <c r="V687" s="45" t="s">
        <v>2010</v>
      </c>
      <c r="W687" s="45">
        <v>33120401801</v>
      </c>
      <c r="X687" s="45" t="s">
        <v>2011</v>
      </c>
      <c r="Y687" s="43" t="s">
        <v>43</v>
      </c>
      <c r="Z687" s="71" t="s">
        <v>43</v>
      </c>
      <c r="AA687" s="71" t="s">
        <v>40</v>
      </c>
      <c r="AB687" s="48" t="s">
        <v>43</v>
      </c>
      <c r="AC687" s="75">
        <v>1405</v>
      </c>
      <c r="AD687" s="75">
        <v>1260</v>
      </c>
      <c r="AE687" s="80">
        <v>1300</v>
      </c>
      <c r="AF687" s="80">
        <v>1250</v>
      </c>
      <c r="AG687" s="80">
        <v>1065</v>
      </c>
      <c r="AH687" s="32"/>
      <c r="AI687" s="32"/>
      <c r="AJ687" s="32"/>
    </row>
    <row r="688" s="30" customFormat="1" ht="18" customHeight="1" spans="1:36">
      <c r="A688" s="43"/>
      <c r="B688" s="43"/>
      <c r="C688" s="43"/>
      <c r="D688" s="43"/>
      <c r="E688" s="48"/>
      <c r="F688" s="48"/>
      <c r="G688" s="43"/>
      <c r="H688" s="48"/>
      <c r="I688" s="76"/>
      <c r="J688" s="76"/>
      <c r="K688" s="54"/>
      <c r="L688" s="54"/>
      <c r="M688" s="54"/>
      <c r="N688" s="63"/>
      <c r="O688" s="63"/>
      <c r="P688" s="63"/>
      <c r="Q688" s="45"/>
      <c r="R688" s="45"/>
      <c r="S688" s="45"/>
      <c r="T688" s="69"/>
      <c r="U688" s="49"/>
      <c r="V688" s="45" t="s">
        <v>2012</v>
      </c>
      <c r="W688" s="45">
        <v>33120401601</v>
      </c>
      <c r="X688" s="45" t="s">
        <v>2013</v>
      </c>
      <c r="Y688" s="43" t="s">
        <v>43</v>
      </c>
      <c r="Z688" s="71" t="s">
        <v>43</v>
      </c>
      <c r="AA688" s="71" t="s">
        <v>40</v>
      </c>
      <c r="AB688" s="48" t="s">
        <v>43</v>
      </c>
      <c r="AC688" s="75">
        <v>1585</v>
      </c>
      <c r="AD688" s="75">
        <v>1415</v>
      </c>
      <c r="AE688" s="80">
        <v>1465</v>
      </c>
      <c r="AF688" s="80">
        <v>1405</v>
      </c>
      <c r="AG688" s="80">
        <v>1195</v>
      </c>
      <c r="AH688" s="32"/>
      <c r="AI688" s="32"/>
      <c r="AJ688" s="32"/>
    </row>
    <row r="689" s="30" customFormat="1" ht="62" customHeight="1" spans="1:36">
      <c r="A689" s="45">
        <v>104</v>
      </c>
      <c r="B689" s="45" t="s">
        <v>2014</v>
      </c>
      <c r="C689" s="45" t="s">
        <v>2015</v>
      </c>
      <c r="D689" s="45" t="s">
        <v>213</v>
      </c>
      <c r="E689" s="49" t="s">
        <v>2016</v>
      </c>
      <c r="F689" s="49" t="s">
        <v>2017</v>
      </c>
      <c r="G689" s="45" t="s">
        <v>40</v>
      </c>
      <c r="H689" s="49" t="s">
        <v>43</v>
      </c>
      <c r="I689" s="53">
        <v>380</v>
      </c>
      <c r="J689" s="53">
        <v>342</v>
      </c>
      <c r="K689" s="55"/>
      <c r="L689" s="55"/>
      <c r="M689" s="55"/>
      <c r="N689" s="63">
        <v>345</v>
      </c>
      <c r="O689" s="63">
        <v>310</v>
      </c>
      <c r="P689" s="63">
        <v>265</v>
      </c>
      <c r="Q689" s="45" t="s">
        <v>54</v>
      </c>
      <c r="R689" s="45" t="s">
        <v>43</v>
      </c>
      <c r="S689" s="45" t="s">
        <v>43</v>
      </c>
      <c r="T689" s="69" t="s">
        <v>99</v>
      </c>
      <c r="U689" s="49" t="s">
        <v>2018</v>
      </c>
      <c r="V689" s="45" t="s">
        <v>2019</v>
      </c>
      <c r="W689" s="45">
        <v>331204004</v>
      </c>
      <c r="X689" s="45" t="s">
        <v>2020</v>
      </c>
      <c r="Y689" s="43" t="s">
        <v>43</v>
      </c>
      <c r="Z689" s="71" t="s">
        <v>43</v>
      </c>
      <c r="AA689" s="71" t="s">
        <v>40</v>
      </c>
      <c r="AB689" s="48" t="s">
        <v>43</v>
      </c>
      <c r="AC689" s="75">
        <v>250</v>
      </c>
      <c r="AD689" s="75">
        <v>225</v>
      </c>
      <c r="AE689" s="80">
        <v>250</v>
      </c>
      <c r="AF689" s="80">
        <v>240</v>
      </c>
      <c r="AG689" s="80">
        <v>204</v>
      </c>
      <c r="AH689" s="32" t="s">
        <v>549</v>
      </c>
      <c r="AI689" s="32"/>
      <c r="AJ689" s="32"/>
    </row>
    <row r="690" s="30" customFormat="1" ht="34" customHeight="1" spans="1:36">
      <c r="A690" s="43" t="s">
        <v>81</v>
      </c>
      <c r="B690" s="43" t="s">
        <v>2021</v>
      </c>
      <c r="C690" s="43" t="s">
        <v>2022</v>
      </c>
      <c r="D690" s="43" t="s">
        <v>213</v>
      </c>
      <c r="E690" s="48" t="s">
        <v>43</v>
      </c>
      <c r="F690" s="48" t="s">
        <v>43</v>
      </c>
      <c r="G690" s="43" t="s">
        <v>40</v>
      </c>
      <c r="H690" s="48" t="s">
        <v>43</v>
      </c>
      <c r="I690" s="53">
        <v>114</v>
      </c>
      <c r="J690" s="53">
        <v>103</v>
      </c>
      <c r="K690" s="54"/>
      <c r="L690" s="54"/>
      <c r="M690" s="54"/>
      <c r="N690" s="63">
        <v>105</v>
      </c>
      <c r="O690" s="63">
        <v>93</v>
      </c>
      <c r="P690" s="63">
        <v>80</v>
      </c>
      <c r="Q690" s="45" t="s">
        <v>54</v>
      </c>
      <c r="R690" s="45" t="s">
        <v>43</v>
      </c>
      <c r="S690" s="45" t="s">
        <v>43</v>
      </c>
      <c r="T690" s="69"/>
      <c r="U690" s="49" t="s">
        <v>446</v>
      </c>
      <c r="V690" s="45" t="s">
        <v>2023</v>
      </c>
      <c r="W690" s="45">
        <v>33120400401</v>
      </c>
      <c r="X690" s="45" t="s">
        <v>2024</v>
      </c>
      <c r="Y690" s="43" t="s">
        <v>43</v>
      </c>
      <c r="Z690" s="71" t="s">
        <v>43</v>
      </c>
      <c r="AA690" s="71" t="s">
        <v>40</v>
      </c>
      <c r="AB690" s="48" t="s">
        <v>43</v>
      </c>
      <c r="AC690" s="75">
        <v>325</v>
      </c>
      <c r="AD690" s="75">
        <v>295</v>
      </c>
      <c r="AE690" s="80">
        <v>325</v>
      </c>
      <c r="AF690" s="80">
        <v>310</v>
      </c>
      <c r="AG690" s="80">
        <v>265</v>
      </c>
      <c r="AH690" s="32" t="s">
        <v>549</v>
      </c>
      <c r="AI690" s="32"/>
      <c r="AJ690" s="32"/>
    </row>
    <row r="691" ht="33" customHeight="1" spans="1:33">
      <c r="A691" s="45">
        <v>105</v>
      </c>
      <c r="B691" s="45" t="s">
        <v>2025</v>
      </c>
      <c r="C691" s="45" t="s">
        <v>2026</v>
      </c>
      <c r="D691" s="45" t="s">
        <v>127</v>
      </c>
      <c r="E691" s="49" t="s">
        <v>2027</v>
      </c>
      <c r="F691" s="49" t="s">
        <v>2028</v>
      </c>
      <c r="G691" s="45" t="s">
        <v>40</v>
      </c>
      <c r="H691" s="49" t="s">
        <v>43</v>
      </c>
      <c r="I691" s="53">
        <v>55</v>
      </c>
      <c r="J691" s="53">
        <v>50</v>
      </c>
      <c r="K691" s="55">
        <v>55</v>
      </c>
      <c r="L691" s="55">
        <v>50</v>
      </c>
      <c r="M691" s="55">
        <v>42.5</v>
      </c>
      <c r="N691" s="63">
        <v>55</v>
      </c>
      <c r="O691" s="63">
        <v>50</v>
      </c>
      <c r="P691" s="63">
        <v>43</v>
      </c>
      <c r="Q691" s="45" t="s">
        <v>54</v>
      </c>
      <c r="R691" s="45" t="s">
        <v>2029</v>
      </c>
      <c r="S691" s="45" t="s">
        <v>43</v>
      </c>
      <c r="T691" s="69" t="s">
        <v>55</v>
      </c>
      <c r="U691" s="49" t="s">
        <v>2030</v>
      </c>
      <c r="V691" s="43" t="s">
        <v>2031</v>
      </c>
      <c r="W691" s="71">
        <v>311100001</v>
      </c>
      <c r="X691" s="43" t="s">
        <v>2032</v>
      </c>
      <c r="Y691" s="43" t="s">
        <v>43</v>
      </c>
      <c r="Z691" s="71" t="s">
        <v>288</v>
      </c>
      <c r="AA691" s="71" t="s">
        <v>40</v>
      </c>
      <c r="AB691" s="48" t="s">
        <v>43</v>
      </c>
      <c r="AC691" s="75">
        <v>55</v>
      </c>
      <c r="AD691" s="75">
        <v>50</v>
      </c>
      <c r="AE691" s="80">
        <v>55</v>
      </c>
      <c r="AF691" s="80">
        <v>50</v>
      </c>
      <c r="AG691" s="80">
        <v>42.5</v>
      </c>
    </row>
    <row r="692" ht="33" customHeight="1" spans="1:33">
      <c r="A692" s="45"/>
      <c r="B692" s="45"/>
      <c r="C692" s="45"/>
      <c r="D692" s="45"/>
      <c r="E692" s="49"/>
      <c r="F692" s="49"/>
      <c r="G692" s="45"/>
      <c r="H692" s="49"/>
      <c r="I692" s="53"/>
      <c r="J692" s="53"/>
      <c r="K692" s="55"/>
      <c r="L692" s="55"/>
      <c r="M692" s="55"/>
      <c r="N692" s="63"/>
      <c r="O692" s="63"/>
      <c r="P692" s="63"/>
      <c r="Q692" s="45"/>
      <c r="R692" s="45"/>
      <c r="S692" s="45"/>
      <c r="T692" s="69"/>
      <c r="U692" s="49"/>
      <c r="V692" s="43" t="s">
        <v>2033</v>
      </c>
      <c r="W692" s="71">
        <v>311100002</v>
      </c>
      <c r="X692" s="43" t="s">
        <v>2034</v>
      </c>
      <c r="Y692" s="43" t="s">
        <v>43</v>
      </c>
      <c r="Z692" s="71" t="s">
        <v>43</v>
      </c>
      <c r="AA692" s="71" t="s">
        <v>40</v>
      </c>
      <c r="AB692" s="48" t="s">
        <v>43</v>
      </c>
      <c r="AC692" s="75">
        <v>55</v>
      </c>
      <c r="AD692" s="75">
        <v>50</v>
      </c>
      <c r="AE692" s="80">
        <v>55</v>
      </c>
      <c r="AF692" s="80">
        <v>50</v>
      </c>
      <c r="AG692" s="80">
        <v>42.5</v>
      </c>
    </row>
    <row r="693" ht="44" customHeight="1" spans="1:33">
      <c r="A693" s="45">
        <v>106</v>
      </c>
      <c r="B693" s="45" t="s">
        <v>2035</v>
      </c>
      <c r="C693" s="45" t="s">
        <v>2036</v>
      </c>
      <c r="D693" s="45" t="s">
        <v>213</v>
      </c>
      <c r="E693" s="49" t="s">
        <v>2037</v>
      </c>
      <c r="F693" s="49" t="s">
        <v>2038</v>
      </c>
      <c r="G693" s="45" t="s">
        <v>40</v>
      </c>
      <c r="H693" s="49" t="s">
        <v>43</v>
      </c>
      <c r="I693" s="53">
        <v>250</v>
      </c>
      <c r="J693" s="53">
        <v>225</v>
      </c>
      <c r="K693" s="55">
        <v>250</v>
      </c>
      <c r="L693" s="55">
        <v>240</v>
      </c>
      <c r="M693" s="55">
        <v>204</v>
      </c>
      <c r="N693" s="63">
        <v>250</v>
      </c>
      <c r="O693" s="63">
        <v>225</v>
      </c>
      <c r="P693" s="63">
        <v>190</v>
      </c>
      <c r="Q693" s="45" t="s">
        <v>54</v>
      </c>
      <c r="R693" s="45" t="s">
        <v>43</v>
      </c>
      <c r="S693" s="45" t="s">
        <v>43</v>
      </c>
      <c r="T693" s="69" t="s">
        <v>76</v>
      </c>
      <c r="U693" s="49" t="s">
        <v>77</v>
      </c>
      <c r="V693" s="43" t="s">
        <v>2039</v>
      </c>
      <c r="W693" s="71">
        <v>331204001</v>
      </c>
      <c r="X693" s="43" t="s">
        <v>2040</v>
      </c>
      <c r="Y693" s="43" t="s">
        <v>2041</v>
      </c>
      <c r="Z693" s="71" t="s">
        <v>43</v>
      </c>
      <c r="AA693" s="71" t="s">
        <v>40</v>
      </c>
      <c r="AB693" s="48" t="s">
        <v>43</v>
      </c>
      <c r="AC693" s="75">
        <v>250</v>
      </c>
      <c r="AD693" s="75">
        <v>225</v>
      </c>
      <c r="AE693" s="80">
        <v>250</v>
      </c>
      <c r="AF693" s="80">
        <v>240</v>
      </c>
      <c r="AG693" s="80">
        <v>204</v>
      </c>
    </row>
    <row r="694" ht="44" customHeight="1" spans="1:33">
      <c r="A694" s="45"/>
      <c r="B694" s="45"/>
      <c r="C694" s="45"/>
      <c r="D694" s="45"/>
      <c r="E694" s="49"/>
      <c r="F694" s="49"/>
      <c r="G694" s="45"/>
      <c r="H694" s="49"/>
      <c r="I694" s="53"/>
      <c r="J694" s="53"/>
      <c r="K694" s="55"/>
      <c r="L694" s="55"/>
      <c r="M694" s="55"/>
      <c r="N694" s="63"/>
      <c r="O694" s="63"/>
      <c r="P694" s="63"/>
      <c r="Q694" s="45"/>
      <c r="R694" s="45"/>
      <c r="S694" s="45"/>
      <c r="T694" s="69"/>
      <c r="U694" s="49"/>
      <c r="V694" s="43" t="s">
        <v>2042</v>
      </c>
      <c r="W694" s="71">
        <v>33120400101</v>
      </c>
      <c r="X694" s="43" t="s">
        <v>2043</v>
      </c>
      <c r="Y694" s="43" t="s">
        <v>43</v>
      </c>
      <c r="Z694" s="71" t="s">
        <v>43</v>
      </c>
      <c r="AA694" s="71" t="s">
        <v>40</v>
      </c>
      <c r="AB694" s="48" t="s">
        <v>2044</v>
      </c>
      <c r="AC694" s="75">
        <v>250</v>
      </c>
      <c r="AD694" s="75">
        <v>225</v>
      </c>
      <c r="AE694" s="80">
        <v>250</v>
      </c>
      <c r="AF694" s="80">
        <v>240</v>
      </c>
      <c r="AG694" s="80">
        <v>204</v>
      </c>
    </row>
    <row r="695" ht="23" customHeight="1" spans="1:33">
      <c r="A695" s="43" t="s">
        <v>81</v>
      </c>
      <c r="B695" s="43" t="s">
        <v>2045</v>
      </c>
      <c r="C695" s="43" t="s">
        <v>2046</v>
      </c>
      <c r="D695" s="43" t="s">
        <v>213</v>
      </c>
      <c r="E695" s="48" t="s">
        <v>43</v>
      </c>
      <c r="F695" s="48" t="s">
        <v>43</v>
      </c>
      <c r="G695" s="43" t="s">
        <v>40</v>
      </c>
      <c r="H695" s="48" t="s">
        <v>43</v>
      </c>
      <c r="I695" s="53">
        <v>75</v>
      </c>
      <c r="J695" s="53">
        <v>68</v>
      </c>
      <c r="K695" s="54"/>
      <c r="L695" s="54">
        <v>85</v>
      </c>
      <c r="M695" s="54">
        <v>75</v>
      </c>
      <c r="N695" s="63">
        <v>75</v>
      </c>
      <c r="O695" s="63">
        <v>68</v>
      </c>
      <c r="P695" s="63">
        <v>57</v>
      </c>
      <c r="Q695" s="45" t="s">
        <v>54</v>
      </c>
      <c r="R695" s="45" t="s">
        <v>43</v>
      </c>
      <c r="S695" s="45" t="s">
        <v>43</v>
      </c>
      <c r="T695" s="69"/>
      <c r="U695" s="49" t="s">
        <v>446</v>
      </c>
      <c r="V695" s="45" t="s">
        <v>2047</v>
      </c>
      <c r="W695" s="45">
        <v>33120400102</v>
      </c>
      <c r="X695" s="45" t="s">
        <v>2048</v>
      </c>
      <c r="Y695" s="43" t="s">
        <v>43</v>
      </c>
      <c r="Z695" s="71" t="s">
        <v>43</v>
      </c>
      <c r="AA695" s="71" t="s">
        <v>40</v>
      </c>
      <c r="AB695" s="48" t="s">
        <v>43</v>
      </c>
      <c r="AC695" s="75">
        <v>325</v>
      </c>
      <c r="AD695" s="75">
        <v>295</v>
      </c>
      <c r="AE695" s="80">
        <v>325</v>
      </c>
      <c r="AF695" s="80">
        <v>310</v>
      </c>
      <c r="AG695" s="80">
        <v>265</v>
      </c>
    </row>
    <row r="696" ht="23" customHeight="1" spans="1:33">
      <c r="A696" s="43"/>
      <c r="B696" s="43"/>
      <c r="C696" s="43"/>
      <c r="D696" s="43"/>
      <c r="E696" s="48"/>
      <c r="F696" s="48"/>
      <c r="G696" s="43"/>
      <c r="H696" s="48"/>
      <c r="I696" s="76"/>
      <c r="J696" s="76"/>
      <c r="K696" s="54"/>
      <c r="L696" s="54"/>
      <c r="M696" s="54"/>
      <c r="N696" s="63"/>
      <c r="O696" s="63"/>
      <c r="P696" s="63"/>
      <c r="Q696" s="45"/>
      <c r="R696" s="45"/>
      <c r="S696" s="45"/>
      <c r="T696" s="69"/>
      <c r="U696" s="49"/>
      <c r="V696" s="45" t="s">
        <v>2049</v>
      </c>
      <c r="W696" s="45">
        <v>33120400103</v>
      </c>
      <c r="X696" s="45" t="s">
        <v>2050</v>
      </c>
      <c r="Y696" s="43" t="s">
        <v>43</v>
      </c>
      <c r="Z696" s="71" t="s">
        <v>43</v>
      </c>
      <c r="AA696" s="71" t="s">
        <v>40</v>
      </c>
      <c r="AB696" s="48" t="s">
        <v>2044</v>
      </c>
      <c r="AC696" s="75">
        <v>325</v>
      </c>
      <c r="AD696" s="75">
        <v>295</v>
      </c>
      <c r="AE696" s="80">
        <v>325</v>
      </c>
      <c r="AF696" s="80">
        <v>310</v>
      </c>
      <c r="AG696" s="80">
        <v>265</v>
      </c>
    </row>
    <row r="697" ht="34" customHeight="1" spans="1:33">
      <c r="A697" s="45">
        <v>107</v>
      </c>
      <c r="B697" s="45" t="s">
        <v>2051</v>
      </c>
      <c r="C697" s="45" t="s">
        <v>2052</v>
      </c>
      <c r="D697" s="45" t="s">
        <v>213</v>
      </c>
      <c r="E697" s="49" t="s">
        <v>2053</v>
      </c>
      <c r="F697" s="49" t="s">
        <v>2054</v>
      </c>
      <c r="G697" s="45" t="s">
        <v>40</v>
      </c>
      <c r="H697" s="49" t="s">
        <v>43</v>
      </c>
      <c r="I697" s="53">
        <v>252</v>
      </c>
      <c r="J697" s="53">
        <v>227</v>
      </c>
      <c r="K697" s="55">
        <v>250</v>
      </c>
      <c r="L697" s="84">
        <v>240.090239133704</v>
      </c>
      <c r="M697" s="84">
        <v>204.054721030043</v>
      </c>
      <c r="N697" s="63">
        <v>250</v>
      </c>
      <c r="O697" s="63">
        <v>225</v>
      </c>
      <c r="P697" s="63">
        <v>190</v>
      </c>
      <c r="Q697" s="45" t="s">
        <v>54</v>
      </c>
      <c r="R697" s="45" t="s">
        <v>43</v>
      </c>
      <c r="S697" s="45" t="s">
        <v>43</v>
      </c>
      <c r="T697" s="69" t="s">
        <v>76</v>
      </c>
      <c r="U697" s="49" t="s">
        <v>2055</v>
      </c>
      <c r="V697" s="43" t="s">
        <v>2056</v>
      </c>
      <c r="W697" s="71">
        <v>331204002</v>
      </c>
      <c r="X697" s="43" t="s">
        <v>2057</v>
      </c>
      <c r="Y697" s="43" t="s">
        <v>43</v>
      </c>
      <c r="Z697" s="71" t="s">
        <v>43</v>
      </c>
      <c r="AA697" s="71" t="s">
        <v>40</v>
      </c>
      <c r="AB697" s="48" t="s">
        <v>43</v>
      </c>
      <c r="AC697" s="75">
        <v>250</v>
      </c>
      <c r="AD697" s="75">
        <v>225</v>
      </c>
      <c r="AE697" s="80">
        <v>250</v>
      </c>
      <c r="AF697" s="80">
        <v>240</v>
      </c>
      <c r="AG697" s="80">
        <v>204</v>
      </c>
    </row>
    <row r="698" ht="34" customHeight="1" spans="1:33">
      <c r="A698" s="45"/>
      <c r="B698" s="45"/>
      <c r="C698" s="45"/>
      <c r="D698" s="45"/>
      <c r="E698" s="49"/>
      <c r="F698" s="49"/>
      <c r="G698" s="45"/>
      <c r="H698" s="49"/>
      <c r="I698" s="53"/>
      <c r="J698" s="53"/>
      <c r="K698" s="55"/>
      <c r="L698" s="84"/>
      <c r="M698" s="84"/>
      <c r="N698" s="63"/>
      <c r="O698" s="63"/>
      <c r="P698" s="63"/>
      <c r="Q698" s="45"/>
      <c r="R698" s="45"/>
      <c r="S698" s="45"/>
      <c r="T698" s="69"/>
      <c r="U698" s="49"/>
      <c r="V698" s="43" t="s">
        <v>2058</v>
      </c>
      <c r="W698" s="71">
        <v>331204003</v>
      </c>
      <c r="X698" s="43" t="s">
        <v>2059</v>
      </c>
      <c r="Y698" s="43" t="s">
        <v>43</v>
      </c>
      <c r="Z698" s="71" t="s">
        <v>43</v>
      </c>
      <c r="AA698" s="71" t="s">
        <v>40</v>
      </c>
      <c r="AB698" s="48" t="s">
        <v>43</v>
      </c>
      <c r="AC698" s="75">
        <v>625</v>
      </c>
      <c r="AD698" s="75">
        <v>565</v>
      </c>
      <c r="AE698" s="80">
        <v>625</v>
      </c>
      <c r="AF698" s="80">
        <v>600</v>
      </c>
      <c r="AG698" s="80">
        <v>510</v>
      </c>
    </row>
    <row r="699" ht="26" customHeight="1" spans="1:33">
      <c r="A699" s="46" t="s">
        <v>81</v>
      </c>
      <c r="B699" s="46" t="s">
        <v>2060</v>
      </c>
      <c r="C699" s="46" t="s">
        <v>2061</v>
      </c>
      <c r="D699" s="46" t="s">
        <v>213</v>
      </c>
      <c r="E699" s="50" t="s">
        <v>43</v>
      </c>
      <c r="F699" s="50" t="s">
        <v>43</v>
      </c>
      <c r="G699" s="46" t="s">
        <v>40</v>
      </c>
      <c r="H699" s="50" t="s">
        <v>43</v>
      </c>
      <c r="I699" s="53">
        <v>76</v>
      </c>
      <c r="J699" s="53">
        <v>68</v>
      </c>
      <c r="K699" s="55">
        <v>75</v>
      </c>
      <c r="L699" s="55">
        <v>85</v>
      </c>
      <c r="M699" s="55">
        <v>75</v>
      </c>
      <c r="N699" s="63">
        <v>75</v>
      </c>
      <c r="O699" s="63">
        <v>68</v>
      </c>
      <c r="P699" s="63">
        <v>57</v>
      </c>
      <c r="Q699" s="45" t="s">
        <v>54</v>
      </c>
      <c r="R699" s="45" t="s">
        <v>43</v>
      </c>
      <c r="S699" s="45" t="s">
        <v>43</v>
      </c>
      <c r="T699" s="69"/>
      <c r="U699" s="49" t="s">
        <v>446</v>
      </c>
      <c r="V699" s="45" t="s">
        <v>2062</v>
      </c>
      <c r="W699" s="45">
        <v>33120400201</v>
      </c>
      <c r="X699" s="45" t="s">
        <v>2063</v>
      </c>
      <c r="Y699" s="43" t="s">
        <v>43</v>
      </c>
      <c r="Z699" s="71" t="s">
        <v>43</v>
      </c>
      <c r="AA699" s="71" t="s">
        <v>40</v>
      </c>
      <c r="AB699" s="48" t="s">
        <v>43</v>
      </c>
      <c r="AC699" s="75">
        <v>325</v>
      </c>
      <c r="AD699" s="75">
        <v>295</v>
      </c>
      <c r="AE699" s="80">
        <v>325</v>
      </c>
      <c r="AF699" s="80">
        <v>310</v>
      </c>
      <c r="AG699" s="80">
        <v>265</v>
      </c>
    </row>
    <row r="700" ht="26" customHeight="1" spans="1:33">
      <c r="A700" s="46"/>
      <c r="B700" s="46"/>
      <c r="C700" s="46"/>
      <c r="D700" s="46"/>
      <c r="E700" s="50"/>
      <c r="F700" s="50"/>
      <c r="G700" s="46"/>
      <c r="H700" s="50"/>
      <c r="I700" s="102"/>
      <c r="J700" s="102"/>
      <c r="K700" s="55"/>
      <c r="L700" s="55"/>
      <c r="M700" s="55"/>
      <c r="N700" s="63"/>
      <c r="O700" s="63"/>
      <c r="P700" s="63"/>
      <c r="Q700" s="45"/>
      <c r="R700" s="45"/>
      <c r="S700" s="45"/>
      <c r="T700" s="69"/>
      <c r="U700" s="49"/>
      <c r="V700" s="45" t="s">
        <v>2064</v>
      </c>
      <c r="W700" s="45">
        <v>33120400301</v>
      </c>
      <c r="X700" s="45" t="s">
        <v>2065</v>
      </c>
      <c r="Y700" s="43" t="s">
        <v>43</v>
      </c>
      <c r="Z700" s="71" t="s">
        <v>43</v>
      </c>
      <c r="AA700" s="71" t="s">
        <v>40</v>
      </c>
      <c r="AB700" s="48" t="s">
        <v>43</v>
      </c>
      <c r="AC700" s="75">
        <v>815</v>
      </c>
      <c r="AD700" s="75">
        <v>735</v>
      </c>
      <c r="AE700" s="80">
        <v>815</v>
      </c>
      <c r="AF700" s="80">
        <v>780</v>
      </c>
      <c r="AG700" s="80">
        <v>665</v>
      </c>
    </row>
    <row r="701" ht="36" customHeight="1" spans="1:33">
      <c r="A701" s="46">
        <v>108</v>
      </c>
      <c r="B701" s="46" t="s">
        <v>2066</v>
      </c>
      <c r="C701" s="46" t="s">
        <v>2067</v>
      </c>
      <c r="D701" s="46" t="s">
        <v>213</v>
      </c>
      <c r="E701" s="50" t="s">
        <v>2068</v>
      </c>
      <c r="F701" s="50" t="s">
        <v>1777</v>
      </c>
      <c r="G701" s="46" t="s">
        <v>40</v>
      </c>
      <c r="H701" s="50" t="s">
        <v>43</v>
      </c>
      <c r="I701" s="53">
        <v>4664</v>
      </c>
      <c r="J701" s="53">
        <v>4198</v>
      </c>
      <c r="K701" s="84">
        <v>3837.87545787546</v>
      </c>
      <c r="L701" s="84">
        <v>3387.36842105263</v>
      </c>
      <c r="M701" s="84"/>
      <c r="N701" s="63">
        <v>4200</v>
      </c>
      <c r="O701" s="63">
        <v>3750</v>
      </c>
      <c r="P701" s="63">
        <v>3180</v>
      </c>
      <c r="Q701" s="45" t="s">
        <v>54</v>
      </c>
      <c r="R701" s="45" t="s">
        <v>43</v>
      </c>
      <c r="S701" s="45" t="s">
        <v>43</v>
      </c>
      <c r="T701" s="69" t="s">
        <v>416</v>
      </c>
      <c r="U701" s="49" t="s">
        <v>2069</v>
      </c>
      <c r="V701" s="43" t="s">
        <v>2070</v>
      </c>
      <c r="W701" s="71">
        <v>331008015</v>
      </c>
      <c r="X701" s="43" t="s">
        <v>2071</v>
      </c>
      <c r="Y701" s="43" t="s">
        <v>2072</v>
      </c>
      <c r="Z701" s="71" t="s">
        <v>43</v>
      </c>
      <c r="AA701" s="71" t="s">
        <v>40</v>
      </c>
      <c r="AB701" s="48"/>
      <c r="AC701" s="75">
        <v>4030</v>
      </c>
      <c r="AD701" s="75">
        <v>3630</v>
      </c>
      <c r="AE701" s="80">
        <v>3380</v>
      </c>
      <c r="AF701" s="80">
        <v>3040</v>
      </c>
      <c r="AG701" s="80">
        <v>2580</v>
      </c>
    </row>
    <row r="702" ht="36" customHeight="1" spans="1:33">
      <c r="A702" s="46"/>
      <c r="B702" s="46"/>
      <c r="C702" s="46"/>
      <c r="D702" s="46"/>
      <c r="E702" s="50"/>
      <c r="F702" s="50"/>
      <c r="G702" s="46"/>
      <c r="H702" s="50"/>
      <c r="I702" s="102"/>
      <c r="J702" s="102"/>
      <c r="K702" s="84"/>
      <c r="L702" s="84"/>
      <c r="M702" s="84"/>
      <c r="N702" s="63"/>
      <c r="O702" s="63"/>
      <c r="P702" s="63"/>
      <c r="Q702" s="45"/>
      <c r="R702" s="45"/>
      <c r="S702" s="45"/>
      <c r="T702" s="69"/>
      <c r="U702" s="49"/>
      <c r="V702" s="45" t="s">
        <v>2073</v>
      </c>
      <c r="W702" s="45">
        <v>33100801502</v>
      </c>
      <c r="X702" s="45" t="s">
        <v>2074</v>
      </c>
      <c r="Y702" s="43" t="s">
        <v>43</v>
      </c>
      <c r="Z702" s="71" t="s">
        <v>43</v>
      </c>
      <c r="AA702" s="71" t="s">
        <v>40</v>
      </c>
      <c r="AB702" s="48"/>
      <c r="AC702" s="75">
        <v>4870</v>
      </c>
      <c r="AD702" s="75">
        <v>4390</v>
      </c>
      <c r="AE702" s="80">
        <v>4005</v>
      </c>
      <c r="AF702" s="80">
        <v>3640</v>
      </c>
      <c r="AG702" s="80">
        <v>3090</v>
      </c>
    </row>
    <row r="703" ht="39" customHeight="1" spans="1:33">
      <c r="A703" s="46" t="s">
        <v>81</v>
      </c>
      <c r="B703" s="46" t="s">
        <v>2075</v>
      </c>
      <c r="C703" s="46" t="s">
        <v>2076</v>
      </c>
      <c r="D703" s="46" t="s">
        <v>213</v>
      </c>
      <c r="E703" s="50" t="s">
        <v>43</v>
      </c>
      <c r="F703" s="50" t="s">
        <v>43</v>
      </c>
      <c r="G703" s="46" t="s">
        <v>40</v>
      </c>
      <c r="H703" s="50" t="s">
        <v>43</v>
      </c>
      <c r="I703" s="53">
        <v>750</v>
      </c>
      <c r="J703" s="53">
        <v>675</v>
      </c>
      <c r="K703" s="58"/>
      <c r="L703" s="58"/>
      <c r="M703" s="58"/>
      <c r="N703" s="63">
        <v>675</v>
      </c>
      <c r="O703" s="63">
        <v>605</v>
      </c>
      <c r="P703" s="63">
        <v>515</v>
      </c>
      <c r="Q703" s="45" t="s">
        <v>54</v>
      </c>
      <c r="R703" s="45" t="s">
        <v>43</v>
      </c>
      <c r="S703" s="45" t="s">
        <v>43</v>
      </c>
      <c r="T703" s="69"/>
      <c r="U703" s="49" t="s">
        <v>187</v>
      </c>
      <c r="V703" s="43" t="s">
        <v>198</v>
      </c>
      <c r="W703" s="71" t="s">
        <v>198</v>
      </c>
      <c r="X703" s="43" t="s">
        <v>198</v>
      </c>
      <c r="Y703" s="43"/>
      <c r="Z703" s="71"/>
      <c r="AA703" s="71"/>
      <c r="AB703" s="48"/>
      <c r="AC703" s="74"/>
      <c r="AD703" s="74"/>
      <c r="AE703" s="78"/>
      <c r="AF703" s="78"/>
      <c r="AG703" s="78"/>
    </row>
    <row r="704" ht="26" customHeight="1" spans="1:33">
      <c r="A704" s="46" t="s">
        <v>81</v>
      </c>
      <c r="B704" s="46" t="s">
        <v>2077</v>
      </c>
      <c r="C704" s="46" t="s">
        <v>2078</v>
      </c>
      <c r="D704" s="46" t="s">
        <v>213</v>
      </c>
      <c r="E704" s="50" t="s">
        <v>43</v>
      </c>
      <c r="F704" s="50" t="s">
        <v>43</v>
      </c>
      <c r="G704" s="46" t="s">
        <v>40</v>
      </c>
      <c r="H704" s="50" t="s">
        <v>43</v>
      </c>
      <c r="I704" s="53">
        <v>1399</v>
      </c>
      <c r="J704" s="53">
        <v>1259</v>
      </c>
      <c r="K704" s="58"/>
      <c r="L704" s="58"/>
      <c r="M704" s="58"/>
      <c r="N704" s="63">
        <v>1260</v>
      </c>
      <c r="O704" s="63">
        <v>1125</v>
      </c>
      <c r="P704" s="63">
        <v>955</v>
      </c>
      <c r="Q704" s="45" t="s">
        <v>54</v>
      </c>
      <c r="R704" s="45" t="s">
        <v>43</v>
      </c>
      <c r="S704" s="45" t="s">
        <v>43</v>
      </c>
      <c r="T704" s="69"/>
      <c r="U704" s="49" t="s">
        <v>446</v>
      </c>
      <c r="V704" s="45" t="s">
        <v>2079</v>
      </c>
      <c r="W704" s="45">
        <v>33100801501</v>
      </c>
      <c r="X704" s="45" t="s">
        <v>2080</v>
      </c>
      <c r="Y704" s="43" t="s">
        <v>43</v>
      </c>
      <c r="Z704" s="71" t="s">
        <v>43</v>
      </c>
      <c r="AA704" s="71" t="s">
        <v>40</v>
      </c>
      <c r="AB704" s="48" t="s">
        <v>43</v>
      </c>
      <c r="AC704" s="75">
        <v>5240</v>
      </c>
      <c r="AD704" s="75">
        <v>4720</v>
      </c>
      <c r="AE704" s="80">
        <v>4395</v>
      </c>
      <c r="AF704" s="80">
        <v>3950</v>
      </c>
      <c r="AG704" s="80">
        <v>3360</v>
      </c>
    </row>
    <row r="705" ht="26" customHeight="1" spans="1:33">
      <c r="A705" s="46"/>
      <c r="B705" s="46"/>
      <c r="C705" s="46"/>
      <c r="D705" s="46"/>
      <c r="E705" s="50"/>
      <c r="F705" s="50"/>
      <c r="G705" s="46"/>
      <c r="H705" s="50"/>
      <c r="I705" s="102"/>
      <c r="J705" s="102"/>
      <c r="K705" s="58"/>
      <c r="L705" s="58"/>
      <c r="M705" s="58"/>
      <c r="N705" s="63"/>
      <c r="O705" s="63"/>
      <c r="P705" s="63"/>
      <c r="Q705" s="45"/>
      <c r="R705" s="45"/>
      <c r="S705" s="45"/>
      <c r="T705" s="69"/>
      <c r="U705" s="49"/>
      <c r="V705" s="45" t="s">
        <v>2081</v>
      </c>
      <c r="W705" s="45">
        <v>33100801503</v>
      </c>
      <c r="X705" s="45" t="s">
        <v>2082</v>
      </c>
      <c r="Y705" s="43" t="s">
        <v>43</v>
      </c>
      <c r="Z705" s="71" t="s">
        <v>43</v>
      </c>
      <c r="AA705" s="71" t="s">
        <v>40</v>
      </c>
      <c r="AB705" s="48" t="s">
        <v>43</v>
      </c>
      <c r="AC705" s="75">
        <v>6080</v>
      </c>
      <c r="AD705" s="75">
        <v>5480</v>
      </c>
      <c r="AE705" s="80">
        <v>5020</v>
      </c>
      <c r="AF705" s="80">
        <v>4550</v>
      </c>
      <c r="AG705" s="80">
        <v>3870</v>
      </c>
    </row>
  </sheetData>
  <autoFilter ref="A4:AK705">
    <extLst/>
  </autoFilter>
  <mergeCells count="2410">
    <mergeCell ref="A2:AG2"/>
    <mergeCell ref="A3:U3"/>
    <mergeCell ref="V3:AG3"/>
    <mergeCell ref="A6:A7"/>
    <mergeCell ref="A14:A15"/>
    <mergeCell ref="A22:A23"/>
    <mergeCell ref="A44:A46"/>
    <mergeCell ref="A47:A56"/>
    <mergeCell ref="A57:A91"/>
    <mergeCell ref="A95:A98"/>
    <mergeCell ref="A99:A106"/>
    <mergeCell ref="A107:A110"/>
    <mergeCell ref="A111:A114"/>
    <mergeCell ref="A115:A118"/>
    <mergeCell ref="A119:A121"/>
    <mergeCell ref="A122:A124"/>
    <mergeCell ref="A126:A128"/>
    <mergeCell ref="A130:A132"/>
    <mergeCell ref="A135:A138"/>
    <mergeCell ref="A139:A142"/>
    <mergeCell ref="A143:A146"/>
    <mergeCell ref="A147:A150"/>
    <mergeCell ref="A151:A154"/>
    <mergeCell ref="A155:A158"/>
    <mergeCell ref="A159:A162"/>
    <mergeCell ref="A163:A166"/>
    <mergeCell ref="A167:A172"/>
    <mergeCell ref="A173:A178"/>
    <mergeCell ref="A179:A190"/>
    <mergeCell ref="A192:A203"/>
    <mergeCell ref="A204:A211"/>
    <mergeCell ref="A212:A217"/>
    <mergeCell ref="A218:A219"/>
    <mergeCell ref="A220:A221"/>
    <mergeCell ref="A222:A225"/>
    <mergeCell ref="A226:A227"/>
    <mergeCell ref="A228:A229"/>
    <mergeCell ref="A230:A233"/>
    <mergeCell ref="A237:A252"/>
    <mergeCell ref="A253:A268"/>
    <mergeCell ref="A269:A274"/>
    <mergeCell ref="A275:A280"/>
    <mergeCell ref="A281:A284"/>
    <mergeCell ref="A286:A287"/>
    <mergeCell ref="A289:A292"/>
    <mergeCell ref="A293:A296"/>
    <mergeCell ref="A299:A304"/>
    <mergeCell ref="A305:A310"/>
    <mergeCell ref="A311:A314"/>
    <mergeCell ref="A315:A318"/>
    <mergeCell ref="A319:A329"/>
    <mergeCell ref="A330:A333"/>
    <mergeCell ref="A334:A344"/>
    <mergeCell ref="A345:A346"/>
    <mergeCell ref="A347:A348"/>
    <mergeCell ref="A349:A350"/>
    <mergeCell ref="A352:A353"/>
    <mergeCell ref="A354:A355"/>
    <mergeCell ref="A356:A357"/>
    <mergeCell ref="A360:A372"/>
    <mergeCell ref="A373:A385"/>
    <mergeCell ref="A386:A391"/>
    <mergeCell ref="A392:A397"/>
    <mergeCell ref="A400:A406"/>
    <mergeCell ref="A407:A413"/>
    <mergeCell ref="A416:A425"/>
    <mergeCell ref="A426:A433"/>
    <mergeCell ref="A434:A437"/>
    <mergeCell ref="A438:A447"/>
    <mergeCell ref="A448:A476"/>
    <mergeCell ref="A477:A505"/>
    <mergeCell ref="A506:A513"/>
    <mergeCell ref="A514:A521"/>
    <mergeCell ref="A532:A535"/>
    <mergeCell ref="A539:A542"/>
    <mergeCell ref="A544:A548"/>
    <mergeCell ref="A549:A553"/>
    <mergeCell ref="A554:A555"/>
    <mergeCell ref="A556:A557"/>
    <mergeCell ref="A558:A562"/>
    <mergeCell ref="A563:A567"/>
    <mergeCell ref="A570:A572"/>
    <mergeCell ref="A573:A575"/>
    <mergeCell ref="A576:A577"/>
    <mergeCell ref="A579:A581"/>
    <mergeCell ref="A582:A584"/>
    <mergeCell ref="A585:A587"/>
    <mergeCell ref="A588:A589"/>
    <mergeCell ref="A590:A591"/>
    <mergeCell ref="A592:A593"/>
    <mergeCell ref="A595:A596"/>
    <mergeCell ref="A597:A601"/>
    <mergeCell ref="A602:A603"/>
    <mergeCell ref="A604:A608"/>
    <mergeCell ref="A613:A615"/>
    <mergeCell ref="A616:A618"/>
    <mergeCell ref="A619:A621"/>
    <mergeCell ref="A623:A624"/>
    <mergeCell ref="A625:A628"/>
    <mergeCell ref="A629:A636"/>
    <mergeCell ref="A637:A640"/>
    <mergeCell ref="A644:A645"/>
    <mergeCell ref="A646:A647"/>
    <mergeCell ref="A650:A651"/>
    <mergeCell ref="A652:A653"/>
    <mergeCell ref="A655:A658"/>
    <mergeCell ref="A666:A667"/>
    <mergeCell ref="A669:A670"/>
    <mergeCell ref="A671:A677"/>
    <mergeCell ref="A678:A684"/>
    <mergeCell ref="A685:A686"/>
    <mergeCell ref="A687:A688"/>
    <mergeCell ref="A691:A692"/>
    <mergeCell ref="A693:A694"/>
    <mergeCell ref="A695:A696"/>
    <mergeCell ref="A697:A698"/>
    <mergeCell ref="A699:A700"/>
    <mergeCell ref="A701:A702"/>
    <mergeCell ref="A704:A705"/>
    <mergeCell ref="B6:B7"/>
    <mergeCell ref="B14:B15"/>
    <mergeCell ref="B22:B23"/>
    <mergeCell ref="B44:B46"/>
    <mergeCell ref="B47:B56"/>
    <mergeCell ref="B57:B91"/>
    <mergeCell ref="B95:B98"/>
    <mergeCell ref="B99:B106"/>
    <mergeCell ref="B107:B110"/>
    <mergeCell ref="B111:B114"/>
    <mergeCell ref="B115:B118"/>
    <mergeCell ref="B119:B121"/>
    <mergeCell ref="B122:B124"/>
    <mergeCell ref="B126:B128"/>
    <mergeCell ref="B130:B132"/>
    <mergeCell ref="B135:B138"/>
    <mergeCell ref="B139:B142"/>
    <mergeCell ref="B143:B146"/>
    <mergeCell ref="B147:B150"/>
    <mergeCell ref="B151:B154"/>
    <mergeCell ref="B155:B158"/>
    <mergeCell ref="B159:B162"/>
    <mergeCell ref="B163:B166"/>
    <mergeCell ref="B167:B172"/>
    <mergeCell ref="B173:B178"/>
    <mergeCell ref="B179:B190"/>
    <mergeCell ref="B192:B203"/>
    <mergeCell ref="B204:B211"/>
    <mergeCell ref="B212:B217"/>
    <mergeCell ref="B218:B219"/>
    <mergeCell ref="B220:B221"/>
    <mergeCell ref="B222:B225"/>
    <mergeCell ref="B226:B227"/>
    <mergeCell ref="B228:B229"/>
    <mergeCell ref="B230:B233"/>
    <mergeCell ref="B237:B252"/>
    <mergeCell ref="B253:B268"/>
    <mergeCell ref="B269:B274"/>
    <mergeCell ref="B275:B280"/>
    <mergeCell ref="B281:B284"/>
    <mergeCell ref="B286:B287"/>
    <mergeCell ref="B289:B292"/>
    <mergeCell ref="B293:B296"/>
    <mergeCell ref="B299:B304"/>
    <mergeCell ref="B305:B310"/>
    <mergeCell ref="B311:B314"/>
    <mergeCell ref="B315:B318"/>
    <mergeCell ref="B319:B329"/>
    <mergeCell ref="B330:B333"/>
    <mergeCell ref="B334:B344"/>
    <mergeCell ref="B345:B346"/>
    <mergeCell ref="B347:B348"/>
    <mergeCell ref="B349:B350"/>
    <mergeCell ref="B352:B353"/>
    <mergeCell ref="B354:B355"/>
    <mergeCell ref="B356:B357"/>
    <mergeCell ref="B360:B372"/>
    <mergeCell ref="B373:B385"/>
    <mergeCell ref="B386:B391"/>
    <mergeCell ref="B392:B397"/>
    <mergeCell ref="B400:B406"/>
    <mergeCell ref="B407:B413"/>
    <mergeCell ref="B416:B425"/>
    <mergeCell ref="B426:B433"/>
    <mergeCell ref="B434:B437"/>
    <mergeCell ref="B438:B447"/>
    <mergeCell ref="B448:B476"/>
    <mergeCell ref="B477:B505"/>
    <mergeCell ref="B506:B513"/>
    <mergeCell ref="B514:B521"/>
    <mergeCell ref="B532:B535"/>
    <mergeCell ref="B539:B542"/>
    <mergeCell ref="B544:B548"/>
    <mergeCell ref="B549:B553"/>
    <mergeCell ref="B554:B555"/>
    <mergeCell ref="B556:B557"/>
    <mergeCell ref="B558:B562"/>
    <mergeCell ref="B563:B567"/>
    <mergeCell ref="B570:B572"/>
    <mergeCell ref="B573:B575"/>
    <mergeCell ref="B576:B577"/>
    <mergeCell ref="B579:B581"/>
    <mergeCell ref="B582:B584"/>
    <mergeCell ref="B585:B587"/>
    <mergeCell ref="B588:B589"/>
    <mergeCell ref="B590:B591"/>
    <mergeCell ref="B592:B593"/>
    <mergeCell ref="B595:B596"/>
    <mergeCell ref="B597:B601"/>
    <mergeCell ref="B602:B603"/>
    <mergeCell ref="B604:B608"/>
    <mergeCell ref="B613:B615"/>
    <mergeCell ref="B616:B618"/>
    <mergeCell ref="B619:B621"/>
    <mergeCell ref="B623:B624"/>
    <mergeCell ref="B625:B628"/>
    <mergeCell ref="B629:B636"/>
    <mergeCell ref="B637:B640"/>
    <mergeCell ref="B644:B645"/>
    <mergeCell ref="B646:B647"/>
    <mergeCell ref="B650:B651"/>
    <mergeCell ref="B652:B653"/>
    <mergeCell ref="B655:B658"/>
    <mergeCell ref="B666:B667"/>
    <mergeCell ref="B669:B670"/>
    <mergeCell ref="B671:B677"/>
    <mergeCell ref="B678:B684"/>
    <mergeCell ref="B685:B686"/>
    <mergeCell ref="B687:B688"/>
    <mergeCell ref="B691:B692"/>
    <mergeCell ref="B693:B694"/>
    <mergeCell ref="B695:B696"/>
    <mergeCell ref="B697:B698"/>
    <mergeCell ref="B699:B700"/>
    <mergeCell ref="B701:B702"/>
    <mergeCell ref="B704:B705"/>
    <mergeCell ref="C14:C15"/>
    <mergeCell ref="C22:C23"/>
    <mergeCell ref="C47:C56"/>
    <mergeCell ref="C57:C91"/>
    <mergeCell ref="C95:C98"/>
    <mergeCell ref="C99:C106"/>
    <mergeCell ref="C107:C110"/>
    <mergeCell ref="C111:C114"/>
    <mergeCell ref="C115:C118"/>
    <mergeCell ref="C119:C121"/>
    <mergeCell ref="C122:C124"/>
    <mergeCell ref="C126:C128"/>
    <mergeCell ref="C130:C132"/>
    <mergeCell ref="C135:C138"/>
    <mergeCell ref="C139:C142"/>
    <mergeCell ref="C143:C146"/>
    <mergeCell ref="C147:C150"/>
    <mergeCell ref="C151:C154"/>
    <mergeCell ref="C155:C158"/>
    <mergeCell ref="C159:C162"/>
    <mergeCell ref="C163:C166"/>
    <mergeCell ref="C167:C172"/>
    <mergeCell ref="C173:C178"/>
    <mergeCell ref="C179:C190"/>
    <mergeCell ref="C192:C203"/>
    <mergeCell ref="C204:C211"/>
    <mergeCell ref="C212:C217"/>
    <mergeCell ref="C218:C219"/>
    <mergeCell ref="C220:C221"/>
    <mergeCell ref="C222:C225"/>
    <mergeCell ref="C226:C227"/>
    <mergeCell ref="C228:C229"/>
    <mergeCell ref="C230:C233"/>
    <mergeCell ref="C237:C252"/>
    <mergeCell ref="C253:C268"/>
    <mergeCell ref="C269:C274"/>
    <mergeCell ref="C275:C280"/>
    <mergeCell ref="C281:C284"/>
    <mergeCell ref="C286:C287"/>
    <mergeCell ref="C289:C292"/>
    <mergeCell ref="C293:C296"/>
    <mergeCell ref="C299:C304"/>
    <mergeCell ref="C305:C310"/>
    <mergeCell ref="C311:C314"/>
    <mergeCell ref="C315:C318"/>
    <mergeCell ref="C319:C329"/>
    <mergeCell ref="C330:C333"/>
    <mergeCell ref="C334:C344"/>
    <mergeCell ref="C345:C346"/>
    <mergeCell ref="C347:C348"/>
    <mergeCell ref="C349:C350"/>
    <mergeCell ref="C352:C353"/>
    <mergeCell ref="C354:C355"/>
    <mergeCell ref="C356:C357"/>
    <mergeCell ref="C360:C372"/>
    <mergeCell ref="C373:C385"/>
    <mergeCell ref="C386:C391"/>
    <mergeCell ref="C392:C397"/>
    <mergeCell ref="C400:C406"/>
    <mergeCell ref="C407:C413"/>
    <mergeCell ref="C416:C425"/>
    <mergeCell ref="C426:C433"/>
    <mergeCell ref="C434:C437"/>
    <mergeCell ref="C438:C447"/>
    <mergeCell ref="C448:C476"/>
    <mergeCell ref="C477:C505"/>
    <mergeCell ref="C506:C513"/>
    <mergeCell ref="C514:C521"/>
    <mergeCell ref="C532:C535"/>
    <mergeCell ref="C539:C542"/>
    <mergeCell ref="C544:C548"/>
    <mergeCell ref="C549:C553"/>
    <mergeCell ref="C554:C555"/>
    <mergeCell ref="C556:C557"/>
    <mergeCell ref="C558:C562"/>
    <mergeCell ref="C563:C567"/>
    <mergeCell ref="C570:C572"/>
    <mergeCell ref="C573:C575"/>
    <mergeCell ref="C576:C577"/>
    <mergeCell ref="C579:C581"/>
    <mergeCell ref="C582:C584"/>
    <mergeCell ref="C585:C587"/>
    <mergeCell ref="C588:C589"/>
    <mergeCell ref="C590:C591"/>
    <mergeCell ref="C592:C593"/>
    <mergeCell ref="C595:C596"/>
    <mergeCell ref="C597:C601"/>
    <mergeCell ref="C602:C603"/>
    <mergeCell ref="C604:C608"/>
    <mergeCell ref="C613:C615"/>
    <mergeCell ref="C616:C618"/>
    <mergeCell ref="C619:C621"/>
    <mergeCell ref="C623:C624"/>
    <mergeCell ref="C625:C628"/>
    <mergeCell ref="C629:C636"/>
    <mergeCell ref="C637:C640"/>
    <mergeCell ref="C644:C645"/>
    <mergeCell ref="C646:C647"/>
    <mergeCell ref="C650:C651"/>
    <mergeCell ref="C652:C653"/>
    <mergeCell ref="C655:C658"/>
    <mergeCell ref="C666:C667"/>
    <mergeCell ref="C669:C670"/>
    <mergeCell ref="C671:C677"/>
    <mergeCell ref="C678:C684"/>
    <mergeCell ref="C685:C686"/>
    <mergeCell ref="C687:C688"/>
    <mergeCell ref="C691:C692"/>
    <mergeCell ref="C693:C694"/>
    <mergeCell ref="C695:C696"/>
    <mergeCell ref="C697:C698"/>
    <mergeCell ref="C699:C700"/>
    <mergeCell ref="C701:C702"/>
    <mergeCell ref="C704:C705"/>
    <mergeCell ref="D14:D15"/>
    <mergeCell ref="D22:D23"/>
    <mergeCell ref="D47:D56"/>
    <mergeCell ref="D57:D91"/>
    <mergeCell ref="D95:D98"/>
    <mergeCell ref="D99:D106"/>
    <mergeCell ref="D107:D110"/>
    <mergeCell ref="D111:D114"/>
    <mergeCell ref="D115:D118"/>
    <mergeCell ref="D119:D121"/>
    <mergeCell ref="D122:D124"/>
    <mergeCell ref="D126:D128"/>
    <mergeCell ref="D130:D132"/>
    <mergeCell ref="D135:D138"/>
    <mergeCell ref="D139:D142"/>
    <mergeCell ref="D143:D146"/>
    <mergeCell ref="D147:D150"/>
    <mergeCell ref="D151:D154"/>
    <mergeCell ref="D155:D158"/>
    <mergeCell ref="D159:D162"/>
    <mergeCell ref="D163:D166"/>
    <mergeCell ref="D167:D172"/>
    <mergeCell ref="D173:D178"/>
    <mergeCell ref="D179:D190"/>
    <mergeCell ref="D192:D203"/>
    <mergeCell ref="D204:D211"/>
    <mergeCell ref="D212:D217"/>
    <mergeCell ref="D218:D219"/>
    <mergeCell ref="D220:D221"/>
    <mergeCell ref="D222:D225"/>
    <mergeCell ref="D226:D227"/>
    <mergeCell ref="D228:D229"/>
    <mergeCell ref="D230:D233"/>
    <mergeCell ref="D237:D252"/>
    <mergeCell ref="D253:D268"/>
    <mergeCell ref="D269:D274"/>
    <mergeCell ref="D275:D280"/>
    <mergeCell ref="D281:D284"/>
    <mergeCell ref="D286:D287"/>
    <mergeCell ref="D289:D292"/>
    <mergeCell ref="D293:D296"/>
    <mergeCell ref="D299:D304"/>
    <mergeCell ref="D305:D310"/>
    <mergeCell ref="D311:D314"/>
    <mergeCell ref="D315:D318"/>
    <mergeCell ref="D319:D329"/>
    <mergeCell ref="D330:D333"/>
    <mergeCell ref="D334:D344"/>
    <mergeCell ref="D345:D346"/>
    <mergeCell ref="D347:D348"/>
    <mergeCell ref="D349:D350"/>
    <mergeCell ref="D352:D353"/>
    <mergeCell ref="D354:D355"/>
    <mergeCell ref="D356:D357"/>
    <mergeCell ref="D360:D372"/>
    <mergeCell ref="D373:D385"/>
    <mergeCell ref="D386:D391"/>
    <mergeCell ref="D392:D397"/>
    <mergeCell ref="D400:D406"/>
    <mergeCell ref="D407:D413"/>
    <mergeCell ref="D416:D425"/>
    <mergeCell ref="D426:D433"/>
    <mergeCell ref="D434:D437"/>
    <mergeCell ref="D438:D447"/>
    <mergeCell ref="D448:D476"/>
    <mergeCell ref="D477:D505"/>
    <mergeCell ref="D506:D513"/>
    <mergeCell ref="D514:D521"/>
    <mergeCell ref="D532:D535"/>
    <mergeCell ref="D539:D542"/>
    <mergeCell ref="D544:D548"/>
    <mergeCell ref="D549:D553"/>
    <mergeCell ref="D554:D555"/>
    <mergeCell ref="D556:D557"/>
    <mergeCell ref="D558:D562"/>
    <mergeCell ref="D563:D567"/>
    <mergeCell ref="D570:D572"/>
    <mergeCell ref="D573:D575"/>
    <mergeCell ref="D576:D577"/>
    <mergeCell ref="D579:D581"/>
    <mergeCell ref="D582:D584"/>
    <mergeCell ref="D585:D587"/>
    <mergeCell ref="D588:D589"/>
    <mergeCell ref="D590:D591"/>
    <mergeCell ref="D592:D593"/>
    <mergeCell ref="D595:D596"/>
    <mergeCell ref="D597:D601"/>
    <mergeCell ref="D602:D603"/>
    <mergeCell ref="D604:D608"/>
    <mergeCell ref="D613:D615"/>
    <mergeCell ref="D616:D618"/>
    <mergeCell ref="D619:D621"/>
    <mergeCell ref="D623:D624"/>
    <mergeCell ref="D625:D628"/>
    <mergeCell ref="D629:D636"/>
    <mergeCell ref="D637:D640"/>
    <mergeCell ref="D644:D645"/>
    <mergeCell ref="D646:D647"/>
    <mergeCell ref="D650:D651"/>
    <mergeCell ref="D652:D653"/>
    <mergeCell ref="D655:D658"/>
    <mergeCell ref="D666:D667"/>
    <mergeCell ref="D669:D670"/>
    <mergeCell ref="D671:D677"/>
    <mergeCell ref="D678:D684"/>
    <mergeCell ref="D685:D686"/>
    <mergeCell ref="D687:D688"/>
    <mergeCell ref="D691:D692"/>
    <mergeCell ref="D693:D694"/>
    <mergeCell ref="D695:D696"/>
    <mergeCell ref="D697:D698"/>
    <mergeCell ref="D699:D700"/>
    <mergeCell ref="D701:D702"/>
    <mergeCell ref="D704:D705"/>
    <mergeCell ref="E14:E15"/>
    <mergeCell ref="E22:E23"/>
    <mergeCell ref="E47:E56"/>
    <mergeCell ref="E57:E91"/>
    <mergeCell ref="E95:E98"/>
    <mergeCell ref="E99:E106"/>
    <mergeCell ref="E107:E110"/>
    <mergeCell ref="E111:E114"/>
    <mergeCell ref="E115:E118"/>
    <mergeCell ref="E119:E121"/>
    <mergeCell ref="E122:E124"/>
    <mergeCell ref="E126:E128"/>
    <mergeCell ref="E130:E132"/>
    <mergeCell ref="E135:E138"/>
    <mergeCell ref="E139:E142"/>
    <mergeCell ref="E143:E146"/>
    <mergeCell ref="E147:E150"/>
    <mergeCell ref="E151:E154"/>
    <mergeCell ref="E155:E158"/>
    <mergeCell ref="E159:E162"/>
    <mergeCell ref="E163:E166"/>
    <mergeCell ref="E167:E172"/>
    <mergeCell ref="E173:E178"/>
    <mergeCell ref="E179:E190"/>
    <mergeCell ref="E192:E203"/>
    <mergeCell ref="E204:E211"/>
    <mergeCell ref="E212:E217"/>
    <mergeCell ref="E218:E219"/>
    <mergeCell ref="E220:E221"/>
    <mergeCell ref="E222:E225"/>
    <mergeCell ref="E226:E227"/>
    <mergeCell ref="E228:E229"/>
    <mergeCell ref="E230:E233"/>
    <mergeCell ref="E237:E252"/>
    <mergeCell ref="E253:E268"/>
    <mergeCell ref="E269:E274"/>
    <mergeCell ref="E275:E280"/>
    <mergeCell ref="E281:E284"/>
    <mergeCell ref="E286:E287"/>
    <mergeCell ref="E289:E292"/>
    <mergeCell ref="E293:E296"/>
    <mergeCell ref="E299:E304"/>
    <mergeCell ref="E305:E310"/>
    <mergeCell ref="E311:E314"/>
    <mergeCell ref="E315:E318"/>
    <mergeCell ref="E319:E329"/>
    <mergeCell ref="E330:E333"/>
    <mergeCell ref="E334:E344"/>
    <mergeCell ref="E345:E346"/>
    <mergeCell ref="E347:E348"/>
    <mergeCell ref="E349:E350"/>
    <mergeCell ref="E352:E353"/>
    <mergeCell ref="E354:E355"/>
    <mergeCell ref="E356:E357"/>
    <mergeCell ref="E360:E372"/>
    <mergeCell ref="E373:E385"/>
    <mergeCell ref="E386:E391"/>
    <mergeCell ref="E392:E397"/>
    <mergeCell ref="E400:E406"/>
    <mergeCell ref="E407:E413"/>
    <mergeCell ref="E416:E425"/>
    <mergeCell ref="E426:E433"/>
    <mergeCell ref="E434:E437"/>
    <mergeCell ref="E438:E447"/>
    <mergeCell ref="E448:E476"/>
    <mergeCell ref="E477:E505"/>
    <mergeCell ref="E506:E513"/>
    <mergeCell ref="E514:E521"/>
    <mergeCell ref="E532:E535"/>
    <mergeCell ref="E539:E542"/>
    <mergeCell ref="E544:E548"/>
    <mergeCell ref="E549:E553"/>
    <mergeCell ref="E554:E555"/>
    <mergeCell ref="E556:E557"/>
    <mergeCell ref="E558:E562"/>
    <mergeCell ref="E563:E567"/>
    <mergeCell ref="E570:E572"/>
    <mergeCell ref="E573:E575"/>
    <mergeCell ref="E576:E577"/>
    <mergeCell ref="E579:E581"/>
    <mergeCell ref="E582:E584"/>
    <mergeCell ref="E585:E587"/>
    <mergeCell ref="E588:E589"/>
    <mergeCell ref="E590:E591"/>
    <mergeCell ref="E592:E593"/>
    <mergeCell ref="E595:E596"/>
    <mergeCell ref="E597:E601"/>
    <mergeCell ref="E602:E603"/>
    <mergeCell ref="E604:E608"/>
    <mergeCell ref="E613:E615"/>
    <mergeCell ref="E616:E618"/>
    <mergeCell ref="E619:E621"/>
    <mergeCell ref="E623:E624"/>
    <mergeCell ref="E625:E628"/>
    <mergeCell ref="E629:E636"/>
    <mergeCell ref="E637:E640"/>
    <mergeCell ref="E644:E645"/>
    <mergeCell ref="E646:E647"/>
    <mergeCell ref="E650:E651"/>
    <mergeCell ref="E652:E653"/>
    <mergeCell ref="E655:E658"/>
    <mergeCell ref="E666:E667"/>
    <mergeCell ref="E669:E670"/>
    <mergeCell ref="E671:E677"/>
    <mergeCell ref="E678:E684"/>
    <mergeCell ref="E685:E686"/>
    <mergeCell ref="E687:E688"/>
    <mergeCell ref="E691:E692"/>
    <mergeCell ref="E693:E694"/>
    <mergeCell ref="E695:E696"/>
    <mergeCell ref="E697:E698"/>
    <mergeCell ref="E699:E700"/>
    <mergeCell ref="E701:E702"/>
    <mergeCell ref="E704:E705"/>
    <mergeCell ref="F14:F15"/>
    <mergeCell ref="F22:F23"/>
    <mergeCell ref="F47:F56"/>
    <mergeCell ref="F57:F91"/>
    <mergeCell ref="F95:F98"/>
    <mergeCell ref="F99:F106"/>
    <mergeCell ref="F107:F110"/>
    <mergeCell ref="F111:F114"/>
    <mergeCell ref="F115:F118"/>
    <mergeCell ref="F119:F121"/>
    <mergeCell ref="F122:F124"/>
    <mergeCell ref="F126:F128"/>
    <mergeCell ref="F130:F132"/>
    <mergeCell ref="F135:F138"/>
    <mergeCell ref="F139:F142"/>
    <mergeCell ref="F143:F146"/>
    <mergeCell ref="F147:F150"/>
    <mergeCell ref="F151:F154"/>
    <mergeCell ref="F155:F158"/>
    <mergeCell ref="F159:F162"/>
    <mergeCell ref="F163:F166"/>
    <mergeCell ref="F167:F172"/>
    <mergeCell ref="F173:F178"/>
    <mergeCell ref="F179:F190"/>
    <mergeCell ref="F192:F203"/>
    <mergeCell ref="F204:F211"/>
    <mergeCell ref="F212:F217"/>
    <mergeCell ref="F218:F219"/>
    <mergeCell ref="F220:F221"/>
    <mergeCell ref="F222:F225"/>
    <mergeCell ref="F226:F227"/>
    <mergeCell ref="F228:F229"/>
    <mergeCell ref="F230:F233"/>
    <mergeCell ref="F237:F252"/>
    <mergeCell ref="F253:F268"/>
    <mergeCell ref="F269:F274"/>
    <mergeCell ref="F275:F280"/>
    <mergeCell ref="F281:F284"/>
    <mergeCell ref="F286:F287"/>
    <mergeCell ref="F289:F292"/>
    <mergeCell ref="F293:F296"/>
    <mergeCell ref="F299:F304"/>
    <mergeCell ref="F305:F310"/>
    <mergeCell ref="F311:F314"/>
    <mergeCell ref="F315:F318"/>
    <mergeCell ref="F319:F329"/>
    <mergeCell ref="F330:F333"/>
    <mergeCell ref="F334:F344"/>
    <mergeCell ref="F345:F346"/>
    <mergeCell ref="F347:F348"/>
    <mergeCell ref="F349:F350"/>
    <mergeCell ref="F352:F353"/>
    <mergeCell ref="F354:F355"/>
    <mergeCell ref="F356:F357"/>
    <mergeCell ref="F360:F372"/>
    <mergeCell ref="F373:F385"/>
    <mergeCell ref="F386:F391"/>
    <mergeCell ref="F392:F397"/>
    <mergeCell ref="F400:F406"/>
    <mergeCell ref="F407:F413"/>
    <mergeCell ref="F416:F425"/>
    <mergeCell ref="F426:F433"/>
    <mergeCell ref="F434:F437"/>
    <mergeCell ref="F438:F447"/>
    <mergeCell ref="F448:F476"/>
    <mergeCell ref="F477:F505"/>
    <mergeCell ref="F506:F513"/>
    <mergeCell ref="F514:F521"/>
    <mergeCell ref="F532:F535"/>
    <mergeCell ref="F539:F542"/>
    <mergeCell ref="F544:F548"/>
    <mergeCell ref="F549:F553"/>
    <mergeCell ref="F554:F555"/>
    <mergeCell ref="F556:F557"/>
    <mergeCell ref="F558:F562"/>
    <mergeCell ref="F563:F567"/>
    <mergeCell ref="F570:F572"/>
    <mergeCell ref="F573:F575"/>
    <mergeCell ref="F576:F577"/>
    <mergeCell ref="F579:F581"/>
    <mergeCell ref="F582:F584"/>
    <mergeCell ref="F585:F587"/>
    <mergeCell ref="F588:F589"/>
    <mergeCell ref="F590:F591"/>
    <mergeCell ref="F592:F593"/>
    <mergeCell ref="F595:F596"/>
    <mergeCell ref="F597:F601"/>
    <mergeCell ref="F602:F603"/>
    <mergeCell ref="F604:F608"/>
    <mergeCell ref="F613:F615"/>
    <mergeCell ref="F616:F618"/>
    <mergeCell ref="F619:F621"/>
    <mergeCell ref="F623:F624"/>
    <mergeCell ref="F625:F628"/>
    <mergeCell ref="F629:F636"/>
    <mergeCell ref="F637:F640"/>
    <mergeCell ref="F644:F645"/>
    <mergeCell ref="F646:F647"/>
    <mergeCell ref="F650:F651"/>
    <mergeCell ref="F652:F653"/>
    <mergeCell ref="F655:F658"/>
    <mergeCell ref="F666:F667"/>
    <mergeCell ref="F669:F670"/>
    <mergeCell ref="F671:F677"/>
    <mergeCell ref="F678:F684"/>
    <mergeCell ref="F685:F686"/>
    <mergeCell ref="F687:F688"/>
    <mergeCell ref="F691:F692"/>
    <mergeCell ref="F693:F694"/>
    <mergeCell ref="F695:F696"/>
    <mergeCell ref="F697:F698"/>
    <mergeCell ref="F699:F700"/>
    <mergeCell ref="F701:F702"/>
    <mergeCell ref="F704:F705"/>
    <mergeCell ref="G14:G15"/>
    <mergeCell ref="G22:G23"/>
    <mergeCell ref="G47:G56"/>
    <mergeCell ref="G57:G91"/>
    <mergeCell ref="G95:G98"/>
    <mergeCell ref="G99:G106"/>
    <mergeCell ref="G107:G110"/>
    <mergeCell ref="G111:G114"/>
    <mergeCell ref="G115:G118"/>
    <mergeCell ref="G119:G121"/>
    <mergeCell ref="G122:G124"/>
    <mergeCell ref="G126:G128"/>
    <mergeCell ref="G130:G132"/>
    <mergeCell ref="G135:G138"/>
    <mergeCell ref="G139:G142"/>
    <mergeCell ref="G143:G146"/>
    <mergeCell ref="G147:G150"/>
    <mergeCell ref="G151:G154"/>
    <mergeCell ref="G155:G158"/>
    <mergeCell ref="G159:G162"/>
    <mergeCell ref="G163:G166"/>
    <mergeCell ref="G167:G172"/>
    <mergeCell ref="G173:G178"/>
    <mergeCell ref="G179:G190"/>
    <mergeCell ref="G192:G203"/>
    <mergeCell ref="G204:G211"/>
    <mergeCell ref="G212:G217"/>
    <mergeCell ref="G218:G219"/>
    <mergeCell ref="G220:G221"/>
    <mergeCell ref="G222:G225"/>
    <mergeCell ref="G226:G227"/>
    <mergeCell ref="G228:G229"/>
    <mergeCell ref="G230:G233"/>
    <mergeCell ref="G237:G252"/>
    <mergeCell ref="G253:G268"/>
    <mergeCell ref="G269:G274"/>
    <mergeCell ref="G275:G280"/>
    <mergeCell ref="G281:G284"/>
    <mergeCell ref="G286:G287"/>
    <mergeCell ref="G289:G292"/>
    <mergeCell ref="G293:G296"/>
    <mergeCell ref="G299:G304"/>
    <mergeCell ref="G305:G310"/>
    <mergeCell ref="G311:G314"/>
    <mergeCell ref="G315:G318"/>
    <mergeCell ref="G319:G329"/>
    <mergeCell ref="G330:G333"/>
    <mergeCell ref="G334:G344"/>
    <mergeCell ref="G345:G346"/>
    <mergeCell ref="G347:G348"/>
    <mergeCell ref="G349:G350"/>
    <mergeCell ref="G352:G353"/>
    <mergeCell ref="G354:G355"/>
    <mergeCell ref="G356:G357"/>
    <mergeCell ref="G360:G372"/>
    <mergeCell ref="G373:G385"/>
    <mergeCell ref="G386:G391"/>
    <mergeCell ref="G392:G397"/>
    <mergeCell ref="G400:G406"/>
    <mergeCell ref="G407:G413"/>
    <mergeCell ref="G416:G425"/>
    <mergeCell ref="G426:G433"/>
    <mergeCell ref="G434:G437"/>
    <mergeCell ref="G438:G447"/>
    <mergeCell ref="G448:G476"/>
    <mergeCell ref="G477:G505"/>
    <mergeCell ref="G506:G513"/>
    <mergeCell ref="G514:G521"/>
    <mergeCell ref="G532:G535"/>
    <mergeCell ref="G539:G542"/>
    <mergeCell ref="G544:G548"/>
    <mergeCell ref="G549:G553"/>
    <mergeCell ref="G554:G555"/>
    <mergeCell ref="G556:G557"/>
    <mergeCell ref="G558:G562"/>
    <mergeCell ref="G563:G567"/>
    <mergeCell ref="G570:G572"/>
    <mergeCell ref="G573:G575"/>
    <mergeCell ref="G576:G577"/>
    <mergeCell ref="G579:G581"/>
    <mergeCell ref="G582:G584"/>
    <mergeCell ref="G585:G587"/>
    <mergeCell ref="G588:G589"/>
    <mergeCell ref="G590:G591"/>
    <mergeCell ref="G592:G593"/>
    <mergeCell ref="G595:G596"/>
    <mergeCell ref="G597:G601"/>
    <mergeCell ref="G602:G603"/>
    <mergeCell ref="G604:G608"/>
    <mergeCell ref="G613:G615"/>
    <mergeCell ref="G616:G618"/>
    <mergeCell ref="G619:G621"/>
    <mergeCell ref="G623:G624"/>
    <mergeCell ref="G625:G628"/>
    <mergeCell ref="G629:G636"/>
    <mergeCell ref="G637:G640"/>
    <mergeCell ref="G644:G645"/>
    <mergeCell ref="G646:G647"/>
    <mergeCell ref="G650:G651"/>
    <mergeCell ref="G652:G653"/>
    <mergeCell ref="G655:G658"/>
    <mergeCell ref="G666:G667"/>
    <mergeCell ref="G669:G670"/>
    <mergeCell ref="G671:G677"/>
    <mergeCell ref="G678:G684"/>
    <mergeCell ref="G685:G686"/>
    <mergeCell ref="G687:G688"/>
    <mergeCell ref="G691:G692"/>
    <mergeCell ref="G693:G694"/>
    <mergeCell ref="G695:G696"/>
    <mergeCell ref="G697:G698"/>
    <mergeCell ref="G699:G700"/>
    <mergeCell ref="G701:G702"/>
    <mergeCell ref="G704:G705"/>
    <mergeCell ref="H14:H15"/>
    <mergeCell ref="H22:H23"/>
    <mergeCell ref="H47:H56"/>
    <mergeCell ref="H57:H91"/>
    <mergeCell ref="H95:H98"/>
    <mergeCell ref="H99:H106"/>
    <mergeCell ref="H107:H110"/>
    <mergeCell ref="H111:H114"/>
    <mergeCell ref="H115:H118"/>
    <mergeCell ref="H119:H121"/>
    <mergeCell ref="H122:H124"/>
    <mergeCell ref="H126:H128"/>
    <mergeCell ref="H130:H132"/>
    <mergeCell ref="H135:H138"/>
    <mergeCell ref="H139:H142"/>
    <mergeCell ref="H143:H146"/>
    <mergeCell ref="H147:H150"/>
    <mergeCell ref="H151:H154"/>
    <mergeCell ref="H155:H158"/>
    <mergeCell ref="H159:H162"/>
    <mergeCell ref="H163:H166"/>
    <mergeCell ref="H167:H172"/>
    <mergeCell ref="H173:H178"/>
    <mergeCell ref="H179:H190"/>
    <mergeCell ref="H192:H203"/>
    <mergeCell ref="H204:H211"/>
    <mergeCell ref="H212:H217"/>
    <mergeCell ref="H218:H219"/>
    <mergeCell ref="H220:H221"/>
    <mergeCell ref="H222:H225"/>
    <mergeCell ref="H226:H227"/>
    <mergeCell ref="H228:H229"/>
    <mergeCell ref="H230:H233"/>
    <mergeCell ref="H237:H252"/>
    <mergeCell ref="H253:H268"/>
    <mergeCell ref="H269:H274"/>
    <mergeCell ref="H275:H280"/>
    <mergeCell ref="H281:H284"/>
    <mergeCell ref="H286:H287"/>
    <mergeCell ref="H289:H292"/>
    <mergeCell ref="H293:H296"/>
    <mergeCell ref="H299:H304"/>
    <mergeCell ref="H305:H310"/>
    <mergeCell ref="H311:H314"/>
    <mergeCell ref="H315:H318"/>
    <mergeCell ref="H319:H329"/>
    <mergeCell ref="H330:H333"/>
    <mergeCell ref="H334:H344"/>
    <mergeCell ref="H345:H346"/>
    <mergeCell ref="H347:H348"/>
    <mergeCell ref="H349:H350"/>
    <mergeCell ref="H352:H353"/>
    <mergeCell ref="H354:H355"/>
    <mergeCell ref="H356:H357"/>
    <mergeCell ref="H360:H372"/>
    <mergeCell ref="H373:H385"/>
    <mergeCell ref="H386:H391"/>
    <mergeCell ref="H392:H397"/>
    <mergeCell ref="H400:H406"/>
    <mergeCell ref="H407:H413"/>
    <mergeCell ref="H416:H425"/>
    <mergeCell ref="H426:H433"/>
    <mergeCell ref="H434:H437"/>
    <mergeCell ref="H438:H447"/>
    <mergeCell ref="H448:H476"/>
    <mergeCell ref="H477:H505"/>
    <mergeCell ref="H506:H513"/>
    <mergeCell ref="H514:H521"/>
    <mergeCell ref="H532:H535"/>
    <mergeCell ref="H539:H542"/>
    <mergeCell ref="H544:H548"/>
    <mergeCell ref="H549:H553"/>
    <mergeCell ref="H554:H555"/>
    <mergeCell ref="H556:H557"/>
    <mergeCell ref="H558:H562"/>
    <mergeCell ref="H563:H567"/>
    <mergeCell ref="H570:H572"/>
    <mergeCell ref="H573:H575"/>
    <mergeCell ref="H576:H577"/>
    <mergeCell ref="H579:H581"/>
    <mergeCell ref="H582:H584"/>
    <mergeCell ref="H585:H587"/>
    <mergeCell ref="H588:H589"/>
    <mergeCell ref="H590:H591"/>
    <mergeCell ref="H592:H593"/>
    <mergeCell ref="H595:H596"/>
    <mergeCell ref="H597:H601"/>
    <mergeCell ref="H602:H603"/>
    <mergeCell ref="H604:H608"/>
    <mergeCell ref="H613:H615"/>
    <mergeCell ref="H616:H618"/>
    <mergeCell ref="H619:H621"/>
    <mergeCell ref="H623:H624"/>
    <mergeCell ref="H625:H628"/>
    <mergeCell ref="H629:H636"/>
    <mergeCell ref="H637:H640"/>
    <mergeCell ref="H644:H645"/>
    <mergeCell ref="H646:H647"/>
    <mergeCell ref="H650:H651"/>
    <mergeCell ref="H652:H653"/>
    <mergeCell ref="H655:H658"/>
    <mergeCell ref="H666:H667"/>
    <mergeCell ref="H669:H670"/>
    <mergeCell ref="H671:H677"/>
    <mergeCell ref="H678:H684"/>
    <mergeCell ref="H685:H686"/>
    <mergeCell ref="H687:H688"/>
    <mergeCell ref="H691:H692"/>
    <mergeCell ref="H693:H694"/>
    <mergeCell ref="H695:H696"/>
    <mergeCell ref="H697:H698"/>
    <mergeCell ref="H699:H700"/>
    <mergeCell ref="H701:H702"/>
    <mergeCell ref="H704:H705"/>
    <mergeCell ref="I14:I15"/>
    <mergeCell ref="I22:I23"/>
    <mergeCell ref="I47:I56"/>
    <mergeCell ref="I57:I91"/>
    <mergeCell ref="I95:I98"/>
    <mergeCell ref="I99:I106"/>
    <mergeCell ref="I107:I110"/>
    <mergeCell ref="I111:I114"/>
    <mergeCell ref="I115:I118"/>
    <mergeCell ref="I119:I121"/>
    <mergeCell ref="I122:I124"/>
    <mergeCell ref="I126:I128"/>
    <mergeCell ref="I130:I132"/>
    <mergeCell ref="I135:I138"/>
    <mergeCell ref="I139:I142"/>
    <mergeCell ref="I143:I146"/>
    <mergeCell ref="I147:I150"/>
    <mergeCell ref="I151:I154"/>
    <mergeCell ref="I155:I158"/>
    <mergeCell ref="I159:I162"/>
    <mergeCell ref="I163:I166"/>
    <mergeCell ref="I167:I172"/>
    <mergeCell ref="I173:I178"/>
    <mergeCell ref="I179:I190"/>
    <mergeCell ref="I192:I203"/>
    <mergeCell ref="I204:I211"/>
    <mergeCell ref="I212:I217"/>
    <mergeCell ref="I218:I219"/>
    <mergeCell ref="I220:I221"/>
    <mergeCell ref="I222:I225"/>
    <mergeCell ref="I226:I227"/>
    <mergeCell ref="I228:I229"/>
    <mergeCell ref="I230:I233"/>
    <mergeCell ref="I237:I252"/>
    <mergeCell ref="I253:I268"/>
    <mergeCell ref="I269:I274"/>
    <mergeCell ref="I275:I280"/>
    <mergeCell ref="I281:I284"/>
    <mergeCell ref="I286:I287"/>
    <mergeCell ref="I289:I292"/>
    <mergeCell ref="I293:I296"/>
    <mergeCell ref="I299:I304"/>
    <mergeCell ref="I305:I310"/>
    <mergeCell ref="I311:I314"/>
    <mergeCell ref="I315:I318"/>
    <mergeCell ref="I319:I329"/>
    <mergeCell ref="I330:I333"/>
    <mergeCell ref="I334:I344"/>
    <mergeCell ref="I345:I346"/>
    <mergeCell ref="I347:I348"/>
    <mergeCell ref="I349:I350"/>
    <mergeCell ref="I352:I353"/>
    <mergeCell ref="I354:I355"/>
    <mergeCell ref="I356:I357"/>
    <mergeCell ref="I360:I372"/>
    <mergeCell ref="I373:I385"/>
    <mergeCell ref="I386:I391"/>
    <mergeCell ref="I392:I397"/>
    <mergeCell ref="I400:I406"/>
    <mergeCell ref="I407:I413"/>
    <mergeCell ref="I416:I425"/>
    <mergeCell ref="I426:I433"/>
    <mergeCell ref="I434:I437"/>
    <mergeCell ref="I438:I447"/>
    <mergeCell ref="I448:I476"/>
    <mergeCell ref="I477:I505"/>
    <mergeCell ref="I506:I513"/>
    <mergeCell ref="I514:I521"/>
    <mergeCell ref="I532:I535"/>
    <mergeCell ref="I539:I542"/>
    <mergeCell ref="I544:I548"/>
    <mergeCell ref="I549:I553"/>
    <mergeCell ref="I554:I555"/>
    <mergeCell ref="I556:I557"/>
    <mergeCell ref="I558:I562"/>
    <mergeCell ref="I563:I567"/>
    <mergeCell ref="I570:I572"/>
    <mergeCell ref="I573:I575"/>
    <mergeCell ref="I576:I577"/>
    <mergeCell ref="I579:I581"/>
    <mergeCell ref="I582:I584"/>
    <mergeCell ref="I585:I587"/>
    <mergeCell ref="I588:I589"/>
    <mergeCell ref="I590:I591"/>
    <mergeCell ref="I592:I593"/>
    <mergeCell ref="I595:I596"/>
    <mergeCell ref="I597:I601"/>
    <mergeCell ref="I602:I603"/>
    <mergeCell ref="I604:I608"/>
    <mergeCell ref="I613:I615"/>
    <mergeCell ref="I616:I618"/>
    <mergeCell ref="I619:I621"/>
    <mergeCell ref="I623:I624"/>
    <mergeCell ref="I625:I628"/>
    <mergeCell ref="I629:I636"/>
    <mergeCell ref="I637:I640"/>
    <mergeCell ref="I644:I645"/>
    <mergeCell ref="I646:I647"/>
    <mergeCell ref="I650:I651"/>
    <mergeCell ref="I652:I653"/>
    <mergeCell ref="I655:I658"/>
    <mergeCell ref="I666:I667"/>
    <mergeCell ref="I669:I670"/>
    <mergeCell ref="I671:I677"/>
    <mergeCell ref="I678:I684"/>
    <mergeCell ref="I685:I686"/>
    <mergeCell ref="I687:I688"/>
    <mergeCell ref="I691:I692"/>
    <mergeCell ref="I693:I694"/>
    <mergeCell ref="I695:I696"/>
    <mergeCell ref="I697:I698"/>
    <mergeCell ref="I699:I700"/>
    <mergeCell ref="I701:I702"/>
    <mergeCell ref="I704:I705"/>
    <mergeCell ref="J14:J15"/>
    <mergeCell ref="J22:J23"/>
    <mergeCell ref="J47:J56"/>
    <mergeCell ref="J57:J91"/>
    <mergeCell ref="J95:J98"/>
    <mergeCell ref="J99:J106"/>
    <mergeCell ref="J107:J110"/>
    <mergeCell ref="J111:J114"/>
    <mergeCell ref="J115:J118"/>
    <mergeCell ref="J119:J121"/>
    <mergeCell ref="J122:J124"/>
    <mergeCell ref="J126:J128"/>
    <mergeCell ref="J130:J132"/>
    <mergeCell ref="J135:J138"/>
    <mergeCell ref="J139:J142"/>
    <mergeCell ref="J143:J146"/>
    <mergeCell ref="J147:J150"/>
    <mergeCell ref="J151:J154"/>
    <mergeCell ref="J155:J158"/>
    <mergeCell ref="J159:J162"/>
    <mergeCell ref="J163:J166"/>
    <mergeCell ref="J167:J172"/>
    <mergeCell ref="J173:J178"/>
    <mergeCell ref="J179:J190"/>
    <mergeCell ref="J192:J203"/>
    <mergeCell ref="J204:J211"/>
    <mergeCell ref="J212:J217"/>
    <mergeCell ref="J218:J219"/>
    <mergeCell ref="J220:J221"/>
    <mergeCell ref="J222:J225"/>
    <mergeCell ref="J226:J227"/>
    <mergeCell ref="J228:J229"/>
    <mergeCell ref="J230:J233"/>
    <mergeCell ref="J237:J252"/>
    <mergeCell ref="J253:J268"/>
    <mergeCell ref="J269:J274"/>
    <mergeCell ref="J275:J280"/>
    <mergeCell ref="J281:J284"/>
    <mergeCell ref="J286:J287"/>
    <mergeCell ref="J289:J292"/>
    <mergeCell ref="J293:J296"/>
    <mergeCell ref="J299:J304"/>
    <mergeCell ref="J305:J310"/>
    <mergeCell ref="J311:J314"/>
    <mergeCell ref="J315:J318"/>
    <mergeCell ref="J319:J329"/>
    <mergeCell ref="J330:J333"/>
    <mergeCell ref="J334:J344"/>
    <mergeCell ref="J345:J346"/>
    <mergeCell ref="J347:J348"/>
    <mergeCell ref="J349:J350"/>
    <mergeCell ref="J352:J353"/>
    <mergeCell ref="J354:J355"/>
    <mergeCell ref="J356:J357"/>
    <mergeCell ref="J360:J372"/>
    <mergeCell ref="J373:J385"/>
    <mergeCell ref="J386:J391"/>
    <mergeCell ref="J392:J397"/>
    <mergeCell ref="J400:J406"/>
    <mergeCell ref="J407:J413"/>
    <mergeCell ref="J416:J425"/>
    <mergeCell ref="J426:J433"/>
    <mergeCell ref="J434:J437"/>
    <mergeCell ref="J438:J447"/>
    <mergeCell ref="J448:J476"/>
    <mergeCell ref="J477:J505"/>
    <mergeCell ref="J506:J513"/>
    <mergeCell ref="J514:J521"/>
    <mergeCell ref="J532:J535"/>
    <mergeCell ref="J539:J542"/>
    <mergeCell ref="J544:J548"/>
    <mergeCell ref="J549:J553"/>
    <mergeCell ref="J554:J555"/>
    <mergeCell ref="J556:J557"/>
    <mergeCell ref="J558:J562"/>
    <mergeCell ref="J563:J567"/>
    <mergeCell ref="J570:J572"/>
    <mergeCell ref="J573:J575"/>
    <mergeCell ref="J576:J577"/>
    <mergeCell ref="J579:J581"/>
    <mergeCell ref="J582:J584"/>
    <mergeCell ref="J585:J587"/>
    <mergeCell ref="J588:J589"/>
    <mergeCell ref="J590:J591"/>
    <mergeCell ref="J592:J593"/>
    <mergeCell ref="J595:J596"/>
    <mergeCell ref="J597:J601"/>
    <mergeCell ref="J602:J603"/>
    <mergeCell ref="J604:J608"/>
    <mergeCell ref="J613:J615"/>
    <mergeCell ref="J616:J618"/>
    <mergeCell ref="J619:J621"/>
    <mergeCell ref="J623:J624"/>
    <mergeCell ref="J625:J628"/>
    <mergeCell ref="J629:J636"/>
    <mergeCell ref="J637:J640"/>
    <mergeCell ref="J644:J645"/>
    <mergeCell ref="J646:J647"/>
    <mergeCell ref="J650:J651"/>
    <mergeCell ref="J652:J653"/>
    <mergeCell ref="J655:J658"/>
    <mergeCell ref="J666:J667"/>
    <mergeCell ref="J669:J670"/>
    <mergeCell ref="J671:J677"/>
    <mergeCell ref="J678:J684"/>
    <mergeCell ref="J685:J686"/>
    <mergeCell ref="J687:J688"/>
    <mergeCell ref="J691:J692"/>
    <mergeCell ref="J693:J694"/>
    <mergeCell ref="J695:J696"/>
    <mergeCell ref="J697:J698"/>
    <mergeCell ref="J699:J700"/>
    <mergeCell ref="J701:J702"/>
    <mergeCell ref="J704:J705"/>
    <mergeCell ref="K14:K15"/>
    <mergeCell ref="K22:K23"/>
    <mergeCell ref="K47:K56"/>
    <mergeCell ref="K57:K91"/>
    <mergeCell ref="K95:K98"/>
    <mergeCell ref="K99:K106"/>
    <mergeCell ref="K107:K110"/>
    <mergeCell ref="K111:K114"/>
    <mergeCell ref="K115:K118"/>
    <mergeCell ref="K119:K121"/>
    <mergeCell ref="K122:K124"/>
    <mergeCell ref="K126:K128"/>
    <mergeCell ref="K130:K132"/>
    <mergeCell ref="K135:K138"/>
    <mergeCell ref="K139:K142"/>
    <mergeCell ref="K143:K146"/>
    <mergeCell ref="K147:K150"/>
    <mergeCell ref="K151:K154"/>
    <mergeCell ref="K155:K158"/>
    <mergeCell ref="K159:K162"/>
    <mergeCell ref="K163:K166"/>
    <mergeCell ref="K167:K172"/>
    <mergeCell ref="K173:K178"/>
    <mergeCell ref="K179:K190"/>
    <mergeCell ref="K192:K203"/>
    <mergeCell ref="K204:K211"/>
    <mergeCell ref="K212:K217"/>
    <mergeCell ref="K218:K219"/>
    <mergeCell ref="K220:K221"/>
    <mergeCell ref="K222:K225"/>
    <mergeCell ref="K226:K227"/>
    <mergeCell ref="K228:K229"/>
    <mergeCell ref="K230:K233"/>
    <mergeCell ref="K237:K252"/>
    <mergeCell ref="K253:K268"/>
    <mergeCell ref="K269:K274"/>
    <mergeCell ref="K275:K280"/>
    <mergeCell ref="K281:K284"/>
    <mergeCell ref="K286:K287"/>
    <mergeCell ref="K289:K292"/>
    <mergeCell ref="K293:K296"/>
    <mergeCell ref="K299:K304"/>
    <mergeCell ref="K305:K310"/>
    <mergeCell ref="K311:K314"/>
    <mergeCell ref="K315:K318"/>
    <mergeCell ref="K319:K329"/>
    <mergeCell ref="K330:K333"/>
    <mergeCell ref="K334:K344"/>
    <mergeCell ref="K345:K346"/>
    <mergeCell ref="K347:K348"/>
    <mergeCell ref="K349:K350"/>
    <mergeCell ref="K352:K353"/>
    <mergeCell ref="K354:K355"/>
    <mergeCell ref="K356:K357"/>
    <mergeCell ref="K360:K372"/>
    <mergeCell ref="K373:K385"/>
    <mergeCell ref="K386:K391"/>
    <mergeCell ref="K392:K397"/>
    <mergeCell ref="K400:K406"/>
    <mergeCell ref="K407:K413"/>
    <mergeCell ref="K416:K425"/>
    <mergeCell ref="K426:K433"/>
    <mergeCell ref="K434:K437"/>
    <mergeCell ref="K438:K447"/>
    <mergeCell ref="K448:K476"/>
    <mergeCell ref="K477:K505"/>
    <mergeCell ref="K506:K513"/>
    <mergeCell ref="K514:K521"/>
    <mergeCell ref="K532:K535"/>
    <mergeCell ref="K539:K542"/>
    <mergeCell ref="K544:K548"/>
    <mergeCell ref="K549:K553"/>
    <mergeCell ref="K554:K555"/>
    <mergeCell ref="K556:K557"/>
    <mergeCell ref="K558:K562"/>
    <mergeCell ref="K563:K567"/>
    <mergeCell ref="K570:K572"/>
    <mergeCell ref="K573:K575"/>
    <mergeCell ref="K576:K577"/>
    <mergeCell ref="K579:K581"/>
    <mergeCell ref="K582:K584"/>
    <mergeCell ref="K585:K587"/>
    <mergeCell ref="K588:K589"/>
    <mergeCell ref="K590:K591"/>
    <mergeCell ref="K592:K593"/>
    <mergeCell ref="K595:K596"/>
    <mergeCell ref="K597:K601"/>
    <mergeCell ref="K602:K603"/>
    <mergeCell ref="K604:K608"/>
    <mergeCell ref="K613:K615"/>
    <mergeCell ref="K616:K618"/>
    <mergeCell ref="K619:K621"/>
    <mergeCell ref="K623:K624"/>
    <mergeCell ref="K625:K628"/>
    <mergeCell ref="K629:K636"/>
    <mergeCell ref="K637:K640"/>
    <mergeCell ref="K644:K645"/>
    <mergeCell ref="K646:K647"/>
    <mergeCell ref="K650:K651"/>
    <mergeCell ref="K652:K653"/>
    <mergeCell ref="K655:K658"/>
    <mergeCell ref="K666:K667"/>
    <mergeCell ref="K669:K670"/>
    <mergeCell ref="K671:K677"/>
    <mergeCell ref="K678:K684"/>
    <mergeCell ref="K685:K686"/>
    <mergeCell ref="K687:K688"/>
    <mergeCell ref="K691:K692"/>
    <mergeCell ref="K693:K694"/>
    <mergeCell ref="K695:K696"/>
    <mergeCell ref="K697:K698"/>
    <mergeCell ref="K699:K700"/>
    <mergeCell ref="K701:K702"/>
    <mergeCell ref="K704:K705"/>
    <mergeCell ref="L14:L15"/>
    <mergeCell ref="L22:L23"/>
    <mergeCell ref="L47:L56"/>
    <mergeCell ref="L57:L91"/>
    <mergeCell ref="L95:L98"/>
    <mergeCell ref="L99:L106"/>
    <mergeCell ref="L107:L110"/>
    <mergeCell ref="L111:L114"/>
    <mergeCell ref="L115:L118"/>
    <mergeCell ref="L119:L121"/>
    <mergeCell ref="L122:L124"/>
    <mergeCell ref="L126:L128"/>
    <mergeCell ref="L130:L132"/>
    <mergeCell ref="L135:L138"/>
    <mergeCell ref="L139:L142"/>
    <mergeCell ref="L143:L146"/>
    <mergeCell ref="L147:L150"/>
    <mergeCell ref="L151:L154"/>
    <mergeCell ref="L155:L158"/>
    <mergeCell ref="L159:L162"/>
    <mergeCell ref="L163:L166"/>
    <mergeCell ref="L167:L172"/>
    <mergeCell ref="L173:L178"/>
    <mergeCell ref="L179:L190"/>
    <mergeCell ref="L192:L203"/>
    <mergeCell ref="L204:L211"/>
    <mergeCell ref="L212:L217"/>
    <mergeCell ref="L218:L219"/>
    <mergeCell ref="L220:L221"/>
    <mergeCell ref="L222:L225"/>
    <mergeCell ref="L226:L227"/>
    <mergeCell ref="L228:L229"/>
    <mergeCell ref="L230:L233"/>
    <mergeCell ref="L237:L252"/>
    <mergeCell ref="L253:L268"/>
    <mergeCell ref="L269:L274"/>
    <mergeCell ref="L275:L280"/>
    <mergeCell ref="L281:L284"/>
    <mergeCell ref="L286:L287"/>
    <mergeCell ref="L289:L292"/>
    <mergeCell ref="L293:L296"/>
    <mergeCell ref="L299:L304"/>
    <mergeCell ref="L305:L310"/>
    <mergeCell ref="L311:L314"/>
    <mergeCell ref="L315:L318"/>
    <mergeCell ref="L319:L329"/>
    <mergeCell ref="L330:L333"/>
    <mergeCell ref="L334:L344"/>
    <mergeCell ref="L345:L346"/>
    <mergeCell ref="L347:L348"/>
    <mergeCell ref="L349:L350"/>
    <mergeCell ref="L352:L353"/>
    <mergeCell ref="L354:L355"/>
    <mergeCell ref="L356:L357"/>
    <mergeCell ref="L360:L372"/>
    <mergeCell ref="L373:L385"/>
    <mergeCell ref="L386:L391"/>
    <mergeCell ref="L392:L397"/>
    <mergeCell ref="L400:L406"/>
    <mergeCell ref="L407:L413"/>
    <mergeCell ref="L416:L425"/>
    <mergeCell ref="L426:L433"/>
    <mergeCell ref="L434:L437"/>
    <mergeCell ref="L438:L447"/>
    <mergeCell ref="L448:L476"/>
    <mergeCell ref="L477:L505"/>
    <mergeCell ref="L506:L513"/>
    <mergeCell ref="L514:L521"/>
    <mergeCell ref="L532:L535"/>
    <mergeCell ref="L539:L542"/>
    <mergeCell ref="L544:L548"/>
    <mergeCell ref="L549:L553"/>
    <mergeCell ref="L554:L555"/>
    <mergeCell ref="L556:L557"/>
    <mergeCell ref="L558:L562"/>
    <mergeCell ref="L563:L567"/>
    <mergeCell ref="L570:L572"/>
    <mergeCell ref="L573:L575"/>
    <mergeCell ref="L576:L577"/>
    <mergeCell ref="L579:L581"/>
    <mergeCell ref="L582:L584"/>
    <mergeCell ref="L585:L587"/>
    <mergeCell ref="L588:L589"/>
    <mergeCell ref="L590:L591"/>
    <mergeCell ref="L592:L593"/>
    <mergeCell ref="L595:L596"/>
    <mergeCell ref="L597:L601"/>
    <mergeCell ref="L602:L603"/>
    <mergeCell ref="L604:L608"/>
    <mergeCell ref="L613:L615"/>
    <mergeCell ref="L616:L618"/>
    <mergeCell ref="L619:L621"/>
    <mergeCell ref="L623:L624"/>
    <mergeCell ref="L625:L628"/>
    <mergeCell ref="L629:L636"/>
    <mergeCell ref="L637:L640"/>
    <mergeCell ref="L644:L645"/>
    <mergeCell ref="L646:L647"/>
    <mergeCell ref="L650:L651"/>
    <mergeCell ref="L652:L653"/>
    <mergeCell ref="L655:L658"/>
    <mergeCell ref="L666:L667"/>
    <mergeCell ref="L669:L670"/>
    <mergeCell ref="L671:L677"/>
    <mergeCell ref="L678:L684"/>
    <mergeCell ref="L685:L686"/>
    <mergeCell ref="L687:L688"/>
    <mergeCell ref="L691:L692"/>
    <mergeCell ref="L693:L694"/>
    <mergeCell ref="L695:L696"/>
    <mergeCell ref="L697:L698"/>
    <mergeCell ref="L699:L700"/>
    <mergeCell ref="L701:L702"/>
    <mergeCell ref="L704:L705"/>
    <mergeCell ref="M14:M15"/>
    <mergeCell ref="M22:M23"/>
    <mergeCell ref="M47:M56"/>
    <mergeCell ref="M57:M91"/>
    <mergeCell ref="M95:M98"/>
    <mergeCell ref="M99:M106"/>
    <mergeCell ref="M107:M110"/>
    <mergeCell ref="M111:M114"/>
    <mergeCell ref="M115:M118"/>
    <mergeCell ref="M119:M121"/>
    <mergeCell ref="M122:M124"/>
    <mergeCell ref="M126:M128"/>
    <mergeCell ref="M130:M132"/>
    <mergeCell ref="M135:M138"/>
    <mergeCell ref="M139:M142"/>
    <mergeCell ref="M143:M146"/>
    <mergeCell ref="M147:M150"/>
    <mergeCell ref="M151:M154"/>
    <mergeCell ref="M155:M158"/>
    <mergeCell ref="M159:M162"/>
    <mergeCell ref="M163:M166"/>
    <mergeCell ref="M167:M172"/>
    <mergeCell ref="M173:M178"/>
    <mergeCell ref="M179:M190"/>
    <mergeCell ref="M192:M203"/>
    <mergeCell ref="M204:M211"/>
    <mergeCell ref="M212:M217"/>
    <mergeCell ref="M218:M219"/>
    <mergeCell ref="M220:M221"/>
    <mergeCell ref="M222:M225"/>
    <mergeCell ref="M226:M227"/>
    <mergeCell ref="M228:M229"/>
    <mergeCell ref="M230:M233"/>
    <mergeCell ref="M237:M252"/>
    <mergeCell ref="M253:M268"/>
    <mergeCell ref="M269:M274"/>
    <mergeCell ref="M275:M280"/>
    <mergeCell ref="M281:M284"/>
    <mergeCell ref="M286:M287"/>
    <mergeCell ref="M289:M292"/>
    <mergeCell ref="M293:M296"/>
    <mergeCell ref="M299:M304"/>
    <mergeCell ref="M305:M310"/>
    <mergeCell ref="M311:M314"/>
    <mergeCell ref="M315:M318"/>
    <mergeCell ref="M319:M329"/>
    <mergeCell ref="M330:M333"/>
    <mergeCell ref="M334:M344"/>
    <mergeCell ref="M345:M346"/>
    <mergeCell ref="M347:M348"/>
    <mergeCell ref="M349:M350"/>
    <mergeCell ref="M352:M353"/>
    <mergeCell ref="M354:M355"/>
    <mergeCell ref="M356:M357"/>
    <mergeCell ref="M360:M372"/>
    <mergeCell ref="M373:M385"/>
    <mergeCell ref="M386:M391"/>
    <mergeCell ref="M392:M397"/>
    <mergeCell ref="M400:M406"/>
    <mergeCell ref="M407:M413"/>
    <mergeCell ref="M416:M425"/>
    <mergeCell ref="M426:M433"/>
    <mergeCell ref="M434:M437"/>
    <mergeCell ref="M438:M447"/>
    <mergeCell ref="M448:M476"/>
    <mergeCell ref="M477:M505"/>
    <mergeCell ref="M506:M513"/>
    <mergeCell ref="M514:M521"/>
    <mergeCell ref="M532:M535"/>
    <mergeCell ref="M539:M542"/>
    <mergeCell ref="M544:M548"/>
    <mergeCell ref="M549:M553"/>
    <mergeCell ref="M554:M555"/>
    <mergeCell ref="M556:M557"/>
    <mergeCell ref="M558:M562"/>
    <mergeCell ref="M563:M567"/>
    <mergeCell ref="M570:M572"/>
    <mergeCell ref="M573:M575"/>
    <mergeCell ref="M576:M577"/>
    <mergeCell ref="M579:M581"/>
    <mergeCell ref="M582:M584"/>
    <mergeCell ref="M585:M587"/>
    <mergeCell ref="M588:M589"/>
    <mergeCell ref="M590:M591"/>
    <mergeCell ref="M592:M593"/>
    <mergeCell ref="M595:M596"/>
    <mergeCell ref="M597:M601"/>
    <mergeCell ref="M602:M603"/>
    <mergeCell ref="M604:M608"/>
    <mergeCell ref="M613:M615"/>
    <mergeCell ref="M616:M618"/>
    <mergeCell ref="M619:M621"/>
    <mergeCell ref="M623:M624"/>
    <mergeCell ref="M625:M628"/>
    <mergeCell ref="M629:M636"/>
    <mergeCell ref="M637:M640"/>
    <mergeCell ref="M644:M645"/>
    <mergeCell ref="M646:M647"/>
    <mergeCell ref="M650:M651"/>
    <mergeCell ref="M652:M653"/>
    <mergeCell ref="M655:M658"/>
    <mergeCell ref="M666:M667"/>
    <mergeCell ref="M669:M670"/>
    <mergeCell ref="M671:M677"/>
    <mergeCell ref="M678:M684"/>
    <mergeCell ref="M685:M686"/>
    <mergeCell ref="M687:M688"/>
    <mergeCell ref="M691:M692"/>
    <mergeCell ref="M693:M694"/>
    <mergeCell ref="M695:M696"/>
    <mergeCell ref="M697:M698"/>
    <mergeCell ref="M699:M700"/>
    <mergeCell ref="M701:M702"/>
    <mergeCell ref="M704:M705"/>
    <mergeCell ref="N14:N15"/>
    <mergeCell ref="N22:N23"/>
    <mergeCell ref="N47:N56"/>
    <mergeCell ref="N57:N91"/>
    <mergeCell ref="N95:N98"/>
    <mergeCell ref="N99:N106"/>
    <mergeCell ref="N107:N110"/>
    <mergeCell ref="N111:N114"/>
    <mergeCell ref="N115:N118"/>
    <mergeCell ref="N119:N121"/>
    <mergeCell ref="N122:N124"/>
    <mergeCell ref="N126:N128"/>
    <mergeCell ref="N130:N132"/>
    <mergeCell ref="N135:N138"/>
    <mergeCell ref="N139:N142"/>
    <mergeCell ref="N143:N146"/>
    <mergeCell ref="N147:N150"/>
    <mergeCell ref="N151:N154"/>
    <mergeCell ref="N155:N158"/>
    <mergeCell ref="N159:N162"/>
    <mergeCell ref="N163:N166"/>
    <mergeCell ref="N167:N172"/>
    <mergeCell ref="N173:N178"/>
    <mergeCell ref="N179:N190"/>
    <mergeCell ref="N192:N203"/>
    <mergeCell ref="N204:N211"/>
    <mergeCell ref="N212:N217"/>
    <mergeCell ref="N218:N219"/>
    <mergeCell ref="N220:N221"/>
    <mergeCell ref="N222:N225"/>
    <mergeCell ref="N226:N227"/>
    <mergeCell ref="N228:N229"/>
    <mergeCell ref="N230:N233"/>
    <mergeCell ref="N237:N252"/>
    <mergeCell ref="N253:N268"/>
    <mergeCell ref="N269:N274"/>
    <mergeCell ref="N275:N280"/>
    <mergeCell ref="N281:N284"/>
    <mergeCell ref="N286:N287"/>
    <mergeCell ref="N289:N292"/>
    <mergeCell ref="N293:N296"/>
    <mergeCell ref="N299:N304"/>
    <mergeCell ref="N305:N310"/>
    <mergeCell ref="N311:N314"/>
    <mergeCell ref="N315:N318"/>
    <mergeCell ref="N319:N329"/>
    <mergeCell ref="N330:N333"/>
    <mergeCell ref="N334:N344"/>
    <mergeCell ref="N345:N346"/>
    <mergeCell ref="N347:N348"/>
    <mergeCell ref="N349:N350"/>
    <mergeCell ref="N352:N353"/>
    <mergeCell ref="N354:N355"/>
    <mergeCell ref="N356:N357"/>
    <mergeCell ref="N360:N372"/>
    <mergeCell ref="N373:N385"/>
    <mergeCell ref="N386:N391"/>
    <mergeCell ref="N392:N397"/>
    <mergeCell ref="N400:N406"/>
    <mergeCell ref="N407:N413"/>
    <mergeCell ref="N416:N425"/>
    <mergeCell ref="N426:N433"/>
    <mergeCell ref="N434:N437"/>
    <mergeCell ref="N438:N447"/>
    <mergeCell ref="N448:N476"/>
    <mergeCell ref="N477:N505"/>
    <mergeCell ref="N506:N513"/>
    <mergeCell ref="N514:N521"/>
    <mergeCell ref="N532:N535"/>
    <mergeCell ref="N539:N542"/>
    <mergeCell ref="N544:N548"/>
    <mergeCell ref="N549:N553"/>
    <mergeCell ref="N554:N555"/>
    <mergeCell ref="N556:N557"/>
    <mergeCell ref="N558:N562"/>
    <mergeCell ref="N563:N567"/>
    <mergeCell ref="N570:N572"/>
    <mergeCell ref="N573:N575"/>
    <mergeCell ref="N576:N577"/>
    <mergeCell ref="N579:N581"/>
    <mergeCell ref="N582:N584"/>
    <mergeCell ref="N585:N587"/>
    <mergeCell ref="N588:N589"/>
    <mergeCell ref="N590:N591"/>
    <mergeCell ref="N592:N593"/>
    <mergeCell ref="N595:N596"/>
    <mergeCell ref="N597:N601"/>
    <mergeCell ref="N602:N603"/>
    <mergeCell ref="N604:N608"/>
    <mergeCell ref="N613:N615"/>
    <mergeCell ref="N616:N618"/>
    <mergeCell ref="N619:N621"/>
    <mergeCell ref="N623:N624"/>
    <mergeCell ref="N625:N628"/>
    <mergeCell ref="N629:N636"/>
    <mergeCell ref="N637:N640"/>
    <mergeCell ref="N644:N645"/>
    <mergeCell ref="N646:N647"/>
    <mergeCell ref="N650:N651"/>
    <mergeCell ref="N652:N653"/>
    <mergeCell ref="N655:N658"/>
    <mergeCell ref="N666:N667"/>
    <mergeCell ref="N669:N670"/>
    <mergeCell ref="N671:N677"/>
    <mergeCell ref="N678:N684"/>
    <mergeCell ref="N685:N686"/>
    <mergeCell ref="N687:N688"/>
    <mergeCell ref="N691:N692"/>
    <mergeCell ref="N693:N694"/>
    <mergeCell ref="N695:N696"/>
    <mergeCell ref="N697:N698"/>
    <mergeCell ref="N699:N700"/>
    <mergeCell ref="N701:N702"/>
    <mergeCell ref="N704:N705"/>
    <mergeCell ref="O14:O15"/>
    <mergeCell ref="O22:O23"/>
    <mergeCell ref="O47:O56"/>
    <mergeCell ref="O57:O91"/>
    <mergeCell ref="O95:O98"/>
    <mergeCell ref="O99:O106"/>
    <mergeCell ref="O107:O110"/>
    <mergeCell ref="O111:O114"/>
    <mergeCell ref="O115:O118"/>
    <mergeCell ref="O119:O121"/>
    <mergeCell ref="O122:O124"/>
    <mergeCell ref="O126:O128"/>
    <mergeCell ref="O130:O132"/>
    <mergeCell ref="O135:O138"/>
    <mergeCell ref="O139:O142"/>
    <mergeCell ref="O143:O146"/>
    <mergeCell ref="O147:O150"/>
    <mergeCell ref="O151:O154"/>
    <mergeCell ref="O155:O158"/>
    <mergeCell ref="O159:O162"/>
    <mergeCell ref="O163:O166"/>
    <mergeCell ref="O167:O172"/>
    <mergeCell ref="O173:O178"/>
    <mergeCell ref="O179:O190"/>
    <mergeCell ref="O192:O203"/>
    <mergeCell ref="O204:O211"/>
    <mergeCell ref="O212:O217"/>
    <mergeCell ref="O218:O219"/>
    <mergeCell ref="O220:O221"/>
    <mergeCell ref="O222:O225"/>
    <mergeCell ref="O226:O227"/>
    <mergeCell ref="O228:O229"/>
    <mergeCell ref="O230:O233"/>
    <mergeCell ref="O237:O252"/>
    <mergeCell ref="O253:O268"/>
    <mergeCell ref="O269:O274"/>
    <mergeCell ref="O275:O280"/>
    <mergeCell ref="O281:O284"/>
    <mergeCell ref="O286:O287"/>
    <mergeCell ref="O289:O292"/>
    <mergeCell ref="O293:O296"/>
    <mergeCell ref="O299:O304"/>
    <mergeCell ref="O305:O310"/>
    <mergeCell ref="O311:O314"/>
    <mergeCell ref="O315:O318"/>
    <mergeCell ref="O319:O329"/>
    <mergeCell ref="O330:O333"/>
    <mergeCell ref="O334:O344"/>
    <mergeCell ref="O345:O346"/>
    <mergeCell ref="O347:O348"/>
    <mergeCell ref="O349:O350"/>
    <mergeCell ref="O352:O353"/>
    <mergeCell ref="O354:O355"/>
    <mergeCell ref="O356:O357"/>
    <mergeCell ref="O360:O372"/>
    <mergeCell ref="O373:O385"/>
    <mergeCell ref="O386:O391"/>
    <mergeCell ref="O392:O397"/>
    <mergeCell ref="O400:O406"/>
    <mergeCell ref="O407:O413"/>
    <mergeCell ref="O416:O425"/>
    <mergeCell ref="O426:O433"/>
    <mergeCell ref="O434:O437"/>
    <mergeCell ref="O438:O447"/>
    <mergeCell ref="O448:O476"/>
    <mergeCell ref="O477:O505"/>
    <mergeCell ref="O506:O513"/>
    <mergeCell ref="O514:O521"/>
    <mergeCell ref="O532:O535"/>
    <mergeCell ref="O539:O542"/>
    <mergeCell ref="O544:O548"/>
    <mergeCell ref="O549:O553"/>
    <mergeCell ref="O554:O555"/>
    <mergeCell ref="O556:O557"/>
    <mergeCell ref="O558:O562"/>
    <mergeCell ref="O563:O567"/>
    <mergeCell ref="O570:O572"/>
    <mergeCell ref="O573:O575"/>
    <mergeCell ref="O576:O577"/>
    <mergeCell ref="O579:O581"/>
    <mergeCell ref="O582:O584"/>
    <mergeCell ref="O585:O587"/>
    <mergeCell ref="O588:O589"/>
    <mergeCell ref="O590:O591"/>
    <mergeCell ref="O592:O593"/>
    <mergeCell ref="O595:O596"/>
    <mergeCell ref="O597:O601"/>
    <mergeCell ref="O602:O603"/>
    <mergeCell ref="O604:O608"/>
    <mergeCell ref="O613:O615"/>
    <mergeCell ref="O616:O618"/>
    <mergeCell ref="O619:O621"/>
    <mergeCell ref="O623:O624"/>
    <mergeCell ref="O625:O628"/>
    <mergeCell ref="O629:O636"/>
    <mergeCell ref="O637:O640"/>
    <mergeCell ref="O644:O645"/>
    <mergeCell ref="O646:O647"/>
    <mergeCell ref="O650:O651"/>
    <mergeCell ref="O652:O653"/>
    <mergeCell ref="O655:O658"/>
    <mergeCell ref="O666:O667"/>
    <mergeCell ref="O669:O670"/>
    <mergeCell ref="O671:O677"/>
    <mergeCell ref="O678:O684"/>
    <mergeCell ref="O685:O686"/>
    <mergeCell ref="O687:O688"/>
    <mergeCell ref="O691:O692"/>
    <mergeCell ref="O693:O694"/>
    <mergeCell ref="O695:O696"/>
    <mergeCell ref="O697:O698"/>
    <mergeCell ref="O699:O700"/>
    <mergeCell ref="O701:O702"/>
    <mergeCell ref="O704:O705"/>
    <mergeCell ref="P14:P15"/>
    <mergeCell ref="P22:P23"/>
    <mergeCell ref="P47:P56"/>
    <mergeCell ref="P57:P91"/>
    <mergeCell ref="P95:P98"/>
    <mergeCell ref="P99:P106"/>
    <mergeCell ref="P107:P110"/>
    <mergeCell ref="P111:P114"/>
    <mergeCell ref="P115:P118"/>
    <mergeCell ref="P119:P121"/>
    <mergeCell ref="P122:P124"/>
    <mergeCell ref="P126:P128"/>
    <mergeCell ref="P130:P132"/>
    <mergeCell ref="P135:P138"/>
    <mergeCell ref="P139:P142"/>
    <mergeCell ref="P143:P146"/>
    <mergeCell ref="P147:P150"/>
    <mergeCell ref="P151:P154"/>
    <mergeCell ref="P155:P158"/>
    <mergeCell ref="P159:P162"/>
    <mergeCell ref="P163:P166"/>
    <mergeCell ref="P167:P172"/>
    <mergeCell ref="P173:P178"/>
    <mergeCell ref="P179:P190"/>
    <mergeCell ref="P192:P203"/>
    <mergeCell ref="P204:P211"/>
    <mergeCell ref="P212:P217"/>
    <mergeCell ref="P218:P219"/>
    <mergeCell ref="P220:P221"/>
    <mergeCell ref="P222:P225"/>
    <mergeCell ref="P226:P227"/>
    <mergeCell ref="P228:P229"/>
    <mergeCell ref="P230:P233"/>
    <mergeCell ref="P237:P252"/>
    <mergeCell ref="P253:P268"/>
    <mergeCell ref="P269:P274"/>
    <mergeCell ref="P275:P280"/>
    <mergeCell ref="P281:P284"/>
    <mergeCell ref="P286:P287"/>
    <mergeCell ref="P289:P292"/>
    <mergeCell ref="P293:P296"/>
    <mergeCell ref="P299:P304"/>
    <mergeCell ref="P305:P310"/>
    <mergeCell ref="P311:P314"/>
    <mergeCell ref="P315:P318"/>
    <mergeCell ref="P319:P329"/>
    <mergeCell ref="P330:P333"/>
    <mergeCell ref="P334:P344"/>
    <mergeCell ref="P345:P346"/>
    <mergeCell ref="P347:P348"/>
    <mergeCell ref="P349:P350"/>
    <mergeCell ref="P352:P353"/>
    <mergeCell ref="P354:P355"/>
    <mergeCell ref="P356:P357"/>
    <mergeCell ref="P360:P372"/>
    <mergeCell ref="P373:P385"/>
    <mergeCell ref="P386:P391"/>
    <mergeCell ref="P392:P397"/>
    <mergeCell ref="P400:P406"/>
    <mergeCell ref="P407:P413"/>
    <mergeCell ref="P416:P425"/>
    <mergeCell ref="P426:P433"/>
    <mergeCell ref="P434:P437"/>
    <mergeCell ref="P438:P447"/>
    <mergeCell ref="P448:P476"/>
    <mergeCell ref="P477:P505"/>
    <mergeCell ref="P506:P513"/>
    <mergeCell ref="P514:P521"/>
    <mergeCell ref="P532:P535"/>
    <mergeCell ref="P539:P542"/>
    <mergeCell ref="P544:P548"/>
    <mergeCell ref="P549:P553"/>
    <mergeCell ref="P554:P555"/>
    <mergeCell ref="P556:P557"/>
    <mergeCell ref="P558:P562"/>
    <mergeCell ref="P563:P567"/>
    <mergeCell ref="P570:P572"/>
    <mergeCell ref="P573:P575"/>
    <mergeCell ref="P576:P577"/>
    <mergeCell ref="P579:P581"/>
    <mergeCell ref="P582:P584"/>
    <mergeCell ref="P585:P587"/>
    <mergeCell ref="P588:P589"/>
    <mergeCell ref="P590:P591"/>
    <mergeCell ref="P592:P593"/>
    <mergeCell ref="P595:P596"/>
    <mergeCell ref="P597:P601"/>
    <mergeCell ref="P602:P603"/>
    <mergeCell ref="P604:P608"/>
    <mergeCell ref="P613:P615"/>
    <mergeCell ref="P616:P618"/>
    <mergeCell ref="P619:P621"/>
    <mergeCell ref="P623:P624"/>
    <mergeCell ref="P625:P628"/>
    <mergeCell ref="P629:P636"/>
    <mergeCell ref="P637:P640"/>
    <mergeCell ref="P644:P645"/>
    <mergeCell ref="P646:P647"/>
    <mergeCell ref="P650:P651"/>
    <mergeCell ref="P652:P653"/>
    <mergeCell ref="P655:P658"/>
    <mergeCell ref="P666:P667"/>
    <mergeCell ref="P669:P670"/>
    <mergeCell ref="P671:P677"/>
    <mergeCell ref="P678:P684"/>
    <mergeCell ref="P685:P686"/>
    <mergeCell ref="P687:P688"/>
    <mergeCell ref="P691:P692"/>
    <mergeCell ref="P693:P694"/>
    <mergeCell ref="P695:P696"/>
    <mergeCell ref="P697:P698"/>
    <mergeCell ref="P699:P700"/>
    <mergeCell ref="P701:P702"/>
    <mergeCell ref="P704:P705"/>
    <mergeCell ref="Q6:Q7"/>
    <mergeCell ref="Q14:Q15"/>
    <mergeCell ref="Q22:Q23"/>
    <mergeCell ref="Q47:Q56"/>
    <mergeCell ref="Q57:Q91"/>
    <mergeCell ref="Q95:Q98"/>
    <mergeCell ref="Q99:Q106"/>
    <mergeCell ref="Q107:Q110"/>
    <mergeCell ref="Q111:Q114"/>
    <mergeCell ref="Q115:Q118"/>
    <mergeCell ref="Q119:Q121"/>
    <mergeCell ref="Q122:Q124"/>
    <mergeCell ref="Q126:Q128"/>
    <mergeCell ref="Q130:Q132"/>
    <mergeCell ref="Q135:Q138"/>
    <mergeCell ref="Q139:Q142"/>
    <mergeCell ref="Q143:Q146"/>
    <mergeCell ref="Q147:Q150"/>
    <mergeCell ref="Q151:Q154"/>
    <mergeCell ref="Q155:Q158"/>
    <mergeCell ref="Q159:Q162"/>
    <mergeCell ref="Q163:Q166"/>
    <mergeCell ref="Q167:Q172"/>
    <mergeCell ref="Q173:Q178"/>
    <mergeCell ref="Q179:Q190"/>
    <mergeCell ref="Q192:Q203"/>
    <mergeCell ref="Q204:Q211"/>
    <mergeCell ref="Q212:Q217"/>
    <mergeCell ref="Q218:Q219"/>
    <mergeCell ref="Q220:Q221"/>
    <mergeCell ref="Q222:Q225"/>
    <mergeCell ref="Q226:Q227"/>
    <mergeCell ref="Q228:Q229"/>
    <mergeCell ref="Q230:Q233"/>
    <mergeCell ref="Q237:Q252"/>
    <mergeCell ref="Q253:Q268"/>
    <mergeCell ref="Q269:Q274"/>
    <mergeCell ref="Q275:Q280"/>
    <mergeCell ref="Q281:Q284"/>
    <mergeCell ref="Q286:Q287"/>
    <mergeCell ref="Q289:Q292"/>
    <mergeCell ref="Q293:Q296"/>
    <mergeCell ref="Q299:Q304"/>
    <mergeCell ref="Q305:Q310"/>
    <mergeCell ref="Q311:Q314"/>
    <mergeCell ref="Q315:Q318"/>
    <mergeCell ref="Q319:Q329"/>
    <mergeCell ref="Q330:Q333"/>
    <mergeCell ref="Q334:Q344"/>
    <mergeCell ref="Q345:Q346"/>
    <mergeCell ref="Q347:Q348"/>
    <mergeCell ref="Q349:Q350"/>
    <mergeCell ref="Q352:Q353"/>
    <mergeCell ref="Q354:Q355"/>
    <mergeCell ref="Q356:Q357"/>
    <mergeCell ref="Q360:Q372"/>
    <mergeCell ref="Q373:Q385"/>
    <mergeCell ref="Q386:Q391"/>
    <mergeCell ref="Q392:Q397"/>
    <mergeCell ref="Q400:Q406"/>
    <mergeCell ref="Q407:Q413"/>
    <mergeCell ref="Q416:Q425"/>
    <mergeCell ref="Q426:Q433"/>
    <mergeCell ref="Q434:Q437"/>
    <mergeCell ref="Q438:Q447"/>
    <mergeCell ref="Q448:Q476"/>
    <mergeCell ref="Q477:Q505"/>
    <mergeCell ref="Q506:Q513"/>
    <mergeCell ref="Q514:Q521"/>
    <mergeCell ref="Q532:Q535"/>
    <mergeCell ref="Q539:Q542"/>
    <mergeCell ref="Q544:Q548"/>
    <mergeCell ref="Q549:Q553"/>
    <mergeCell ref="Q554:Q555"/>
    <mergeCell ref="Q556:Q557"/>
    <mergeCell ref="Q558:Q562"/>
    <mergeCell ref="Q563:Q567"/>
    <mergeCell ref="Q570:Q572"/>
    <mergeCell ref="Q573:Q575"/>
    <mergeCell ref="Q576:Q577"/>
    <mergeCell ref="Q579:Q581"/>
    <mergeCell ref="Q582:Q584"/>
    <mergeCell ref="Q585:Q587"/>
    <mergeCell ref="Q588:Q589"/>
    <mergeCell ref="Q590:Q591"/>
    <mergeCell ref="Q592:Q593"/>
    <mergeCell ref="Q595:Q596"/>
    <mergeCell ref="Q597:Q601"/>
    <mergeCell ref="Q602:Q603"/>
    <mergeCell ref="Q604:Q608"/>
    <mergeCell ref="Q613:Q615"/>
    <mergeCell ref="Q616:Q618"/>
    <mergeCell ref="Q619:Q621"/>
    <mergeCell ref="Q623:Q624"/>
    <mergeCell ref="Q625:Q628"/>
    <mergeCell ref="Q629:Q636"/>
    <mergeCell ref="Q637:Q640"/>
    <mergeCell ref="Q644:Q645"/>
    <mergeCell ref="Q646:Q647"/>
    <mergeCell ref="Q650:Q651"/>
    <mergeCell ref="Q652:Q653"/>
    <mergeCell ref="Q655:Q658"/>
    <mergeCell ref="Q666:Q667"/>
    <mergeCell ref="Q669:Q670"/>
    <mergeCell ref="Q671:Q677"/>
    <mergeCell ref="Q678:Q684"/>
    <mergeCell ref="Q685:Q686"/>
    <mergeCell ref="Q687:Q688"/>
    <mergeCell ref="Q691:Q692"/>
    <mergeCell ref="Q693:Q694"/>
    <mergeCell ref="Q695:Q696"/>
    <mergeCell ref="Q697:Q698"/>
    <mergeCell ref="Q699:Q700"/>
    <mergeCell ref="Q701:Q702"/>
    <mergeCell ref="Q704:Q705"/>
    <mergeCell ref="R6:R7"/>
    <mergeCell ref="R14:R15"/>
    <mergeCell ref="R22:R23"/>
    <mergeCell ref="R47:R56"/>
    <mergeCell ref="R57:R91"/>
    <mergeCell ref="R95:R98"/>
    <mergeCell ref="R99:R106"/>
    <mergeCell ref="R107:R110"/>
    <mergeCell ref="R111:R114"/>
    <mergeCell ref="R115:R118"/>
    <mergeCell ref="R119:R121"/>
    <mergeCell ref="R122:R124"/>
    <mergeCell ref="R126:R128"/>
    <mergeCell ref="R130:R132"/>
    <mergeCell ref="R135:R138"/>
    <mergeCell ref="R139:R142"/>
    <mergeCell ref="R143:R146"/>
    <mergeCell ref="R147:R150"/>
    <mergeCell ref="R151:R154"/>
    <mergeCell ref="R155:R158"/>
    <mergeCell ref="R159:R162"/>
    <mergeCell ref="R163:R166"/>
    <mergeCell ref="R167:R172"/>
    <mergeCell ref="R173:R178"/>
    <mergeCell ref="R179:R190"/>
    <mergeCell ref="R192:R203"/>
    <mergeCell ref="R204:R211"/>
    <mergeCell ref="R212:R217"/>
    <mergeCell ref="R218:R219"/>
    <mergeCell ref="R220:R221"/>
    <mergeCell ref="R222:R225"/>
    <mergeCell ref="R226:R227"/>
    <mergeCell ref="R228:R229"/>
    <mergeCell ref="R230:R233"/>
    <mergeCell ref="R237:R252"/>
    <mergeCell ref="R253:R268"/>
    <mergeCell ref="R269:R274"/>
    <mergeCell ref="R275:R280"/>
    <mergeCell ref="R281:R284"/>
    <mergeCell ref="R286:R287"/>
    <mergeCell ref="R289:R292"/>
    <mergeCell ref="R293:R296"/>
    <mergeCell ref="R299:R304"/>
    <mergeCell ref="R305:R310"/>
    <mergeCell ref="R311:R314"/>
    <mergeCell ref="R315:R318"/>
    <mergeCell ref="R319:R329"/>
    <mergeCell ref="R330:R333"/>
    <mergeCell ref="R334:R344"/>
    <mergeCell ref="R345:R346"/>
    <mergeCell ref="R347:R348"/>
    <mergeCell ref="R349:R350"/>
    <mergeCell ref="R352:R353"/>
    <mergeCell ref="R354:R355"/>
    <mergeCell ref="R356:R357"/>
    <mergeCell ref="R360:R372"/>
    <mergeCell ref="R373:R385"/>
    <mergeCell ref="R386:R391"/>
    <mergeCell ref="R392:R397"/>
    <mergeCell ref="R400:R406"/>
    <mergeCell ref="R407:R413"/>
    <mergeCell ref="R416:R425"/>
    <mergeCell ref="R426:R433"/>
    <mergeCell ref="R434:R437"/>
    <mergeCell ref="R438:R447"/>
    <mergeCell ref="R448:R476"/>
    <mergeCell ref="R477:R505"/>
    <mergeCell ref="R506:R513"/>
    <mergeCell ref="R514:R521"/>
    <mergeCell ref="R532:R535"/>
    <mergeCell ref="R539:R542"/>
    <mergeCell ref="R544:R548"/>
    <mergeCell ref="R549:R553"/>
    <mergeCell ref="R554:R555"/>
    <mergeCell ref="R556:R557"/>
    <mergeCell ref="R558:R562"/>
    <mergeCell ref="R563:R567"/>
    <mergeCell ref="R570:R572"/>
    <mergeCell ref="R573:R575"/>
    <mergeCell ref="R576:R577"/>
    <mergeCell ref="R579:R581"/>
    <mergeCell ref="R582:R584"/>
    <mergeCell ref="R585:R587"/>
    <mergeCell ref="R588:R589"/>
    <mergeCell ref="R590:R591"/>
    <mergeCell ref="R592:R593"/>
    <mergeCell ref="R595:R596"/>
    <mergeCell ref="R597:R601"/>
    <mergeCell ref="R602:R603"/>
    <mergeCell ref="R604:R608"/>
    <mergeCell ref="R613:R615"/>
    <mergeCell ref="R616:R618"/>
    <mergeCell ref="R619:R621"/>
    <mergeCell ref="R623:R624"/>
    <mergeCell ref="R625:R628"/>
    <mergeCell ref="R629:R636"/>
    <mergeCell ref="R637:R640"/>
    <mergeCell ref="R644:R645"/>
    <mergeCell ref="R646:R647"/>
    <mergeCell ref="R650:R651"/>
    <mergeCell ref="R652:R653"/>
    <mergeCell ref="R655:R658"/>
    <mergeCell ref="R666:R667"/>
    <mergeCell ref="R669:R670"/>
    <mergeCell ref="R671:R677"/>
    <mergeCell ref="R678:R684"/>
    <mergeCell ref="R685:R686"/>
    <mergeCell ref="R687:R688"/>
    <mergeCell ref="R691:R692"/>
    <mergeCell ref="R693:R694"/>
    <mergeCell ref="R695:R696"/>
    <mergeCell ref="R697:R698"/>
    <mergeCell ref="R699:R700"/>
    <mergeCell ref="R701:R702"/>
    <mergeCell ref="R704:R705"/>
    <mergeCell ref="S6:S7"/>
    <mergeCell ref="S14:S15"/>
    <mergeCell ref="S22:S23"/>
    <mergeCell ref="S47:S56"/>
    <mergeCell ref="S57:S91"/>
    <mergeCell ref="S95:S98"/>
    <mergeCell ref="S99:S106"/>
    <mergeCell ref="S107:S110"/>
    <mergeCell ref="S111:S114"/>
    <mergeCell ref="S115:S118"/>
    <mergeCell ref="S119:S121"/>
    <mergeCell ref="S122:S124"/>
    <mergeCell ref="S126:S128"/>
    <mergeCell ref="S130:S132"/>
    <mergeCell ref="S135:S138"/>
    <mergeCell ref="S139:S142"/>
    <mergeCell ref="S143:S146"/>
    <mergeCell ref="S147:S150"/>
    <mergeCell ref="S151:S154"/>
    <mergeCell ref="S155:S158"/>
    <mergeCell ref="S159:S162"/>
    <mergeCell ref="S163:S166"/>
    <mergeCell ref="S167:S172"/>
    <mergeCell ref="S173:S178"/>
    <mergeCell ref="S179:S190"/>
    <mergeCell ref="S192:S203"/>
    <mergeCell ref="S204:S211"/>
    <mergeCell ref="S212:S217"/>
    <mergeCell ref="S218:S219"/>
    <mergeCell ref="S220:S221"/>
    <mergeCell ref="S222:S225"/>
    <mergeCell ref="S226:S227"/>
    <mergeCell ref="S228:S229"/>
    <mergeCell ref="S230:S233"/>
    <mergeCell ref="S237:S252"/>
    <mergeCell ref="S253:S268"/>
    <mergeCell ref="S269:S274"/>
    <mergeCell ref="S275:S280"/>
    <mergeCell ref="S281:S284"/>
    <mergeCell ref="S286:S287"/>
    <mergeCell ref="S289:S292"/>
    <mergeCell ref="S293:S296"/>
    <mergeCell ref="S299:S304"/>
    <mergeCell ref="S305:S310"/>
    <mergeCell ref="S311:S314"/>
    <mergeCell ref="S315:S318"/>
    <mergeCell ref="S319:S329"/>
    <mergeCell ref="S330:S333"/>
    <mergeCell ref="S334:S344"/>
    <mergeCell ref="S345:S346"/>
    <mergeCell ref="S347:S348"/>
    <mergeCell ref="S349:S350"/>
    <mergeCell ref="S352:S353"/>
    <mergeCell ref="S354:S355"/>
    <mergeCell ref="S356:S357"/>
    <mergeCell ref="S360:S372"/>
    <mergeCell ref="S373:S385"/>
    <mergeCell ref="S386:S391"/>
    <mergeCell ref="S392:S397"/>
    <mergeCell ref="S400:S406"/>
    <mergeCell ref="S407:S413"/>
    <mergeCell ref="S416:S425"/>
    <mergeCell ref="S426:S433"/>
    <mergeCell ref="S434:S437"/>
    <mergeCell ref="S438:S447"/>
    <mergeCell ref="S448:S476"/>
    <mergeCell ref="S477:S505"/>
    <mergeCell ref="S506:S513"/>
    <mergeCell ref="S514:S521"/>
    <mergeCell ref="S532:S535"/>
    <mergeCell ref="S539:S542"/>
    <mergeCell ref="S544:S548"/>
    <mergeCell ref="S549:S553"/>
    <mergeCell ref="S554:S555"/>
    <mergeCell ref="S556:S557"/>
    <mergeCell ref="S558:S562"/>
    <mergeCell ref="S563:S567"/>
    <mergeCell ref="S570:S572"/>
    <mergeCell ref="S573:S575"/>
    <mergeCell ref="S576:S577"/>
    <mergeCell ref="S579:S581"/>
    <mergeCell ref="S582:S584"/>
    <mergeCell ref="S585:S587"/>
    <mergeCell ref="S588:S589"/>
    <mergeCell ref="S590:S591"/>
    <mergeCell ref="S592:S593"/>
    <mergeCell ref="S595:S596"/>
    <mergeCell ref="S597:S601"/>
    <mergeCell ref="S602:S603"/>
    <mergeCell ref="S604:S608"/>
    <mergeCell ref="S613:S615"/>
    <mergeCell ref="S616:S618"/>
    <mergeCell ref="S619:S621"/>
    <mergeCell ref="S623:S624"/>
    <mergeCell ref="S625:S628"/>
    <mergeCell ref="S629:S636"/>
    <mergeCell ref="S637:S640"/>
    <mergeCell ref="S644:S645"/>
    <mergeCell ref="S646:S647"/>
    <mergeCell ref="S650:S651"/>
    <mergeCell ref="S652:S653"/>
    <mergeCell ref="S655:S658"/>
    <mergeCell ref="S666:S667"/>
    <mergeCell ref="S669:S670"/>
    <mergeCell ref="S671:S677"/>
    <mergeCell ref="S678:S684"/>
    <mergeCell ref="S685:S686"/>
    <mergeCell ref="S687:S688"/>
    <mergeCell ref="S691:S692"/>
    <mergeCell ref="S693:S694"/>
    <mergeCell ref="S695:S696"/>
    <mergeCell ref="S697:S698"/>
    <mergeCell ref="S699:S700"/>
    <mergeCell ref="S701:S702"/>
    <mergeCell ref="S704:S705"/>
    <mergeCell ref="T14:T15"/>
    <mergeCell ref="T22:T23"/>
    <mergeCell ref="T47:T56"/>
    <mergeCell ref="T57:T91"/>
    <mergeCell ref="T95:T98"/>
    <mergeCell ref="T99:T106"/>
    <mergeCell ref="T107:T110"/>
    <mergeCell ref="T111:T114"/>
    <mergeCell ref="T115:T118"/>
    <mergeCell ref="T119:T121"/>
    <mergeCell ref="T122:T124"/>
    <mergeCell ref="T126:T128"/>
    <mergeCell ref="T130:T132"/>
    <mergeCell ref="T135:T138"/>
    <mergeCell ref="T139:T142"/>
    <mergeCell ref="T143:T146"/>
    <mergeCell ref="T147:T150"/>
    <mergeCell ref="T151:T154"/>
    <mergeCell ref="T155:T158"/>
    <mergeCell ref="T159:T162"/>
    <mergeCell ref="T163:T166"/>
    <mergeCell ref="T167:T172"/>
    <mergeCell ref="T173:T178"/>
    <mergeCell ref="T179:T190"/>
    <mergeCell ref="T192:T203"/>
    <mergeCell ref="T204:T211"/>
    <mergeCell ref="T212:T217"/>
    <mergeCell ref="T218:T219"/>
    <mergeCell ref="T220:T221"/>
    <mergeCell ref="T222:T225"/>
    <mergeCell ref="T226:T227"/>
    <mergeCell ref="T228:T229"/>
    <mergeCell ref="T230:T233"/>
    <mergeCell ref="T237:T252"/>
    <mergeCell ref="T253:T268"/>
    <mergeCell ref="T269:T274"/>
    <mergeCell ref="T275:T280"/>
    <mergeCell ref="T281:T284"/>
    <mergeCell ref="T286:T287"/>
    <mergeCell ref="T289:T292"/>
    <mergeCell ref="T293:T296"/>
    <mergeCell ref="T299:T304"/>
    <mergeCell ref="T305:T310"/>
    <mergeCell ref="T311:T314"/>
    <mergeCell ref="T315:T318"/>
    <mergeCell ref="T319:T329"/>
    <mergeCell ref="T330:T333"/>
    <mergeCell ref="T334:T344"/>
    <mergeCell ref="T345:T346"/>
    <mergeCell ref="T347:T348"/>
    <mergeCell ref="T349:T350"/>
    <mergeCell ref="T352:T353"/>
    <mergeCell ref="T354:T355"/>
    <mergeCell ref="T356:T357"/>
    <mergeCell ref="T360:T372"/>
    <mergeCell ref="T373:T385"/>
    <mergeCell ref="T386:T391"/>
    <mergeCell ref="T392:T397"/>
    <mergeCell ref="T400:T406"/>
    <mergeCell ref="T407:T413"/>
    <mergeCell ref="T416:T425"/>
    <mergeCell ref="T426:T433"/>
    <mergeCell ref="T434:T437"/>
    <mergeCell ref="T438:T447"/>
    <mergeCell ref="T448:T476"/>
    <mergeCell ref="T477:T505"/>
    <mergeCell ref="T506:T513"/>
    <mergeCell ref="T514:T521"/>
    <mergeCell ref="T532:T535"/>
    <mergeCell ref="T539:T542"/>
    <mergeCell ref="T544:T548"/>
    <mergeCell ref="T549:T553"/>
    <mergeCell ref="T554:T555"/>
    <mergeCell ref="T556:T557"/>
    <mergeCell ref="T558:T562"/>
    <mergeCell ref="T563:T567"/>
    <mergeCell ref="T570:T572"/>
    <mergeCell ref="T573:T575"/>
    <mergeCell ref="T576:T577"/>
    <mergeCell ref="T579:T581"/>
    <mergeCell ref="T582:T584"/>
    <mergeCell ref="T585:T587"/>
    <mergeCell ref="T588:T589"/>
    <mergeCell ref="T590:T591"/>
    <mergeCell ref="T592:T593"/>
    <mergeCell ref="T595:T596"/>
    <mergeCell ref="T597:T601"/>
    <mergeCell ref="T602:T603"/>
    <mergeCell ref="T604:T608"/>
    <mergeCell ref="T613:T615"/>
    <mergeCell ref="T616:T618"/>
    <mergeCell ref="T619:T621"/>
    <mergeCell ref="T623:T624"/>
    <mergeCell ref="T625:T628"/>
    <mergeCell ref="T629:T636"/>
    <mergeCell ref="T637:T640"/>
    <mergeCell ref="T644:T645"/>
    <mergeCell ref="T646:T647"/>
    <mergeCell ref="T650:T651"/>
    <mergeCell ref="T652:T653"/>
    <mergeCell ref="T655:T658"/>
    <mergeCell ref="T666:T667"/>
    <mergeCell ref="T669:T670"/>
    <mergeCell ref="T671:T677"/>
    <mergeCell ref="T678:T684"/>
    <mergeCell ref="T685:T686"/>
    <mergeCell ref="T687:T688"/>
    <mergeCell ref="T691:T692"/>
    <mergeCell ref="T693:T694"/>
    <mergeCell ref="T695:T696"/>
    <mergeCell ref="T697:T698"/>
    <mergeCell ref="T699:T700"/>
    <mergeCell ref="T701:T702"/>
    <mergeCell ref="T704:T705"/>
    <mergeCell ref="U6:U7"/>
    <mergeCell ref="U14:U15"/>
    <mergeCell ref="U22:U23"/>
    <mergeCell ref="U47:U56"/>
    <mergeCell ref="U57:U91"/>
    <mergeCell ref="U95:U98"/>
    <mergeCell ref="U99:U106"/>
    <mergeCell ref="U107:U110"/>
    <mergeCell ref="U111:U114"/>
    <mergeCell ref="U115:U118"/>
    <mergeCell ref="U119:U121"/>
    <mergeCell ref="U122:U124"/>
    <mergeCell ref="U126:U128"/>
    <mergeCell ref="U130:U132"/>
    <mergeCell ref="U135:U138"/>
    <mergeCell ref="U139:U142"/>
    <mergeCell ref="U143:U146"/>
    <mergeCell ref="U147:U150"/>
    <mergeCell ref="U151:U154"/>
    <mergeCell ref="U155:U158"/>
    <mergeCell ref="U159:U162"/>
    <mergeCell ref="U163:U166"/>
    <mergeCell ref="U167:U172"/>
    <mergeCell ref="U173:U178"/>
    <mergeCell ref="U179:U190"/>
    <mergeCell ref="U192:U203"/>
    <mergeCell ref="U204:U211"/>
    <mergeCell ref="U212:U217"/>
    <mergeCell ref="U218:U219"/>
    <mergeCell ref="U220:U221"/>
    <mergeCell ref="U222:U225"/>
    <mergeCell ref="U226:U227"/>
    <mergeCell ref="U228:U229"/>
    <mergeCell ref="U230:U233"/>
    <mergeCell ref="U237:U252"/>
    <mergeCell ref="U253:U268"/>
    <mergeCell ref="U269:U274"/>
    <mergeCell ref="U275:U280"/>
    <mergeCell ref="U281:U284"/>
    <mergeCell ref="U286:U287"/>
    <mergeCell ref="U289:U292"/>
    <mergeCell ref="U293:U296"/>
    <mergeCell ref="U299:U304"/>
    <mergeCell ref="U305:U310"/>
    <mergeCell ref="U311:U314"/>
    <mergeCell ref="U315:U318"/>
    <mergeCell ref="U319:U329"/>
    <mergeCell ref="U330:U333"/>
    <mergeCell ref="U334:U344"/>
    <mergeCell ref="U345:U346"/>
    <mergeCell ref="U347:U348"/>
    <mergeCell ref="U349:U350"/>
    <mergeCell ref="U352:U353"/>
    <mergeCell ref="U354:U355"/>
    <mergeCell ref="U356:U357"/>
    <mergeCell ref="U360:U372"/>
    <mergeCell ref="U373:U385"/>
    <mergeCell ref="U386:U391"/>
    <mergeCell ref="U392:U397"/>
    <mergeCell ref="U400:U406"/>
    <mergeCell ref="U407:U413"/>
    <mergeCell ref="U416:U425"/>
    <mergeCell ref="U426:U433"/>
    <mergeCell ref="U434:U437"/>
    <mergeCell ref="U438:U447"/>
    <mergeCell ref="U448:U476"/>
    <mergeCell ref="U477:U505"/>
    <mergeCell ref="U506:U513"/>
    <mergeCell ref="U514:U521"/>
    <mergeCell ref="U532:U535"/>
    <mergeCell ref="U539:U542"/>
    <mergeCell ref="U544:U548"/>
    <mergeCell ref="U549:U553"/>
    <mergeCell ref="U554:U555"/>
    <mergeCell ref="U556:U557"/>
    <mergeCell ref="U558:U562"/>
    <mergeCell ref="U563:U567"/>
    <mergeCell ref="U570:U572"/>
    <mergeCell ref="U573:U575"/>
    <mergeCell ref="U576:U577"/>
    <mergeCell ref="U579:U581"/>
    <mergeCell ref="U582:U584"/>
    <mergeCell ref="U585:U587"/>
    <mergeCell ref="U588:U589"/>
    <mergeCell ref="U590:U591"/>
    <mergeCell ref="U592:U593"/>
    <mergeCell ref="U595:U596"/>
    <mergeCell ref="U597:U601"/>
    <mergeCell ref="U602:U603"/>
    <mergeCell ref="U604:U608"/>
    <mergeCell ref="U613:U615"/>
    <mergeCell ref="U616:U618"/>
    <mergeCell ref="U619:U621"/>
    <mergeCell ref="U623:U624"/>
    <mergeCell ref="U625:U628"/>
    <mergeCell ref="U629:U636"/>
    <mergeCell ref="U637:U640"/>
    <mergeCell ref="U644:U645"/>
    <mergeCell ref="U646:U647"/>
    <mergeCell ref="U650:U651"/>
    <mergeCell ref="U652:U653"/>
    <mergeCell ref="U655:U658"/>
    <mergeCell ref="U666:U667"/>
    <mergeCell ref="U669:U670"/>
    <mergeCell ref="U671:U677"/>
    <mergeCell ref="U678:U684"/>
    <mergeCell ref="U685:U686"/>
    <mergeCell ref="U687:U688"/>
    <mergeCell ref="U691:U692"/>
    <mergeCell ref="U693:U694"/>
    <mergeCell ref="U695:U696"/>
    <mergeCell ref="U697:U698"/>
    <mergeCell ref="U699:U700"/>
    <mergeCell ref="U701:U702"/>
    <mergeCell ref="U704:U705"/>
    <mergeCell ref="AH241:AH244"/>
    <mergeCell ref="AH245:AH252"/>
    <mergeCell ref="AH253:AH256"/>
    <mergeCell ref="AH257:AH261"/>
    <mergeCell ref="AH282:AH283"/>
  </mergeCells>
  <printOptions horizontalCentered="1"/>
  <pageMargins left="0.393055555555556" right="0.393055555555556" top="0.590277777777778" bottom="0.590277777777778" header="0.5" footer="0.5"/>
  <pageSetup paperSize="8" scale="56" fitToHeight="0" orientation="landscape" horizontalDpi="600"/>
  <headerFooter/>
  <rowBreaks count="1" manualBreakCount="1">
    <brk id="447" max="32"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J658"/>
  <sheetViews>
    <sheetView view="pageBreakPreview" zoomScale="80" zoomScaleNormal="80" workbookViewId="0">
      <pane ySplit="4" topLeftCell="A151" activePane="bottomLeft" state="frozen"/>
      <selection/>
      <selection pane="bottomLeft" activeCell="O152" sqref="O166 O152"/>
    </sheetView>
  </sheetViews>
  <sheetFormatPr defaultColWidth="9" defaultRowHeight="15.75"/>
  <cols>
    <col min="1" max="1" width="5" style="34" customWidth="1"/>
    <col min="2" max="2" width="15.6222222222222" style="34" customWidth="1"/>
    <col min="3" max="3" width="26.8740740740741" style="34" customWidth="1"/>
    <col min="4" max="4" width="4.87407407407407" style="34" customWidth="1"/>
    <col min="5" max="5" width="19.8740740740741" style="35" customWidth="1"/>
    <col min="6" max="6" width="28.8740740740741" style="35" customWidth="1"/>
    <col min="7" max="7" width="5.12592592592593" style="32" customWidth="1"/>
    <col min="8" max="8" width="26.3777777777778" style="33" customWidth="1"/>
    <col min="9" max="10" width="7.25185185185185" style="32" customWidth="1"/>
    <col min="11" max="13" width="8.5037037037037" style="32" customWidth="1"/>
    <col min="14" max="16" width="8.42222222222222" style="36" customWidth="1"/>
    <col min="17" max="17" width="4.62222222222222" style="36" customWidth="1"/>
    <col min="18" max="18" width="7.74814814814815" style="36" customWidth="1"/>
    <col min="19" max="19" width="25.7481481481481" style="37" customWidth="1"/>
    <col min="20" max="20" width="15.7481481481481" style="34" customWidth="1"/>
    <col min="21" max="21" width="15" style="32" customWidth="1"/>
    <col min="22" max="22" width="31.8740740740741" style="38" customWidth="1"/>
    <col min="23" max="23" width="21.7481481481481" style="38" customWidth="1"/>
    <col min="24" max="24" width="9" style="30" customWidth="1"/>
    <col min="25" max="25" width="5" style="30" customWidth="1"/>
    <col min="26" max="26" width="29.7481481481481" style="35" customWidth="1"/>
    <col min="27" max="30" width="7.12592592592593" style="30" customWidth="1"/>
    <col min="31" max="31" width="9.3037037037037" style="30" customWidth="1"/>
    <col min="33" max="33" width="50.6962962962963" customWidth="1"/>
  </cols>
  <sheetData>
    <row r="1" ht="24" customHeight="1" spans="1:1">
      <c r="A1" s="39" t="s">
        <v>0</v>
      </c>
    </row>
    <row r="2" s="27" customFormat="1" ht="37" customHeight="1" spans="1:31">
      <c r="A2" s="40" t="s">
        <v>1</v>
      </c>
      <c r="B2" s="40" t="s">
        <v>1</v>
      </c>
      <c r="C2" s="40" t="s">
        <v>1</v>
      </c>
      <c r="D2" s="40" t="s">
        <v>1</v>
      </c>
      <c r="E2" s="40" t="s">
        <v>1</v>
      </c>
      <c r="F2" s="40" t="s">
        <v>1</v>
      </c>
      <c r="G2" s="40" t="s">
        <v>1</v>
      </c>
      <c r="H2" s="40" t="s">
        <v>1</v>
      </c>
      <c r="I2" s="40" t="s">
        <v>1</v>
      </c>
      <c r="J2" s="40" t="s">
        <v>1</v>
      </c>
      <c r="K2" s="40" t="s">
        <v>1</v>
      </c>
      <c r="L2" s="40" t="s">
        <v>1</v>
      </c>
      <c r="M2" s="40" t="s">
        <v>1</v>
      </c>
      <c r="N2" s="61" t="s">
        <v>1</v>
      </c>
      <c r="O2" s="61" t="s">
        <v>1</v>
      </c>
      <c r="P2" s="61" t="s">
        <v>1</v>
      </c>
      <c r="Q2" s="61" t="s">
        <v>1</v>
      </c>
      <c r="R2" s="61" t="s">
        <v>1</v>
      </c>
      <c r="S2" s="61" t="s">
        <v>1</v>
      </c>
      <c r="T2" s="40" t="s">
        <v>1</v>
      </c>
      <c r="U2" s="40" t="s">
        <v>1</v>
      </c>
      <c r="V2" s="40" t="s">
        <v>1</v>
      </c>
      <c r="W2" s="40" t="s">
        <v>1</v>
      </c>
      <c r="X2" s="40" t="s">
        <v>1</v>
      </c>
      <c r="Y2" s="40" t="s">
        <v>1</v>
      </c>
      <c r="Z2" s="40" t="s">
        <v>1</v>
      </c>
      <c r="AA2" s="40" t="s">
        <v>1</v>
      </c>
      <c r="AB2" s="40" t="s">
        <v>1</v>
      </c>
      <c r="AC2" s="40" t="s">
        <v>1</v>
      </c>
      <c r="AD2" s="40" t="s">
        <v>1</v>
      </c>
      <c r="AE2" s="40" t="s">
        <v>1</v>
      </c>
    </row>
    <row r="3" s="28" customFormat="1" ht="30" customHeight="1" spans="1:31">
      <c r="A3" s="41" t="s">
        <v>2</v>
      </c>
      <c r="B3" s="41" t="s">
        <v>2</v>
      </c>
      <c r="C3" s="41" t="s">
        <v>2</v>
      </c>
      <c r="D3" s="41" t="s">
        <v>2</v>
      </c>
      <c r="E3" s="41" t="s">
        <v>2</v>
      </c>
      <c r="F3" s="41" t="s">
        <v>2</v>
      </c>
      <c r="G3" s="41" t="s">
        <v>2</v>
      </c>
      <c r="H3" s="41" t="s">
        <v>2</v>
      </c>
      <c r="I3" s="41" t="s">
        <v>2</v>
      </c>
      <c r="J3" s="41" t="s">
        <v>2</v>
      </c>
      <c r="K3" s="41" t="s">
        <v>2</v>
      </c>
      <c r="L3" s="41" t="s">
        <v>2</v>
      </c>
      <c r="M3" s="41" t="s">
        <v>2</v>
      </c>
      <c r="N3" s="41" t="s">
        <v>2</v>
      </c>
      <c r="O3" s="41" t="s">
        <v>2</v>
      </c>
      <c r="P3" s="41" t="s">
        <v>2</v>
      </c>
      <c r="Q3" s="41" t="s">
        <v>2</v>
      </c>
      <c r="R3" s="41" t="s">
        <v>2</v>
      </c>
      <c r="S3" s="41" t="s">
        <v>2</v>
      </c>
      <c r="T3" s="66" t="s">
        <v>3</v>
      </c>
      <c r="U3" s="66" t="s">
        <v>3</v>
      </c>
      <c r="V3" s="66" t="s">
        <v>3</v>
      </c>
      <c r="W3" s="66" t="s">
        <v>3</v>
      </c>
      <c r="X3" s="66" t="s">
        <v>3</v>
      </c>
      <c r="Y3" s="66" t="s">
        <v>3</v>
      </c>
      <c r="Z3" s="66" t="s">
        <v>3</v>
      </c>
      <c r="AA3" s="66" t="s">
        <v>3</v>
      </c>
      <c r="AB3" s="66" t="s">
        <v>3</v>
      </c>
      <c r="AC3" s="66" t="s">
        <v>3</v>
      </c>
      <c r="AD3" s="66" t="s">
        <v>3</v>
      </c>
      <c r="AE3" s="66" t="s">
        <v>3</v>
      </c>
    </row>
    <row r="4" s="29" customFormat="1" ht="38" customHeight="1" spans="1:31">
      <c r="A4" s="42" t="s">
        <v>4</v>
      </c>
      <c r="B4" s="42" t="s">
        <v>5</v>
      </c>
      <c r="C4" s="42" t="s">
        <v>6</v>
      </c>
      <c r="D4" s="42" t="s">
        <v>7</v>
      </c>
      <c r="E4" s="42" t="s">
        <v>8</v>
      </c>
      <c r="F4" s="42" t="s">
        <v>9</v>
      </c>
      <c r="G4" s="42" t="s">
        <v>10</v>
      </c>
      <c r="H4" s="42" t="s">
        <v>11</v>
      </c>
      <c r="I4" s="51" t="s">
        <v>12</v>
      </c>
      <c r="J4" s="51" t="s">
        <v>13</v>
      </c>
      <c r="K4" s="52" t="s">
        <v>14</v>
      </c>
      <c r="L4" s="52" t="s">
        <v>15</v>
      </c>
      <c r="M4" s="52" t="s">
        <v>16</v>
      </c>
      <c r="N4" s="62" t="s">
        <v>17</v>
      </c>
      <c r="O4" s="62" t="s">
        <v>18</v>
      </c>
      <c r="P4" s="62" t="s">
        <v>19</v>
      </c>
      <c r="Q4" s="67" t="s">
        <v>20</v>
      </c>
      <c r="R4" s="68" t="s">
        <v>23</v>
      </c>
      <c r="S4" s="67" t="s">
        <v>24</v>
      </c>
      <c r="T4" s="42" t="s">
        <v>25</v>
      </c>
      <c r="U4" s="42" t="s">
        <v>26</v>
      </c>
      <c r="V4" s="42" t="s">
        <v>6</v>
      </c>
      <c r="W4" s="72" t="s">
        <v>27</v>
      </c>
      <c r="X4" s="72" t="s">
        <v>28</v>
      </c>
      <c r="Y4" s="72" t="s">
        <v>10</v>
      </c>
      <c r="Z4" s="72" t="s">
        <v>29</v>
      </c>
      <c r="AA4" s="51" t="s">
        <v>30</v>
      </c>
      <c r="AB4" s="51" t="s">
        <v>31</v>
      </c>
      <c r="AC4" s="77" t="s">
        <v>32</v>
      </c>
      <c r="AD4" s="77" t="s">
        <v>33</v>
      </c>
      <c r="AE4" s="77" t="s">
        <v>34</v>
      </c>
    </row>
    <row r="5" ht="63" customHeight="1" spans="1:36">
      <c r="A5" s="43">
        <v>1</v>
      </c>
      <c r="B5" s="43" t="s">
        <v>35</v>
      </c>
      <c r="C5" s="43" t="s">
        <v>36</v>
      </c>
      <c r="D5" s="43" t="s">
        <v>37</v>
      </c>
      <c r="E5" s="48" t="s">
        <v>38</v>
      </c>
      <c r="F5" s="48" t="s">
        <v>39</v>
      </c>
      <c r="G5" s="43" t="s">
        <v>40</v>
      </c>
      <c r="H5" s="48" t="s">
        <v>41</v>
      </c>
      <c r="I5" s="53">
        <v>240</v>
      </c>
      <c r="J5" s="53">
        <v>216</v>
      </c>
      <c r="K5" s="54"/>
      <c r="L5" s="54"/>
      <c r="M5" s="54"/>
      <c r="N5" s="63">
        <v>220</v>
      </c>
      <c r="O5" s="63">
        <v>200</v>
      </c>
      <c r="P5" s="63">
        <v>170</v>
      </c>
      <c r="Q5" s="45" t="s">
        <v>42</v>
      </c>
      <c r="R5" s="69" t="s">
        <v>44</v>
      </c>
      <c r="S5" s="49" t="s">
        <v>45</v>
      </c>
      <c r="T5" s="43" t="s">
        <v>46</v>
      </c>
      <c r="U5" s="71">
        <v>311000014</v>
      </c>
      <c r="V5" s="43" t="s">
        <v>47</v>
      </c>
      <c r="W5" s="43" t="s">
        <v>43</v>
      </c>
      <c r="X5" s="71" t="s">
        <v>43</v>
      </c>
      <c r="Y5" s="71" t="s">
        <v>48</v>
      </c>
      <c r="Z5" s="48" t="s">
        <v>43</v>
      </c>
      <c r="AA5" s="74" t="s">
        <v>43</v>
      </c>
      <c r="AB5" s="74" t="s">
        <v>43</v>
      </c>
      <c r="AC5" s="78" t="s">
        <v>43</v>
      </c>
      <c r="AD5" s="78" t="s">
        <v>43</v>
      </c>
      <c r="AE5" s="78" t="s">
        <v>43</v>
      </c>
      <c r="AF5" s="79">
        <f>IFERROR(FIND("（加收）",C5,1),0)</f>
        <v>0</v>
      </c>
      <c r="AG5" s="79" t="str">
        <f>IF(AF5&gt;0,LEFT(C5,IFERROR(FIND("-",C5,1),1)-1),C5)</f>
        <v>肾盂内压检查费</v>
      </c>
      <c r="AH5" s="79">
        <f>IF(AF5&gt;0,_xlfn.MAXIFS(N:N,C:C,AG5),0)+N5</f>
        <v>220</v>
      </c>
      <c r="AI5" s="79">
        <f>IF(AF5&gt;0,_xlfn.MAXIFS(O:O,C:C,AG5),0)+O5</f>
        <v>200</v>
      </c>
      <c r="AJ5" s="79">
        <f>IF(AF5&gt;0,_xlfn.MAXIFS(P:P,C:C,AG5),0)+P5</f>
        <v>170</v>
      </c>
    </row>
    <row r="6" ht="63" customHeight="1" spans="1:36">
      <c r="A6" s="44">
        <v>2</v>
      </c>
      <c r="B6" s="44" t="s">
        <v>49</v>
      </c>
      <c r="C6" s="45" t="s">
        <v>50</v>
      </c>
      <c r="D6" s="45" t="s">
        <v>37</v>
      </c>
      <c r="E6" s="49" t="s">
        <v>51</v>
      </c>
      <c r="F6" s="49" t="s">
        <v>52</v>
      </c>
      <c r="G6" s="45" t="s">
        <v>40</v>
      </c>
      <c r="H6" s="49" t="s">
        <v>53</v>
      </c>
      <c r="I6" s="53">
        <v>165</v>
      </c>
      <c r="J6" s="53">
        <v>150</v>
      </c>
      <c r="K6" s="55">
        <v>165</v>
      </c>
      <c r="L6" s="55">
        <v>150</v>
      </c>
      <c r="M6" s="55">
        <v>127.5</v>
      </c>
      <c r="N6" s="63">
        <v>165</v>
      </c>
      <c r="O6" s="63">
        <v>150</v>
      </c>
      <c r="P6" s="63">
        <v>128</v>
      </c>
      <c r="Q6" s="44" t="s">
        <v>54</v>
      </c>
      <c r="R6" s="69" t="s">
        <v>55</v>
      </c>
      <c r="S6" s="44" t="s">
        <v>56</v>
      </c>
      <c r="T6" s="43" t="s">
        <v>57</v>
      </c>
      <c r="U6" s="71">
        <v>311000039</v>
      </c>
      <c r="V6" s="43" t="s">
        <v>58</v>
      </c>
      <c r="W6" s="43" t="s">
        <v>59</v>
      </c>
      <c r="X6" s="71" t="s">
        <v>43</v>
      </c>
      <c r="Y6" s="71" t="s">
        <v>40</v>
      </c>
      <c r="Z6" s="48" t="s">
        <v>43</v>
      </c>
      <c r="AA6" s="75">
        <v>165</v>
      </c>
      <c r="AB6" s="75">
        <v>150</v>
      </c>
      <c r="AC6" s="80">
        <v>165</v>
      </c>
      <c r="AD6" s="80">
        <v>150</v>
      </c>
      <c r="AE6" s="80">
        <v>127.5</v>
      </c>
      <c r="AF6" s="79">
        <f t="shared" ref="AF6:AF69" si="0">IFERROR(FIND("（加收）",C6,1),0)</f>
        <v>0</v>
      </c>
      <c r="AG6" s="79" t="str">
        <f t="shared" ref="AG6:AG69" si="1">IF(AF6&gt;0,LEFT(C6,IFERROR(FIND("-",C6,1),1)-1),C6)</f>
        <v>尿流动力学检查费</v>
      </c>
      <c r="AH6" s="79">
        <f t="shared" ref="AH6:AH13" si="2">IF(AF6&gt;0,_xlfn.MAXIFS(N:N,C:C,AG6),0)+N6</f>
        <v>165</v>
      </c>
      <c r="AI6" s="79">
        <f t="shared" ref="AI6:AI13" si="3">IF(AF6&gt;0,_xlfn.MAXIFS(O:O,C:C,AG6),0)+O6</f>
        <v>150</v>
      </c>
      <c r="AJ6" s="79">
        <f t="shared" ref="AJ6:AJ13" si="4">IF(AF6&gt;0,_xlfn.MAXIFS(P:P,C:C,AG6),0)+P6</f>
        <v>128</v>
      </c>
    </row>
    <row r="7" ht="29" customHeight="1" spans="1:36">
      <c r="A7" s="44">
        <v>2</v>
      </c>
      <c r="B7" s="44" t="s">
        <v>49</v>
      </c>
      <c r="C7" s="45" t="s">
        <v>60</v>
      </c>
      <c r="D7" s="45"/>
      <c r="E7" s="49"/>
      <c r="F7" s="49"/>
      <c r="G7" s="45"/>
      <c r="H7" s="49"/>
      <c r="I7" s="53"/>
      <c r="J7" s="53"/>
      <c r="K7" s="55">
        <v>66</v>
      </c>
      <c r="L7" s="55">
        <v>60</v>
      </c>
      <c r="M7" s="55">
        <v>51</v>
      </c>
      <c r="N7" s="63">
        <v>66</v>
      </c>
      <c r="O7" s="63">
        <v>59</v>
      </c>
      <c r="P7" s="63">
        <v>51</v>
      </c>
      <c r="Q7" s="44" t="s">
        <v>54</v>
      </c>
      <c r="R7" s="69"/>
      <c r="S7" s="44" t="s">
        <v>56</v>
      </c>
      <c r="T7" s="43" t="s">
        <v>61</v>
      </c>
      <c r="U7" s="71">
        <v>311000038</v>
      </c>
      <c r="V7" s="43" t="s">
        <v>62</v>
      </c>
      <c r="W7" s="43" t="s">
        <v>43</v>
      </c>
      <c r="X7" s="71" t="s">
        <v>43</v>
      </c>
      <c r="Y7" s="71" t="s">
        <v>40</v>
      </c>
      <c r="Z7" s="48" t="s">
        <v>43</v>
      </c>
      <c r="AA7" s="75">
        <v>66</v>
      </c>
      <c r="AB7" s="75">
        <v>59</v>
      </c>
      <c r="AC7" s="80">
        <v>66</v>
      </c>
      <c r="AD7" s="80">
        <v>60</v>
      </c>
      <c r="AE7" s="80">
        <v>51</v>
      </c>
      <c r="AF7" s="79">
        <f t="shared" si="0"/>
        <v>0</v>
      </c>
      <c r="AG7" s="79" t="str">
        <f t="shared" si="1"/>
        <v>尿流动力学检查费（尿流率检测）</v>
      </c>
      <c r="AH7" s="79">
        <f t="shared" si="2"/>
        <v>66</v>
      </c>
      <c r="AI7" s="79">
        <f t="shared" si="3"/>
        <v>59</v>
      </c>
      <c r="AJ7" s="79">
        <f t="shared" si="4"/>
        <v>51</v>
      </c>
    </row>
    <row r="8" ht="72" customHeight="1" spans="1:36">
      <c r="A8" s="43">
        <v>3</v>
      </c>
      <c r="B8" s="43" t="s">
        <v>63</v>
      </c>
      <c r="C8" s="43" t="s">
        <v>64</v>
      </c>
      <c r="D8" s="43" t="s">
        <v>37</v>
      </c>
      <c r="E8" s="48" t="s">
        <v>65</v>
      </c>
      <c r="F8" s="48" t="s">
        <v>66</v>
      </c>
      <c r="G8" s="43" t="s">
        <v>48</v>
      </c>
      <c r="H8" s="48" t="s">
        <v>43</v>
      </c>
      <c r="I8" s="53">
        <v>660</v>
      </c>
      <c r="J8" s="53">
        <v>595</v>
      </c>
      <c r="K8" s="54">
        <v>660</v>
      </c>
      <c r="L8" s="54">
        <v>600</v>
      </c>
      <c r="M8" s="54">
        <v>510</v>
      </c>
      <c r="N8" s="63">
        <v>660</v>
      </c>
      <c r="O8" s="63">
        <v>595</v>
      </c>
      <c r="P8" s="63">
        <v>510</v>
      </c>
      <c r="Q8" s="45" t="s">
        <v>54</v>
      </c>
      <c r="R8" s="69" t="s">
        <v>67</v>
      </c>
      <c r="S8" s="49" t="s">
        <v>68</v>
      </c>
      <c r="T8" s="43" t="s">
        <v>69</v>
      </c>
      <c r="U8" s="71">
        <v>311000018</v>
      </c>
      <c r="V8" s="43" t="s">
        <v>70</v>
      </c>
      <c r="W8" s="43" t="s">
        <v>71</v>
      </c>
      <c r="X8" s="71" t="s">
        <v>43</v>
      </c>
      <c r="Y8" s="71" t="s">
        <v>48</v>
      </c>
      <c r="Z8" s="48" t="s">
        <v>43</v>
      </c>
      <c r="AA8" s="75">
        <v>660</v>
      </c>
      <c r="AB8" s="75">
        <v>595</v>
      </c>
      <c r="AC8" s="80">
        <v>660</v>
      </c>
      <c r="AD8" s="80">
        <v>600</v>
      </c>
      <c r="AE8" s="80">
        <v>510</v>
      </c>
      <c r="AF8" s="79">
        <f t="shared" si="0"/>
        <v>0</v>
      </c>
      <c r="AG8" s="79" t="str">
        <f t="shared" si="1"/>
        <v>泌尿系镜检查费（肾镜）</v>
      </c>
      <c r="AH8" s="79">
        <f t="shared" si="2"/>
        <v>660</v>
      </c>
      <c r="AI8" s="79">
        <f t="shared" si="3"/>
        <v>595</v>
      </c>
      <c r="AJ8" s="79">
        <f t="shared" si="4"/>
        <v>510</v>
      </c>
    </row>
    <row r="9" ht="75" customHeight="1" spans="1:36">
      <c r="A9" s="43">
        <v>4</v>
      </c>
      <c r="B9" s="43" t="s">
        <v>72</v>
      </c>
      <c r="C9" s="43" t="s">
        <v>73</v>
      </c>
      <c r="D9" s="43" t="s">
        <v>37</v>
      </c>
      <c r="E9" s="48" t="s">
        <v>74</v>
      </c>
      <c r="F9" s="48" t="s">
        <v>75</v>
      </c>
      <c r="G9" s="43" t="s">
        <v>48</v>
      </c>
      <c r="H9" s="48"/>
      <c r="I9" s="53">
        <v>499</v>
      </c>
      <c r="J9" s="53">
        <v>449</v>
      </c>
      <c r="K9" s="54">
        <v>495</v>
      </c>
      <c r="L9" s="54">
        <v>450</v>
      </c>
      <c r="M9" s="54">
        <v>382.5</v>
      </c>
      <c r="N9" s="63">
        <v>495</v>
      </c>
      <c r="O9" s="63">
        <v>445</v>
      </c>
      <c r="P9" s="63">
        <v>380</v>
      </c>
      <c r="Q9" s="45" t="s">
        <v>54</v>
      </c>
      <c r="R9" s="69" t="s">
        <v>76</v>
      </c>
      <c r="S9" s="49" t="s">
        <v>77</v>
      </c>
      <c r="T9" s="43" t="s">
        <v>78</v>
      </c>
      <c r="U9" s="71">
        <v>311000020</v>
      </c>
      <c r="V9" s="43" t="s">
        <v>79</v>
      </c>
      <c r="W9" s="43" t="s">
        <v>80</v>
      </c>
      <c r="X9" s="71" t="s">
        <v>43</v>
      </c>
      <c r="Y9" s="71" t="s">
        <v>48</v>
      </c>
      <c r="Z9" s="48" t="s">
        <v>43</v>
      </c>
      <c r="AA9" s="75">
        <v>495</v>
      </c>
      <c r="AB9" s="75">
        <v>445</v>
      </c>
      <c r="AC9" s="80">
        <v>495</v>
      </c>
      <c r="AD9" s="80">
        <v>450</v>
      </c>
      <c r="AE9" s="80">
        <v>382.5</v>
      </c>
      <c r="AF9" s="79">
        <f t="shared" si="0"/>
        <v>0</v>
      </c>
      <c r="AG9" s="79" t="str">
        <f t="shared" si="1"/>
        <v>泌尿系镜检查费（输尿管镜）</v>
      </c>
      <c r="AH9" s="79">
        <f t="shared" si="2"/>
        <v>495</v>
      </c>
      <c r="AI9" s="79">
        <f t="shared" si="3"/>
        <v>445</v>
      </c>
      <c r="AJ9" s="79">
        <f t="shared" si="4"/>
        <v>380</v>
      </c>
    </row>
    <row r="10" ht="71" customHeight="1" spans="1:36">
      <c r="A10" s="45" t="s">
        <v>81</v>
      </c>
      <c r="B10" s="111" t="s">
        <v>82</v>
      </c>
      <c r="C10" s="45" t="s">
        <v>83</v>
      </c>
      <c r="D10" s="45" t="s">
        <v>37</v>
      </c>
      <c r="E10" s="49" t="s">
        <v>43</v>
      </c>
      <c r="F10" s="49" t="s">
        <v>43</v>
      </c>
      <c r="G10" s="45" t="s">
        <v>48</v>
      </c>
      <c r="H10" s="49" t="s">
        <v>43</v>
      </c>
      <c r="I10" s="53">
        <v>499</v>
      </c>
      <c r="J10" s="53">
        <v>449</v>
      </c>
      <c r="K10" s="55">
        <v>720</v>
      </c>
      <c r="L10" s="55">
        <v>648</v>
      </c>
      <c r="M10" s="55">
        <v>550.8</v>
      </c>
      <c r="N10" s="63">
        <v>495</v>
      </c>
      <c r="O10" s="63">
        <v>445</v>
      </c>
      <c r="P10" s="63">
        <v>380</v>
      </c>
      <c r="Q10" s="45" t="s">
        <v>54</v>
      </c>
      <c r="R10" s="69"/>
      <c r="S10" s="49" t="s">
        <v>84</v>
      </c>
      <c r="T10" s="45" t="s">
        <v>85</v>
      </c>
      <c r="U10" s="45">
        <v>311100020</v>
      </c>
      <c r="V10" s="45" t="s">
        <v>86</v>
      </c>
      <c r="W10" s="43" t="s">
        <v>87</v>
      </c>
      <c r="X10" s="71" t="s">
        <v>43</v>
      </c>
      <c r="Y10" s="71" t="s">
        <v>88</v>
      </c>
      <c r="Z10" s="48" t="s">
        <v>43</v>
      </c>
      <c r="AA10" s="75">
        <v>800</v>
      </c>
      <c r="AB10" s="74" t="s">
        <v>43</v>
      </c>
      <c r="AC10" s="80">
        <v>720</v>
      </c>
      <c r="AD10" s="80">
        <v>648</v>
      </c>
      <c r="AE10" s="80">
        <v>550.8</v>
      </c>
      <c r="AF10" s="79">
        <f t="shared" si="0"/>
        <v>0</v>
      </c>
      <c r="AG10" s="79" t="str">
        <f t="shared" si="1"/>
        <v>泌尿系镜检查费（输尿管镜）-精囊镜检查（扩展）</v>
      </c>
      <c r="AH10" s="79">
        <f t="shared" si="2"/>
        <v>495</v>
      </c>
      <c r="AI10" s="79">
        <f t="shared" si="3"/>
        <v>445</v>
      </c>
      <c r="AJ10" s="79">
        <f t="shared" si="4"/>
        <v>380</v>
      </c>
    </row>
    <row r="11" ht="53" customHeight="1" spans="1:36">
      <c r="A11" s="43">
        <v>5</v>
      </c>
      <c r="B11" s="43" t="s">
        <v>89</v>
      </c>
      <c r="C11" s="43" t="s">
        <v>90</v>
      </c>
      <c r="D11" s="43" t="s">
        <v>37</v>
      </c>
      <c r="E11" s="48" t="s">
        <v>91</v>
      </c>
      <c r="F11" s="48" t="s">
        <v>75</v>
      </c>
      <c r="G11" s="43" t="s">
        <v>40</v>
      </c>
      <c r="H11" s="48"/>
      <c r="I11" s="53">
        <v>132</v>
      </c>
      <c r="J11" s="53">
        <v>120</v>
      </c>
      <c r="K11" s="54">
        <v>132</v>
      </c>
      <c r="L11" s="54">
        <v>120</v>
      </c>
      <c r="M11" s="54">
        <v>102</v>
      </c>
      <c r="N11" s="63">
        <v>132</v>
      </c>
      <c r="O11" s="63">
        <v>120</v>
      </c>
      <c r="P11" s="63">
        <v>102</v>
      </c>
      <c r="Q11" s="45" t="s">
        <v>54</v>
      </c>
      <c r="R11" s="69" t="s">
        <v>55</v>
      </c>
      <c r="S11" s="49" t="s">
        <v>55</v>
      </c>
      <c r="T11" s="43" t="s">
        <v>92</v>
      </c>
      <c r="U11" s="71">
        <v>311000034</v>
      </c>
      <c r="V11" s="43" t="s">
        <v>93</v>
      </c>
      <c r="W11" s="43" t="s">
        <v>94</v>
      </c>
      <c r="X11" s="71" t="s">
        <v>43</v>
      </c>
      <c r="Y11" s="71" t="s">
        <v>40</v>
      </c>
      <c r="Z11" s="48" t="s">
        <v>43</v>
      </c>
      <c r="AA11" s="75">
        <v>132</v>
      </c>
      <c r="AB11" s="75">
        <v>120</v>
      </c>
      <c r="AC11" s="80">
        <v>132</v>
      </c>
      <c r="AD11" s="80">
        <v>120</v>
      </c>
      <c r="AE11" s="80">
        <v>102</v>
      </c>
      <c r="AF11" s="79">
        <f t="shared" si="0"/>
        <v>0</v>
      </c>
      <c r="AG11" s="79" t="str">
        <f t="shared" si="1"/>
        <v>泌尿系镜检查费（膀胱镜尿道镜）</v>
      </c>
      <c r="AH11" s="79">
        <f t="shared" si="2"/>
        <v>132</v>
      </c>
      <c r="AI11" s="79">
        <f t="shared" si="3"/>
        <v>120</v>
      </c>
      <c r="AJ11" s="79">
        <f t="shared" si="4"/>
        <v>102</v>
      </c>
    </row>
    <row r="12" ht="56" customHeight="1" spans="1:36">
      <c r="A12" s="43">
        <v>7</v>
      </c>
      <c r="B12" s="43" t="s">
        <v>101</v>
      </c>
      <c r="C12" s="43" t="s">
        <v>102</v>
      </c>
      <c r="D12" s="43" t="s">
        <v>37</v>
      </c>
      <c r="E12" s="48" t="s">
        <v>103</v>
      </c>
      <c r="F12" s="48" t="s">
        <v>104</v>
      </c>
      <c r="G12" s="43" t="s">
        <v>40</v>
      </c>
      <c r="H12" s="48" t="s">
        <v>43</v>
      </c>
      <c r="I12" s="53">
        <v>100</v>
      </c>
      <c r="J12" s="53">
        <v>90</v>
      </c>
      <c r="K12" s="54">
        <v>99</v>
      </c>
      <c r="L12" s="54">
        <v>89</v>
      </c>
      <c r="M12" s="54">
        <v>77</v>
      </c>
      <c r="N12" s="63">
        <v>99</v>
      </c>
      <c r="O12" s="63">
        <v>89</v>
      </c>
      <c r="P12" s="63">
        <v>77</v>
      </c>
      <c r="Q12" s="45" t="s">
        <v>42</v>
      </c>
      <c r="R12" s="69" t="s">
        <v>55</v>
      </c>
      <c r="S12" s="49" t="s">
        <v>55</v>
      </c>
      <c r="T12" s="43" t="s">
        <v>105</v>
      </c>
      <c r="U12" s="71">
        <v>311100003</v>
      </c>
      <c r="V12" s="43" t="s">
        <v>106</v>
      </c>
      <c r="W12" s="43" t="s">
        <v>107</v>
      </c>
      <c r="X12" s="71" t="s">
        <v>43</v>
      </c>
      <c r="Y12" s="71" t="s">
        <v>40</v>
      </c>
      <c r="Z12" s="48" t="s">
        <v>43</v>
      </c>
      <c r="AA12" s="75">
        <v>100</v>
      </c>
      <c r="AB12" s="75">
        <v>90</v>
      </c>
      <c r="AC12" s="80">
        <v>99</v>
      </c>
      <c r="AD12" s="80">
        <v>89</v>
      </c>
      <c r="AE12" s="80">
        <v>77</v>
      </c>
      <c r="AF12" s="79">
        <f t="shared" si="0"/>
        <v>0</v>
      </c>
      <c r="AG12" s="79" t="str">
        <f t="shared" si="1"/>
        <v>阴茎勃起检查费</v>
      </c>
      <c r="AH12" s="79">
        <f t="shared" si="2"/>
        <v>99</v>
      </c>
      <c r="AI12" s="79">
        <f t="shared" si="3"/>
        <v>89</v>
      </c>
      <c r="AJ12" s="79">
        <f t="shared" si="4"/>
        <v>77</v>
      </c>
    </row>
    <row r="13" ht="33" customHeight="1" spans="1:36">
      <c r="A13" s="44">
        <v>8</v>
      </c>
      <c r="B13" s="44" t="s">
        <v>108</v>
      </c>
      <c r="C13" s="44" t="s">
        <v>109</v>
      </c>
      <c r="D13" s="44" t="s">
        <v>37</v>
      </c>
      <c r="E13" s="44" t="s">
        <v>110</v>
      </c>
      <c r="F13" s="44" t="s">
        <v>111</v>
      </c>
      <c r="G13" s="44" t="s">
        <v>40</v>
      </c>
      <c r="H13" s="44"/>
      <c r="I13" s="56">
        <v>77</v>
      </c>
      <c r="J13" s="56">
        <v>69</v>
      </c>
      <c r="K13" s="55"/>
      <c r="L13" s="57">
        <v>80</v>
      </c>
      <c r="M13" s="55"/>
      <c r="N13" s="64">
        <v>77</v>
      </c>
      <c r="O13" s="64">
        <v>69</v>
      </c>
      <c r="P13" s="64">
        <v>60</v>
      </c>
      <c r="Q13" s="44" t="s">
        <v>42</v>
      </c>
      <c r="R13" s="70" t="s">
        <v>76</v>
      </c>
      <c r="S13" s="44" t="s">
        <v>112</v>
      </c>
      <c r="T13" s="43" t="s">
        <v>113</v>
      </c>
      <c r="U13" s="71">
        <v>311100004</v>
      </c>
      <c r="V13" s="43" t="s">
        <v>114</v>
      </c>
      <c r="W13" s="43" t="s">
        <v>43</v>
      </c>
      <c r="X13" s="71" t="s">
        <v>43</v>
      </c>
      <c r="Y13" s="71" t="s">
        <v>40</v>
      </c>
      <c r="Z13" s="48" t="s">
        <v>43</v>
      </c>
      <c r="AA13" s="75">
        <v>80</v>
      </c>
      <c r="AB13" s="75">
        <v>72</v>
      </c>
      <c r="AC13" s="80">
        <v>88</v>
      </c>
      <c r="AD13" s="80">
        <v>80</v>
      </c>
      <c r="AE13" s="80">
        <v>68</v>
      </c>
      <c r="AF13" s="79">
        <f t="shared" si="0"/>
        <v>0</v>
      </c>
      <c r="AG13" s="79" t="str">
        <f t="shared" si="1"/>
        <v>阴茎超声血流图检查费</v>
      </c>
      <c r="AH13" s="79">
        <f t="shared" si="2"/>
        <v>77</v>
      </c>
      <c r="AI13" s="79">
        <f t="shared" si="3"/>
        <v>69</v>
      </c>
      <c r="AJ13" s="79">
        <f t="shared" si="4"/>
        <v>60</v>
      </c>
    </row>
    <row r="14" ht="33" customHeight="1" spans="1:36">
      <c r="A14" s="44">
        <v>8</v>
      </c>
      <c r="B14" s="44" t="s">
        <v>108</v>
      </c>
      <c r="C14" s="44" t="s">
        <v>109</v>
      </c>
      <c r="D14" s="44" t="s">
        <v>37</v>
      </c>
      <c r="E14" s="44" t="s">
        <v>110</v>
      </c>
      <c r="F14" s="44" t="s">
        <v>111</v>
      </c>
      <c r="G14" s="44" t="s">
        <v>40</v>
      </c>
      <c r="H14" s="44"/>
      <c r="I14" s="56">
        <v>77</v>
      </c>
      <c r="J14" s="56">
        <v>69</v>
      </c>
      <c r="K14" s="55"/>
      <c r="L14" s="57">
        <v>80</v>
      </c>
      <c r="M14" s="55"/>
      <c r="N14" s="64">
        <v>77</v>
      </c>
      <c r="O14" s="64">
        <v>69</v>
      </c>
      <c r="P14" s="64">
        <v>60</v>
      </c>
      <c r="Q14" s="44" t="s">
        <v>42</v>
      </c>
      <c r="R14" s="70" t="s">
        <v>76</v>
      </c>
      <c r="S14" s="44" t="s">
        <v>112</v>
      </c>
      <c r="T14" s="43" t="s">
        <v>115</v>
      </c>
      <c r="U14" s="71">
        <v>311100011</v>
      </c>
      <c r="V14" s="43" t="s">
        <v>116</v>
      </c>
      <c r="W14" s="43" t="s">
        <v>43</v>
      </c>
      <c r="X14" s="71" t="s">
        <v>43</v>
      </c>
      <c r="Y14" s="71" t="s">
        <v>40</v>
      </c>
      <c r="Z14" s="48" t="s">
        <v>43</v>
      </c>
      <c r="AA14" s="75">
        <v>44</v>
      </c>
      <c r="AB14" s="75">
        <v>40</v>
      </c>
      <c r="AC14" s="80">
        <v>44</v>
      </c>
      <c r="AD14" s="80">
        <v>40</v>
      </c>
      <c r="AE14" s="80">
        <v>34</v>
      </c>
      <c r="AF14" s="79">
        <f t="shared" si="0"/>
        <v>0</v>
      </c>
      <c r="AG14" s="79" t="str">
        <f t="shared" si="1"/>
        <v>阴茎超声血流图检查费</v>
      </c>
      <c r="AH14" s="79">
        <f>IF(AF14&gt;0,_xlfn.MAXIFS(N:N,C:C,AG14),0)+N14</f>
        <v>77</v>
      </c>
      <c r="AI14" s="79">
        <f>IF(AF14&gt;0,_xlfn.MAXIFS(O:O,C:C,AG14),0)+O14</f>
        <v>69</v>
      </c>
      <c r="AJ14" s="79">
        <f>IF(AF14&gt;0,_xlfn.MAXIFS(P:P,C:C,AG14),0)+P14</f>
        <v>60</v>
      </c>
    </row>
    <row r="15" ht="58" customHeight="1" spans="1:36">
      <c r="A15" s="45">
        <v>9</v>
      </c>
      <c r="B15" s="45" t="s">
        <v>117</v>
      </c>
      <c r="C15" s="45" t="s">
        <v>118</v>
      </c>
      <c r="D15" s="45" t="s">
        <v>37</v>
      </c>
      <c r="E15" s="49" t="s">
        <v>119</v>
      </c>
      <c r="F15" s="49" t="s">
        <v>120</v>
      </c>
      <c r="G15" s="45" t="s">
        <v>40</v>
      </c>
      <c r="H15" s="49" t="s">
        <v>43</v>
      </c>
      <c r="I15" s="53">
        <v>110</v>
      </c>
      <c r="J15" s="53">
        <v>99</v>
      </c>
      <c r="K15" s="55">
        <v>110</v>
      </c>
      <c r="L15" s="55">
        <v>100</v>
      </c>
      <c r="M15" s="55">
        <v>85</v>
      </c>
      <c r="N15" s="63">
        <v>110</v>
      </c>
      <c r="O15" s="63">
        <v>99</v>
      </c>
      <c r="P15" s="63">
        <v>85</v>
      </c>
      <c r="Q15" s="45" t="s">
        <v>42</v>
      </c>
      <c r="R15" s="69" t="s">
        <v>67</v>
      </c>
      <c r="S15" s="49" t="s">
        <v>121</v>
      </c>
      <c r="T15" s="43" t="s">
        <v>122</v>
      </c>
      <c r="U15" s="71">
        <v>311100005</v>
      </c>
      <c r="V15" s="43" t="s">
        <v>123</v>
      </c>
      <c r="W15" s="43" t="s">
        <v>124</v>
      </c>
      <c r="X15" s="71" t="s">
        <v>43</v>
      </c>
      <c r="Y15" s="71" t="s">
        <v>40</v>
      </c>
      <c r="Z15" s="48" t="s">
        <v>43</v>
      </c>
      <c r="AA15" s="75">
        <v>110</v>
      </c>
      <c r="AB15" s="75">
        <v>99</v>
      </c>
      <c r="AC15" s="80">
        <v>110</v>
      </c>
      <c r="AD15" s="80">
        <v>100</v>
      </c>
      <c r="AE15" s="80">
        <v>85</v>
      </c>
      <c r="AF15" s="79">
        <f t="shared" si="0"/>
        <v>0</v>
      </c>
      <c r="AG15" s="79" t="str">
        <f t="shared" si="1"/>
        <v>阴茎勃起神经检查费</v>
      </c>
      <c r="AH15" s="79">
        <f>IF(AF15&gt;0,_xlfn.MAXIFS(N:N,C:C,AG15),0)+N15</f>
        <v>110</v>
      </c>
      <c r="AI15" s="79">
        <f>IF(AF15&gt;0,_xlfn.MAXIFS(O:O,C:C,AG15),0)+O15</f>
        <v>99</v>
      </c>
      <c r="AJ15" s="79">
        <f>IF(AF15&gt;0,_xlfn.MAXIFS(P:P,C:C,AG15),0)+P15</f>
        <v>85</v>
      </c>
    </row>
    <row r="16" s="30" customFormat="1" ht="69" customHeight="1" spans="1:36">
      <c r="A16" s="46">
        <v>10</v>
      </c>
      <c r="B16" s="46" t="s">
        <v>125</v>
      </c>
      <c r="C16" s="46" t="s">
        <v>126</v>
      </c>
      <c r="D16" s="46" t="s">
        <v>127</v>
      </c>
      <c r="E16" s="50" t="s">
        <v>128</v>
      </c>
      <c r="F16" s="50" t="s">
        <v>129</v>
      </c>
      <c r="G16" s="46" t="s">
        <v>40</v>
      </c>
      <c r="H16" s="50" t="s">
        <v>130</v>
      </c>
      <c r="I16" s="53">
        <v>398</v>
      </c>
      <c r="J16" s="53">
        <v>398</v>
      </c>
      <c r="K16" s="58">
        <v>385</v>
      </c>
      <c r="L16" s="58">
        <v>370</v>
      </c>
      <c r="M16" s="58">
        <v>340</v>
      </c>
      <c r="N16" s="63">
        <v>385</v>
      </c>
      <c r="O16" s="63">
        <v>370</v>
      </c>
      <c r="P16" s="63">
        <v>340</v>
      </c>
      <c r="Q16" s="45" t="s">
        <v>54</v>
      </c>
      <c r="R16" s="69" t="s">
        <v>131</v>
      </c>
      <c r="S16" s="49" t="s">
        <v>132</v>
      </c>
      <c r="T16" s="46" t="s">
        <v>125</v>
      </c>
      <c r="U16" s="46" t="s">
        <v>125</v>
      </c>
      <c r="V16" s="43" t="s">
        <v>126</v>
      </c>
      <c r="W16" s="48" t="s">
        <v>128</v>
      </c>
      <c r="X16" s="71"/>
      <c r="Y16" s="43" t="s">
        <v>40</v>
      </c>
      <c r="Z16" s="48" t="s">
        <v>130</v>
      </c>
      <c r="AA16" s="76">
        <v>398</v>
      </c>
      <c r="AB16" s="76">
        <v>398</v>
      </c>
      <c r="AC16" s="73">
        <v>385</v>
      </c>
      <c r="AD16" s="73">
        <v>370</v>
      </c>
      <c r="AE16" s="73">
        <v>340</v>
      </c>
      <c r="AF16" s="79">
        <f t="shared" si="0"/>
        <v>0</v>
      </c>
      <c r="AG16" s="79" t="str">
        <f t="shared" si="1"/>
        <v>血液透析费</v>
      </c>
      <c r="AH16" s="79">
        <f>IF(AF16&gt;0,_xlfn.MAXIFS(N:N,C:C,AG16),0)+N16</f>
        <v>385</v>
      </c>
      <c r="AI16" s="79">
        <f>IF(AF16&gt;0,_xlfn.MAXIFS(O:O,C:C,AG16),0)+O16</f>
        <v>370</v>
      </c>
      <c r="AJ16" s="79">
        <f>IF(AF16&gt;0,_xlfn.MAXIFS(P:P,C:C,AG16),0)+P16</f>
        <v>340</v>
      </c>
    </row>
    <row r="17" s="30" customFormat="1" ht="69" customHeight="1" spans="1:36">
      <c r="A17" s="46">
        <v>11</v>
      </c>
      <c r="B17" s="46" t="s">
        <v>133</v>
      </c>
      <c r="C17" s="46" t="s">
        <v>134</v>
      </c>
      <c r="D17" s="46" t="s">
        <v>127</v>
      </c>
      <c r="E17" s="50" t="s">
        <v>135</v>
      </c>
      <c r="F17" s="50" t="s">
        <v>136</v>
      </c>
      <c r="G17" s="46" t="s">
        <v>40</v>
      </c>
      <c r="H17" s="50" t="s">
        <v>130</v>
      </c>
      <c r="I17" s="53">
        <v>398</v>
      </c>
      <c r="J17" s="53">
        <v>398</v>
      </c>
      <c r="K17" s="58">
        <v>395</v>
      </c>
      <c r="L17" s="58">
        <v>390</v>
      </c>
      <c r="M17" s="58">
        <v>355</v>
      </c>
      <c r="N17" s="63">
        <v>395</v>
      </c>
      <c r="O17" s="63">
        <v>390</v>
      </c>
      <c r="P17" s="63">
        <v>355</v>
      </c>
      <c r="Q17" s="45" t="s">
        <v>54</v>
      </c>
      <c r="R17" s="69" t="s">
        <v>131</v>
      </c>
      <c r="S17" s="49" t="s">
        <v>132</v>
      </c>
      <c r="T17" s="46" t="s">
        <v>133</v>
      </c>
      <c r="U17" s="46" t="s">
        <v>133</v>
      </c>
      <c r="V17" s="43" t="s">
        <v>134</v>
      </c>
      <c r="W17" s="48" t="s">
        <v>135</v>
      </c>
      <c r="X17" s="71"/>
      <c r="Y17" s="43" t="s">
        <v>40</v>
      </c>
      <c r="Z17" s="48" t="s">
        <v>130</v>
      </c>
      <c r="AA17" s="76">
        <v>398</v>
      </c>
      <c r="AB17" s="76">
        <v>398</v>
      </c>
      <c r="AC17" s="73">
        <v>395</v>
      </c>
      <c r="AD17" s="73">
        <v>390</v>
      </c>
      <c r="AE17" s="73">
        <v>355</v>
      </c>
      <c r="AF17" s="79">
        <f t="shared" si="0"/>
        <v>0</v>
      </c>
      <c r="AG17" s="79" t="str">
        <f t="shared" si="1"/>
        <v>血液滤过费</v>
      </c>
      <c r="AH17" s="79">
        <f>IF(AF17&gt;0,_xlfn.MAXIFS(N:N,C:C,AG17),0)+N17</f>
        <v>395</v>
      </c>
      <c r="AI17" s="79">
        <f>IF(AF17&gt;0,_xlfn.MAXIFS(O:O,C:C,AG17),0)+O17</f>
        <v>390</v>
      </c>
      <c r="AJ17" s="79">
        <f>IF(AF17&gt;0,_xlfn.MAXIFS(P:P,C:C,AG17),0)+P17</f>
        <v>355</v>
      </c>
    </row>
    <row r="18" s="30" customFormat="1" ht="74" customHeight="1" spans="1:36">
      <c r="A18" s="43">
        <v>12</v>
      </c>
      <c r="B18" s="43" t="s">
        <v>137</v>
      </c>
      <c r="C18" s="43" t="s">
        <v>138</v>
      </c>
      <c r="D18" s="43" t="s">
        <v>127</v>
      </c>
      <c r="E18" s="48" t="s">
        <v>139</v>
      </c>
      <c r="F18" s="48" t="s">
        <v>140</v>
      </c>
      <c r="G18" s="43" t="s">
        <v>40</v>
      </c>
      <c r="H18" s="48" t="s">
        <v>130</v>
      </c>
      <c r="I18" s="53">
        <v>598</v>
      </c>
      <c r="J18" s="53">
        <v>598</v>
      </c>
      <c r="K18" s="54">
        <v>590</v>
      </c>
      <c r="L18" s="54">
        <v>575</v>
      </c>
      <c r="M18" s="54">
        <v>510</v>
      </c>
      <c r="N18" s="63">
        <v>590</v>
      </c>
      <c r="O18" s="63">
        <v>575</v>
      </c>
      <c r="P18" s="63">
        <v>510</v>
      </c>
      <c r="Q18" s="45" t="s">
        <v>54</v>
      </c>
      <c r="R18" s="69" t="s">
        <v>131</v>
      </c>
      <c r="S18" s="49" t="s">
        <v>132</v>
      </c>
      <c r="T18" s="43" t="s">
        <v>137</v>
      </c>
      <c r="U18" s="43" t="s">
        <v>137</v>
      </c>
      <c r="V18" s="43" t="s">
        <v>138</v>
      </c>
      <c r="W18" s="48" t="s">
        <v>139</v>
      </c>
      <c r="X18" s="71"/>
      <c r="Y18" s="43" t="s">
        <v>40</v>
      </c>
      <c r="Z18" s="48" t="s">
        <v>130</v>
      </c>
      <c r="AA18" s="76">
        <v>598</v>
      </c>
      <c r="AB18" s="76">
        <v>598</v>
      </c>
      <c r="AC18" s="73">
        <v>590</v>
      </c>
      <c r="AD18" s="73">
        <v>575</v>
      </c>
      <c r="AE18" s="73">
        <v>510</v>
      </c>
      <c r="AF18" s="79">
        <f t="shared" si="0"/>
        <v>0</v>
      </c>
      <c r="AG18" s="79" t="str">
        <f t="shared" si="1"/>
        <v>血液透析滤过费</v>
      </c>
      <c r="AH18" s="79">
        <f t="shared" ref="AH18:AH23" si="5">IF(AF18&gt;0,_xlfn.MAXIFS(N:N,C:C,AG18),0)+N18</f>
        <v>590</v>
      </c>
      <c r="AI18" s="79">
        <f t="shared" ref="AI18:AI23" si="6">IF(AF18&gt;0,_xlfn.MAXIFS(O:O,C:C,AG18),0)+O18</f>
        <v>575</v>
      </c>
      <c r="AJ18" s="79">
        <f t="shared" ref="AJ18:AJ23" si="7">IF(AF18&gt;0,_xlfn.MAXIFS(P:P,C:C,AG18),0)+P18</f>
        <v>510</v>
      </c>
    </row>
    <row r="19" s="30" customFormat="1" ht="69" customHeight="1" spans="1:36">
      <c r="A19" s="43">
        <v>13</v>
      </c>
      <c r="B19" s="43" t="s">
        <v>141</v>
      </c>
      <c r="C19" s="43" t="s">
        <v>142</v>
      </c>
      <c r="D19" s="43" t="s">
        <v>127</v>
      </c>
      <c r="E19" s="48" t="s">
        <v>2083</v>
      </c>
      <c r="F19" s="48" t="s">
        <v>144</v>
      </c>
      <c r="G19" s="43" t="s">
        <v>40</v>
      </c>
      <c r="H19" s="48"/>
      <c r="I19" s="53">
        <v>300</v>
      </c>
      <c r="J19" s="53">
        <v>300</v>
      </c>
      <c r="K19" s="54">
        <v>275</v>
      </c>
      <c r="L19" s="54">
        <v>260</v>
      </c>
      <c r="M19" s="54">
        <v>250</v>
      </c>
      <c r="N19" s="63">
        <v>275</v>
      </c>
      <c r="O19" s="63">
        <v>260</v>
      </c>
      <c r="P19" s="63">
        <v>250</v>
      </c>
      <c r="Q19" s="45"/>
      <c r="R19" s="69" t="s">
        <v>131</v>
      </c>
      <c r="S19" s="49" t="s">
        <v>132</v>
      </c>
      <c r="T19" s="43" t="s">
        <v>141</v>
      </c>
      <c r="U19" s="43" t="s">
        <v>141</v>
      </c>
      <c r="V19" s="43" t="s">
        <v>142</v>
      </c>
      <c r="W19" s="48" t="s">
        <v>2083</v>
      </c>
      <c r="X19" s="71"/>
      <c r="Y19" s="43" t="s">
        <v>40</v>
      </c>
      <c r="Z19" s="48"/>
      <c r="AA19" s="76">
        <v>300</v>
      </c>
      <c r="AB19" s="76">
        <v>300</v>
      </c>
      <c r="AC19" s="73">
        <v>275</v>
      </c>
      <c r="AD19" s="73">
        <v>260</v>
      </c>
      <c r="AE19" s="73">
        <v>250</v>
      </c>
      <c r="AF19" s="79">
        <f t="shared" si="0"/>
        <v>0</v>
      </c>
      <c r="AG19" s="79" t="str">
        <f t="shared" si="1"/>
        <v>血液灌流费</v>
      </c>
      <c r="AH19" s="79">
        <f t="shared" si="5"/>
        <v>275</v>
      </c>
      <c r="AI19" s="79">
        <f t="shared" si="6"/>
        <v>260</v>
      </c>
      <c r="AJ19" s="79">
        <f t="shared" si="7"/>
        <v>250</v>
      </c>
    </row>
    <row r="20" s="30" customFormat="1" ht="69" customHeight="1" spans="1:36">
      <c r="A20" s="46">
        <v>14</v>
      </c>
      <c r="B20" s="46" t="s">
        <v>145</v>
      </c>
      <c r="C20" s="46" t="s">
        <v>146</v>
      </c>
      <c r="D20" s="46" t="s">
        <v>127</v>
      </c>
      <c r="E20" s="50" t="s">
        <v>147</v>
      </c>
      <c r="F20" s="50" t="s">
        <v>148</v>
      </c>
      <c r="G20" s="46" t="s">
        <v>40</v>
      </c>
      <c r="H20" s="50" t="s">
        <v>130</v>
      </c>
      <c r="I20" s="53">
        <v>620</v>
      </c>
      <c r="J20" s="53">
        <v>620</v>
      </c>
      <c r="K20" s="58">
        <v>520</v>
      </c>
      <c r="L20" s="58">
        <v>520</v>
      </c>
      <c r="M20" s="58">
        <v>440</v>
      </c>
      <c r="N20" s="63">
        <v>520</v>
      </c>
      <c r="O20" s="63">
        <v>520</v>
      </c>
      <c r="P20" s="63">
        <v>440</v>
      </c>
      <c r="Q20" s="45" t="s">
        <v>54</v>
      </c>
      <c r="R20" s="69" t="s">
        <v>131</v>
      </c>
      <c r="S20" s="49" t="s">
        <v>132</v>
      </c>
      <c r="T20" s="112" t="s">
        <v>145</v>
      </c>
      <c r="U20" s="112" t="s">
        <v>145</v>
      </c>
      <c r="V20" s="43" t="s">
        <v>146</v>
      </c>
      <c r="W20" s="48" t="s">
        <v>147</v>
      </c>
      <c r="X20" s="71"/>
      <c r="Y20" s="43" t="s">
        <v>40</v>
      </c>
      <c r="Z20" s="48" t="s">
        <v>130</v>
      </c>
      <c r="AA20" s="75">
        <v>620</v>
      </c>
      <c r="AB20" s="75">
        <v>620</v>
      </c>
      <c r="AC20" s="73">
        <v>520</v>
      </c>
      <c r="AD20" s="73">
        <v>520</v>
      </c>
      <c r="AE20" s="73">
        <v>440</v>
      </c>
      <c r="AF20" s="79">
        <f t="shared" si="0"/>
        <v>0</v>
      </c>
      <c r="AG20" s="79" t="str">
        <f t="shared" si="1"/>
        <v>血液透析灌流费</v>
      </c>
      <c r="AH20" s="79">
        <f t="shared" si="5"/>
        <v>520</v>
      </c>
      <c r="AI20" s="79">
        <f t="shared" si="6"/>
        <v>520</v>
      </c>
      <c r="AJ20" s="79">
        <f t="shared" si="7"/>
        <v>440</v>
      </c>
    </row>
    <row r="21" s="30" customFormat="1" ht="45" customHeight="1" spans="1:36">
      <c r="A21" s="47">
        <v>15</v>
      </c>
      <c r="B21" s="47" t="s">
        <v>149</v>
      </c>
      <c r="C21" s="47" t="s">
        <v>150</v>
      </c>
      <c r="D21" s="47" t="s">
        <v>127</v>
      </c>
      <c r="E21" s="47" t="s">
        <v>151</v>
      </c>
      <c r="F21" s="47" t="s">
        <v>152</v>
      </c>
      <c r="G21" s="47" t="s">
        <v>40</v>
      </c>
      <c r="H21" s="47" t="s">
        <v>153</v>
      </c>
      <c r="I21" s="56">
        <v>800</v>
      </c>
      <c r="J21" s="56">
        <v>720</v>
      </c>
      <c r="K21" s="58"/>
      <c r="L21" s="58"/>
      <c r="M21" s="58"/>
      <c r="N21" s="64">
        <v>750</v>
      </c>
      <c r="O21" s="64">
        <v>700</v>
      </c>
      <c r="P21" s="64">
        <v>595</v>
      </c>
      <c r="Q21" s="44" t="s">
        <v>54</v>
      </c>
      <c r="R21" s="70" t="s">
        <v>67</v>
      </c>
      <c r="S21" s="44" t="s">
        <v>154</v>
      </c>
      <c r="T21" s="43" t="s">
        <v>155</v>
      </c>
      <c r="U21" s="71">
        <v>310905023</v>
      </c>
      <c r="V21" s="43" t="s">
        <v>156</v>
      </c>
      <c r="W21" s="43" t="s">
        <v>43</v>
      </c>
      <c r="X21" s="71" t="s">
        <v>157</v>
      </c>
      <c r="Y21" s="71" t="s">
        <v>40</v>
      </c>
      <c r="Z21" s="48" t="s">
        <v>43</v>
      </c>
      <c r="AA21" s="75">
        <v>1600</v>
      </c>
      <c r="AB21" s="75">
        <v>1440</v>
      </c>
      <c r="AC21" s="80">
        <v>1500</v>
      </c>
      <c r="AD21" s="80">
        <v>1350</v>
      </c>
      <c r="AE21" s="80">
        <v>1145</v>
      </c>
      <c r="AF21" s="79">
        <f t="shared" si="0"/>
        <v>0</v>
      </c>
      <c r="AG21" s="79" t="str">
        <f t="shared" si="1"/>
        <v>血浆置换费</v>
      </c>
      <c r="AH21" s="79">
        <f t="shared" si="5"/>
        <v>750</v>
      </c>
      <c r="AI21" s="79">
        <f t="shared" si="6"/>
        <v>700</v>
      </c>
      <c r="AJ21" s="79">
        <f t="shared" si="7"/>
        <v>595</v>
      </c>
    </row>
    <row r="22" s="30" customFormat="1" ht="45" customHeight="1" spans="1:36">
      <c r="A22" s="47">
        <v>15</v>
      </c>
      <c r="B22" s="47" t="s">
        <v>149</v>
      </c>
      <c r="C22" s="47" t="s">
        <v>150</v>
      </c>
      <c r="D22" s="47" t="s">
        <v>127</v>
      </c>
      <c r="E22" s="47" t="s">
        <v>151</v>
      </c>
      <c r="F22" s="47" t="s">
        <v>152</v>
      </c>
      <c r="G22" s="47" t="s">
        <v>40</v>
      </c>
      <c r="H22" s="47" t="s">
        <v>153</v>
      </c>
      <c r="I22" s="56">
        <v>800</v>
      </c>
      <c r="J22" s="56">
        <v>720</v>
      </c>
      <c r="K22" s="58"/>
      <c r="L22" s="58"/>
      <c r="M22" s="58"/>
      <c r="N22" s="64">
        <v>750</v>
      </c>
      <c r="O22" s="64">
        <v>700</v>
      </c>
      <c r="P22" s="64">
        <v>595</v>
      </c>
      <c r="Q22" s="44" t="s">
        <v>54</v>
      </c>
      <c r="R22" s="70" t="s">
        <v>67</v>
      </c>
      <c r="S22" s="44" t="s">
        <v>154</v>
      </c>
      <c r="T22" s="112" t="s">
        <v>149</v>
      </c>
      <c r="U22" s="112" t="s">
        <v>149</v>
      </c>
      <c r="V22" s="43" t="s">
        <v>150</v>
      </c>
      <c r="W22" s="43" t="s">
        <v>151</v>
      </c>
      <c r="X22" s="71"/>
      <c r="Y22" s="71"/>
      <c r="Z22" s="48"/>
      <c r="AA22" s="75">
        <v>2600</v>
      </c>
      <c r="AB22" s="75">
        <v>2340</v>
      </c>
      <c r="AC22" s="78">
        <v>2450</v>
      </c>
      <c r="AD22" s="78">
        <v>2325</v>
      </c>
      <c r="AE22" s="78">
        <v>2000</v>
      </c>
      <c r="AF22" s="79">
        <f t="shared" si="0"/>
        <v>0</v>
      </c>
      <c r="AG22" s="79" t="str">
        <f t="shared" si="1"/>
        <v>血浆置换费</v>
      </c>
      <c r="AH22" s="79">
        <f t="shared" si="5"/>
        <v>750</v>
      </c>
      <c r="AI22" s="79">
        <f t="shared" si="6"/>
        <v>700</v>
      </c>
      <c r="AJ22" s="79">
        <f t="shared" si="7"/>
        <v>595</v>
      </c>
    </row>
    <row r="23" s="30" customFormat="1" ht="87" customHeight="1" spans="1:36">
      <c r="A23" s="46">
        <v>17</v>
      </c>
      <c r="B23" s="46" t="s">
        <v>165</v>
      </c>
      <c r="C23" s="46" t="s">
        <v>166</v>
      </c>
      <c r="D23" s="46" t="s">
        <v>127</v>
      </c>
      <c r="E23" s="50" t="s">
        <v>167</v>
      </c>
      <c r="F23" s="50" t="s">
        <v>168</v>
      </c>
      <c r="G23" s="46" t="s">
        <v>169</v>
      </c>
      <c r="H23" s="50" t="s">
        <v>170</v>
      </c>
      <c r="I23" s="53">
        <v>96</v>
      </c>
      <c r="J23" s="53">
        <v>96</v>
      </c>
      <c r="K23" s="58">
        <v>95</v>
      </c>
      <c r="L23" s="58">
        <v>95</v>
      </c>
      <c r="M23" s="58">
        <v>86</v>
      </c>
      <c r="N23" s="63">
        <v>95</v>
      </c>
      <c r="O23" s="63">
        <v>95</v>
      </c>
      <c r="P23" s="63">
        <v>86</v>
      </c>
      <c r="Q23" s="45" t="s">
        <v>54</v>
      </c>
      <c r="R23" s="69" t="s">
        <v>131</v>
      </c>
      <c r="S23" s="49" t="s">
        <v>171</v>
      </c>
      <c r="T23" s="112" t="s">
        <v>165</v>
      </c>
      <c r="U23" s="112" t="s">
        <v>165</v>
      </c>
      <c r="V23" s="43" t="s">
        <v>166</v>
      </c>
      <c r="W23" s="43"/>
      <c r="X23" s="71"/>
      <c r="Y23" s="43" t="s">
        <v>169</v>
      </c>
      <c r="Z23" s="48"/>
      <c r="AA23" s="75">
        <v>96</v>
      </c>
      <c r="AB23" s="75">
        <v>96</v>
      </c>
      <c r="AC23" s="73">
        <v>95</v>
      </c>
      <c r="AD23" s="73">
        <v>95</v>
      </c>
      <c r="AE23" s="73">
        <v>86</v>
      </c>
      <c r="AF23" s="79">
        <f t="shared" si="0"/>
        <v>0</v>
      </c>
      <c r="AG23" s="79" t="str">
        <f t="shared" si="1"/>
        <v>连续性肾脏替代治疗费</v>
      </c>
      <c r="AH23" s="79">
        <f t="shared" si="5"/>
        <v>95</v>
      </c>
      <c r="AI23" s="79">
        <f t="shared" si="6"/>
        <v>95</v>
      </c>
      <c r="AJ23" s="79">
        <f t="shared" si="7"/>
        <v>86</v>
      </c>
    </row>
    <row r="24" s="30" customFormat="1" ht="44" customHeight="1" spans="1:36">
      <c r="A24" s="46" t="s">
        <v>81</v>
      </c>
      <c r="B24" s="46" t="s">
        <v>172</v>
      </c>
      <c r="C24" s="46" t="s">
        <v>173</v>
      </c>
      <c r="D24" s="46" t="s">
        <v>127</v>
      </c>
      <c r="E24" s="48"/>
      <c r="F24" s="48"/>
      <c r="G24" s="46" t="s">
        <v>169</v>
      </c>
      <c r="H24" s="50" t="s">
        <v>43</v>
      </c>
      <c r="I24" s="53">
        <v>30</v>
      </c>
      <c r="J24" s="53">
        <v>30</v>
      </c>
      <c r="K24" s="58">
        <v>28</v>
      </c>
      <c r="L24" s="58">
        <v>28</v>
      </c>
      <c r="M24" s="58">
        <v>25</v>
      </c>
      <c r="N24" s="63">
        <v>28</v>
      </c>
      <c r="O24" s="63">
        <v>28</v>
      </c>
      <c r="P24" s="63">
        <v>25</v>
      </c>
      <c r="Q24" s="45" t="s">
        <v>54</v>
      </c>
      <c r="R24" s="69"/>
      <c r="S24" s="49" t="s">
        <v>132</v>
      </c>
      <c r="T24" s="112" t="s">
        <v>172</v>
      </c>
      <c r="U24" s="112" t="s">
        <v>172</v>
      </c>
      <c r="V24" s="43" t="s">
        <v>173</v>
      </c>
      <c r="W24" s="43"/>
      <c r="X24" s="71"/>
      <c r="Y24" s="43" t="s">
        <v>169</v>
      </c>
      <c r="Z24" s="48"/>
      <c r="AA24" s="75">
        <v>30</v>
      </c>
      <c r="AB24" s="75">
        <v>30</v>
      </c>
      <c r="AC24" s="73">
        <v>28</v>
      </c>
      <c r="AD24" s="73">
        <v>28</v>
      </c>
      <c r="AE24" s="73">
        <v>25</v>
      </c>
      <c r="AF24" s="79">
        <f t="shared" si="0"/>
        <v>23</v>
      </c>
      <c r="AG24" s="79" t="str">
        <f t="shared" si="1"/>
        <v>连续性肾脏替代治疗费</v>
      </c>
      <c r="AH24" s="79">
        <f t="shared" ref="AH24:AH29" si="8">IF(AF24&gt;0,_xlfn.MAXIFS(N:N,C:C,AG24),0)+N24</f>
        <v>123</v>
      </c>
      <c r="AI24" s="79">
        <f t="shared" ref="AI24:AI29" si="9">IF(AF24&gt;0,_xlfn.MAXIFS(O:O,C:C,AG24),0)+O24</f>
        <v>123</v>
      </c>
      <c r="AJ24" s="79">
        <f t="shared" ref="AJ24:AJ29" si="10">IF(AF24&gt;0,_xlfn.MAXIFS(P:P,C:C,AG24),0)+P24</f>
        <v>111</v>
      </c>
    </row>
    <row r="25" ht="61" customHeight="1" spans="1:36">
      <c r="A25" s="46">
        <v>23</v>
      </c>
      <c r="B25" s="46" t="s">
        <v>199</v>
      </c>
      <c r="C25" s="46" t="s">
        <v>200</v>
      </c>
      <c r="D25" s="46" t="s">
        <v>127</v>
      </c>
      <c r="E25" s="50" t="s">
        <v>201</v>
      </c>
      <c r="F25" s="50" t="s">
        <v>202</v>
      </c>
      <c r="G25" s="46" t="s">
        <v>40</v>
      </c>
      <c r="H25" s="50" t="s">
        <v>43</v>
      </c>
      <c r="I25" s="53">
        <v>45</v>
      </c>
      <c r="J25" s="53">
        <v>41</v>
      </c>
      <c r="K25" s="58">
        <v>40</v>
      </c>
      <c r="L25" s="58">
        <v>40</v>
      </c>
      <c r="M25" s="58">
        <v>34</v>
      </c>
      <c r="N25" s="63">
        <v>42</v>
      </c>
      <c r="O25" s="63">
        <v>40</v>
      </c>
      <c r="P25" s="63">
        <v>34</v>
      </c>
      <c r="Q25" s="45" t="s">
        <v>54</v>
      </c>
      <c r="R25" s="69" t="s">
        <v>67</v>
      </c>
      <c r="S25" s="49" t="s">
        <v>203</v>
      </c>
      <c r="T25" s="112" t="s">
        <v>204</v>
      </c>
      <c r="U25" s="113" t="s">
        <v>204</v>
      </c>
      <c r="V25" s="43" t="s">
        <v>205</v>
      </c>
      <c r="W25" s="43"/>
      <c r="X25" s="71"/>
      <c r="Y25" s="71" t="s">
        <v>40</v>
      </c>
      <c r="Z25" s="48"/>
      <c r="AA25" s="75"/>
      <c r="AB25" s="75"/>
      <c r="AC25" s="78"/>
      <c r="AD25" s="78"/>
      <c r="AE25" s="78"/>
      <c r="AF25" s="79">
        <f t="shared" si="0"/>
        <v>0</v>
      </c>
      <c r="AG25" s="79" t="str">
        <f t="shared" si="1"/>
        <v>腹膜透析外管更换费</v>
      </c>
      <c r="AH25" s="79">
        <f t="shared" si="8"/>
        <v>42</v>
      </c>
      <c r="AI25" s="79">
        <f t="shared" si="9"/>
        <v>40</v>
      </c>
      <c r="AJ25" s="79">
        <f t="shared" si="10"/>
        <v>34</v>
      </c>
    </row>
    <row r="26" s="30" customFormat="1" ht="61" customHeight="1" spans="1:36">
      <c r="A26" s="46">
        <v>24</v>
      </c>
      <c r="B26" s="46" t="s">
        <v>206</v>
      </c>
      <c r="C26" s="46" t="s">
        <v>207</v>
      </c>
      <c r="D26" s="46" t="s">
        <v>127</v>
      </c>
      <c r="E26" s="50" t="s">
        <v>208</v>
      </c>
      <c r="F26" s="50" t="s">
        <v>209</v>
      </c>
      <c r="G26" s="46" t="s">
        <v>40</v>
      </c>
      <c r="H26" s="50" t="s">
        <v>43</v>
      </c>
      <c r="I26" s="53">
        <v>45</v>
      </c>
      <c r="J26" s="53">
        <v>41</v>
      </c>
      <c r="K26" s="58">
        <v>40</v>
      </c>
      <c r="L26" s="58">
        <v>40</v>
      </c>
      <c r="M26" s="58">
        <v>34</v>
      </c>
      <c r="N26" s="63">
        <v>42</v>
      </c>
      <c r="O26" s="63">
        <v>40</v>
      </c>
      <c r="P26" s="63">
        <v>34</v>
      </c>
      <c r="Q26" s="45" t="s">
        <v>54</v>
      </c>
      <c r="R26" s="69" t="s">
        <v>67</v>
      </c>
      <c r="S26" s="49" t="s">
        <v>210</v>
      </c>
      <c r="T26" s="46" t="s">
        <v>206</v>
      </c>
      <c r="U26" s="46" t="s">
        <v>206</v>
      </c>
      <c r="V26" s="43" t="s">
        <v>207</v>
      </c>
      <c r="W26" s="48" t="s">
        <v>208</v>
      </c>
      <c r="X26" s="71"/>
      <c r="Y26" s="43" t="s">
        <v>40</v>
      </c>
      <c r="Z26" s="48"/>
      <c r="AA26" s="75">
        <v>45</v>
      </c>
      <c r="AB26" s="75">
        <v>41</v>
      </c>
      <c r="AC26" s="73">
        <v>40</v>
      </c>
      <c r="AD26" s="73">
        <v>40</v>
      </c>
      <c r="AE26" s="73">
        <v>34</v>
      </c>
      <c r="AF26" s="79">
        <f t="shared" si="0"/>
        <v>0</v>
      </c>
      <c r="AG26" s="79" t="str">
        <f t="shared" si="1"/>
        <v>腹膜平衡试验费</v>
      </c>
      <c r="AH26" s="79">
        <f t="shared" si="8"/>
        <v>42</v>
      </c>
      <c r="AI26" s="79">
        <f t="shared" si="9"/>
        <v>40</v>
      </c>
      <c r="AJ26" s="79">
        <f t="shared" si="10"/>
        <v>34</v>
      </c>
    </row>
    <row r="27" s="30" customFormat="1" ht="60" customHeight="1" spans="1:36">
      <c r="A27" s="46">
        <v>25</v>
      </c>
      <c r="B27" s="46" t="s">
        <v>211</v>
      </c>
      <c r="C27" s="46" t="s">
        <v>212</v>
      </c>
      <c r="D27" s="46" t="s">
        <v>213</v>
      </c>
      <c r="E27" s="50" t="s">
        <v>214</v>
      </c>
      <c r="F27" s="50" t="s">
        <v>215</v>
      </c>
      <c r="G27" s="46" t="s">
        <v>40</v>
      </c>
      <c r="H27" s="50" t="s">
        <v>43</v>
      </c>
      <c r="I27" s="53">
        <v>440</v>
      </c>
      <c r="J27" s="53">
        <v>395</v>
      </c>
      <c r="K27" s="58">
        <v>400</v>
      </c>
      <c r="L27" s="58">
        <v>400</v>
      </c>
      <c r="M27" s="58">
        <v>340</v>
      </c>
      <c r="N27" s="63">
        <v>420</v>
      </c>
      <c r="O27" s="63">
        <v>395</v>
      </c>
      <c r="P27" s="63">
        <v>340</v>
      </c>
      <c r="Q27" s="45" t="s">
        <v>54</v>
      </c>
      <c r="R27" s="69" t="s">
        <v>67</v>
      </c>
      <c r="S27" s="49" t="s">
        <v>216</v>
      </c>
      <c r="T27" s="46" t="s">
        <v>211</v>
      </c>
      <c r="U27" s="46" t="s">
        <v>211</v>
      </c>
      <c r="V27" s="43" t="s">
        <v>212</v>
      </c>
      <c r="W27" s="48" t="s">
        <v>214</v>
      </c>
      <c r="X27" s="71"/>
      <c r="Y27" s="43" t="s">
        <v>40</v>
      </c>
      <c r="Z27" s="48"/>
      <c r="AA27" s="75">
        <v>440</v>
      </c>
      <c r="AB27" s="75">
        <v>395</v>
      </c>
      <c r="AC27" s="73">
        <v>400</v>
      </c>
      <c r="AD27" s="73">
        <v>400</v>
      </c>
      <c r="AE27" s="73">
        <v>340</v>
      </c>
      <c r="AF27" s="79">
        <f t="shared" si="0"/>
        <v>0</v>
      </c>
      <c r="AG27" s="79" t="str">
        <f t="shared" si="1"/>
        <v>腹膜透析置管费</v>
      </c>
      <c r="AH27" s="79">
        <f t="shared" si="8"/>
        <v>420</v>
      </c>
      <c r="AI27" s="79">
        <f t="shared" si="9"/>
        <v>395</v>
      </c>
      <c r="AJ27" s="79">
        <f t="shared" si="10"/>
        <v>340</v>
      </c>
    </row>
    <row r="28" s="30" customFormat="1" ht="69" customHeight="1" spans="1:36">
      <c r="A28" s="46">
        <v>26</v>
      </c>
      <c r="B28" s="46" t="s">
        <v>204</v>
      </c>
      <c r="C28" s="46" t="s">
        <v>220</v>
      </c>
      <c r="D28" s="46" t="s">
        <v>213</v>
      </c>
      <c r="E28" s="50" t="s">
        <v>221</v>
      </c>
      <c r="F28" s="50" t="s">
        <v>222</v>
      </c>
      <c r="G28" s="46" t="s">
        <v>40</v>
      </c>
      <c r="H28" s="50" t="s">
        <v>223</v>
      </c>
      <c r="I28" s="53">
        <v>440</v>
      </c>
      <c r="J28" s="53">
        <v>395</v>
      </c>
      <c r="K28" s="58">
        <v>420</v>
      </c>
      <c r="L28" s="58">
        <v>420</v>
      </c>
      <c r="M28" s="58">
        <v>360</v>
      </c>
      <c r="N28" s="63">
        <v>420</v>
      </c>
      <c r="O28" s="63">
        <v>395</v>
      </c>
      <c r="P28" s="63">
        <v>340</v>
      </c>
      <c r="Q28" s="45" t="s">
        <v>54</v>
      </c>
      <c r="R28" s="69" t="s">
        <v>67</v>
      </c>
      <c r="S28" s="49" t="s">
        <v>224</v>
      </c>
      <c r="T28" s="113" t="s">
        <v>204</v>
      </c>
      <c r="U28" s="113" t="s">
        <v>204</v>
      </c>
      <c r="V28" s="43" t="s">
        <v>220</v>
      </c>
      <c r="W28" s="43" t="s">
        <v>221</v>
      </c>
      <c r="X28" s="71"/>
      <c r="Y28" s="71" t="s">
        <v>40</v>
      </c>
      <c r="Z28" s="48" t="s">
        <v>225</v>
      </c>
      <c r="AA28" s="75">
        <v>440</v>
      </c>
      <c r="AB28" s="75">
        <v>395</v>
      </c>
      <c r="AC28" s="78">
        <v>420</v>
      </c>
      <c r="AD28" s="78">
        <v>420</v>
      </c>
      <c r="AE28" s="78">
        <v>360</v>
      </c>
      <c r="AF28" s="79">
        <f t="shared" si="0"/>
        <v>0</v>
      </c>
      <c r="AG28" s="79" t="str">
        <f t="shared" si="1"/>
        <v>腹膜透析换管费</v>
      </c>
      <c r="AH28" s="79">
        <f t="shared" si="8"/>
        <v>420</v>
      </c>
      <c r="AI28" s="79">
        <f t="shared" si="9"/>
        <v>395</v>
      </c>
      <c r="AJ28" s="79">
        <f t="shared" si="10"/>
        <v>340</v>
      </c>
    </row>
    <row r="29" ht="83" customHeight="1" spans="1:36">
      <c r="A29" s="44">
        <v>31</v>
      </c>
      <c r="B29" s="44" t="s">
        <v>250</v>
      </c>
      <c r="C29" s="44" t="s">
        <v>251</v>
      </c>
      <c r="D29" s="45" t="s">
        <v>127</v>
      </c>
      <c r="E29" s="44" t="s">
        <v>252</v>
      </c>
      <c r="F29" s="44" t="s">
        <v>253</v>
      </c>
      <c r="G29" s="45" t="s">
        <v>40</v>
      </c>
      <c r="H29" s="44" t="s">
        <v>254</v>
      </c>
      <c r="I29" s="53">
        <v>700</v>
      </c>
      <c r="J29" s="53">
        <v>630</v>
      </c>
      <c r="K29" s="55">
        <v>700</v>
      </c>
      <c r="L29" s="55">
        <v>630</v>
      </c>
      <c r="M29" s="55">
        <v>535.5</v>
      </c>
      <c r="N29" s="63">
        <v>700</v>
      </c>
      <c r="O29" s="63">
        <v>630</v>
      </c>
      <c r="P29" s="63">
        <v>535</v>
      </c>
      <c r="Q29" s="45" t="s">
        <v>54</v>
      </c>
      <c r="R29" s="69" t="s">
        <v>55</v>
      </c>
      <c r="S29" s="49" t="s">
        <v>255</v>
      </c>
      <c r="T29" s="43" t="s">
        <v>256</v>
      </c>
      <c r="U29" s="71">
        <v>311000040</v>
      </c>
      <c r="V29" s="43" t="s">
        <v>257</v>
      </c>
      <c r="W29" s="43" t="s">
        <v>258</v>
      </c>
      <c r="X29" s="71" t="s">
        <v>43</v>
      </c>
      <c r="Y29" s="71" t="s">
        <v>40</v>
      </c>
      <c r="Z29" s="48" t="s">
        <v>259</v>
      </c>
      <c r="AA29" s="75">
        <v>700</v>
      </c>
      <c r="AB29" s="75">
        <v>630</v>
      </c>
      <c r="AC29" s="80">
        <v>700</v>
      </c>
      <c r="AD29" s="80">
        <v>630</v>
      </c>
      <c r="AE29" s="80">
        <v>535.5</v>
      </c>
      <c r="AF29" s="79">
        <f t="shared" si="0"/>
        <v>0</v>
      </c>
      <c r="AG29" s="79" t="str">
        <f t="shared" si="1"/>
        <v>体外冲击波碎石费</v>
      </c>
      <c r="AH29" s="79">
        <f t="shared" si="8"/>
        <v>700</v>
      </c>
      <c r="AI29" s="79">
        <f t="shared" si="9"/>
        <v>630</v>
      </c>
      <c r="AJ29" s="79">
        <f t="shared" si="10"/>
        <v>535</v>
      </c>
    </row>
    <row r="30" ht="24" customHeight="1" spans="1:36">
      <c r="A30" s="44">
        <v>31</v>
      </c>
      <c r="B30" s="44" t="s">
        <v>250</v>
      </c>
      <c r="C30" s="44" t="s">
        <v>260</v>
      </c>
      <c r="D30" s="45" t="s">
        <v>127</v>
      </c>
      <c r="E30" s="44"/>
      <c r="F30" s="44"/>
      <c r="G30" s="45" t="s">
        <v>40</v>
      </c>
      <c r="H30" s="44"/>
      <c r="I30" s="53">
        <v>350</v>
      </c>
      <c r="J30" s="53">
        <v>315</v>
      </c>
      <c r="K30" s="55">
        <v>350</v>
      </c>
      <c r="L30" s="55">
        <v>315</v>
      </c>
      <c r="M30" s="65">
        <v>267.75</v>
      </c>
      <c r="N30" s="63">
        <v>350</v>
      </c>
      <c r="O30" s="63">
        <v>315</v>
      </c>
      <c r="P30" s="63">
        <v>268</v>
      </c>
      <c r="Q30" s="44"/>
      <c r="R30" s="69"/>
      <c r="S30" s="49" t="s">
        <v>255</v>
      </c>
      <c r="T30" s="43" t="s">
        <v>261</v>
      </c>
      <c r="U30" s="43">
        <v>31100004003</v>
      </c>
      <c r="V30" s="43" t="s">
        <v>262</v>
      </c>
      <c r="W30" s="43" t="s">
        <v>43</v>
      </c>
      <c r="X30" s="71" t="s">
        <v>43</v>
      </c>
      <c r="Y30" s="71" t="s">
        <v>40</v>
      </c>
      <c r="Z30" s="48" t="s">
        <v>263</v>
      </c>
      <c r="AA30" s="75">
        <v>350</v>
      </c>
      <c r="AB30" s="75">
        <v>315</v>
      </c>
      <c r="AC30" s="80">
        <v>350</v>
      </c>
      <c r="AD30" s="80">
        <v>315</v>
      </c>
      <c r="AE30" s="80">
        <v>267.8</v>
      </c>
      <c r="AF30" s="79">
        <f t="shared" si="0"/>
        <v>0</v>
      </c>
      <c r="AG30" s="79" t="str">
        <f t="shared" si="1"/>
        <v>体外冲击波碎石费（第二次）</v>
      </c>
      <c r="AH30" s="79">
        <f t="shared" ref="AH30:AH54" si="11">IF(AF30&gt;0,_xlfn.MAXIFS(N:N,C:C,AG30),0)+N30</f>
        <v>350</v>
      </c>
      <c r="AI30" s="79">
        <f t="shared" ref="AI30:AI54" si="12">IF(AF30&gt;0,_xlfn.MAXIFS(O:O,C:C,AG30),0)+O30</f>
        <v>315</v>
      </c>
      <c r="AJ30" s="79">
        <f t="shared" ref="AJ30:AJ54" si="13">IF(AF30&gt;0,_xlfn.MAXIFS(P:P,C:C,AG30),0)+P30</f>
        <v>268</v>
      </c>
    </row>
    <row r="31" ht="24" customHeight="1" spans="1:36">
      <c r="A31" s="44">
        <v>31</v>
      </c>
      <c r="B31" s="44" t="s">
        <v>250</v>
      </c>
      <c r="C31" s="44" t="s">
        <v>264</v>
      </c>
      <c r="D31" s="45" t="s">
        <v>127</v>
      </c>
      <c r="E31" s="44"/>
      <c r="F31" s="44"/>
      <c r="G31" s="45" t="s">
        <v>40</v>
      </c>
      <c r="H31" s="44"/>
      <c r="I31" s="53">
        <v>175</v>
      </c>
      <c r="J31" s="53">
        <v>158</v>
      </c>
      <c r="K31" s="55">
        <v>175</v>
      </c>
      <c r="L31" s="55">
        <v>157.5</v>
      </c>
      <c r="M31" s="65">
        <v>133.875</v>
      </c>
      <c r="N31" s="63">
        <v>175</v>
      </c>
      <c r="O31" s="63">
        <v>158</v>
      </c>
      <c r="P31" s="63">
        <v>134</v>
      </c>
      <c r="Q31" s="44"/>
      <c r="R31" s="69"/>
      <c r="S31" s="49" t="s">
        <v>255</v>
      </c>
      <c r="T31" s="43" t="s">
        <v>265</v>
      </c>
      <c r="U31" s="43">
        <v>31100004006</v>
      </c>
      <c r="V31" s="43" t="s">
        <v>266</v>
      </c>
      <c r="W31" s="43" t="s">
        <v>43</v>
      </c>
      <c r="X31" s="71" t="s">
        <v>43</v>
      </c>
      <c r="Y31" s="71" t="s">
        <v>40</v>
      </c>
      <c r="Z31" s="48" t="s">
        <v>267</v>
      </c>
      <c r="AA31" s="75">
        <v>175</v>
      </c>
      <c r="AB31" s="75">
        <v>158</v>
      </c>
      <c r="AC31" s="80">
        <v>175</v>
      </c>
      <c r="AD31" s="80">
        <v>157.5</v>
      </c>
      <c r="AE31" s="80">
        <v>133.9</v>
      </c>
      <c r="AF31" s="79">
        <f t="shared" si="0"/>
        <v>0</v>
      </c>
      <c r="AG31" s="79" t="str">
        <f t="shared" si="1"/>
        <v>体外冲击波碎石费（第三次）</v>
      </c>
      <c r="AH31" s="79">
        <f t="shared" si="11"/>
        <v>175</v>
      </c>
      <c r="AI31" s="79">
        <f t="shared" si="12"/>
        <v>158</v>
      </c>
      <c r="AJ31" s="79">
        <f t="shared" si="13"/>
        <v>134</v>
      </c>
    </row>
    <row r="32" ht="15" customHeight="1" spans="1:36">
      <c r="A32" s="44">
        <v>32</v>
      </c>
      <c r="B32" s="44" t="s">
        <v>268</v>
      </c>
      <c r="C32" s="44" t="s">
        <v>269</v>
      </c>
      <c r="D32" s="44" t="s">
        <v>127</v>
      </c>
      <c r="E32" s="44" t="s">
        <v>270</v>
      </c>
      <c r="F32" s="44" t="s">
        <v>271</v>
      </c>
      <c r="G32" s="44" t="s">
        <v>40</v>
      </c>
      <c r="H32" s="44" t="s">
        <v>272</v>
      </c>
      <c r="I32" s="56">
        <v>825</v>
      </c>
      <c r="J32" s="56">
        <v>743</v>
      </c>
      <c r="K32" s="59">
        <v>817.328358208955</v>
      </c>
      <c r="L32" s="59">
        <v>741.104403409091</v>
      </c>
      <c r="M32" s="59">
        <v>640.945945945946</v>
      </c>
      <c r="N32" s="64">
        <v>815</v>
      </c>
      <c r="O32" s="64">
        <v>740</v>
      </c>
      <c r="P32" s="64">
        <v>640</v>
      </c>
      <c r="Q32" s="44" t="s">
        <v>54</v>
      </c>
      <c r="R32" s="70" t="s">
        <v>273</v>
      </c>
      <c r="S32" s="44" t="s">
        <v>274</v>
      </c>
      <c r="T32" s="43" t="s">
        <v>275</v>
      </c>
      <c r="U32" s="71">
        <v>31100001901</v>
      </c>
      <c r="V32" s="43" t="s">
        <v>276</v>
      </c>
      <c r="W32" s="43" t="s">
        <v>43</v>
      </c>
      <c r="X32" s="71" t="s">
        <v>43</v>
      </c>
      <c r="Y32" s="71" t="s">
        <v>40</v>
      </c>
      <c r="Z32" s="48" t="s">
        <v>277</v>
      </c>
      <c r="AA32" s="75">
        <v>880</v>
      </c>
      <c r="AB32" s="75">
        <v>790</v>
      </c>
      <c r="AC32" s="80">
        <v>880</v>
      </c>
      <c r="AD32" s="80">
        <v>800</v>
      </c>
      <c r="AE32" s="80">
        <v>680</v>
      </c>
      <c r="AF32" s="79">
        <f t="shared" si="0"/>
        <v>0</v>
      </c>
      <c r="AG32" s="79" t="str">
        <f t="shared" si="1"/>
        <v>泌尿系镜下治疗费（常规）</v>
      </c>
      <c r="AH32" s="79">
        <f t="shared" si="11"/>
        <v>815</v>
      </c>
      <c r="AI32" s="79">
        <f t="shared" si="12"/>
        <v>740</v>
      </c>
      <c r="AJ32" s="79">
        <f t="shared" si="13"/>
        <v>640</v>
      </c>
    </row>
    <row r="33" ht="15" customHeight="1" spans="1:36">
      <c r="A33" s="44">
        <v>32</v>
      </c>
      <c r="B33" s="44" t="s">
        <v>268</v>
      </c>
      <c r="C33" s="44" t="s">
        <v>269</v>
      </c>
      <c r="D33" s="44" t="s">
        <v>127</v>
      </c>
      <c r="E33" s="44" t="s">
        <v>270</v>
      </c>
      <c r="F33" s="44" t="s">
        <v>271</v>
      </c>
      <c r="G33" s="44" t="s">
        <v>40</v>
      </c>
      <c r="H33" s="44" t="s">
        <v>272</v>
      </c>
      <c r="I33" s="56">
        <v>825</v>
      </c>
      <c r="J33" s="56">
        <v>743</v>
      </c>
      <c r="K33" s="59">
        <v>817.328358208955</v>
      </c>
      <c r="L33" s="59">
        <v>741.104403409091</v>
      </c>
      <c r="M33" s="59">
        <v>640.945945945946</v>
      </c>
      <c r="N33" s="64">
        <v>815</v>
      </c>
      <c r="O33" s="64">
        <v>740</v>
      </c>
      <c r="P33" s="64">
        <v>640</v>
      </c>
      <c r="Q33" s="44" t="s">
        <v>54</v>
      </c>
      <c r="R33" s="70" t="s">
        <v>273</v>
      </c>
      <c r="S33" s="44" t="s">
        <v>274</v>
      </c>
      <c r="T33" s="43" t="s">
        <v>278</v>
      </c>
      <c r="U33" s="71">
        <v>331103027</v>
      </c>
      <c r="V33" s="43" t="s">
        <v>279</v>
      </c>
      <c r="W33" s="43" t="s">
        <v>280</v>
      </c>
      <c r="X33" s="71" t="s">
        <v>43</v>
      </c>
      <c r="Y33" s="71" t="s">
        <v>40</v>
      </c>
      <c r="Z33" s="48" t="s">
        <v>43</v>
      </c>
      <c r="AA33" s="75">
        <v>1250</v>
      </c>
      <c r="AB33" s="75">
        <v>1125</v>
      </c>
      <c r="AC33" s="80">
        <v>1250</v>
      </c>
      <c r="AD33" s="80">
        <v>1200</v>
      </c>
      <c r="AE33" s="80">
        <v>1020</v>
      </c>
      <c r="AF33" s="79">
        <f t="shared" si="0"/>
        <v>0</v>
      </c>
      <c r="AG33" s="79" t="str">
        <f t="shared" si="1"/>
        <v>泌尿系镜下治疗费（常规）</v>
      </c>
      <c r="AH33" s="79">
        <f t="shared" si="11"/>
        <v>815</v>
      </c>
      <c r="AI33" s="79">
        <f t="shared" si="12"/>
        <v>740</v>
      </c>
      <c r="AJ33" s="79">
        <f t="shared" si="13"/>
        <v>640</v>
      </c>
    </row>
    <row r="34" ht="15" customHeight="1" spans="1:36">
      <c r="A34" s="44">
        <v>32</v>
      </c>
      <c r="B34" s="44" t="s">
        <v>268</v>
      </c>
      <c r="C34" s="44" t="s">
        <v>269</v>
      </c>
      <c r="D34" s="44" t="s">
        <v>127</v>
      </c>
      <c r="E34" s="44" t="s">
        <v>270</v>
      </c>
      <c r="F34" s="44" t="s">
        <v>271</v>
      </c>
      <c r="G34" s="44" t="s">
        <v>40</v>
      </c>
      <c r="H34" s="44" t="s">
        <v>272</v>
      </c>
      <c r="I34" s="56">
        <v>825</v>
      </c>
      <c r="J34" s="56">
        <v>743</v>
      </c>
      <c r="K34" s="59">
        <v>817.328358208955</v>
      </c>
      <c r="L34" s="59">
        <v>741.104403409091</v>
      </c>
      <c r="M34" s="59">
        <v>640.945945945946</v>
      </c>
      <c r="N34" s="64">
        <v>815</v>
      </c>
      <c r="O34" s="64">
        <v>740</v>
      </c>
      <c r="P34" s="64">
        <v>640</v>
      </c>
      <c r="Q34" s="44" t="s">
        <v>54</v>
      </c>
      <c r="R34" s="70" t="s">
        <v>273</v>
      </c>
      <c r="S34" s="44" t="s">
        <v>274</v>
      </c>
      <c r="T34" s="43" t="s">
        <v>281</v>
      </c>
      <c r="U34" s="71">
        <v>33110302701</v>
      </c>
      <c r="V34" s="43" t="s">
        <v>282</v>
      </c>
      <c r="W34" s="43" t="s">
        <v>43</v>
      </c>
      <c r="X34" s="71" t="s">
        <v>43</v>
      </c>
      <c r="Y34" s="71" t="s">
        <v>40</v>
      </c>
      <c r="Z34" s="48" t="s">
        <v>43</v>
      </c>
      <c r="AA34" s="75">
        <v>1625</v>
      </c>
      <c r="AB34" s="75">
        <v>1465</v>
      </c>
      <c r="AC34" s="80">
        <v>1625</v>
      </c>
      <c r="AD34" s="80">
        <v>1560</v>
      </c>
      <c r="AE34" s="80">
        <v>1325</v>
      </c>
      <c r="AF34" s="79">
        <f t="shared" si="0"/>
        <v>0</v>
      </c>
      <c r="AG34" s="79" t="str">
        <f t="shared" si="1"/>
        <v>泌尿系镜下治疗费（常规）</v>
      </c>
      <c r="AH34" s="79">
        <f t="shared" si="11"/>
        <v>815</v>
      </c>
      <c r="AI34" s="79">
        <f t="shared" si="12"/>
        <v>740</v>
      </c>
      <c r="AJ34" s="79">
        <f t="shared" si="13"/>
        <v>640</v>
      </c>
    </row>
    <row r="35" ht="15" customHeight="1" spans="1:36">
      <c r="A35" s="44">
        <v>32</v>
      </c>
      <c r="B35" s="44" t="s">
        <v>268</v>
      </c>
      <c r="C35" s="44" t="s">
        <v>269</v>
      </c>
      <c r="D35" s="44" t="s">
        <v>127</v>
      </c>
      <c r="E35" s="44" t="s">
        <v>270</v>
      </c>
      <c r="F35" s="44" t="s">
        <v>271</v>
      </c>
      <c r="G35" s="44" t="s">
        <v>40</v>
      </c>
      <c r="H35" s="44" t="s">
        <v>272</v>
      </c>
      <c r="I35" s="56">
        <v>825</v>
      </c>
      <c r="J35" s="56">
        <v>743</v>
      </c>
      <c r="K35" s="59">
        <v>817.328358208955</v>
      </c>
      <c r="L35" s="59">
        <v>741.104403409091</v>
      </c>
      <c r="M35" s="59">
        <v>640.945945945946</v>
      </c>
      <c r="N35" s="64">
        <v>815</v>
      </c>
      <c r="O35" s="64">
        <v>740</v>
      </c>
      <c r="P35" s="64">
        <v>640</v>
      </c>
      <c r="Q35" s="44" t="s">
        <v>54</v>
      </c>
      <c r="R35" s="70" t="s">
        <v>273</v>
      </c>
      <c r="S35" s="44" t="s">
        <v>274</v>
      </c>
      <c r="T35" s="43" t="s">
        <v>78</v>
      </c>
      <c r="U35" s="43">
        <v>311000020</v>
      </c>
      <c r="V35" s="43" t="s">
        <v>79</v>
      </c>
      <c r="W35" s="43" t="s">
        <v>80</v>
      </c>
      <c r="X35" s="71" t="s">
        <v>43</v>
      </c>
      <c r="Y35" s="71" t="s">
        <v>48</v>
      </c>
      <c r="Z35" s="48" t="s">
        <v>43</v>
      </c>
      <c r="AA35" s="75">
        <v>495</v>
      </c>
      <c r="AB35" s="75">
        <v>445</v>
      </c>
      <c r="AC35" s="80">
        <v>495</v>
      </c>
      <c r="AD35" s="80">
        <v>450</v>
      </c>
      <c r="AE35" s="80">
        <v>382.5</v>
      </c>
      <c r="AF35" s="79">
        <f t="shared" si="0"/>
        <v>0</v>
      </c>
      <c r="AG35" s="79" t="str">
        <f t="shared" si="1"/>
        <v>泌尿系镜下治疗费（常规）</v>
      </c>
      <c r="AH35" s="79">
        <f t="shared" si="11"/>
        <v>815</v>
      </c>
      <c r="AI35" s="79">
        <f t="shared" si="12"/>
        <v>740</v>
      </c>
      <c r="AJ35" s="79">
        <f t="shared" si="13"/>
        <v>640</v>
      </c>
    </row>
    <row r="36" s="30" customFormat="1" ht="15" customHeight="1" spans="1:36">
      <c r="A36" s="44">
        <v>32</v>
      </c>
      <c r="B36" s="44" t="s">
        <v>268</v>
      </c>
      <c r="C36" s="44" t="s">
        <v>269</v>
      </c>
      <c r="D36" s="44" t="s">
        <v>127</v>
      </c>
      <c r="E36" s="44" t="s">
        <v>270</v>
      </c>
      <c r="F36" s="44" t="s">
        <v>271</v>
      </c>
      <c r="G36" s="44" t="s">
        <v>40</v>
      </c>
      <c r="H36" s="44" t="s">
        <v>272</v>
      </c>
      <c r="I36" s="56">
        <v>825</v>
      </c>
      <c r="J36" s="56">
        <v>743</v>
      </c>
      <c r="K36" s="59">
        <v>817.328358208955</v>
      </c>
      <c r="L36" s="59">
        <v>741.104403409091</v>
      </c>
      <c r="M36" s="59">
        <v>640.945945945946</v>
      </c>
      <c r="N36" s="64">
        <v>815</v>
      </c>
      <c r="O36" s="64">
        <v>740</v>
      </c>
      <c r="P36" s="64">
        <v>640</v>
      </c>
      <c r="Q36" s="44" t="s">
        <v>54</v>
      </c>
      <c r="R36" s="70" t="s">
        <v>273</v>
      </c>
      <c r="S36" s="44" t="s">
        <v>274</v>
      </c>
      <c r="T36" s="45" t="s">
        <v>283</v>
      </c>
      <c r="U36" s="45">
        <v>311000037</v>
      </c>
      <c r="V36" s="45" t="s">
        <v>284</v>
      </c>
      <c r="W36" s="43" t="s">
        <v>285</v>
      </c>
      <c r="X36" s="71" t="s">
        <v>43</v>
      </c>
      <c r="Y36" s="71" t="s">
        <v>40</v>
      </c>
      <c r="Z36" s="48" t="s">
        <v>43</v>
      </c>
      <c r="AA36" s="75">
        <v>220</v>
      </c>
      <c r="AB36" s="75">
        <v>200</v>
      </c>
      <c r="AC36" s="80">
        <v>220</v>
      </c>
      <c r="AD36" s="80">
        <v>200</v>
      </c>
      <c r="AE36" s="80">
        <v>170</v>
      </c>
      <c r="AF36" s="79">
        <f t="shared" si="0"/>
        <v>0</v>
      </c>
      <c r="AG36" s="79" t="str">
        <f t="shared" si="1"/>
        <v>泌尿系镜下治疗费（常规）</v>
      </c>
      <c r="AH36" s="79">
        <f t="shared" si="11"/>
        <v>815</v>
      </c>
      <c r="AI36" s="79">
        <f t="shared" si="12"/>
        <v>740</v>
      </c>
      <c r="AJ36" s="79">
        <f t="shared" si="13"/>
        <v>640</v>
      </c>
    </row>
    <row r="37" s="30" customFormat="1" ht="15" customHeight="1" spans="1:36">
      <c r="A37" s="44">
        <v>32</v>
      </c>
      <c r="B37" s="44" t="s">
        <v>268</v>
      </c>
      <c r="C37" s="44" t="s">
        <v>269</v>
      </c>
      <c r="D37" s="44" t="s">
        <v>127</v>
      </c>
      <c r="E37" s="44" t="s">
        <v>270</v>
      </c>
      <c r="F37" s="44" t="s">
        <v>271</v>
      </c>
      <c r="G37" s="44" t="s">
        <v>40</v>
      </c>
      <c r="H37" s="44" t="s">
        <v>272</v>
      </c>
      <c r="I37" s="56">
        <v>825</v>
      </c>
      <c r="J37" s="56">
        <v>743</v>
      </c>
      <c r="K37" s="59">
        <v>817.328358208955</v>
      </c>
      <c r="L37" s="59">
        <v>741.104403409091</v>
      </c>
      <c r="M37" s="59">
        <v>640.945945945946</v>
      </c>
      <c r="N37" s="64">
        <v>815</v>
      </c>
      <c r="O37" s="64">
        <v>740</v>
      </c>
      <c r="P37" s="64">
        <v>640</v>
      </c>
      <c r="Q37" s="44" t="s">
        <v>54</v>
      </c>
      <c r="R37" s="70" t="s">
        <v>273</v>
      </c>
      <c r="S37" s="44" t="s">
        <v>274</v>
      </c>
      <c r="T37" s="45" t="s">
        <v>286</v>
      </c>
      <c r="U37" s="45">
        <v>331201007</v>
      </c>
      <c r="V37" s="45" t="s">
        <v>287</v>
      </c>
      <c r="W37" s="43" t="s">
        <v>43</v>
      </c>
      <c r="X37" s="71" t="s">
        <v>288</v>
      </c>
      <c r="Y37" s="71" t="s">
        <v>40</v>
      </c>
      <c r="Z37" s="48" t="s">
        <v>43</v>
      </c>
      <c r="AA37" s="75">
        <v>250</v>
      </c>
      <c r="AB37" s="75">
        <v>225</v>
      </c>
      <c r="AC37" s="80">
        <v>250</v>
      </c>
      <c r="AD37" s="80">
        <v>240</v>
      </c>
      <c r="AE37" s="80">
        <v>204</v>
      </c>
      <c r="AF37" s="79">
        <f t="shared" si="0"/>
        <v>0</v>
      </c>
      <c r="AG37" s="79" t="str">
        <f t="shared" si="1"/>
        <v>泌尿系镜下治疗费（常规）</v>
      </c>
      <c r="AH37" s="79">
        <f t="shared" si="11"/>
        <v>815</v>
      </c>
      <c r="AI37" s="79">
        <f t="shared" si="12"/>
        <v>740</v>
      </c>
      <c r="AJ37" s="79">
        <f t="shared" si="13"/>
        <v>640</v>
      </c>
    </row>
    <row r="38" s="30" customFormat="1" ht="15" customHeight="1" spans="1:36">
      <c r="A38" s="44">
        <v>32</v>
      </c>
      <c r="B38" s="44" t="s">
        <v>268</v>
      </c>
      <c r="C38" s="44" t="s">
        <v>269</v>
      </c>
      <c r="D38" s="44" t="s">
        <v>127</v>
      </c>
      <c r="E38" s="44" t="s">
        <v>270</v>
      </c>
      <c r="F38" s="44" t="s">
        <v>271</v>
      </c>
      <c r="G38" s="44" t="s">
        <v>40</v>
      </c>
      <c r="H38" s="44" t="s">
        <v>272</v>
      </c>
      <c r="I38" s="56">
        <v>825</v>
      </c>
      <c r="J38" s="56">
        <v>743</v>
      </c>
      <c r="K38" s="59">
        <v>817.328358208955</v>
      </c>
      <c r="L38" s="59">
        <v>741.104403409091</v>
      </c>
      <c r="M38" s="59">
        <v>640.945945945946</v>
      </c>
      <c r="N38" s="64">
        <v>815</v>
      </c>
      <c r="O38" s="64">
        <v>740</v>
      </c>
      <c r="P38" s="64">
        <v>640</v>
      </c>
      <c r="Q38" s="44" t="s">
        <v>54</v>
      </c>
      <c r="R38" s="70" t="s">
        <v>273</v>
      </c>
      <c r="S38" s="44" t="s">
        <v>274</v>
      </c>
      <c r="T38" s="45" t="s">
        <v>289</v>
      </c>
      <c r="U38" s="45">
        <v>33120100701</v>
      </c>
      <c r="V38" s="45" t="s">
        <v>290</v>
      </c>
      <c r="W38" s="43" t="s">
        <v>43</v>
      </c>
      <c r="X38" s="71" t="s">
        <v>43</v>
      </c>
      <c r="Y38" s="71" t="s">
        <v>40</v>
      </c>
      <c r="Z38" s="48" t="s">
        <v>43</v>
      </c>
      <c r="AA38" s="75">
        <v>325</v>
      </c>
      <c r="AB38" s="75">
        <v>295</v>
      </c>
      <c r="AC38" s="80">
        <v>325</v>
      </c>
      <c r="AD38" s="80">
        <v>310</v>
      </c>
      <c r="AE38" s="80">
        <v>265</v>
      </c>
      <c r="AF38" s="79">
        <f t="shared" si="0"/>
        <v>0</v>
      </c>
      <c r="AG38" s="79" t="str">
        <f t="shared" si="1"/>
        <v>泌尿系镜下治疗费（常规）</v>
      </c>
      <c r="AH38" s="79">
        <f t="shared" si="11"/>
        <v>815</v>
      </c>
      <c r="AI38" s="79">
        <f t="shared" si="12"/>
        <v>740</v>
      </c>
      <c r="AJ38" s="79">
        <f t="shared" si="13"/>
        <v>640</v>
      </c>
    </row>
    <row r="39" s="30" customFormat="1" ht="15" customHeight="1" spans="1:36">
      <c r="A39" s="44">
        <v>32</v>
      </c>
      <c r="B39" s="44" t="s">
        <v>268</v>
      </c>
      <c r="C39" s="44" t="s">
        <v>269</v>
      </c>
      <c r="D39" s="44" t="s">
        <v>127</v>
      </c>
      <c r="E39" s="44" t="s">
        <v>270</v>
      </c>
      <c r="F39" s="44" t="s">
        <v>271</v>
      </c>
      <c r="G39" s="44" t="s">
        <v>40</v>
      </c>
      <c r="H39" s="44" t="s">
        <v>272</v>
      </c>
      <c r="I39" s="56">
        <v>825</v>
      </c>
      <c r="J39" s="56">
        <v>743</v>
      </c>
      <c r="K39" s="59">
        <v>817.328358208955</v>
      </c>
      <c r="L39" s="59">
        <v>741.104403409091</v>
      </c>
      <c r="M39" s="59">
        <v>640.945945945946</v>
      </c>
      <c r="N39" s="64">
        <v>815</v>
      </c>
      <c r="O39" s="64">
        <v>740</v>
      </c>
      <c r="P39" s="64">
        <v>640</v>
      </c>
      <c r="Q39" s="44" t="s">
        <v>54</v>
      </c>
      <c r="R39" s="70" t="s">
        <v>273</v>
      </c>
      <c r="S39" s="44" t="s">
        <v>274</v>
      </c>
      <c r="T39" s="45" t="s">
        <v>291</v>
      </c>
      <c r="U39" s="45">
        <v>33120100702</v>
      </c>
      <c r="V39" s="45" t="s">
        <v>292</v>
      </c>
      <c r="W39" s="43" t="s">
        <v>43</v>
      </c>
      <c r="X39" s="71" t="s">
        <v>43</v>
      </c>
      <c r="Y39" s="71" t="s">
        <v>40</v>
      </c>
      <c r="Z39" s="48" t="s">
        <v>43</v>
      </c>
      <c r="AA39" s="75">
        <v>500</v>
      </c>
      <c r="AB39" s="75">
        <v>450</v>
      </c>
      <c r="AC39" s="80">
        <v>500</v>
      </c>
      <c r="AD39" s="80">
        <v>465</v>
      </c>
      <c r="AE39" s="80">
        <v>394</v>
      </c>
      <c r="AF39" s="79">
        <f t="shared" si="0"/>
        <v>0</v>
      </c>
      <c r="AG39" s="79" t="str">
        <f t="shared" si="1"/>
        <v>泌尿系镜下治疗费（常规）</v>
      </c>
      <c r="AH39" s="79">
        <f t="shared" si="11"/>
        <v>815</v>
      </c>
      <c r="AI39" s="79">
        <f t="shared" si="12"/>
        <v>740</v>
      </c>
      <c r="AJ39" s="79">
        <f t="shared" si="13"/>
        <v>640</v>
      </c>
    </row>
    <row r="40" s="31" customFormat="1" ht="15" customHeight="1" spans="1:36">
      <c r="A40" s="44">
        <v>32</v>
      </c>
      <c r="B40" s="44" t="s">
        <v>268</v>
      </c>
      <c r="C40" s="44" t="s">
        <v>269</v>
      </c>
      <c r="D40" s="44" t="s">
        <v>127</v>
      </c>
      <c r="E40" s="44" t="s">
        <v>270</v>
      </c>
      <c r="F40" s="44" t="s">
        <v>271</v>
      </c>
      <c r="G40" s="44" t="s">
        <v>40</v>
      </c>
      <c r="H40" s="44" t="s">
        <v>272</v>
      </c>
      <c r="I40" s="56">
        <v>825</v>
      </c>
      <c r="J40" s="56">
        <v>743</v>
      </c>
      <c r="K40" s="59">
        <v>817.328358208955</v>
      </c>
      <c r="L40" s="59">
        <v>741.104403409091</v>
      </c>
      <c r="M40" s="59">
        <v>640.945945945946</v>
      </c>
      <c r="N40" s="64">
        <v>815</v>
      </c>
      <c r="O40" s="64">
        <v>740</v>
      </c>
      <c r="P40" s="64">
        <v>640</v>
      </c>
      <c r="Q40" s="44" t="s">
        <v>54</v>
      </c>
      <c r="R40" s="70" t="s">
        <v>273</v>
      </c>
      <c r="S40" s="44" t="s">
        <v>274</v>
      </c>
      <c r="T40" s="45" t="s">
        <v>293</v>
      </c>
      <c r="U40" s="45">
        <v>33120100703</v>
      </c>
      <c r="V40" s="45" t="s">
        <v>294</v>
      </c>
      <c r="W40" s="43" t="s">
        <v>43</v>
      </c>
      <c r="X40" s="71" t="s">
        <v>43</v>
      </c>
      <c r="Y40" s="71" t="s">
        <v>40</v>
      </c>
      <c r="Z40" s="48" t="s">
        <v>43</v>
      </c>
      <c r="AA40" s="75">
        <v>575</v>
      </c>
      <c r="AB40" s="75">
        <v>520</v>
      </c>
      <c r="AC40" s="80">
        <v>575</v>
      </c>
      <c r="AD40" s="80">
        <v>535</v>
      </c>
      <c r="AE40" s="80">
        <v>455</v>
      </c>
      <c r="AF40" s="79">
        <f t="shared" si="0"/>
        <v>0</v>
      </c>
      <c r="AG40" s="79" t="str">
        <f t="shared" si="1"/>
        <v>泌尿系镜下治疗费（常规）</v>
      </c>
      <c r="AH40" s="79">
        <f t="shared" si="11"/>
        <v>815</v>
      </c>
      <c r="AI40" s="79">
        <f t="shared" si="12"/>
        <v>740</v>
      </c>
      <c r="AJ40" s="79">
        <f t="shared" si="13"/>
        <v>640</v>
      </c>
    </row>
    <row r="41" s="31" customFormat="1" ht="15" customHeight="1" spans="1:36">
      <c r="A41" s="44">
        <v>32</v>
      </c>
      <c r="B41" s="44" t="s">
        <v>268</v>
      </c>
      <c r="C41" s="44" t="s">
        <v>269</v>
      </c>
      <c r="D41" s="44" t="s">
        <v>127</v>
      </c>
      <c r="E41" s="44" t="s">
        <v>270</v>
      </c>
      <c r="F41" s="44" t="s">
        <v>271</v>
      </c>
      <c r="G41" s="44" t="s">
        <v>40</v>
      </c>
      <c r="H41" s="44" t="s">
        <v>272</v>
      </c>
      <c r="I41" s="56">
        <v>825</v>
      </c>
      <c r="J41" s="56">
        <v>743</v>
      </c>
      <c r="K41" s="59">
        <v>817.328358208955</v>
      </c>
      <c r="L41" s="59">
        <v>741.104403409091</v>
      </c>
      <c r="M41" s="59">
        <v>640.945945945946</v>
      </c>
      <c r="N41" s="64">
        <v>815</v>
      </c>
      <c r="O41" s="64">
        <v>740</v>
      </c>
      <c r="P41" s="64">
        <v>640</v>
      </c>
      <c r="Q41" s="44" t="s">
        <v>54</v>
      </c>
      <c r="R41" s="70" t="s">
        <v>273</v>
      </c>
      <c r="S41" s="44" t="s">
        <v>274</v>
      </c>
      <c r="T41" s="45" t="s">
        <v>295</v>
      </c>
      <c r="U41" s="45">
        <v>331203014</v>
      </c>
      <c r="V41" s="45" t="s">
        <v>296</v>
      </c>
      <c r="W41" s="43" t="s">
        <v>297</v>
      </c>
      <c r="X41" s="71" t="s">
        <v>43</v>
      </c>
      <c r="Y41" s="71" t="s">
        <v>88</v>
      </c>
      <c r="Z41" s="48" t="s">
        <v>43</v>
      </c>
      <c r="AA41" s="75">
        <v>1000</v>
      </c>
      <c r="AB41" s="74" t="s">
        <v>43</v>
      </c>
      <c r="AC41" s="80">
        <v>900</v>
      </c>
      <c r="AD41" s="80">
        <v>810</v>
      </c>
      <c r="AE41" s="80">
        <v>688.5</v>
      </c>
      <c r="AF41" s="79">
        <f t="shared" si="0"/>
        <v>0</v>
      </c>
      <c r="AG41" s="79" t="str">
        <f t="shared" si="1"/>
        <v>泌尿系镜下治疗费（常规）</v>
      </c>
      <c r="AH41" s="79">
        <f t="shared" si="11"/>
        <v>815</v>
      </c>
      <c r="AI41" s="79">
        <f t="shared" si="12"/>
        <v>740</v>
      </c>
      <c r="AJ41" s="79">
        <f t="shared" si="13"/>
        <v>640</v>
      </c>
    </row>
    <row r="42" ht="15" customHeight="1" spans="1:36">
      <c r="A42" s="44">
        <v>33</v>
      </c>
      <c r="B42" s="44" t="s">
        <v>298</v>
      </c>
      <c r="C42" s="44" t="s">
        <v>299</v>
      </c>
      <c r="D42" s="44" t="s">
        <v>127</v>
      </c>
      <c r="E42" s="44" t="s">
        <v>300</v>
      </c>
      <c r="F42" s="44" t="s">
        <v>301</v>
      </c>
      <c r="G42" s="44" t="s">
        <v>40</v>
      </c>
      <c r="H42" s="44" t="s">
        <v>302</v>
      </c>
      <c r="I42" s="56">
        <v>1900</v>
      </c>
      <c r="J42" s="56">
        <v>1710</v>
      </c>
      <c r="K42" s="60">
        <v>2248.54609088715</v>
      </c>
      <c r="L42" s="60">
        <v>1514.40781264997</v>
      </c>
      <c r="M42" s="60">
        <v>1109.27374872319</v>
      </c>
      <c r="N42" s="64">
        <v>1875</v>
      </c>
      <c r="O42" s="64">
        <v>1700</v>
      </c>
      <c r="P42" s="64">
        <v>1470</v>
      </c>
      <c r="Q42" s="44" t="s">
        <v>54</v>
      </c>
      <c r="R42" s="70" t="s">
        <v>67</v>
      </c>
      <c r="S42" s="44" t="s">
        <v>303</v>
      </c>
      <c r="T42" s="43" t="s">
        <v>304</v>
      </c>
      <c r="U42" s="71">
        <v>311000026</v>
      </c>
      <c r="V42" s="73" t="s">
        <v>305</v>
      </c>
      <c r="W42" s="43" t="s">
        <v>43</v>
      </c>
      <c r="X42" s="71" t="s">
        <v>43</v>
      </c>
      <c r="Y42" s="71" t="s">
        <v>40</v>
      </c>
      <c r="Z42" s="48" t="s">
        <v>306</v>
      </c>
      <c r="AA42" s="75">
        <v>990</v>
      </c>
      <c r="AB42" s="75">
        <v>890</v>
      </c>
      <c r="AC42" s="80">
        <v>990</v>
      </c>
      <c r="AD42" s="80">
        <v>900</v>
      </c>
      <c r="AE42" s="80">
        <v>765</v>
      </c>
      <c r="AF42" s="79">
        <f t="shared" si="0"/>
        <v>0</v>
      </c>
      <c r="AG42" s="79" t="str">
        <f t="shared" si="1"/>
        <v>泌尿系镜下治疗费（特殊）</v>
      </c>
      <c r="AH42" s="79">
        <f t="shared" si="11"/>
        <v>1875</v>
      </c>
      <c r="AI42" s="79">
        <f t="shared" si="12"/>
        <v>1700</v>
      </c>
      <c r="AJ42" s="79">
        <f t="shared" si="13"/>
        <v>1470</v>
      </c>
    </row>
    <row r="43" s="30" customFormat="1" ht="15" customHeight="1" spans="1:36">
      <c r="A43" s="44">
        <v>33</v>
      </c>
      <c r="B43" s="44" t="s">
        <v>298</v>
      </c>
      <c r="C43" s="44" t="s">
        <v>299</v>
      </c>
      <c r="D43" s="44" t="s">
        <v>127</v>
      </c>
      <c r="E43" s="44" t="s">
        <v>300</v>
      </c>
      <c r="F43" s="44" t="s">
        <v>301</v>
      </c>
      <c r="G43" s="44" t="s">
        <v>40</v>
      </c>
      <c r="H43" s="44" t="s">
        <v>302</v>
      </c>
      <c r="I43" s="56">
        <v>1900</v>
      </c>
      <c r="J43" s="56">
        <v>1710</v>
      </c>
      <c r="K43" s="60">
        <v>2248.54609088715</v>
      </c>
      <c r="L43" s="60">
        <v>1514.40781264997</v>
      </c>
      <c r="M43" s="60">
        <v>1109.27374872319</v>
      </c>
      <c r="N43" s="64">
        <v>1875</v>
      </c>
      <c r="O43" s="64">
        <v>1700</v>
      </c>
      <c r="P43" s="64">
        <v>1470</v>
      </c>
      <c r="Q43" s="44" t="s">
        <v>54</v>
      </c>
      <c r="R43" s="70" t="s">
        <v>67</v>
      </c>
      <c r="S43" s="44" t="s">
        <v>303</v>
      </c>
      <c r="T43" s="45" t="s">
        <v>308</v>
      </c>
      <c r="U43" s="45">
        <v>31100002601</v>
      </c>
      <c r="V43" s="63" t="s">
        <v>309</v>
      </c>
      <c r="W43" s="43" t="s">
        <v>43</v>
      </c>
      <c r="X43" s="71" t="s">
        <v>43</v>
      </c>
      <c r="Y43" s="71" t="s">
        <v>40</v>
      </c>
      <c r="Z43" s="48" t="s">
        <v>310</v>
      </c>
      <c r="AA43" s="75">
        <v>1100</v>
      </c>
      <c r="AB43" s="75">
        <v>990</v>
      </c>
      <c r="AC43" s="80">
        <v>1100</v>
      </c>
      <c r="AD43" s="80">
        <v>1000</v>
      </c>
      <c r="AE43" s="80">
        <v>850</v>
      </c>
      <c r="AF43" s="79">
        <f t="shared" si="0"/>
        <v>0</v>
      </c>
      <c r="AG43" s="79" t="str">
        <f t="shared" si="1"/>
        <v>泌尿系镜下治疗费（特殊）</v>
      </c>
      <c r="AH43" s="79">
        <f t="shared" si="11"/>
        <v>1875</v>
      </c>
      <c r="AI43" s="79">
        <f t="shared" si="12"/>
        <v>1700</v>
      </c>
      <c r="AJ43" s="79">
        <f t="shared" si="13"/>
        <v>1470</v>
      </c>
    </row>
    <row r="44" s="30" customFormat="1" ht="15" customHeight="1" spans="1:36">
      <c r="A44" s="44">
        <v>33</v>
      </c>
      <c r="B44" s="44" t="s">
        <v>298</v>
      </c>
      <c r="C44" s="44" t="s">
        <v>299</v>
      </c>
      <c r="D44" s="44" t="s">
        <v>127</v>
      </c>
      <c r="E44" s="44" t="s">
        <v>300</v>
      </c>
      <c r="F44" s="44" t="s">
        <v>301</v>
      </c>
      <c r="G44" s="44" t="s">
        <v>40</v>
      </c>
      <c r="H44" s="44" t="s">
        <v>302</v>
      </c>
      <c r="I44" s="56">
        <v>1900</v>
      </c>
      <c r="J44" s="56">
        <v>1710</v>
      </c>
      <c r="K44" s="60">
        <v>2248.54609088715</v>
      </c>
      <c r="L44" s="60">
        <v>1514.40781264997</v>
      </c>
      <c r="M44" s="60">
        <v>1109.27374872319</v>
      </c>
      <c r="N44" s="64">
        <v>1875</v>
      </c>
      <c r="O44" s="64">
        <v>1700</v>
      </c>
      <c r="P44" s="64">
        <v>1470</v>
      </c>
      <c r="Q44" s="44" t="s">
        <v>54</v>
      </c>
      <c r="R44" s="70" t="s">
        <v>67</v>
      </c>
      <c r="S44" s="44" t="s">
        <v>303</v>
      </c>
      <c r="T44" s="45" t="s">
        <v>311</v>
      </c>
      <c r="U44" s="45">
        <v>31100002602</v>
      </c>
      <c r="V44" s="63" t="s">
        <v>312</v>
      </c>
      <c r="W44" s="43" t="s">
        <v>43</v>
      </c>
      <c r="X44" s="71" t="s">
        <v>43</v>
      </c>
      <c r="Y44" s="71" t="s">
        <v>40</v>
      </c>
      <c r="Z44" s="48" t="s">
        <v>313</v>
      </c>
      <c r="AA44" s="75">
        <v>1760</v>
      </c>
      <c r="AB44" s="75">
        <v>1580</v>
      </c>
      <c r="AC44" s="80">
        <v>1760</v>
      </c>
      <c r="AD44" s="80">
        <v>1600</v>
      </c>
      <c r="AE44" s="80">
        <v>1360</v>
      </c>
      <c r="AF44" s="79">
        <f t="shared" si="0"/>
        <v>0</v>
      </c>
      <c r="AG44" s="79" t="str">
        <f t="shared" si="1"/>
        <v>泌尿系镜下治疗费（特殊）</v>
      </c>
      <c r="AH44" s="79">
        <f t="shared" si="11"/>
        <v>1875</v>
      </c>
      <c r="AI44" s="79">
        <f t="shared" si="12"/>
        <v>1700</v>
      </c>
      <c r="AJ44" s="79">
        <f t="shared" si="13"/>
        <v>1470</v>
      </c>
    </row>
    <row r="45" s="30" customFormat="1" ht="15" customHeight="1" spans="1:36">
      <c r="A45" s="44">
        <v>33</v>
      </c>
      <c r="B45" s="44" t="s">
        <v>298</v>
      </c>
      <c r="C45" s="44" t="s">
        <v>299</v>
      </c>
      <c r="D45" s="44" t="s">
        <v>127</v>
      </c>
      <c r="E45" s="44" t="s">
        <v>300</v>
      </c>
      <c r="F45" s="44" t="s">
        <v>301</v>
      </c>
      <c r="G45" s="44" t="s">
        <v>40</v>
      </c>
      <c r="H45" s="44" t="s">
        <v>302</v>
      </c>
      <c r="I45" s="56">
        <v>1900</v>
      </c>
      <c r="J45" s="56">
        <v>1710</v>
      </c>
      <c r="K45" s="60">
        <v>2248.54609088715</v>
      </c>
      <c r="L45" s="60">
        <v>1514.40781264997</v>
      </c>
      <c r="M45" s="60">
        <v>1109.27374872319</v>
      </c>
      <c r="N45" s="64">
        <v>1875</v>
      </c>
      <c r="O45" s="64">
        <v>1700</v>
      </c>
      <c r="P45" s="64">
        <v>1470</v>
      </c>
      <c r="Q45" s="44" t="s">
        <v>54</v>
      </c>
      <c r="R45" s="70" t="s">
        <v>67</v>
      </c>
      <c r="S45" s="44" t="s">
        <v>303</v>
      </c>
      <c r="T45" s="45" t="s">
        <v>314</v>
      </c>
      <c r="U45" s="45">
        <v>311000035</v>
      </c>
      <c r="V45" s="63" t="s">
        <v>315</v>
      </c>
      <c r="W45" s="43" t="s">
        <v>43</v>
      </c>
      <c r="X45" s="71" t="s">
        <v>43</v>
      </c>
      <c r="Y45" s="71" t="s">
        <v>40</v>
      </c>
      <c r="Z45" s="48" t="s">
        <v>316</v>
      </c>
      <c r="AA45" s="75">
        <v>176</v>
      </c>
      <c r="AB45" s="75">
        <v>160</v>
      </c>
      <c r="AC45" s="80">
        <v>176</v>
      </c>
      <c r="AD45" s="80">
        <v>160</v>
      </c>
      <c r="AE45" s="80">
        <v>136</v>
      </c>
      <c r="AF45" s="79">
        <f t="shared" si="0"/>
        <v>0</v>
      </c>
      <c r="AG45" s="79" t="str">
        <f t="shared" si="1"/>
        <v>泌尿系镜下治疗费（特殊）</v>
      </c>
      <c r="AH45" s="79">
        <f t="shared" si="11"/>
        <v>1875</v>
      </c>
      <c r="AI45" s="79">
        <f t="shared" si="12"/>
        <v>1700</v>
      </c>
      <c r="AJ45" s="79">
        <f t="shared" si="13"/>
        <v>1470</v>
      </c>
    </row>
    <row r="46" s="30" customFormat="1" ht="15" customHeight="1" spans="1:36">
      <c r="A46" s="44">
        <v>33</v>
      </c>
      <c r="B46" s="44" t="s">
        <v>298</v>
      </c>
      <c r="C46" s="44" t="s">
        <v>299</v>
      </c>
      <c r="D46" s="44" t="s">
        <v>127</v>
      </c>
      <c r="E46" s="44" t="s">
        <v>300</v>
      </c>
      <c r="F46" s="44" t="s">
        <v>301</v>
      </c>
      <c r="G46" s="44" t="s">
        <v>40</v>
      </c>
      <c r="H46" s="44" t="s">
        <v>302</v>
      </c>
      <c r="I46" s="56">
        <v>1900</v>
      </c>
      <c r="J46" s="56">
        <v>1710</v>
      </c>
      <c r="K46" s="60">
        <v>2248.54609088715</v>
      </c>
      <c r="L46" s="60">
        <v>1514.40781264997</v>
      </c>
      <c r="M46" s="60">
        <v>1109.27374872319</v>
      </c>
      <c r="N46" s="64">
        <v>1875</v>
      </c>
      <c r="O46" s="64">
        <v>1700</v>
      </c>
      <c r="P46" s="64">
        <v>1470</v>
      </c>
      <c r="Q46" s="44" t="s">
        <v>54</v>
      </c>
      <c r="R46" s="70" t="s">
        <v>67</v>
      </c>
      <c r="S46" s="44" t="s">
        <v>303</v>
      </c>
      <c r="T46" s="45" t="s">
        <v>317</v>
      </c>
      <c r="U46" s="45">
        <v>31100003501</v>
      </c>
      <c r="V46" s="63" t="s">
        <v>318</v>
      </c>
      <c r="W46" s="43" t="s">
        <v>43</v>
      </c>
      <c r="X46" s="71" t="s">
        <v>43</v>
      </c>
      <c r="Y46" s="71" t="s">
        <v>40</v>
      </c>
      <c r="Z46" s="48" t="s">
        <v>313</v>
      </c>
      <c r="AA46" s="75">
        <v>230</v>
      </c>
      <c r="AB46" s="75">
        <v>210</v>
      </c>
      <c r="AC46" s="80">
        <v>231</v>
      </c>
      <c r="AD46" s="80">
        <v>210</v>
      </c>
      <c r="AE46" s="80">
        <v>178.5</v>
      </c>
      <c r="AF46" s="79">
        <f t="shared" si="0"/>
        <v>0</v>
      </c>
      <c r="AG46" s="79" t="str">
        <f t="shared" si="1"/>
        <v>泌尿系镜下治疗费（特殊）</v>
      </c>
      <c r="AH46" s="79">
        <f t="shared" si="11"/>
        <v>1875</v>
      </c>
      <c r="AI46" s="79">
        <f t="shared" si="12"/>
        <v>1700</v>
      </c>
      <c r="AJ46" s="79">
        <f t="shared" si="13"/>
        <v>1470</v>
      </c>
    </row>
    <row r="47" s="31" customFormat="1" ht="15" customHeight="1" spans="1:36">
      <c r="A47" s="44">
        <v>33</v>
      </c>
      <c r="B47" s="44" t="s">
        <v>298</v>
      </c>
      <c r="C47" s="44" t="s">
        <v>299</v>
      </c>
      <c r="D47" s="44" t="s">
        <v>127</v>
      </c>
      <c r="E47" s="44" t="s">
        <v>300</v>
      </c>
      <c r="F47" s="44" t="s">
        <v>301</v>
      </c>
      <c r="G47" s="44" t="s">
        <v>40</v>
      </c>
      <c r="H47" s="44" t="s">
        <v>302</v>
      </c>
      <c r="I47" s="56">
        <v>1900</v>
      </c>
      <c r="J47" s="56">
        <v>1710</v>
      </c>
      <c r="K47" s="60">
        <v>2248.54609088715</v>
      </c>
      <c r="L47" s="60">
        <v>1514.40781264997</v>
      </c>
      <c r="M47" s="60">
        <v>1109.27374872319</v>
      </c>
      <c r="N47" s="64">
        <v>1875</v>
      </c>
      <c r="O47" s="64">
        <v>1700</v>
      </c>
      <c r="P47" s="64">
        <v>1470</v>
      </c>
      <c r="Q47" s="44" t="s">
        <v>54</v>
      </c>
      <c r="R47" s="70" t="s">
        <v>67</v>
      </c>
      <c r="S47" s="44" t="s">
        <v>303</v>
      </c>
      <c r="T47" s="45" t="s">
        <v>319</v>
      </c>
      <c r="U47" s="45">
        <v>331103026</v>
      </c>
      <c r="V47" s="45" t="s">
        <v>320</v>
      </c>
      <c r="W47" s="43" t="s">
        <v>321</v>
      </c>
      <c r="X47" s="71" t="s">
        <v>43</v>
      </c>
      <c r="Y47" s="71" t="s">
        <v>40</v>
      </c>
      <c r="Z47" s="48" t="s">
        <v>322</v>
      </c>
      <c r="AA47" s="75">
        <v>2880</v>
      </c>
      <c r="AB47" s="75">
        <v>2590</v>
      </c>
      <c r="AC47" s="80">
        <v>2530</v>
      </c>
      <c r="AD47" s="80">
        <v>2280</v>
      </c>
      <c r="AE47" s="80">
        <v>1940</v>
      </c>
      <c r="AF47" s="79">
        <f t="shared" si="0"/>
        <v>0</v>
      </c>
      <c r="AG47" s="79" t="str">
        <f t="shared" si="1"/>
        <v>泌尿系镜下治疗费（特殊）</v>
      </c>
      <c r="AH47" s="79">
        <f t="shared" si="11"/>
        <v>1875</v>
      </c>
      <c r="AI47" s="79">
        <f t="shared" si="12"/>
        <v>1700</v>
      </c>
      <c r="AJ47" s="79">
        <f t="shared" si="13"/>
        <v>1470</v>
      </c>
    </row>
    <row r="48" s="31" customFormat="1" ht="15" customHeight="1" spans="1:36">
      <c r="A48" s="44">
        <v>33</v>
      </c>
      <c r="B48" s="44" t="s">
        <v>298</v>
      </c>
      <c r="C48" s="44" t="s">
        <v>299</v>
      </c>
      <c r="D48" s="44" t="s">
        <v>127</v>
      </c>
      <c r="E48" s="44" t="s">
        <v>300</v>
      </c>
      <c r="F48" s="44" t="s">
        <v>301</v>
      </c>
      <c r="G48" s="44" t="s">
        <v>40</v>
      </c>
      <c r="H48" s="44" t="s">
        <v>302</v>
      </c>
      <c r="I48" s="56">
        <v>1900</v>
      </c>
      <c r="J48" s="56">
        <v>1710</v>
      </c>
      <c r="K48" s="60">
        <v>2248.54609088715</v>
      </c>
      <c r="L48" s="60">
        <v>1514.40781264997</v>
      </c>
      <c r="M48" s="60">
        <v>1109.27374872319</v>
      </c>
      <c r="N48" s="64">
        <v>1875</v>
      </c>
      <c r="O48" s="64">
        <v>1700</v>
      </c>
      <c r="P48" s="64">
        <v>1470</v>
      </c>
      <c r="Q48" s="44" t="s">
        <v>54</v>
      </c>
      <c r="R48" s="70" t="s">
        <v>67</v>
      </c>
      <c r="S48" s="44" t="s">
        <v>303</v>
      </c>
      <c r="T48" s="45" t="s">
        <v>323</v>
      </c>
      <c r="U48" s="45">
        <v>33110302601</v>
      </c>
      <c r="V48" s="45" t="s">
        <v>324</v>
      </c>
      <c r="W48" s="43" t="s">
        <v>43</v>
      </c>
      <c r="X48" s="71" t="s">
        <v>43</v>
      </c>
      <c r="Y48" s="71" t="s">
        <v>40</v>
      </c>
      <c r="Z48" s="48" t="s">
        <v>325</v>
      </c>
      <c r="AA48" s="75">
        <v>3360</v>
      </c>
      <c r="AB48" s="75">
        <v>3020</v>
      </c>
      <c r="AC48" s="80">
        <v>2590</v>
      </c>
      <c r="AD48" s="80">
        <v>2330</v>
      </c>
      <c r="AE48" s="80">
        <v>1980</v>
      </c>
      <c r="AF48" s="79">
        <f t="shared" si="0"/>
        <v>0</v>
      </c>
      <c r="AG48" s="79" t="str">
        <f t="shared" si="1"/>
        <v>泌尿系镜下治疗费（特殊）</v>
      </c>
      <c r="AH48" s="79">
        <f t="shared" si="11"/>
        <v>1875</v>
      </c>
      <c r="AI48" s="79">
        <f t="shared" si="12"/>
        <v>1700</v>
      </c>
      <c r="AJ48" s="79">
        <f t="shared" si="13"/>
        <v>1470</v>
      </c>
    </row>
    <row r="49" s="31" customFormat="1" ht="15" customHeight="1" spans="1:36">
      <c r="A49" s="44">
        <v>33</v>
      </c>
      <c r="B49" s="44" t="s">
        <v>298</v>
      </c>
      <c r="C49" s="44" t="s">
        <v>299</v>
      </c>
      <c r="D49" s="44" t="s">
        <v>127</v>
      </c>
      <c r="E49" s="44" t="s">
        <v>300</v>
      </c>
      <c r="F49" s="44" t="s">
        <v>301</v>
      </c>
      <c r="G49" s="44" t="s">
        <v>40</v>
      </c>
      <c r="H49" s="44" t="s">
        <v>302</v>
      </c>
      <c r="I49" s="56">
        <v>1900</v>
      </c>
      <c r="J49" s="56">
        <v>1710</v>
      </c>
      <c r="K49" s="60">
        <v>2248.54609088715</v>
      </c>
      <c r="L49" s="60">
        <v>1514.40781264997</v>
      </c>
      <c r="M49" s="60">
        <v>1109.27374872319</v>
      </c>
      <c r="N49" s="64">
        <v>1875</v>
      </c>
      <c r="O49" s="64">
        <v>1700</v>
      </c>
      <c r="P49" s="64">
        <v>1470</v>
      </c>
      <c r="Q49" s="44" t="s">
        <v>54</v>
      </c>
      <c r="R49" s="70" t="s">
        <v>67</v>
      </c>
      <c r="S49" s="44" t="s">
        <v>303</v>
      </c>
      <c r="T49" s="45" t="s">
        <v>326</v>
      </c>
      <c r="U49" s="45">
        <v>33110302602</v>
      </c>
      <c r="V49" s="45" t="s">
        <v>327</v>
      </c>
      <c r="W49" s="43" t="s">
        <v>43</v>
      </c>
      <c r="X49" s="71" t="s">
        <v>43</v>
      </c>
      <c r="Y49" s="71" t="s">
        <v>40</v>
      </c>
      <c r="Z49" s="48" t="s">
        <v>43</v>
      </c>
      <c r="AA49" s="75">
        <v>3745</v>
      </c>
      <c r="AB49" s="75">
        <v>3365</v>
      </c>
      <c r="AC49" s="80">
        <v>3290</v>
      </c>
      <c r="AD49" s="80">
        <v>2965</v>
      </c>
      <c r="AE49" s="80">
        <v>2520</v>
      </c>
      <c r="AF49" s="79">
        <f t="shared" si="0"/>
        <v>0</v>
      </c>
      <c r="AG49" s="79" t="str">
        <f t="shared" si="1"/>
        <v>泌尿系镜下治疗费（特殊）</v>
      </c>
      <c r="AH49" s="79">
        <f t="shared" si="11"/>
        <v>1875</v>
      </c>
      <c r="AI49" s="79">
        <f t="shared" si="12"/>
        <v>1700</v>
      </c>
      <c r="AJ49" s="79">
        <f t="shared" si="13"/>
        <v>1470</v>
      </c>
    </row>
    <row r="50" s="31" customFormat="1" ht="15" customHeight="1" spans="1:36">
      <c r="A50" s="44">
        <v>33</v>
      </c>
      <c r="B50" s="44" t="s">
        <v>298</v>
      </c>
      <c r="C50" s="44" t="s">
        <v>299</v>
      </c>
      <c r="D50" s="44" t="s">
        <v>127</v>
      </c>
      <c r="E50" s="44" t="s">
        <v>300</v>
      </c>
      <c r="F50" s="44" t="s">
        <v>301</v>
      </c>
      <c r="G50" s="44" t="s">
        <v>40</v>
      </c>
      <c r="H50" s="44" t="s">
        <v>302</v>
      </c>
      <c r="I50" s="56">
        <v>1900</v>
      </c>
      <c r="J50" s="56">
        <v>1710</v>
      </c>
      <c r="K50" s="60">
        <v>2248.54609088715</v>
      </c>
      <c r="L50" s="60">
        <v>1514.40781264997</v>
      </c>
      <c r="M50" s="60">
        <v>1109.27374872319</v>
      </c>
      <c r="N50" s="64">
        <v>1875</v>
      </c>
      <c r="O50" s="64">
        <v>1700</v>
      </c>
      <c r="P50" s="64">
        <v>1470</v>
      </c>
      <c r="Q50" s="44" t="s">
        <v>54</v>
      </c>
      <c r="R50" s="70" t="s">
        <v>67</v>
      </c>
      <c r="S50" s="44" t="s">
        <v>303</v>
      </c>
      <c r="T50" s="45" t="s">
        <v>328</v>
      </c>
      <c r="U50" s="45">
        <v>33110302603</v>
      </c>
      <c r="V50" s="45" t="s">
        <v>329</v>
      </c>
      <c r="W50" s="43" t="s">
        <v>43</v>
      </c>
      <c r="X50" s="71" t="s">
        <v>43</v>
      </c>
      <c r="Y50" s="71" t="s">
        <v>40</v>
      </c>
      <c r="Z50" s="48" t="s">
        <v>325</v>
      </c>
      <c r="AA50" s="75">
        <v>4370</v>
      </c>
      <c r="AB50" s="75">
        <v>3925</v>
      </c>
      <c r="AC50" s="80">
        <v>3365</v>
      </c>
      <c r="AD50" s="80">
        <v>3030</v>
      </c>
      <c r="AE50" s="80">
        <v>2575</v>
      </c>
      <c r="AF50" s="79">
        <f t="shared" si="0"/>
        <v>0</v>
      </c>
      <c r="AG50" s="79" t="str">
        <f t="shared" si="1"/>
        <v>泌尿系镜下治疗费（特殊）</v>
      </c>
      <c r="AH50" s="79">
        <f t="shared" si="11"/>
        <v>1875</v>
      </c>
      <c r="AI50" s="79">
        <f t="shared" si="12"/>
        <v>1700</v>
      </c>
      <c r="AJ50" s="79">
        <f t="shared" si="13"/>
        <v>1470</v>
      </c>
    </row>
    <row r="51" s="31" customFormat="1" ht="15" customHeight="1" spans="1:36">
      <c r="A51" s="44">
        <v>33</v>
      </c>
      <c r="B51" s="44" t="s">
        <v>298</v>
      </c>
      <c r="C51" s="44" t="s">
        <v>299</v>
      </c>
      <c r="D51" s="44" t="s">
        <v>127</v>
      </c>
      <c r="E51" s="44" t="s">
        <v>300</v>
      </c>
      <c r="F51" s="44" t="s">
        <v>301</v>
      </c>
      <c r="G51" s="44" t="s">
        <v>40</v>
      </c>
      <c r="H51" s="44" t="s">
        <v>302</v>
      </c>
      <c r="I51" s="56">
        <v>1900</v>
      </c>
      <c r="J51" s="56">
        <v>1710</v>
      </c>
      <c r="K51" s="60">
        <v>2248.54609088715</v>
      </c>
      <c r="L51" s="60">
        <v>1514.40781264997</v>
      </c>
      <c r="M51" s="60">
        <v>1109.27374872319</v>
      </c>
      <c r="N51" s="64">
        <v>1875</v>
      </c>
      <c r="O51" s="64">
        <v>1700</v>
      </c>
      <c r="P51" s="64">
        <v>1470</v>
      </c>
      <c r="Q51" s="44" t="s">
        <v>54</v>
      </c>
      <c r="R51" s="70" t="s">
        <v>67</v>
      </c>
      <c r="S51" s="44" t="s">
        <v>303</v>
      </c>
      <c r="T51" s="45" t="s">
        <v>330</v>
      </c>
      <c r="U51" s="45">
        <v>33110302604</v>
      </c>
      <c r="V51" s="63" t="s">
        <v>331</v>
      </c>
      <c r="W51" s="43" t="s">
        <v>43</v>
      </c>
      <c r="X51" s="71" t="s">
        <v>43</v>
      </c>
      <c r="Y51" s="71" t="s">
        <v>40</v>
      </c>
      <c r="Z51" s="48" t="s">
        <v>43</v>
      </c>
      <c r="AA51" s="75">
        <v>3130</v>
      </c>
      <c r="AB51" s="75">
        <v>2815</v>
      </c>
      <c r="AC51" s="80">
        <v>2780</v>
      </c>
      <c r="AD51" s="80">
        <v>2505</v>
      </c>
      <c r="AE51" s="80">
        <v>2130</v>
      </c>
      <c r="AF51" s="79">
        <f t="shared" si="0"/>
        <v>0</v>
      </c>
      <c r="AG51" s="79" t="str">
        <f t="shared" si="1"/>
        <v>泌尿系镜下治疗费（特殊）</v>
      </c>
      <c r="AH51" s="79">
        <f t="shared" si="11"/>
        <v>1875</v>
      </c>
      <c r="AI51" s="79">
        <f t="shared" si="12"/>
        <v>1700</v>
      </c>
      <c r="AJ51" s="79">
        <f t="shared" si="13"/>
        <v>1470</v>
      </c>
    </row>
    <row r="52" s="31" customFormat="1" ht="15" customHeight="1" spans="1:36">
      <c r="A52" s="44">
        <v>33</v>
      </c>
      <c r="B52" s="44" t="s">
        <v>298</v>
      </c>
      <c r="C52" s="44" t="s">
        <v>299</v>
      </c>
      <c r="D52" s="44" t="s">
        <v>127</v>
      </c>
      <c r="E52" s="44" t="s">
        <v>300</v>
      </c>
      <c r="F52" s="44" t="s">
        <v>301</v>
      </c>
      <c r="G52" s="44" t="s">
        <v>40</v>
      </c>
      <c r="H52" s="44" t="s">
        <v>302</v>
      </c>
      <c r="I52" s="56">
        <v>1900</v>
      </c>
      <c r="J52" s="56">
        <v>1710</v>
      </c>
      <c r="K52" s="60">
        <v>2248.54609088715</v>
      </c>
      <c r="L52" s="60">
        <v>1514.40781264997</v>
      </c>
      <c r="M52" s="60">
        <v>1109.27374872319</v>
      </c>
      <c r="N52" s="64">
        <v>1875</v>
      </c>
      <c r="O52" s="64">
        <v>1700</v>
      </c>
      <c r="P52" s="64">
        <v>1470</v>
      </c>
      <c r="Q52" s="44" t="s">
        <v>54</v>
      </c>
      <c r="R52" s="70" t="s">
        <v>67</v>
      </c>
      <c r="S52" s="44" t="s">
        <v>303</v>
      </c>
      <c r="T52" s="45" t="s">
        <v>333</v>
      </c>
      <c r="U52" s="45">
        <v>33110302605</v>
      </c>
      <c r="V52" s="63" t="s">
        <v>334</v>
      </c>
      <c r="W52" s="43" t="s">
        <v>43</v>
      </c>
      <c r="X52" s="71" t="s">
        <v>43</v>
      </c>
      <c r="Y52" s="71" t="s">
        <v>40</v>
      </c>
      <c r="Z52" s="48" t="s">
        <v>325</v>
      </c>
      <c r="AA52" s="75">
        <v>3610</v>
      </c>
      <c r="AB52" s="75">
        <v>3245</v>
      </c>
      <c r="AC52" s="80">
        <v>2840</v>
      </c>
      <c r="AD52" s="80">
        <v>2555</v>
      </c>
      <c r="AE52" s="80">
        <v>2170</v>
      </c>
      <c r="AF52" s="79">
        <f t="shared" si="0"/>
        <v>0</v>
      </c>
      <c r="AG52" s="79" t="str">
        <f t="shared" si="1"/>
        <v>泌尿系镜下治疗费（特殊）</v>
      </c>
      <c r="AH52" s="79">
        <f t="shared" si="11"/>
        <v>1875</v>
      </c>
      <c r="AI52" s="79">
        <f t="shared" si="12"/>
        <v>1700</v>
      </c>
      <c r="AJ52" s="79">
        <f t="shared" si="13"/>
        <v>1470</v>
      </c>
    </row>
    <row r="53" s="31" customFormat="1" ht="15" customHeight="1" spans="1:36">
      <c r="A53" s="44">
        <v>33</v>
      </c>
      <c r="B53" s="44" t="s">
        <v>298</v>
      </c>
      <c r="C53" s="44" t="s">
        <v>299</v>
      </c>
      <c r="D53" s="44" t="s">
        <v>127</v>
      </c>
      <c r="E53" s="44" t="s">
        <v>300</v>
      </c>
      <c r="F53" s="44" t="s">
        <v>301</v>
      </c>
      <c r="G53" s="44" t="s">
        <v>40</v>
      </c>
      <c r="H53" s="44" t="s">
        <v>302</v>
      </c>
      <c r="I53" s="56">
        <v>1900</v>
      </c>
      <c r="J53" s="56">
        <v>1710</v>
      </c>
      <c r="K53" s="60">
        <v>2248.54609088715</v>
      </c>
      <c r="L53" s="60">
        <v>1514.40781264997</v>
      </c>
      <c r="M53" s="60">
        <v>1109.27374872319</v>
      </c>
      <c r="N53" s="64">
        <v>1875</v>
      </c>
      <c r="O53" s="64">
        <v>1700</v>
      </c>
      <c r="P53" s="64">
        <v>1470</v>
      </c>
      <c r="Q53" s="44" t="s">
        <v>54</v>
      </c>
      <c r="R53" s="70" t="s">
        <v>67</v>
      </c>
      <c r="S53" s="44" t="s">
        <v>303</v>
      </c>
      <c r="T53" s="45" t="s">
        <v>335</v>
      </c>
      <c r="U53" s="45">
        <v>33110302606</v>
      </c>
      <c r="V53" s="63" t="s">
        <v>336</v>
      </c>
      <c r="W53" s="43" t="s">
        <v>43</v>
      </c>
      <c r="X53" s="71" t="s">
        <v>43</v>
      </c>
      <c r="Y53" s="71" t="s">
        <v>40</v>
      </c>
      <c r="Z53" s="48" t="s">
        <v>43</v>
      </c>
      <c r="AA53" s="75">
        <v>3995</v>
      </c>
      <c r="AB53" s="75">
        <v>3590</v>
      </c>
      <c r="AC53" s="80">
        <v>3540</v>
      </c>
      <c r="AD53" s="80">
        <v>3190</v>
      </c>
      <c r="AE53" s="80">
        <v>2710</v>
      </c>
      <c r="AF53" s="79">
        <f t="shared" si="0"/>
        <v>0</v>
      </c>
      <c r="AG53" s="79" t="str">
        <f t="shared" si="1"/>
        <v>泌尿系镜下治疗费（特殊）</v>
      </c>
      <c r="AH53" s="79">
        <f t="shared" si="11"/>
        <v>1875</v>
      </c>
      <c r="AI53" s="79">
        <f t="shared" si="12"/>
        <v>1700</v>
      </c>
      <c r="AJ53" s="79">
        <f t="shared" si="13"/>
        <v>1470</v>
      </c>
    </row>
    <row r="54" s="31" customFormat="1" ht="15" customHeight="1" spans="1:36">
      <c r="A54" s="44">
        <v>33</v>
      </c>
      <c r="B54" s="44" t="s">
        <v>298</v>
      </c>
      <c r="C54" s="44" t="s">
        <v>299</v>
      </c>
      <c r="D54" s="44" t="s">
        <v>127</v>
      </c>
      <c r="E54" s="44" t="s">
        <v>300</v>
      </c>
      <c r="F54" s="44" t="s">
        <v>301</v>
      </c>
      <c r="G54" s="44" t="s">
        <v>40</v>
      </c>
      <c r="H54" s="44" t="s">
        <v>302</v>
      </c>
      <c r="I54" s="56">
        <v>1900</v>
      </c>
      <c r="J54" s="56">
        <v>1710</v>
      </c>
      <c r="K54" s="60">
        <v>2248.54609088715</v>
      </c>
      <c r="L54" s="60">
        <v>1514.40781264997</v>
      </c>
      <c r="M54" s="60">
        <v>1109.27374872319</v>
      </c>
      <c r="N54" s="64">
        <v>1875</v>
      </c>
      <c r="O54" s="64">
        <v>1700</v>
      </c>
      <c r="P54" s="64">
        <v>1470</v>
      </c>
      <c r="Q54" s="44" t="s">
        <v>54</v>
      </c>
      <c r="R54" s="70" t="s">
        <v>67</v>
      </c>
      <c r="S54" s="44" t="s">
        <v>303</v>
      </c>
      <c r="T54" s="45" t="s">
        <v>337</v>
      </c>
      <c r="U54" s="45">
        <v>33110302607</v>
      </c>
      <c r="V54" s="63" t="s">
        <v>338</v>
      </c>
      <c r="W54" s="43" t="s">
        <v>43</v>
      </c>
      <c r="X54" s="71" t="s">
        <v>43</v>
      </c>
      <c r="Y54" s="71" t="s">
        <v>40</v>
      </c>
      <c r="Z54" s="48" t="s">
        <v>325</v>
      </c>
      <c r="AA54" s="75">
        <v>4620</v>
      </c>
      <c r="AB54" s="75">
        <v>4150</v>
      </c>
      <c r="AC54" s="80">
        <v>3615</v>
      </c>
      <c r="AD54" s="80">
        <v>3255</v>
      </c>
      <c r="AE54" s="80">
        <v>2765</v>
      </c>
      <c r="AF54" s="79">
        <f t="shared" si="0"/>
        <v>0</v>
      </c>
      <c r="AG54" s="79" t="str">
        <f t="shared" si="1"/>
        <v>泌尿系镜下治疗费（特殊）</v>
      </c>
      <c r="AH54" s="79">
        <f t="shared" si="11"/>
        <v>1875</v>
      </c>
      <c r="AI54" s="79">
        <f t="shared" si="12"/>
        <v>1700</v>
      </c>
      <c r="AJ54" s="79">
        <f t="shared" si="13"/>
        <v>1470</v>
      </c>
    </row>
    <row r="55" s="31" customFormat="1" ht="15" customHeight="1" spans="1:36">
      <c r="A55" s="44">
        <v>33</v>
      </c>
      <c r="B55" s="44" t="s">
        <v>298</v>
      </c>
      <c r="C55" s="44" t="s">
        <v>299</v>
      </c>
      <c r="D55" s="44" t="s">
        <v>127</v>
      </c>
      <c r="E55" s="44" t="s">
        <v>300</v>
      </c>
      <c r="F55" s="44" t="s">
        <v>301</v>
      </c>
      <c r="G55" s="44" t="s">
        <v>40</v>
      </c>
      <c r="H55" s="44" t="s">
        <v>302</v>
      </c>
      <c r="I55" s="56">
        <v>1900</v>
      </c>
      <c r="J55" s="56">
        <v>1710</v>
      </c>
      <c r="K55" s="60">
        <v>2248.54609088715</v>
      </c>
      <c r="L55" s="60">
        <v>1514.40781264997</v>
      </c>
      <c r="M55" s="60">
        <v>1109.27374872319</v>
      </c>
      <c r="N55" s="64">
        <v>1875</v>
      </c>
      <c r="O55" s="64">
        <v>1700</v>
      </c>
      <c r="P55" s="64">
        <v>1470</v>
      </c>
      <c r="Q55" s="44" t="s">
        <v>54</v>
      </c>
      <c r="R55" s="70" t="s">
        <v>67</v>
      </c>
      <c r="S55" s="44" t="s">
        <v>303</v>
      </c>
      <c r="T55" s="45" t="s">
        <v>339</v>
      </c>
      <c r="U55" s="45">
        <v>33110302702</v>
      </c>
      <c r="V55" s="63" t="s">
        <v>340</v>
      </c>
      <c r="W55" s="43" t="s">
        <v>43</v>
      </c>
      <c r="X55" s="71" t="s">
        <v>43</v>
      </c>
      <c r="Y55" s="71" t="s">
        <v>40</v>
      </c>
      <c r="Z55" s="48" t="s">
        <v>43</v>
      </c>
      <c r="AA55" s="75">
        <v>1500</v>
      </c>
      <c r="AB55" s="75">
        <v>1350</v>
      </c>
      <c r="AC55" s="80">
        <v>1500</v>
      </c>
      <c r="AD55" s="80">
        <v>1425</v>
      </c>
      <c r="AE55" s="80">
        <v>1210</v>
      </c>
      <c r="AF55" s="79">
        <f t="shared" si="0"/>
        <v>0</v>
      </c>
      <c r="AG55" s="79" t="str">
        <f t="shared" si="1"/>
        <v>泌尿系镜下治疗费（特殊）</v>
      </c>
      <c r="AH55" s="79">
        <f t="shared" ref="AH55:AH77" si="14">IF(AF55&gt;0,_xlfn.MAXIFS(N:N,C:C,AG55),0)+N55</f>
        <v>1875</v>
      </c>
      <c r="AI55" s="79">
        <f t="shared" ref="AI55:AI77" si="15">IF(AF55&gt;0,_xlfn.MAXIFS(O:O,C:C,AG55),0)+O55</f>
        <v>1700</v>
      </c>
      <c r="AJ55" s="79">
        <f t="shared" ref="AJ55:AJ77" si="16">IF(AF55&gt;0,_xlfn.MAXIFS(P:P,C:C,AG55),0)+P55</f>
        <v>1470</v>
      </c>
    </row>
    <row r="56" s="31" customFormat="1" ht="15" customHeight="1" spans="1:36">
      <c r="A56" s="44">
        <v>33</v>
      </c>
      <c r="B56" s="44" t="s">
        <v>298</v>
      </c>
      <c r="C56" s="44" t="s">
        <v>299</v>
      </c>
      <c r="D56" s="44" t="s">
        <v>127</v>
      </c>
      <c r="E56" s="44" t="s">
        <v>300</v>
      </c>
      <c r="F56" s="44" t="s">
        <v>301</v>
      </c>
      <c r="G56" s="44" t="s">
        <v>40</v>
      </c>
      <c r="H56" s="44" t="s">
        <v>302</v>
      </c>
      <c r="I56" s="56">
        <v>1900</v>
      </c>
      <c r="J56" s="56">
        <v>1710</v>
      </c>
      <c r="K56" s="60">
        <v>2248.54609088715</v>
      </c>
      <c r="L56" s="60">
        <v>1514.40781264997</v>
      </c>
      <c r="M56" s="60">
        <v>1109.27374872319</v>
      </c>
      <c r="N56" s="64">
        <v>1875</v>
      </c>
      <c r="O56" s="64">
        <v>1700</v>
      </c>
      <c r="P56" s="64">
        <v>1470</v>
      </c>
      <c r="Q56" s="44" t="s">
        <v>54</v>
      </c>
      <c r="R56" s="70" t="s">
        <v>67</v>
      </c>
      <c r="S56" s="44" t="s">
        <v>303</v>
      </c>
      <c r="T56" s="45" t="s">
        <v>341</v>
      </c>
      <c r="U56" s="45">
        <v>33110302703</v>
      </c>
      <c r="V56" s="63" t="s">
        <v>342</v>
      </c>
      <c r="W56" s="43" t="s">
        <v>43</v>
      </c>
      <c r="X56" s="71" t="s">
        <v>43</v>
      </c>
      <c r="Y56" s="71" t="s">
        <v>40</v>
      </c>
      <c r="Z56" s="48" t="s">
        <v>43</v>
      </c>
      <c r="AA56" s="75">
        <v>1875</v>
      </c>
      <c r="AB56" s="75">
        <v>1690</v>
      </c>
      <c r="AC56" s="80">
        <v>1875</v>
      </c>
      <c r="AD56" s="80">
        <v>1785</v>
      </c>
      <c r="AE56" s="80">
        <v>1515</v>
      </c>
      <c r="AF56" s="79">
        <f t="shared" si="0"/>
        <v>0</v>
      </c>
      <c r="AG56" s="79" t="str">
        <f t="shared" si="1"/>
        <v>泌尿系镜下治疗费（特殊）</v>
      </c>
      <c r="AH56" s="79">
        <f t="shared" si="14"/>
        <v>1875</v>
      </c>
      <c r="AI56" s="79">
        <f t="shared" si="15"/>
        <v>1700</v>
      </c>
      <c r="AJ56" s="79">
        <f t="shared" si="16"/>
        <v>1470</v>
      </c>
    </row>
    <row r="57" s="31" customFormat="1" ht="15" customHeight="1" spans="1:36">
      <c r="A57" s="44">
        <v>33</v>
      </c>
      <c r="B57" s="44" t="s">
        <v>298</v>
      </c>
      <c r="C57" s="44" t="s">
        <v>299</v>
      </c>
      <c r="D57" s="44" t="s">
        <v>127</v>
      </c>
      <c r="E57" s="44" t="s">
        <v>300</v>
      </c>
      <c r="F57" s="44" t="s">
        <v>301</v>
      </c>
      <c r="G57" s="44" t="s">
        <v>40</v>
      </c>
      <c r="H57" s="44" t="s">
        <v>302</v>
      </c>
      <c r="I57" s="56">
        <v>1900</v>
      </c>
      <c r="J57" s="56">
        <v>1710</v>
      </c>
      <c r="K57" s="60">
        <v>2248.54609088715</v>
      </c>
      <c r="L57" s="60">
        <v>1514.40781264997</v>
      </c>
      <c r="M57" s="60">
        <v>1109.27374872319</v>
      </c>
      <c r="N57" s="64">
        <v>1875</v>
      </c>
      <c r="O57" s="64">
        <v>1700</v>
      </c>
      <c r="P57" s="64">
        <v>1470</v>
      </c>
      <c r="Q57" s="44" t="s">
        <v>54</v>
      </c>
      <c r="R57" s="70" t="s">
        <v>67</v>
      </c>
      <c r="S57" s="44" t="s">
        <v>303</v>
      </c>
      <c r="T57" s="45" t="s">
        <v>343</v>
      </c>
      <c r="U57" s="45">
        <v>331201006</v>
      </c>
      <c r="V57" s="45" t="s">
        <v>344</v>
      </c>
      <c r="W57" s="43" t="s">
        <v>43</v>
      </c>
      <c r="X57" s="71" t="s">
        <v>43</v>
      </c>
      <c r="Y57" s="71" t="s">
        <v>40</v>
      </c>
      <c r="Z57" s="48" t="s">
        <v>345</v>
      </c>
      <c r="AA57" s="75">
        <v>3080</v>
      </c>
      <c r="AB57" s="75">
        <v>2770</v>
      </c>
      <c r="AC57" s="80">
        <v>2530</v>
      </c>
      <c r="AD57" s="80">
        <v>2280</v>
      </c>
      <c r="AE57" s="80">
        <v>1940</v>
      </c>
      <c r="AF57" s="79">
        <f t="shared" si="0"/>
        <v>0</v>
      </c>
      <c r="AG57" s="79" t="str">
        <f t="shared" si="1"/>
        <v>泌尿系镜下治疗费（特殊）</v>
      </c>
      <c r="AH57" s="79">
        <f t="shared" si="14"/>
        <v>1875</v>
      </c>
      <c r="AI57" s="79">
        <f t="shared" si="15"/>
        <v>1700</v>
      </c>
      <c r="AJ57" s="79">
        <f t="shared" si="16"/>
        <v>1470</v>
      </c>
    </row>
    <row r="58" s="31" customFormat="1" ht="15" customHeight="1" spans="1:36">
      <c r="A58" s="44">
        <v>33</v>
      </c>
      <c r="B58" s="44" t="s">
        <v>298</v>
      </c>
      <c r="C58" s="44" t="s">
        <v>299</v>
      </c>
      <c r="D58" s="44" t="s">
        <v>127</v>
      </c>
      <c r="E58" s="44" t="s">
        <v>300</v>
      </c>
      <c r="F58" s="44" t="s">
        <v>301</v>
      </c>
      <c r="G58" s="44" t="s">
        <v>40</v>
      </c>
      <c r="H58" s="44" t="s">
        <v>302</v>
      </c>
      <c r="I58" s="56">
        <v>1900</v>
      </c>
      <c r="J58" s="56">
        <v>1710</v>
      </c>
      <c r="K58" s="60">
        <v>2248.54609088715</v>
      </c>
      <c r="L58" s="60">
        <v>1514.40781264997</v>
      </c>
      <c r="M58" s="60">
        <v>1109.27374872319</v>
      </c>
      <c r="N58" s="64">
        <v>1875</v>
      </c>
      <c r="O58" s="64">
        <v>1700</v>
      </c>
      <c r="P58" s="64">
        <v>1470</v>
      </c>
      <c r="Q58" s="44" t="s">
        <v>54</v>
      </c>
      <c r="R58" s="70" t="s">
        <v>67</v>
      </c>
      <c r="S58" s="44" t="s">
        <v>303</v>
      </c>
      <c r="T58" s="45" t="s">
        <v>346</v>
      </c>
      <c r="U58" s="45">
        <v>33120100601</v>
      </c>
      <c r="V58" s="45" t="s">
        <v>347</v>
      </c>
      <c r="W58" s="43" t="s">
        <v>43</v>
      </c>
      <c r="X58" s="71" t="s">
        <v>43</v>
      </c>
      <c r="Y58" s="71" t="s">
        <v>40</v>
      </c>
      <c r="Z58" s="48" t="s">
        <v>325</v>
      </c>
      <c r="AA58" s="75">
        <v>4040</v>
      </c>
      <c r="AB58" s="75">
        <v>3630</v>
      </c>
      <c r="AC58" s="80">
        <v>3635</v>
      </c>
      <c r="AD58" s="80">
        <v>3270</v>
      </c>
      <c r="AE58" s="80">
        <v>2780</v>
      </c>
      <c r="AF58" s="79">
        <f t="shared" si="0"/>
        <v>0</v>
      </c>
      <c r="AG58" s="79" t="str">
        <f t="shared" si="1"/>
        <v>泌尿系镜下治疗费（特殊）</v>
      </c>
      <c r="AH58" s="79">
        <f t="shared" si="14"/>
        <v>1875</v>
      </c>
      <c r="AI58" s="79">
        <f t="shared" si="15"/>
        <v>1700</v>
      </c>
      <c r="AJ58" s="79">
        <f t="shared" si="16"/>
        <v>1470</v>
      </c>
    </row>
    <row r="59" s="31" customFormat="1" ht="15" customHeight="1" spans="1:36">
      <c r="A59" s="44">
        <v>33</v>
      </c>
      <c r="B59" s="44" t="s">
        <v>298</v>
      </c>
      <c r="C59" s="44" t="s">
        <v>299</v>
      </c>
      <c r="D59" s="44" t="s">
        <v>127</v>
      </c>
      <c r="E59" s="44" t="s">
        <v>300</v>
      </c>
      <c r="F59" s="44" t="s">
        <v>301</v>
      </c>
      <c r="G59" s="44" t="s">
        <v>40</v>
      </c>
      <c r="H59" s="44" t="s">
        <v>302</v>
      </c>
      <c r="I59" s="56">
        <v>1900</v>
      </c>
      <c r="J59" s="56">
        <v>1710</v>
      </c>
      <c r="K59" s="60">
        <v>2248.54609088715</v>
      </c>
      <c r="L59" s="60">
        <v>1514.40781264997</v>
      </c>
      <c r="M59" s="60">
        <v>1109.27374872319</v>
      </c>
      <c r="N59" s="64">
        <v>1875</v>
      </c>
      <c r="O59" s="64">
        <v>1700</v>
      </c>
      <c r="P59" s="64">
        <v>1470</v>
      </c>
      <c r="Q59" s="44" t="s">
        <v>54</v>
      </c>
      <c r="R59" s="70" t="s">
        <v>67</v>
      </c>
      <c r="S59" s="44" t="s">
        <v>303</v>
      </c>
      <c r="T59" s="45" t="s">
        <v>348</v>
      </c>
      <c r="U59" s="45">
        <v>33120100602</v>
      </c>
      <c r="V59" s="45" t="s">
        <v>349</v>
      </c>
      <c r="W59" s="43" t="s">
        <v>43</v>
      </c>
      <c r="X59" s="71" t="s">
        <v>43</v>
      </c>
      <c r="Y59" s="71" t="s">
        <v>40</v>
      </c>
      <c r="Z59" s="48" t="s">
        <v>350</v>
      </c>
      <c r="AA59" s="75">
        <v>4360</v>
      </c>
      <c r="AB59" s="75">
        <v>3920</v>
      </c>
      <c r="AC59" s="80">
        <v>3310</v>
      </c>
      <c r="AD59" s="80">
        <v>2980</v>
      </c>
      <c r="AE59" s="80">
        <v>2530</v>
      </c>
      <c r="AF59" s="79">
        <f t="shared" si="0"/>
        <v>0</v>
      </c>
      <c r="AG59" s="79" t="str">
        <f t="shared" si="1"/>
        <v>泌尿系镜下治疗费（特殊）</v>
      </c>
      <c r="AH59" s="79">
        <f t="shared" si="14"/>
        <v>1875</v>
      </c>
      <c r="AI59" s="79">
        <f t="shared" si="15"/>
        <v>1700</v>
      </c>
      <c r="AJ59" s="79">
        <f t="shared" si="16"/>
        <v>1470</v>
      </c>
    </row>
    <row r="60" s="31" customFormat="1" ht="15" customHeight="1" spans="1:36">
      <c r="A60" s="44">
        <v>33</v>
      </c>
      <c r="B60" s="44" t="s">
        <v>298</v>
      </c>
      <c r="C60" s="44" t="s">
        <v>299</v>
      </c>
      <c r="D60" s="44" t="s">
        <v>127</v>
      </c>
      <c r="E60" s="44" t="s">
        <v>300</v>
      </c>
      <c r="F60" s="44" t="s">
        <v>301</v>
      </c>
      <c r="G60" s="44" t="s">
        <v>40</v>
      </c>
      <c r="H60" s="44" t="s">
        <v>302</v>
      </c>
      <c r="I60" s="56">
        <v>1900</v>
      </c>
      <c r="J60" s="56">
        <v>1710</v>
      </c>
      <c r="K60" s="60">
        <v>2248.54609088715</v>
      </c>
      <c r="L60" s="60">
        <v>1514.40781264997</v>
      </c>
      <c r="M60" s="60">
        <v>1109.27374872319</v>
      </c>
      <c r="N60" s="64">
        <v>1875</v>
      </c>
      <c r="O60" s="64">
        <v>1700</v>
      </c>
      <c r="P60" s="64">
        <v>1470</v>
      </c>
      <c r="Q60" s="44" t="s">
        <v>54</v>
      </c>
      <c r="R60" s="70" t="s">
        <v>67</v>
      </c>
      <c r="S60" s="44" t="s">
        <v>303</v>
      </c>
      <c r="T60" s="45" t="s">
        <v>351</v>
      </c>
      <c r="U60" s="45">
        <v>33120100603</v>
      </c>
      <c r="V60" s="45" t="s">
        <v>352</v>
      </c>
      <c r="W60" s="43" t="s">
        <v>43</v>
      </c>
      <c r="X60" s="71" t="s">
        <v>43</v>
      </c>
      <c r="Y60" s="71" t="s">
        <v>40</v>
      </c>
      <c r="Z60" s="48" t="s">
        <v>43</v>
      </c>
      <c r="AA60" s="75">
        <v>4000</v>
      </c>
      <c r="AB60" s="75">
        <v>3600</v>
      </c>
      <c r="AC60" s="80">
        <v>3290</v>
      </c>
      <c r="AD60" s="80">
        <v>2965</v>
      </c>
      <c r="AE60" s="80">
        <v>2520</v>
      </c>
      <c r="AF60" s="79">
        <f t="shared" si="0"/>
        <v>0</v>
      </c>
      <c r="AG60" s="79" t="str">
        <f t="shared" si="1"/>
        <v>泌尿系镜下治疗费（特殊）</v>
      </c>
      <c r="AH60" s="79">
        <f t="shared" si="14"/>
        <v>1875</v>
      </c>
      <c r="AI60" s="79">
        <f t="shared" si="15"/>
        <v>1700</v>
      </c>
      <c r="AJ60" s="79">
        <f t="shared" si="16"/>
        <v>1470</v>
      </c>
    </row>
    <row r="61" s="31" customFormat="1" ht="15" customHeight="1" spans="1:36">
      <c r="A61" s="44">
        <v>33</v>
      </c>
      <c r="B61" s="44" t="s">
        <v>298</v>
      </c>
      <c r="C61" s="44" t="s">
        <v>299</v>
      </c>
      <c r="D61" s="44" t="s">
        <v>127</v>
      </c>
      <c r="E61" s="44" t="s">
        <v>300</v>
      </c>
      <c r="F61" s="44" t="s">
        <v>301</v>
      </c>
      <c r="G61" s="44" t="s">
        <v>40</v>
      </c>
      <c r="H61" s="44" t="s">
        <v>302</v>
      </c>
      <c r="I61" s="56">
        <v>1900</v>
      </c>
      <c r="J61" s="56">
        <v>1710</v>
      </c>
      <c r="K61" s="60">
        <v>2248.54609088715</v>
      </c>
      <c r="L61" s="60">
        <v>1514.40781264997</v>
      </c>
      <c r="M61" s="60">
        <v>1109.27374872319</v>
      </c>
      <c r="N61" s="64">
        <v>1875</v>
      </c>
      <c r="O61" s="64">
        <v>1700</v>
      </c>
      <c r="P61" s="64">
        <v>1470</v>
      </c>
      <c r="Q61" s="44" t="s">
        <v>54</v>
      </c>
      <c r="R61" s="70" t="s">
        <v>67</v>
      </c>
      <c r="S61" s="44" t="s">
        <v>303</v>
      </c>
      <c r="T61" s="45" t="s">
        <v>353</v>
      </c>
      <c r="U61" s="45">
        <v>33120100604</v>
      </c>
      <c r="V61" s="45" t="s">
        <v>354</v>
      </c>
      <c r="W61" s="43" t="s">
        <v>43</v>
      </c>
      <c r="X61" s="71" t="s">
        <v>43</v>
      </c>
      <c r="Y61" s="71" t="s">
        <v>40</v>
      </c>
      <c r="Z61" s="48" t="s">
        <v>325</v>
      </c>
      <c r="AA61" s="75">
        <v>5250</v>
      </c>
      <c r="AB61" s="75">
        <v>4720</v>
      </c>
      <c r="AC61" s="80">
        <v>4725</v>
      </c>
      <c r="AD61" s="80">
        <v>4250</v>
      </c>
      <c r="AE61" s="80">
        <v>3615</v>
      </c>
      <c r="AF61" s="79">
        <f t="shared" si="0"/>
        <v>0</v>
      </c>
      <c r="AG61" s="79" t="str">
        <f t="shared" si="1"/>
        <v>泌尿系镜下治疗费（特殊）</v>
      </c>
      <c r="AH61" s="79">
        <f t="shared" si="14"/>
        <v>1875</v>
      </c>
      <c r="AI61" s="79">
        <f t="shared" si="15"/>
        <v>1700</v>
      </c>
      <c r="AJ61" s="79">
        <f t="shared" si="16"/>
        <v>1470</v>
      </c>
    </row>
    <row r="62" s="31" customFormat="1" ht="15" customHeight="1" spans="1:36">
      <c r="A62" s="44">
        <v>33</v>
      </c>
      <c r="B62" s="44" t="s">
        <v>298</v>
      </c>
      <c r="C62" s="44" t="s">
        <v>299</v>
      </c>
      <c r="D62" s="44" t="s">
        <v>127</v>
      </c>
      <c r="E62" s="44" t="s">
        <v>300</v>
      </c>
      <c r="F62" s="44" t="s">
        <v>301</v>
      </c>
      <c r="G62" s="44" t="s">
        <v>40</v>
      </c>
      <c r="H62" s="44" t="s">
        <v>302</v>
      </c>
      <c r="I62" s="56">
        <v>1900</v>
      </c>
      <c r="J62" s="56">
        <v>1710</v>
      </c>
      <c r="K62" s="60">
        <v>2248.54609088715</v>
      </c>
      <c r="L62" s="60">
        <v>1514.40781264997</v>
      </c>
      <c r="M62" s="60">
        <v>1109.27374872319</v>
      </c>
      <c r="N62" s="64">
        <v>1875</v>
      </c>
      <c r="O62" s="64">
        <v>1700</v>
      </c>
      <c r="P62" s="64">
        <v>1470</v>
      </c>
      <c r="Q62" s="44" t="s">
        <v>54</v>
      </c>
      <c r="R62" s="70" t="s">
        <v>67</v>
      </c>
      <c r="S62" s="44" t="s">
        <v>303</v>
      </c>
      <c r="T62" s="45" t="s">
        <v>355</v>
      </c>
      <c r="U62" s="45">
        <v>33120100605</v>
      </c>
      <c r="V62" s="45" t="s">
        <v>356</v>
      </c>
      <c r="W62" s="43" t="s">
        <v>43</v>
      </c>
      <c r="X62" s="71" t="s">
        <v>43</v>
      </c>
      <c r="Y62" s="71" t="s">
        <v>40</v>
      </c>
      <c r="Z62" s="48" t="s">
        <v>350</v>
      </c>
      <c r="AA62" s="75">
        <v>5670</v>
      </c>
      <c r="AB62" s="75">
        <v>5090</v>
      </c>
      <c r="AC62" s="80">
        <v>4305</v>
      </c>
      <c r="AD62" s="80">
        <v>3875</v>
      </c>
      <c r="AE62" s="80">
        <v>3295</v>
      </c>
      <c r="AF62" s="79">
        <f t="shared" si="0"/>
        <v>0</v>
      </c>
      <c r="AG62" s="79" t="str">
        <f t="shared" si="1"/>
        <v>泌尿系镜下治疗费（特殊）</v>
      </c>
      <c r="AH62" s="79">
        <f t="shared" si="14"/>
        <v>1875</v>
      </c>
      <c r="AI62" s="79">
        <f t="shared" si="15"/>
        <v>1700</v>
      </c>
      <c r="AJ62" s="79">
        <f t="shared" si="16"/>
        <v>1470</v>
      </c>
    </row>
    <row r="63" s="31" customFormat="1" ht="15" customHeight="1" spans="1:36">
      <c r="A63" s="44">
        <v>33</v>
      </c>
      <c r="B63" s="44" t="s">
        <v>298</v>
      </c>
      <c r="C63" s="44" t="s">
        <v>299</v>
      </c>
      <c r="D63" s="44" t="s">
        <v>127</v>
      </c>
      <c r="E63" s="44" t="s">
        <v>300</v>
      </c>
      <c r="F63" s="44" t="s">
        <v>301</v>
      </c>
      <c r="G63" s="44" t="s">
        <v>40</v>
      </c>
      <c r="H63" s="44" t="s">
        <v>302</v>
      </c>
      <c r="I63" s="56">
        <v>1900</v>
      </c>
      <c r="J63" s="56">
        <v>1710</v>
      </c>
      <c r="K63" s="60">
        <v>2248.54609088715</v>
      </c>
      <c r="L63" s="60">
        <v>1514.40781264997</v>
      </c>
      <c r="M63" s="60">
        <v>1109.27374872319</v>
      </c>
      <c r="N63" s="64">
        <v>1875</v>
      </c>
      <c r="O63" s="64">
        <v>1700</v>
      </c>
      <c r="P63" s="64">
        <v>1470</v>
      </c>
      <c r="Q63" s="44" t="s">
        <v>54</v>
      </c>
      <c r="R63" s="70" t="s">
        <v>67</v>
      </c>
      <c r="S63" s="44" t="s">
        <v>303</v>
      </c>
      <c r="T63" s="45" t="s">
        <v>357</v>
      </c>
      <c r="U63" s="45">
        <v>33120100606</v>
      </c>
      <c r="V63" s="63" t="s">
        <v>358</v>
      </c>
      <c r="W63" s="43" t="s">
        <v>43</v>
      </c>
      <c r="X63" s="71" t="s">
        <v>43</v>
      </c>
      <c r="Y63" s="71" t="s">
        <v>40</v>
      </c>
      <c r="Z63" s="48" t="s">
        <v>43</v>
      </c>
      <c r="AA63" s="75">
        <v>3130</v>
      </c>
      <c r="AB63" s="75">
        <v>2815</v>
      </c>
      <c r="AC63" s="80">
        <v>2780</v>
      </c>
      <c r="AD63" s="80">
        <v>2505</v>
      </c>
      <c r="AE63" s="80">
        <v>2130</v>
      </c>
      <c r="AF63" s="79">
        <f t="shared" si="0"/>
        <v>0</v>
      </c>
      <c r="AG63" s="79" t="str">
        <f t="shared" si="1"/>
        <v>泌尿系镜下治疗费（特殊）</v>
      </c>
      <c r="AH63" s="79">
        <f t="shared" si="14"/>
        <v>1875</v>
      </c>
      <c r="AI63" s="79">
        <f t="shared" si="15"/>
        <v>1700</v>
      </c>
      <c r="AJ63" s="79">
        <f t="shared" si="16"/>
        <v>1470</v>
      </c>
    </row>
    <row r="64" s="31" customFormat="1" ht="15" customHeight="1" spans="1:36">
      <c r="A64" s="44">
        <v>33</v>
      </c>
      <c r="B64" s="44" t="s">
        <v>298</v>
      </c>
      <c r="C64" s="44" t="s">
        <v>299</v>
      </c>
      <c r="D64" s="44" t="s">
        <v>127</v>
      </c>
      <c r="E64" s="44" t="s">
        <v>300</v>
      </c>
      <c r="F64" s="44" t="s">
        <v>301</v>
      </c>
      <c r="G64" s="44" t="s">
        <v>40</v>
      </c>
      <c r="H64" s="44" t="s">
        <v>302</v>
      </c>
      <c r="I64" s="56">
        <v>1900</v>
      </c>
      <c r="J64" s="56">
        <v>1710</v>
      </c>
      <c r="K64" s="60">
        <v>2248.54609088715</v>
      </c>
      <c r="L64" s="60">
        <v>1514.40781264997</v>
      </c>
      <c r="M64" s="60">
        <v>1109.27374872319</v>
      </c>
      <c r="N64" s="64">
        <v>1875</v>
      </c>
      <c r="O64" s="64">
        <v>1700</v>
      </c>
      <c r="P64" s="64">
        <v>1470</v>
      </c>
      <c r="Q64" s="44" t="s">
        <v>54</v>
      </c>
      <c r="R64" s="70" t="s">
        <v>67</v>
      </c>
      <c r="S64" s="44" t="s">
        <v>303</v>
      </c>
      <c r="T64" s="45" t="s">
        <v>359</v>
      </c>
      <c r="U64" s="45">
        <v>33120100607</v>
      </c>
      <c r="V64" s="63" t="s">
        <v>360</v>
      </c>
      <c r="W64" s="43" t="s">
        <v>43</v>
      </c>
      <c r="X64" s="71" t="s">
        <v>43</v>
      </c>
      <c r="Y64" s="71" t="s">
        <v>40</v>
      </c>
      <c r="Z64" s="48" t="s">
        <v>325</v>
      </c>
      <c r="AA64" s="75">
        <v>4090</v>
      </c>
      <c r="AB64" s="75">
        <v>3675</v>
      </c>
      <c r="AC64" s="80">
        <v>3270</v>
      </c>
      <c r="AD64" s="80">
        <v>2945</v>
      </c>
      <c r="AE64" s="80">
        <v>2500</v>
      </c>
      <c r="AF64" s="79">
        <f t="shared" si="0"/>
        <v>0</v>
      </c>
      <c r="AG64" s="79" t="str">
        <f t="shared" si="1"/>
        <v>泌尿系镜下治疗费（特殊）</v>
      </c>
      <c r="AH64" s="79">
        <f t="shared" si="14"/>
        <v>1875</v>
      </c>
      <c r="AI64" s="79">
        <f t="shared" si="15"/>
        <v>1700</v>
      </c>
      <c r="AJ64" s="79">
        <f t="shared" si="16"/>
        <v>1470</v>
      </c>
    </row>
    <row r="65" s="31" customFormat="1" ht="15" customHeight="1" spans="1:36">
      <c r="A65" s="44">
        <v>33</v>
      </c>
      <c r="B65" s="44" t="s">
        <v>298</v>
      </c>
      <c r="C65" s="44" t="s">
        <v>299</v>
      </c>
      <c r="D65" s="44" t="s">
        <v>127</v>
      </c>
      <c r="E65" s="44" t="s">
        <v>300</v>
      </c>
      <c r="F65" s="44" t="s">
        <v>301</v>
      </c>
      <c r="G65" s="44" t="s">
        <v>40</v>
      </c>
      <c r="H65" s="44" t="s">
        <v>302</v>
      </c>
      <c r="I65" s="56">
        <v>1900</v>
      </c>
      <c r="J65" s="56">
        <v>1710</v>
      </c>
      <c r="K65" s="60">
        <v>2248.54609088715</v>
      </c>
      <c r="L65" s="60">
        <v>1514.40781264997</v>
      </c>
      <c r="M65" s="60">
        <v>1109.27374872319</v>
      </c>
      <c r="N65" s="64">
        <v>1875</v>
      </c>
      <c r="O65" s="64">
        <v>1700</v>
      </c>
      <c r="P65" s="64">
        <v>1470</v>
      </c>
      <c r="Q65" s="44" t="s">
        <v>54</v>
      </c>
      <c r="R65" s="70" t="s">
        <v>67</v>
      </c>
      <c r="S65" s="44" t="s">
        <v>303</v>
      </c>
      <c r="T65" s="45" t="s">
        <v>361</v>
      </c>
      <c r="U65" s="45">
        <v>33120100608</v>
      </c>
      <c r="V65" s="63" t="s">
        <v>362</v>
      </c>
      <c r="W65" s="43" t="s">
        <v>43</v>
      </c>
      <c r="X65" s="71" t="s">
        <v>43</v>
      </c>
      <c r="Y65" s="71" t="s">
        <v>40</v>
      </c>
      <c r="Z65" s="48" t="s">
        <v>350</v>
      </c>
      <c r="AA65" s="75">
        <v>4410</v>
      </c>
      <c r="AB65" s="75">
        <v>3965</v>
      </c>
      <c r="AC65" s="80">
        <v>3560</v>
      </c>
      <c r="AD65" s="80">
        <v>3205</v>
      </c>
      <c r="AE65" s="80">
        <v>2720</v>
      </c>
      <c r="AF65" s="79">
        <f t="shared" si="0"/>
        <v>0</v>
      </c>
      <c r="AG65" s="79" t="str">
        <f t="shared" si="1"/>
        <v>泌尿系镜下治疗费（特殊）</v>
      </c>
      <c r="AH65" s="79">
        <f t="shared" si="14"/>
        <v>1875</v>
      </c>
      <c r="AI65" s="79">
        <f t="shared" si="15"/>
        <v>1700</v>
      </c>
      <c r="AJ65" s="79">
        <f t="shared" si="16"/>
        <v>1470</v>
      </c>
    </row>
    <row r="66" s="31" customFormat="1" ht="15" customHeight="1" spans="1:36">
      <c r="A66" s="44">
        <v>33</v>
      </c>
      <c r="B66" s="44" t="s">
        <v>298</v>
      </c>
      <c r="C66" s="44" t="s">
        <v>299</v>
      </c>
      <c r="D66" s="44" t="s">
        <v>127</v>
      </c>
      <c r="E66" s="44" t="s">
        <v>300</v>
      </c>
      <c r="F66" s="44" t="s">
        <v>301</v>
      </c>
      <c r="G66" s="44" t="s">
        <v>40</v>
      </c>
      <c r="H66" s="44" t="s">
        <v>302</v>
      </c>
      <c r="I66" s="56">
        <v>1900</v>
      </c>
      <c r="J66" s="56">
        <v>1710</v>
      </c>
      <c r="K66" s="60">
        <v>2248.54609088715</v>
      </c>
      <c r="L66" s="60">
        <v>1514.40781264997</v>
      </c>
      <c r="M66" s="60">
        <v>1109.27374872319</v>
      </c>
      <c r="N66" s="64">
        <v>1875</v>
      </c>
      <c r="O66" s="64">
        <v>1700</v>
      </c>
      <c r="P66" s="64">
        <v>1470</v>
      </c>
      <c r="Q66" s="44" t="s">
        <v>54</v>
      </c>
      <c r="R66" s="70" t="s">
        <v>67</v>
      </c>
      <c r="S66" s="44" t="s">
        <v>303</v>
      </c>
      <c r="T66" s="45" t="s">
        <v>363</v>
      </c>
      <c r="U66" s="45">
        <v>33120100609</v>
      </c>
      <c r="V66" s="45" t="s">
        <v>364</v>
      </c>
      <c r="W66" s="43" t="s">
        <v>43</v>
      </c>
      <c r="X66" s="71" t="s">
        <v>43</v>
      </c>
      <c r="Y66" s="71" t="s">
        <v>40</v>
      </c>
      <c r="Z66" s="48" t="s">
        <v>43</v>
      </c>
      <c r="AA66" s="75">
        <v>3995</v>
      </c>
      <c r="AB66" s="75">
        <v>3590</v>
      </c>
      <c r="AC66" s="80">
        <v>3540</v>
      </c>
      <c r="AD66" s="80">
        <v>3190</v>
      </c>
      <c r="AE66" s="80">
        <v>2710</v>
      </c>
      <c r="AF66" s="79">
        <f t="shared" si="0"/>
        <v>0</v>
      </c>
      <c r="AG66" s="79" t="str">
        <f t="shared" si="1"/>
        <v>泌尿系镜下治疗费（特殊）</v>
      </c>
      <c r="AH66" s="79">
        <f t="shared" si="14"/>
        <v>1875</v>
      </c>
      <c r="AI66" s="79">
        <f t="shared" si="15"/>
        <v>1700</v>
      </c>
      <c r="AJ66" s="79">
        <f t="shared" si="16"/>
        <v>1470</v>
      </c>
    </row>
    <row r="67" s="31" customFormat="1" ht="15" customHeight="1" spans="1:36">
      <c r="A67" s="44">
        <v>33</v>
      </c>
      <c r="B67" s="44" t="s">
        <v>298</v>
      </c>
      <c r="C67" s="44" t="s">
        <v>299</v>
      </c>
      <c r="D67" s="44" t="s">
        <v>127</v>
      </c>
      <c r="E67" s="44" t="s">
        <v>300</v>
      </c>
      <c r="F67" s="44" t="s">
        <v>301</v>
      </c>
      <c r="G67" s="44" t="s">
        <v>40</v>
      </c>
      <c r="H67" s="44" t="s">
        <v>302</v>
      </c>
      <c r="I67" s="56">
        <v>1900</v>
      </c>
      <c r="J67" s="56">
        <v>1710</v>
      </c>
      <c r="K67" s="60">
        <v>2248.54609088715</v>
      </c>
      <c r="L67" s="60">
        <v>1514.40781264997</v>
      </c>
      <c r="M67" s="60">
        <v>1109.27374872319</v>
      </c>
      <c r="N67" s="64">
        <v>1875</v>
      </c>
      <c r="O67" s="64">
        <v>1700</v>
      </c>
      <c r="P67" s="64">
        <v>1470</v>
      </c>
      <c r="Q67" s="44" t="s">
        <v>54</v>
      </c>
      <c r="R67" s="70" t="s">
        <v>67</v>
      </c>
      <c r="S67" s="44" t="s">
        <v>303</v>
      </c>
      <c r="T67" s="45" t="s">
        <v>365</v>
      </c>
      <c r="U67" s="45">
        <v>33120100610</v>
      </c>
      <c r="V67" s="45" t="s">
        <v>366</v>
      </c>
      <c r="W67" s="43" t="s">
        <v>43</v>
      </c>
      <c r="X67" s="71" t="s">
        <v>43</v>
      </c>
      <c r="Y67" s="71" t="s">
        <v>40</v>
      </c>
      <c r="Z67" s="48" t="s">
        <v>325</v>
      </c>
      <c r="AA67" s="75">
        <v>5240</v>
      </c>
      <c r="AB67" s="75">
        <v>4710</v>
      </c>
      <c r="AC67" s="80">
        <v>4175</v>
      </c>
      <c r="AD67" s="80">
        <v>3760</v>
      </c>
      <c r="AE67" s="80">
        <v>3195</v>
      </c>
      <c r="AF67" s="79">
        <f t="shared" si="0"/>
        <v>0</v>
      </c>
      <c r="AG67" s="79" t="str">
        <f t="shared" si="1"/>
        <v>泌尿系镜下治疗费（特殊）</v>
      </c>
      <c r="AH67" s="79">
        <f t="shared" si="14"/>
        <v>1875</v>
      </c>
      <c r="AI67" s="79">
        <f t="shared" si="15"/>
        <v>1700</v>
      </c>
      <c r="AJ67" s="79">
        <f t="shared" si="16"/>
        <v>1470</v>
      </c>
    </row>
    <row r="68" s="31" customFormat="1" ht="15" customHeight="1" spans="1:36">
      <c r="A68" s="44">
        <v>33</v>
      </c>
      <c r="B68" s="44" t="s">
        <v>298</v>
      </c>
      <c r="C68" s="44" t="s">
        <v>299</v>
      </c>
      <c r="D68" s="44" t="s">
        <v>127</v>
      </c>
      <c r="E68" s="44" t="s">
        <v>300</v>
      </c>
      <c r="F68" s="44" t="s">
        <v>301</v>
      </c>
      <c r="G68" s="44" t="s">
        <v>40</v>
      </c>
      <c r="H68" s="44" t="s">
        <v>302</v>
      </c>
      <c r="I68" s="56">
        <v>1900</v>
      </c>
      <c r="J68" s="56">
        <v>1710</v>
      </c>
      <c r="K68" s="60">
        <v>2248.54609088715</v>
      </c>
      <c r="L68" s="60">
        <v>1514.40781264997</v>
      </c>
      <c r="M68" s="60">
        <v>1109.27374872319</v>
      </c>
      <c r="N68" s="64">
        <v>1875</v>
      </c>
      <c r="O68" s="64">
        <v>1700</v>
      </c>
      <c r="P68" s="64">
        <v>1470</v>
      </c>
      <c r="Q68" s="44" t="s">
        <v>54</v>
      </c>
      <c r="R68" s="70" t="s">
        <v>67</v>
      </c>
      <c r="S68" s="44" t="s">
        <v>303</v>
      </c>
      <c r="T68" s="45" t="s">
        <v>367</v>
      </c>
      <c r="U68" s="45">
        <v>33120100611</v>
      </c>
      <c r="V68" s="45" t="s">
        <v>368</v>
      </c>
      <c r="W68" s="43" t="s">
        <v>43</v>
      </c>
      <c r="X68" s="71" t="s">
        <v>43</v>
      </c>
      <c r="Y68" s="71" t="s">
        <v>40</v>
      </c>
      <c r="Z68" s="48" t="s">
        <v>350</v>
      </c>
      <c r="AA68" s="75">
        <v>5660</v>
      </c>
      <c r="AB68" s="75">
        <v>5085</v>
      </c>
      <c r="AC68" s="80">
        <v>4555</v>
      </c>
      <c r="AD68" s="80">
        <v>4100</v>
      </c>
      <c r="AE68" s="80">
        <v>3485</v>
      </c>
      <c r="AF68" s="79">
        <f t="shared" si="0"/>
        <v>0</v>
      </c>
      <c r="AG68" s="79" t="str">
        <f t="shared" si="1"/>
        <v>泌尿系镜下治疗费（特殊）</v>
      </c>
      <c r="AH68" s="79">
        <f t="shared" si="14"/>
        <v>1875</v>
      </c>
      <c r="AI68" s="79">
        <f t="shared" si="15"/>
        <v>1700</v>
      </c>
      <c r="AJ68" s="79">
        <f t="shared" si="16"/>
        <v>1470</v>
      </c>
    </row>
    <row r="69" s="31" customFormat="1" ht="15" customHeight="1" spans="1:36">
      <c r="A69" s="44">
        <v>33</v>
      </c>
      <c r="B69" s="44" t="s">
        <v>298</v>
      </c>
      <c r="C69" s="44" t="s">
        <v>299</v>
      </c>
      <c r="D69" s="44" t="s">
        <v>127</v>
      </c>
      <c r="E69" s="44" t="s">
        <v>300</v>
      </c>
      <c r="F69" s="44" t="s">
        <v>301</v>
      </c>
      <c r="G69" s="44" t="s">
        <v>40</v>
      </c>
      <c r="H69" s="44" t="s">
        <v>302</v>
      </c>
      <c r="I69" s="56">
        <v>1900</v>
      </c>
      <c r="J69" s="56">
        <v>1710</v>
      </c>
      <c r="K69" s="60">
        <v>2248.54609088715</v>
      </c>
      <c r="L69" s="60">
        <v>1514.40781264997</v>
      </c>
      <c r="M69" s="60">
        <v>1109.27374872319</v>
      </c>
      <c r="N69" s="64">
        <v>1875</v>
      </c>
      <c r="O69" s="64">
        <v>1700</v>
      </c>
      <c r="P69" s="64">
        <v>1470</v>
      </c>
      <c r="Q69" s="44" t="s">
        <v>54</v>
      </c>
      <c r="R69" s="70" t="s">
        <v>67</v>
      </c>
      <c r="S69" s="44" t="s">
        <v>303</v>
      </c>
      <c r="T69" s="45" t="s">
        <v>369</v>
      </c>
      <c r="U69" s="45">
        <v>331201010</v>
      </c>
      <c r="V69" s="45" t="s">
        <v>370</v>
      </c>
      <c r="W69" s="43" t="s">
        <v>371</v>
      </c>
      <c r="X69" s="71" t="s">
        <v>43</v>
      </c>
      <c r="Y69" s="71" t="s">
        <v>40</v>
      </c>
      <c r="Z69" s="48" t="s">
        <v>43</v>
      </c>
      <c r="AA69" s="75">
        <v>4500</v>
      </c>
      <c r="AB69" s="75">
        <v>4050</v>
      </c>
      <c r="AC69" s="80">
        <v>4500</v>
      </c>
      <c r="AD69" s="80">
        <v>4500</v>
      </c>
      <c r="AE69" s="80">
        <v>3825</v>
      </c>
      <c r="AF69" s="79">
        <f t="shared" si="0"/>
        <v>0</v>
      </c>
      <c r="AG69" s="79" t="str">
        <f t="shared" si="1"/>
        <v>泌尿系镜下治疗费（特殊）</v>
      </c>
      <c r="AH69" s="79">
        <f t="shared" si="14"/>
        <v>1875</v>
      </c>
      <c r="AI69" s="79">
        <f t="shared" si="15"/>
        <v>1700</v>
      </c>
      <c r="AJ69" s="79">
        <f t="shared" si="16"/>
        <v>1470</v>
      </c>
    </row>
    <row r="70" s="31" customFormat="1" ht="15" customHeight="1" spans="1:36">
      <c r="A70" s="44">
        <v>33</v>
      </c>
      <c r="B70" s="44" t="s">
        <v>298</v>
      </c>
      <c r="C70" s="44" t="s">
        <v>299</v>
      </c>
      <c r="D70" s="44" t="s">
        <v>127</v>
      </c>
      <c r="E70" s="44" t="s">
        <v>300</v>
      </c>
      <c r="F70" s="44" t="s">
        <v>301</v>
      </c>
      <c r="G70" s="44" t="s">
        <v>40</v>
      </c>
      <c r="H70" s="44" t="s">
        <v>302</v>
      </c>
      <c r="I70" s="56">
        <v>1900</v>
      </c>
      <c r="J70" s="56">
        <v>1710</v>
      </c>
      <c r="K70" s="60">
        <v>2248.54609088715</v>
      </c>
      <c r="L70" s="60">
        <v>1514.40781264997</v>
      </c>
      <c r="M70" s="60">
        <v>1109.27374872319</v>
      </c>
      <c r="N70" s="64">
        <v>1875</v>
      </c>
      <c r="O70" s="64">
        <v>1700</v>
      </c>
      <c r="P70" s="64">
        <v>1470</v>
      </c>
      <c r="Q70" s="44" t="s">
        <v>54</v>
      </c>
      <c r="R70" s="70" t="s">
        <v>67</v>
      </c>
      <c r="S70" s="44" t="s">
        <v>303</v>
      </c>
      <c r="T70" s="45" t="s">
        <v>372</v>
      </c>
      <c r="U70" s="45">
        <v>331203015</v>
      </c>
      <c r="V70" s="63" t="s">
        <v>373</v>
      </c>
      <c r="W70" s="43" t="s">
        <v>374</v>
      </c>
      <c r="X70" s="71" t="s">
        <v>43</v>
      </c>
      <c r="Y70" s="71" t="s">
        <v>88</v>
      </c>
      <c r="Z70" s="48" t="s">
        <v>313</v>
      </c>
      <c r="AA70" s="75">
        <v>2300</v>
      </c>
      <c r="AB70" s="74" t="s">
        <v>43</v>
      </c>
      <c r="AC70" s="80">
        <v>2070</v>
      </c>
      <c r="AD70" s="80">
        <v>1863</v>
      </c>
      <c r="AE70" s="80">
        <v>1583.6</v>
      </c>
      <c r="AF70" s="79">
        <f t="shared" ref="AF70:AF133" si="17">IFERROR(FIND("（加收）",C70,1),0)</f>
        <v>0</v>
      </c>
      <c r="AG70" s="79" t="str">
        <f t="shared" ref="AG70:AG133" si="18">IF(AF70&gt;0,LEFT(C70,IFERROR(FIND("-",C70,1),1)-1),C70)</f>
        <v>泌尿系镜下治疗费（特殊）</v>
      </c>
      <c r="AH70" s="79">
        <f t="shared" si="14"/>
        <v>1875</v>
      </c>
      <c r="AI70" s="79">
        <f t="shared" si="15"/>
        <v>1700</v>
      </c>
      <c r="AJ70" s="79">
        <f t="shared" si="16"/>
        <v>1470</v>
      </c>
    </row>
    <row r="71" s="31" customFormat="1" ht="15" customHeight="1" spans="1:36">
      <c r="A71" s="44">
        <v>33</v>
      </c>
      <c r="B71" s="44" t="s">
        <v>298</v>
      </c>
      <c r="C71" s="44" t="s">
        <v>299</v>
      </c>
      <c r="D71" s="44" t="s">
        <v>127</v>
      </c>
      <c r="E71" s="44" t="s">
        <v>300</v>
      </c>
      <c r="F71" s="44" t="s">
        <v>301</v>
      </c>
      <c r="G71" s="44" t="s">
        <v>40</v>
      </c>
      <c r="H71" s="44" t="s">
        <v>302</v>
      </c>
      <c r="I71" s="56">
        <v>1900</v>
      </c>
      <c r="J71" s="56">
        <v>1710</v>
      </c>
      <c r="K71" s="60">
        <v>2248.54609088715</v>
      </c>
      <c r="L71" s="60">
        <v>1514.40781264997</v>
      </c>
      <c r="M71" s="60">
        <v>1109.27374872319</v>
      </c>
      <c r="N71" s="64">
        <v>1875</v>
      </c>
      <c r="O71" s="64">
        <v>1700</v>
      </c>
      <c r="P71" s="64">
        <v>1470</v>
      </c>
      <c r="Q71" s="44" t="s">
        <v>54</v>
      </c>
      <c r="R71" s="70" t="s">
        <v>67</v>
      </c>
      <c r="S71" s="44" t="s">
        <v>303</v>
      </c>
      <c r="T71" s="45" t="s">
        <v>376</v>
      </c>
      <c r="U71" s="45">
        <v>331203016</v>
      </c>
      <c r="V71" s="63" t="s">
        <v>377</v>
      </c>
      <c r="W71" s="43" t="s">
        <v>378</v>
      </c>
      <c r="X71" s="71" t="s">
        <v>43</v>
      </c>
      <c r="Y71" s="71" t="s">
        <v>88</v>
      </c>
      <c r="Z71" s="48" t="s">
        <v>310</v>
      </c>
      <c r="AA71" s="75">
        <v>1600</v>
      </c>
      <c r="AB71" s="74" t="s">
        <v>43</v>
      </c>
      <c r="AC71" s="80">
        <v>1440</v>
      </c>
      <c r="AD71" s="80">
        <v>1296</v>
      </c>
      <c r="AE71" s="80">
        <v>1101.6</v>
      </c>
      <c r="AF71" s="79">
        <f t="shared" si="17"/>
        <v>0</v>
      </c>
      <c r="AG71" s="79" t="str">
        <f t="shared" si="18"/>
        <v>泌尿系镜下治疗费（特殊）</v>
      </c>
      <c r="AH71" s="79">
        <f t="shared" si="14"/>
        <v>1875</v>
      </c>
      <c r="AI71" s="79">
        <f t="shared" si="15"/>
        <v>1700</v>
      </c>
      <c r="AJ71" s="79">
        <f t="shared" si="16"/>
        <v>1470</v>
      </c>
    </row>
    <row r="72" s="31" customFormat="1" ht="15" customHeight="1" spans="1:36">
      <c r="A72" s="44">
        <v>33</v>
      </c>
      <c r="B72" s="44" t="s">
        <v>298</v>
      </c>
      <c r="C72" s="44" t="s">
        <v>299</v>
      </c>
      <c r="D72" s="44" t="s">
        <v>127</v>
      </c>
      <c r="E72" s="44" t="s">
        <v>300</v>
      </c>
      <c r="F72" s="44" t="s">
        <v>301</v>
      </c>
      <c r="G72" s="44" t="s">
        <v>40</v>
      </c>
      <c r="H72" s="44" t="s">
        <v>302</v>
      </c>
      <c r="I72" s="56">
        <v>1900</v>
      </c>
      <c r="J72" s="56">
        <v>1710</v>
      </c>
      <c r="K72" s="60">
        <v>2248.54609088715</v>
      </c>
      <c r="L72" s="60">
        <v>1514.40781264997</v>
      </c>
      <c r="M72" s="60">
        <v>1109.27374872319</v>
      </c>
      <c r="N72" s="64">
        <v>1875</v>
      </c>
      <c r="O72" s="64">
        <v>1700</v>
      </c>
      <c r="P72" s="64">
        <v>1470</v>
      </c>
      <c r="Q72" s="44" t="s">
        <v>54</v>
      </c>
      <c r="R72" s="70" t="s">
        <v>67</v>
      </c>
      <c r="S72" s="44" t="s">
        <v>303</v>
      </c>
      <c r="T72" s="45" t="s">
        <v>379</v>
      </c>
      <c r="U72" s="45">
        <v>331203017</v>
      </c>
      <c r="V72" s="63" t="s">
        <v>380</v>
      </c>
      <c r="W72" s="43" t="s">
        <v>381</v>
      </c>
      <c r="X72" s="71" t="s">
        <v>43</v>
      </c>
      <c r="Y72" s="71" t="s">
        <v>88</v>
      </c>
      <c r="Z72" s="48" t="s">
        <v>382</v>
      </c>
      <c r="AA72" s="75">
        <v>1400</v>
      </c>
      <c r="AB72" s="74" t="s">
        <v>43</v>
      </c>
      <c r="AC72" s="80">
        <v>1260</v>
      </c>
      <c r="AD72" s="80">
        <v>1134</v>
      </c>
      <c r="AE72" s="80">
        <v>963.9</v>
      </c>
      <c r="AF72" s="79">
        <f t="shared" si="17"/>
        <v>0</v>
      </c>
      <c r="AG72" s="79" t="str">
        <f t="shared" si="18"/>
        <v>泌尿系镜下治疗费（特殊）</v>
      </c>
      <c r="AH72" s="79">
        <f t="shared" si="14"/>
        <v>1875</v>
      </c>
      <c r="AI72" s="79">
        <f t="shared" si="15"/>
        <v>1700</v>
      </c>
      <c r="AJ72" s="79">
        <f t="shared" si="16"/>
        <v>1470</v>
      </c>
    </row>
    <row r="73" s="31" customFormat="1" ht="15" customHeight="1" spans="1:36">
      <c r="A73" s="44">
        <v>33</v>
      </c>
      <c r="B73" s="44" t="s">
        <v>298</v>
      </c>
      <c r="C73" s="44" t="s">
        <v>299</v>
      </c>
      <c r="D73" s="44" t="s">
        <v>127</v>
      </c>
      <c r="E73" s="44" t="s">
        <v>300</v>
      </c>
      <c r="F73" s="44" t="s">
        <v>301</v>
      </c>
      <c r="G73" s="44" t="s">
        <v>40</v>
      </c>
      <c r="H73" s="44" t="s">
        <v>302</v>
      </c>
      <c r="I73" s="56">
        <v>1900</v>
      </c>
      <c r="J73" s="56">
        <v>1710</v>
      </c>
      <c r="K73" s="60">
        <v>2248.54609088715</v>
      </c>
      <c r="L73" s="60">
        <v>1514.40781264997</v>
      </c>
      <c r="M73" s="60">
        <v>1109.27374872319</v>
      </c>
      <c r="N73" s="64">
        <v>1875</v>
      </c>
      <c r="O73" s="64">
        <v>1700</v>
      </c>
      <c r="P73" s="64">
        <v>1470</v>
      </c>
      <c r="Q73" s="44" t="s">
        <v>54</v>
      </c>
      <c r="R73" s="70" t="s">
        <v>67</v>
      </c>
      <c r="S73" s="44" t="s">
        <v>303</v>
      </c>
      <c r="T73" s="45" t="s">
        <v>383</v>
      </c>
      <c r="U73" s="45">
        <v>331204020</v>
      </c>
      <c r="V73" s="63" t="s">
        <v>384</v>
      </c>
      <c r="W73" s="43" t="s">
        <v>385</v>
      </c>
      <c r="X73" s="71" t="s">
        <v>43</v>
      </c>
      <c r="Y73" s="71" t="s">
        <v>88</v>
      </c>
      <c r="Z73" s="48" t="s">
        <v>43</v>
      </c>
      <c r="AA73" s="75">
        <v>2300</v>
      </c>
      <c r="AB73" s="74" t="s">
        <v>43</v>
      </c>
      <c r="AC73" s="80">
        <v>2070</v>
      </c>
      <c r="AD73" s="80">
        <v>1863</v>
      </c>
      <c r="AE73" s="80">
        <v>1583.6</v>
      </c>
      <c r="AF73" s="79">
        <f t="shared" si="17"/>
        <v>0</v>
      </c>
      <c r="AG73" s="79" t="str">
        <f t="shared" si="18"/>
        <v>泌尿系镜下治疗费（特殊）</v>
      </c>
      <c r="AH73" s="79">
        <f t="shared" si="14"/>
        <v>1875</v>
      </c>
      <c r="AI73" s="79">
        <f t="shared" si="15"/>
        <v>1700</v>
      </c>
      <c r="AJ73" s="79">
        <f t="shared" si="16"/>
        <v>1470</v>
      </c>
    </row>
    <row r="74" s="31" customFormat="1" ht="15" customHeight="1" spans="1:36">
      <c r="A74" s="44">
        <v>33</v>
      </c>
      <c r="B74" s="44" t="s">
        <v>298</v>
      </c>
      <c r="C74" s="44" t="s">
        <v>299</v>
      </c>
      <c r="D74" s="44" t="s">
        <v>127</v>
      </c>
      <c r="E74" s="44" t="s">
        <v>300</v>
      </c>
      <c r="F74" s="44" t="s">
        <v>301</v>
      </c>
      <c r="G74" s="44" t="s">
        <v>40</v>
      </c>
      <c r="H74" s="44" t="s">
        <v>302</v>
      </c>
      <c r="I74" s="56">
        <v>1900</v>
      </c>
      <c r="J74" s="56">
        <v>1710</v>
      </c>
      <c r="K74" s="60">
        <v>2248.54609088715</v>
      </c>
      <c r="L74" s="60">
        <v>1514.40781264997</v>
      </c>
      <c r="M74" s="60">
        <v>1109.27374872319</v>
      </c>
      <c r="N74" s="64">
        <v>1875</v>
      </c>
      <c r="O74" s="64">
        <v>1700</v>
      </c>
      <c r="P74" s="64">
        <v>1470</v>
      </c>
      <c r="Q74" s="44" t="s">
        <v>54</v>
      </c>
      <c r="R74" s="70" t="s">
        <v>67</v>
      </c>
      <c r="S74" s="44" t="s">
        <v>303</v>
      </c>
      <c r="T74" s="45" t="s">
        <v>386</v>
      </c>
      <c r="U74" s="45">
        <v>33120402001</v>
      </c>
      <c r="V74" s="63" t="s">
        <v>387</v>
      </c>
      <c r="W74" s="43" t="s">
        <v>43</v>
      </c>
      <c r="X74" s="71" t="s">
        <v>43</v>
      </c>
      <c r="Y74" s="71" t="s">
        <v>88</v>
      </c>
      <c r="Z74" s="48" t="s">
        <v>43</v>
      </c>
      <c r="AA74" s="75">
        <v>2990</v>
      </c>
      <c r="AB74" s="74" t="s">
        <v>43</v>
      </c>
      <c r="AC74" s="80">
        <v>2690</v>
      </c>
      <c r="AD74" s="80">
        <v>2420</v>
      </c>
      <c r="AE74" s="80">
        <v>2055</v>
      </c>
      <c r="AF74" s="79">
        <f t="shared" si="17"/>
        <v>0</v>
      </c>
      <c r="AG74" s="79" t="str">
        <f t="shared" si="18"/>
        <v>泌尿系镜下治疗费（特殊）</v>
      </c>
      <c r="AH74" s="79">
        <f t="shared" si="14"/>
        <v>1875</v>
      </c>
      <c r="AI74" s="79">
        <f t="shared" si="15"/>
        <v>1700</v>
      </c>
      <c r="AJ74" s="79">
        <f t="shared" si="16"/>
        <v>1470</v>
      </c>
    </row>
    <row r="75" s="31" customFormat="1" ht="15" customHeight="1" spans="1:36">
      <c r="A75" s="44">
        <v>33</v>
      </c>
      <c r="B75" s="44" t="s">
        <v>298</v>
      </c>
      <c r="C75" s="44" t="s">
        <v>299</v>
      </c>
      <c r="D75" s="44" t="s">
        <v>127</v>
      </c>
      <c r="E75" s="44" t="s">
        <v>300</v>
      </c>
      <c r="F75" s="44" t="s">
        <v>301</v>
      </c>
      <c r="G75" s="44" t="s">
        <v>40</v>
      </c>
      <c r="H75" s="44" t="s">
        <v>302</v>
      </c>
      <c r="I75" s="56">
        <v>1900</v>
      </c>
      <c r="J75" s="56">
        <v>1710</v>
      </c>
      <c r="K75" s="60">
        <v>2248.54609088715</v>
      </c>
      <c r="L75" s="60">
        <v>1514.40781264997</v>
      </c>
      <c r="M75" s="60">
        <v>1109.27374872319</v>
      </c>
      <c r="N75" s="64">
        <v>1875</v>
      </c>
      <c r="O75" s="64">
        <v>1700</v>
      </c>
      <c r="P75" s="64">
        <v>1470</v>
      </c>
      <c r="Q75" s="44" t="s">
        <v>54</v>
      </c>
      <c r="R75" s="70" t="s">
        <v>67</v>
      </c>
      <c r="S75" s="44" t="s">
        <v>303</v>
      </c>
      <c r="T75" s="45" t="s">
        <v>388</v>
      </c>
      <c r="U75" s="45" t="s">
        <v>389</v>
      </c>
      <c r="V75" s="63" t="s">
        <v>390</v>
      </c>
      <c r="W75" s="43" t="s">
        <v>391</v>
      </c>
      <c r="X75" s="71" t="s">
        <v>392</v>
      </c>
      <c r="Y75" s="71" t="s">
        <v>40</v>
      </c>
      <c r="Z75" s="48" t="s">
        <v>393</v>
      </c>
      <c r="AA75" s="74"/>
      <c r="AB75" s="74"/>
      <c r="AC75" s="78" t="s">
        <v>394</v>
      </c>
      <c r="AD75" s="78" t="s">
        <v>394</v>
      </c>
      <c r="AE75" s="78" t="s">
        <v>394</v>
      </c>
      <c r="AF75" s="79">
        <f t="shared" si="17"/>
        <v>0</v>
      </c>
      <c r="AG75" s="79" t="str">
        <f t="shared" si="18"/>
        <v>泌尿系镜下治疗费（特殊）</v>
      </c>
      <c r="AH75" s="79">
        <f t="shared" si="14"/>
        <v>1875</v>
      </c>
      <c r="AI75" s="79">
        <f t="shared" si="15"/>
        <v>1700</v>
      </c>
      <c r="AJ75" s="79">
        <f t="shared" si="16"/>
        <v>1470</v>
      </c>
    </row>
    <row r="76" s="31" customFormat="1" ht="15" customHeight="1" spans="1:36">
      <c r="A76" s="44">
        <v>33</v>
      </c>
      <c r="B76" s="44" t="s">
        <v>298</v>
      </c>
      <c r="C76" s="44" t="s">
        <v>299</v>
      </c>
      <c r="D76" s="44" t="s">
        <v>127</v>
      </c>
      <c r="E76" s="44" t="s">
        <v>300</v>
      </c>
      <c r="F76" s="44" t="s">
        <v>301</v>
      </c>
      <c r="G76" s="44" t="s">
        <v>40</v>
      </c>
      <c r="H76" s="44" t="s">
        <v>302</v>
      </c>
      <c r="I76" s="56">
        <v>1900</v>
      </c>
      <c r="J76" s="56">
        <v>1710</v>
      </c>
      <c r="K76" s="60">
        <v>2248.54609088715</v>
      </c>
      <c r="L76" s="60">
        <v>1514.40781264997</v>
      </c>
      <c r="M76" s="60">
        <v>1109.27374872319</v>
      </c>
      <c r="N76" s="64">
        <v>1875</v>
      </c>
      <c r="O76" s="64">
        <v>1700</v>
      </c>
      <c r="P76" s="64">
        <v>1470</v>
      </c>
      <c r="Q76" s="44" t="s">
        <v>54</v>
      </c>
      <c r="R76" s="70" t="s">
        <v>67</v>
      </c>
      <c r="S76" s="44" t="s">
        <v>303</v>
      </c>
      <c r="T76" s="45" t="s">
        <v>396</v>
      </c>
      <c r="U76" s="45" t="s">
        <v>397</v>
      </c>
      <c r="V76" s="45" t="s">
        <v>398</v>
      </c>
      <c r="W76" s="43" t="s">
        <v>43</v>
      </c>
      <c r="X76" s="71" t="s">
        <v>43</v>
      </c>
      <c r="Y76" s="71" t="s">
        <v>40</v>
      </c>
      <c r="Z76" s="48" t="s">
        <v>393</v>
      </c>
      <c r="AA76" s="74"/>
      <c r="AB76" s="74"/>
      <c r="AC76" s="78" t="s">
        <v>394</v>
      </c>
      <c r="AD76" s="78" t="s">
        <v>394</v>
      </c>
      <c r="AE76" s="78" t="s">
        <v>394</v>
      </c>
      <c r="AF76" s="79">
        <f t="shared" si="17"/>
        <v>0</v>
      </c>
      <c r="AG76" s="79" t="str">
        <f t="shared" si="18"/>
        <v>泌尿系镜下治疗费（特殊）</v>
      </c>
      <c r="AH76" s="79">
        <f t="shared" si="14"/>
        <v>1875</v>
      </c>
      <c r="AI76" s="79">
        <f t="shared" si="15"/>
        <v>1700</v>
      </c>
      <c r="AJ76" s="79">
        <f t="shared" si="16"/>
        <v>1470</v>
      </c>
    </row>
    <row r="77" s="30" customFormat="1" ht="61" customHeight="1" spans="1:36">
      <c r="A77" s="45">
        <v>34</v>
      </c>
      <c r="B77" s="45" t="s">
        <v>399</v>
      </c>
      <c r="C77" s="45" t="s">
        <v>400</v>
      </c>
      <c r="D77" s="45" t="s">
        <v>213</v>
      </c>
      <c r="E77" s="49" t="s">
        <v>401</v>
      </c>
      <c r="F77" s="49" t="s">
        <v>402</v>
      </c>
      <c r="G77" s="45" t="s">
        <v>40</v>
      </c>
      <c r="H77" s="49" t="s">
        <v>43</v>
      </c>
      <c r="I77" s="53">
        <v>1220</v>
      </c>
      <c r="J77" s="53">
        <v>1100</v>
      </c>
      <c r="K77" s="55">
        <v>1125</v>
      </c>
      <c r="L77" s="55">
        <v>1080</v>
      </c>
      <c r="M77" s="55">
        <v>918</v>
      </c>
      <c r="N77" s="63">
        <v>1125</v>
      </c>
      <c r="O77" s="63">
        <v>1080</v>
      </c>
      <c r="P77" s="63">
        <v>918</v>
      </c>
      <c r="Q77" s="45" t="s">
        <v>54</v>
      </c>
      <c r="R77" s="69" t="s">
        <v>55</v>
      </c>
      <c r="S77" s="49" t="s">
        <v>55</v>
      </c>
      <c r="T77" s="43" t="s">
        <v>403</v>
      </c>
      <c r="U77" s="71">
        <v>331104005</v>
      </c>
      <c r="V77" s="43" t="s">
        <v>404</v>
      </c>
      <c r="W77" s="43" t="s">
        <v>405</v>
      </c>
      <c r="X77" s="71" t="s">
        <v>43</v>
      </c>
      <c r="Y77" s="71" t="s">
        <v>40</v>
      </c>
      <c r="Z77" s="48" t="s">
        <v>43</v>
      </c>
      <c r="AA77" s="75">
        <v>1220</v>
      </c>
      <c r="AB77" s="75">
        <v>1090</v>
      </c>
      <c r="AC77" s="80">
        <v>1125</v>
      </c>
      <c r="AD77" s="80">
        <v>1080</v>
      </c>
      <c r="AE77" s="80">
        <v>918</v>
      </c>
      <c r="AF77" s="79">
        <f t="shared" si="17"/>
        <v>0</v>
      </c>
      <c r="AG77" s="79" t="str">
        <f t="shared" si="18"/>
        <v>泌尿系异物取出费</v>
      </c>
      <c r="AH77" s="79">
        <f t="shared" si="14"/>
        <v>1125</v>
      </c>
      <c r="AI77" s="79">
        <f t="shared" si="15"/>
        <v>1080</v>
      </c>
      <c r="AJ77" s="79">
        <f t="shared" si="16"/>
        <v>918</v>
      </c>
    </row>
    <row r="78" s="30" customFormat="1" ht="18" customHeight="1" spans="1:36">
      <c r="A78" s="44">
        <v>35</v>
      </c>
      <c r="B78" s="44" t="s">
        <v>412</v>
      </c>
      <c r="C78" s="44" t="s">
        <v>413</v>
      </c>
      <c r="D78" s="44" t="s">
        <v>213</v>
      </c>
      <c r="E78" s="44" t="s">
        <v>414</v>
      </c>
      <c r="F78" s="44" t="s">
        <v>415</v>
      </c>
      <c r="G78" s="44" t="s">
        <v>40</v>
      </c>
      <c r="H78" s="49"/>
      <c r="I78" s="56">
        <v>1350</v>
      </c>
      <c r="J78" s="56">
        <v>1215</v>
      </c>
      <c r="K78" s="57">
        <v>1000</v>
      </c>
      <c r="L78" s="59">
        <v>986.666666666667</v>
      </c>
      <c r="M78" s="57">
        <v>918</v>
      </c>
      <c r="N78" s="64">
        <v>1250</v>
      </c>
      <c r="O78" s="64">
        <v>1200</v>
      </c>
      <c r="P78" s="64">
        <v>1020</v>
      </c>
      <c r="Q78" s="44" t="s">
        <v>54</v>
      </c>
      <c r="R78" s="70" t="s">
        <v>416</v>
      </c>
      <c r="S78" s="44" t="s">
        <v>417</v>
      </c>
      <c r="T78" s="43" t="s">
        <v>418</v>
      </c>
      <c r="U78" s="71">
        <v>331103001</v>
      </c>
      <c r="V78" s="43" t="s">
        <v>419</v>
      </c>
      <c r="W78" s="43" t="s">
        <v>43</v>
      </c>
      <c r="X78" s="71" t="s">
        <v>43</v>
      </c>
      <c r="Y78" s="71" t="s">
        <v>40</v>
      </c>
      <c r="Z78" s="48" t="s">
        <v>43</v>
      </c>
      <c r="AA78" s="75">
        <v>1000</v>
      </c>
      <c r="AB78" s="75">
        <v>900</v>
      </c>
      <c r="AC78" s="80">
        <v>1000</v>
      </c>
      <c r="AD78" s="80">
        <v>960</v>
      </c>
      <c r="AE78" s="80">
        <v>816</v>
      </c>
      <c r="AF78" s="79">
        <f t="shared" si="17"/>
        <v>0</v>
      </c>
      <c r="AG78" s="79" t="str">
        <f t="shared" si="18"/>
        <v>泌尿系取石费</v>
      </c>
      <c r="AH78" s="79">
        <f t="shared" ref="AH78:AH88" si="19">IF(AF78&gt;0,_xlfn.MAXIFS(N:N,C:C,AG78),0)+N78</f>
        <v>1250</v>
      </c>
      <c r="AI78" s="79">
        <f t="shared" ref="AI78:AI88" si="20">IF(AF78&gt;0,_xlfn.MAXIFS(O:O,C:C,AG78),0)+O78</f>
        <v>1200</v>
      </c>
      <c r="AJ78" s="79">
        <f t="shared" ref="AJ78:AJ88" si="21">IF(AF78&gt;0,_xlfn.MAXIFS(P:P,C:C,AG78),0)+P78</f>
        <v>1020</v>
      </c>
    </row>
    <row r="79" s="30" customFormat="1" ht="18" customHeight="1" spans="1:36">
      <c r="A79" s="44">
        <v>35</v>
      </c>
      <c r="B79" s="44" t="s">
        <v>412</v>
      </c>
      <c r="C79" s="44" t="s">
        <v>413</v>
      </c>
      <c r="D79" s="44" t="s">
        <v>213</v>
      </c>
      <c r="E79" s="44" t="s">
        <v>414</v>
      </c>
      <c r="F79" s="44" t="s">
        <v>415</v>
      </c>
      <c r="G79" s="44" t="s">
        <v>40</v>
      </c>
      <c r="H79" s="49"/>
      <c r="I79" s="56">
        <v>1350</v>
      </c>
      <c r="J79" s="56">
        <v>1215</v>
      </c>
      <c r="K79" s="57">
        <v>1000</v>
      </c>
      <c r="L79" s="59">
        <v>986.666666666667</v>
      </c>
      <c r="M79" s="57">
        <v>918</v>
      </c>
      <c r="N79" s="64">
        <v>1250</v>
      </c>
      <c r="O79" s="64">
        <v>1200</v>
      </c>
      <c r="P79" s="64">
        <v>1020</v>
      </c>
      <c r="Q79" s="44" t="s">
        <v>54</v>
      </c>
      <c r="R79" s="70" t="s">
        <v>416</v>
      </c>
      <c r="S79" s="44" t="s">
        <v>417</v>
      </c>
      <c r="T79" s="43" t="s">
        <v>420</v>
      </c>
      <c r="U79" s="43">
        <v>33110300102</v>
      </c>
      <c r="V79" s="43" t="s">
        <v>421</v>
      </c>
      <c r="W79" s="43" t="s">
        <v>43</v>
      </c>
      <c r="X79" s="71" t="s">
        <v>43</v>
      </c>
      <c r="Y79" s="71" t="s">
        <v>40</v>
      </c>
      <c r="Z79" s="48" t="s">
        <v>43</v>
      </c>
      <c r="AA79" s="75">
        <v>1800</v>
      </c>
      <c r="AB79" s="75">
        <v>1620</v>
      </c>
      <c r="AC79" s="80">
        <v>1625</v>
      </c>
      <c r="AD79" s="80">
        <v>1560</v>
      </c>
      <c r="AE79" s="80">
        <v>1326</v>
      </c>
      <c r="AF79" s="79">
        <f t="shared" si="17"/>
        <v>0</v>
      </c>
      <c r="AG79" s="79" t="str">
        <f t="shared" si="18"/>
        <v>泌尿系取石费</v>
      </c>
      <c r="AH79" s="79">
        <f t="shared" si="19"/>
        <v>1250</v>
      </c>
      <c r="AI79" s="79">
        <f t="shared" si="20"/>
        <v>1200</v>
      </c>
      <c r="AJ79" s="79">
        <f t="shared" si="21"/>
        <v>1020</v>
      </c>
    </row>
    <row r="80" s="30" customFormat="1" ht="18" customHeight="1" spans="1:36">
      <c r="A80" s="44">
        <v>35</v>
      </c>
      <c r="B80" s="44" t="s">
        <v>412</v>
      </c>
      <c r="C80" s="44" t="s">
        <v>413</v>
      </c>
      <c r="D80" s="44" t="s">
        <v>213</v>
      </c>
      <c r="E80" s="44" t="s">
        <v>414</v>
      </c>
      <c r="F80" s="44" t="s">
        <v>415</v>
      </c>
      <c r="G80" s="44" t="s">
        <v>40</v>
      </c>
      <c r="H80" s="49"/>
      <c r="I80" s="56">
        <v>1350</v>
      </c>
      <c r="J80" s="56">
        <v>1215</v>
      </c>
      <c r="K80" s="57">
        <v>1000</v>
      </c>
      <c r="L80" s="59">
        <v>986.666666666667</v>
      </c>
      <c r="M80" s="57">
        <v>918</v>
      </c>
      <c r="N80" s="64">
        <v>1250</v>
      </c>
      <c r="O80" s="64">
        <v>1200</v>
      </c>
      <c r="P80" s="64">
        <v>1020</v>
      </c>
      <c r="Q80" s="44" t="s">
        <v>54</v>
      </c>
      <c r="R80" s="70" t="s">
        <v>416</v>
      </c>
      <c r="S80" s="44" t="s">
        <v>417</v>
      </c>
      <c r="T80" s="43" t="s">
        <v>403</v>
      </c>
      <c r="U80" s="71">
        <v>331104005</v>
      </c>
      <c r="V80" s="43" t="s">
        <v>404</v>
      </c>
      <c r="W80" s="43" t="s">
        <v>405</v>
      </c>
      <c r="X80" s="71" t="s">
        <v>43</v>
      </c>
      <c r="Y80" s="71" t="s">
        <v>40</v>
      </c>
      <c r="Z80" s="48" t="s">
        <v>43</v>
      </c>
      <c r="AA80" s="75">
        <v>1220</v>
      </c>
      <c r="AB80" s="75">
        <v>1090</v>
      </c>
      <c r="AC80" s="80">
        <v>1125</v>
      </c>
      <c r="AD80" s="80">
        <v>1080</v>
      </c>
      <c r="AE80" s="80">
        <v>918</v>
      </c>
      <c r="AF80" s="79">
        <f t="shared" si="17"/>
        <v>0</v>
      </c>
      <c r="AG80" s="79" t="str">
        <f t="shared" si="18"/>
        <v>泌尿系取石费</v>
      </c>
      <c r="AH80" s="79">
        <f t="shared" si="19"/>
        <v>1250</v>
      </c>
      <c r="AI80" s="79">
        <f t="shared" si="20"/>
        <v>1200</v>
      </c>
      <c r="AJ80" s="79">
        <f t="shared" si="21"/>
        <v>1020</v>
      </c>
    </row>
    <row r="81" s="30" customFormat="1" ht="18" customHeight="1" spans="1:36">
      <c r="A81" s="44">
        <v>35</v>
      </c>
      <c r="B81" s="44" t="s">
        <v>412</v>
      </c>
      <c r="C81" s="44" t="s">
        <v>413</v>
      </c>
      <c r="D81" s="44" t="s">
        <v>213</v>
      </c>
      <c r="E81" s="44" t="s">
        <v>414</v>
      </c>
      <c r="F81" s="44" t="s">
        <v>415</v>
      </c>
      <c r="G81" s="44" t="s">
        <v>40</v>
      </c>
      <c r="H81" s="49"/>
      <c r="I81" s="56">
        <v>1350</v>
      </c>
      <c r="J81" s="56">
        <v>1215</v>
      </c>
      <c r="K81" s="57">
        <v>1000</v>
      </c>
      <c r="L81" s="59">
        <v>986.666666666667</v>
      </c>
      <c r="M81" s="57">
        <v>918</v>
      </c>
      <c r="N81" s="64">
        <v>1250</v>
      </c>
      <c r="O81" s="64">
        <v>1200</v>
      </c>
      <c r="P81" s="64">
        <v>1020</v>
      </c>
      <c r="Q81" s="44" t="s">
        <v>54</v>
      </c>
      <c r="R81" s="70" t="s">
        <v>416</v>
      </c>
      <c r="S81" s="44" t="s">
        <v>417</v>
      </c>
      <c r="T81" s="45" t="s">
        <v>422</v>
      </c>
      <c r="U81" s="45">
        <v>33110400502</v>
      </c>
      <c r="V81" s="45" t="s">
        <v>423</v>
      </c>
      <c r="W81" s="43" t="s">
        <v>43</v>
      </c>
      <c r="X81" s="71" t="s">
        <v>43</v>
      </c>
      <c r="Y81" s="71" t="s">
        <v>40</v>
      </c>
      <c r="Z81" s="48" t="s">
        <v>43</v>
      </c>
      <c r="AA81" s="75">
        <v>1470</v>
      </c>
      <c r="AB81" s="75">
        <v>1315</v>
      </c>
      <c r="AC81" s="80">
        <v>1375</v>
      </c>
      <c r="AD81" s="80">
        <v>1305</v>
      </c>
      <c r="AE81" s="80">
        <v>1108</v>
      </c>
      <c r="AF81" s="79">
        <f t="shared" si="17"/>
        <v>0</v>
      </c>
      <c r="AG81" s="79" t="str">
        <f t="shared" si="18"/>
        <v>泌尿系取石费</v>
      </c>
      <c r="AH81" s="79">
        <f t="shared" si="19"/>
        <v>1250</v>
      </c>
      <c r="AI81" s="79">
        <f t="shared" si="20"/>
        <v>1200</v>
      </c>
      <c r="AJ81" s="79">
        <f t="shared" si="21"/>
        <v>1020</v>
      </c>
    </row>
    <row r="82" s="30" customFormat="1" ht="18" customHeight="1" spans="1:36">
      <c r="A82" s="44" t="s">
        <v>81</v>
      </c>
      <c r="B82" s="44" t="s">
        <v>424</v>
      </c>
      <c r="C82" s="44" t="s">
        <v>425</v>
      </c>
      <c r="D82" s="44" t="s">
        <v>213</v>
      </c>
      <c r="E82" s="44"/>
      <c r="F82" s="44"/>
      <c r="G82" s="44" t="s">
        <v>40</v>
      </c>
      <c r="H82" s="44" t="s">
        <v>408</v>
      </c>
      <c r="I82" s="56">
        <v>1265</v>
      </c>
      <c r="J82" s="56">
        <v>1139</v>
      </c>
      <c r="K82" s="59">
        <v>1224.39252336449</v>
      </c>
      <c r="L82" s="59">
        <v>962.926829268293</v>
      </c>
      <c r="M82" s="59">
        <v>280</v>
      </c>
      <c r="N82" s="64">
        <v>1170</v>
      </c>
      <c r="O82" s="64">
        <v>1120</v>
      </c>
      <c r="P82" s="64">
        <v>950</v>
      </c>
      <c r="Q82" s="44" t="s">
        <v>54</v>
      </c>
      <c r="R82" s="69"/>
      <c r="S82" s="44" t="s">
        <v>426</v>
      </c>
      <c r="T82" s="43" t="s">
        <v>427</v>
      </c>
      <c r="U82" s="71">
        <v>331101016</v>
      </c>
      <c r="V82" s="43" t="s">
        <v>428</v>
      </c>
      <c r="W82" s="43" t="s">
        <v>429</v>
      </c>
      <c r="X82" s="71" t="s">
        <v>43</v>
      </c>
      <c r="Y82" s="71" t="s">
        <v>40</v>
      </c>
      <c r="Z82" s="48" t="s">
        <v>43</v>
      </c>
      <c r="AA82" s="75">
        <v>2880</v>
      </c>
      <c r="AB82" s="75">
        <v>2590</v>
      </c>
      <c r="AC82" s="80">
        <v>2530</v>
      </c>
      <c r="AD82" s="80">
        <v>2280</v>
      </c>
      <c r="AE82" s="80">
        <v>1940</v>
      </c>
      <c r="AF82" s="79">
        <f t="shared" si="17"/>
        <v>11</v>
      </c>
      <c r="AG82" s="79" t="str">
        <f t="shared" si="18"/>
        <v>泌尿系取石费</v>
      </c>
      <c r="AH82" s="79">
        <f t="shared" si="19"/>
        <v>2420</v>
      </c>
      <c r="AI82" s="79">
        <f t="shared" si="20"/>
        <v>2320</v>
      </c>
      <c r="AJ82" s="79">
        <f t="shared" si="21"/>
        <v>1970</v>
      </c>
    </row>
    <row r="83" s="30" customFormat="1" ht="18" customHeight="1" spans="1:36">
      <c r="A83" s="44" t="s">
        <v>81</v>
      </c>
      <c r="B83" s="44" t="s">
        <v>424</v>
      </c>
      <c r="C83" s="44" t="s">
        <v>425</v>
      </c>
      <c r="D83" s="44" t="s">
        <v>213</v>
      </c>
      <c r="E83" s="44"/>
      <c r="F83" s="44"/>
      <c r="G83" s="44" t="s">
        <v>40</v>
      </c>
      <c r="H83" s="44" t="s">
        <v>408</v>
      </c>
      <c r="I83" s="56">
        <v>1265</v>
      </c>
      <c r="J83" s="56">
        <v>1139</v>
      </c>
      <c r="K83" s="59">
        <v>1224.39252336449</v>
      </c>
      <c r="L83" s="59">
        <v>962.926829268293</v>
      </c>
      <c r="M83" s="59">
        <v>280</v>
      </c>
      <c r="N83" s="64">
        <v>1170</v>
      </c>
      <c r="O83" s="64">
        <v>1120</v>
      </c>
      <c r="P83" s="64">
        <v>950</v>
      </c>
      <c r="Q83" s="44" t="s">
        <v>54</v>
      </c>
      <c r="R83" s="69"/>
      <c r="S83" s="44" t="s">
        <v>426</v>
      </c>
      <c r="T83" s="45" t="s">
        <v>430</v>
      </c>
      <c r="U83" s="45">
        <v>33110101601</v>
      </c>
      <c r="V83" s="45" t="s">
        <v>431</v>
      </c>
      <c r="W83" s="43" t="s">
        <v>43</v>
      </c>
      <c r="X83" s="71" t="s">
        <v>43</v>
      </c>
      <c r="Y83" s="71" t="s">
        <v>40</v>
      </c>
      <c r="Z83" s="48" t="s">
        <v>43</v>
      </c>
      <c r="AA83" s="75">
        <v>3745</v>
      </c>
      <c r="AB83" s="75">
        <v>3365</v>
      </c>
      <c r="AC83" s="80">
        <v>3290</v>
      </c>
      <c r="AD83" s="80">
        <v>2965</v>
      </c>
      <c r="AE83" s="80">
        <v>2520</v>
      </c>
      <c r="AF83" s="79">
        <f t="shared" si="17"/>
        <v>11</v>
      </c>
      <c r="AG83" s="79" t="str">
        <f t="shared" si="18"/>
        <v>泌尿系取石费</v>
      </c>
      <c r="AH83" s="79">
        <f t="shared" si="19"/>
        <v>2420</v>
      </c>
      <c r="AI83" s="79">
        <f t="shared" si="20"/>
        <v>2320</v>
      </c>
      <c r="AJ83" s="79">
        <f t="shared" si="21"/>
        <v>1970</v>
      </c>
    </row>
    <row r="84" s="30" customFormat="1" ht="18" customHeight="1" spans="1:36">
      <c r="A84" s="44" t="s">
        <v>81</v>
      </c>
      <c r="B84" s="44" t="s">
        <v>424</v>
      </c>
      <c r="C84" s="44" t="s">
        <v>425</v>
      </c>
      <c r="D84" s="44" t="s">
        <v>213</v>
      </c>
      <c r="E84" s="44"/>
      <c r="F84" s="44"/>
      <c r="G84" s="44" t="s">
        <v>40</v>
      </c>
      <c r="H84" s="44" t="s">
        <v>408</v>
      </c>
      <c r="I84" s="56">
        <v>1265</v>
      </c>
      <c r="J84" s="56">
        <v>1139</v>
      </c>
      <c r="K84" s="59">
        <v>1224.39252336449</v>
      </c>
      <c r="L84" s="59">
        <v>962.926829268293</v>
      </c>
      <c r="M84" s="59">
        <v>280</v>
      </c>
      <c r="N84" s="64">
        <v>1170</v>
      </c>
      <c r="O84" s="64">
        <v>1120</v>
      </c>
      <c r="P84" s="64">
        <v>950</v>
      </c>
      <c r="Q84" s="44" t="s">
        <v>54</v>
      </c>
      <c r="R84" s="69"/>
      <c r="S84" s="44" t="s">
        <v>426</v>
      </c>
      <c r="T84" s="45" t="s">
        <v>432</v>
      </c>
      <c r="U84" s="45">
        <v>33110101602</v>
      </c>
      <c r="V84" s="45" t="s">
        <v>433</v>
      </c>
      <c r="W84" s="43" t="s">
        <v>43</v>
      </c>
      <c r="X84" s="71" t="s">
        <v>43</v>
      </c>
      <c r="Y84" s="71" t="s">
        <v>40</v>
      </c>
      <c r="Z84" s="48" t="s">
        <v>43</v>
      </c>
      <c r="AA84" s="75">
        <v>3680</v>
      </c>
      <c r="AB84" s="75">
        <v>3310</v>
      </c>
      <c r="AC84" s="80">
        <v>3155</v>
      </c>
      <c r="AD84" s="80">
        <v>2880</v>
      </c>
      <c r="AE84" s="80">
        <v>2450</v>
      </c>
      <c r="AF84" s="79">
        <f t="shared" si="17"/>
        <v>11</v>
      </c>
      <c r="AG84" s="79" t="str">
        <f t="shared" si="18"/>
        <v>泌尿系取石费</v>
      </c>
      <c r="AH84" s="79">
        <f t="shared" si="19"/>
        <v>2420</v>
      </c>
      <c r="AI84" s="79">
        <f t="shared" si="20"/>
        <v>2320</v>
      </c>
      <c r="AJ84" s="79">
        <f t="shared" si="21"/>
        <v>1970</v>
      </c>
    </row>
    <row r="85" s="30" customFormat="1" ht="18" customHeight="1" spans="1:36">
      <c r="A85" s="44" t="s">
        <v>81</v>
      </c>
      <c r="B85" s="44" t="s">
        <v>424</v>
      </c>
      <c r="C85" s="44" t="s">
        <v>425</v>
      </c>
      <c r="D85" s="44" t="s">
        <v>213</v>
      </c>
      <c r="E85" s="44"/>
      <c r="F85" s="44"/>
      <c r="G85" s="44" t="s">
        <v>40</v>
      </c>
      <c r="H85" s="44" t="s">
        <v>408</v>
      </c>
      <c r="I85" s="56">
        <v>1265</v>
      </c>
      <c r="J85" s="56">
        <v>1139</v>
      </c>
      <c r="K85" s="59">
        <v>1224.39252336449</v>
      </c>
      <c r="L85" s="59">
        <v>962.926829268293</v>
      </c>
      <c r="M85" s="59">
        <v>280</v>
      </c>
      <c r="N85" s="64">
        <v>1170</v>
      </c>
      <c r="O85" s="64">
        <v>1120</v>
      </c>
      <c r="P85" s="64">
        <v>950</v>
      </c>
      <c r="Q85" s="44" t="s">
        <v>54</v>
      </c>
      <c r="R85" s="69"/>
      <c r="S85" s="44" t="s">
        <v>426</v>
      </c>
      <c r="T85" s="45" t="s">
        <v>434</v>
      </c>
      <c r="U85" s="45">
        <v>33110101603</v>
      </c>
      <c r="V85" s="45" t="s">
        <v>435</v>
      </c>
      <c r="W85" s="43" t="s">
        <v>43</v>
      </c>
      <c r="X85" s="71" t="s">
        <v>43</v>
      </c>
      <c r="Y85" s="71" t="s">
        <v>40</v>
      </c>
      <c r="Z85" s="48" t="s">
        <v>43</v>
      </c>
      <c r="AA85" s="75">
        <v>4545</v>
      </c>
      <c r="AB85" s="75">
        <v>4085</v>
      </c>
      <c r="AC85" s="80">
        <v>3915</v>
      </c>
      <c r="AD85" s="80">
        <v>3565</v>
      </c>
      <c r="AE85" s="80">
        <v>3030</v>
      </c>
      <c r="AF85" s="79">
        <f t="shared" si="17"/>
        <v>11</v>
      </c>
      <c r="AG85" s="79" t="str">
        <f t="shared" si="18"/>
        <v>泌尿系取石费</v>
      </c>
      <c r="AH85" s="79">
        <f t="shared" si="19"/>
        <v>2420</v>
      </c>
      <c r="AI85" s="79">
        <f t="shared" si="20"/>
        <v>2320</v>
      </c>
      <c r="AJ85" s="79">
        <f t="shared" si="21"/>
        <v>1970</v>
      </c>
    </row>
    <row r="86" s="30" customFormat="1" ht="18" customHeight="1" spans="1:36">
      <c r="A86" s="44" t="s">
        <v>81</v>
      </c>
      <c r="B86" s="44" t="s">
        <v>424</v>
      </c>
      <c r="C86" s="44" t="s">
        <v>425</v>
      </c>
      <c r="D86" s="44" t="s">
        <v>213</v>
      </c>
      <c r="E86" s="44"/>
      <c r="F86" s="44"/>
      <c r="G86" s="44" t="s">
        <v>40</v>
      </c>
      <c r="H86" s="44" t="s">
        <v>408</v>
      </c>
      <c r="I86" s="56">
        <v>1265</v>
      </c>
      <c r="J86" s="56">
        <v>1139</v>
      </c>
      <c r="K86" s="59">
        <v>1224.39252336449</v>
      </c>
      <c r="L86" s="59">
        <v>962.926829268293</v>
      </c>
      <c r="M86" s="59">
        <v>280</v>
      </c>
      <c r="N86" s="64">
        <v>1170</v>
      </c>
      <c r="O86" s="64">
        <v>1120</v>
      </c>
      <c r="P86" s="64">
        <v>950</v>
      </c>
      <c r="Q86" s="44" t="s">
        <v>54</v>
      </c>
      <c r="R86" s="69"/>
      <c r="S86" s="44" t="s">
        <v>426</v>
      </c>
      <c r="T86" s="43" t="s">
        <v>436</v>
      </c>
      <c r="U86" s="71">
        <v>331102007</v>
      </c>
      <c r="V86" s="43" t="s">
        <v>437</v>
      </c>
      <c r="W86" s="43" t="s">
        <v>43</v>
      </c>
      <c r="X86" s="71" t="s">
        <v>43</v>
      </c>
      <c r="Y86" s="71" t="s">
        <v>40</v>
      </c>
      <c r="Z86" s="48" t="s">
        <v>43</v>
      </c>
      <c r="AA86" s="75">
        <v>1920</v>
      </c>
      <c r="AB86" s="75">
        <v>1730</v>
      </c>
      <c r="AC86" s="80">
        <v>1690</v>
      </c>
      <c r="AD86" s="80">
        <v>1520</v>
      </c>
      <c r="AE86" s="80">
        <v>1290</v>
      </c>
      <c r="AF86" s="79">
        <f t="shared" si="17"/>
        <v>11</v>
      </c>
      <c r="AG86" s="79" t="str">
        <f t="shared" si="18"/>
        <v>泌尿系取石费</v>
      </c>
      <c r="AH86" s="79">
        <f t="shared" si="19"/>
        <v>2420</v>
      </c>
      <c r="AI86" s="79">
        <f t="shared" si="20"/>
        <v>2320</v>
      </c>
      <c r="AJ86" s="79">
        <f t="shared" si="21"/>
        <v>1970</v>
      </c>
    </row>
    <row r="87" s="30" customFormat="1" ht="18" customHeight="1" spans="1:36">
      <c r="A87" s="44" t="s">
        <v>81</v>
      </c>
      <c r="B87" s="44" t="s">
        <v>424</v>
      </c>
      <c r="C87" s="44" t="s">
        <v>425</v>
      </c>
      <c r="D87" s="44" t="s">
        <v>213</v>
      </c>
      <c r="E87" s="44"/>
      <c r="F87" s="44"/>
      <c r="G87" s="44" t="s">
        <v>40</v>
      </c>
      <c r="H87" s="44" t="s">
        <v>408</v>
      </c>
      <c r="I87" s="56">
        <v>1265</v>
      </c>
      <c r="J87" s="56">
        <v>1139</v>
      </c>
      <c r="K87" s="59">
        <v>1224.39252336449</v>
      </c>
      <c r="L87" s="59">
        <v>962.926829268293</v>
      </c>
      <c r="M87" s="59">
        <v>280</v>
      </c>
      <c r="N87" s="64">
        <v>1170</v>
      </c>
      <c r="O87" s="64">
        <v>1120</v>
      </c>
      <c r="P87" s="64">
        <v>950</v>
      </c>
      <c r="Q87" s="44" t="s">
        <v>54</v>
      </c>
      <c r="R87" s="69"/>
      <c r="S87" s="44" t="s">
        <v>426</v>
      </c>
      <c r="T87" s="45" t="s">
        <v>438</v>
      </c>
      <c r="U87" s="45">
        <v>33110200701</v>
      </c>
      <c r="V87" s="45" t="s">
        <v>439</v>
      </c>
      <c r="W87" s="43" t="s">
        <v>43</v>
      </c>
      <c r="X87" s="71" t="s">
        <v>43</v>
      </c>
      <c r="Y87" s="71" t="s">
        <v>40</v>
      </c>
      <c r="Z87" s="48" t="s">
        <v>43</v>
      </c>
      <c r="AA87" s="75">
        <v>2495</v>
      </c>
      <c r="AB87" s="75">
        <v>2250</v>
      </c>
      <c r="AC87" s="80">
        <v>2195</v>
      </c>
      <c r="AD87" s="80">
        <v>1975</v>
      </c>
      <c r="AE87" s="80">
        <v>1680</v>
      </c>
      <c r="AF87" s="79">
        <f t="shared" si="17"/>
        <v>11</v>
      </c>
      <c r="AG87" s="79" t="str">
        <f t="shared" si="18"/>
        <v>泌尿系取石费</v>
      </c>
      <c r="AH87" s="79">
        <f t="shared" si="19"/>
        <v>2420</v>
      </c>
      <c r="AI87" s="79">
        <f t="shared" si="20"/>
        <v>2320</v>
      </c>
      <c r="AJ87" s="79">
        <f t="shared" si="21"/>
        <v>1970</v>
      </c>
    </row>
    <row r="88" s="30" customFormat="1" ht="18" customHeight="1" spans="1:36">
      <c r="A88" s="44" t="s">
        <v>81</v>
      </c>
      <c r="B88" s="44" t="s">
        <v>424</v>
      </c>
      <c r="C88" s="44" t="s">
        <v>425</v>
      </c>
      <c r="D88" s="44" t="s">
        <v>213</v>
      </c>
      <c r="E88" s="44"/>
      <c r="F88" s="44"/>
      <c r="G88" s="44" t="s">
        <v>40</v>
      </c>
      <c r="H88" s="44" t="s">
        <v>408</v>
      </c>
      <c r="I88" s="56">
        <v>1265</v>
      </c>
      <c r="J88" s="56">
        <v>1139</v>
      </c>
      <c r="K88" s="59">
        <v>1224.39252336449</v>
      </c>
      <c r="L88" s="59">
        <v>962.926829268293</v>
      </c>
      <c r="M88" s="59">
        <v>280</v>
      </c>
      <c r="N88" s="64">
        <v>1170</v>
      </c>
      <c r="O88" s="64">
        <v>1120</v>
      </c>
      <c r="P88" s="64">
        <v>950</v>
      </c>
      <c r="Q88" s="44" t="s">
        <v>54</v>
      </c>
      <c r="R88" s="69"/>
      <c r="S88" s="44" t="s">
        <v>426</v>
      </c>
      <c r="T88" s="43" t="s">
        <v>440</v>
      </c>
      <c r="U88" s="71">
        <v>33110200702</v>
      </c>
      <c r="V88" s="43" t="s">
        <v>441</v>
      </c>
      <c r="W88" s="43" t="s">
        <v>43</v>
      </c>
      <c r="X88" s="71" t="s">
        <v>43</v>
      </c>
      <c r="Y88" s="71" t="s">
        <v>40</v>
      </c>
      <c r="Z88" s="48" t="s">
        <v>43</v>
      </c>
      <c r="AA88" s="75">
        <v>2720</v>
      </c>
      <c r="AB88" s="75">
        <v>2450</v>
      </c>
      <c r="AC88" s="80">
        <v>2315</v>
      </c>
      <c r="AD88" s="80">
        <v>2120</v>
      </c>
      <c r="AE88" s="80">
        <v>1300</v>
      </c>
      <c r="AF88" s="79">
        <f t="shared" si="17"/>
        <v>11</v>
      </c>
      <c r="AG88" s="79" t="str">
        <f t="shared" si="18"/>
        <v>泌尿系取石费</v>
      </c>
      <c r="AH88" s="79">
        <f t="shared" si="19"/>
        <v>2420</v>
      </c>
      <c r="AI88" s="79">
        <f t="shared" si="20"/>
        <v>2320</v>
      </c>
      <c r="AJ88" s="79">
        <f t="shared" si="21"/>
        <v>1970</v>
      </c>
    </row>
    <row r="89" s="30" customFormat="1" ht="18" customHeight="1" spans="1:36">
      <c r="A89" s="44" t="s">
        <v>81</v>
      </c>
      <c r="B89" s="44" t="s">
        <v>424</v>
      </c>
      <c r="C89" s="44" t="s">
        <v>425</v>
      </c>
      <c r="D89" s="44" t="s">
        <v>213</v>
      </c>
      <c r="E89" s="44"/>
      <c r="F89" s="44"/>
      <c r="G89" s="44" t="s">
        <v>40</v>
      </c>
      <c r="H89" s="44" t="s">
        <v>408</v>
      </c>
      <c r="I89" s="56">
        <v>1265</v>
      </c>
      <c r="J89" s="56">
        <v>1139</v>
      </c>
      <c r="K89" s="59">
        <v>1224.39252336449</v>
      </c>
      <c r="L89" s="59">
        <v>962.926829268293</v>
      </c>
      <c r="M89" s="59">
        <v>280</v>
      </c>
      <c r="N89" s="64">
        <v>1170</v>
      </c>
      <c r="O89" s="64">
        <v>1120</v>
      </c>
      <c r="P89" s="64">
        <v>950</v>
      </c>
      <c r="Q89" s="44" t="s">
        <v>54</v>
      </c>
      <c r="R89" s="69"/>
      <c r="S89" s="44" t="s">
        <v>426</v>
      </c>
      <c r="T89" s="45" t="s">
        <v>442</v>
      </c>
      <c r="U89" s="45">
        <v>33110200703</v>
      </c>
      <c r="V89" s="45" t="s">
        <v>443</v>
      </c>
      <c r="W89" s="43" t="s">
        <v>43</v>
      </c>
      <c r="X89" s="71" t="s">
        <v>43</v>
      </c>
      <c r="Y89" s="71" t="s">
        <v>40</v>
      </c>
      <c r="Z89" s="48" t="s">
        <v>43</v>
      </c>
      <c r="AA89" s="75">
        <v>3295</v>
      </c>
      <c r="AB89" s="75">
        <v>2970</v>
      </c>
      <c r="AC89" s="80">
        <v>2820</v>
      </c>
      <c r="AD89" s="80">
        <v>2575</v>
      </c>
      <c r="AE89" s="80">
        <v>2190</v>
      </c>
      <c r="AF89" s="79">
        <f t="shared" si="17"/>
        <v>11</v>
      </c>
      <c r="AG89" s="79" t="str">
        <f t="shared" si="18"/>
        <v>泌尿系取石费</v>
      </c>
      <c r="AH89" s="79">
        <f t="shared" ref="AH89:AH152" si="22">IF(AF89&gt;0,_xlfn.MAXIFS(N:N,C:C,AG89),0)+N89</f>
        <v>2420</v>
      </c>
      <c r="AI89" s="79">
        <f t="shared" ref="AI89:AI152" si="23">IF(AF89&gt;0,_xlfn.MAXIFS(O:O,C:C,AG89),0)+O89</f>
        <v>2320</v>
      </c>
      <c r="AJ89" s="79">
        <f t="shared" ref="AJ89:AJ152" si="24">IF(AF89&gt;0,_xlfn.MAXIFS(P:P,C:C,AG89),0)+P89</f>
        <v>1970</v>
      </c>
    </row>
    <row r="90" s="30" customFormat="1" ht="18" customHeight="1" spans="1:36">
      <c r="A90" s="44" t="s">
        <v>81</v>
      </c>
      <c r="B90" s="44" t="s">
        <v>444</v>
      </c>
      <c r="C90" s="44" t="s">
        <v>445</v>
      </c>
      <c r="D90" s="44" t="s">
        <v>213</v>
      </c>
      <c r="E90" s="44"/>
      <c r="F90" s="44"/>
      <c r="G90" s="44" t="s">
        <v>40</v>
      </c>
      <c r="H90" s="49"/>
      <c r="I90" s="56">
        <v>405</v>
      </c>
      <c r="J90" s="56">
        <v>365</v>
      </c>
      <c r="K90" s="55"/>
      <c r="L90" s="55"/>
      <c r="M90" s="55"/>
      <c r="N90" s="64">
        <v>375</v>
      </c>
      <c r="O90" s="64">
        <v>360</v>
      </c>
      <c r="P90" s="64">
        <v>305</v>
      </c>
      <c r="Q90" s="44" t="s">
        <v>54</v>
      </c>
      <c r="R90" s="69"/>
      <c r="S90" s="44" t="s">
        <v>446</v>
      </c>
      <c r="T90" s="43" t="s">
        <v>447</v>
      </c>
      <c r="U90" s="43">
        <v>33110300101</v>
      </c>
      <c r="V90" s="43" t="s">
        <v>448</v>
      </c>
      <c r="W90" s="43" t="s">
        <v>43</v>
      </c>
      <c r="X90" s="71" t="s">
        <v>43</v>
      </c>
      <c r="Y90" s="71" t="s">
        <v>40</v>
      </c>
      <c r="Z90" s="48" t="s">
        <v>43</v>
      </c>
      <c r="AA90" s="75">
        <v>1300</v>
      </c>
      <c r="AB90" s="75">
        <v>1170</v>
      </c>
      <c r="AC90" s="80">
        <v>1300</v>
      </c>
      <c r="AD90" s="80">
        <v>1250</v>
      </c>
      <c r="AE90" s="80">
        <v>1065</v>
      </c>
      <c r="AF90" s="79">
        <f t="shared" si="17"/>
        <v>10</v>
      </c>
      <c r="AG90" s="79" t="str">
        <f t="shared" si="18"/>
        <v>泌尿系取石费</v>
      </c>
      <c r="AH90" s="79">
        <f t="shared" si="22"/>
        <v>1625</v>
      </c>
      <c r="AI90" s="79">
        <f t="shared" si="23"/>
        <v>1560</v>
      </c>
      <c r="AJ90" s="79">
        <f t="shared" si="24"/>
        <v>1325</v>
      </c>
    </row>
    <row r="91" s="30" customFormat="1" ht="18" customHeight="1" spans="1:36">
      <c r="A91" s="44" t="s">
        <v>81</v>
      </c>
      <c r="B91" s="44" t="s">
        <v>444</v>
      </c>
      <c r="C91" s="44" t="s">
        <v>445</v>
      </c>
      <c r="D91" s="44" t="s">
        <v>213</v>
      </c>
      <c r="E91" s="44"/>
      <c r="F91" s="44"/>
      <c r="G91" s="44" t="s">
        <v>40</v>
      </c>
      <c r="H91" s="49"/>
      <c r="I91" s="56">
        <v>405</v>
      </c>
      <c r="J91" s="56">
        <v>365</v>
      </c>
      <c r="K91" s="55"/>
      <c r="L91" s="55"/>
      <c r="M91" s="55"/>
      <c r="N91" s="64">
        <v>375</v>
      </c>
      <c r="O91" s="64">
        <v>360</v>
      </c>
      <c r="P91" s="64">
        <v>305</v>
      </c>
      <c r="Q91" s="44" t="s">
        <v>54</v>
      </c>
      <c r="R91" s="69"/>
      <c r="S91" s="44" t="s">
        <v>446</v>
      </c>
      <c r="T91" s="43" t="s">
        <v>449</v>
      </c>
      <c r="U91" s="43">
        <v>33110300103</v>
      </c>
      <c r="V91" s="43" t="s">
        <v>450</v>
      </c>
      <c r="W91" s="43" t="s">
        <v>43</v>
      </c>
      <c r="X91" s="71" t="s">
        <v>43</v>
      </c>
      <c r="Y91" s="71" t="s">
        <v>40</v>
      </c>
      <c r="Z91" s="48" t="s">
        <v>43</v>
      </c>
      <c r="AA91" s="75">
        <v>2100</v>
      </c>
      <c r="AB91" s="75">
        <v>1890</v>
      </c>
      <c r="AC91" s="80">
        <v>1925</v>
      </c>
      <c r="AD91" s="80">
        <v>1850</v>
      </c>
      <c r="AE91" s="80">
        <v>1575</v>
      </c>
      <c r="AF91" s="79">
        <f t="shared" si="17"/>
        <v>10</v>
      </c>
      <c r="AG91" s="79" t="str">
        <f t="shared" si="18"/>
        <v>泌尿系取石费</v>
      </c>
      <c r="AH91" s="79">
        <f t="shared" si="22"/>
        <v>1625</v>
      </c>
      <c r="AI91" s="79">
        <f t="shared" si="23"/>
        <v>1560</v>
      </c>
      <c r="AJ91" s="79">
        <f t="shared" si="24"/>
        <v>1325</v>
      </c>
    </row>
    <row r="92" s="30" customFormat="1" ht="18" customHeight="1" spans="1:36">
      <c r="A92" s="44" t="s">
        <v>81</v>
      </c>
      <c r="B92" s="44" t="s">
        <v>444</v>
      </c>
      <c r="C92" s="44" t="s">
        <v>445</v>
      </c>
      <c r="D92" s="44" t="s">
        <v>213</v>
      </c>
      <c r="E92" s="44"/>
      <c r="F92" s="44"/>
      <c r="G92" s="44" t="s">
        <v>40</v>
      </c>
      <c r="H92" s="49"/>
      <c r="I92" s="56">
        <v>405</v>
      </c>
      <c r="J92" s="56">
        <v>365</v>
      </c>
      <c r="K92" s="55"/>
      <c r="L92" s="55"/>
      <c r="M92" s="55"/>
      <c r="N92" s="64">
        <v>375</v>
      </c>
      <c r="O92" s="64">
        <v>360</v>
      </c>
      <c r="P92" s="64">
        <v>305</v>
      </c>
      <c r="Q92" s="44" t="s">
        <v>54</v>
      </c>
      <c r="R92" s="69"/>
      <c r="S92" s="44" t="s">
        <v>446</v>
      </c>
      <c r="T92" s="43" t="s">
        <v>451</v>
      </c>
      <c r="U92" s="71">
        <v>33110400501</v>
      </c>
      <c r="V92" s="43" t="s">
        <v>452</v>
      </c>
      <c r="W92" s="43" t="s">
        <v>43</v>
      </c>
      <c r="X92" s="71" t="s">
        <v>43</v>
      </c>
      <c r="Y92" s="71" t="s">
        <v>40</v>
      </c>
      <c r="Z92" s="48" t="s">
        <v>43</v>
      </c>
      <c r="AA92" s="75">
        <v>1585</v>
      </c>
      <c r="AB92" s="75">
        <v>1415</v>
      </c>
      <c r="AC92" s="80">
        <v>1465</v>
      </c>
      <c r="AD92" s="80">
        <v>1405</v>
      </c>
      <c r="AE92" s="80">
        <v>1195</v>
      </c>
      <c r="AF92" s="79">
        <f t="shared" si="17"/>
        <v>10</v>
      </c>
      <c r="AG92" s="79" t="str">
        <f t="shared" si="18"/>
        <v>泌尿系取石费</v>
      </c>
      <c r="AH92" s="79">
        <f t="shared" si="22"/>
        <v>1625</v>
      </c>
      <c r="AI92" s="79">
        <f t="shared" si="23"/>
        <v>1560</v>
      </c>
      <c r="AJ92" s="79">
        <f t="shared" si="24"/>
        <v>1325</v>
      </c>
    </row>
    <row r="93" s="30" customFormat="1" ht="18" customHeight="1" spans="1:36">
      <c r="A93" s="44" t="s">
        <v>81</v>
      </c>
      <c r="B93" s="44" t="s">
        <v>444</v>
      </c>
      <c r="C93" s="44" t="s">
        <v>445</v>
      </c>
      <c r="D93" s="44" t="s">
        <v>213</v>
      </c>
      <c r="E93" s="44"/>
      <c r="F93" s="44"/>
      <c r="G93" s="44" t="s">
        <v>40</v>
      </c>
      <c r="H93" s="49"/>
      <c r="I93" s="56">
        <v>405</v>
      </c>
      <c r="J93" s="56">
        <v>365</v>
      </c>
      <c r="K93" s="55"/>
      <c r="L93" s="55"/>
      <c r="M93" s="55"/>
      <c r="N93" s="64">
        <v>375</v>
      </c>
      <c r="O93" s="64">
        <v>360</v>
      </c>
      <c r="P93" s="64">
        <v>305</v>
      </c>
      <c r="Q93" s="44" t="s">
        <v>54</v>
      </c>
      <c r="R93" s="69"/>
      <c r="S93" s="44" t="s">
        <v>446</v>
      </c>
      <c r="T93" s="45" t="s">
        <v>453</v>
      </c>
      <c r="U93" s="45">
        <v>33110400503</v>
      </c>
      <c r="V93" s="45" t="s">
        <v>454</v>
      </c>
      <c r="W93" s="43" t="s">
        <v>43</v>
      </c>
      <c r="X93" s="71" t="s">
        <v>43</v>
      </c>
      <c r="Y93" s="71" t="s">
        <v>40</v>
      </c>
      <c r="Z93" s="48" t="s">
        <v>43</v>
      </c>
      <c r="AA93" s="75">
        <v>1835</v>
      </c>
      <c r="AB93" s="75">
        <v>1640</v>
      </c>
      <c r="AC93" s="80">
        <v>1715</v>
      </c>
      <c r="AD93" s="80">
        <v>1630</v>
      </c>
      <c r="AE93" s="80">
        <v>1385</v>
      </c>
      <c r="AF93" s="79">
        <f t="shared" si="17"/>
        <v>10</v>
      </c>
      <c r="AG93" s="79" t="str">
        <f t="shared" si="18"/>
        <v>泌尿系取石费</v>
      </c>
      <c r="AH93" s="79">
        <f t="shared" si="22"/>
        <v>1625</v>
      </c>
      <c r="AI93" s="79">
        <f t="shared" si="23"/>
        <v>1560</v>
      </c>
      <c r="AJ93" s="79">
        <f t="shared" si="24"/>
        <v>1325</v>
      </c>
    </row>
    <row r="94" s="30" customFormat="1" ht="18" customHeight="1" spans="1:36">
      <c r="A94" s="44">
        <v>36</v>
      </c>
      <c r="B94" s="44" t="s">
        <v>455</v>
      </c>
      <c r="C94" s="44" t="s">
        <v>456</v>
      </c>
      <c r="D94" s="44" t="s">
        <v>213</v>
      </c>
      <c r="E94" s="44" t="s">
        <v>457</v>
      </c>
      <c r="F94" s="44" t="s">
        <v>458</v>
      </c>
      <c r="G94" s="44" t="s">
        <v>40</v>
      </c>
      <c r="H94" s="49"/>
      <c r="I94" s="56">
        <v>357</v>
      </c>
      <c r="J94" s="56">
        <v>321</v>
      </c>
      <c r="K94" s="59">
        <v>537.119321018472</v>
      </c>
      <c r="L94" s="59">
        <v>458.018080667594</v>
      </c>
      <c r="M94" s="59">
        <v>706.125</v>
      </c>
      <c r="N94" s="64">
        <v>355</v>
      </c>
      <c r="O94" s="64">
        <v>320</v>
      </c>
      <c r="P94" s="64">
        <v>285</v>
      </c>
      <c r="Q94" s="44" t="s">
        <v>54</v>
      </c>
      <c r="R94" s="70" t="s">
        <v>76</v>
      </c>
      <c r="S94" s="44" t="s">
        <v>459</v>
      </c>
      <c r="T94" s="43" t="s">
        <v>460</v>
      </c>
      <c r="U94" s="71">
        <v>311000022</v>
      </c>
      <c r="V94" s="43" t="s">
        <v>461</v>
      </c>
      <c r="W94" s="43" t="s">
        <v>43</v>
      </c>
      <c r="X94" s="71" t="s">
        <v>43</v>
      </c>
      <c r="Y94" s="71" t="s">
        <v>40</v>
      </c>
      <c r="Z94" s="48" t="s">
        <v>43</v>
      </c>
      <c r="AA94" s="75">
        <v>440</v>
      </c>
      <c r="AB94" s="75">
        <v>395</v>
      </c>
      <c r="AC94" s="80">
        <v>440</v>
      </c>
      <c r="AD94" s="80">
        <v>400</v>
      </c>
      <c r="AE94" s="80">
        <v>340</v>
      </c>
      <c r="AF94" s="79">
        <f t="shared" si="17"/>
        <v>0</v>
      </c>
      <c r="AG94" s="79" t="str">
        <f t="shared" si="18"/>
        <v>泌尿系造瘘费</v>
      </c>
      <c r="AH94" s="79">
        <f t="shared" si="22"/>
        <v>355</v>
      </c>
      <c r="AI94" s="79">
        <f t="shared" si="23"/>
        <v>320</v>
      </c>
      <c r="AJ94" s="79">
        <f t="shared" si="24"/>
        <v>285</v>
      </c>
    </row>
    <row r="95" s="30" customFormat="1" ht="18" customHeight="1" spans="1:36">
      <c r="A95" s="44">
        <v>36</v>
      </c>
      <c r="B95" s="44" t="s">
        <v>455</v>
      </c>
      <c r="C95" s="44" t="s">
        <v>456</v>
      </c>
      <c r="D95" s="44" t="s">
        <v>213</v>
      </c>
      <c r="E95" s="44" t="s">
        <v>457</v>
      </c>
      <c r="F95" s="44" t="s">
        <v>458</v>
      </c>
      <c r="G95" s="44" t="s">
        <v>40</v>
      </c>
      <c r="H95" s="49"/>
      <c r="I95" s="56">
        <v>357</v>
      </c>
      <c r="J95" s="56">
        <v>321</v>
      </c>
      <c r="K95" s="59">
        <v>537.119321018472</v>
      </c>
      <c r="L95" s="59">
        <v>458.018080667594</v>
      </c>
      <c r="M95" s="59">
        <v>706.125</v>
      </c>
      <c r="N95" s="64">
        <v>355</v>
      </c>
      <c r="O95" s="64">
        <v>320</v>
      </c>
      <c r="P95" s="64">
        <v>285</v>
      </c>
      <c r="Q95" s="44" t="s">
        <v>54</v>
      </c>
      <c r="R95" s="70" t="s">
        <v>76</v>
      </c>
      <c r="S95" s="44" t="s">
        <v>459</v>
      </c>
      <c r="T95" s="43" t="s">
        <v>462</v>
      </c>
      <c r="U95" s="71">
        <v>311000033</v>
      </c>
      <c r="V95" s="43" t="s">
        <v>463</v>
      </c>
      <c r="W95" s="43" t="s">
        <v>43</v>
      </c>
      <c r="X95" s="71" t="s">
        <v>43</v>
      </c>
      <c r="Y95" s="71" t="s">
        <v>40</v>
      </c>
      <c r="Z95" s="48" t="s">
        <v>464</v>
      </c>
      <c r="AA95" s="75">
        <v>235</v>
      </c>
      <c r="AB95" s="75">
        <v>210</v>
      </c>
      <c r="AC95" s="80">
        <v>225</v>
      </c>
      <c r="AD95" s="80">
        <v>205</v>
      </c>
      <c r="AE95" s="80">
        <v>175</v>
      </c>
      <c r="AF95" s="79">
        <f t="shared" si="17"/>
        <v>0</v>
      </c>
      <c r="AG95" s="79" t="str">
        <f t="shared" si="18"/>
        <v>泌尿系造瘘费</v>
      </c>
      <c r="AH95" s="79">
        <f t="shared" si="22"/>
        <v>355</v>
      </c>
      <c r="AI95" s="79">
        <f t="shared" si="23"/>
        <v>320</v>
      </c>
      <c r="AJ95" s="79">
        <f t="shared" si="24"/>
        <v>285</v>
      </c>
    </row>
    <row r="96" s="30" customFormat="1" ht="18" customHeight="1" spans="1:36">
      <c r="A96" s="44">
        <v>36</v>
      </c>
      <c r="B96" s="44" t="s">
        <v>455</v>
      </c>
      <c r="C96" s="44" t="s">
        <v>456</v>
      </c>
      <c r="D96" s="44" t="s">
        <v>213</v>
      </c>
      <c r="E96" s="44" t="s">
        <v>457</v>
      </c>
      <c r="F96" s="44" t="s">
        <v>458</v>
      </c>
      <c r="G96" s="44" t="s">
        <v>40</v>
      </c>
      <c r="H96" s="49"/>
      <c r="I96" s="56">
        <v>357</v>
      </c>
      <c r="J96" s="56">
        <v>321</v>
      </c>
      <c r="K96" s="59">
        <v>537.119321018472</v>
      </c>
      <c r="L96" s="59">
        <v>458.018080667594</v>
      </c>
      <c r="M96" s="59">
        <v>706.125</v>
      </c>
      <c r="N96" s="64">
        <v>355</v>
      </c>
      <c r="O96" s="64">
        <v>320</v>
      </c>
      <c r="P96" s="64">
        <v>285</v>
      </c>
      <c r="Q96" s="44" t="s">
        <v>54</v>
      </c>
      <c r="R96" s="70" t="s">
        <v>76</v>
      </c>
      <c r="S96" s="44" t="s">
        <v>459</v>
      </c>
      <c r="T96" s="43" t="s">
        <v>465</v>
      </c>
      <c r="U96" s="71">
        <v>331103005</v>
      </c>
      <c r="V96" s="71" t="s">
        <v>466</v>
      </c>
      <c r="W96" s="43" t="s">
        <v>43</v>
      </c>
      <c r="X96" s="71" t="s">
        <v>43</v>
      </c>
      <c r="Y96" s="71" t="s">
        <v>40</v>
      </c>
      <c r="Z96" s="48" t="s">
        <v>43</v>
      </c>
      <c r="AA96" s="75">
        <v>1000</v>
      </c>
      <c r="AB96" s="75">
        <v>900</v>
      </c>
      <c r="AC96" s="80">
        <v>1000</v>
      </c>
      <c r="AD96" s="80">
        <v>960</v>
      </c>
      <c r="AE96" s="80">
        <v>816</v>
      </c>
      <c r="AF96" s="79">
        <f t="shared" si="17"/>
        <v>0</v>
      </c>
      <c r="AG96" s="79" t="str">
        <f t="shared" si="18"/>
        <v>泌尿系造瘘费</v>
      </c>
      <c r="AH96" s="79">
        <f t="shared" si="22"/>
        <v>355</v>
      </c>
      <c r="AI96" s="79">
        <f t="shared" si="23"/>
        <v>320</v>
      </c>
      <c r="AJ96" s="79">
        <f t="shared" si="24"/>
        <v>285</v>
      </c>
    </row>
    <row r="97" s="30" customFormat="1" ht="18" customHeight="1" spans="1:36">
      <c r="A97" s="44">
        <v>36</v>
      </c>
      <c r="B97" s="44" t="s">
        <v>455</v>
      </c>
      <c r="C97" s="44" t="s">
        <v>456</v>
      </c>
      <c r="D97" s="44" t="s">
        <v>213</v>
      </c>
      <c r="E97" s="44" t="s">
        <v>457</v>
      </c>
      <c r="F97" s="44" t="s">
        <v>458</v>
      </c>
      <c r="G97" s="44" t="s">
        <v>40</v>
      </c>
      <c r="H97" s="49"/>
      <c r="I97" s="56">
        <v>357</v>
      </c>
      <c r="J97" s="56">
        <v>321</v>
      </c>
      <c r="K97" s="59">
        <v>537.119321018472</v>
      </c>
      <c r="L97" s="59">
        <v>458.018080667594</v>
      </c>
      <c r="M97" s="59">
        <v>706.125</v>
      </c>
      <c r="N97" s="64">
        <v>355</v>
      </c>
      <c r="O97" s="64">
        <v>320</v>
      </c>
      <c r="P97" s="64">
        <v>285</v>
      </c>
      <c r="Q97" s="44" t="s">
        <v>54</v>
      </c>
      <c r="R97" s="70" t="s">
        <v>76</v>
      </c>
      <c r="S97" s="44" t="s">
        <v>459</v>
      </c>
      <c r="T97" s="43" t="s">
        <v>467</v>
      </c>
      <c r="U97" s="71">
        <v>331104017</v>
      </c>
      <c r="V97" s="43" t="s">
        <v>468</v>
      </c>
      <c r="W97" s="43" t="s">
        <v>43</v>
      </c>
      <c r="X97" s="71" t="s">
        <v>43</v>
      </c>
      <c r="Y97" s="71" t="s">
        <v>40</v>
      </c>
      <c r="Z97" s="48" t="s">
        <v>43</v>
      </c>
      <c r="AA97" s="75">
        <v>875</v>
      </c>
      <c r="AB97" s="75">
        <v>790</v>
      </c>
      <c r="AC97" s="80">
        <v>875</v>
      </c>
      <c r="AD97" s="80">
        <v>840</v>
      </c>
      <c r="AE97" s="80">
        <v>714</v>
      </c>
      <c r="AF97" s="79">
        <f t="shared" si="17"/>
        <v>0</v>
      </c>
      <c r="AG97" s="79" t="str">
        <f t="shared" si="18"/>
        <v>泌尿系造瘘费</v>
      </c>
      <c r="AH97" s="79">
        <f t="shared" si="22"/>
        <v>355</v>
      </c>
      <c r="AI97" s="79">
        <f t="shared" si="23"/>
        <v>320</v>
      </c>
      <c r="AJ97" s="79">
        <f t="shared" si="24"/>
        <v>285</v>
      </c>
    </row>
    <row r="98" s="30" customFormat="1" ht="25.5" spans="1:36">
      <c r="A98" s="81" t="s">
        <v>81</v>
      </c>
      <c r="B98" s="81" t="s">
        <v>469</v>
      </c>
      <c r="C98" s="81" t="s">
        <v>470</v>
      </c>
      <c r="D98" s="81" t="s">
        <v>213</v>
      </c>
      <c r="E98" s="81"/>
      <c r="F98" s="81"/>
      <c r="G98" s="81" t="s">
        <v>40</v>
      </c>
      <c r="H98" s="81" t="s">
        <v>408</v>
      </c>
      <c r="I98" s="56">
        <v>1280</v>
      </c>
      <c r="J98" s="56">
        <v>1152</v>
      </c>
      <c r="K98" s="82">
        <v>1145</v>
      </c>
      <c r="L98" s="82">
        <v>1120</v>
      </c>
      <c r="M98" s="82" t="e">
        <v>#DIV/0!</v>
      </c>
      <c r="N98" s="64">
        <v>1145</v>
      </c>
      <c r="O98" s="64">
        <v>1120</v>
      </c>
      <c r="P98" s="64">
        <v>1000</v>
      </c>
      <c r="Q98" s="44" t="s">
        <v>54</v>
      </c>
      <c r="R98" s="69"/>
      <c r="S98" s="44" t="s">
        <v>471</v>
      </c>
      <c r="T98" s="45" t="s">
        <v>472</v>
      </c>
      <c r="U98" s="45">
        <v>331101013</v>
      </c>
      <c r="V98" s="43" t="s">
        <v>473</v>
      </c>
      <c r="W98" s="43" t="s">
        <v>43</v>
      </c>
      <c r="X98" s="71" t="s">
        <v>43</v>
      </c>
      <c r="Y98" s="71" t="s">
        <v>40</v>
      </c>
      <c r="Z98" s="48" t="s">
        <v>43</v>
      </c>
      <c r="AA98" s="75">
        <v>1620</v>
      </c>
      <c r="AB98" s="75">
        <v>1460</v>
      </c>
      <c r="AC98" s="80">
        <v>1500</v>
      </c>
      <c r="AD98" s="80">
        <v>1440</v>
      </c>
      <c r="AE98" s="80">
        <v>1224</v>
      </c>
      <c r="AF98" s="79">
        <f t="shared" si="17"/>
        <v>11</v>
      </c>
      <c r="AG98" s="79" t="str">
        <f t="shared" si="18"/>
        <v>泌尿系造瘘费</v>
      </c>
      <c r="AH98" s="79">
        <f t="shared" si="22"/>
        <v>1500</v>
      </c>
      <c r="AI98" s="79">
        <f t="shared" si="23"/>
        <v>1440</v>
      </c>
      <c r="AJ98" s="79">
        <f t="shared" si="24"/>
        <v>1285</v>
      </c>
    </row>
    <row r="99" s="30" customFormat="1" ht="25.5" spans="1:36">
      <c r="A99" s="81" t="s">
        <v>81</v>
      </c>
      <c r="B99" s="81" t="s">
        <v>469</v>
      </c>
      <c r="C99" s="81" t="s">
        <v>470</v>
      </c>
      <c r="D99" s="81" t="s">
        <v>213</v>
      </c>
      <c r="E99" s="81"/>
      <c r="F99" s="81"/>
      <c r="G99" s="81" t="s">
        <v>40</v>
      </c>
      <c r="H99" s="81" t="s">
        <v>408</v>
      </c>
      <c r="I99" s="56">
        <v>1280</v>
      </c>
      <c r="J99" s="56">
        <v>1152</v>
      </c>
      <c r="K99" s="82">
        <v>1145</v>
      </c>
      <c r="L99" s="82">
        <v>1120</v>
      </c>
      <c r="M99" s="82" t="e">
        <v>#DIV/0!</v>
      </c>
      <c r="N99" s="64">
        <v>1145</v>
      </c>
      <c r="O99" s="64">
        <v>1120</v>
      </c>
      <c r="P99" s="64">
        <v>1000</v>
      </c>
      <c r="Q99" s="44" t="s">
        <v>54</v>
      </c>
      <c r="R99" s="69"/>
      <c r="S99" s="44" t="s">
        <v>471</v>
      </c>
      <c r="T99" s="45" t="s">
        <v>474</v>
      </c>
      <c r="U99" s="45">
        <v>33110101301</v>
      </c>
      <c r="V99" s="45" t="s">
        <v>475</v>
      </c>
      <c r="W99" s="43" t="s">
        <v>43</v>
      </c>
      <c r="X99" s="71" t="s">
        <v>43</v>
      </c>
      <c r="Y99" s="71" t="s">
        <v>40</v>
      </c>
      <c r="Z99" s="48" t="s">
        <v>43</v>
      </c>
      <c r="AA99" s="75">
        <v>2105</v>
      </c>
      <c r="AB99" s="75">
        <v>1900</v>
      </c>
      <c r="AC99" s="80">
        <v>1950</v>
      </c>
      <c r="AD99" s="80">
        <v>1870</v>
      </c>
      <c r="AE99" s="80">
        <v>1590</v>
      </c>
      <c r="AF99" s="79">
        <f t="shared" si="17"/>
        <v>11</v>
      </c>
      <c r="AG99" s="79" t="str">
        <f t="shared" si="18"/>
        <v>泌尿系造瘘费</v>
      </c>
      <c r="AH99" s="79">
        <f t="shared" si="22"/>
        <v>1500</v>
      </c>
      <c r="AI99" s="79">
        <f t="shared" si="23"/>
        <v>1440</v>
      </c>
      <c r="AJ99" s="79">
        <f t="shared" si="24"/>
        <v>1285</v>
      </c>
    </row>
    <row r="100" s="30" customFormat="1" ht="25.5" spans="1:36">
      <c r="A100" s="81" t="s">
        <v>81</v>
      </c>
      <c r="B100" s="81" t="s">
        <v>469</v>
      </c>
      <c r="C100" s="81" t="s">
        <v>470</v>
      </c>
      <c r="D100" s="81" t="s">
        <v>213</v>
      </c>
      <c r="E100" s="81"/>
      <c r="F100" s="81"/>
      <c r="G100" s="81" t="s">
        <v>40</v>
      </c>
      <c r="H100" s="81" t="s">
        <v>408</v>
      </c>
      <c r="I100" s="56">
        <v>1280</v>
      </c>
      <c r="J100" s="56">
        <v>1152</v>
      </c>
      <c r="K100" s="82">
        <v>1145</v>
      </c>
      <c r="L100" s="82">
        <v>1120</v>
      </c>
      <c r="M100" s="82" t="e">
        <v>#DIV/0!</v>
      </c>
      <c r="N100" s="64">
        <v>1145</v>
      </c>
      <c r="O100" s="64">
        <v>1120</v>
      </c>
      <c r="P100" s="64">
        <v>1000</v>
      </c>
      <c r="Q100" s="44" t="s">
        <v>54</v>
      </c>
      <c r="R100" s="69"/>
      <c r="S100" s="44" t="s">
        <v>471</v>
      </c>
      <c r="T100" s="45" t="s">
        <v>476</v>
      </c>
      <c r="U100" s="45">
        <v>33110101302</v>
      </c>
      <c r="V100" s="45" t="s">
        <v>477</v>
      </c>
      <c r="W100" s="43" t="s">
        <v>43</v>
      </c>
      <c r="X100" s="71" t="s">
        <v>43</v>
      </c>
      <c r="Y100" s="71" t="s">
        <v>40</v>
      </c>
      <c r="Z100" s="48" t="s">
        <v>43</v>
      </c>
      <c r="AA100" s="75">
        <v>2420</v>
      </c>
      <c r="AB100" s="75">
        <v>2180</v>
      </c>
      <c r="AC100" s="80">
        <v>2125</v>
      </c>
      <c r="AD100" s="80">
        <v>2040</v>
      </c>
      <c r="AE100" s="80">
        <v>1734</v>
      </c>
      <c r="AF100" s="79">
        <f t="shared" si="17"/>
        <v>11</v>
      </c>
      <c r="AG100" s="79" t="str">
        <f t="shared" si="18"/>
        <v>泌尿系造瘘费</v>
      </c>
      <c r="AH100" s="79">
        <f t="shared" si="22"/>
        <v>1500</v>
      </c>
      <c r="AI100" s="79">
        <f t="shared" si="23"/>
        <v>1440</v>
      </c>
      <c r="AJ100" s="79">
        <f t="shared" si="24"/>
        <v>1285</v>
      </c>
    </row>
    <row r="101" s="30" customFormat="1" ht="25.5" spans="1:36">
      <c r="A101" s="81" t="s">
        <v>81</v>
      </c>
      <c r="B101" s="81" t="s">
        <v>469</v>
      </c>
      <c r="C101" s="81" t="s">
        <v>470</v>
      </c>
      <c r="D101" s="81" t="s">
        <v>213</v>
      </c>
      <c r="E101" s="81"/>
      <c r="F101" s="81"/>
      <c r="G101" s="81" t="s">
        <v>40</v>
      </c>
      <c r="H101" s="81" t="s">
        <v>408</v>
      </c>
      <c r="I101" s="56">
        <v>1280</v>
      </c>
      <c r="J101" s="56">
        <v>1152</v>
      </c>
      <c r="K101" s="82">
        <v>1145</v>
      </c>
      <c r="L101" s="82">
        <v>1120</v>
      </c>
      <c r="M101" s="82" t="e">
        <v>#DIV/0!</v>
      </c>
      <c r="N101" s="64">
        <v>1145</v>
      </c>
      <c r="O101" s="64">
        <v>1120</v>
      </c>
      <c r="P101" s="64">
        <v>1000</v>
      </c>
      <c r="Q101" s="44" t="s">
        <v>54</v>
      </c>
      <c r="R101" s="69"/>
      <c r="S101" s="44" t="s">
        <v>471</v>
      </c>
      <c r="T101" s="45" t="s">
        <v>478</v>
      </c>
      <c r="U101" s="45">
        <v>33110101303</v>
      </c>
      <c r="V101" s="45" t="s">
        <v>479</v>
      </c>
      <c r="W101" s="43" t="s">
        <v>43</v>
      </c>
      <c r="X101" s="71" t="s">
        <v>43</v>
      </c>
      <c r="Y101" s="71" t="s">
        <v>40</v>
      </c>
      <c r="Z101" s="48" t="s">
        <v>43</v>
      </c>
      <c r="AA101" s="75">
        <v>2905</v>
      </c>
      <c r="AB101" s="75">
        <v>2620</v>
      </c>
      <c r="AC101" s="80">
        <v>2575</v>
      </c>
      <c r="AD101" s="80">
        <v>2470</v>
      </c>
      <c r="AE101" s="80">
        <v>2100</v>
      </c>
      <c r="AF101" s="79">
        <f t="shared" si="17"/>
        <v>11</v>
      </c>
      <c r="AG101" s="79" t="str">
        <f t="shared" si="18"/>
        <v>泌尿系造瘘费</v>
      </c>
      <c r="AH101" s="79">
        <f t="shared" si="22"/>
        <v>1500</v>
      </c>
      <c r="AI101" s="79">
        <f t="shared" si="23"/>
        <v>1440</v>
      </c>
      <c r="AJ101" s="79">
        <f t="shared" si="24"/>
        <v>1285</v>
      </c>
    </row>
    <row r="102" s="31" customFormat="1" ht="25.5" spans="1:36">
      <c r="A102" s="81" t="s">
        <v>81</v>
      </c>
      <c r="B102" s="81" t="s">
        <v>480</v>
      </c>
      <c r="C102" s="81" t="s">
        <v>481</v>
      </c>
      <c r="D102" s="81" t="s">
        <v>213</v>
      </c>
      <c r="E102" s="81"/>
      <c r="F102" s="81"/>
      <c r="G102" s="81" t="s">
        <v>40</v>
      </c>
      <c r="H102" s="81"/>
      <c r="I102" s="56">
        <v>107</v>
      </c>
      <c r="J102" s="56">
        <v>96</v>
      </c>
      <c r="K102" s="54"/>
      <c r="L102" s="82">
        <v>980</v>
      </c>
      <c r="M102" s="54"/>
      <c r="N102" s="64">
        <v>105</v>
      </c>
      <c r="O102" s="64">
        <v>96</v>
      </c>
      <c r="P102" s="64">
        <v>86</v>
      </c>
      <c r="Q102" s="44" t="s">
        <v>54</v>
      </c>
      <c r="R102" s="69"/>
      <c r="S102" s="44" t="s">
        <v>446</v>
      </c>
      <c r="T102" s="45" t="s">
        <v>482</v>
      </c>
      <c r="U102" s="45">
        <v>31100003301</v>
      </c>
      <c r="V102" s="45" t="s">
        <v>483</v>
      </c>
      <c r="W102" s="43" t="s">
        <v>43</v>
      </c>
      <c r="X102" s="71" t="s">
        <v>43</v>
      </c>
      <c r="Y102" s="71" t="s">
        <v>40</v>
      </c>
      <c r="Z102" s="48" t="s">
        <v>43</v>
      </c>
      <c r="AA102" s="75">
        <v>305</v>
      </c>
      <c r="AB102" s="75">
        <v>275</v>
      </c>
      <c r="AC102" s="80">
        <v>295</v>
      </c>
      <c r="AD102" s="80">
        <v>265</v>
      </c>
      <c r="AE102" s="80">
        <v>230</v>
      </c>
      <c r="AF102" s="79">
        <f t="shared" si="17"/>
        <v>10</v>
      </c>
      <c r="AG102" s="79" t="str">
        <f t="shared" si="18"/>
        <v>泌尿系造瘘费</v>
      </c>
      <c r="AH102" s="79">
        <f t="shared" si="22"/>
        <v>460</v>
      </c>
      <c r="AI102" s="79">
        <f t="shared" si="23"/>
        <v>416</v>
      </c>
      <c r="AJ102" s="79">
        <f t="shared" si="24"/>
        <v>371</v>
      </c>
    </row>
    <row r="103" s="31" customFormat="1" ht="25.5" spans="1:36">
      <c r="A103" s="81" t="s">
        <v>81</v>
      </c>
      <c r="B103" s="81" t="s">
        <v>480</v>
      </c>
      <c r="C103" s="81" t="s">
        <v>481</v>
      </c>
      <c r="D103" s="81" t="s">
        <v>213</v>
      </c>
      <c r="E103" s="81"/>
      <c r="F103" s="81"/>
      <c r="G103" s="81" t="s">
        <v>40</v>
      </c>
      <c r="H103" s="81"/>
      <c r="I103" s="56">
        <v>107</v>
      </c>
      <c r="J103" s="56">
        <v>96</v>
      </c>
      <c r="K103" s="54"/>
      <c r="L103" s="82">
        <v>980</v>
      </c>
      <c r="M103" s="54"/>
      <c r="N103" s="64">
        <v>105</v>
      </c>
      <c r="O103" s="64">
        <v>96</v>
      </c>
      <c r="P103" s="64">
        <v>86</v>
      </c>
      <c r="Q103" s="44" t="s">
        <v>54</v>
      </c>
      <c r="R103" s="69"/>
      <c r="S103" s="44" t="s">
        <v>446</v>
      </c>
      <c r="T103" s="45" t="s">
        <v>484</v>
      </c>
      <c r="U103" s="45">
        <v>33110300501</v>
      </c>
      <c r="V103" s="45" t="s">
        <v>485</v>
      </c>
      <c r="W103" s="43" t="s">
        <v>43</v>
      </c>
      <c r="X103" s="71" t="s">
        <v>43</v>
      </c>
      <c r="Y103" s="71" t="s">
        <v>40</v>
      </c>
      <c r="Z103" s="48" t="s">
        <v>43</v>
      </c>
      <c r="AA103" s="75">
        <v>1300</v>
      </c>
      <c r="AB103" s="75">
        <v>1170</v>
      </c>
      <c r="AC103" s="80">
        <v>1300</v>
      </c>
      <c r="AD103" s="80">
        <v>1250</v>
      </c>
      <c r="AE103" s="80">
        <v>1065</v>
      </c>
      <c r="AF103" s="79">
        <f t="shared" si="17"/>
        <v>10</v>
      </c>
      <c r="AG103" s="79" t="str">
        <f t="shared" si="18"/>
        <v>泌尿系造瘘费</v>
      </c>
      <c r="AH103" s="79">
        <f t="shared" si="22"/>
        <v>460</v>
      </c>
      <c r="AI103" s="79">
        <f t="shared" si="23"/>
        <v>416</v>
      </c>
      <c r="AJ103" s="79">
        <f t="shared" si="24"/>
        <v>371</v>
      </c>
    </row>
    <row r="104" s="31" customFormat="1" ht="25.5" spans="1:36">
      <c r="A104" s="81" t="s">
        <v>81</v>
      </c>
      <c r="B104" s="81" t="s">
        <v>480</v>
      </c>
      <c r="C104" s="81" t="s">
        <v>481</v>
      </c>
      <c r="D104" s="81" t="s">
        <v>213</v>
      </c>
      <c r="E104" s="81"/>
      <c r="F104" s="81"/>
      <c r="G104" s="81" t="s">
        <v>40</v>
      </c>
      <c r="H104" s="81"/>
      <c r="I104" s="56">
        <v>107</v>
      </c>
      <c r="J104" s="56">
        <v>96</v>
      </c>
      <c r="K104" s="54"/>
      <c r="L104" s="82">
        <v>980</v>
      </c>
      <c r="M104" s="54"/>
      <c r="N104" s="64">
        <v>105</v>
      </c>
      <c r="O104" s="64">
        <v>96</v>
      </c>
      <c r="P104" s="64">
        <v>86</v>
      </c>
      <c r="Q104" s="44" t="s">
        <v>54</v>
      </c>
      <c r="R104" s="69"/>
      <c r="S104" s="44" t="s">
        <v>446</v>
      </c>
      <c r="T104" s="45" t="s">
        <v>486</v>
      </c>
      <c r="U104" s="45">
        <v>33110401701</v>
      </c>
      <c r="V104" s="45" t="s">
        <v>487</v>
      </c>
      <c r="W104" s="43" t="s">
        <v>43</v>
      </c>
      <c r="X104" s="71" t="s">
        <v>43</v>
      </c>
      <c r="Y104" s="71" t="s">
        <v>40</v>
      </c>
      <c r="Z104" s="48" t="s">
        <v>43</v>
      </c>
      <c r="AA104" s="75">
        <v>1140</v>
      </c>
      <c r="AB104" s="75">
        <v>1025</v>
      </c>
      <c r="AC104" s="80">
        <v>1140</v>
      </c>
      <c r="AD104" s="80">
        <v>1090</v>
      </c>
      <c r="AE104" s="80">
        <v>925</v>
      </c>
      <c r="AF104" s="79">
        <f t="shared" si="17"/>
        <v>10</v>
      </c>
      <c r="AG104" s="79" t="str">
        <f t="shared" si="18"/>
        <v>泌尿系造瘘费</v>
      </c>
      <c r="AH104" s="79">
        <f t="shared" si="22"/>
        <v>460</v>
      </c>
      <c r="AI104" s="79">
        <f t="shared" si="23"/>
        <v>416</v>
      </c>
      <c r="AJ104" s="79">
        <f t="shared" si="24"/>
        <v>371</v>
      </c>
    </row>
    <row r="105" ht="38.25" spans="1:36">
      <c r="A105" s="47">
        <v>37</v>
      </c>
      <c r="B105" s="47" t="s">
        <v>488</v>
      </c>
      <c r="C105" s="47" t="s">
        <v>489</v>
      </c>
      <c r="D105" s="47" t="s">
        <v>213</v>
      </c>
      <c r="E105" s="47" t="s">
        <v>490</v>
      </c>
      <c r="F105" s="47" t="s">
        <v>491</v>
      </c>
      <c r="G105" s="47" t="s">
        <v>40</v>
      </c>
      <c r="H105" s="47"/>
      <c r="I105" s="56">
        <v>1510</v>
      </c>
      <c r="J105" s="56">
        <v>1359</v>
      </c>
      <c r="K105" s="83">
        <v>1250</v>
      </c>
      <c r="L105" s="58"/>
      <c r="M105" s="58"/>
      <c r="N105" s="64">
        <v>1360</v>
      </c>
      <c r="O105" s="64">
        <v>1225</v>
      </c>
      <c r="P105" s="64">
        <v>1050</v>
      </c>
      <c r="Q105" s="44" t="s">
        <v>54</v>
      </c>
      <c r="R105" s="70" t="s">
        <v>416</v>
      </c>
      <c r="S105" s="44" t="s">
        <v>492</v>
      </c>
      <c r="T105" s="43" t="s">
        <v>493</v>
      </c>
      <c r="U105" s="71">
        <v>331104015</v>
      </c>
      <c r="V105" s="43" t="s">
        <v>494</v>
      </c>
      <c r="W105" s="43" t="s">
        <v>43</v>
      </c>
      <c r="X105" s="71" t="s">
        <v>43</v>
      </c>
      <c r="Y105" s="71" t="s">
        <v>40</v>
      </c>
      <c r="Z105" s="48" t="s">
        <v>43</v>
      </c>
      <c r="AA105" s="75">
        <v>2880</v>
      </c>
      <c r="AB105" s="75">
        <v>2590</v>
      </c>
      <c r="AC105" s="80">
        <v>2530</v>
      </c>
      <c r="AD105" s="80">
        <v>2280</v>
      </c>
      <c r="AE105" s="80">
        <v>1940</v>
      </c>
      <c r="AF105" s="79">
        <f t="shared" si="17"/>
        <v>0</v>
      </c>
      <c r="AG105" s="79" t="str">
        <f t="shared" si="18"/>
        <v>泌尿道瘘修补费</v>
      </c>
      <c r="AH105" s="79">
        <f t="shared" si="22"/>
        <v>1360</v>
      </c>
      <c r="AI105" s="79">
        <f t="shared" si="23"/>
        <v>1225</v>
      </c>
      <c r="AJ105" s="79">
        <f t="shared" si="24"/>
        <v>1050</v>
      </c>
    </row>
    <row r="106" ht="38.25" spans="1:36">
      <c r="A106" s="47">
        <v>37</v>
      </c>
      <c r="B106" s="47" t="s">
        <v>488</v>
      </c>
      <c r="C106" s="47" t="s">
        <v>489</v>
      </c>
      <c r="D106" s="47" t="s">
        <v>213</v>
      </c>
      <c r="E106" s="47" t="s">
        <v>490</v>
      </c>
      <c r="F106" s="47" t="s">
        <v>491</v>
      </c>
      <c r="G106" s="47" t="s">
        <v>40</v>
      </c>
      <c r="H106" s="47"/>
      <c r="I106" s="56">
        <v>1510</v>
      </c>
      <c r="J106" s="56">
        <v>1359</v>
      </c>
      <c r="K106" s="83">
        <v>1250</v>
      </c>
      <c r="L106" s="58"/>
      <c r="M106" s="58"/>
      <c r="N106" s="64">
        <v>1360</v>
      </c>
      <c r="O106" s="64">
        <v>1225</v>
      </c>
      <c r="P106" s="64">
        <v>1050</v>
      </c>
      <c r="Q106" s="44" t="s">
        <v>54</v>
      </c>
      <c r="R106" s="70" t="s">
        <v>416</v>
      </c>
      <c r="S106" s="44" t="s">
        <v>492</v>
      </c>
      <c r="T106" s="45" t="s">
        <v>495</v>
      </c>
      <c r="U106" s="45">
        <v>33110401502</v>
      </c>
      <c r="V106" s="45" t="s">
        <v>496</v>
      </c>
      <c r="W106" s="43" t="s">
        <v>43</v>
      </c>
      <c r="X106" s="71" t="s">
        <v>43</v>
      </c>
      <c r="Y106" s="71" t="s">
        <v>40</v>
      </c>
      <c r="Z106" s="48" t="s">
        <v>43</v>
      </c>
      <c r="AA106" s="75">
        <v>3130</v>
      </c>
      <c r="AB106" s="75">
        <v>2815</v>
      </c>
      <c r="AC106" s="80">
        <v>2780</v>
      </c>
      <c r="AD106" s="80">
        <v>2505</v>
      </c>
      <c r="AE106" s="80">
        <v>2130</v>
      </c>
      <c r="AF106" s="79">
        <f t="shared" si="17"/>
        <v>0</v>
      </c>
      <c r="AG106" s="79" t="str">
        <f t="shared" si="18"/>
        <v>泌尿道瘘修补费</v>
      </c>
      <c r="AH106" s="79">
        <f t="shared" si="22"/>
        <v>1360</v>
      </c>
      <c r="AI106" s="79">
        <f t="shared" si="23"/>
        <v>1225</v>
      </c>
      <c r="AJ106" s="79">
        <f t="shared" si="24"/>
        <v>1050</v>
      </c>
    </row>
    <row r="107" ht="38.25" spans="1:36">
      <c r="A107" s="47">
        <v>37</v>
      </c>
      <c r="B107" s="47" t="s">
        <v>488</v>
      </c>
      <c r="C107" s="47" t="s">
        <v>489</v>
      </c>
      <c r="D107" s="47" t="s">
        <v>213</v>
      </c>
      <c r="E107" s="47" t="s">
        <v>490</v>
      </c>
      <c r="F107" s="47" t="s">
        <v>491</v>
      </c>
      <c r="G107" s="47" t="s">
        <v>40</v>
      </c>
      <c r="H107" s="47"/>
      <c r="I107" s="56">
        <v>1510</v>
      </c>
      <c r="J107" s="56">
        <v>1359</v>
      </c>
      <c r="K107" s="83">
        <v>1250</v>
      </c>
      <c r="L107" s="58"/>
      <c r="M107" s="58"/>
      <c r="N107" s="64">
        <v>1360</v>
      </c>
      <c r="O107" s="64">
        <v>1225</v>
      </c>
      <c r="P107" s="64">
        <v>1050</v>
      </c>
      <c r="Q107" s="44" t="s">
        <v>54</v>
      </c>
      <c r="R107" s="70" t="s">
        <v>416</v>
      </c>
      <c r="S107" s="44" t="s">
        <v>492</v>
      </c>
      <c r="T107" s="43" t="s">
        <v>497</v>
      </c>
      <c r="U107" s="71">
        <v>331104018</v>
      </c>
      <c r="V107" s="43" t="s">
        <v>498</v>
      </c>
      <c r="W107" s="43" t="s">
        <v>499</v>
      </c>
      <c r="X107" s="71" t="s">
        <v>43</v>
      </c>
      <c r="Y107" s="71" t="s">
        <v>40</v>
      </c>
      <c r="Z107" s="48" t="s">
        <v>43</v>
      </c>
      <c r="AA107" s="75">
        <v>1350</v>
      </c>
      <c r="AB107" s="75">
        <v>1215</v>
      </c>
      <c r="AC107" s="80">
        <v>1250</v>
      </c>
      <c r="AD107" s="80">
        <v>1200</v>
      </c>
      <c r="AE107" s="80">
        <v>1020</v>
      </c>
      <c r="AF107" s="79">
        <f t="shared" si="17"/>
        <v>0</v>
      </c>
      <c r="AG107" s="79" t="str">
        <f t="shared" si="18"/>
        <v>泌尿道瘘修补费</v>
      </c>
      <c r="AH107" s="79">
        <f t="shared" si="22"/>
        <v>1360</v>
      </c>
      <c r="AI107" s="79">
        <f t="shared" si="23"/>
        <v>1225</v>
      </c>
      <c r="AJ107" s="79">
        <f t="shared" si="24"/>
        <v>1050</v>
      </c>
    </row>
    <row r="108" ht="28" customHeight="1" spans="1:36">
      <c r="A108" s="81" t="s">
        <v>81</v>
      </c>
      <c r="B108" s="81" t="s">
        <v>502</v>
      </c>
      <c r="C108" s="81" t="s">
        <v>503</v>
      </c>
      <c r="D108" s="81" t="s">
        <v>213</v>
      </c>
      <c r="E108" s="81"/>
      <c r="F108" s="81"/>
      <c r="G108" s="81" t="s">
        <v>40</v>
      </c>
      <c r="H108" s="81"/>
      <c r="I108" s="56">
        <v>453</v>
      </c>
      <c r="J108" s="56">
        <v>408</v>
      </c>
      <c r="K108" s="82">
        <v>265</v>
      </c>
      <c r="L108" s="54"/>
      <c r="M108" s="54"/>
      <c r="N108" s="64">
        <v>410</v>
      </c>
      <c r="O108" s="64">
        <v>365</v>
      </c>
      <c r="P108" s="64">
        <v>315</v>
      </c>
      <c r="Q108" s="44" t="s">
        <v>54</v>
      </c>
      <c r="R108" s="69"/>
      <c r="S108" s="44" t="s">
        <v>446</v>
      </c>
      <c r="T108" s="45" t="s">
        <v>504</v>
      </c>
      <c r="U108" s="45">
        <v>33110401501</v>
      </c>
      <c r="V108" s="45" t="s">
        <v>505</v>
      </c>
      <c r="W108" s="43" t="s">
        <v>43</v>
      </c>
      <c r="X108" s="71" t="s">
        <v>43</v>
      </c>
      <c r="Y108" s="71" t="s">
        <v>40</v>
      </c>
      <c r="Z108" s="48" t="s">
        <v>43</v>
      </c>
      <c r="AA108" s="75">
        <v>3745</v>
      </c>
      <c r="AB108" s="75">
        <v>3365</v>
      </c>
      <c r="AC108" s="80">
        <v>3290</v>
      </c>
      <c r="AD108" s="80">
        <v>2965</v>
      </c>
      <c r="AE108" s="80">
        <v>2520</v>
      </c>
      <c r="AF108" s="79">
        <f t="shared" si="17"/>
        <v>11</v>
      </c>
      <c r="AG108" s="79" t="str">
        <f t="shared" si="18"/>
        <v>泌尿道瘘修补费</v>
      </c>
      <c r="AH108" s="79">
        <f t="shared" si="22"/>
        <v>1770</v>
      </c>
      <c r="AI108" s="79">
        <f t="shared" si="23"/>
        <v>1590</v>
      </c>
      <c r="AJ108" s="79">
        <f t="shared" si="24"/>
        <v>1365</v>
      </c>
    </row>
    <row r="109" ht="25.5" spans="1:36">
      <c r="A109" s="81" t="s">
        <v>81</v>
      </c>
      <c r="B109" s="81" t="s">
        <v>502</v>
      </c>
      <c r="C109" s="81" t="s">
        <v>503</v>
      </c>
      <c r="D109" s="81" t="s">
        <v>213</v>
      </c>
      <c r="E109" s="81"/>
      <c r="F109" s="81"/>
      <c r="G109" s="81" t="s">
        <v>40</v>
      </c>
      <c r="H109" s="81"/>
      <c r="I109" s="56">
        <v>453</v>
      </c>
      <c r="J109" s="56">
        <v>408</v>
      </c>
      <c r="K109" s="82">
        <v>265</v>
      </c>
      <c r="L109" s="54"/>
      <c r="M109" s="54"/>
      <c r="N109" s="64">
        <v>410</v>
      </c>
      <c r="O109" s="64">
        <v>365</v>
      </c>
      <c r="P109" s="64">
        <v>315</v>
      </c>
      <c r="Q109" s="44" t="s">
        <v>54</v>
      </c>
      <c r="R109" s="69"/>
      <c r="S109" s="44" t="s">
        <v>446</v>
      </c>
      <c r="T109" s="45" t="s">
        <v>506</v>
      </c>
      <c r="U109" s="45">
        <v>33110401503</v>
      </c>
      <c r="V109" s="45" t="s">
        <v>507</v>
      </c>
      <c r="W109" s="43" t="s">
        <v>43</v>
      </c>
      <c r="X109" s="71" t="s">
        <v>43</v>
      </c>
      <c r="Y109" s="71" t="s">
        <v>40</v>
      </c>
      <c r="Z109" s="48" t="s">
        <v>43</v>
      </c>
      <c r="AA109" s="75">
        <v>3995</v>
      </c>
      <c r="AB109" s="75">
        <v>3590</v>
      </c>
      <c r="AC109" s="80">
        <v>3540</v>
      </c>
      <c r="AD109" s="80">
        <v>3190</v>
      </c>
      <c r="AE109" s="80">
        <v>2710</v>
      </c>
      <c r="AF109" s="79">
        <f t="shared" si="17"/>
        <v>11</v>
      </c>
      <c r="AG109" s="79" t="str">
        <f t="shared" si="18"/>
        <v>泌尿道瘘修补费</v>
      </c>
      <c r="AH109" s="79">
        <f t="shared" si="22"/>
        <v>1770</v>
      </c>
      <c r="AI109" s="79">
        <f t="shared" si="23"/>
        <v>1590</v>
      </c>
      <c r="AJ109" s="79">
        <f t="shared" si="24"/>
        <v>1365</v>
      </c>
    </row>
    <row r="110" ht="25.5" spans="1:36">
      <c r="A110" s="81" t="s">
        <v>81</v>
      </c>
      <c r="B110" s="81" t="s">
        <v>502</v>
      </c>
      <c r="C110" s="81" t="s">
        <v>503</v>
      </c>
      <c r="D110" s="81" t="s">
        <v>213</v>
      </c>
      <c r="E110" s="81"/>
      <c r="F110" s="81"/>
      <c r="G110" s="81" t="s">
        <v>40</v>
      </c>
      <c r="H110" s="81"/>
      <c r="I110" s="56">
        <v>453</v>
      </c>
      <c r="J110" s="56">
        <v>408</v>
      </c>
      <c r="K110" s="82">
        <v>265</v>
      </c>
      <c r="L110" s="54"/>
      <c r="M110" s="54"/>
      <c r="N110" s="64">
        <v>410</v>
      </c>
      <c r="O110" s="64">
        <v>365</v>
      </c>
      <c r="P110" s="64">
        <v>315</v>
      </c>
      <c r="Q110" s="44" t="s">
        <v>54</v>
      </c>
      <c r="R110" s="69"/>
      <c r="S110" s="44" t="s">
        <v>446</v>
      </c>
      <c r="T110" s="45" t="s">
        <v>508</v>
      </c>
      <c r="U110" s="45">
        <v>33110401801</v>
      </c>
      <c r="V110" s="45" t="s">
        <v>509</v>
      </c>
      <c r="W110" s="43" t="s">
        <v>43</v>
      </c>
      <c r="X110" s="71" t="s">
        <v>43</v>
      </c>
      <c r="Y110" s="71" t="s">
        <v>40</v>
      </c>
      <c r="Z110" s="48" t="s">
        <v>43</v>
      </c>
      <c r="AA110" s="75">
        <v>1755</v>
      </c>
      <c r="AB110" s="75">
        <v>1580</v>
      </c>
      <c r="AC110" s="80">
        <v>1625</v>
      </c>
      <c r="AD110" s="80">
        <v>1560</v>
      </c>
      <c r="AE110" s="80">
        <v>1325</v>
      </c>
      <c r="AF110" s="79">
        <f t="shared" si="17"/>
        <v>11</v>
      </c>
      <c r="AG110" s="79" t="str">
        <f t="shared" si="18"/>
        <v>泌尿道瘘修补费</v>
      </c>
      <c r="AH110" s="79">
        <f t="shared" si="22"/>
        <v>1770</v>
      </c>
      <c r="AI110" s="79">
        <f t="shared" si="23"/>
        <v>1590</v>
      </c>
      <c r="AJ110" s="79">
        <f t="shared" si="24"/>
        <v>1365</v>
      </c>
    </row>
    <row r="111" ht="59" customHeight="1" spans="1:36">
      <c r="A111" s="46">
        <v>38</v>
      </c>
      <c r="B111" s="46" t="s">
        <v>510</v>
      </c>
      <c r="C111" s="46" t="s">
        <v>511</v>
      </c>
      <c r="D111" s="46" t="s">
        <v>213</v>
      </c>
      <c r="E111" s="50" t="s">
        <v>512</v>
      </c>
      <c r="F111" s="50" t="s">
        <v>513</v>
      </c>
      <c r="G111" s="46" t="s">
        <v>48</v>
      </c>
      <c r="H111" s="50" t="s">
        <v>43</v>
      </c>
      <c r="I111" s="53">
        <v>195</v>
      </c>
      <c r="J111" s="53">
        <v>175</v>
      </c>
      <c r="K111" s="58">
        <v>145</v>
      </c>
      <c r="L111" s="58">
        <v>130</v>
      </c>
      <c r="M111" s="58">
        <v>110</v>
      </c>
      <c r="N111" s="63">
        <v>175</v>
      </c>
      <c r="O111" s="63">
        <v>160</v>
      </c>
      <c r="P111" s="63">
        <v>135</v>
      </c>
      <c r="Q111" s="45" t="s">
        <v>54</v>
      </c>
      <c r="R111" s="69" t="s">
        <v>416</v>
      </c>
      <c r="S111" s="49" t="s">
        <v>514</v>
      </c>
      <c r="T111" s="43" t="s">
        <v>515</v>
      </c>
      <c r="U111" s="71">
        <v>311000015</v>
      </c>
      <c r="V111" s="71" t="s">
        <v>516</v>
      </c>
      <c r="W111" s="43" t="s">
        <v>517</v>
      </c>
      <c r="X111" s="71" t="s">
        <v>518</v>
      </c>
      <c r="Y111" s="71" t="s">
        <v>48</v>
      </c>
      <c r="Z111" s="48" t="s">
        <v>464</v>
      </c>
      <c r="AA111" s="75">
        <v>195</v>
      </c>
      <c r="AB111" s="75">
        <v>175</v>
      </c>
      <c r="AC111" s="80">
        <v>145</v>
      </c>
      <c r="AD111" s="80">
        <v>130</v>
      </c>
      <c r="AE111" s="80">
        <v>110</v>
      </c>
      <c r="AF111" s="79">
        <f t="shared" si="17"/>
        <v>0</v>
      </c>
      <c r="AG111" s="79" t="str">
        <f t="shared" si="18"/>
        <v>肾穿刺费</v>
      </c>
      <c r="AH111" s="79">
        <f t="shared" si="22"/>
        <v>175</v>
      </c>
      <c r="AI111" s="79">
        <f t="shared" si="23"/>
        <v>160</v>
      </c>
      <c r="AJ111" s="79">
        <f t="shared" si="24"/>
        <v>135</v>
      </c>
    </row>
    <row r="112" ht="25.5" spans="1:36">
      <c r="A112" s="81" t="s">
        <v>81</v>
      </c>
      <c r="B112" s="81" t="s">
        <v>519</v>
      </c>
      <c r="C112" s="81" t="s">
        <v>520</v>
      </c>
      <c r="D112" s="81" t="s">
        <v>213</v>
      </c>
      <c r="E112" s="81"/>
      <c r="F112" s="81"/>
      <c r="G112" s="81" t="s">
        <v>48</v>
      </c>
      <c r="H112" s="81"/>
      <c r="I112" s="56">
        <v>65</v>
      </c>
      <c r="J112" s="56">
        <v>59</v>
      </c>
      <c r="K112" s="57">
        <v>375</v>
      </c>
      <c r="L112" s="59">
        <v>47.2289156626506</v>
      </c>
      <c r="M112" s="84"/>
      <c r="N112" s="64">
        <v>60</v>
      </c>
      <c r="O112" s="64">
        <v>55</v>
      </c>
      <c r="P112" s="64">
        <v>47</v>
      </c>
      <c r="Q112" s="44" t="s">
        <v>54</v>
      </c>
      <c r="R112" s="69"/>
      <c r="S112" s="44" t="s">
        <v>426</v>
      </c>
      <c r="T112" s="43" t="s">
        <v>521</v>
      </c>
      <c r="U112" s="71">
        <v>311000017</v>
      </c>
      <c r="V112" s="43" t="s">
        <v>522</v>
      </c>
      <c r="W112" s="43" t="s">
        <v>523</v>
      </c>
      <c r="X112" s="71" t="s">
        <v>43</v>
      </c>
      <c r="Y112" s="71" t="s">
        <v>40</v>
      </c>
      <c r="Z112" s="48" t="s">
        <v>524</v>
      </c>
      <c r="AA112" s="75">
        <v>220</v>
      </c>
      <c r="AB112" s="75">
        <v>200</v>
      </c>
      <c r="AC112" s="80">
        <v>220</v>
      </c>
      <c r="AD112" s="80">
        <v>200</v>
      </c>
      <c r="AE112" s="80">
        <v>170</v>
      </c>
      <c r="AF112" s="79">
        <f t="shared" si="17"/>
        <v>12</v>
      </c>
      <c r="AG112" s="79" t="str">
        <f t="shared" si="18"/>
        <v>肾穿刺费</v>
      </c>
      <c r="AH112" s="79">
        <f t="shared" si="22"/>
        <v>235</v>
      </c>
      <c r="AI112" s="79">
        <f t="shared" si="23"/>
        <v>215</v>
      </c>
      <c r="AJ112" s="79">
        <f t="shared" si="24"/>
        <v>182</v>
      </c>
    </row>
    <row r="113" ht="25.5" spans="1:36">
      <c r="A113" s="81" t="s">
        <v>81</v>
      </c>
      <c r="B113" s="81" t="s">
        <v>519</v>
      </c>
      <c r="C113" s="81" t="s">
        <v>520</v>
      </c>
      <c r="D113" s="81" t="s">
        <v>213</v>
      </c>
      <c r="E113" s="81"/>
      <c r="F113" s="81"/>
      <c r="G113" s="81" t="s">
        <v>48</v>
      </c>
      <c r="H113" s="81"/>
      <c r="I113" s="56">
        <v>65</v>
      </c>
      <c r="J113" s="56">
        <v>59</v>
      </c>
      <c r="K113" s="57">
        <v>375</v>
      </c>
      <c r="L113" s="59">
        <v>47.2289156626506</v>
      </c>
      <c r="M113" s="84"/>
      <c r="N113" s="64">
        <v>60</v>
      </c>
      <c r="O113" s="64">
        <v>55</v>
      </c>
      <c r="P113" s="64">
        <v>47</v>
      </c>
      <c r="Q113" s="44" t="s">
        <v>54</v>
      </c>
      <c r="R113" s="69"/>
      <c r="S113" s="44" t="s">
        <v>426</v>
      </c>
      <c r="T113" s="45" t="s">
        <v>525</v>
      </c>
      <c r="U113" s="45">
        <v>31100001701</v>
      </c>
      <c r="V113" s="45" t="s">
        <v>526</v>
      </c>
      <c r="W113" s="43" t="s">
        <v>43</v>
      </c>
      <c r="X113" s="71" t="s">
        <v>43</v>
      </c>
      <c r="Y113" s="71" t="s">
        <v>40</v>
      </c>
      <c r="Z113" s="48" t="s">
        <v>527</v>
      </c>
      <c r="AA113" s="75">
        <v>880</v>
      </c>
      <c r="AB113" s="75">
        <v>790</v>
      </c>
      <c r="AC113" s="80">
        <v>880</v>
      </c>
      <c r="AD113" s="80">
        <v>800</v>
      </c>
      <c r="AE113" s="80">
        <v>680</v>
      </c>
      <c r="AF113" s="79">
        <f t="shared" si="17"/>
        <v>12</v>
      </c>
      <c r="AG113" s="79" t="str">
        <f t="shared" si="18"/>
        <v>肾穿刺费</v>
      </c>
      <c r="AH113" s="79">
        <f t="shared" si="22"/>
        <v>235</v>
      </c>
      <c r="AI113" s="79">
        <f t="shared" si="23"/>
        <v>215</v>
      </c>
      <c r="AJ113" s="79">
        <f t="shared" si="24"/>
        <v>182</v>
      </c>
    </row>
    <row r="114" ht="25.5" spans="1:36">
      <c r="A114" s="81" t="s">
        <v>81</v>
      </c>
      <c r="B114" s="81" t="s">
        <v>519</v>
      </c>
      <c r="C114" s="81" t="s">
        <v>520</v>
      </c>
      <c r="D114" s="81" t="s">
        <v>213</v>
      </c>
      <c r="E114" s="81"/>
      <c r="F114" s="81"/>
      <c r="G114" s="81" t="s">
        <v>48</v>
      </c>
      <c r="H114" s="81"/>
      <c r="I114" s="56">
        <v>65</v>
      </c>
      <c r="J114" s="56">
        <v>59</v>
      </c>
      <c r="K114" s="57">
        <v>375</v>
      </c>
      <c r="L114" s="59">
        <v>47.2289156626506</v>
      </c>
      <c r="M114" s="84"/>
      <c r="N114" s="64">
        <v>60</v>
      </c>
      <c r="O114" s="64">
        <v>55</v>
      </c>
      <c r="P114" s="64">
        <v>47</v>
      </c>
      <c r="Q114" s="44" t="s">
        <v>54</v>
      </c>
      <c r="R114" s="69"/>
      <c r="S114" s="44" t="s">
        <v>426</v>
      </c>
      <c r="T114" s="43" t="s">
        <v>528</v>
      </c>
      <c r="U114" s="71">
        <v>31100001702</v>
      </c>
      <c r="V114" s="43" t="s">
        <v>529</v>
      </c>
      <c r="W114" s="43" t="s">
        <v>43</v>
      </c>
      <c r="X114" s="71" t="s">
        <v>43</v>
      </c>
      <c r="Y114" s="71" t="s">
        <v>40</v>
      </c>
      <c r="Z114" s="48" t="s">
        <v>530</v>
      </c>
      <c r="AA114" s="75">
        <v>220</v>
      </c>
      <c r="AB114" s="75">
        <v>200</v>
      </c>
      <c r="AC114" s="80">
        <v>220</v>
      </c>
      <c r="AD114" s="80">
        <v>200</v>
      </c>
      <c r="AE114" s="80">
        <v>170</v>
      </c>
      <c r="AF114" s="79">
        <f t="shared" si="17"/>
        <v>12</v>
      </c>
      <c r="AG114" s="79" t="str">
        <f t="shared" si="18"/>
        <v>肾穿刺费</v>
      </c>
      <c r="AH114" s="79">
        <f t="shared" si="22"/>
        <v>235</v>
      </c>
      <c r="AI114" s="79">
        <f t="shared" si="23"/>
        <v>215</v>
      </c>
      <c r="AJ114" s="79">
        <f t="shared" si="24"/>
        <v>182</v>
      </c>
    </row>
    <row r="115" ht="27" customHeight="1" spans="1:36">
      <c r="A115" s="46" t="s">
        <v>81</v>
      </c>
      <c r="B115" s="46" t="s">
        <v>531</v>
      </c>
      <c r="C115" s="46" t="s">
        <v>532</v>
      </c>
      <c r="D115" s="46" t="s">
        <v>213</v>
      </c>
      <c r="E115" s="50" t="s">
        <v>43</v>
      </c>
      <c r="F115" s="50" t="s">
        <v>43</v>
      </c>
      <c r="G115" s="46" t="s">
        <v>48</v>
      </c>
      <c r="H115" s="50" t="s">
        <v>43</v>
      </c>
      <c r="I115" s="53">
        <v>195</v>
      </c>
      <c r="J115" s="53">
        <v>175</v>
      </c>
      <c r="K115" s="58"/>
      <c r="L115" s="58"/>
      <c r="M115" s="58"/>
      <c r="N115" s="63">
        <v>175</v>
      </c>
      <c r="O115" s="63">
        <v>160</v>
      </c>
      <c r="P115" s="63">
        <v>135</v>
      </c>
      <c r="Q115" s="45" t="s">
        <v>54</v>
      </c>
      <c r="R115" s="69"/>
      <c r="S115" s="49"/>
      <c r="T115" s="43" t="s">
        <v>533</v>
      </c>
      <c r="U115" s="71">
        <v>311000016</v>
      </c>
      <c r="V115" s="43" t="s">
        <v>534</v>
      </c>
      <c r="W115" s="43" t="s">
        <v>43</v>
      </c>
      <c r="X115" s="71" t="s">
        <v>43</v>
      </c>
      <c r="Y115" s="71" t="s">
        <v>40</v>
      </c>
      <c r="Z115" s="48" t="s">
        <v>43</v>
      </c>
      <c r="AA115" s="74" t="s">
        <v>43</v>
      </c>
      <c r="AB115" s="74" t="s">
        <v>43</v>
      </c>
      <c r="AC115" s="78" t="s">
        <v>43</v>
      </c>
      <c r="AD115" s="78" t="s">
        <v>43</v>
      </c>
      <c r="AE115" s="78" t="s">
        <v>43</v>
      </c>
      <c r="AF115" s="79">
        <f t="shared" si="17"/>
        <v>0</v>
      </c>
      <c r="AG115" s="79" t="str">
        <f t="shared" si="18"/>
        <v>肾穿刺费-肾封闭（扩展）</v>
      </c>
      <c r="AH115" s="79">
        <f t="shared" si="22"/>
        <v>175</v>
      </c>
      <c r="AI115" s="79">
        <f t="shared" si="23"/>
        <v>160</v>
      </c>
      <c r="AJ115" s="79">
        <f t="shared" si="24"/>
        <v>135</v>
      </c>
    </row>
    <row r="116" ht="27" customHeight="1" spans="1:36">
      <c r="A116" s="46" t="s">
        <v>81</v>
      </c>
      <c r="B116" s="46" t="s">
        <v>535</v>
      </c>
      <c r="C116" s="46" t="s">
        <v>536</v>
      </c>
      <c r="D116" s="46" t="s">
        <v>213</v>
      </c>
      <c r="E116" s="50" t="s">
        <v>43</v>
      </c>
      <c r="F116" s="50" t="s">
        <v>43</v>
      </c>
      <c r="G116" s="46" t="s">
        <v>48</v>
      </c>
      <c r="H116" s="50" t="s">
        <v>43</v>
      </c>
      <c r="I116" s="53">
        <v>59</v>
      </c>
      <c r="J116" s="53">
        <v>53</v>
      </c>
      <c r="K116" s="58">
        <v>45</v>
      </c>
      <c r="L116" s="58">
        <v>40</v>
      </c>
      <c r="M116" s="58">
        <v>35</v>
      </c>
      <c r="N116" s="63">
        <v>53</v>
      </c>
      <c r="O116" s="63">
        <v>48</v>
      </c>
      <c r="P116" s="63">
        <v>41</v>
      </c>
      <c r="Q116" s="45" t="s">
        <v>54</v>
      </c>
      <c r="R116" s="69"/>
      <c r="S116" s="49" t="s">
        <v>446</v>
      </c>
      <c r="T116" s="45" t="s">
        <v>537</v>
      </c>
      <c r="U116" s="45">
        <v>31100001501</v>
      </c>
      <c r="V116" s="45" t="s">
        <v>538</v>
      </c>
      <c r="W116" s="43" t="s">
        <v>43</v>
      </c>
      <c r="X116" s="71" t="s">
        <v>43</v>
      </c>
      <c r="Y116" s="71" t="s">
        <v>48</v>
      </c>
      <c r="Z116" s="48" t="s">
        <v>43</v>
      </c>
      <c r="AA116" s="75">
        <v>255</v>
      </c>
      <c r="AB116" s="75">
        <v>230</v>
      </c>
      <c r="AC116" s="80">
        <v>190</v>
      </c>
      <c r="AD116" s="80">
        <v>170</v>
      </c>
      <c r="AE116" s="80">
        <v>145</v>
      </c>
      <c r="AF116" s="79">
        <f t="shared" si="17"/>
        <v>8</v>
      </c>
      <c r="AG116" s="79" t="str">
        <f t="shared" si="18"/>
        <v>肾穿刺费</v>
      </c>
      <c r="AH116" s="79">
        <f t="shared" si="22"/>
        <v>228</v>
      </c>
      <c r="AI116" s="79">
        <f t="shared" si="23"/>
        <v>208</v>
      </c>
      <c r="AJ116" s="79">
        <f t="shared" si="24"/>
        <v>176</v>
      </c>
    </row>
    <row r="117" ht="51" spans="1:36">
      <c r="A117" s="47">
        <v>39</v>
      </c>
      <c r="B117" s="47" t="s">
        <v>539</v>
      </c>
      <c r="C117" s="47" t="s">
        <v>540</v>
      </c>
      <c r="D117" s="47" t="s">
        <v>213</v>
      </c>
      <c r="E117" s="47" t="s">
        <v>541</v>
      </c>
      <c r="F117" s="47" t="s">
        <v>542</v>
      </c>
      <c r="G117" s="47" t="s">
        <v>48</v>
      </c>
      <c r="H117" s="47"/>
      <c r="I117" s="56">
        <v>3455</v>
      </c>
      <c r="J117" s="56">
        <v>3110</v>
      </c>
      <c r="K117" s="83">
        <v>3155</v>
      </c>
      <c r="L117" s="58"/>
      <c r="M117" s="58"/>
      <c r="N117" s="64">
        <v>3155</v>
      </c>
      <c r="O117" s="64">
        <v>2880</v>
      </c>
      <c r="P117" s="64">
        <v>2450</v>
      </c>
      <c r="Q117" s="44" t="s">
        <v>54</v>
      </c>
      <c r="R117" s="70" t="s">
        <v>55</v>
      </c>
      <c r="S117" s="44" t="s">
        <v>55</v>
      </c>
      <c r="T117" s="43" t="s">
        <v>543</v>
      </c>
      <c r="U117" s="71">
        <v>331101005</v>
      </c>
      <c r="V117" s="43" t="s">
        <v>544</v>
      </c>
      <c r="W117" s="43" t="s">
        <v>43</v>
      </c>
      <c r="X117" s="71" t="s">
        <v>43</v>
      </c>
      <c r="Y117" s="71" t="s">
        <v>40</v>
      </c>
      <c r="Z117" s="48" t="s">
        <v>43</v>
      </c>
      <c r="AA117" s="75">
        <v>2880</v>
      </c>
      <c r="AB117" s="75">
        <v>2590</v>
      </c>
      <c r="AC117" s="80">
        <v>2530</v>
      </c>
      <c r="AD117" s="80">
        <v>2280</v>
      </c>
      <c r="AE117" s="80">
        <v>1940</v>
      </c>
      <c r="AF117" s="79">
        <f t="shared" si="17"/>
        <v>0</v>
      </c>
      <c r="AG117" s="79" t="str">
        <f t="shared" si="18"/>
        <v>肾周围淋巴管剥脱费</v>
      </c>
      <c r="AH117" s="79">
        <f t="shared" si="22"/>
        <v>3155</v>
      </c>
      <c r="AI117" s="79">
        <f t="shared" si="23"/>
        <v>2880</v>
      </c>
      <c r="AJ117" s="79">
        <f t="shared" si="24"/>
        <v>2450</v>
      </c>
    </row>
    <row r="118" ht="51" spans="1:36">
      <c r="A118" s="47">
        <v>39</v>
      </c>
      <c r="B118" s="47" t="s">
        <v>539</v>
      </c>
      <c r="C118" s="47" t="s">
        <v>540</v>
      </c>
      <c r="D118" s="47" t="s">
        <v>213</v>
      </c>
      <c r="E118" s="47" t="s">
        <v>541</v>
      </c>
      <c r="F118" s="47" t="s">
        <v>542</v>
      </c>
      <c r="G118" s="47" t="s">
        <v>48</v>
      </c>
      <c r="H118" s="47"/>
      <c r="I118" s="56">
        <v>3455</v>
      </c>
      <c r="J118" s="56">
        <v>3110</v>
      </c>
      <c r="K118" s="83">
        <v>3155</v>
      </c>
      <c r="L118" s="58"/>
      <c r="M118" s="58"/>
      <c r="N118" s="64">
        <v>3155</v>
      </c>
      <c r="O118" s="64">
        <v>2880</v>
      </c>
      <c r="P118" s="64">
        <v>2450</v>
      </c>
      <c r="Q118" s="44" t="s">
        <v>54</v>
      </c>
      <c r="R118" s="70" t="s">
        <v>55</v>
      </c>
      <c r="S118" s="44" t="s">
        <v>55</v>
      </c>
      <c r="T118" s="45" t="s">
        <v>545</v>
      </c>
      <c r="U118" s="45">
        <v>33110100502</v>
      </c>
      <c r="V118" s="45" t="s">
        <v>546</v>
      </c>
      <c r="W118" s="43" t="s">
        <v>43</v>
      </c>
      <c r="X118" s="71" t="s">
        <v>43</v>
      </c>
      <c r="Y118" s="71" t="s">
        <v>40</v>
      </c>
      <c r="Z118" s="48" t="s">
        <v>43</v>
      </c>
      <c r="AA118" s="75">
        <v>3680</v>
      </c>
      <c r="AB118" s="75">
        <v>3310</v>
      </c>
      <c r="AC118" s="80">
        <v>3155</v>
      </c>
      <c r="AD118" s="80">
        <v>2880</v>
      </c>
      <c r="AE118" s="80">
        <v>2450</v>
      </c>
      <c r="AF118" s="79">
        <f t="shared" si="17"/>
        <v>0</v>
      </c>
      <c r="AG118" s="79" t="str">
        <f t="shared" si="18"/>
        <v>肾周围淋巴管剥脱费</v>
      </c>
      <c r="AH118" s="79">
        <f t="shared" si="22"/>
        <v>3155</v>
      </c>
      <c r="AI118" s="79">
        <f t="shared" si="23"/>
        <v>2880</v>
      </c>
      <c r="AJ118" s="79">
        <f t="shared" si="24"/>
        <v>2450</v>
      </c>
    </row>
    <row r="119" ht="51" spans="1:36">
      <c r="A119" s="47">
        <v>39</v>
      </c>
      <c r="B119" s="47" t="s">
        <v>539</v>
      </c>
      <c r="C119" s="47" t="s">
        <v>540</v>
      </c>
      <c r="D119" s="47" t="s">
        <v>213</v>
      </c>
      <c r="E119" s="47" t="s">
        <v>541</v>
      </c>
      <c r="F119" s="47" t="s">
        <v>542</v>
      </c>
      <c r="G119" s="47" t="s">
        <v>48</v>
      </c>
      <c r="H119" s="47"/>
      <c r="I119" s="56">
        <v>3455</v>
      </c>
      <c r="J119" s="56">
        <v>3110</v>
      </c>
      <c r="K119" s="83">
        <v>3155</v>
      </c>
      <c r="L119" s="58"/>
      <c r="M119" s="58"/>
      <c r="N119" s="64">
        <v>3155</v>
      </c>
      <c r="O119" s="64">
        <v>2880</v>
      </c>
      <c r="P119" s="64">
        <v>2450</v>
      </c>
      <c r="Q119" s="44" t="s">
        <v>54</v>
      </c>
      <c r="R119" s="70" t="s">
        <v>55</v>
      </c>
      <c r="S119" s="44" t="s">
        <v>55</v>
      </c>
      <c r="T119" s="43" t="s">
        <v>547</v>
      </c>
      <c r="U119" s="71">
        <v>331101006</v>
      </c>
      <c r="V119" s="43" t="s">
        <v>548</v>
      </c>
      <c r="W119" s="43" t="s">
        <v>43</v>
      </c>
      <c r="X119" s="71" t="s">
        <v>43</v>
      </c>
      <c r="Y119" s="71" t="s">
        <v>40</v>
      </c>
      <c r="Z119" s="48" t="s">
        <v>43</v>
      </c>
      <c r="AA119" s="75">
        <v>2500</v>
      </c>
      <c r="AB119" s="75">
        <v>2240</v>
      </c>
      <c r="AC119" s="80">
        <v>2190</v>
      </c>
      <c r="AD119" s="80">
        <v>1970</v>
      </c>
      <c r="AE119" s="80">
        <v>1670</v>
      </c>
      <c r="AF119" s="79">
        <f t="shared" si="17"/>
        <v>0</v>
      </c>
      <c r="AG119" s="79" t="str">
        <f t="shared" si="18"/>
        <v>肾周围淋巴管剥脱费</v>
      </c>
      <c r="AH119" s="79">
        <f t="shared" si="22"/>
        <v>3155</v>
      </c>
      <c r="AI119" s="79">
        <f t="shared" si="23"/>
        <v>2880</v>
      </c>
      <c r="AJ119" s="79">
        <f t="shared" si="24"/>
        <v>2450</v>
      </c>
    </row>
    <row r="120" ht="51" spans="1:36">
      <c r="A120" s="47">
        <v>39</v>
      </c>
      <c r="B120" s="47" t="s">
        <v>539</v>
      </c>
      <c r="C120" s="47" t="s">
        <v>540</v>
      </c>
      <c r="D120" s="47" t="s">
        <v>213</v>
      </c>
      <c r="E120" s="47" t="s">
        <v>541</v>
      </c>
      <c r="F120" s="47" t="s">
        <v>542</v>
      </c>
      <c r="G120" s="47" t="s">
        <v>48</v>
      </c>
      <c r="H120" s="47"/>
      <c r="I120" s="56">
        <v>3455</v>
      </c>
      <c r="J120" s="56">
        <v>3110</v>
      </c>
      <c r="K120" s="83">
        <v>3155</v>
      </c>
      <c r="L120" s="58"/>
      <c r="M120" s="58"/>
      <c r="N120" s="64">
        <v>3155</v>
      </c>
      <c r="O120" s="64">
        <v>2880</v>
      </c>
      <c r="P120" s="64">
        <v>2450</v>
      </c>
      <c r="Q120" s="44" t="s">
        <v>54</v>
      </c>
      <c r="R120" s="70" t="s">
        <v>55</v>
      </c>
      <c r="S120" s="44" t="s">
        <v>55</v>
      </c>
      <c r="T120" s="43" t="s">
        <v>550</v>
      </c>
      <c r="U120" s="71">
        <v>33110100602</v>
      </c>
      <c r="V120" s="43" t="s">
        <v>551</v>
      </c>
      <c r="W120" s="43" t="s">
        <v>43</v>
      </c>
      <c r="X120" s="71" t="s">
        <v>43</v>
      </c>
      <c r="Y120" s="71" t="s">
        <v>40</v>
      </c>
      <c r="Z120" s="48" t="s">
        <v>43</v>
      </c>
      <c r="AA120" s="75">
        <v>3300</v>
      </c>
      <c r="AB120" s="75">
        <v>2960</v>
      </c>
      <c r="AC120" s="80">
        <v>2815</v>
      </c>
      <c r="AD120" s="80">
        <v>2570</v>
      </c>
      <c r="AE120" s="80">
        <v>2180</v>
      </c>
      <c r="AF120" s="79">
        <f t="shared" si="17"/>
        <v>0</v>
      </c>
      <c r="AG120" s="79" t="str">
        <f t="shared" si="18"/>
        <v>肾周围淋巴管剥脱费</v>
      </c>
      <c r="AH120" s="79">
        <f t="shared" si="22"/>
        <v>3155</v>
      </c>
      <c r="AI120" s="79">
        <f t="shared" si="23"/>
        <v>2880</v>
      </c>
      <c r="AJ120" s="79">
        <f t="shared" si="24"/>
        <v>2450</v>
      </c>
    </row>
    <row r="121" ht="25.5" spans="1:36">
      <c r="A121" s="47" t="s">
        <v>81</v>
      </c>
      <c r="B121" s="47" t="s">
        <v>552</v>
      </c>
      <c r="C121" s="47" t="s">
        <v>553</v>
      </c>
      <c r="D121" s="47" t="s">
        <v>213</v>
      </c>
      <c r="E121" s="47"/>
      <c r="F121" s="47"/>
      <c r="G121" s="47" t="s">
        <v>48</v>
      </c>
      <c r="H121" s="47"/>
      <c r="I121" s="56">
        <v>1037</v>
      </c>
      <c r="J121" s="56">
        <v>933</v>
      </c>
      <c r="K121" s="58"/>
      <c r="L121" s="58"/>
      <c r="M121" s="58"/>
      <c r="N121" s="64">
        <v>945</v>
      </c>
      <c r="O121" s="64">
        <v>865</v>
      </c>
      <c r="P121" s="64">
        <v>735</v>
      </c>
      <c r="Q121" s="44" t="s">
        <v>54</v>
      </c>
      <c r="R121" s="69"/>
      <c r="S121" s="44" t="s">
        <v>446</v>
      </c>
      <c r="T121" s="45" t="s">
        <v>554</v>
      </c>
      <c r="U121" s="45">
        <v>33110100501</v>
      </c>
      <c r="V121" s="45" t="s">
        <v>555</v>
      </c>
      <c r="W121" s="43" t="s">
        <v>43</v>
      </c>
      <c r="X121" s="71" t="s">
        <v>43</v>
      </c>
      <c r="Y121" s="71" t="s">
        <v>40</v>
      </c>
      <c r="Z121" s="48" t="s">
        <v>43</v>
      </c>
      <c r="AA121" s="75">
        <v>3745</v>
      </c>
      <c r="AB121" s="75">
        <v>3365</v>
      </c>
      <c r="AC121" s="80">
        <v>3290</v>
      </c>
      <c r="AD121" s="80">
        <v>2965</v>
      </c>
      <c r="AE121" s="80">
        <v>2520</v>
      </c>
      <c r="AF121" s="79">
        <f t="shared" si="17"/>
        <v>13</v>
      </c>
      <c r="AG121" s="79" t="str">
        <f t="shared" si="18"/>
        <v>肾周围淋巴管剥脱费</v>
      </c>
      <c r="AH121" s="79">
        <f t="shared" si="22"/>
        <v>4100</v>
      </c>
      <c r="AI121" s="79">
        <f t="shared" si="23"/>
        <v>3745</v>
      </c>
      <c r="AJ121" s="79">
        <f t="shared" si="24"/>
        <v>3185</v>
      </c>
    </row>
    <row r="122" ht="25.5" spans="1:36">
      <c r="A122" s="47" t="s">
        <v>81</v>
      </c>
      <c r="B122" s="47" t="s">
        <v>552</v>
      </c>
      <c r="C122" s="47" t="s">
        <v>553</v>
      </c>
      <c r="D122" s="47" t="s">
        <v>213</v>
      </c>
      <c r="E122" s="47"/>
      <c r="F122" s="47"/>
      <c r="G122" s="47" t="s">
        <v>48</v>
      </c>
      <c r="H122" s="47"/>
      <c r="I122" s="56">
        <v>1037</v>
      </c>
      <c r="J122" s="56">
        <v>933</v>
      </c>
      <c r="K122" s="58"/>
      <c r="L122" s="58"/>
      <c r="M122" s="58"/>
      <c r="N122" s="64">
        <v>945</v>
      </c>
      <c r="O122" s="64">
        <v>865</v>
      </c>
      <c r="P122" s="64">
        <v>735</v>
      </c>
      <c r="Q122" s="44" t="s">
        <v>54</v>
      </c>
      <c r="R122" s="69"/>
      <c r="S122" s="44" t="s">
        <v>446</v>
      </c>
      <c r="T122" s="45" t="s">
        <v>556</v>
      </c>
      <c r="U122" s="45">
        <v>33110100503</v>
      </c>
      <c r="V122" s="45" t="s">
        <v>557</v>
      </c>
      <c r="W122" s="43" t="s">
        <v>43</v>
      </c>
      <c r="X122" s="71" t="s">
        <v>43</v>
      </c>
      <c r="Y122" s="71" t="s">
        <v>40</v>
      </c>
      <c r="Z122" s="48" t="s">
        <v>43</v>
      </c>
      <c r="AA122" s="75">
        <v>4545</v>
      </c>
      <c r="AB122" s="75">
        <v>4085</v>
      </c>
      <c r="AC122" s="80">
        <v>3915</v>
      </c>
      <c r="AD122" s="80">
        <v>3565</v>
      </c>
      <c r="AE122" s="80">
        <v>3030</v>
      </c>
      <c r="AF122" s="79">
        <f t="shared" si="17"/>
        <v>13</v>
      </c>
      <c r="AG122" s="79" t="str">
        <f t="shared" si="18"/>
        <v>肾周围淋巴管剥脱费</v>
      </c>
      <c r="AH122" s="79">
        <f t="shared" si="22"/>
        <v>4100</v>
      </c>
      <c r="AI122" s="79">
        <f t="shared" si="23"/>
        <v>3745</v>
      </c>
      <c r="AJ122" s="79">
        <f t="shared" si="24"/>
        <v>3185</v>
      </c>
    </row>
    <row r="123" ht="25.5" spans="1:36">
      <c r="A123" s="47" t="s">
        <v>81</v>
      </c>
      <c r="B123" s="47" t="s">
        <v>552</v>
      </c>
      <c r="C123" s="47" t="s">
        <v>553</v>
      </c>
      <c r="D123" s="47" t="s">
        <v>213</v>
      </c>
      <c r="E123" s="47"/>
      <c r="F123" s="47"/>
      <c r="G123" s="47" t="s">
        <v>48</v>
      </c>
      <c r="H123" s="47"/>
      <c r="I123" s="56">
        <v>1037</v>
      </c>
      <c r="J123" s="56">
        <v>933</v>
      </c>
      <c r="K123" s="58"/>
      <c r="L123" s="58"/>
      <c r="M123" s="58"/>
      <c r="N123" s="64">
        <v>945</v>
      </c>
      <c r="O123" s="64">
        <v>865</v>
      </c>
      <c r="P123" s="64">
        <v>735</v>
      </c>
      <c r="Q123" s="44" t="s">
        <v>54</v>
      </c>
      <c r="R123" s="69"/>
      <c r="S123" s="44" t="s">
        <v>446</v>
      </c>
      <c r="T123" s="45" t="s">
        <v>558</v>
      </c>
      <c r="U123" s="45">
        <v>33110100601</v>
      </c>
      <c r="V123" s="45" t="s">
        <v>559</v>
      </c>
      <c r="W123" s="43" t="s">
        <v>43</v>
      </c>
      <c r="X123" s="71" t="s">
        <v>43</v>
      </c>
      <c r="Y123" s="71" t="s">
        <v>40</v>
      </c>
      <c r="Z123" s="48" t="s">
        <v>43</v>
      </c>
      <c r="AA123" s="75">
        <v>3250</v>
      </c>
      <c r="AB123" s="75">
        <v>2910</v>
      </c>
      <c r="AC123" s="80">
        <v>2845</v>
      </c>
      <c r="AD123" s="80">
        <v>2560</v>
      </c>
      <c r="AE123" s="80">
        <v>2175</v>
      </c>
      <c r="AF123" s="79">
        <f t="shared" si="17"/>
        <v>13</v>
      </c>
      <c r="AG123" s="79" t="str">
        <f t="shared" si="18"/>
        <v>肾周围淋巴管剥脱费</v>
      </c>
      <c r="AH123" s="79">
        <f t="shared" si="22"/>
        <v>4100</v>
      </c>
      <c r="AI123" s="79">
        <f t="shared" si="23"/>
        <v>3745</v>
      </c>
      <c r="AJ123" s="79">
        <f t="shared" si="24"/>
        <v>3185</v>
      </c>
    </row>
    <row r="124" ht="25.5" spans="1:36">
      <c r="A124" s="47" t="s">
        <v>81</v>
      </c>
      <c r="B124" s="47" t="s">
        <v>552</v>
      </c>
      <c r="C124" s="47" t="s">
        <v>553</v>
      </c>
      <c r="D124" s="47" t="s">
        <v>213</v>
      </c>
      <c r="E124" s="47"/>
      <c r="F124" s="47"/>
      <c r="G124" s="47" t="s">
        <v>48</v>
      </c>
      <c r="H124" s="47"/>
      <c r="I124" s="56">
        <v>1037</v>
      </c>
      <c r="J124" s="56">
        <v>933</v>
      </c>
      <c r="K124" s="58"/>
      <c r="L124" s="58"/>
      <c r="M124" s="58"/>
      <c r="N124" s="64">
        <v>945</v>
      </c>
      <c r="O124" s="64">
        <v>865</v>
      </c>
      <c r="P124" s="64">
        <v>735</v>
      </c>
      <c r="Q124" s="44" t="s">
        <v>54</v>
      </c>
      <c r="R124" s="69"/>
      <c r="S124" s="44" t="s">
        <v>446</v>
      </c>
      <c r="T124" s="45" t="s">
        <v>560</v>
      </c>
      <c r="U124" s="45">
        <v>33110100603</v>
      </c>
      <c r="V124" s="45" t="s">
        <v>561</v>
      </c>
      <c r="W124" s="43" t="s">
        <v>43</v>
      </c>
      <c r="X124" s="71" t="s">
        <v>43</v>
      </c>
      <c r="Y124" s="71" t="s">
        <v>40</v>
      </c>
      <c r="Z124" s="48" t="s">
        <v>43</v>
      </c>
      <c r="AA124" s="75">
        <v>4050</v>
      </c>
      <c r="AB124" s="75">
        <v>3630</v>
      </c>
      <c r="AC124" s="80">
        <v>3470</v>
      </c>
      <c r="AD124" s="80">
        <v>3160</v>
      </c>
      <c r="AE124" s="80">
        <v>2685</v>
      </c>
      <c r="AF124" s="79">
        <f t="shared" si="17"/>
        <v>13</v>
      </c>
      <c r="AG124" s="79" t="str">
        <f t="shared" si="18"/>
        <v>肾周围淋巴管剥脱费</v>
      </c>
      <c r="AH124" s="79">
        <f t="shared" si="22"/>
        <v>4100</v>
      </c>
      <c r="AI124" s="79">
        <f t="shared" si="23"/>
        <v>3745</v>
      </c>
      <c r="AJ124" s="79">
        <f t="shared" si="24"/>
        <v>3185</v>
      </c>
    </row>
    <row r="125" ht="51" spans="1:36">
      <c r="A125" s="47">
        <v>40</v>
      </c>
      <c r="B125" s="47" t="s">
        <v>562</v>
      </c>
      <c r="C125" s="47" t="s">
        <v>563</v>
      </c>
      <c r="D125" s="47" t="s">
        <v>213</v>
      </c>
      <c r="E125" s="47" t="s">
        <v>564</v>
      </c>
      <c r="F125" s="47" t="s">
        <v>565</v>
      </c>
      <c r="G125" s="47" t="s">
        <v>48</v>
      </c>
      <c r="H125" s="49"/>
      <c r="I125" s="56">
        <v>2485</v>
      </c>
      <c r="J125" s="56">
        <v>2237</v>
      </c>
      <c r="K125" s="58"/>
      <c r="L125" s="58"/>
      <c r="M125" s="58"/>
      <c r="N125" s="64">
        <v>2270</v>
      </c>
      <c r="O125" s="64">
        <v>2070</v>
      </c>
      <c r="P125" s="64">
        <v>1765</v>
      </c>
      <c r="Q125" s="44" t="s">
        <v>54</v>
      </c>
      <c r="R125" s="70" t="s">
        <v>67</v>
      </c>
      <c r="S125" s="44" t="s">
        <v>566</v>
      </c>
      <c r="T125" s="43" t="s">
        <v>567</v>
      </c>
      <c r="U125" s="71">
        <v>331101004</v>
      </c>
      <c r="V125" s="43" t="s">
        <v>568</v>
      </c>
      <c r="W125" s="43" t="s">
        <v>43</v>
      </c>
      <c r="X125" s="71" t="s">
        <v>43</v>
      </c>
      <c r="Y125" s="71" t="s">
        <v>40</v>
      </c>
      <c r="Z125" s="48" t="s">
        <v>43</v>
      </c>
      <c r="AA125" s="75">
        <v>1620</v>
      </c>
      <c r="AB125" s="75">
        <v>1460</v>
      </c>
      <c r="AC125" s="80">
        <v>1500</v>
      </c>
      <c r="AD125" s="80">
        <v>1440</v>
      </c>
      <c r="AE125" s="80">
        <v>1224</v>
      </c>
      <c r="AF125" s="79">
        <f t="shared" si="17"/>
        <v>0</v>
      </c>
      <c r="AG125" s="79" t="str">
        <f t="shared" si="18"/>
        <v>肾包膜剥脱费</v>
      </c>
      <c r="AH125" s="79">
        <f t="shared" si="22"/>
        <v>2270</v>
      </c>
      <c r="AI125" s="79">
        <f t="shared" si="23"/>
        <v>2070</v>
      </c>
      <c r="AJ125" s="79">
        <f t="shared" si="24"/>
        <v>1765</v>
      </c>
    </row>
    <row r="126" ht="51" spans="1:36">
      <c r="A126" s="47">
        <v>40</v>
      </c>
      <c r="B126" s="47" t="s">
        <v>562</v>
      </c>
      <c r="C126" s="47" t="s">
        <v>563</v>
      </c>
      <c r="D126" s="47" t="s">
        <v>213</v>
      </c>
      <c r="E126" s="47" t="s">
        <v>564</v>
      </c>
      <c r="F126" s="47" t="s">
        <v>565</v>
      </c>
      <c r="G126" s="47" t="s">
        <v>48</v>
      </c>
      <c r="H126" s="49"/>
      <c r="I126" s="56">
        <v>2485</v>
      </c>
      <c r="J126" s="56">
        <v>2237</v>
      </c>
      <c r="K126" s="58"/>
      <c r="L126" s="58"/>
      <c r="M126" s="58"/>
      <c r="N126" s="64">
        <v>2270</v>
      </c>
      <c r="O126" s="64">
        <v>2070</v>
      </c>
      <c r="P126" s="64">
        <v>1765</v>
      </c>
      <c r="Q126" s="44" t="s">
        <v>54</v>
      </c>
      <c r="R126" s="70" t="s">
        <v>67</v>
      </c>
      <c r="S126" s="44" t="s">
        <v>566</v>
      </c>
      <c r="T126" s="45" t="s">
        <v>569</v>
      </c>
      <c r="U126" s="45">
        <v>33110100402</v>
      </c>
      <c r="V126" s="45" t="s">
        <v>570</v>
      </c>
      <c r="W126" s="43" t="s">
        <v>43</v>
      </c>
      <c r="X126" s="71" t="s">
        <v>43</v>
      </c>
      <c r="Y126" s="71" t="s">
        <v>40</v>
      </c>
      <c r="Z126" s="48" t="s">
        <v>43</v>
      </c>
      <c r="AA126" s="75">
        <v>2420</v>
      </c>
      <c r="AB126" s="75">
        <v>2180</v>
      </c>
      <c r="AC126" s="80">
        <v>2125</v>
      </c>
      <c r="AD126" s="80">
        <v>2040</v>
      </c>
      <c r="AE126" s="80">
        <v>1734</v>
      </c>
      <c r="AF126" s="79">
        <f t="shared" si="17"/>
        <v>0</v>
      </c>
      <c r="AG126" s="79" t="str">
        <f t="shared" si="18"/>
        <v>肾包膜剥脱费</v>
      </c>
      <c r="AH126" s="79">
        <f t="shared" si="22"/>
        <v>2270</v>
      </c>
      <c r="AI126" s="79">
        <f t="shared" si="23"/>
        <v>2070</v>
      </c>
      <c r="AJ126" s="79">
        <f t="shared" si="24"/>
        <v>1765</v>
      </c>
    </row>
    <row r="127" ht="51" spans="1:36">
      <c r="A127" s="47">
        <v>40</v>
      </c>
      <c r="B127" s="47" t="s">
        <v>562</v>
      </c>
      <c r="C127" s="47" t="s">
        <v>563</v>
      </c>
      <c r="D127" s="47" t="s">
        <v>213</v>
      </c>
      <c r="E127" s="47" t="s">
        <v>564</v>
      </c>
      <c r="F127" s="47" t="s">
        <v>565</v>
      </c>
      <c r="G127" s="47" t="s">
        <v>48</v>
      </c>
      <c r="H127" s="49"/>
      <c r="I127" s="56">
        <v>2485</v>
      </c>
      <c r="J127" s="56">
        <v>2237</v>
      </c>
      <c r="K127" s="58"/>
      <c r="L127" s="58"/>
      <c r="M127" s="58"/>
      <c r="N127" s="64">
        <v>2270</v>
      </c>
      <c r="O127" s="64">
        <v>2070</v>
      </c>
      <c r="P127" s="64">
        <v>1765</v>
      </c>
      <c r="Q127" s="44" t="s">
        <v>54</v>
      </c>
      <c r="R127" s="70" t="s">
        <v>67</v>
      </c>
      <c r="S127" s="44" t="s">
        <v>566</v>
      </c>
      <c r="T127" s="43" t="s">
        <v>547</v>
      </c>
      <c r="U127" s="71">
        <v>331101006</v>
      </c>
      <c r="V127" s="43" t="s">
        <v>548</v>
      </c>
      <c r="W127" s="43" t="s">
        <v>43</v>
      </c>
      <c r="X127" s="71" t="s">
        <v>43</v>
      </c>
      <c r="Y127" s="71" t="s">
        <v>40</v>
      </c>
      <c r="Z127" s="48" t="s">
        <v>43</v>
      </c>
      <c r="AA127" s="75">
        <v>2500</v>
      </c>
      <c r="AB127" s="75">
        <v>2240</v>
      </c>
      <c r="AC127" s="80">
        <v>2190</v>
      </c>
      <c r="AD127" s="80">
        <v>1970</v>
      </c>
      <c r="AE127" s="80">
        <v>1670</v>
      </c>
      <c r="AF127" s="79">
        <f t="shared" si="17"/>
        <v>0</v>
      </c>
      <c r="AG127" s="79" t="str">
        <f t="shared" si="18"/>
        <v>肾包膜剥脱费</v>
      </c>
      <c r="AH127" s="79">
        <f t="shared" si="22"/>
        <v>2270</v>
      </c>
      <c r="AI127" s="79">
        <f t="shared" si="23"/>
        <v>2070</v>
      </c>
      <c r="AJ127" s="79">
        <f t="shared" si="24"/>
        <v>1765</v>
      </c>
    </row>
    <row r="128" ht="51" spans="1:36">
      <c r="A128" s="47">
        <v>40</v>
      </c>
      <c r="B128" s="47" t="s">
        <v>562</v>
      </c>
      <c r="C128" s="47" t="s">
        <v>563</v>
      </c>
      <c r="D128" s="47" t="s">
        <v>213</v>
      </c>
      <c r="E128" s="47" t="s">
        <v>564</v>
      </c>
      <c r="F128" s="47" t="s">
        <v>565</v>
      </c>
      <c r="G128" s="47" t="s">
        <v>48</v>
      </c>
      <c r="H128" s="49"/>
      <c r="I128" s="56">
        <v>2485</v>
      </c>
      <c r="J128" s="56">
        <v>2237</v>
      </c>
      <c r="K128" s="58"/>
      <c r="L128" s="58"/>
      <c r="M128" s="58"/>
      <c r="N128" s="64">
        <v>2270</v>
      </c>
      <c r="O128" s="64">
        <v>2070</v>
      </c>
      <c r="P128" s="64">
        <v>1765</v>
      </c>
      <c r="Q128" s="44" t="s">
        <v>54</v>
      </c>
      <c r="R128" s="70" t="s">
        <v>67</v>
      </c>
      <c r="S128" s="44" t="s">
        <v>566</v>
      </c>
      <c r="T128" s="45" t="s">
        <v>550</v>
      </c>
      <c r="U128" s="45">
        <v>33110100602</v>
      </c>
      <c r="V128" s="45" t="s">
        <v>551</v>
      </c>
      <c r="W128" s="43" t="s">
        <v>43</v>
      </c>
      <c r="X128" s="71" t="s">
        <v>43</v>
      </c>
      <c r="Y128" s="71" t="s">
        <v>40</v>
      </c>
      <c r="Z128" s="48" t="s">
        <v>43</v>
      </c>
      <c r="AA128" s="75">
        <v>3300</v>
      </c>
      <c r="AB128" s="75">
        <v>2960</v>
      </c>
      <c r="AC128" s="80">
        <v>2815</v>
      </c>
      <c r="AD128" s="80">
        <v>2570</v>
      </c>
      <c r="AE128" s="80">
        <v>2180</v>
      </c>
      <c r="AF128" s="79">
        <f t="shared" si="17"/>
        <v>0</v>
      </c>
      <c r="AG128" s="79" t="str">
        <f t="shared" si="18"/>
        <v>肾包膜剥脱费</v>
      </c>
      <c r="AH128" s="79">
        <f t="shared" si="22"/>
        <v>2270</v>
      </c>
      <c r="AI128" s="79">
        <f t="shared" si="23"/>
        <v>2070</v>
      </c>
      <c r="AJ128" s="79">
        <f t="shared" si="24"/>
        <v>1765</v>
      </c>
    </row>
    <row r="129" ht="25.5" spans="1:36">
      <c r="A129" s="47" t="s">
        <v>81</v>
      </c>
      <c r="B129" s="47" t="s">
        <v>571</v>
      </c>
      <c r="C129" s="47" t="s">
        <v>572</v>
      </c>
      <c r="D129" s="47" t="s">
        <v>213</v>
      </c>
      <c r="E129" s="47"/>
      <c r="F129" s="47"/>
      <c r="G129" s="47" t="s">
        <v>48</v>
      </c>
      <c r="H129" s="47"/>
      <c r="I129" s="56">
        <v>745</v>
      </c>
      <c r="J129" s="56">
        <v>671</v>
      </c>
      <c r="K129" s="58"/>
      <c r="L129" s="58"/>
      <c r="M129" s="58"/>
      <c r="N129" s="64">
        <v>680</v>
      </c>
      <c r="O129" s="64">
        <v>620</v>
      </c>
      <c r="P129" s="64">
        <v>530</v>
      </c>
      <c r="Q129" s="44" t="s">
        <v>54</v>
      </c>
      <c r="R129" s="69"/>
      <c r="S129" s="44" t="s">
        <v>446</v>
      </c>
      <c r="T129" s="45" t="s">
        <v>573</v>
      </c>
      <c r="U129" s="45">
        <v>33110100401</v>
      </c>
      <c r="V129" s="45" t="s">
        <v>574</v>
      </c>
      <c r="W129" s="43" t="s">
        <v>43</v>
      </c>
      <c r="X129" s="71" t="s">
        <v>43</v>
      </c>
      <c r="Y129" s="71" t="s">
        <v>40</v>
      </c>
      <c r="Z129" s="48" t="s">
        <v>43</v>
      </c>
      <c r="AA129" s="75">
        <v>2105</v>
      </c>
      <c r="AB129" s="75">
        <v>1900</v>
      </c>
      <c r="AC129" s="80">
        <v>1950</v>
      </c>
      <c r="AD129" s="80">
        <v>1870</v>
      </c>
      <c r="AE129" s="80">
        <v>1590</v>
      </c>
      <c r="AF129" s="79">
        <f t="shared" si="17"/>
        <v>10</v>
      </c>
      <c r="AG129" s="79" t="str">
        <f t="shared" si="18"/>
        <v>肾包膜剥脱费</v>
      </c>
      <c r="AH129" s="79">
        <f t="shared" si="22"/>
        <v>2950</v>
      </c>
      <c r="AI129" s="79">
        <f t="shared" si="23"/>
        <v>2690</v>
      </c>
      <c r="AJ129" s="79">
        <f t="shared" si="24"/>
        <v>2295</v>
      </c>
    </row>
    <row r="130" ht="25.5" spans="1:36">
      <c r="A130" s="47" t="s">
        <v>81</v>
      </c>
      <c r="B130" s="47" t="s">
        <v>571</v>
      </c>
      <c r="C130" s="47" t="s">
        <v>572</v>
      </c>
      <c r="D130" s="47" t="s">
        <v>213</v>
      </c>
      <c r="E130" s="47"/>
      <c r="F130" s="47"/>
      <c r="G130" s="47" t="s">
        <v>48</v>
      </c>
      <c r="H130" s="47"/>
      <c r="I130" s="56">
        <v>745</v>
      </c>
      <c r="J130" s="56">
        <v>671</v>
      </c>
      <c r="K130" s="58"/>
      <c r="L130" s="58"/>
      <c r="M130" s="58"/>
      <c r="N130" s="64">
        <v>680</v>
      </c>
      <c r="O130" s="64">
        <v>620</v>
      </c>
      <c r="P130" s="64">
        <v>530</v>
      </c>
      <c r="Q130" s="44" t="s">
        <v>54</v>
      </c>
      <c r="R130" s="69"/>
      <c r="S130" s="44" t="s">
        <v>446</v>
      </c>
      <c r="T130" s="45" t="s">
        <v>575</v>
      </c>
      <c r="U130" s="45">
        <v>33110100403</v>
      </c>
      <c r="V130" s="45" t="s">
        <v>576</v>
      </c>
      <c r="W130" s="43" t="s">
        <v>43</v>
      </c>
      <c r="X130" s="71" t="s">
        <v>43</v>
      </c>
      <c r="Y130" s="71" t="s">
        <v>40</v>
      </c>
      <c r="Z130" s="48" t="s">
        <v>43</v>
      </c>
      <c r="AA130" s="75">
        <v>2905</v>
      </c>
      <c r="AB130" s="75">
        <v>2620</v>
      </c>
      <c r="AC130" s="80">
        <v>2575</v>
      </c>
      <c r="AD130" s="80">
        <v>2470</v>
      </c>
      <c r="AE130" s="80">
        <v>2100</v>
      </c>
      <c r="AF130" s="79">
        <f t="shared" si="17"/>
        <v>10</v>
      </c>
      <c r="AG130" s="79" t="str">
        <f t="shared" si="18"/>
        <v>肾包膜剥脱费</v>
      </c>
      <c r="AH130" s="79">
        <f t="shared" si="22"/>
        <v>2950</v>
      </c>
      <c r="AI130" s="79">
        <f t="shared" si="23"/>
        <v>2690</v>
      </c>
      <c r="AJ130" s="79">
        <f t="shared" si="24"/>
        <v>2295</v>
      </c>
    </row>
    <row r="131" ht="25.5" spans="1:36">
      <c r="A131" s="47" t="s">
        <v>81</v>
      </c>
      <c r="B131" s="47" t="s">
        <v>571</v>
      </c>
      <c r="C131" s="47" t="s">
        <v>572</v>
      </c>
      <c r="D131" s="47" t="s">
        <v>213</v>
      </c>
      <c r="E131" s="47"/>
      <c r="F131" s="47"/>
      <c r="G131" s="47" t="s">
        <v>48</v>
      </c>
      <c r="H131" s="47"/>
      <c r="I131" s="56">
        <v>745</v>
      </c>
      <c r="J131" s="56">
        <v>671</v>
      </c>
      <c r="K131" s="58"/>
      <c r="L131" s="58"/>
      <c r="M131" s="58"/>
      <c r="N131" s="64">
        <v>680</v>
      </c>
      <c r="O131" s="64">
        <v>620</v>
      </c>
      <c r="P131" s="64">
        <v>530</v>
      </c>
      <c r="Q131" s="44" t="s">
        <v>54</v>
      </c>
      <c r="R131" s="69"/>
      <c r="S131" s="44" t="s">
        <v>446</v>
      </c>
      <c r="T131" s="45" t="s">
        <v>558</v>
      </c>
      <c r="U131" s="45">
        <v>33110100601</v>
      </c>
      <c r="V131" s="45" t="s">
        <v>559</v>
      </c>
      <c r="W131" s="43" t="s">
        <v>43</v>
      </c>
      <c r="X131" s="71" t="s">
        <v>43</v>
      </c>
      <c r="Y131" s="71" t="s">
        <v>40</v>
      </c>
      <c r="Z131" s="48" t="s">
        <v>43</v>
      </c>
      <c r="AA131" s="75">
        <v>3250</v>
      </c>
      <c r="AB131" s="75">
        <v>2910</v>
      </c>
      <c r="AC131" s="80">
        <v>2845</v>
      </c>
      <c r="AD131" s="80">
        <v>2560</v>
      </c>
      <c r="AE131" s="80">
        <v>2175</v>
      </c>
      <c r="AF131" s="79">
        <f t="shared" si="17"/>
        <v>10</v>
      </c>
      <c r="AG131" s="79" t="str">
        <f t="shared" si="18"/>
        <v>肾包膜剥脱费</v>
      </c>
      <c r="AH131" s="79">
        <f t="shared" si="22"/>
        <v>2950</v>
      </c>
      <c r="AI131" s="79">
        <f t="shared" si="23"/>
        <v>2690</v>
      </c>
      <c r="AJ131" s="79">
        <f t="shared" si="24"/>
        <v>2295</v>
      </c>
    </row>
    <row r="132" ht="25.5" spans="1:36">
      <c r="A132" s="47" t="s">
        <v>81</v>
      </c>
      <c r="B132" s="47" t="s">
        <v>571</v>
      </c>
      <c r="C132" s="47" t="s">
        <v>572</v>
      </c>
      <c r="D132" s="47" t="s">
        <v>213</v>
      </c>
      <c r="E132" s="47"/>
      <c r="F132" s="47"/>
      <c r="G132" s="47" t="s">
        <v>48</v>
      </c>
      <c r="H132" s="47"/>
      <c r="I132" s="56">
        <v>745</v>
      </c>
      <c r="J132" s="56">
        <v>671</v>
      </c>
      <c r="K132" s="58"/>
      <c r="L132" s="58"/>
      <c r="M132" s="58"/>
      <c r="N132" s="64">
        <v>680</v>
      </c>
      <c r="O132" s="64">
        <v>620</v>
      </c>
      <c r="P132" s="64">
        <v>530</v>
      </c>
      <c r="Q132" s="44" t="s">
        <v>54</v>
      </c>
      <c r="R132" s="69"/>
      <c r="S132" s="44" t="s">
        <v>446</v>
      </c>
      <c r="T132" s="45" t="s">
        <v>560</v>
      </c>
      <c r="U132" s="45">
        <v>33110100603</v>
      </c>
      <c r="V132" s="45" t="s">
        <v>561</v>
      </c>
      <c r="W132" s="43" t="s">
        <v>43</v>
      </c>
      <c r="X132" s="71" t="s">
        <v>43</v>
      </c>
      <c r="Y132" s="71" t="s">
        <v>40</v>
      </c>
      <c r="Z132" s="48" t="s">
        <v>43</v>
      </c>
      <c r="AA132" s="75">
        <v>4050</v>
      </c>
      <c r="AB132" s="75">
        <v>3630</v>
      </c>
      <c r="AC132" s="80">
        <v>3470</v>
      </c>
      <c r="AD132" s="80">
        <v>3160</v>
      </c>
      <c r="AE132" s="80">
        <v>2685</v>
      </c>
      <c r="AF132" s="79">
        <f t="shared" si="17"/>
        <v>10</v>
      </c>
      <c r="AG132" s="79" t="str">
        <f t="shared" si="18"/>
        <v>肾包膜剥脱费</v>
      </c>
      <c r="AH132" s="79">
        <f t="shared" si="22"/>
        <v>2950</v>
      </c>
      <c r="AI132" s="79">
        <f t="shared" si="23"/>
        <v>2690</v>
      </c>
      <c r="AJ132" s="79">
        <f t="shared" si="24"/>
        <v>2295</v>
      </c>
    </row>
    <row r="133" ht="51" spans="1:36">
      <c r="A133" s="47">
        <v>41</v>
      </c>
      <c r="B133" s="47" t="s">
        <v>577</v>
      </c>
      <c r="C133" s="47" t="s">
        <v>578</v>
      </c>
      <c r="D133" s="47" t="s">
        <v>213</v>
      </c>
      <c r="E133" s="47" t="s">
        <v>579</v>
      </c>
      <c r="F133" s="47" t="s">
        <v>580</v>
      </c>
      <c r="G133" s="47" t="s">
        <v>40</v>
      </c>
      <c r="H133" s="47"/>
      <c r="I133" s="56">
        <v>3070</v>
      </c>
      <c r="J133" s="56">
        <v>2763</v>
      </c>
      <c r="K133" s="84"/>
      <c r="L133" s="58"/>
      <c r="M133" s="58"/>
      <c r="N133" s="64">
        <v>2770</v>
      </c>
      <c r="O133" s="64">
        <v>2500</v>
      </c>
      <c r="P133" s="64">
        <v>2150</v>
      </c>
      <c r="Q133" s="44" t="s">
        <v>54</v>
      </c>
      <c r="R133" s="70" t="s">
        <v>67</v>
      </c>
      <c r="S133" s="44" t="s">
        <v>566</v>
      </c>
      <c r="T133" s="43" t="s">
        <v>581</v>
      </c>
      <c r="U133" s="71">
        <v>331101012</v>
      </c>
      <c r="V133" s="43" t="s">
        <v>582</v>
      </c>
      <c r="W133" s="43" t="s">
        <v>43</v>
      </c>
      <c r="X133" s="71" t="s">
        <v>43</v>
      </c>
      <c r="Y133" s="71" t="s">
        <v>40</v>
      </c>
      <c r="Z133" s="48" t="s">
        <v>43</v>
      </c>
      <c r="AA133" s="75">
        <v>3070</v>
      </c>
      <c r="AB133" s="75">
        <v>2760</v>
      </c>
      <c r="AC133" s="80">
        <v>2700</v>
      </c>
      <c r="AD133" s="80">
        <v>2430</v>
      </c>
      <c r="AE133" s="80">
        <v>2070</v>
      </c>
      <c r="AF133" s="79">
        <f t="shared" si="17"/>
        <v>0</v>
      </c>
      <c r="AG133" s="79" t="str">
        <f t="shared" si="18"/>
        <v>融合肾分解费</v>
      </c>
      <c r="AH133" s="79">
        <f t="shared" si="22"/>
        <v>2770</v>
      </c>
      <c r="AI133" s="79">
        <f t="shared" si="23"/>
        <v>2500</v>
      </c>
      <c r="AJ133" s="79">
        <f t="shared" si="24"/>
        <v>2150</v>
      </c>
    </row>
    <row r="134" ht="51" spans="1:36">
      <c r="A134" s="47">
        <v>41</v>
      </c>
      <c r="B134" s="47" t="s">
        <v>577</v>
      </c>
      <c r="C134" s="47" t="s">
        <v>578</v>
      </c>
      <c r="D134" s="47" t="s">
        <v>213</v>
      </c>
      <c r="E134" s="47" t="s">
        <v>579</v>
      </c>
      <c r="F134" s="47" t="s">
        <v>580</v>
      </c>
      <c r="G134" s="47" t="s">
        <v>40</v>
      </c>
      <c r="H134" s="47"/>
      <c r="I134" s="56">
        <v>3070</v>
      </c>
      <c r="J134" s="56">
        <v>2763</v>
      </c>
      <c r="K134" s="84"/>
      <c r="L134" s="58"/>
      <c r="M134" s="58"/>
      <c r="N134" s="64">
        <v>2770</v>
      </c>
      <c r="O134" s="64">
        <v>2500</v>
      </c>
      <c r="P134" s="64">
        <v>2150</v>
      </c>
      <c r="Q134" s="44" t="s">
        <v>54</v>
      </c>
      <c r="R134" s="70" t="s">
        <v>67</v>
      </c>
      <c r="S134" s="44" t="s">
        <v>566</v>
      </c>
      <c r="T134" s="45" t="s">
        <v>583</v>
      </c>
      <c r="U134" s="45">
        <v>33110101202</v>
      </c>
      <c r="V134" s="45" t="s">
        <v>584</v>
      </c>
      <c r="W134" s="43" t="s">
        <v>43</v>
      </c>
      <c r="X134" s="71" t="s">
        <v>43</v>
      </c>
      <c r="Y134" s="71" t="s">
        <v>40</v>
      </c>
      <c r="Z134" s="48" t="s">
        <v>43</v>
      </c>
      <c r="AA134" s="75">
        <v>3870</v>
      </c>
      <c r="AB134" s="75">
        <v>3480</v>
      </c>
      <c r="AC134" s="80">
        <v>3325</v>
      </c>
      <c r="AD134" s="80">
        <v>3030</v>
      </c>
      <c r="AE134" s="80">
        <v>2580</v>
      </c>
      <c r="AF134" s="79">
        <f t="shared" ref="AF134:AF197" si="25">IFERROR(FIND("（加收）",C134,1),0)</f>
        <v>0</v>
      </c>
      <c r="AG134" s="79" t="str">
        <f t="shared" ref="AG134:AG197" si="26">IF(AF134&gt;0,LEFT(C134,IFERROR(FIND("-",C134,1),1)-1),C134)</f>
        <v>融合肾分解费</v>
      </c>
      <c r="AH134" s="79">
        <f t="shared" si="22"/>
        <v>2770</v>
      </c>
      <c r="AI134" s="79">
        <f t="shared" si="23"/>
        <v>2500</v>
      </c>
      <c r="AJ134" s="79">
        <f t="shared" si="24"/>
        <v>2150</v>
      </c>
    </row>
    <row r="135" ht="51" spans="1:36">
      <c r="A135" s="47">
        <v>41</v>
      </c>
      <c r="B135" s="47" t="s">
        <v>577</v>
      </c>
      <c r="C135" s="47" t="s">
        <v>578</v>
      </c>
      <c r="D135" s="47" t="s">
        <v>213</v>
      </c>
      <c r="E135" s="47" t="s">
        <v>579</v>
      </c>
      <c r="F135" s="47" t="s">
        <v>580</v>
      </c>
      <c r="G135" s="47" t="s">
        <v>40</v>
      </c>
      <c r="H135" s="47"/>
      <c r="I135" s="56">
        <v>3070</v>
      </c>
      <c r="J135" s="56">
        <v>2763</v>
      </c>
      <c r="K135" s="84"/>
      <c r="L135" s="58"/>
      <c r="M135" s="58"/>
      <c r="N135" s="64">
        <v>2770</v>
      </c>
      <c r="O135" s="64">
        <v>2500</v>
      </c>
      <c r="P135" s="64">
        <v>2150</v>
      </c>
      <c r="Q135" s="44" t="s">
        <v>54</v>
      </c>
      <c r="R135" s="70" t="s">
        <v>67</v>
      </c>
      <c r="S135" s="44" t="s">
        <v>566</v>
      </c>
      <c r="T135" s="43" t="s">
        <v>547</v>
      </c>
      <c r="U135" s="71">
        <v>331101006</v>
      </c>
      <c r="V135" s="43" t="s">
        <v>548</v>
      </c>
      <c r="W135" s="43" t="s">
        <v>43</v>
      </c>
      <c r="X135" s="71" t="s">
        <v>43</v>
      </c>
      <c r="Y135" s="71" t="s">
        <v>40</v>
      </c>
      <c r="Z135" s="48" t="s">
        <v>43</v>
      </c>
      <c r="AA135" s="75">
        <v>2500</v>
      </c>
      <c r="AB135" s="75">
        <v>2240</v>
      </c>
      <c r="AC135" s="80">
        <v>2190</v>
      </c>
      <c r="AD135" s="80">
        <v>1970</v>
      </c>
      <c r="AE135" s="80">
        <v>1670</v>
      </c>
      <c r="AF135" s="79">
        <f t="shared" si="25"/>
        <v>0</v>
      </c>
      <c r="AG135" s="79" t="str">
        <f t="shared" si="26"/>
        <v>融合肾分解费</v>
      </c>
      <c r="AH135" s="79">
        <f t="shared" si="22"/>
        <v>2770</v>
      </c>
      <c r="AI135" s="79">
        <f t="shared" si="23"/>
        <v>2500</v>
      </c>
      <c r="AJ135" s="79">
        <f t="shared" si="24"/>
        <v>2150</v>
      </c>
    </row>
    <row r="136" ht="51" spans="1:36">
      <c r="A136" s="47">
        <v>41</v>
      </c>
      <c r="B136" s="47" t="s">
        <v>577</v>
      </c>
      <c r="C136" s="47" t="s">
        <v>578</v>
      </c>
      <c r="D136" s="47" t="s">
        <v>213</v>
      </c>
      <c r="E136" s="47" t="s">
        <v>579</v>
      </c>
      <c r="F136" s="47" t="s">
        <v>580</v>
      </c>
      <c r="G136" s="47" t="s">
        <v>40</v>
      </c>
      <c r="H136" s="47"/>
      <c r="I136" s="56">
        <v>3070</v>
      </c>
      <c r="J136" s="56">
        <v>2763</v>
      </c>
      <c r="K136" s="84"/>
      <c r="L136" s="58"/>
      <c r="M136" s="58"/>
      <c r="N136" s="64">
        <v>2770</v>
      </c>
      <c r="O136" s="64">
        <v>2500</v>
      </c>
      <c r="P136" s="64">
        <v>2150</v>
      </c>
      <c r="Q136" s="44" t="s">
        <v>54</v>
      </c>
      <c r="R136" s="70" t="s">
        <v>67</v>
      </c>
      <c r="S136" s="44" t="s">
        <v>566</v>
      </c>
      <c r="T136" s="45" t="s">
        <v>550</v>
      </c>
      <c r="U136" s="45">
        <v>33110100602</v>
      </c>
      <c r="V136" s="45" t="s">
        <v>551</v>
      </c>
      <c r="W136" s="43" t="s">
        <v>43</v>
      </c>
      <c r="X136" s="71" t="s">
        <v>43</v>
      </c>
      <c r="Y136" s="71" t="s">
        <v>40</v>
      </c>
      <c r="Z136" s="48" t="s">
        <v>43</v>
      </c>
      <c r="AA136" s="75">
        <v>3300</v>
      </c>
      <c r="AB136" s="75">
        <v>2960</v>
      </c>
      <c r="AC136" s="80">
        <v>2815</v>
      </c>
      <c r="AD136" s="80">
        <v>2570</v>
      </c>
      <c r="AE136" s="80">
        <v>2180</v>
      </c>
      <c r="AF136" s="79">
        <f t="shared" si="25"/>
        <v>0</v>
      </c>
      <c r="AG136" s="79" t="str">
        <f t="shared" si="26"/>
        <v>融合肾分解费</v>
      </c>
      <c r="AH136" s="79">
        <f t="shared" si="22"/>
        <v>2770</v>
      </c>
      <c r="AI136" s="79">
        <f t="shared" si="23"/>
        <v>2500</v>
      </c>
      <c r="AJ136" s="79">
        <f t="shared" si="24"/>
        <v>2150</v>
      </c>
    </row>
    <row r="137" ht="25.5" spans="1:36">
      <c r="A137" s="47" t="s">
        <v>81</v>
      </c>
      <c r="B137" s="47" t="s">
        <v>585</v>
      </c>
      <c r="C137" s="47" t="s">
        <v>586</v>
      </c>
      <c r="D137" s="47" t="s">
        <v>213</v>
      </c>
      <c r="E137" s="47"/>
      <c r="F137" s="47"/>
      <c r="G137" s="47" t="s">
        <v>40</v>
      </c>
      <c r="H137" s="47"/>
      <c r="I137" s="56">
        <v>921</v>
      </c>
      <c r="J137" s="56">
        <v>829</v>
      </c>
      <c r="K137" s="58"/>
      <c r="L137" s="58"/>
      <c r="M137" s="58"/>
      <c r="N137" s="64">
        <v>830</v>
      </c>
      <c r="O137" s="64">
        <v>750</v>
      </c>
      <c r="P137" s="64">
        <v>645</v>
      </c>
      <c r="Q137" s="44" t="s">
        <v>54</v>
      </c>
      <c r="R137" s="69"/>
      <c r="S137" s="44" t="s">
        <v>446</v>
      </c>
      <c r="T137" s="45" t="s">
        <v>587</v>
      </c>
      <c r="U137" s="45">
        <v>33110101201</v>
      </c>
      <c r="V137" s="45" t="s">
        <v>588</v>
      </c>
      <c r="W137" s="43" t="s">
        <v>43</v>
      </c>
      <c r="X137" s="71" t="s">
        <v>43</v>
      </c>
      <c r="Y137" s="71" t="s">
        <v>40</v>
      </c>
      <c r="Z137" s="48" t="s">
        <v>43</v>
      </c>
      <c r="AA137" s="75">
        <v>3990</v>
      </c>
      <c r="AB137" s="75">
        <v>3590</v>
      </c>
      <c r="AC137" s="80">
        <v>3510</v>
      </c>
      <c r="AD137" s="80">
        <v>3160</v>
      </c>
      <c r="AE137" s="80">
        <v>2685</v>
      </c>
      <c r="AF137" s="79">
        <f t="shared" si="25"/>
        <v>10</v>
      </c>
      <c r="AG137" s="79" t="str">
        <f t="shared" si="26"/>
        <v>融合肾分解费</v>
      </c>
      <c r="AH137" s="79">
        <f t="shared" si="22"/>
        <v>3600</v>
      </c>
      <c r="AI137" s="79">
        <f t="shared" si="23"/>
        <v>3250</v>
      </c>
      <c r="AJ137" s="79">
        <f t="shared" si="24"/>
        <v>2795</v>
      </c>
    </row>
    <row r="138" ht="25.5" spans="1:36">
      <c r="A138" s="47" t="s">
        <v>81</v>
      </c>
      <c r="B138" s="47" t="s">
        <v>585</v>
      </c>
      <c r="C138" s="47" t="s">
        <v>586</v>
      </c>
      <c r="D138" s="47" t="s">
        <v>213</v>
      </c>
      <c r="E138" s="47"/>
      <c r="F138" s="47"/>
      <c r="G138" s="47" t="s">
        <v>40</v>
      </c>
      <c r="H138" s="47"/>
      <c r="I138" s="56">
        <v>921</v>
      </c>
      <c r="J138" s="56">
        <v>829</v>
      </c>
      <c r="K138" s="58"/>
      <c r="L138" s="58"/>
      <c r="M138" s="58"/>
      <c r="N138" s="64">
        <v>830</v>
      </c>
      <c r="O138" s="64">
        <v>750</v>
      </c>
      <c r="P138" s="64">
        <v>645</v>
      </c>
      <c r="Q138" s="44" t="s">
        <v>54</v>
      </c>
      <c r="R138" s="69"/>
      <c r="S138" s="44" t="s">
        <v>446</v>
      </c>
      <c r="T138" s="45" t="s">
        <v>589</v>
      </c>
      <c r="U138" s="45">
        <v>33110101203</v>
      </c>
      <c r="V138" s="45" t="s">
        <v>590</v>
      </c>
      <c r="W138" s="43" t="s">
        <v>43</v>
      </c>
      <c r="X138" s="71" t="s">
        <v>43</v>
      </c>
      <c r="Y138" s="71" t="s">
        <v>40</v>
      </c>
      <c r="Z138" s="48" t="s">
        <v>43</v>
      </c>
      <c r="AA138" s="75">
        <v>4790</v>
      </c>
      <c r="AB138" s="75">
        <v>4310</v>
      </c>
      <c r="AC138" s="80">
        <v>4135</v>
      </c>
      <c r="AD138" s="80">
        <v>3760</v>
      </c>
      <c r="AE138" s="80">
        <v>3195</v>
      </c>
      <c r="AF138" s="79">
        <f t="shared" si="25"/>
        <v>10</v>
      </c>
      <c r="AG138" s="79" t="str">
        <f t="shared" si="26"/>
        <v>融合肾分解费</v>
      </c>
      <c r="AH138" s="79">
        <f t="shared" si="22"/>
        <v>3600</v>
      </c>
      <c r="AI138" s="79">
        <f t="shared" si="23"/>
        <v>3250</v>
      </c>
      <c r="AJ138" s="79">
        <f t="shared" si="24"/>
        <v>2795</v>
      </c>
    </row>
    <row r="139" ht="25.5" spans="1:36">
      <c r="A139" s="47" t="s">
        <v>81</v>
      </c>
      <c r="B139" s="47" t="s">
        <v>585</v>
      </c>
      <c r="C139" s="47" t="s">
        <v>586</v>
      </c>
      <c r="D139" s="47" t="s">
        <v>213</v>
      </c>
      <c r="E139" s="47"/>
      <c r="F139" s="47"/>
      <c r="G139" s="47" t="s">
        <v>40</v>
      </c>
      <c r="H139" s="47"/>
      <c r="I139" s="56">
        <v>921</v>
      </c>
      <c r="J139" s="56">
        <v>829</v>
      </c>
      <c r="K139" s="58"/>
      <c r="L139" s="58"/>
      <c r="M139" s="58"/>
      <c r="N139" s="64">
        <v>830</v>
      </c>
      <c r="O139" s="64">
        <v>750</v>
      </c>
      <c r="P139" s="64">
        <v>645</v>
      </c>
      <c r="Q139" s="44" t="s">
        <v>54</v>
      </c>
      <c r="R139" s="69"/>
      <c r="S139" s="44" t="s">
        <v>446</v>
      </c>
      <c r="T139" s="45" t="s">
        <v>558</v>
      </c>
      <c r="U139" s="45">
        <v>33110100601</v>
      </c>
      <c r="V139" s="45" t="s">
        <v>559</v>
      </c>
      <c r="W139" s="43" t="s">
        <v>43</v>
      </c>
      <c r="X139" s="71" t="s">
        <v>43</v>
      </c>
      <c r="Y139" s="71" t="s">
        <v>40</v>
      </c>
      <c r="Z139" s="48" t="s">
        <v>43</v>
      </c>
      <c r="AA139" s="75">
        <v>3250</v>
      </c>
      <c r="AB139" s="75">
        <v>2910</v>
      </c>
      <c r="AC139" s="80">
        <v>2845</v>
      </c>
      <c r="AD139" s="80">
        <v>2560</v>
      </c>
      <c r="AE139" s="80">
        <v>2175</v>
      </c>
      <c r="AF139" s="79">
        <f t="shared" si="25"/>
        <v>10</v>
      </c>
      <c r="AG139" s="79" t="str">
        <f t="shared" si="26"/>
        <v>融合肾分解费</v>
      </c>
      <c r="AH139" s="79">
        <f t="shared" si="22"/>
        <v>3600</v>
      </c>
      <c r="AI139" s="79">
        <f t="shared" si="23"/>
        <v>3250</v>
      </c>
      <c r="AJ139" s="79">
        <f t="shared" si="24"/>
        <v>2795</v>
      </c>
    </row>
    <row r="140" ht="25.5" spans="1:36">
      <c r="A140" s="47" t="s">
        <v>81</v>
      </c>
      <c r="B140" s="47" t="s">
        <v>585</v>
      </c>
      <c r="C140" s="47" t="s">
        <v>586</v>
      </c>
      <c r="D140" s="47" t="s">
        <v>213</v>
      </c>
      <c r="E140" s="47"/>
      <c r="F140" s="47"/>
      <c r="G140" s="47" t="s">
        <v>40</v>
      </c>
      <c r="H140" s="47"/>
      <c r="I140" s="56">
        <v>921</v>
      </c>
      <c r="J140" s="56">
        <v>829</v>
      </c>
      <c r="K140" s="58"/>
      <c r="L140" s="58"/>
      <c r="M140" s="58"/>
      <c r="N140" s="64">
        <v>830</v>
      </c>
      <c r="O140" s="64">
        <v>750</v>
      </c>
      <c r="P140" s="64">
        <v>645</v>
      </c>
      <c r="Q140" s="44" t="s">
        <v>54</v>
      </c>
      <c r="R140" s="69"/>
      <c r="S140" s="44" t="s">
        <v>446</v>
      </c>
      <c r="T140" s="45" t="s">
        <v>560</v>
      </c>
      <c r="U140" s="45">
        <v>33110100603</v>
      </c>
      <c r="V140" s="45" t="s">
        <v>561</v>
      </c>
      <c r="W140" s="43" t="s">
        <v>43</v>
      </c>
      <c r="X140" s="71" t="s">
        <v>43</v>
      </c>
      <c r="Y140" s="71" t="s">
        <v>40</v>
      </c>
      <c r="Z140" s="48" t="s">
        <v>43</v>
      </c>
      <c r="AA140" s="75">
        <v>4050</v>
      </c>
      <c r="AB140" s="75">
        <v>3630</v>
      </c>
      <c r="AC140" s="80">
        <v>3470</v>
      </c>
      <c r="AD140" s="80">
        <v>3160</v>
      </c>
      <c r="AE140" s="80">
        <v>2685</v>
      </c>
      <c r="AF140" s="79">
        <f t="shared" si="25"/>
        <v>10</v>
      </c>
      <c r="AG140" s="79" t="str">
        <f t="shared" si="26"/>
        <v>融合肾分解费</v>
      </c>
      <c r="AH140" s="79">
        <f t="shared" si="22"/>
        <v>3600</v>
      </c>
      <c r="AI140" s="79">
        <f t="shared" si="23"/>
        <v>3250</v>
      </c>
      <c r="AJ140" s="79">
        <f t="shared" si="24"/>
        <v>2795</v>
      </c>
    </row>
    <row r="141" ht="51" spans="1:36">
      <c r="A141" s="47">
        <v>42</v>
      </c>
      <c r="B141" s="47" t="s">
        <v>591</v>
      </c>
      <c r="C141" s="47" t="s">
        <v>592</v>
      </c>
      <c r="D141" s="47" t="s">
        <v>213</v>
      </c>
      <c r="E141" s="47" t="s">
        <v>593</v>
      </c>
      <c r="F141" s="47" t="s">
        <v>594</v>
      </c>
      <c r="G141" s="47" t="s">
        <v>48</v>
      </c>
      <c r="H141" s="47"/>
      <c r="I141" s="56">
        <v>2690</v>
      </c>
      <c r="J141" s="56">
        <v>2421</v>
      </c>
      <c r="K141" s="58"/>
      <c r="L141" s="58"/>
      <c r="M141" s="58"/>
      <c r="N141" s="64">
        <v>2450</v>
      </c>
      <c r="O141" s="64">
        <v>2200</v>
      </c>
      <c r="P141" s="64">
        <v>1870</v>
      </c>
      <c r="Q141" s="44" t="s">
        <v>54</v>
      </c>
      <c r="R141" s="70" t="s">
        <v>67</v>
      </c>
      <c r="S141" s="44" t="s">
        <v>566</v>
      </c>
      <c r="T141" s="43" t="s">
        <v>595</v>
      </c>
      <c r="U141" s="71">
        <v>331101001</v>
      </c>
      <c r="V141" s="43" t="s">
        <v>596</v>
      </c>
      <c r="W141" s="43" t="s">
        <v>43</v>
      </c>
      <c r="X141" s="71" t="s">
        <v>43</v>
      </c>
      <c r="Y141" s="71" t="s">
        <v>40</v>
      </c>
      <c r="Z141" s="48" t="s">
        <v>43</v>
      </c>
      <c r="AA141" s="75">
        <v>2690</v>
      </c>
      <c r="AB141" s="75">
        <v>2420</v>
      </c>
      <c r="AC141" s="80">
        <v>2360</v>
      </c>
      <c r="AD141" s="80">
        <v>2120</v>
      </c>
      <c r="AE141" s="80">
        <v>1800</v>
      </c>
      <c r="AF141" s="79">
        <f t="shared" si="25"/>
        <v>0</v>
      </c>
      <c r="AG141" s="79" t="str">
        <f t="shared" si="26"/>
        <v>肾修补费</v>
      </c>
      <c r="AH141" s="79">
        <f t="shared" si="22"/>
        <v>2450</v>
      </c>
      <c r="AI141" s="79">
        <f t="shared" si="23"/>
        <v>2200</v>
      </c>
      <c r="AJ141" s="79">
        <f t="shared" si="24"/>
        <v>1870</v>
      </c>
    </row>
    <row r="142" ht="51" spans="1:36">
      <c r="A142" s="47">
        <v>42</v>
      </c>
      <c r="B142" s="47" t="s">
        <v>591</v>
      </c>
      <c r="C142" s="47" t="s">
        <v>592</v>
      </c>
      <c r="D142" s="47" t="s">
        <v>213</v>
      </c>
      <c r="E142" s="47" t="s">
        <v>593</v>
      </c>
      <c r="F142" s="47" t="s">
        <v>594</v>
      </c>
      <c r="G142" s="47" t="s">
        <v>48</v>
      </c>
      <c r="H142" s="47"/>
      <c r="I142" s="56">
        <v>2690</v>
      </c>
      <c r="J142" s="56">
        <v>2421</v>
      </c>
      <c r="K142" s="58"/>
      <c r="L142" s="58"/>
      <c r="M142" s="58"/>
      <c r="N142" s="64">
        <v>2450</v>
      </c>
      <c r="O142" s="64">
        <v>2200</v>
      </c>
      <c r="P142" s="64">
        <v>1870</v>
      </c>
      <c r="Q142" s="44" t="s">
        <v>54</v>
      </c>
      <c r="R142" s="70" t="s">
        <v>67</v>
      </c>
      <c r="S142" s="44" t="s">
        <v>566</v>
      </c>
      <c r="T142" s="43" t="s">
        <v>597</v>
      </c>
      <c r="U142" s="71">
        <v>33110100102</v>
      </c>
      <c r="V142" s="43" t="s">
        <v>598</v>
      </c>
      <c r="W142" s="43" t="s">
        <v>43</v>
      </c>
      <c r="X142" s="71" t="s">
        <v>43</v>
      </c>
      <c r="Y142" s="71" t="s">
        <v>40</v>
      </c>
      <c r="Z142" s="48" t="s">
        <v>43</v>
      </c>
      <c r="AA142" s="75">
        <v>3490</v>
      </c>
      <c r="AB142" s="75">
        <v>3140</v>
      </c>
      <c r="AC142" s="80">
        <v>2985</v>
      </c>
      <c r="AD142" s="80">
        <v>2720</v>
      </c>
      <c r="AE142" s="80">
        <v>2310</v>
      </c>
      <c r="AF142" s="79">
        <f t="shared" si="25"/>
        <v>0</v>
      </c>
      <c r="AG142" s="79" t="str">
        <f t="shared" si="26"/>
        <v>肾修补费</v>
      </c>
      <c r="AH142" s="79">
        <f t="shared" si="22"/>
        <v>2450</v>
      </c>
      <c r="AI142" s="79">
        <f t="shared" si="23"/>
        <v>2200</v>
      </c>
      <c r="AJ142" s="79">
        <f t="shared" si="24"/>
        <v>1870</v>
      </c>
    </row>
    <row r="143" ht="51" spans="1:36">
      <c r="A143" s="47">
        <v>42</v>
      </c>
      <c r="B143" s="47" t="s">
        <v>591</v>
      </c>
      <c r="C143" s="47" t="s">
        <v>592</v>
      </c>
      <c r="D143" s="47" t="s">
        <v>213</v>
      </c>
      <c r="E143" s="47" t="s">
        <v>593</v>
      </c>
      <c r="F143" s="47" t="s">
        <v>594</v>
      </c>
      <c r="G143" s="47" t="s">
        <v>48</v>
      </c>
      <c r="H143" s="47"/>
      <c r="I143" s="56">
        <v>2690</v>
      </c>
      <c r="J143" s="56">
        <v>2421</v>
      </c>
      <c r="K143" s="58"/>
      <c r="L143" s="58"/>
      <c r="M143" s="58"/>
      <c r="N143" s="64">
        <v>2450</v>
      </c>
      <c r="O143" s="64">
        <v>2200</v>
      </c>
      <c r="P143" s="64">
        <v>1870</v>
      </c>
      <c r="Q143" s="44" t="s">
        <v>54</v>
      </c>
      <c r="R143" s="70" t="s">
        <v>67</v>
      </c>
      <c r="S143" s="44" t="s">
        <v>566</v>
      </c>
      <c r="T143" s="43" t="s">
        <v>547</v>
      </c>
      <c r="U143" s="71">
        <v>331101006</v>
      </c>
      <c r="V143" s="43" t="s">
        <v>548</v>
      </c>
      <c r="W143" s="43" t="s">
        <v>43</v>
      </c>
      <c r="X143" s="71" t="s">
        <v>43</v>
      </c>
      <c r="Y143" s="71" t="s">
        <v>40</v>
      </c>
      <c r="Z143" s="48" t="s">
        <v>43</v>
      </c>
      <c r="AA143" s="75">
        <v>2500</v>
      </c>
      <c r="AB143" s="75">
        <v>2240</v>
      </c>
      <c r="AC143" s="80">
        <v>2190</v>
      </c>
      <c r="AD143" s="80">
        <v>1970</v>
      </c>
      <c r="AE143" s="80">
        <v>1670</v>
      </c>
      <c r="AF143" s="79">
        <f t="shared" si="25"/>
        <v>0</v>
      </c>
      <c r="AG143" s="79" t="str">
        <f t="shared" si="26"/>
        <v>肾修补费</v>
      </c>
      <c r="AH143" s="79">
        <f t="shared" si="22"/>
        <v>2450</v>
      </c>
      <c r="AI143" s="79">
        <f t="shared" si="23"/>
        <v>2200</v>
      </c>
      <c r="AJ143" s="79">
        <f t="shared" si="24"/>
        <v>1870</v>
      </c>
    </row>
    <row r="144" ht="51" spans="1:36">
      <c r="A144" s="47">
        <v>42</v>
      </c>
      <c r="B144" s="47" t="s">
        <v>591</v>
      </c>
      <c r="C144" s="47" t="s">
        <v>592</v>
      </c>
      <c r="D144" s="47" t="s">
        <v>213</v>
      </c>
      <c r="E144" s="47" t="s">
        <v>593</v>
      </c>
      <c r="F144" s="47" t="s">
        <v>594</v>
      </c>
      <c r="G144" s="47" t="s">
        <v>48</v>
      </c>
      <c r="H144" s="47"/>
      <c r="I144" s="56">
        <v>2690</v>
      </c>
      <c r="J144" s="56">
        <v>2421</v>
      </c>
      <c r="K144" s="58"/>
      <c r="L144" s="58"/>
      <c r="M144" s="58"/>
      <c r="N144" s="64">
        <v>2450</v>
      </c>
      <c r="O144" s="64">
        <v>2200</v>
      </c>
      <c r="P144" s="64">
        <v>1870</v>
      </c>
      <c r="Q144" s="44" t="s">
        <v>54</v>
      </c>
      <c r="R144" s="70" t="s">
        <v>67</v>
      </c>
      <c r="S144" s="44" t="s">
        <v>566</v>
      </c>
      <c r="T144" s="43" t="s">
        <v>550</v>
      </c>
      <c r="U144" s="71">
        <v>33110100602</v>
      </c>
      <c r="V144" s="43" t="s">
        <v>551</v>
      </c>
      <c r="W144" s="43" t="s">
        <v>43</v>
      </c>
      <c r="X144" s="71" t="s">
        <v>43</v>
      </c>
      <c r="Y144" s="71" t="s">
        <v>40</v>
      </c>
      <c r="Z144" s="48" t="s">
        <v>43</v>
      </c>
      <c r="AA144" s="75">
        <v>3300</v>
      </c>
      <c r="AB144" s="75">
        <v>2960</v>
      </c>
      <c r="AC144" s="80">
        <v>2815</v>
      </c>
      <c r="AD144" s="80">
        <v>2570</v>
      </c>
      <c r="AE144" s="80">
        <v>2180</v>
      </c>
      <c r="AF144" s="79">
        <f t="shared" si="25"/>
        <v>0</v>
      </c>
      <c r="AG144" s="79" t="str">
        <f t="shared" si="26"/>
        <v>肾修补费</v>
      </c>
      <c r="AH144" s="79">
        <f t="shared" si="22"/>
        <v>2450</v>
      </c>
      <c r="AI144" s="79">
        <f t="shared" si="23"/>
        <v>2200</v>
      </c>
      <c r="AJ144" s="79">
        <f t="shared" si="24"/>
        <v>1870</v>
      </c>
    </row>
    <row r="145" ht="25.5" spans="1:36">
      <c r="A145" s="47" t="s">
        <v>81</v>
      </c>
      <c r="B145" s="47" t="s">
        <v>599</v>
      </c>
      <c r="C145" s="47" t="s">
        <v>600</v>
      </c>
      <c r="D145" s="47" t="s">
        <v>213</v>
      </c>
      <c r="E145" s="47"/>
      <c r="F145" s="47"/>
      <c r="G145" s="47" t="s">
        <v>48</v>
      </c>
      <c r="H145" s="47"/>
      <c r="I145" s="56">
        <v>807</v>
      </c>
      <c r="J145" s="56">
        <v>726</v>
      </c>
      <c r="K145" s="58"/>
      <c r="L145" s="58"/>
      <c r="M145" s="58"/>
      <c r="N145" s="64">
        <v>735</v>
      </c>
      <c r="O145" s="64">
        <v>660</v>
      </c>
      <c r="P145" s="64">
        <v>560</v>
      </c>
      <c r="Q145" s="44" t="s">
        <v>54</v>
      </c>
      <c r="R145" s="69"/>
      <c r="S145" s="44" t="s">
        <v>446</v>
      </c>
      <c r="T145" s="45" t="s">
        <v>601</v>
      </c>
      <c r="U145" s="45">
        <v>33110100101</v>
      </c>
      <c r="V145" s="45" t="s">
        <v>602</v>
      </c>
      <c r="W145" s="43" t="s">
        <v>43</v>
      </c>
      <c r="X145" s="71" t="s">
        <v>43</v>
      </c>
      <c r="Y145" s="71" t="s">
        <v>40</v>
      </c>
      <c r="Z145" s="48" t="s">
        <v>43</v>
      </c>
      <c r="AA145" s="75">
        <v>3495</v>
      </c>
      <c r="AB145" s="75">
        <v>3145</v>
      </c>
      <c r="AC145" s="80">
        <v>3070</v>
      </c>
      <c r="AD145" s="80">
        <v>2755</v>
      </c>
      <c r="AE145" s="80">
        <v>2340</v>
      </c>
      <c r="AF145" s="79">
        <f t="shared" si="25"/>
        <v>8</v>
      </c>
      <c r="AG145" s="79" t="str">
        <f t="shared" si="26"/>
        <v>肾修补费</v>
      </c>
      <c r="AH145" s="79">
        <f t="shared" si="22"/>
        <v>3185</v>
      </c>
      <c r="AI145" s="79">
        <f t="shared" si="23"/>
        <v>2860</v>
      </c>
      <c r="AJ145" s="79">
        <f t="shared" si="24"/>
        <v>2430</v>
      </c>
    </row>
    <row r="146" ht="25.5" spans="1:36">
      <c r="A146" s="47" t="s">
        <v>81</v>
      </c>
      <c r="B146" s="47" t="s">
        <v>599</v>
      </c>
      <c r="C146" s="47" t="s">
        <v>600</v>
      </c>
      <c r="D146" s="47" t="s">
        <v>213</v>
      </c>
      <c r="E146" s="47"/>
      <c r="F146" s="47"/>
      <c r="G146" s="47" t="s">
        <v>48</v>
      </c>
      <c r="H146" s="47"/>
      <c r="I146" s="56">
        <v>807</v>
      </c>
      <c r="J146" s="56">
        <v>726</v>
      </c>
      <c r="K146" s="58"/>
      <c r="L146" s="58"/>
      <c r="M146" s="58"/>
      <c r="N146" s="64">
        <v>735</v>
      </c>
      <c r="O146" s="64">
        <v>660</v>
      </c>
      <c r="P146" s="64">
        <v>560</v>
      </c>
      <c r="Q146" s="44" t="s">
        <v>54</v>
      </c>
      <c r="R146" s="69"/>
      <c r="S146" s="44" t="s">
        <v>446</v>
      </c>
      <c r="T146" s="45" t="s">
        <v>603</v>
      </c>
      <c r="U146" s="45">
        <v>33110100103</v>
      </c>
      <c r="V146" s="45" t="s">
        <v>604</v>
      </c>
      <c r="W146" s="43" t="s">
        <v>43</v>
      </c>
      <c r="X146" s="71" t="s">
        <v>43</v>
      </c>
      <c r="Y146" s="71" t="s">
        <v>40</v>
      </c>
      <c r="Z146" s="48" t="s">
        <v>43</v>
      </c>
      <c r="AA146" s="75">
        <v>4295</v>
      </c>
      <c r="AB146" s="75">
        <v>3865</v>
      </c>
      <c r="AC146" s="80">
        <v>3695</v>
      </c>
      <c r="AD146" s="80">
        <v>3355</v>
      </c>
      <c r="AE146" s="80">
        <v>2850</v>
      </c>
      <c r="AF146" s="79">
        <f t="shared" si="25"/>
        <v>8</v>
      </c>
      <c r="AG146" s="79" t="str">
        <f t="shared" si="26"/>
        <v>肾修补费</v>
      </c>
      <c r="AH146" s="79">
        <f t="shared" si="22"/>
        <v>3185</v>
      </c>
      <c r="AI146" s="79">
        <f t="shared" si="23"/>
        <v>2860</v>
      </c>
      <c r="AJ146" s="79">
        <f t="shared" si="24"/>
        <v>2430</v>
      </c>
    </row>
    <row r="147" ht="25.5" spans="1:36">
      <c r="A147" s="47" t="s">
        <v>81</v>
      </c>
      <c r="B147" s="47" t="s">
        <v>599</v>
      </c>
      <c r="C147" s="47" t="s">
        <v>600</v>
      </c>
      <c r="D147" s="47" t="s">
        <v>213</v>
      </c>
      <c r="E147" s="47"/>
      <c r="F147" s="47"/>
      <c r="G147" s="47" t="s">
        <v>48</v>
      </c>
      <c r="H147" s="47"/>
      <c r="I147" s="56">
        <v>807</v>
      </c>
      <c r="J147" s="56">
        <v>726</v>
      </c>
      <c r="K147" s="58"/>
      <c r="L147" s="58"/>
      <c r="M147" s="58"/>
      <c r="N147" s="64">
        <v>735</v>
      </c>
      <c r="O147" s="64">
        <v>660</v>
      </c>
      <c r="P147" s="64">
        <v>560</v>
      </c>
      <c r="Q147" s="44" t="s">
        <v>54</v>
      </c>
      <c r="R147" s="69"/>
      <c r="S147" s="44" t="s">
        <v>446</v>
      </c>
      <c r="T147" s="45" t="s">
        <v>558</v>
      </c>
      <c r="U147" s="45">
        <v>33110100601</v>
      </c>
      <c r="V147" s="45" t="s">
        <v>559</v>
      </c>
      <c r="W147" s="43" t="s">
        <v>43</v>
      </c>
      <c r="X147" s="71" t="s">
        <v>43</v>
      </c>
      <c r="Y147" s="71" t="s">
        <v>40</v>
      </c>
      <c r="Z147" s="48" t="s">
        <v>43</v>
      </c>
      <c r="AA147" s="75">
        <v>3250</v>
      </c>
      <c r="AB147" s="75">
        <v>2910</v>
      </c>
      <c r="AC147" s="80">
        <v>2845</v>
      </c>
      <c r="AD147" s="80">
        <v>2560</v>
      </c>
      <c r="AE147" s="80">
        <v>2175</v>
      </c>
      <c r="AF147" s="79">
        <f t="shared" si="25"/>
        <v>8</v>
      </c>
      <c r="AG147" s="79" t="str">
        <f t="shared" si="26"/>
        <v>肾修补费</v>
      </c>
      <c r="AH147" s="79">
        <f t="shared" si="22"/>
        <v>3185</v>
      </c>
      <c r="AI147" s="79">
        <f t="shared" si="23"/>
        <v>2860</v>
      </c>
      <c r="AJ147" s="79">
        <f t="shared" si="24"/>
        <v>2430</v>
      </c>
    </row>
    <row r="148" ht="25.5" spans="1:36">
      <c r="A148" s="47" t="s">
        <v>81</v>
      </c>
      <c r="B148" s="47" t="s">
        <v>599</v>
      </c>
      <c r="C148" s="47" t="s">
        <v>600</v>
      </c>
      <c r="D148" s="47" t="s">
        <v>213</v>
      </c>
      <c r="E148" s="47"/>
      <c r="F148" s="47"/>
      <c r="G148" s="47" t="s">
        <v>48</v>
      </c>
      <c r="H148" s="47"/>
      <c r="I148" s="56">
        <v>807</v>
      </c>
      <c r="J148" s="56">
        <v>726</v>
      </c>
      <c r="K148" s="58"/>
      <c r="L148" s="58"/>
      <c r="M148" s="58"/>
      <c r="N148" s="64">
        <v>735</v>
      </c>
      <c r="O148" s="64">
        <v>660</v>
      </c>
      <c r="P148" s="64">
        <v>560</v>
      </c>
      <c r="Q148" s="44" t="s">
        <v>54</v>
      </c>
      <c r="R148" s="69"/>
      <c r="S148" s="44" t="s">
        <v>446</v>
      </c>
      <c r="T148" s="45" t="s">
        <v>560</v>
      </c>
      <c r="U148" s="45">
        <v>33110100603</v>
      </c>
      <c r="V148" s="45" t="s">
        <v>561</v>
      </c>
      <c r="W148" s="43" t="s">
        <v>43</v>
      </c>
      <c r="X148" s="71" t="s">
        <v>43</v>
      </c>
      <c r="Y148" s="71" t="s">
        <v>40</v>
      </c>
      <c r="Z148" s="48" t="s">
        <v>43</v>
      </c>
      <c r="AA148" s="75">
        <v>4050</v>
      </c>
      <c r="AB148" s="75">
        <v>3630</v>
      </c>
      <c r="AC148" s="80">
        <v>3470</v>
      </c>
      <c r="AD148" s="80">
        <v>3160</v>
      </c>
      <c r="AE148" s="80">
        <v>2685</v>
      </c>
      <c r="AF148" s="79">
        <f t="shared" si="25"/>
        <v>8</v>
      </c>
      <c r="AG148" s="79" t="str">
        <f t="shared" si="26"/>
        <v>肾修补费</v>
      </c>
      <c r="AH148" s="79">
        <f t="shared" si="22"/>
        <v>3185</v>
      </c>
      <c r="AI148" s="79">
        <f t="shared" si="23"/>
        <v>2860</v>
      </c>
      <c r="AJ148" s="79">
        <f t="shared" si="24"/>
        <v>2430</v>
      </c>
    </row>
    <row r="149" ht="22" customHeight="1" spans="1:36">
      <c r="A149" s="47">
        <v>43</v>
      </c>
      <c r="B149" s="47" t="s">
        <v>605</v>
      </c>
      <c r="C149" s="47" t="s">
        <v>606</v>
      </c>
      <c r="D149" s="47" t="s">
        <v>213</v>
      </c>
      <c r="E149" s="47" t="s">
        <v>607</v>
      </c>
      <c r="F149" s="47" t="s">
        <v>608</v>
      </c>
      <c r="G149" s="47" t="s">
        <v>48</v>
      </c>
      <c r="H149" s="47"/>
      <c r="I149" s="56">
        <v>2057</v>
      </c>
      <c r="J149" s="56">
        <v>1851</v>
      </c>
      <c r="K149" s="83">
        <v>2118.18380743983</v>
      </c>
      <c r="L149" s="83">
        <v>2036.98412698413</v>
      </c>
      <c r="M149" s="83">
        <v>1907.29411764706</v>
      </c>
      <c r="N149" s="64">
        <v>2000</v>
      </c>
      <c r="O149" s="64">
        <v>1850</v>
      </c>
      <c r="P149" s="64">
        <v>1580</v>
      </c>
      <c r="Q149" s="44" t="s">
        <v>54</v>
      </c>
      <c r="R149" s="70" t="s">
        <v>76</v>
      </c>
      <c r="S149" s="44" t="s">
        <v>459</v>
      </c>
      <c r="T149" s="45" t="s">
        <v>609</v>
      </c>
      <c r="U149" s="45">
        <v>331101014</v>
      </c>
      <c r="V149" s="45" t="s">
        <v>610</v>
      </c>
      <c r="W149" s="43" t="s">
        <v>611</v>
      </c>
      <c r="X149" s="71" t="s">
        <v>43</v>
      </c>
      <c r="Y149" s="71" t="s">
        <v>40</v>
      </c>
      <c r="Z149" s="48" t="s">
        <v>43</v>
      </c>
      <c r="AA149" s="75">
        <v>1620</v>
      </c>
      <c r="AB149" s="75">
        <v>1460</v>
      </c>
      <c r="AC149" s="80">
        <v>1500</v>
      </c>
      <c r="AD149" s="80">
        <v>1440</v>
      </c>
      <c r="AE149" s="80">
        <v>1224</v>
      </c>
      <c r="AF149" s="79">
        <f t="shared" si="25"/>
        <v>0</v>
      </c>
      <c r="AG149" s="79" t="str">
        <f t="shared" si="26"/>
        <v>肾囊肿去顶费</v>
      </c>
      <c r="AH149" s="79">
        <f t="shared" si="22"/>
        <v>2000</v>
      </c>
      <c r="AI149" s="79">
        <f t="shared" si="23"/>
        <v>1850</v>
      </c>
      <c r="AJ149" s="79">
        <f t="shared" si="24"/>
        <v>1580</v>
      </c>
    </row>
    <row r="150" ht="22" customHeight="1" spans="1:36">
      <c r="A150" s="47">
        <v>43</v>
      </c>
      <c r="B150" s="47" t="s">
        <v>605</v>
      </c>
      <c r="C150" s="47" t="s">
        <v>606</v>
      </c>
      <c r="D150" s="47" t="s">
        <v>213</v>
      </c>
      <c r="E150" s="47" t="s">
        <v>607</v>
      </c>
      <c r="F150" s="47" t="s">
        <v>608</v>
      </c>
      <c r="G150" s="47" t="s">
        <v>48</v>
      </c>
      <c r="H150" s="47"/>
      <c r="I150" s="56">
        <v>2057</v>
      </c>
      <c r="J150" s="56">
        <v>1851</v>
      </c>
      <c r="K150" s="83">
        <v>2118.18380743983</v>
      </c>
      <c r="L150" s="83">
        <v>2036.98412698413</v>
      </c>
      <c r="M150" s="83">
        <v>1907.29411764706</v>
      </c>
      <c r="N150" s="64">
        <v>2000</v>
      </c>
      <c r="O150" s="64">
        <v>1850</v>
      </c>
      <c r="P150" s="64">
        <v>1580</v>
      </c>
      <c r="Q150" s="44" t="s">
        <v>54</v>
      </c>
      <c r="R150" s="70" t="s">
        <v>76</v>
      </c>
      <c r="S150" s="44" t="s">
        <v>459</v>
      </c>
      <c r="T150" s="45" t="s">
        <v>612</v>
      </c>
      <c r="U150" s="45">
        <v>33110101402</v>
      </c>
      <c r="V150" s="45" t="s">
        <v>613</v>
      </c>
      <c r="W150" s="43" t="s">
        <v>43</v>
      </c>
      <c r="X150" s="71" t="s">
        <v>43</v>
      </c>
      <c r="Y150" s="71" t="s">
        <v>40</v>
      </c>
      <c r="Z150" s="48" t="s">
        <v>43</v>
      </c>
      <c r="AA150" s="75">
        <v>2420</v>
      </c>
      <c r="AB150" s="75">
        <v>2180</v>
      </c>
      <c r="AC150" s="80">
        <v>2125</v>
      </c>
      <c r="AD150" s="80">
        <v>2040</v>
      </c>
      <c r="AE150" s="80">
        <v>1734</v>
      </c>
      <c r="AF150" s="79">
        <f t="shared" si="25"/>
        <v>0</v>
      </c>
      <c r="AG150" s="79" t="str">
        <f t="shared" si="26"/>
        <v>肾囊肿去顶费</v>
      </c>
      <c r="AH150" s="79">
        <f t="shared" si="22"/>
        <v>2000</v>
      </c>
      <c r="AI150" s="79">
        <f t="shared" si="23"/>
        <v>1850</v>
      </c>
      <c r="AJ150" s="79">
        <f t="shared" si="24"/>
        <v>1580</v>
      </c>
    </row>
    <row r="151" ht="22" customHeight="1" spans="1:36">
      <c r="A151" s="47">
        <v>43</v>
      </c>
      <c r="B151" s="47" t="s">
        <v>605</v>
      </c>
      <c r="C151" s="47" t="s">
        <v>606</v>
      </c>
      <c r="D151" s="47" t="s">
        <v>213</v>
      </c>
      <c r="E151" s="47" t="s">
        <v>607</v>
      </c>
      <c r="F151" s="47" t="s">
        <v>608</v>
      </c>
      <c r="G151" s="47" t="s">
        <v>48</v>
      </c>
      <c r="H151" s="47"/>
      <c r="I151" s="56">
        <v>2057</v>
      </c>
      <c r="J151" s="56">
        <v>1851</v>
      </c>
      <c r="K151" s="83">
        <v>2118.18380743983</v>
      </c>
      <c r="L151" s="83">
        <v>2036.98412698413</v>
      </c>
      <c r="M151" s="83">
        <v>1907.29411764706</v>
      </c>
      <c r="N151" s="64">
        <v>2000</v>
      </c>
      <c r="O151" s="64">
        <v>1850</v>
      </c>
      <c r="P151" s="64">
        <v>1580</v>
      </c>
      <c r="Q151" s="44" t="s">
        <v>54</v>
      </c>
      <c r="R151" s="70" t="s">
        <v>76</v>
      </c>
      <c r="S151" s="44" t="s">
        <v>459</v>
      </c>
      <c r="T151" s="43" t="s">
        <v>614</v>
      </c>
      <c r="U151" s="71">
        <v>331101015</v>
      </c>
      <c r="V151" s="43" t="s">
        <v>615</v>
      </c>
      <c r="W151" s="43" t="s">
        <v>43</v>
      </c>
      <c r="X151" s="71" t="s">
        <v>43</v>
      </c>
      <c r="Y151" s="71" t="s">
        <v>48</v>
      </c>
      <c r="Z151" s="48" t="s">
        <v>43</v>
      </c>
      <c r="AA151" s="75">
        <v>2690</v>
      </c>
      <c r="AB151" s="75">
        <v>2420</v>
      </c>
      <c r="AC151" s="80">
        <v>2360</v>
      </c>
      <c r="AD151" s="80">
        <v>2120</v>
      </c>
      <c r="AE151" s="80">
        <v>1800</v>
      </c>
      <c r="AF151" s="79">
        <f t="shared" si="25"/>
        <v>0</v>
      </c>
      <c r="AG151" s="79" t="str">
        <f t="shared" si="26"/>
        <v>肾囊肿去顶费</v>
      </c>
      <c r="AH151" s="79">
        <f t="shared" si="22"/>
        <v>2000</v>
      </c>
      <c r="AI151" s="79">
        <f t="shared" si="23"/>
        <v>1850</v>
      </c>
      <c r="AJ151" s="79">
        <f t="shared" si="24"/>
        <v>1580</v>
      </c>
    </row>
    <row r="152" ht="22" customHeight="1" spans="1:36">
      <c r="A152" s="47">
        <v>43</v>
      </c>
      <c r="B152" s="47" t="s">
        <v>605</v>
      </c>
      <c r="C152" s="47" t="s">
        <v>606</v>
      </c>
      <c r="D152" s="47" t="s">
        <v>213</v>
      </c>
      <c r="E152" s="47" t="s">
        <v>607</v>
      </c>
      <c r="F152" s="47" t="s">
        <v>608</v>
      </c>
      <c r="G152" s="47" t="s">
        <v>48</v>
      </c>
      <c r="H152" s="47"/>
      <c r="I152" s="56">
        <v>2057</v>
      </c>
      <c r="J152" s="56">
        <v>1851</v>
      </c>
      <c r="K152" s="83">
        <v>2118.18380743983</v>
      </c>
      <c r="L152" s="83">
        <v>2036.98412698413</v>
      </c>
      <c r="M152" s="83">
        <v>1907.29411764706</v>
      </c>
      <c r="N152" s="64">
        <v>2000</v>
      </c>
      <c r="O152" s="64">
        <v>1850</v>
      </c>
      <c r="P152" s="64">
        <v>1580</v>
      </c>
      <c r="Q152" s="44" t="s">
        <v>54</v>
      </c>
      <c r="R152" s="70" t="s">
        <v>76</v>
      </c>
      <c r="S152" s="44" t="s">
        <v>459</v>
      </c>
      <c r="T152" s="43" t="s">
        <v>616</v>
      </c>
      <c r="U152" s="71">
        <v>33110101502</v>
      </c>
      <c r="V152" s="43" t="s">
        <v>617</v>
      </c>
      <c r="W152" s="43" t="s">
        <v>43</v>
      </c>
      <c r="X152" s="71" t="s">
        <v>43</v>
      </c>
      <c r="Y152" s="71" t="s">
        <v>48</v>
      </c>
      <c r="Z152" s="48" t="s">
        <v>43</v>
      </c>
      <c r="AA152" s="75">
        <v>3490</v>
      </c>
      <c r="AB152" s="75">
        <v>3140</v>
      </c>
      <c r="AC152" s="80">
        <v>2985</v>
      </c>
      <c r="AD152" s="80">
        <v>2720</v>
      </c>
      <c r="AE152" s="80">
        <v>2310</v>
      </c>
      <c r="AF152" s="79">
        <f t="shared" si="25"/>
        <v>0</v>
      </c>
      <c r="AG152" s="79" t="str">
        <f t="shared" si="26"/>
        <v>肾囊肿去顶费</v>
      </c>
      <c r="AH152" s="79">
        <f t="shared" si="22"/>
        <v>2000</v>
      </c>
      <c r="AI152" s="79">
        <f t="shared" si="23"/>
        <v>1850</v>
      </c>
      <c r="AJ152" s="79">
        <f t="shared" si="24"/>
        <v>1580</v>
      </c>
    </row>
    <row r="153" ht="22" customHeight="1" spans="1:36">
      <c r="A153" s="47">
        <v>43</v>
      </c>
      <c r="B153" s="47" t="s">
        <v>605</v>
      </c>
      <c r="C153" s="47" t="s">
        <v>606</v>
      </c>
      <c r="D153" s="47" t="s">
        <v>213</v>
      </c>
      <c r="E153" s="47" t="s">
        <v>607</v>
      </c>
      <c r="F153" s="47" t="s">
        <v>608</v>
      </c>
      <c r="G153" s="47" t="s">
        <v>48</v>
      </c>
      <c r="H153" s="47"/>
      <c r="I153" s="56">
        <v>2057</v>
      </c>
      <c r="J153" s="56">
        <v>1851</v>
      </c>
      <c r="K153" s="83">
        <v>2118.18380743983</v>
      </c>
      <c r="L153" s="83">
        <v>2036.98412698413</v>
      </c>
      <c r="M153" s="83">
        <v>1907.29411764706</v>
      </c>
      <c r="N153" s="64">
        <v>2000</v>
      </c>
      <c r="O153" s="64">
        <v>1850</v>
      </c>
      <c r="P153" s="64">
        <v>1580</v>
      </c>
      <c r="Q153" s="44" t="s">
        <v>54</v>
      </c>
      <c r="R153" s="70" t="s">
        <v>76</v>
      </c>
      <c r="S153" s="44" t="s">
        <v>459</v>
      </c>
      <c r="T153" s="43" t="s">
        <v>547</v>
      </c>
      <c r="U153" s="71">
        <v>331101006</v>
      </c>
      <c r="V153" s="43" t="s">
        <v>548</v>
      </c>
      <c r="W153" s="43" t="s">
        <v>43</v>
      </c>
      <c r="X153" s="71" t="s">
        <v>43</v>
      </c>
      <c r="Y153" s="71" t="s">
        <v>40</v>
      </c>
      <c r="Z153" s="48" t="s">
        <v>43</v>
      </c>
      <c r="AA153" s="75">
        <v>2500</v>
      </c>
      <c r="AB153" s="75">
        <v>2240</v>
      </c>
      <c r="AC153" s="80">
        <v>2190</v>
      </c>
      <c r="AD153" s="80">
        <v>1970</v>
      </c>
      <c r="AE153" s="80">
        <v>1670</v>
      </c>
      <c r="AF153" s="79">
        <f t="shared" si="25"/>
        <v>0</v>
      </c>
      <c r="AG153" s="79" t="str">
        <f t="shared" si="26"/>
        <v>肾囊肿去顶费</v>
      </c>
      <c r="AH153" s="79">
        <f t="shared" ref="AH153:AH216" si="27">IF(AF153&gt;0,_xlfn.MAXIFS(N:N,C:C,AG153),0)+N153</f>
        <v>2000</v>
      </c>
      <c r="AI153" s="79">
        <f t="shared" ref="AI153:AI216" si="28">IF(AF153&gt;0,_xlfn.MAXIFS(O:O,C:C,AG153),0)+O153</f>
        <v>1850</v>
      </c>
      <c r="AJ153" s="79">
        <f t="shared" ref="AJ153:AJ216" si="29">IF(AF153&gt;0,_xlfn.MAXIFS(P:P,C:C,AG153),0)+P153</f>
        <v>1580</v>
      </c>
    </row>
    <row r="154" ht="22" customHeight="1" spans="1:36">
      <c r="A154" s="47">
        <v>43</v>
      </c>
      <c r="B154" s="47" t="s">
        <v>605</v>
      </c>
      <c r="C154" s="47" t="s">
        <v>606</v>
      </c>
      <c r="D154" s="47" t="s">
        <v>213</v>
      </c>
      <c r="E154" s="47" t="s">
        <v>607</v>
      </c>
      <c r="F154" s="47" t="s">
        <v>608</v>
      </c>
      <c r="G154" s="47" t="s">
        <v>48</v>
      </c>
      <c r="H154" s="47"/>
      <c r="I154" s="56">
        <v>2057</v>
      </c>
      <c r="J154" s="56">
        <v>1851</v>
      </c>
      <c r="K154" s="83">
        <v>2118.18380743983</v>
      </c>
      <c r="L154" s="83">
        <v>2036.98412698413</v>
      </c>
      <c r="M154" s="83">
        <v>1907.29411764706</v>
      </c>
      <c r="N154" s="64">
        <v>2000</v>
      </c>
      <c r="O154" s="64">
        <v>1850</v>
      </c>
      <c r="P154" s="64">
        <v>1580</v>
      </c>
      <c r="Q154" s="44" t="s">
        <v>54</v>
      </c>
      <c r="R154" s="70" t="s">
        <v>76</v>
      </c>
      <c r="S154" s="44" t="s">
        <v>459</v>
      </c>
      <c r="T154" s="43" t="s">
        <v>550</v>
      </c>
      <c r="U154" s="71">
        <v>33110100602</v>
      </c>
      <c r="V154" s="43" t="s">
        <v>551</v>
      </c>
      <c r="W154" s="43" t="s">
        <v>43</v>
      </c>
      <c r="X154" s="71" t="s">
        <v>43</v>
      </c>
      <c r="Y154" s="71" t="s">
        <v>40</v>
      </c>
      <c r="Z154" s="48" t="s">
        <v>43</v>
      </c>
      <c r="AA154" s="75">
        <v>3300</v>
      </c>
      <c r="AB154" s="75">
        <v>2960</v>
      </c>
      <c r="AC154" s="80">
        <v>2815</v>
      </c>
      <c r="AD154" s="80">
        <v>2570</v>
      </c>
      <c r="AE154" s="80">
        <v>2180</v>
      </c>
      <c r="AF154" s="79">
        <f t="shared" si="25"/>
        <v>0</v>
      </c>
      <c r="AG154" s="79" t="str">
        <f t="shared" si="26"/>
        <v>肾囊肿去顶费</v>
      </c>
      <c r="AH154" s="79">
        <f t="shared" si="27"/>
        <v>2000</v>
      </c>
      <c r="AI154" s="79">
        <f t="shared" si="28"/>
        <v>1850</v>
      </c>
      <c r="AJ154" s="79">
        <f t="shared" si="29"/>
        <v>1580</v>
      </c>
    </row>
    <row r="155" ht="24" customHeight="1" spans="1:36">
      <c r="A155" s="81" t="s">
        <v>81</v>
      </c>
      <c r="B155" s="81" t="s">
        <v>618</v>
      </c>
      <c r="C155" s="81" t="s">
        <v>619</v>
      </c>
      <c r="D155" s="81" t="s">
        <v>213</v>
      </c>
      <c r="E155" s="81"/>
      <c r="F155" s="81"/>
      <c r="G155" s="81" t="s">
        <v>48</v>
      </c>
      <c r="H155" s="81"/>
      <c r="I155" s="56">
        <v>617</v>
      </c>
      <c r="J155" s="56">
        <v>555</v>
      </c>
      <c r="K155" s="54"/>
      <c r="L155" s="54"/>
      <c r="M155" s="54"/>
      <c r="N155" s="64">
        <v>600</v>
      </c>
      <c r="O155" s="64">
        <v>555</v>
      </c>
      <c r="P155" s="64">
        <v>475</v>
      </c>
      <c r="Q155" s="44" t="s">
        <v>54</v>
      </c>
      <c r="R155" s="69"/>
      <c r="S155" s="44" t="s">
        <v>446</v>
      </c>
      <c r="T155" s="45" t="s">
        <v>620</v>
      </c>
      <c r="U155" s="45">
        <v>33110101401</v>
      </c>
      <c r="V155" s="45" t="s">
        <v>621</v>
      </c>
      <c r="W155" s="43" t="s">
        <v>43</v>
      </c>
      <c r="X155" s="71" t="s">
        <v>43</v>
      </c>
      <c r="Y155" s="71" t="s">
        <v>40</v>
      </c>
      <c r="Z155" s="48" t="s">
        <v>43</v>
      </c>
      <c r="AA155" s="75">
        <v>2105</v>
      </c>
      <c r="AB155" s="75">
        <v>1900</v>
      </c>
      <c r="AC155" s="80">
        <v>1950</v>
      </c>
      <c r="AD155" s="80">
        <v>1870</v>
      </c>
      <c r="AE155" s="80">
        <v>1590</v>
      </c>
      <c r="AF155" s="79">
        <f t="shared" si="25"/>
        <v>10</v>
      </c>
      <c r="AG155" s="79" t="str">
        <f t="shared" si="26"/>
        <v>肾囊肿去顶费</v>
      </c>
      <c r="AH155" s="79">
        <f t="shared" si="27"/>
        <v>2600</v>
      </c>
      <c r="AI155" s="79">
        <f t="shared" si="28"/>
        <v>2405</v>
      </c>
      <c r="AJ155" s="79">
        <f t="shared" si="29"/>
        <v>2055</v>
      </c>
    </row>
    <row r="156" ht="24" customHeight="1" spans="1:36">
      <c r="A156" s="81" t="s">
        <v>81</v>
      </c>
      <c r="B156" s="81" t="s">
        <v>618</v>
      </c>
      <c r="C156" s="81" t="s">
        <v>619</v>
      </c>
      <c r="D156" s="81" t="s">
        <v>213</v>
      </c>
      <c r="E156" s="81"/>
      <c r="F156" s="81"/>
      <c r="G156" s="81" t="s">
        <v>48</v>
      </c>
      <c r="H156" s="81"/>
      <c r="I156" s="56">
        <v>617</v>
      </c>
      <c r="J156" s="56">
        <v>555</v>
      </c>
      <c r="K156" s="54"/>
      <c r="L156" s="54"/>
      <c r="M156" s="54"/>
      <c r="N156" s="64">
        <v>600</v>
      </c>
      <c r="O156" s="64">
        <v>555</v>
      </c>
      <c r="P156" s="64">
        <v>475</v>
      </c>
      <c r="Q156" s="44" t="s">
        <v>54</v>
      </c>
      <c r="R156" s="69"/>
      <c r="S156" s="44" t="s">
        <v>446</v>
      </c>
      <c r="T156" s="45" t="s">
        <v>622</v>
      </c>
      <c r="U156" s="45">
        <v>33110101403</v>
      </c>
      <c r="V156" s="45" t="s">
        <v>623</v>
      </c>
      <c r="W156" s="43" t="s">
        <v>43</v>
      </c>
      <c r="X156" s="71" t="s">
        <v>43</v>
      </c>
      <c r="Y156" s="71" t="s">
        <v>40</v>
      </c>
      <c r="Z156" s="48" t="s">
        <v>43</v>
      </c>
      <c r="AA156" s="75">
        <v>2905</v>
      </c>
      <c r="AB156" s="75">
        <v>2620</v>
      </c>
      <c r="AC156" s="80">
        <v>2575</v>
      </c>
      <c r="AD156" s="80">
        <v>2470</v>
      </c>
      <c r="AE156" s="80">
        <v>2100</v>
      </c>
      <c r="AF156" s="79">
        <f t="shared" si="25"/>
        <v>10</v>
      </c>
      <c r="AG156" s="79" t="str">
        <f t="shared" si="26"/>
        <v>肾囊肿去顶费</v>
      </c>
      <c r="AH156" s="79">
        <f t="shared" si="27"/>
        <v>2600</v>
      </c>
      <c r="AI156" s="79">
        <f t="shared" si="28"/>
        <v>2405</v>
      </c>
      <c r="AJ156" s="79">
        <f t="shared" si="29"/>
        <v>2055</v>
      </c>
    </row>
    <row r="157" ht="24" customHeight="1" spans="1:36">
      <c r="A157" s="81" t="s">
        <v>81</v>
      </c>
      <c r="B157" s="81" t="s">
        <v>618</v>
      </c>
      <c r="C157" s="81" t="s">
        <v>619</v>
      </c>
      <c r="D157" s="81" t="s">
        <v>213</v>
      </c>
      <c r="E157" s="81"/>
      <c r="F157" s="81"/>
      <c r="G157" s="81" t="s">
        <v>48</v>
      </c>
      <c r="H157" s="81"/>
      <c r="I157" s="56">
        <v>617</v>
      </c>
      <c r="J157" s="56">
        <v>555</v>
      </c>
      <c r="K157" s="54"/>
      <c r="L157" s="54"/>
      <c r="M157" s="54"/>
      <c r="N157" s="64">
        <v>600</v>
      </c>
      <c r="O157" s="64">
        <v>555</v>
      </c>
      <c r="P157" s="64">
        <v>475</v>
      </c>
      <c r="Q157" s="44" t="s">
        <v>54</v>
      </c>
      <c r="R157" s="69"/>
      <c r="S157" s="44" t="s">
        <v>446</v>
      </c>
      <c r="T157" s="45" t="s">
        <v>624</v>
      </c>
      <c r="U157" s="45">
        <v>33110101501</v>
      </c>
      <c r="V157" s="45" t="s">
        <v>625</v>
      </c>
      <c r="W157" s="43" t="s">
        <v>43</v>
      </c>
      <c r="X157" s="71" t="s">
        <v>43</v>
      </c>
      <c r="Y157" s="71" t="s">
        <v>48</v>
      </c>
      <c r="Z157" s="48" t="s">
        <v>43</v>
      </c>
      <c r="AA157" s="75">
        <v>3495</v>
      </c>
      <c r="AB157" s="75">
        <v>3145</v>
      </c>
      <c r="AC157" s="80">
        <v>3070</v>
      </c>
      <c r="AD157" s="80">
        <v>2755</v>
      </c>
      <c r="AE157" s="80">
        <v>2340</v>
      </c>
      <c r="AF157" s="79">
        <f t="shared" si="25"/>
        <v>10</v>
      </c>
      <c r="AG157" s="79" t="str">
        <f t="shared" si="26"/>
        <v>肾囊肿去顶费</v>
      </c>
      <c r="AH157" s="79">
        <f t="shared" si="27"/>
        <v>2600</v>
      </c>
      <c r="AI157" s="79">
        <f t="shared" si="28"/>
        <v>2405</v>
      </c>
      <c r="AJ157" s="79">
        <f t="shared" si="29"/>
        <v>2055</v>
      </c>
    </row>
    <row r="158" ht="24" customHeight="1" spans="1:36">
      <c r="A158" s="81" t="s">
        <v>81</v>
      </c>
      <c r="B158" s="81" t="s">
        <v>618</v>
      </c>
      <c r="C158" s="81" t="s">
        <v>619</v>
      </c>
      <c r="D158" s="81" t="s">
        <v>213</v>
      </c>
      <c r="E158" s="81"/>
      <c r="F158" s="81"/>
      <c r="G158" s="81" t="s">
        <v>48</v>
      </c>
      <c r="H158" s="81"/>
      <c r="I158" s="56">
        <v>617</v>
      </c>
      <c r="J158" s="56">
        <v>555</v>
      </c>
      <c r="K158" s="54"/>
      <c r="L158" s="54"/>
      <c r="M158" s="54"/>
      <c r="N158" s="64">
        <v>600</v>
      </c>
      <c r="O158" s="64">
        <v>555</v>
      </c>
      <c r="P158" s="64">
        <v>475</v>
      </c>
      <c r="Q158" s="44" t="s">
        <v>54</v>
      </c>
      <c r="R158" s="69"/>
      <c r="S158" s="44" t="s">
        <v>446</v>
      </c>
      <c r="T158" s="45" t="s">
        <v>626</v>
      </c>
      <c r="U158" s="45">
        <v>33110101503</v>
      </c>
      <c r="V158" s="45" t="s">
        <v>627</v>
      </c>
      <c r="W158" s="43" t="s">
        <v>43</v>
      </c>
      <c r="X158" s="71" t="s">
        <v>43</v>
      </c>
      <c r="Y158" s="71" t="s">
        <v>48</v>
      </c>
      <c r="Z158" s="48" t="s">
        <v>43</v>
      </c>
      <c r="AA158" s="75">
        <v>4295</v>
      </c>
      <c r="AB158" s="75">
        <v>3865</v>
      </c>
      <c r="AC158" s="80">
        <v>3695</v>
      </c>
      <c r="AD158" s="80">
        <v>3355</v>
      </c>
      <c r="AE158" s="80">
        <v>2850</v>
      </c>
      <c r="AF158" s="79">
        <f t="shared" si="25"/>
        <v>10</v>
      </c>
      <c r="AG158" s="79" t="str">
        <f t="shared" si="26"/>
        <v>肾囊肿去顶费</v>
      </c>
      <c r="AH158" s="79">
        <f t="shared" si="27"/>
        <v>2600</v>
      </c>
      <c r="AI158" s="79">
        <f t="shared" si="28"/>
        <v>2405</v>
      </c>
      <c r="AJ158" s="79">
        <f t="shared" si="29"/>
        <v>2055</v>
      </c>
    </row>
    <row r="159" ht="24" customHeight="1" spans="1:36">
      <c r="A159" s="81" t="s">
        <v>81</v>
      </c>
      <c r="B159" s="81" t="s">
        <v>618</v>
      </c>
      <c r="C159" s="81" t="s">
        <v>619</v>
      </c>
      <c r="D159" s="81" t="s">
        <v>213</v>
      </c>
      <c r="E159" s="81"/>
      <c r="F159" s="81"/>
      <c r="G159" s="81" t="s">
        <v>48</v>
      </c>
      <c r="H159" s="81"/>
      <c r="I159" s="56">
        <v>617</v>
      </c>
      <c r="J159" s="56">
        <v>555</v>
      </c>
      <c r="K159" s="54"/>
      <c r="L159" s="54"/>
      <c r="M159" s="54"/>
      <c r="N159" s="64">
        <v>600</v>
      </c>
      <c r="O159" s="64">
        <v>555</v>
      </c>
      <c r="P159" s="64">
        <v>475</v>
      </c>
      <c r="Q159" s="44" t="s">
        <v>54</v>
      </c>
      <c r="R159" s="69"/>
      <c r="S159" s="44" t="s">
        <v>446</v>
      </c>
      <c r="T159" s="45" t="s">
        <v>558</v>
      </c>
      <c r="U159" s="45">
        <v>33110100601</v>
      </c>
      <c r="V159" s="45" t="s">
        <v>559</v>
      </c>
      <c r="W159" s="43" t="s">
        <v>43</v>
      </c>
      <c r="X159" s="71" t="s">
        <v>43</v>
      </c>
      <c r="Y159" s="71" t="s">
        <v>40</v>
      </c>
      <c r="Z159" s="48" t="s">
        <v>43</v>
      </c>
      <c r="AA159" s="75">
        <v>3250</v>
      </c>
      <c r="AB159" s="75">
        <v>2910</v>
      </c>
      <c r="AC159" s="80">
        <v>2845</v>
      </c>
      <c r="AD159" s="80">
        <v>2560</v>
      </c>
      <c r="AE159" s="80">
        <v>2175</v>
      </c>
      <c r="AF159" s="79">
        <f t="shared" si="25"/>
        <v>10</v>
      </c>
      <c r="AG159" s="79" t="str">
        <f t="shared" si="26"/>
        <v>肾囊肿去顶费</v>
      </c>
      <c r="AH159" s="79">
        <f t="shared" si="27"/>
        <v>2600</v>
      </c>
      <c r="AI159" s="79">
        <f t="shared" si="28"/>
        <v>2405</v>
      </c>
      <c r="AJ159" s="79">
        <f t="shared" si="29"/>
        <v>2055</v>
      </c>
    </row>
    <row r="160" ht="24" customHeight="1" spans="1:36">
      <c r="A160" s="81" t="s">
        <v>81</v>
      </c>
      <c r="B160" s="81" t="s">
        <v>618</v>
      </c>
      <c r="C160" s="81" t="s">
        <v>619</v>
      </c>
      <c r="D160" s="81" t="s">
        <v>213</v>
      </c>
      <c r="E160" s="81"/>
      <c r="F160" s="81"/>
      <c r="G160" s="81" t="s">
        <v>48</v>
      </c>
      <c r="H160" s="81"/>
      <c r="I160" s="56">
        <v>617</v>
      </c>
      <c r="J160" s="56">
        <v>555</v>
      </c>
      <c r="K160" s="54"/>
      <c r="L160" s="54"/>
      <c r="M160" s="54"/>
      <c r="N160" s="64">
        <v>600</v>
      </c>
      <c r="O160" s="64">
        <v>555</v>
      </c>
      <c r="P160" s="64">
        <v>475</v>
      </c>
      <c r="Q160" s="44" t="s">
        <v>54</v>
      </c>
      <c r="R160" s="69"/>
      <c r="S160" s="44" t="s">
        <v>446</v>
      </c>
      <c r="T160" s="45" t="s">
        <v>560</v>
      </c>
      <c r="U160" s="45">
        <v>33110100603</v>
      </c>
      <c r="V160" s="45" t="s">
        <v>561</v>
      </c>
      <c r="W160" s="43" t="s">
        <v>43</v>
      </c>
      <c r="X160" s="71" t="s">
        <v>43</v>
      </c>
      <c r="Y160" s="71" t="s">
        <v>40</v>
      </c>
      <c r="Z160" s="48" t="s">
        <v>43</v>
      </c>
      <c r="AA160" s="75">
        <v>4050</v>
      </c>
      <c r="AB160" s="75">
        <v>3630</v>
      </c>
      <c r="AC160" s="80">
        <v>3470</v>
      </c>
      <c r="AD160" s="80">
        <v>3160</v>
      </c>
      <c r="AE160" s="80">
        <v>2685</v>
      </c>
      <c r="AF160" s="79">
        <f t="shared" si="25"/>
        <v>10</v>
      </c>
      <c r="AG160" s="79" t="str">
        <f t="shared" si="26"/>
        <v>肾囊肿去顶费</v>
      </c>
      <c r="AH160" s="79">
        <f t="shared" si="27"/>
        <v>2600</v>
      </c>
      <c r="AI160" s="79">
        <f t="shared" si="28"/>
        <v>2405</v>
      </c>
      <c r="AJ160" s="79">
        <f t="shared" si="29"/>
        <v>2055</v>
      </c>
    </row>
    <row r="161" ht="24" customHeight="1" spans="1:36">
      <c r="A161" s="47">
        <v>44</v>
      </c>
      <c r="B161" s="47" t="s">
        <v>628</v>
      </c>
      <c r="C161" s="47" t="s">
        <v>629</v>
      </c>
      <c r="D161" s="47" t="s">
        <v>213</v>
      </c>
      <c r="E161" s="47" t="s">
        <v>630</v>
      </c>
      <c r="F161" s="47" t="s">
        <v>631</v>
      </c>
      <c r="G161" s="47" t="s">
        <v>48</v>
      </c>
      <c r="H161" s="47"/>
      <c r="I161" s="56">
        <v>3465</v>
      </c>
      <c r="J161" s="56">
        <v>3119</v>
      </c>
      <c r="K161" s="83">
        <v>2845.72569906791</v>
      </c>
      <c r="L161" s="83">
        <v>2487.77142857143</v>
      </c>
      <c r="M161" s="83">
        <v>1864.92307692308</v>
      </c>
      <c r="N161" s="64">
        <v>3200</v>
      </c>
      <c r="O161" s="64">
        <v>2900</v>
      </c>
      <c r="P161" s="64">
        <v>2500</v>
      </c>
      <c r="Q161" s="44" t="s">
        <v>54</v>
      </c>
      <c r="R161" s="70" t="s">
        <v>416</v>
      </c>
      <c r="S161" s="44" t="s">
        <v>632</v>
      </c>
      <c r="T161" s="43" t="s">
        <v>633</v>
      </c>
      <c r="U161" s="71">
        <v>331101009</v>
      </c>
      <c r="V161" s="43" t="s">
        <v>634</v>
      </c>
      <c r="W161" s="43" t="s">
        <v>43</v>
      </c>
      <c r="X161" s="71" t="s">
        <v>43</v>
      </c>
      <c r="Y161" s="71" t="s">
        <v>40</v>
      </c>
      <c r="Z161" s="48" t="s">
        <v>43</v>
      </c>
      <c r="AA161" s="75">
        <v>3460</v>
      </c>
      <c r="AB161" s="75">
        <v>3110</v>
      </c>
      <c r="AC161" s="80">
        <v>3290</v>
      </c>
      <c r="AD161" s="80">
        <v>2960</v>
      </c>
      <c r="AE161" s="80">
        <v>2365</v>
      </c>
      <c r="AF161" s="79">
        <f t="shared" si="25"/>
        <v>0</v>
      </c>
      <c r="AG161" s="79" t="str">
        <f t="shared" si="26"/>
        <v>肾部分切除费</v>
      </c>
      <c r="AH161" s="79">
        <f t="shared" si="27"/>
        <v>3200</v>
      </c>
      <c r="AI161" s="79">
        <f t="shared" si="28"/>
        <v>2900</v>
      </c>
      <c r="AJ161" s="79">
        <f t="shared" si="29"/>
        <v>2500</v>
      </c>
    </row>
    <row r="162" ht="24" customHeight="1" spans="1:36">
      <c r="A162" s="47">
        <v>44</v>
      </c>
      <c r="B162" s="47" t="s">
        <v>628</v>
      </c>
      <c r="C162" s="47" t="s">
        <v>629</v>
      </c>
      <c r="D162" s="47" t="s">
        <v>213</v>
      </c>
      <c r="E162" s="47" t="s">
        <v>630</v>
      </c>
      <c r="F162" s="47" t="s">
        <v>631</v>
      </c>
      <c r="G162" s="47" t="s">
        <v>48</v>
      </c>
      <c r="H162" s="47"/>
      <c r="I162" s="56">
        <v>3465</v>
      </c>
      <c r="J162" s="56">
        <v>3119</v>
      </c>
      <c r="K162" s="83">
        <v>2845.72569906791</v>
      </c>
      <c r="L162" s="83">
        <v>2487.77142857143</v>
      </c>
      <c r="M162" s="83">
        <v>1864.92307692308</v>
      </c>
      <c r="N162" s="64">
        <v>3200</v>
      </c>
      <c r="O162" s="64">
        <v>2900</v>
      </c>
      <c r="P162" s="64">
        <v>2500</v>
      </c>
      <c r="Q162" s="44" t="s">
        <v>54</v>
      </c>
      <c r="R162" s="70" t="s">
        <v>416</v>
      </c>
      <c r="S162" s="44" t="s">
        <v>632</v>
      </c>
      <c r="T162" s="43" t="s">
        <v>635</v>
      </c>
      <c r="U162" s="71">
        <v>33110100902</v>
      </c>
      <c r="V162" s="43" t="s">
        <v>636</v>
      </c>
      <c r="W162" s="43" t="s">
        <v>43</v>
      </c>
      <c r="X162" s="71" t="s">
        <v>43</v>
      </c>
      <c r="Y162" s="71" t="s">
        <v>40</v>
      </c>
      <c r="Z162" s="48" t="s">
        <v>43</v>
      </c>
      <c r="AA162" s="75">
        <v>4260</v>
      </c>
      <c r="AB162" s="75">
        <v>3830</v>
      </c>
      <c r="AC162" s="80">
        <v>3915</v>
      </c>
      <c r="AD162" s="80">
        <v>3560</v>
      </c>
      <c r="AE162" s="80">
        <v>2875</v>
      </c>
      <c r="AF162" s="79">
        <f t="shared" si="25"/>
        <v>0</v>
      </c>
      <c r="AG162" s="79" t="str">
        <f t="shared" si="26"/>
        <v>肾部分切除费</v>
      </c>
      <c r="AH162" s="79">
        <f t="shared" si="27"/>
        <v>3200</v>
      </c>
      <c r="AI162" s="79">
        <f t="shared" si="28"/>
        <v>2900</v>
      </c>
      <c r="AJ162" s="79">
        <f t="shared" si="29"/>
        <v>2500</v>
      </c>
    </row>
    <row r="163" ht="24" customHeight="1" spans="1:36">
      <c r="A163" s="47">
        <v>44</v>
      </c>
      <c r="B163" s="47" t="s">
        <v>628</v>
      </c>
      <c r="C163" s="47" t="s">
        <v>629</v>
      </c>
      <c r="D163" s="47" t="s">
        <v>213</v>
      </c>
      <c r="E163" s="47" t="s">
        <v>630</v>
      </c>
      <c r="F163" s="47" t="s">
        <v>631</v>
      </c>
      <c r="G163" s="47" t="s">
        <v>48</v>
      </c>
      <c r="H163" s="47"/>
      <c r="I163" s="56">
        <v>3465</v>
      </c>
      <c r="J163" s="56">
        <v>3119</v>
      </c>
      <c r="K163" s="83">
        <v>2845.72569906791</v>
      </c>
      <c r="L163" s="83">
        <v>2487.77142857143</v>
      </c>
      <c r="M163" s="83">
        <v>1864.92307692308</v>
      </c>
      <c r="N163" s="64">
        <v>3200</v>
      </c>
      <c r="O163" s="64">
        <v>2900</v>
      </c>
      <c r="P163" s="64">
        <v>2500</v>
      </c>
      <c r="Q163" s="44" t="s">
        <v>54</v>
      </c>
      <c r="R163" s="70" t="s">
        <v>416</v>
      </c>
      <c r="S163" s="44" t="s">
        <v>632</v>
      </c>
      <c r="T163" s="43" t="s">
        <v>609</v>
      </c>
      <c r="U163" s="71">
        <v>331101014</v>
      </c>
      <c r="V163" s="43" t="s">
        <v>610</v>
      </c>
      <c r="W163" s="43" t="s">
        <v>611</v>
      </c>
      <c r="X163" s="71" t="s">
        <v>43</v>
      </c>
      <c r="Y163" s="71" t="s">
        <v>40</v>
      </c>
      <c r="Z163" s="48" t="s">
        <v>43</v>
      </c>
      <c r="AA163" s="75">
        <v>1620</v>
      </c>
      <c r="AB163" s="75">
        <v>1460</v>
      </c>
      <c r="AC163" s="80">
        <v>1500</v>
      </c>
      <c r="AD163" s="80">
        <v>1440</v>
      </c>
      <c r="AE163" s="80">
        <v>1224</v>
      </c>
      <c r="AF163" s="79">
        <f t="shared" si="25"/>
        <v>0</v>
      </c>
      <c r="AG163" s="79" t="str">
        <f t="shared" si="26"/>
        <v>肾部分切除费</v>
      </c>
      <c r="AH163" s="79">
        <f t="shared" si="27"/>
        <v>3200</v>
      </c>
      <c r="AI163" s="79">
        <f t="shared" si="28"/>
        <v>2900</v>
      </c>
      <c r="AJ163" s="79">
        <f t="shared" si="29"/>
        <v>2500</v>
      </c>
    </row>
    <row r="164" ht="24" customHeight="1" spans="1:36">
      <c r="A164" s="47">
        <v>44</v>
      </c>
      <c r="B164" s="47" t="s">
        <v>628</v>
      </c>
      <c r="C164" s="47" t="s">
        <v>629</v>
      </c>
      <c r="D164" s="47" t="s">
        <v>213</v>
      </c>
      <c r="E164" s="47" t="s">
        <v>630</v>
      </c>
      <c r="F164" s="47" t="s">
        <v>631</v>
      </c>
      <c r="G164" s="47" t="s">
        <v>48</v>
      </c>
      <c r="H164" s="47"/>
      <c r="I164" s="56">
        <v>3465</v>
      </c>
      <c r="J164" s="56">
        <v>3119</v>
      </c>
      <c r="K164" s="83">
        <v>2845.72569906791</v>
      </c>
      <c r="L164" s="83">
        <v>2487.77142857143</v>
      </c>
      <c r="M164" s="83">
        <v>1864.92307692308</v>
      </c>
      <c r="N164" s="64">
        <v>3200</v>
      </c>
      <c r="O164" s="64">
        <v>2900</v>
      </c>
      <c r="P164" s="64">
        <v>2500</v>
      </c>
      <c r="Q164" s="44" t="s">
        <v>54</v>
      </c>
      <c r="R164" s="70" t="s">
        <v>416</v>
      </c>
      <c r="S164" s="44" t="s">
        <v>632</v>
      </c>
      <c r="T164" s="43" t="s">
        <v>612</v>
      </c>
      <c r="U164" s="71">
        <v>33110101402</v>
      </c>
      <c r="V164" s="43" t="s">
        <v>613</v>
      </c>
      <c r="W164" s="43" t="s">
        <v>43</v>
      </c>
      <c r="X164" s="71" t="s">
        <v>43</v>
      </c>
      <c r="Y164" s="71" t="s">
        <v>40</v>
      </c>
      <c r="Z164" s="48" t="s">
        <v>43</v>
      </c>
      <c r="AA164" s="75">
        <v>2420</v>
      </c>
      <c r="AB164" s="75">
        <v>2180</v>
      </c>
      <c r="AC164" s="80">
        <v>2125</v>
      </c>
      <c r="AD164" s="80">
        <v>2040</v>
      </c>
      <c r="AE164" s="80">
        <v>1734</v>
      </c>
      <c r="AF164" s="79">
        <f t="shared" si="25"/>
        <v>0</v>
      </c>
      <c r="AG164" s="79" t="str">
        <f t="shared" si="26"/>
        <v>肾部分切除费</v>
      </c>
      <c r="AH164" s="79">
        <f t="shared" si="27"/>
        <v>3200</v>
      </c>
      <c r="AI164" s="79">
        <f t="shared" si="28"/>
        <v>2900</v>
      </c>
      <c r="AJ164" s="79">
        <f t="shared" si="29"/>
        <v>2500</v>
      </c>
    </row>
    <row r="165" ht="24" customHeight="1" spans="1:36">
      <c r="A165" s="47">
        <v>44</v>
      </c>
      <c r="B165" s="47" t="s">
        <v>628</v>
      </c>
      <c r="C165" s="47" t="s">
        <v>629</v>
      </c>
      <c r="D165" s="47" t="s">
        <v>213</v>
      </c>
      <c r="E165" s="47" t="s">
        <v>630</v>
      </c>
      <c r="F165" s="47" t="s">
        <v>631</v>
      </c>
      <c r="G165" s="47" t="s">
        <v>48</v>
      </c>
      <c r="H165" s="47"/>
      <c r="I165" s="56">
        <v>3465</v>
      </c>
      <c r="J165" s="56">
        <v>3119</v>
      </c>
      <c r="K165" s="83">
        <v>2845.72569906791</v>
      </c>
      <c r="L165" s="83">
        <v>2487.77142857143</v>
      </c>
      <c r="M165" s="83">
        <v>1864.92307692308</v>
      </c>
      <c r="N165" s="64">
        <v>3200</v>
      </c>
      <c r="O165" s="64">
        <v>2900</v>
      </c>
      <c r="P165" s="64">
        <v>2500</v>
      </c>
      <c r="Q165" s="44" t="s">
        <v>54</v>
      </c>
      <c r="R165" s="70" t="s">
        <v>416</v>
      </c>
      <c r="S165" s="44" t="s">
        <v>632</v>
      </c>
      <c r="T165" s="43" t="s">
        <v>637</v>
      </c>
      <c r="U165" s="71">
        <v>331101007</v>
      </c>
      <c r="V165" s="43" t="s">
        <v>638</v>
      </c>
      <c r="W165" s="43" t="s">
        <v>43</v>
      </c>
      <c r="X165" s="71" t="s">
        <v>43</v>
      </c>
      <c r="Y165" s="71" t="s">
        <v>40</v>
      </c>
      <c r="Z165" s="48" t="s">
        <v>43</v>
      </c>
      <c r="AA165" s="75">
        <v>3460</v>
      </c>
      <c r="AB165" s="75">
        <v>3110</v>
      </c>
      <c r="AC165" s="80">
        <v>3040</v>
      </c>
      <c r="AD165" s="80">
        <v>2740</v>
      </c>
      <c r="AE165" s="80">
        <v>2330</v>
      </c>
      <c r="AF165" s="79">
        <f t="shared" si="25"/>
        <v>0</v>
      </c>
      <c r="AG165" s="79" t="str">
        <f t="shared" si="26"/>
        <v>肾部分切除费</v>
      </c>
      <c r="AH165" s="79">
        <f t="shared" si="27"/>
        <v>3200</v>
      </c>
      <c r="AI165" s="79">
        <f t="shared" si="28"/>
        <v>2900</v>
      </c>
      <c r="AJ165" s="79">
        <f t="shared" si="29"/>
        <v>2500</v>
      </c>
    </row>
    <row r="166" ht="24" customHeight="1" spans="1:36">
      <c r="A166" s="47">
        <v>44</v>
      </c>
      <c r="B166" s="47" t="s">
        <v>628</v>
      </c>
      <c r="C166" s="47" t="s">
        <v>629</v>
      </c>
      <c r="D166" s="47" t="s">
        <v>213</v>
      </c>
      <c r="E166" s="47" t="s">
        <v>630</v>
      </c>
      <c r="F166" s="47" t="s">
        <v>631</v>
      </c>
      <c r="G166" s="47" t="s">
        <v>48</v>
      </c>
      <c r="H166" s="47"/>
      <c r="I166" s="56">
        <v>3465</v>
      </c>
      <c r="J166" s="56">
        <v>3119</v>
      </c>
      <c r="K166" s="83">
        <v>2845.72569906791</v>
      </c>
      <c r="L166" s="83">
        <v>2487.77142857143</v>
      </c>
      <c r="M166" s="83">
        <v>1864.92307692308</v>
      </c>
      <c r="N166" s="64">
        <v>3200</v>
      </c>
      <c r="O166" s="64">
        <v>2900</v>
      </c>
      <c r="P166" s="64">
        <v>2500</v>
      </c>
      <c r="Q166" s="44" t="s">
        <v>54</v>
      </c>
      <c r="R166" s="70" t="s">
        <v>416</v>
      </c>
      <c r="S166" s="44" t="s">
        <v>632</v>
      </c>
      <c r="T166" s="43" t="s">
        <v>639</v>
      </c>
      <c r="U166" s="71">
        <v>33110100702</v>
      </c>
      <c r="V166" s="43" t="s">
        <v>640</v>
      </c>
      <c r="W166" s="43" t="s">
        <v>43</v>
      </c>
      <c r="X166" s="71" t="s">
        <v>43</v>
      </c>
      <c r="Y166" s="71" t="s">
        <v>40</v>
      </c>
      <c r="Z166" s="48" t="s">
        <v>43</v>
      </c>
      <c r="AA166" s="75">
        <v>4260</v>
      </c>
      <c r="AB166" s="75">
        <v>3830</v>
      </c>
      <c r="AC166" s="80">
        <v>3665</v>
      </c>
      <c r="AD166" s="80">
        <v>3340</v>
      </c>
      <c r="AE166" s="80">
        <v>2840</v>
      </c>
      <c r="AF166" s="79">
        <f t="shared" si="25"/>
        <v>0</v>
      </c>
      <c r="AG166" s="79" t="str">
        <f t="shared" si="26"/>
        <v>肾部分切除费</v>
      </c>
      <c r="AH166" s="79">
        <f t="shared" si="27"/>
        <v>3200</v>
      </c>
      <c r="AI166" s="79">
        <f t="shared" si="28"/>
        <v>2900</v>
      </c>
      <c r="AJ166" s="79">
        <f t="shared" si="29"/>
        <v>2500</v>
      </c>
    </row>
    <row r="167" ht="24" customHeight="1" spans="1:36">
      <c r="A167" s="47">
        <v>44</v>
      </c>
      <c r="B167" s="47" t="s">
        <v>628</v>
      </c>
      <c r="C167" s="47" t="s">
        <v>629</v>
      </c>
      <c r="D167" s="47" t="s">
        <v>213</v>
      </c>
      <c r="E167" s="47" t="s">
        <v>630</v>
      </c>
      <c r="F167" s="47" t="s">
        <v>631</v>
      </c>
      <c r="G167" s="47" t="s">
        <v>48</v>
      </c>
      <c r="H167" s="47"/>
      <c r="I167" s="56">
        <v>3465</v>
      </c>
      <c r="J167" s="56">
        <v>3119</v>
      </c>
      <c r="K167" s="83">
        <v>2845.72569906791</v>
      </c>
      <c r="L167" s="83">
        <v>2487.77142857143</v>
      </c>
      <c r="M167" s="83">
        <v>1864.92307692308</v>
      </c>
      <c r="N167" s="64">
        <v>3200</v>
      </c>
      <c r="O167" s="64">
        <v>2900</v>
      </c>
      <c r="P167" s="64">
        <v>2500</v>
      </c>
      <c r="Q167" s="44" t="s">
        <v>54</v>
      </c>
      <c r="R167" s="70" t="s">
        <v>416</v>
      </c>
      <c r="S167" s="44" t="s">
        <v>632</v>
      </c>
      <c r="T167" s="85" t="s">
        <v>641</v>
      </c>
      <c r="U167" s="89">
        <v>331101025</v>
      </c>
      <c r="V167" s="85" t="s">
        <v>642</v>
      </c>
      <c r="W167" s="85" t="s">
        <v>43</v>
      </c>
      <c r="X167" s="89" t="s">
        <v>43</v>
      </c>
      <c r="Y167" s="89" t="s">
        <v>40</v>
      </c>
      <c r="Z167" s="91" t="s">
        <v>643</v>
      </c>
      <c r="AA167" s="75">
        <v>8100</v>
      </c>
      <c r="AB167" s="75">
        <v>6800</v>
      </c>
      <c r="AC167" s="80">
        <v>6240</v>
      </c>
      <c r="AD167" s="80">
        <v>5620</v>
      </c>
      <c r="AE167" s="80">
        <v>4780</v>
      </c>
      <c r="AF167" s="79">
        <f t="shared" si="25"/>
        <v>0</v>
      </c>
      <c r="AG167" s="79" t="str">
        <f t="shared" si="26"/>
        <v>肾部分切除费</v>
      </c>
      <c r="AH167" s="79">
        <f t="shared" si="27"/>
        <v>3200</v>
      </c>
      <c r="AI167" s="79">
        <f t="shared" si="28"/>
        <v>2900</v>
      </c>
      <c r="AJ167" s="79">
        <f t="shared" si="29"/>
        <v>2500</v>
      </c>
    </row>
    <row r="168" ht="24" customHeight="1" spans="1:36">
      <c r="A168" s="47">
        <v>44</v>
      </c>
      <c r="B168" s="47" t="s">
        <v>628</v>
      </c>
      <c r="C168" s="47" t="s">
        <v>629</v>
      </c>
      <c r="D168" s="47" t="s">
        <v>213</v>
      </c>
      <c r="E168" s="47" t="s">
        <v>630</v>
      </c>
      <c r="F168" s="47" t="s">
        <v>631</v>
      </c>
      <c r="G168" s="47" t="s">
        <v>48</v>
      </c>
      <c r="H168" s="47"/>
      <c r="I168" s="56">
        <v>3465</v>
      </c>
      <c r="J168" s="56">
        <v>3119</v>
      </c>
      <c r="K168" s="83">
        <v>2845.72569906791</v>
      </c>
      <c r="L168" s="83">
        <v>2487.77142857143</v>
      </c>
      <c r="M168" s="83">
        <v>1864.92307692308</v>
      </c>
      <c r="N168" s="64">
        <v>3200</v>
      </c>
      <c r="O168" s="64">
        <v>2900</v>
      </c>
      <c r="P168" s="64">
        <v>2500</v>
      </c>
      <c r="Q168" s="44" t="s">
        <v>54</v>
      </c>
      <c r="R168" s="70" t="s">
        <v>416</v>
      </c>
      <c r="S168" s="44" t="s">
        <v>632</v>
      </c>
      <c r="T168" s="85" t="s">
        <v>644</v>
      </c>
      <c r="U168" s="89">
        <v>33110102501</v>
      </c>
      <c r="V168" s="85" t="s">
        <v>645</v>
      </c>
      <c r="W168" s="85" t="s">
        <v>43</v>
      </c>
      <c r="X168" s="89" t="s">
        <v>43</v>
      </c>
      <c r="Y168" s="89" t="s">
        <v>40</v>
      </c>
      <c r="Z168" s="91" t="s">
        <v>646</v>
      </c>
      <c r="AA168" s="75">
        <v>9450</v>
      </c>
      <c r="AB168" s="75">
        <v>7934</v>
      </c>
      <c r="AC168" s="80">
        <v>7450</v>
      </c>
      <c r="AD168" s="80">
        <v>6710</v>
      </c>
      <c r="AE168" s="80">
        <v>5705</v>
      </c>
      <c r="AF168" s="79">
        <f t="shared" si="25"/>
        <v>0</v>
      </c>
      <c r="AG168" s="79" t="str">
        <f t="shared" si="26"/>
        <v>肾部分切除费</v>
      </c>
      <c r="AH168" s="79">
        <f t="shared" si="27"/>
        <v>3200</v>
      </c>
      <c r="AI168" s="79">
        <f t="shared" si="28"/>
        <v>2900</v>
      </c>
      <c r="AJ168" s="79">
        <f t="shared" si="29"/>
        <v>2500</v>
      </c>
    </row>
    <row r="169" ht="24" customHeight="1" spans="1:36">
      <c r="A169" s="47">
        <v>44</v>
      </c>
      <c r="B169" s="47" t="s">
        <v>628</v>
      </c>
      <c r="C169" s="47" t="s">
        <v>629</v>
      </c>
      <c r="D169" s="47" t="s">
        <v>213</v>
      </c>
      <c r="E169" s="47" t="s">
        <v>630</v>
      </c>
      <c r="F169" s="47" t="s">
        <v>631</v>
      </c>
      <c r="G169" s="47" t="s">
        <v>48</v>
      </c>
      <c r="H169" s="47"/>
      <c r="I169" s="56">
        <v>3465</v>
      </c>
      <c r="J169" s="56">
        <v>3119</v>
      </c>
      <c r="K169" s="83">
        <v>2845.72569906791</v>
      </c>
      <c r="L169" s="83">
        <v>2487.77142857143</v>
      </c>
      <c r="M169" s="83">
        <v>1864.92307692308</v>
      </c>
      <c r="N169" s="64">
        <v>3200</v>
      </c>
      <c r="O169" s="64">
        <v>2900</v>
      </c>
      <c r="P169" s="64">
        <v>2500</v>
      </c>
      <c r="Q169" s="44" t="s">
        <v>54</v>
      </c>
      <c r="R169" s="70" t="s">
        <v>416</v>
      </c>
      <c r="S169" s="44" t="s">
        <v>632</v>
      </c>
      <c r="T169" s="86" t="s">
        <v>647</v>
      </c>
      <c r="U169" s="86">
        <v>33110102504</v>
      </c>
      <c r="V169" s="86" t="s">
        <v>648</v>
      </c>
      <c r="W169" s="85" t="s">
        <v>43</v>
      </c>
      <c r="X169" s="89" t="s">
        <v>43</v>
      </c>
      <c r="Y169" s="89" t="s">
        <v>40</v>
      </c>
      <c r="Z169" s="91" t="s">
        <v>43</v>
      </c>
      <c r="AA169" s="75">
        <v>8900</v>
      </c>
      <c r="AB169" s="75">
        <v>7520</v>
      </c>
      <c r="AC169" s="80">
        <v>6865</v>
      </c>
      <c r="AD169" s="80">
        <v>6220</v>
      </c>
      <c r="AE169" s="80">
        <v>5290</v>
      </c>
      <c r="AF169" s="79">
        <f t="shared" si="25"/>
        <v>0</v>
      </c>
      <c r="AG169" s="79" t="str">
        <f t="shared" si="26"/>
        <v>肾部分切除费</v>
      </c>
      <c r="AH169" s="79">
        <f t="shared" si="27"/>
        <v>3200</v>
      </c>
      <c r="AI169" s="79">
        <f t="shared" si="28"/>
        <v>2900</v>
      </c>
      <c r="AJ169" s="79">
        <f t="shared" si="29"/>
        <v>2500</v>
      </c>
    </row>
    <row r="170" ht="24" customHeight="1" spans="1:36">
      <c r="A170" s="47">
        <v>44</v>
      </c>
      <c r="B170" s="47" t="s">
        <v>628</v>
      </c>
      <c r="C170" s="47" t="s">
        <v>629</v>
      </c>
      <c r="D170" s="47" t="s">
        <v>213</v>
      </c>
      <c r="E170" s="47" t="s">
        <v>630</v>
      </c>
      <c r="F170" s="47" t="s">
        <v>631</v>
      </c>
      <c r="G170" s="47" t="s">
        <v>48</v>
      </c>
      <c r="H170" s="47"/>
      <c r="I170" s="56">
        <v>3465</v>
      </c>
      <c r="J170" s="56">
        <v>3119</v>
      </c>
      <c r="K170" s="83">
        <v>2845.72569906791</v>
      </c>
      <c r="L170" s="83">
        <v>2487.77142857143</v>
      </c>
      <c r="M170" s="83">
        <v>1864.92307692308</v>
      </c>
      <c r="N170" s="64">
        <v>3200</v>
      </c>
      <c r="O170" s="64">
        <v>2900</v>
      </c>
      <c r="P170" s="64">
        <v>2500</v>
      </c>
      <c r="Q170" s="44" t="s">
        <v>54</v>
      </c>
      <c r="R170" s="70" t="s">
        <v>416</v>
      </c>
      <c r="S170" s="44" t="s">
        <v>632</v>
      </c>
      <c r="T170" s="86" t="s">
        <v>649</v>
      </c>
      <c r="U170" s="86">
        <v>33110102505</v>
      </c>
      <c r="V170" s="86" t="s">
        <v>650</v>
      </c>
      <c r="W170" s="85" t="s">
        <v>43</v>
      </c>
      <c r="X170" s="89" t="s">
        <v>43</v>
      </c>
      <c r="Y170" s="89" t="s">
        <v>40</v>
      </c>
      <c r="Z170" s="91" t="s">
        <v>646</v>
      </c>
      <c r="AA170" s="75">
        <v>10250</v>
      </c>
      <c r="AB170" s="75">
        <v>8654</v>
      </c>
      <c r="AC170" s="80">
        <v>8075</v>
      </c>
      <c r="AD170" s="80">
        <v>7310</v>
      </c>
      <c r="AE170" s="80">
        <v>6215</v>
      </c>
      <c r="AF170" s="79">
        <f t="shared" si="25"/>
        <v>0</v>
      </c>
      <c r="AG170" s="79" t="str">
        <f t="shared" si="26"/>
        <v>肾部分切除费</v>
      </c>
      <c r="AH170" s="79">
        <f t="shared" si="27"/>
        <v>3200</v>
      </c>
      <c r="AI170" s="79">
        <f t="shared" si="28"/>
        <v>2900</v>
      </c>
      <c r="AJ170" s="79">
        <f t="shared" si="29"/>
        <v>2500</v>
      </c>
    </row>
    <row r="171" ht="24" customHeight="1" spans="1:36">
      <c r="A171" s="47">
        <v>44</v>
      </c>
      <c r="B171" s="47" t="s">
        <v>628</v>
      </c>
      <c r="C171" s="47" t="s">
        <v>629</v>
      </c>
      <c r="D171" s="47" t="s">
        <v>213</v>
      </c>
      <c r="E171" s="47" t="s">
        <v>630</v>
      </c>
      <c r="F171" s="47" t="s">
        <v>631</v>
      </c>
      <c r="G171" s="47" t="s">
        <v>48</v>
      </c>
      <c r="H171" s="47"/>
      <c r="I171" s="56">
        <v>3465</v>
      </c>
      <c r="J171" s="56">
        <v>3119</v>
      </c>
      <c r="K171" s="83">
        <v>2845.72569906791</v>
      </c>
      <c r="L171" s="83">
        <v>2487.77142857143</v>
      </c>
      <c r="M171" s="83">
        <v>1864.92307692308</v>
      </c>
      <c r="N171" s="64">
        <v>3200</v>
      </c>
      <c r="O171" s="64">
        <v>2900</v>
      </c>
      <c r="P171" s="64">
        <v>2500</v>
      </c>
      <c r="Q171" s="44" t="s">
        <v>54</v>
      </c>
      <c r="R171" s="70" t="s">
        <v>416</v>
      </c>
      <c r="S171" s="44" t="s">
        <v>632</v>
      </c>
      <c r="T171" s="43" t="s">
        <v>547</v>
      </c>
      <c r="U171" s="71">
        <v>331101006</v>
      </c>
      <c r="V171" s="43" t="s">
        <v>548</v>
      </c>
      <c r="W171" s="43" t="s">
        <v>43</v>
      </c>
      <c r="X171" s="71" t="s">
        <v>43</v>
      </c>
      <c r="Y171" s="71" t="s">
        <v>40</v>
      </c>
      <c r="Z171" s="48" t="s">
        <v>43</v>
      </c>
      <c r="AA171" s="75">
        <v>2500</v>
      </c>
      <c r="AB171" s="75">
        <v>2240</v>
      </c>
      <c r="AC171" s="80">
        <v>2190</v>
      </c>
      <c r="AD171" s="80">
        <v>1970</v>
      </c>
      <c r="AE171" s="80">
        <v>1670</v>
      </c>
      <c r="AF171" s="79">
        <f t="shared" si="25"/>
        <v>0</v>
      </c>
      <c r="AG171" s="79" t="str">
        <f t="shared" si="26"/>
        <v>肾部分切除费</v>
      </c>
      <c r="AH171" s="79">
        <f t="shared" si="27"/>
        <v>3200</v>
      </c>
      <c r="AI171" s="79">
        <f t="shared" si="28"/>
        <v>2900</v>
      </c>
      <c r="AJ171" s="79">
        <f t="shared" si="29"/>
        <v>2500</v>
      </c>
    </row>
    <row r="172" ht="24" customHeight="1" spans="1:36">
      <c r="A172" s="47">
        <v>44</v>
      </c>
      <c r="B172" s="47" t="s">
        <v>628</v>
      </c>
      <c r="C172" s="47" t="s">
        <v>629</v>
      </c>
      <c r="D172" s="47" t="s">
        <v>213</v>
      </c>
      <c r="E172" s="47" t="s">
        <v>630</v>
      </c>
      <c r="F172" s="47" t="s">
        <v>631</v>
      </c>
      <c r="G172" s="47" t="s">
        <v>48</v>
      </c>
      <c r="H172" s="47"/>
      <c r="I172" s="56">
        <v>3465</v>
      </c>
      <c r="J172" s="56">
        <v>3119</v>
      </c>
      <c r="K172" s="83">
        <v>2845.72569906791</v>
      </c>
      <c r="L172" s="83">
        <v>2487.77142857143</v>
      </c>
      <c r="M172" s="83">
        <v>1864.92307692308</v>
      </c>
      <c r="N172" s="64">
        <v>3200</v>
      </c>
      <c r="O172" s="64">
        <v>2900</v>
      </c>
      <c r="P172" s="64">
        <v>2500</v>
      </c>
      <c r="Q172" s="44" t="s">
        <v>54</v>
      </c>
      <c r="R172" s="70" t="s">
        <v>416</v>
      </c>
      <c r="S172" s="44" t="s">
        <v>632</v>
      </c>
      <c r="T172" s="45" t="s">
        <v>550</v>
      </c>
      <c r="U172" s="71">
        <v>33110100602</v>
      </c>
      <c r="V172" s="43" t="s">
        <v>551</v>
      </c>
      <c r="W172" s="43" t="s">
        <v>43</v>
      </c>
      <c r="X172" s="71" t="s">
        <v>43</v>
      </c>
      <c r="Y172" s="71" t="s">
        <v>40</v>
      </c>
      <c r="Z172" s="48" t="s">
        <v>43</v>
      </c>
      <c r="AA172" s="75">
        <v>3300</v>
      </c>
      <c r="AB172" s="75">
        <v>2960</v>
      </c>
      <c r="AC172" s="80">
        <v>2815</v>
      </c>
      <c r="AD172" s="80">
        <v>2570</v>
      </c>
      <c r="AE172" s="80">
        <v>2180</v>
      </c>
      <c r="AF172" s="79">
        <f t="shared" si="25"/>
        <v>0</v>
      </c>
      <c r="AG172" s="79" t="str">
        <f t="shared" si="26"/>
        <v>肾部分切除费</v>
      </c>
      <c r="AH172" s="79">
        <f t="shared" si="27"/>
        <v>3200</v>
      </c>
      <c r="AI172" s="79">
        <f t="shared" si="28"/>
        <v>2900</v>
      </c>
      <c r="AJ172" s="79">
        <f t="shared" si="29"/>
        <v>2500</v>
      </c>
    </row>
    <row r="173" ht="21" customHeight="1" spans="1:36">
      <c r="A173" s="81" t="s">
        <v>81</v>
      </c>
      <c r="B173" s="81" t="s">
        <v>654</v>
      </c>
      <c r="C173" s="81" t="s">
        <v>655</v>
      </c>
      <c r="D173" s="81" t="s">
        <v>213</v>
      </c>
      <c r="E173" s="81"/>
      <c r="F173" s="81"/>
      <c r="G173" s="81" t="s">
        <v>48</v>
      </c>
      <c r="H173" s="81"/>
      <c r="I173" s="56">
        <v>1040</v>
      </c>
      <c r="J173" s="56">
        <v>936</v>
      </c>
      <c r="K173" s="54"/>
      <c r="L173" s="54"/>
      <c r="M173" s="54"/>
      <c r="N173" s="64">
        <v>960</v>
      </c>
      <c r="O173" s="64">
        <v>870</v>
      </c>
      <c r="P173" s="64">
        <v>750</v>
      </c>
      <c r="Q173" s="44" t="s">
        <v>54</v>
      </c>
      <c r="R173" s="69"/>
      <c r="S173" s="44" t="s">
        <v>446</v>
      </c>
      <c r="T173" s="45" t="s">
        <v>656</v>
      </c>
      <c r="U173" s="45">
        <v>33110100901</v>
      </c>
      <c r="V173" s="45" t="s">
        <v>657</v>
      </c>
      <c r="W173" s="43" t="s">
        <v>43</v>
      </c>
      <c r="X173" s="71" t="s">
        <v>43</v>
      </c>
      <c r="Y173" s="71" t="s">
        <v>40</v>
      </c>
      <c r="Z173" s="48" t="s">
        <v>43</v>
      </c>
      <c r="AA173" s="75">
        <v>4500</v>
      </c>
      <c r="AB173" s="75">
        <v>4045</v>
      </c>
      <c r="AC173" s="80">
        <v>4275</v>
      </c>
      <c r="AD173" s="80">
        <v>3850</v>
      </c>
      <c r="AE173" s="80">
        <v>3075</v>
      </c>
      <c r="AF173" s="79">
        <f t="shared" si="25"/>
        <v>10</v>
      </c>
      <c r="AG173" s="79" t="str">
        <f t="shared" si="26"/>
        <v>肾部分切除费</v>
      </c>
      <c r="AH173" s="79">
        <f t="shared" si="27"/>
        <v>4160</v>
      </c>
      <c r="AI173" s="79">
        <f t="shared" si="28"/>
        <v>3770</v>
      </c>
      <c r="AJ173" s="79">
        <f t="shared" si="29"/>
        <v>3250</v>
      </c>
    </row>
    <row r="174" ht="21" customHeight="1" spans="1:36">
      <c r="A174" s="81" t="s">
        <v>81</v>
      </c>
      <c r="B174" s="81" t="s">
        <v>654</v>
      </c>
      <c r="C174" s="81" t="s">
        <v>655</v>
      </c>
      <c r="D174" s="81" t="s">
        <v>213</v>
      </c>
      <c r="E174" s="81"/>
      <c r="F174" s="81"/>
      <c r="G174" s="81" t="s">
        <v>48</v>
      </c>
      <c r="H174" s="81"/>
      <c r="I174" s="56">
        <v>1040</v>
      </c>
      <c r="J174" s="56">
        <v>936</v>
      </c>
      <c r="K174" s="54"/>
      <c r="L174" s="54"/>
      <c r="M174" s="54"/>
      <c r="N174" s="64">
        <v>960</v>
      </c>
      <c r="O174" s="64">
        <v>870</v>
      </c>
      <c r="P174" s="64">
        <v>750</v>
      </c>
      <c r="Q174" s="44" t="s">
        <v>54</v>
      </c>
      <c r="R174" s="69"/>
      <c r="S174" s="44" t="s">
        <v>446</v>
      </c>
      <c r="T174" s="45" t="s">
        <v>658</v>
      </c>
      <c r="U174" s="45">
        <v>33110100903</v>
      </c>
      <c r="V174" s="45" t="s">
        <v>659</v>
      </c>
      <c r="W174" s="43" t="s">
        <v>43</v>
      </c>
      <c r="X174" s="71" t="s">
        <v>43</v>
      </c>
      <c r="Y174" s="71" t="s">
        <v>40</v>
      </c>
      <c r="Z174" s="48" t="s">
        <v>43</v>
      </c>
      <c r="AA174" s="75">
        <v>5300</v>
      </c>
      <c r="AB174" s="75">
        <v>4765</v>
      </c>
      <c r="AC174" s="80">
        <v>4900</v>
      </c>
      <c r="AD174" s="80">
        <v>4450</v>
      </c>
      <c r="AE174" s="80">
        <v>3585</v>
      </c>
      <c r="AF174" s="79">
        <f t="shared" si="25"/>
        <v>10</v>
      </c>
      <c r="AG174" s="79" t="str">
        <f t="shared" si="26"/>
        <v>肾部分切除费</v>
      </c>
      <c r="AH174" s="79">
        <f t="shared" si="27"/>
        <v>4160</v>
      </c>
      <c r="AI174" s="79">
        <f t="shared" si="28"/>
        <v>3770</v>
      </c>
      <c r="AJ174" s="79">
        <f t="shared" si="29"/>
        <v>3250</v>
      </c>
    </row>
    <row r="175" ht="21" customHeight="1" spans="1:36">
      <c r="A175" s="81" t="s">
        <v>81</v>
      </c>
      <c r="B175" s="81" t="s">
        <v>654</v>
      </c>
      <c r="C175" s="81" t="s">
        <v>655</v>
      </c>
      <c r="D175" s="81" t="s">
        <v>213</v>
      </c>
      <c r="E175" s="81"/>
      <c r="F175" s="81"/>
      <c r="G175" s="81" t="s">
        <v>48</v>
      </c>
      <c r="H175" s="81"/>
      <c r="I175" s="56">
        <v>1040</v>
      </c>
      <c r="J175" s="56">
        <v>936</v>
      </c>
      <c r="K175" s="54"/>
      <c r="L175" s="54"/>
      <c r="M175" s="54"/>
      <c r="N175" s="64">
        <v>960</v>
      </c>
      <c r="O175" s="64">
        <v>870</v>
      </c>
      <c r="P175" s="64">
        <v>750</v>
      </c>
      <c r="Q175" s="44" t="s">
        <v>54</v>
      </c>
      <c r="R175" s="69"/>
      <c r="S175" s="44" t="s">
        <v>446</v>
      </c>
      <c r="T175" s="45" t="s">
        <v>620</v>
      </c>
      <c r="U175" s="45">
        <v>33110101401</v>
      </c>
      <c r="V175" s="45" t="s">
        <v>621</v>
      </c>
      <c r="W175" s="43" t="s">
        <v>43</v>
      </c>
      <c r="X175" s="71" t="s">
        <v>43</v>
      </c>
      <c r="Y175" s="71" t="s">
        <v>40</v>
      </c>
      <c r="Z175" s="48" t="s">
        <v>43</v>
      </c>
      <c r="AA175" s="75">
        <v>2105</v>
      </c>
      <c r="AB175" s="75">
        <v>1900</v>
      </c>
      <c r="AC175" s="80">
        <v>1950</v>
      </c>
      <c r="AD175" s="80">
        <v>1870</v>
      </c>
      <c r="AE175" s="80">
        <v>1590</v>
      </c>
      <c r="AF175" s="79">
        <f t="shared" si="25"/>
        <v>10</v>
      </c>
      <c r="AG175" s="79" t="str">
        <f t="shared" si="26"/>
        <v>肾部分切除费</v>
      </c>
      <c r="AH175" s="79">
        <f t="shared" si="27"/>
        <v>4160</v>
      </c>
      <c r="AI175" s="79">
        <f t="shared" si="28"/>
        <v>3770</v>
      </c>
      <c r="AJ175" s="79">
        <f t="shared" si="29"/>
        <v>3250</v>
      </c>
    </row>
    <row r="176" ht="21" customHeight="1" spans="1:36">
      <c r="A176" s="81" t="s">
        <v>81</v>
      </c>
      <c r="B176" s="81" t="s">
        <v>654</v>
      </c>
      <c r="C176" s="81" t="s">
        <v>655</v>
      </c>
      <c r="D176" s="81" t="s">
        <v>213</v>
      </c>
      <c r="E176" s="81"/>
      <c r="F176" s="81"/>
      <c r="G176" s="81" t="s">
        <v>48</v>
      </c>
      <c r="H176" s="81"/>
      <c r="I176" s="56">
        <v>1040</v>
      </c>
      <c r="J176" s="56">
        <v>936</v>
      </c>
      <c r="K176" s="54"/>
      <c r="L176" s="54"/>
      <c r="M176" s="54"/>
      <c r="N176" s="64">
        <v>960</v>
      </c>
      <c r="O176" s="64">
        <v>870</v>
      </c>
      <c r="P176" s="64">
        <v>750</v>
      </c>
      <c r="Q176" s="44" t="s">
        <v>54</v>
      </c>
      <c r="R176" s="69"/>
      <c r="S176" s="44" t="s">
        <v>446</v>
      </c>
      <c r="T176" s="45" t="s">
        <v>622</v>
      </c>
      <c r="U176" s="45">
        <v>33110101403</v>
      </c>
      <c r="V176" s="45" t="s">
        <v>623</v>
      </c>
      <c r="W176" s="43" t="s">
        <v>43</v>
      </c>
      <c r="X176" s="71" t="s">
        <v>43</v>
      </c>
      <c r="Y176" s="71" t="s">
        <v>40</v>
      </c>
      <c r="Z176" s="48" t="s">
        <v>43</v>
      </c>
      <c r="AA176" s="75">
        <v>2905</v>
      </c>
      <c r="AB176" s="75">
        <v>2620</v>
      </c>
      <c r="AC176" s="80">
        <v>2575</v>
      </c>
      <c r="AD176" s="80">
        <v>2470</v>
      </c>
      <c r="AE176" s="80">
        <v>2100</v>
      </c>
      <c r="AF176" s="79">
        <f t="shared" si="25"/>
        <v>10</v>
      </c>
      <c r="AG176" s="79" t="str">
        <f t="shared" si="26"/>
        <v>肾部分切除费</v>
      </c>
      <c r="AH176" s="79">
        <f t="shared" si="27"/>
        <v>4160</v>
      </c>
      <c r="AI176" s="79">
        <f t="shared" si="28"/>
        <v>3770</v>
      </c>
      <c r="AJ176" s="79">
        <f t="shared" si="29"/>
        <v>3250</v>
      </c>
    </row>
    <row r="177" ht="21" customHeight="1" spans="1:36">
      <c r="A177" s="81" t="s">
        <v>81</v>
      </c>
      <c r="B177" s="81" t="s">
        <v>654</v>
      </c>
      <c r="C177" s="81" t="s">
        <v>655</v>
      </c>
      <c r="D177" s="81" t="s">
        <v>213</v>
      </c>
      <c r="E177" s="81"/>
      <c r="F177" s="81"/>
      <c r="G177" s="81" t="s">
        <v>48</v>
      </c>
      <c r="H177" s="81"/>
      <c r="I177" s="56">
        <v>1040</v>
      </c>
      <c r="J177" s="56">
        <v>936</v>
      </c>
      <c r="K177" s="54"/>
      <c r="L177" s="54"/>
      <c r="M177" s="54"/>
      <c r="N177" s="64">
        <v>960</v>
      </c>
      <c r="O177" s="64">
        <v>870</v>
      </c>
      <c r="P177" s="64">
        <v>750</v>
      </c>
      <c r="Q177" s="44" t="s">
        <v>54</v>
      </c>
      <c r="R177" s="69"/>
      <c r="S177" s="44" t="s">
        <v>446</v>
      </c>
      <c r="T177" s="45" t="s">
        <v>660</v>
      </c>
      <c r="U177" s="45">
        <v>33110100701</v>
      </c>
      <c r="V177" s="45" t="s">
        <v>661</v>
      </c>
      <c r="W177" s="43" t="s">
        <v>43</v>
      </c>
      <c r="X177" s="71" t="s">
        <v>43</v>
      </c>
      <c r="Y177" s="71" t="s">
        <v>40</v>
      </c>
      <c r="Z177" s="48" t="s">
        <v>43</v>
      </c>
      <c r="AA177" s="75">
        <v>4500</v>
      </c>
      <c r="AB177" s="75">
        <v>4045</v>
      </c>
      <c r="AC177" s="80">
        <v>3950</v>
      </c>
      <c r="AD177" s="80">
        <v>3560</v>
      </c>
      <c r="AE177" s="80">
        <v>3025</v>
      </c>
      <c r="AF177" s="79">
        <f t="shared" si="25"/>
        <v>10</v>
      </c>
      <c r="AG177" s="79" t="str">
        <f t="shared" si="26"/>
        <v>肾部分切除费</v>
      </c>
      <c r="AH177" s="79">
        <f t="shared" si="27"/>
        <v>4160</v>
      </c>
      <c r="AI177" s="79">
        <f t="shared" si="28"/>
        <v>3770</v>
      </c>
      <c r="AJ177" s="79">
        <f t="shared" si="29"/>
        <v>3250</v>
      </c>
    </row>
    <row r="178" ht="21" customHeight="1" spans="1:36">
      <c r="A178" s="81" t="s">
        <v>81</v>
      </c>
      <c r="B178" s="81" t="s">
        <v>654</v>
      </c>
      <c r="C178" s="81" t="s">
        <v>655</v>
      </c>
      <c r="D178" s="81" t="s">
        <v>213</v>
      </c>
      <c r="E178" s="81"/>
      <c r="F178" s="81"/>
      <c r="G178" s="81" t="s">
        <v>48</v>
      </c>
      <c r="H178" s="81"/>
      <c r="I178" s="56">
        <v>1040</v>
      </c>
      <c r="J178" s="56">
        <v>936</v>
      </c>
      <c r="K178" s="54"/>
      <c r="L178" s="54"/>
      <c r="M178" s="54"/>
      <c r="N178" s="64">
        <v>960</v>
      </c>
      <c r="O178" s="64">
        <v>870</v>
      </c>
      <c r="P178" s="64">
        <v>750</v>
      </c>
      <c r="Q178" s="44" t="s">
        <v>54</v>
      </c>
      <c r="R178" s="69"/>
      <c r="S178" s="44" t="s">
        <v>446</v>
      </c>
      <c r="T178" s="45" t="s">
        <v>662</v>
      </c>
      <c r="U178" s="45">
        <v>33110100703</v>
      </c>
      <c r="V178" s="45" t="s">
        <v>663</v>
      </c>
      <c r="W178" s="43" t="s">
        <v>43</v>
      </c>
      <c r="X178" s="71" t="s">
        <v>43</v>
      </c>
      <c r="Y178" s="71" t="s">
        <v>40</v>
      </c>
      <c r="Z178" s="48" t="s">
        <v>43</v>
      </c>
      <c r="AA178" s="75">
        <v>5300</v>
      </c>
      <c r="AB178" s="75">
        <v>4765</v>
      </c>
      <c r="AC178" s="80">
        <v>4575</v>
      </c>
      <c r="AD178" s="80">
        <v>4160</v>
      </c>
      <c r="AE178" s="80">
        <v>3535</v>
      </c>
      <c r="AF178" s="79">
        <f t="shared" si="25"/>
        <v>10</v>
      </c>
      <c r="AG178" s="79" t="str">
        <f t="shared" si="26"/>
        <v>肾部分切除费</v>
      </c>
      <c r="AH178" s="79">
        <f t="shared" si="27"/>
        <v>4160</v>
      </c>
      <c r="AI178" s="79">
        <f t="shared" si="28"/>
        <v>3770</v>
      </c>
      <c r="AJ178" s="79">
        <f t="shared" si="29"/>
        <v>3250</v>
      </c>
    </row>
    <row r="179" ht="21" customHeight="1" spans="1:36">
      <c r="A179" s="81" t="s">
        <v>81</v>
      </c>
      <c r="B179" s="81" t="s">
        <v>654</v>
      </c>
      <c r="C179" s="81" t="s">
        <v>655</v>
      </c>
      <c r="D179" s="81" t="s">
        <v>213</v>
      </c>
      <c r="E179" s="81"/>
      <c r="F179" s="81"/>
      <c r="G179" s="81" t="s">
        <v>48</v>
      </c>
      <c r="H179" s="81"/>
      <c r="I179" s="56">
        <v>1040</v>
      </c>
      <c r="J179" s="56">
        <v>936</v>
      </c>
      <c r="K179" s="54"/>
      <c r="L179" s="54"/>
      <c r="M179" s="54"/>
      <c r="N179" s="64">
        <v>960</v>
      </c>
      <c r="O179" s="64">
        <v>870</v>
      </c>
      <c r="P179" s="64">
        <v>750</v>
      </c>
      <c r="Q179" s="44" t="s">
        <v>54</v>
      </c>
      <c r="R179" s="69"/>
      <c r="S179" s="44" t="s">
        <v>446</v>
      </c>
      <c r="T179" s="86" t="s">
        <v>664</v>
      </c>
      <c r="U179" s="86">
        <v>33110102502</v>
      </c>
      <c r="V179" s="86" t="s">
        <v>665</v>
      </c>
      <c r="W179" s="85" t="s">
        <v>43</v>
      </c>
      <c r="X179" s="89" t="s">
        <v>43</v>
      </c>
      <c r="Y179" s="89" t="s">
        <v>40</v>
      </c>
      <c r="Z179" s="91" t="s">
        <v>43</v>
      </c>
      <c r="AA179" s="75">
        <v>10530</v>
      </c>
      <c r="AB179" s="75">
        <v>8840</v>
      </c>
      <c r="AC179" s="80">
        <v>8110</v>
      </c>
      <c r="AD179" s="80">
        <v>7305</v>
      </c>
      <c r="AE179" s="80">
        <v>6210</v>
      </c>
      <c r="AF179" s="79">
        <f t="shared" si="25"/>
        <v>10</v>
      </c>
      <c r="AG179" s="79" t="str">
        <f t="shared" si="26"/>
        <v>肾部分切除费</v>
      </c>
      <c r="AH179" s="79">
        <f t="shared" si="27"/>
        <v>4160</v>
      </c>
      <c r="AI179" s="79">
        <f t="shared" si="28"/>
        <v>3770</v>
      </c>
      <c r="AJ179" s="79">
        <f t="shared" si="29"/>
        <v>3250</v>
      </c>
    </row>
    <row r="180" ht="21" customHeight="1" spans="1:36">
      <c r="A180" s="81" t="s">
        <v>81</v>
      </c>
      <c r="B180" s="81" t="s">
        <v>654</v>
      </c>
      <c r="C180" s="81" t="s">
        <v>655</v>
      </c>
      <c r="D180" s="81" t="s">
        <v>213</v>
      </c>
      <c r="E180" s="81"/>
      <c r="F180" s="81"/>
      <c r="G180" s="81" t="s">
        <v>48</v>
      </c>
      <c r="H180" s="81"/>
      <c r="I180" s="56">
        <v>1040</v>
      </c>
      <c r="J180" s="56">
        <v>936</v>
      </c>
      <c r="K180" s="54"/>
      <c r="L180" s="54"/>
      <c r="M180" s="54"/>
      <c r="N180" s="64">
        <v>960</v>
      </c>
      <c r="O180" s="64">
        <v>870</v>
      </c>
      <c r="P180" s="64">
        <v>750</v>
      </c>
      <c r="Q180" s="44" t="s">
        <v>54</v>
      </c>
      <c r="R180" s="69"/>
      <c r="S180" s="44" t="s">
        <v>446</v>
      </c>
      <c r="T180" s="86" t="s">
        <v>666</v>
      </c>
      <c r="U180" s="86">
        <v>33110102503</v>
      </c>
      <c r="V180" s="86" t="s">
        <v>667</v>
      </c>
      <c r="W180" s="85" t="s">
        <v>43</v>
      </c>
      <c r="X180" s="89" t="s">
        <v>43</v>
      </c>
      <c r="Y180" s="89" t="s">
        <v>40</v>
      </c>
      <c r="Z180" s="91" t="s">
        <v>646</v>
      </c>
      <c r="AA180" s="75">
        <v>12285</v>
      </c>
      <c r="AB180" s="75">
        <v>10315</v>
      </c>
      <c r="AC180" s="80">
        <v>9685</v>
      </c>
      <c r="AD180" s="80">
        <v>8725</v>
      </c>
      <c r="AE180" s="80">
        <v>7415</v>
      </c>
      <c r="AF180" s="79">
        <f t="shared" si="25"/>
        <v>10</v>
      </c>
      <c r="AG180" s="79" t="str">
        <f t="shared" si="26"/>
        <v>肾部分切除费</v>
      </c>
      <c r="AH180" s="79">
        <f t="shared" si="27"/>
        <v>4160</v>
      </c>
      <c r="AI180" s="79">
        <f t="shared" si="28"/>
        <v>3770</v>
      </c>
      <c r="AJ180" s="79">
        <f t="shared" si="29"/>
        <v>3250</v>
      </c>
    </row>
    <row r="181" ht="21" customHeight="1" spans="1:36">
      <c r="A181" s="81" t="s">
        <v>81</v>
      </c>
      <c r="B181" s="81" t="s">
        <v>654</v>
      </c>
      <c r="C181" s="81" t="s">
        <v>655</v>
      </c>
      <c r="D181" s="81" t="s">
        <v>213</v>
      </c>
      <c r="E181" s="81"/>
      <c r="F181" s="81"/>
      <c r="G181" s="81" t="s">
        <v>48</v>
      </c>
      <c r="H181" s="81"/>
      <c r="I181" s="56">
        <v>1040</v>
      </c>
      <c r="J181" s="56">
        <v>936</v>
      </c>
      <c r="K181" s="54"/>
      <c r="L181" s="54"/>
      <c r="M181" s="54"/>
      <c r="N181" s="64">
        <v>960</v>
      </c>
      <c r="O181" s="64">
        <v>870</v>
      </c>
      <c r="P181" s="64">
        <v>750</v>
      </c>
      <c r="Q181" s="44" t="s">
        <v>54</v>
      </c>
      <c r="R181" s="69"/>
      <c r="S181" s="44" t="s">
        <v>446</v>
      </c>
      <c r="T181" s="86" t="s">
        <v>668</v>
      </c>
      <c r="U181" s="86">
        <v>33110102506</v>
      </c>
      <c r="V181" s="86" t="s">
        <v>669</v>
      </c>
      <c r="W181" s="85" t="s">
        <v>43</v>
      </c>
      <c r="X181" s="89" t="s">
        <v>43</v>
      </c>
      <c r="Y181" s="89" t="s">
        <v>40</v>
      </c>
      <c r="Z181" s="91" t="s">
        <v>43</v>
      </c>
      <c r="AA181" s="75">
        <v>11330</v>
      </c>
      <c r="AB181" s="75">
        <v>9560</v>
      </c>
      <c r="AC181" s="80">
        <v>8735</v>
      </c>
      <c r="AD181" s="80">
        <v>7905</v>
      </c>
      <c r="AE181" s="80">
        <v>6720</v>
      </c>
      <c r="AF181" s="79">
        <f t="shared" si="25"/>
        <v>10</v>
      </c>
      <c r="AG181" s="79" t="str">
        <f t="shared" si="26"/>
        <v>肾部分切除费</v>
      </c>
      <c r="AH181" s="79">
        <f t="shared" si="27"/>
        <v>4160</v>
      </c>
      <c r="AI181" s="79">
        <f t="shared" si="28"/>
        <v>3770</v>
      </c>
      <c r="AJ181" s="79">
        <f t="shared" si="29"/>
        <v>3250</v>
      </c>
    </row>
    <row r="182" ht="21" customHeight="1" spans="1:36">
      <c r="A182" s="81" t="s">
        <v>81</v>
      </c>
      <c r="B182" s="81" t="s">
        <v>654</v>
      </c>
      <c r="C182" s="81" t="s">
        <v>655</v>
      </c>
      <c r="D182" s="81" t="s">
        <v>213</v>
      </c>
      <c r="E182" s="81"/>
      <c r="F182" s="81"/>
      <c r="G182" s="81" t="s">
        <v>48</v>
      </c>
      <c r="H182" s="81"/>
      <c r="I182" s="56">
        <v>1040</v>
      </c>
      <c r="J182" s="56">
        <v>936</v>
      </c>
      <c r="K182" s="54"/>
      <c r="L182" s="54"/>
      <c r="M182" s="54"/>
      <c r="N182" s="64">
        <v>960</v>
      </c>
      <c r="O182" s="64">
        <v>870</v>
      </c>
      <c r="P182" s="64">
        <v>750</v>
      </c>
      <c r="Q182" s="44" t="s">
        <v>54</v>
      </c>
      <c r="R182" s="69"/>
      <c r="S182" s="44" t="s">
        <v>446</v>
      </c>
      <c r="T182" s="86" t="s">
        <v>670</v>
      </c>
      <c r="U182" s="86">
        <v>33110102507</v>
      </c>
      <c r="V182" s="86" t="s">
        <v>671</v>
      </c>
      <c r="W182" s="85" t="s">
        <v>43</v>
      </c>
      <c r="X182" s="89" t="s">
        <v>43</v>
      </c>
      <c r="Y182" s="89" t="s">
        <v>40</v>
      </c>
      <c r="Z182" s="91" t="s">
        <v>646</v>
      </c>
      <c r="AA182" s="75">
        <v>13085</v>
      </c>
      <c r="AB182" s="75">
        <v>11035</v>
      </c>
      <c r="AC182" s="80">
        <v>10310</v>
      </c>
      <c r="AD182" s="80">
        <v>9325</v>
      </c>
      <c r="AE182" s="80">
        <v>7925</v>
      </c>
      <c r="AF182" s="79">
        <f t="shared" si="25"/>
        <v>10</v>
      </c>
      <c r="AG182" s="79" t="str">
        <f t="shared" si="26"/>
        <v>肾部分切除费</v>
      </c>
      <c r="AH182" s="79">
        <f t="shared" si="27"/>
        <v>4160</v>
      </c>
      <c r="AI182" s="79">
        <f t="shared" si="28"/>
        <v>3770</v>
      </c>
      <c r="AJ182" s="79">
        <f t="shared" si="29"/>
        <v>3250</v>
      </c>
    </row>
    <row r="183" ht="21" customHeight="1" spans="1:36">
      <c r="A183" s="81" t="s">
        <v>81</v>
      </c>
      <c r="B183" s="81" t="s">
        <v>654</v>
      </c>
      <c r="C183" s="81" t="s">
        <v>655</v>
      </c>
      <c r="D183" s="81" t="s">
        <v>213</v>
      </c>
      <c r="E183" s="81"/>
      <c r="F183" s="81"/>
      <c r="G183" s="81" t="s">
        <v>48</v>
      </c>
      <c r="H183" s="81"/>
      <c r="I183" s="56">
        <v>1040</v>
      </c>
      <c r="J183" s="56">
        <v>936</v>
      </c>
      <c r="K183" s="54"/>
      <c r="L183" s="54"/>
      <c r="M183" s="54"/>
      <c r="N183" s="64">
        <v>960</v>
      </c>
      <c r="O183" s="64">
        <v>870</v>
      </c>
      <c r="P183" s="64">
        <v>750</v>
      </c>
      <c r="Q183" s="44" t="s">
        <v>54</v>
      </c>
      <c r="R183" s="69"/>
      <c r="S183" s="44" t="s">
        <v>446</v>
      </c>
      <c r="T183" s="45" t="s">
        <v>558</v>
      </c>
      <c r="U183" s="45">
        <v>33110100601</v>
      </c>
      <c r="V183" s="45" t="s">
        <v>559</v>
      </c>
      <c r="W183" s="43" t="s">
        <v>43</v>
      </c>
      <c r="X183" s="71" t="s">
        <v>43</v>
      </c>
      <c r="Y183" s="71" t="s">
        <v>40</v>
      </c>
      <c r="Z183" s="48" t="s">
        <v>43</v>
      </c>
      <c r="AA183" s="75">
        <v>3250</v>
      </c>
      <c r="AB183" s="75">
        <v>2910</v>
      </c>
      <c r="AC183" s="80">
        <v>2845</v>
      </c>
      <c r="AD183" s="80">
        <v>2560</v>
      </c>
      <c r="AE183" s="80">
        <v>2175</v>
      </c>
      <c r="AF183" s="79">
        <f t="shared" si="25"/>
        <v>10</v>
      </c>
      <c r="AG183" s="79" t="str">
        <f t="shared" si="26"/>
        <v>肾部分切除费</v>
      </c>
      <c r="AH183" s="79">
        <f t="shared" si="27"/>
        <v>4160</v>
      </c>
      <c r="AI183" s="79">
        <f t="shared" si="28"/>
        <v>3770</v>
      </c>
      <c r="AJ183" s="79">
        <f t="shared" si="29"/>
        <v>3250</v>
      </c>
    </row>
    <row r="184" ht="21" customHeight="1" spans="1:36">
      <c r="A184" s="81" t="s">
        <v>81</v>
      </c>
      <c r="B184" s="81" t="s">
        <v>654</v>
      </c>
      <c r="C184" s="81" t="s">
        <v>655</v>
      </c>
      <c r="D184" s="81" t="s">
        <v>213</v>
      </c>
      <c r="E184" s="81"/>
      <c r="F184" s="81"/>
      <c r="G184" s="81" t="s">
        <v>48</v>
      </c>
      <c r="H184" s="81"/>
      <c r="I184" s="56">
        <v>1040</v>
      </c>
      <c r="J184" s="56">
        <v>936</v>
      </c>
      <c r="K184" s="54"/>
      <c r="L184" s="54"/>
      <c r="M184" s="54"/>
      <c r="N184" s="64">
        <v>960</v>
      </c>
      <c r="O184" s="64">
        <v>870</v>
      </c>
      <c r="P184" s="64">
        <v>750</v>
      </c>
      <c r="Q184" s="44" t="s">
        <v>54</v>
      </c>
      <c r="R184" s="69"/>
      <c r="S184" s="44" t="s">
        <v>446</v>
      </c>
      <c r="T184" s="45" t="s">
        <v>560</v>
      </c>
      <c r="U184" s="45">
        <v>33110100603</v>
      </c>
      <c r="V184" s="45" t="s">
        <v>561</v>
      </c>
      <c r="W184" s="43" t="s">
        <v>43</v>
      </c>
      <c r="X184" s="71" t="s">
        <v>43</v>
      </c>
      <c r="Y184" s="71" t="s">
        <v>40</v>
      </c>
      <c r="Z184" s="48" t="s">
        <v>43</v>
      </c>
      <c r="AA184" s="75">
        <v>4050</v>
      </c>
      <c r="AB184" s="75">
        <v>3630</v>
      </c>
      <c r="AC184" s="80">
        <v>3470</v>
      </c>
      <c r="AD184" s="80">
        <v>3160</v>
      </c>
      <c r="AE184" s="80">
        <v>2685</v>
      </c>
      <c r="AF184" s="79">
        <f t="shared" si="25"/>
        <v>10</v>
      </c>
      <c r="AG184" s="79" t="str">
        <f t="shared" si="26"/>
        <v>肾部分切除费</v>
      </c>
      <c r="AH184" s="79">
        <f t="shared" si="27"/>
        <v>4160</v>
      </c>
      <c r="AI184" s="79">
        <f t="shared" si="28"/>
        <v>3770</v>
      </c>
      <c r="AJ184" s="79">
        <f t="shared" si="29"/>
        <v>3250</v>
      </c>
    </row>
    <row r="185" ht="21" customHeight="1" spans="1:36">
      <c r="A185" s="44">
        <v>45</v>
      </c>
      <c r="B185" s="44" t="s">
        <v>672</v>
      </c>
      <c r="C185" s="44" t="s">
        <v>673</v>
      </c>
      <c r="D185" s="44" t="s">
        <v>213</v>
      </c>
      <c r="E185" s="44" t="s">
        <v>674</v>
      </c>
      <c r="F185" s="44" t="s">
        <v>675</v>
      </c>
      <c r="G185" s="44" t="s">
        <v>48</v>
      </c>
      <c r="H185" s="49"/>
      <c r="I185" s="56">
        <v>3300</v>
      </c>
      <c r="J185" s="56">
        <v>2970</v>
      </c>
      <c r="K185" s="59">
        <v>4250.67647058824</v>
      </c>
      <c r="L185" s="59">
        <v>3442.2641509434</v>
      </c>
      <c r="M185" s="57">
        <v>2450</v>
      </c>
      <c r="N185" s="64">
        <v>3100</v>
      </c>
      <c r="O185" s="64">
        <v>2800</v>
      </c>
      <c r="P185" s="64">
        <v>2400</v>
      </c>
      <c r="Q185" s="44" t="s">
        <v>54</v>
      </c>
      <c r="R185" s="70" t="s">
        <v>76</v>
      </c>
      <c r="S185" s="44" t="s">
        <v>676</v>
      </c>
      <c r="T185" s="87" t="s">
        <v>677</v>
      </c>
      <c r="U185" s="90">
        <v>311000023</v>
      </c>
      <c r="V185" s="87" t="s">
        <v>678</v>
      </c>
      <c r="W185" s="87" t="s">
        <v>43</v>
      </c>
      <c r="X185" s="90" t="s">
        <v>43</v>
      </c>
      <c r="Y185" s="90" t="s">
        <v>40</v>
      </c>
      <c r="Z185" s="92" t="s">
        <v>679</v>
      </c>
      <c r="AA185" s="75">
        <v>880</v>
      </c>
      <c r="AB185" s="75">
        <v>790</v>
      </c>
      <c r="AC185" s="80">
        <v>880</v>
      </c>
      <c r="AD185" s="80">
        <v>800</v>
      </c>
      <c r="AE185" s="80">
        <v>680</v>
      </c>
      <c r="AF185" s="79">
        <f t="shared" si="25"/>
        <v>0</v>
      </c>
      <c r="AG185" s="79" t="str">
        <f t="shared" si="26"/>
        <v>肾全切费</v>
      </c>
      <c r="AH185" s="79">
        <f t="shared" si="27"/>
        <v>3100</v>
      </c>
      <c r="AI185" s="79">
        <f t="shared" si="28"/>
        <v>2800</v>
      </c>
      <c r="AJ185" s="79">
        <f t="shared" si="29"/>
        <v>2400</v>
      </c>
    </row>
    <row r="186" ht="21" customHeight="1" spans="1:36">
      <c r="A186" s="44">
        <v>45</v>
      </c>
      <c r="B186" s="44" t="s">
        <v>672</v>
      </c>
      <c r="C186" s="44" t="s">
        <v>673</v>
      </c>
      <c r="D186" s="44" t="s">
        <v>213</v>
      </c>
      <c r="E186" s="44" t="s">
        <v>674</v>
      </c>
      <c r="F186" s="44" t="s">
        <v>675</v>
      </c>
      <c r="G186" s="44" t="s">
        <v>48</v>
      </c>
      <c r="H186" s="49"/>
      <c r="I186" s="56">
        <v>3300</v>
      </c>
      <c r="J186" s="56">
        <v>2970</v>
      </c>
      <c r="K186" s="59">
        <v>4250.67647058824</v>
      </c>
      <c r="L186" s="59">
        <v>3442.2641509434</v>
      </c>
      <c r="M186" s="57">
        <v>2450</v>
      </c>
      <c r="N186" s="64">
        <v>3100</v>
      </c>
      <c r="O186" s="64">
        <v>2800</v>
      </c>
      <c r="P186" s="64">
        <v>2400</v>
      </c>
      <c r="Q186" s="44" t="s">
        <v>54</v>
      </c>
      <c r="R186" s="70" t="s">
        <v>76</v>
      </c>
      <c r="S186" s="44" t="s">
        <v>676</v>
      </c>
      <c r="T186" s="88" t="s">
        <v>680</v>
      </c>
      <c r="U186" s="88">
        <v>31100002301</v>
      </c>
      <c r="V186" s="88" t="s">
        <v>681</v>
      </c>
      <c r="W186" s="87" t="s">
        <v>43</v>
      </c>
      <c r="X186" s="90" t="s">
        <v>43</v>
      </c>
      <c r="Y186" s="90" t="s">
        <v>40</v>
      </c>
      <c r="Z186" s="92" t="s">
        <v>682</v>
      </c>
      <c r="AA186" s="75">
        <v>1100</v>
      </c>
      <c r="AB186" s="75">
        <v>990</v>
      </c>
      <c r="AC186" s="80">
        <v>1100</v>
      </c>
      <c r="AD186" s="80">
        <v>1000</v>
      </c>
      <c r="AE186" s="80">
        <v>850</v>
      </c>
      <c r="AF186" s="79">
        <f t="shared" si="25"/>
        <v>0</v>
      </c>
      <c r="AG186" s="79" t="str">
        <f t="shared" si="26"/>
        <v>肾全切费</v>
      </c>
      <c r="AH186" s="79">
        <f t="shared" si="27"/>
        <v>3100</v>
      </c>
      <c r="AI186" s="79">
        <f t="shared" si="28"/>
        <v>2800</v>
      </c>
      <c r="AJ186" s="79">
        <f t="shared" si="29"/>
        <v>2400</v>
      </c>
    </row>
    <row r="187" ht="21" customHeight="1" spans="1:36">
      <c r="A187" s="44">
        <v>45</v>
      </c>
      <c r="B187" s="44" t="s">
        <v>672</v>
      </c>
      <c r="C187" s="44" t="s">
        <v>673</v>
      </c>
      <c r="D187" s="44" t="s">
        <v>213</v>
      </c>
      <c r="E187" s="44" t="s">
        <v>674</v>
      </c>
      <c r="F187" s="44" t="s">
        <v>675</v>
      </c>
      <c r="G187" s="44" t="s">
        <v>48</v>
      </c>
      <c r="H187" s="49"/>
      <c r="I187" s="56">
        <v>3300</v>
      </c>
      <c r="J187" s="56">
        <v>2970</v>
      </c>
      <c r="K187" s="59">
        <v>4250.67647058824</v>
      </c>
      <c r="L187" s="59">
        <v>3442.2641509434</v>
      </c>
      <c r="M187" s="57">
        <v>2450</v>
      </c>
      <c r="N187" s="64">
        <v>3100</v>
      </c>
      <c r="O187" s="64">
        <v>2800</v>
      </c>
      <c r="P187" s="64">
        <v>2400</v>
      </c>
      <c r="Q187" s="44" t="s">
        <v>54</v>
      </c>
      <c r="R187" s="70" t="s">
        <v>76</v>
      </c>
      <c r="S187" s="44" t="s">
        <v>676</v>
      </c>
      <c r="T187" s="43" t="s">
        <v>683</v>
      </c>
      <c r="U187" s="71">
        <v>331101010</v>
      </c>
      <c r="V187" s="43" t="s">
        <v>684</v>
      </c>
      <c r="W187" s="43" t="s">
        <v>685</v>
      </c>
      <c r="X187" s="71" t="s">
        <v>43</v>
      </c>
      <c r="Y187" s="71" t="s">
        <v>40</v>
      </c>
      <c r="Z187" s="48" t="s">
        <v>43</v>
      </c>
      <c r="AA187" s="75">
        <v>5520</v>
      </c>
      <c r="AB187" s="75">
        <v>4970</v>
      </c>
      <c r="AC187" s="80">
        <v>4740</v>
      </c>
      <c r="AD187" s="80">
        <v>4270</v>
      </c>
      <c r="AE187" s="80">
        <v>3630</v>
      </c>
      <c r="AF187" s="79">
        <f t="shared" si="25"/>
        <v>0</v>
      </c>
      <c r="AG187" s="79" t="str">
        <f t="shared" si="26"/>
        <v>肾全切费</v>
      </c>
      <c r="AH187" s="79">
        <f t="shared" si="27"/>
        <v>3100</v>
      </c>
      <c r="AI187" s="79">
        <f t="shared" si="28"/>
        <v>2800</v>
      </c>
      <c r="AJ187" s="79">
        <f t="shared" si="29"/>
        <v>2400</v>
      </c>
    </row>
    <row r="188" ht="21" customHeight="1" spans="1:36">
      <c r="A188" s="44">
        <v>45</v>
      </c>
      <c r="B188" s="44" t="s">
        <v>672</v>
      </c>
      <c r="C188" s="44" t="s">
        <v>673</v>
      </c>
      <c r="D188" s="44" t="s">
        <v>213</v>
      </c>
      <c r="E188" s="44" t="s">
        <v>674</v>
      </c>
      <c r="F188" s="44" t="s">
        <v>675</v>
      </c>
      <c r="G188" s="44" t="s">
        <v>48</v>
      </c>
      <c r="H188" s="49"/>
      <c r="I188" s="56">
        <v>3300</v>
      </c>
      <c r="J188" s="56">
        <v>2970</v>
      </c>
      <c r="K188" s="59">
        <v>4250.67647058824</v>
      </c>
      <c r="L188" s="59">
        <v>3442.2641509434</v>
      </c>
      <c r="M188" s="57">
        <v>2450</v>
      </c>
      <c r="N188" s="64">
        <v>3100</v>
      </c>
      <c r="O188" s="64">
        <v>2800</v>
      </c>
      <c r="P188" s="64">
        <v>2400</v>
      </c>
      <c r="Q188" s="44" t="s">
        <v>54</v>
      </c>
      <c r="R188" s="70" t="s">
        <v>76</v>
      </c>
      <c r="S188" s="44" t="s">
        <v>676</v>
      </c>
      <c r="T188" s="43" t="s">
        <v>686</v>
      </c>
      <c r="U188" s="71">
        <v>33110101002</v>
      </c>
      <c r="V188" s="43" t="s">
        <v>687</v>
      </c>
      <c r="W188" s="43" t="s">
        <v>43</v>
      </c>
      <c r="X188" s="71" t="s">
        <v>43</v>
      </c>
      <c r="Y188" s="71" t="s">
        <v>40</v>
      </c>
      <c r="Z188" s="48" t="s">
        <v>43</v>
      </c>
      <c r="AA188" s="75">
        <v>6320</v>
      </c>
      <c r="AB188" s="75">
        <v>5690</v>
      </c>
      <c r="AC188" s="80">
        <v>5365</v>
      </c>
      <c r="AD188" s="80">
        <v>4870</v>
      </c>
      <c r="AE188" s="80">
        <v>4140</v>
      </c>
      <c r="AF188" s="79">
        <f t="shared" si="25"/>
        <v>0</v>
      </c>
      <c r="AG188" s="79" t="str">
        <f t="shared" si="26"/>
        <v>肾全切费</v>
      </c>
      <c r="AH188" s="79">
        <f t="shared" si="27"/>
        <v>3100</v>
      </c>
      <c r="AI188" s="79">
        <f t="shared" si="28"/>
        <v>2800</v>
      </c>
      <c r="AJ188" s="79">
        <f t="shared" si="29"/>
        <v>2400</v>
      </c>
    </row>
    <row r="189" ht="21" customHeight="1" spans="1:36">
      <c r="A189" s="44">
        <v>45</v>
      </c>
      <c r="B189" s="44" t="s">
        <v>672</v>
      </c>
      <c r="C189" s="44" t="s">
        <v>673</v>
      </c>
      <c r="D189" s="44" t="s">
        <v>213</v>
      </c>
      <c r="E189" s="44" t="s">
        <v>674</v>
      </c>
      <c r="F189" s="44" t="s">
        <v>675</v>
      </c>
      <c r="G189" s="44" t="s">
        <v>48</v>
      </c>
      <c r="H189" s="49"/>
      <c r="I189" s="56">
        <v>3300</v>
      </c>
      <c r="J189" s="56">
        <v>2970</v>
      </c>
      <c r="K189" s="59">
        <v>4250.67647058824</v>
      </c>
      <c r="L189" s="59">
        <v>3442.2641509434</v>
      </c>
      <c r="M189" s="57">
        <v>2450</v>
      </c>
      <c r="N189" s="64">
        <v>3100</v>
      </c>
      <c r="O189" s="64">
        <v>2800</v>
      </c>
      <c r="P189" s="64">
        <v>2400</v>
      </c>
      <c r="Q189" s="44" t="s">
        <v>54</v>
      </c>
      <c r="R189" s="70" t="s">
        <v>76</v>
      </c>
      <c r="S189" s="44" t="s">
        <v>676</v>
      </c>
      <c r="T189" s="43" t="s">
        <v>688</v>
      </c>
      <c r="U189" s="71">
        <v>331101008</v>
      </c>
      <c r="V189" s="43" t="s">
        <v>689</v>
      </c>
      <c r="W189" s="43" t="s">
        <v>43</v>
      </c>
      <c r="X189" s="71" t="s">
        <v>690</v>
      </c>
      <c r="Y189" s="71" t="s">
        <v>40</v>
      </c>
      <c r="Z189" s="48" t="s">
        <v>43</v>
      </c>
      <c r="AA189" s="75">
        <v>2880</v>
      </c>
      <c r="AB189" s="75">
        <v>2590</v>
      </c>
      <c r="AC189" s="80">
        <v>2530</v>
      </c>
      <c r="AD189" s="80">
        <v>2280</v>
      </c>
      <c r="AE189" s="80">
        <v>1940</v>
      </c>
      <c r="AF189" s="79">
        <f t="shared" si="25"/>
        <v>0</v>
      </c>
      <c r="AG189" s="79" t="str">
        <f t="shared" si="26"/>
        <v>肾全切费</v>
      </c>
      <c r="AH189" s="79">
        <f t="shared" si="27"/>
        <v>3100</v>
      </c>
      <c r="AI189" s="79">
        <f t="shared" si="28"/>
        <v>2800</v>
      </c>
      <c r="AJ189" s="79">
        <f t="shared" si="29"/>
        <v>2400</v>
      </c>
    </row>
    <row r="190" ht="21" customHeight="1" spans="1:36">
      <c r="A190" s="44">
        <v>45</v>
      </c>
      <c r="B190" s="44" t="s">
        <v>672</v>
      </c>
      <c r="C190" s="44" t="s">
        <v>673</v>
      </c>
      <c r="D190" s="44" t="s">
        <v>213</v>
      </c>
      <c r="E190" s="44" t="s">
        <v>674</v>
      </c>
      <c r="F190" s="44" t="s">
        <v>675</v>
      </c>
      <c r="G190" s="44" t="s">
        <v>48</v>
      </c>
      <c r="H190" s="49"/>
      <c r="I190" s="56">
        <v>3300</v>
      </c>
      <c r="J190" s="56">
        <v>2970</v>
      </c>
      <c r="K190" s="59">
        <v>4250.67647058824</v>
      </c>
      <c r="L190" s="59">
        <v>3442.2641509434</v>
      </c>
      <c r="M190" s="57">
        <v>2450</v>
      </c>
      <c r="N190" s="64">
        <v>3100</v>
      </c>
      <c r="O190" s="64">
        <v>2800</v>
      </c>
      <c r="P190" s="64">
        <v>2400</v>
      </c>
      <c r="Q190" s="44" t="s">
        <v>54</v>
      </c>
      <c r="R190" s="70" t="s">
        <v>76</v>
      </c>
      <c r="S190" s="44" t="s">
        <v>676</v>
      </c>
      <c r="T190" s="43" t="s">
        <v>691</v>
      </c>
      <c r="U190" s="71">
        <v>33110100802</v>
      </c>
      <c r="V190" s="43" t="s">
        <v>692</v>
      </c>
      <c r="W190" s="43" t="s">
        <v>43</v>
      </c>
      <c r="X190" s="71" t="s">
        <v>43</v>
      </c>
      <c r="Y190" s="71" t="s">
        <v>40</v>
      </c>
      <c r="Z190" s="48" t="s">
        <v>43</v>
      </c>
      <c r="AA190" s="75">
        <v>3680</v>
      </c>
      <c r="AB190" s="75">
        <v>3310</v>
      </c>
      <c r="AC190" s="80">
        <v>3155</v>
      </c>
      <c r="AD190" s="80">
        <v>2880</v>
      </c>
      <c r="AE190" s="80">
        <v>2450</v>
      </c>
      <c r="AF190" s="79">
        <f t="shared" si="25"/>
        <v>0</v>
      </c>
      <c r="AG190" s="79" t="str">
        <f t="shared" si="26"/>
        <v>肾全切费</v>
      </c>
      <c r="AH190" s="79">
        <f t="shared" si="27"/>
        <v>3100</v>
      </c>
      <c r="AI190" s="79">
        <f t="shared" si="28"/>
        <v>2800</v>
      </c>
      <c r="AJ190" s="79">
        <f t="shared" si="29"/>
        <v>2400</v>
      </c>
    </row>
    <row r="191" ht="21" customHeight="1" spans="1:36">
      <c r="A191" s="44">
        <v>45</v>
      </c>
      <c r="B191" s="44" t="s">
        <v>672</v>
      </c>
      <c r="C191" s="44" t="s">
        <v>673</v>
      </c>
      <c r="D191" s="44" t="s">
        <v>213</v>
      </c>
      <c r="E191" s="44" t="s">
        <v>674</v>
      </c>
      <c r="F191" s="44" t="s">
        <v>675</v>
      </c>
      <c r="G191" s="44" t="s">
        <v>48</v>
      </c>
      <c r="H191" s="49"/>
      <c r="I191" s="56">
        <v>3300</v>
      </c>
      <c r="J191" s="56">
        <v>2970</v>
      </c>
      <c r="K191" s="59">
        <v>4250.67647058824</v>
      </c>
      <c r="L191" s="59">
        <v>3442.2641509434</v>
      </c>
      <c r="M191" s="57">
        <v>2450</v>
      </c>
      <c r="N191" s="64">
        <v>3100</v>
      </c>
      <c r="O191" s="64">
        <v>2800</v>
      </c>
      <c r="P191" s="64">
        <v>2400</v>
      </c>
      <c r="Q191" s="44" t="s">
        <v>54</v>
      </c>
      <c r="R191" s="70" t="s">
        <v>76</v>
      </c>
      <c r="S191" s="44" t="s">
        <v>676</v>
      </c>
      <c r="T191" s="43" t="s">
        <v>547</v>
      </c>
      <c r="U191" s="71">
        <v>331101006</v>
      </c>
      <c r="V191" s="43" t="s">
        <v>548</v>
      </c>
      <c r="W191" s="43" t="s">
        <v>43</v>
      </c>
      <c r="X191" s="71" t="s">
        <v>43</v>
      </c>
      <c r="Y191" s="71" t="s">
        <v>40</v>
      </c>
      <c r="Z191" s="48" t="s">
        <v>43</v>
      </c>
      <c r="AA191" s="75">
        <v>2500</v>
      </c>
      <c r="AB191" s="75">
        <v>2240</v>
      </c>
      <c r="AC191" s="80">
        <v>2190</v>
      </c>
      <c r="AD191" s="80">
        <v>1970</v>
      </c>
      <c r="AE191" s="80">
        <v>1670</v>
      </c>
      <c r="AF191" s="79">
        <f t="shared" si="25"/>
        <v>0</v>
      </c>
      <c r="AG191" s="79" t="str">
        <f t="shared" si="26"/>
        <v>肾全切费</v>
      </c>
      <c r="AH191" s="79">
        <f t="shared" si="27"/>
        <v>3100</v>
      </c>
      <c r="AI191" s="79">
        <f t="shared" si="28"/>
        <v>2800</v>
      </c>
      <c r="AJ191" s="79">
        <f t="shared" si="29"/>
        <v>2400</v>
      </c>
    </row>
    <row r="192" ht="21" customHeight="1" spans="1:36">
      <c r="A192" s="44">
        <v>45</v>
      </c>
      <c r="B192" s="44" t="s">
        <v>672</v>
      </c>
      <c r="C192" s="44" t="s">
        <v>673</v>
      </c>
      <c r="D192" s="44" t="s">
        <v>213</v>
      </c>
      <c r="E192" s="44" t="s">
        <v>674</v>
      </c>
      <c r="F192" s="44" t="s">
        <v>675</v>
      </c>
      <c r="G192" s="44" t="s">
        <v>48</v>
      </c>
      <c r="H192" s="49"/>
      <c r="I192" s="56">
        <v>3300</v>
      </c>
      <c r="J192" s="56">
        <v>2970</v>
      </c>
      <c r="K192" s="59">
        <v>4250.67647058824</v>
      </c>
      <c r="L192" s="59">
        <v>3442.2641509434</v>
      </c>
      <c r="M192" s="57">
        <v>2450</v>
      </c>
      <c r="N192" s="64">
        <v>3100</v>
      </c>
      <c r="O192" s="64">
        <v>2800</v>
      </c>
      <c r="P192" s="64">
        <v>2400</v>
      </c>
      <c r="Q192" s="44" t="s">
        <v>54</v>
      </c>
      <c r="R192" s="70" t="s">
        <v>76</v>
      </c>
      <c r="S192" s="44" t="s">
        <v>676</v>
      </c>
      <c r="T192" s="43" t="s">
        <v>550</v>
      </c>
      <c r="U192" s="71">
        <v>33110100602</v>
      </c>
      <c r="V192" s="43" t="s">
        <v>551</v>
      </c>
      <c r="W192" s="43" t="s">
        <v>43</v>
      </c>
      <c r="X192" s="71" t="s">
        <v>43</v>
      </c>
      <c r="Y192" s="71" t="s">
        <v>40</v>
      </c>
      <c r="Z192" s="48" t="s">
        <v>43</v>
      </c>
      <c r="AA192" s="75">
        <v>3300</v>
      </c>
      <c r="AB192" s="75">
        <v>2960</v>
      </c>
      <c r="AC192" s="80">
        <v>2815</v>
      </c>
      <c r="AD192" s="80">
        <v>2570</v>
      </c>
      <c r="AE192" s="80">
        <v>2180</v>
      </c>
      <c r="AF192" s="79">
        <f t="shared" si="25"/>
        <v>0</v>
      </c>
      <c r="AG192" s="79" t="str">
        <f t="shared" si="26"/>
        <v>肾全切费</v>
      </c>
      <c r="AH192" s="79">
        <f t="shared" si="27"/>
        <v>3100</v>
      </c>
      <c r="AI192" s="79">
        <f t="shared" si="28"/>
        <v>2800</v>
      </c>
      <c r="AJ192" s="79">
        <f t="shared" si="29"/>
        <v>2400</v>
      </c>
    </row>
    <row r="193" ht="20" customHeight="1" spans="1:36">
      <c r="A193" s="81" t="s">
        <v>81</v>
      </c>
      <c r="B193" s="81" t="s">
        <v>693</v>
      </c>
      <c r="C193" s="81" t="s">
        <v>694</v>
      </c>
      <c r="D193" s="81" t="s">
        <v>213</v>
      </c>
      <c r="E193" s="81"/>
      <c r="F193" s="81"/>
      <c r="G193" s="81" t="s">
        <v>48</v>
      </c>
      <c r="H193" s="81"/>
      <c r="I193" s="56">
        <v>990</v>
      </c>
      <c r="J193" s="56">
        <v>891</v>
      </c>
      <c r="K193" s="54"/>
      <c r="L193" s="54"/>
      <c r="M193" s="54"/>
      <c r="N193" s="64">
        <v>930</v>
      </c>
      <c r="O193" s="64">
        <v>840</v>
      </c>
      <c r="P193" s="64">
        <v>720</v>
      </c>
      <c r="Q193" s="44" t="s">
        <v>54</v>
      </c>
      <c r="R193" s="69"/>
      <c r="S193" s="44" t="s">
        <v>446</v>
      </c>
      <c r="T193" s="45" t="s">
        <v>695</v>
      </c>
      <c r="U193" s="45">
        <v>33110101001</v>
      </c>
      <c r="V193" s="45" t="s">
        <v>696</v>
      </c>
      <c r="W193" s="43" t="s">
        <v>43</v>
      </c>
      <c r="X193" s="71" t="s">
        <v>43</v>
      </c>
      <c r="Y193" s="71" t="s">
        <v>40</v>
      </c>
      <c r="Z193" s="48" t="s">
        <v>43</v>
      </c>
      <c r="AA193" s="75">
        <v>7175</v>
      </c>
      <c r="AB193" s="75">
        <v>6460</v>
      </c>
      <c r="AC193" s="80">
        <v>6160</v>
      </c>
      <c r="AD193" s="80">
        <v>5550</v>
      </c>
      <c r="AE193" s="80">
        <v>4720</v>
      </c>
      <c r="AF193" s="79">
        <f t="shared" si="25"/>
        <v>8</v>
      </c>
      <c r="AG193" s="79" t="str">
        <f t="shared" si="26"/>
        <v>肾全切费</v>
      </c>
      <c r="AH193" s="79">
        <f t="shared" si="27"/>
        <v>4030</v>
      </c>
      <c r="AI193" s="79">
        <f t="shared" si="28"/>
        <v>3640</v>
      </c>
      <c r="AJ193" s="79">
        <f t="shared" si="29"/>
        <v>3120</v>
      </c>
    </row>
    <row r="194" ht="20" customHeight="1" spans="1:36">
      <c r="A194" s="81" t="s">
        <v>81</v>
      </c>
      <c r="B194" s="81" t="s">
        <v>693</v>
      </c>
      <c r="C194" s="81" t="s">
        <v>694</v>
      </c>
      <c r="D194" s="81" t="s">
        <v>213</v>
      </c>
      <c r="E194" s="81"/>
      <c r="F194" s="81"/>
      <c r="G194" s="81" t="s">
        <v>48</v>
      </c>
      <c r="H194" s="81"/>
      <c r="I194" s="56">
        <v>990</v>
      </c>
      <c r="J194" s="56">
        <v>891</v>
      </c>
      <c r="K194" s="54"/>
      <c r="L194" s="54"/>
      <c r="M194" s="54"/>
      <c r="N194" s="64">
        <v>930</v>
      </c>
      <c r="O194" s="64">
        <v>840</v>
      </c>
      <c r="P194" s="64">
        <v>720</v>
      </c>
      <c r="Q194" s="44" t="s">
        <v>54</v>
      </c>
      <c r="R194" s="69"/>
      <c r="S194" s="44" t="s">
        <v>446</v>
      </c>
      <c r="T194" s="45" t="s">
        <v>697</v>
      </c>
      <c r="U194" s="45">
        <v>33110101003</v>
      </c>
      <c r="V194" s="45" t="s">
        <v>698</v>
      </c>
      <c r="W194" s="43" t="s">
        <v>43</v>
      </c>
      <c r="X194" s="71" t="s">
        <v>43</v>
      </c>
      <c r="Y194" s="71" t="s">
        <v>40</v>
      </c>
      <c r="Z194" s="48" t="s">
        <v>43</v>
      </c>
      <c r="AA194" s="75">
        <v>7975</v>
      </c>
      <c r="AB194" s="75">
        <v>7180</v>
      </c>
      <c r="AC194" s="80">
        <v>6785</v>
      </c>
      <c r="AD194" s="80">
        <v>6150</v>
      </c>
      <c r="AE194" s="80">
        <v>5230</v>
      </c>
      <c r="AF194" s="79">
        <f t="shared" si="25"/>
        <v>8</v>
      </c>
      <c r="AG194" s="79" t="str">
        <f t="shared" si="26"/>
        <v>肾全切费</v>
      </c>
      <c r="AH194" s="79">
        <f t="shared" si="27"/>
        <v>4030</v>
      </c>
      <c r="AI194" s="79">
        <f t="shared" si="28"/>
        <v>3640</v>
      </c>
      <c r="AJ194" s="79">
        <f t="shared" si="29"/>
        <v>3120</v>
      </c>
    </row>
    <row r="195" ht="20" customHeight="1" spans="1:36">
      <c r="A195" s="81" t="s">
        <v>81</v>
      </c>
      <c r="B195" s="81" t="s">
        <v>693</v>
      </c>
      <c r="C195" s="81" t="s">
        <v>694</v>
      </c>
      <c r="D195" s="81" t="s">
        <v>213</v>
      </c>
      <c r="E195" s="81"/>
      <c r="F195" s="81"/>
      <c r="G195" s="81" t="s">
        <v>48</v>
      </c>
      <c r="H195" s="81"/>
      <c r="I195" s="56">
        <v>990</v>
      </c>
      <c r="J195" s="56">
        <v>891</v>
      </c>
      <c r="K195" s="54"/>
      <c r="L195" s="54"/>
      <c r="M195" s="54"/>
      <c r="N195" s="64">
        <v>930</v>
      </c>
      <c r="O195" s="64">
        <v>840</v>
      </c>
      <c r="P195" s="64">
        <v>720</v>
      </c>
      <c r="Q195" s="44" t="s">
        <v>54</v>
      </c>
      <c r="R195" s="69"/>
      <c r="S195" s="44" t="s">
        <v>446</v>
      </c>
      <c r="T195" s="45" t="s">
        <v>699</v>
      </c>
      <c r="U195" s="45">
        <v>33110100801</v>
      </c>
      <c r="V195" s="45" t="s">
        <v>700</v>
      </c>
      <c r="W195" s="43" t="s">
        <v>43</v>
      </c>
      <c r="X195" s="71" t="s">
        <v>43</v>
      </c>
      <c r="Y195" s="71" t="s">
        <v>40</v>
      </c>
      <c r="Z195" s="48" t="s">
        <v>43</v>
      </c>
      <c r="AA195" s="75">
        <v>3745</v>
      </c>
      <c r="AB195" s="75">
        <v>3365</v>
      </c>
      <c r="AC195" s="80">
        <v>3290</v>
      </c>
      <c r="AD195" s="80">
        <v>2965</v>
      </c>
      <c r="AE195" s="80">
        <v>2520</v>
      </c>
      <c r="AF195" s="79">
        <f t="shared" si="25"/>
        <v>8</v>
      </c>
      <c r="AG195" s="79" t="str">
        <f t="shared" si="26"/>
        <v>肾全切费</v>
      </c>
      <c r="AH195" s="79">
        <f t="shared" si="27"/>
        <v>4030</v>
      </c>
      <c r="AI195" s="79">
        <f t="shared" si="28"/>
        <v>3640</v>
      </c>
      <c r="AJ195" s="79">
        <f t="shared" si="29"/>
        <v>3120</v>
      </c>
    </row>
    <row r="196" ht="20" customHeight="1" spans="1:36">
      <c r="A196" s="81" t="s">
        <v>81</v>
      </c>
      <c r="B196" s="81" t="s">
        <v>693</v>
      </c>
      <c r="C196" s="81" t="s">
        <v>694</v>
      </c>
      <c r="D196" s="81" t="s">
        <v>213</v>
      </c>
      <c r="E196" s="81"/>
      <c r="F196" s="81"/>
      <c r="G196" s="81" t="s">
        <v>48</v>
      </c>
      <c r="H196" s="81"/>
      <c r="I196" s="56">
        <v>990</v>
      </c>
      <c r="J196" s="56">
        <v>891</v>
      </c>
      <c r="K196" s="54"/>
      <c r="L196" s="54"/>
      <c r="M196" s="54"/>
      <c r="N196" s="64">
        <v>930</v>
      </c>
      <c r="O196" s="64">
        <v>840</v>
      </c>
      <c r="P196" s="64">
        <v>720</v>
      </c>
      <c r="Q196" s="44" t="s">
        <v>54</v>
      </c>
      <c r="R196" s="69"/>
      <c r="S196" s="44" t="s">
        <v>446</v>
      </c>
      <c r="T196" s="45" t="s">
        <v>701</v>
      </c>
      <c r="U196" s="45">
        <v>33110100803</v>
      </c>
      <c r="V196" s="45" t="s">
        <v>702</v>
      </c>
      <c r="W196" s="43" t="s">
        <v>43</v>
      </c>
      <c r="X196" s="71" t="s">
        <v>43</v>
      </c>
      <c r="Y196" s="71" t="s">
        <v>40</v>
      </c>
      <c r="Z196" s="48" t="s">
        <v>43</v>
      </c>
      <c r="AA196" s="75">
        <v>4545</v>
      </c>
      <c r="AB196" s="75">
        <v>4085</v>
      </c>
      <c r="AC196" s="80">
        <v>3915</v>
      </c>
      <c r="AD196" s="80">
        <v>3565</v>
      </c>
      <c r="AE196" s="80">
        <v>3030</v>
      </c>
      <c r="AF196" s="79">
        <f t="shared" si="25"/>
        <v>8</v>
      </c>
      <c r="AG196" s="79" t="str">
        <f t="shared" si="26"/>
        <v>肾全切费</v>
      </c>
      <c r="AH196" s="79">
        <f t="shared" si="27"/>
        <v>4030</v>
      </c>
      <c r="AI196" s="79">
        <f t="shared" si="28"/>
        <v>3640</v>
      </c>
      <c r="AJ196" s="79">
        <f t="shared" si="29"/>
        <v>3120</v>
      </c>
    </row>
    <row r="197" ht="20" customHeight="1" spans="1:36">
      <c r="A197" s="81" t="s">
        <v>81</v>
      </c>
      <c r="B197" s="81" t="s">
        <v>693</v>
      </c>
      <c r="C197" s="81" t="s">
        <v>694</v>
      </c>
      <c r="D197" s="81" t="s">
        <v>213</v>
      </c>
      <c r="E197" s="81"/>
      <c r="F197" s="81"/>
      <c r="G197" s="81" t="s">
        <v>48</v>
      </c>
      <c r="H197" s="81"/>
      <c r="I197" s="56">
        <v>990</v>
      </c>
      <c r="J197" s="56">
        <v>891</v>
      </c>
      <c r="K197" s="54"/>
      <c r="L197" s="54"/>
      <c r="M197" s="54"/>
      <c r="N197" s="64">
        <v>930</v>
      </c>
      <c r="O197" s="64">
        <v>840</v>
      </c>
      <c r="P197" s="64">
        <v>720</v>
      </c>
      <c r="Q197" s="44" t="s">
        <v>54</v>
      </c>
      <c r="R197" s="69"/>
      <c r="S197" s="44" t="s">
        <v>446</v>
      </c>
      <c r="T197" s="45" t="s">
        <v>558</v>
      </c>
      <c r="U197" s="45">
        <v>33110100601</v>
      </c>
      <c r="V197" s="45" t="s">
        <v>559</v>
      </c>
      <c r="W197" s="43" t="s">
        <v>43</v>
      </c>
      <c r="X197" s="71" t="s">
        <v>43</v>
      </c>
      <c r="Y197" s="71" t="s">
        <v>40</v>
      </c>
      <c r="Z197" s="48" t="s">
        <v>43</v>
      </c>
      <c r="AA197" s="75">
        <v>3250</v>
      </c>
      <c r="AB197" s="75">
        <v>2910</v>
      </c>
      <c r="AC197" s="80">
        <v>2845</v>
      </c>
      <c r="AD197" s="80">
        <v>2560</v>
      </c>
      <c r="AE197" s="80">
        <v>2175</v>
      </c>
      <c r="AF197" s="79">
        <f t="shared" si="25"/>
        <v>8</v>
      </c>
      <c r="AG197" s="79" t="str">
        <f t="shared" si="26"/>
        <v>肾全切费</v>
      </c>
      <c r="AH197" s="79">
        <f t="shared" si="27"/>
        <v>4030</v>
      </c>
      <c r="AI197" s="79">
        <f t="shared" si="28"/>
        <v>3640</v>
      </c>
      <c r="AJ197" s="79">
        <f t="shared" si="29"/>
        <v>3120</v>
      </c>
    </row>
    <row r="198" ht="20" customHeight="1" spans="1:36">
      <c r="A198" s="81" t="s">
        <v>81</v>
      </c>
      <c r="B198" s="81" t="s">
        <v>693</v>
      </c>
      <c r="C198" s="81" t="s">
        <v>694</v>
      </c>
      <c r="D198" s="81" t="s">
        <v>213</v>
      </c>
      <c r="E198" s="81"/>
      <c r="F198" s="81"/>
      <c r="G198" s="81" t="s">
        <v>48</v>
      </c>
      <c r="H198" s="81"/>
      <c r="I198" s="56">
        <v>990</v>
      </c>
      <c r="J198" s="56">
        <v>891</v>
      </c>
      <c r="K198" s="54"/>
      <c r="L198" s="54"/>
      <c r="M198" s="54"/>
      <c r="N198" s="64">
        <v>930</v>
      </c>
      <c r="O198" s="64">
        <v>840</v>
      </c>
      <c r="P198" s="64">
        <v>720</v>
      </c>
      <c r="Q198" s="44" t="s">
        <v>54</v>
      </c>
      <c r="R198" s="69"/>
      <c r="S198" s="44" t="s">
        <v>446</v>
      </c>
      <c r="T198" s="45" t="s">
        <v>560</v>
      </c>
      <c r="U198" s="45">
        <v>33110100603</v>
      </c>
      <c r="V198" s="45" t="s">
        <v>561</v>
      </c>
      <c r="W198" s="43" t="s">
        <v>43</v>
      </c>
      <c r="X198" s="71" t="s">
        <v>43</v>
      </c>
      <c r="Y198" s="71" t="s">
        <v>40</v>
      </c>
      <c r="Z198" s="48" t="s">
        <v>43</v>
      </c>
      <c r="AA198" s="75">
        <v>4050</v>
      </c>
      <c r="AB198" s="75">
        <v>3630</v>
      </c>
      <c r="AC198" s="80">
        <v>3470</v>
      </c>
      <c r="AD198" s="80">
        <v>3160</v>
      </c>
      <c r="AE198" s="80">
        <v>2685</v>
      </c>
      <c r="AF198" s="79">
        <f t="shared" ref="AF198:AF261" si="30">IFERROR(FIND("（加收）",C198,1),0)</f>
        <v>8</v>
      </c>
      <c r="AG198" s="79" t="str">
        <f t="shared" ref="AG198:AG261" si="31">IF(AF198&gt;0,LEFT(C198,IFERROR(FIND("-",C198,1),1)-1),C198)</f>
        <v>肾全切费</v>
      </c>
      <c r="AH198" s="79">
        <f t="shared" si="27"/>
        <v>4030</v>
      </c>
      <c r="AI198" s="79">
        <f t="shared" si="28"/>
        <v>3640</v>
      </c>
      <c r="AJ198" s="79">
        <f t="shared" si="29"/>
        <v>3120</v>
      </c>
    </row>
    <row r="199" ht="20" customHeight="1" spans="1:36">
      <c r="A199" s="44">
        <v>46</v>
      </c>
      <c r="B199" s="44" t="s">
        <v>703</v>
      </c>
      <c r="C199" s="44" t="s">
        <v>704</v>
      </c>
      <c r="D199" s="44" t="s">
        <v>213</v>
      </c>
      <c r="E199" s="44" t="s">
        <v>705</v>
      </c>
      <c r="F199" s="44" t="s">
        <v>706</v>
      </c>
      <c r="G199" s="44" t="s">
        <v>48</v>
      </c>
      <c r="H199" s="49"/>
      <c r="I199" s="56">
        <v>4234</v>
      </c>
      <c r="J199" s="56">
        <v>3811</v>
      </c>
      <c r="K199" s="59">
        <v>3702.74509803922</v>
      </c>
      <c r="L199" s="59">
        <v>3364.07079646018</v>
      </c>
      <c r="M199" s="57">
        <v>2870</v>
      </c>
      <c r="N199" s="64">
        <v>3780</v>
      </c>
      <c r="O199" s="64">
        <v>3430</v>
      </c>
      <c r="P199" s="64">
        <v>2930</v>
      </c>
      <c r="Q199" s="44" t="s">
        <v>54</v>
      </c>
      <c r="R199" s="70" t="s">
        <v>416</v>
      </c>
      <c r="S199" s="44" t="s">
        <v>707</v>
      </c>
      <c r="T199" s="43" t="s">
        <v>708</v>
      </c>
      <c r="U199" s="71">
        <v>330300021</v>
      </c>
      <c r="V199" s="43" t="s">
        <v>709</v>
      </c>
      <c r="W199" s="43" t="s">
        <v>710</v>
      </c>
      <c r="X199" s="71" t="s">
        <v>43</v>
      </c>
      <c r="Y199" s="71" t="s">
        <v>48</v>
      </c>
      <c r="Z199" s="48"/>
      <c r="AA199" s="75">
        <v>3600</v>
      </c>
      <c r="AB199" s="75">
        <v>3240</v>
      </c>
      <c r="AC199" s="80">
        <v>3090</v>
      </c>
      <c r="AD199" s="80">
        <v>2780</v>
      </c>
      <c r="AE199" s="80">
        <v>2360</v>
      </c>
      <c r="AF199" s="79">
        <f t="shared" si="30"/>
        <v>0</v>
      </c>
      <c r="AG199" s="79" t="str">
        <f t="shared" si="31"/>
        <v>肾上腺部分切除费</v>
      </c>
      <c r="AH199" s="79">
        <f t="shared" si="27"/>
        <v>3780</v>
      </c>
      <c r="AI199" s="79">
        <f t="shared" si="28"/>
        <v>3430</v>
      </c>
      <c r="AJ199" s="79">
        <f t="shared" si="29"/>
        <v>2930</v>
      </c>
    </row>
    <row r="200" ht="20" customHeight="1" spans="1:36">
      <c r="A200" s="44">
        <v>46</v>
      </c>
      <c r="B200" s="44" t="s">
        <v>703</v>
      </c>
      <c r="C200" s="44" t="s">
        <v>704</v>
      </c>
      <c r="D200" s="44" t="s">
        <v>213</v>
      </c>
      <c r="E200" s="44" t="s">
        <v>705</v>
      </c>
      <c r="F200" s="44" t="s">
        <v>706</v>
      </c>
      <c r="G200" s="44" t="s">
        <v>48</v>
      </c>
      <c r="H200" s="49"/>
      <c r="I200" s="56">
        <v>4234</v>
      </c>
      <c r="J200" s="56">
        <v>3811</v>
      </c>
      <c r="K200" s="59">
        <v>3702.74509803922</v>
      </c>
      <c r="L200" s="59">
        <v>3364.07079646018</v>
      </c>
      <c r="M200" s="57">
        <v>2870</v>
      </c>
      <c r="N200" s="64">
        <v>3780</v>
      </c>
      <c r="O200" s="64">
        <v>3430</v>
      </c>
      <c r="P200" s="64">
        <v>2930</v>
      </c>
      <c r="Q200" s="44" t="s">
        <v>54</v>
      </c>
      <c r="R200" s="70" t="s">
        <v>416</v>
      </c>
      <c r="S200" s="44" t="s">
        <v>707</v>
      </c>
      <c r="T200" s="43" t="s">
        <v>711</v>
      </c>
      <c r="U200" s="71">
        <v>33030002102</v>
      </c>
      <c r="V200" s="43" t="s">
        <v>712</v>
      </c>
      <c r="W200" s="43" t="s">
        <v>43</v>
      </c>
      <c r="X200" s="71" t="s">
        <v>43</v>
      </c>
      <c r="Y200" s="71" t="s">
        <v>48</v>
      </c>
      <c r="Z200" s="48" t="s">
        <v>43</v>
      </c>
      <c r="AA200" s="75">
        <v>4400</v>
      </c>
      <c r="AB200" s="75">
        <v>3960</v>
      </c>
      <c r="AC200" s="80">
        <v>3715</v>
      </c>
      <c r="AD200" s="80">
        <v>3380</v>
      </c>
      <c r="AE200" s="80">
        <v>2870</v>
      </c>
      <c r="AF200" s="79">
        <f t="shared" si="30"/>
        <v>0</v>
      </c>
      <c r="AG200" s="79" t="str">
        <f t="shared" si="31"/>
        <v>肾上腺部分切除费</v>
      </c>
      <c r="AH200" s="79">
        <f t="shared" si="27"/>
        <v>3780</v>
      </c>
      <c r="AI200" s="79">
        <f t="shared" si="28"/>
        <v>3430</v>
      </c>
      <c r="AJ200" s="79">
        <f t="shared" si="29"/>
        <v>2930</v>
      </c>
    </row>
    <row r="201" ht="20" customHeight="1" spans="1:36">
      <c r="A201" s="47" t="s">
        <v>81</v>
      </c>
      <c r="B201" s="47" t="s">
        <v>713</v>
      </c>
      <c r="C201" s="47" t="s">
        <v>714</v>
      </c>
      <c r="D201" s="47" t="s">
        <v>213</v>
      </c>
      <c r="E201" s="47"/>
      <c r="F201" s="47"/>
      <c r="G201" s="47" t="s">
        <v>48</v>
      </c>
      <c r="H201" s="47"/>
      <c r="I201" s="56">
        <v>1089</v>
      </c>
      <c r="J201" s="56">
        <v>980</v>
      </c>
      <c r="K201" s="57">
        <v>975</v>
      </c>
      <c r="L201" s="57">
        <v>890</v>
      </c>
      <c r="M201" s="58"/>
      <c r="N201" s="64">
        <v>975</v>
      </c>
      <c r="O201" s="64">
        <v>890</v>
      </c>
      <c r="P201" s="64">
        <v>750</v>
      </c>
      <c r="Q201" s="44" t="s">
        <v>54</v>
      </c>
      <c r="R201" s="69"/>
      <c r="S201" s="44" t="s">
        <v>715</v>
      </c>
      <c r="T201" s="43" t="s">
        <v>716</v>
      </c>
      <c r="U201" s="71">
        <v>330300022</v>
      </c>
      <c r="V201" s="43" t="s">
        <v>717</v>
      </c>
      <c r="W201" s="43" t="s">
        <v>43</v>
      </c>
      <c r="X201" s="71" t="s">
        <v>43</v>
      </c>
      <c r="Y201" s="71" t="s">
        <v>48</v>
      </c>
      <c r="Z201" s="48" t="s">
        <v>43</v>
      </c>
      <c r="AA201" s="75">
        <v>4800</v>
      </c>
      <c r="AB201" s="75">
        <v>4320</v>
      </c>
      <c r="AC201" s="80">
        <v>4130</v>
      </c>
      <c r="AD201" s="80">
        <v>3720</v>
      </c>
      <c r="AE201" s="80">
        <v>3160</v>
      </c>
      <c r="AF201" s="79">
        <f t="shared" si="30"/>
        <v>20</v>
      </c>
      <c r="AG201" s="79" t="str">
        <f t="shared" si="31"/>
        <v>肾上腺部分切除费</v>
      </c>
      <c r="AH201" s="79">
        <f t="shared" si="27"/>
        <v>4755</v>
      </c>
      <c r="AI201" s="79">
        <f t="shared" si="28"/>
        <v>4320</v>
      </c>
      <c r="AJ201" s="79">
        <f t="shared" si="29"/>
        <v>3680</v>
      </c>
    </row>
    <row r="202" ht="20" customHeight="1" spans="1:36">
      <c r="A202" s="47" t="s">
        <v>81</v>
      </c>
      <c r="B202" s="47" t="s">
        <v>713</v>
      </c>
      <c r="C202" s="47" t="s">
        <v>714</v>
      </c>
      <c r="D202" s="47" t="s">
        <v>213</v>
      </c>
      <c r="E202" s="47"/>
      <c r="F202" s="47"/>
      <c r="G202" s="47" t="s">
        <v>48</v>
      </c>
      <c r="H202" s="47"/>
      <c r="I202" s="56">
        <v>1089</v>
      </c>
      <c r="J202" s="56">
        <v>980</v>
      </c>
      <c r="K202" s="57">
        <v>975</v>
      </c>
      <c r="L202" s="57">
        <v>890</v>
      </c>
      <c r="M202" s="58"/>
      <c r="N202" s="64">
        <v>975</v>
      </c>
      <c r="O202" s="64">
        <v>890</v>
      </c>
      <c r="P202" s="64">
        <v>750</v>
      </c>
      <c r="Q202" s="44" t="s">
        <v>54</v>
      </c>
      <c r="R202" s="69"/>
      <c r="S202" s="44" t="s">
        <v>715</v>
      </c>
      <c r="T202" s="45" t="s">
        <v>718</v>
      </c>
      <c r="U202" s="71">
        <v>33030002202</v>
      </c>
      <c r="V202" s="43" t="s">
        <v>719</v>
      </c>
      <c r="W202" s="43" t="s">
        <v>43</v>
      </c>
      <c r="X202" s="71" t="s">
        <v>43</v>
      </c>
      <c r="Y202" s="71" t="s">
        <v>48</v>
      </c>
      <c r="Z202" s="48" t="s">
        <v>43</v>
      </c>
      <c r="AA202" s="75">
        <v>5600</v>
      </c>
      <c r="AB202" s="75">
        <v>5040</v>
      </c>
      <c r="AC202" s="80">
        <v>4755</v>
      </c>
      <c r="AD202" s="80">
        <v>4320</v>
      </c>
      <c r="AE202" s="80">
        <v>3670</v>
      </c>
      <c r="AF202" s="79">
        <f t="shared" si="30"/>
        <v>20</v>
      </c>
      <c r="AG202" s="79" t="str">
        <f t="shared" si="31"/>
        <v>肾上腺部分切除费</v>
      </c>
      <c r="AH202" s="79">
        <f t="shared" si="27"/>
        <v>4755</v>
      </c>
      <c r="AI202" s="79">
        <f t="shared" si="28"/>
        <v>4320</v>
      </c>
      <c r="AJ202" s="79">
        <f t="shared" si="29"/>
        <v>3680</v>
      </c>
    </row>
    <row r="203" ht="20" customHeight="1" spans="1:36">
      <c r="A203" s="81" t="s">
        <v>81</v>
      </c>
      <c r="B203" s="81" t="s">
        <v>720</v>
      </c>
      <c r="C203" s="81" t="s">
        <v>721</v>
      </c>
      <c r="D203" s="81" t="s">
        <v>213</v>
      </c>
      <c r="E203" s="81"/>
      <c r="F203" s="81"/>
      <c r="G203" s="81" t="s">
        <v>48</v>
      </c>
      <c r="H203" s="81"/>
      <c r="I203" s="56">
        <v>1270</v>
      </c>
      <c r="J203" s="56">
        <v>1143</v>
      </c>
      <c r="K203" s="54"/>
      <c r="L203" s="54"/>
      <c r="M203" s="54"/>
      <c r="N203" s="64">
        <v>1135</v>
      </c>
      <c r="O203" s="64">
        <v>1030</v>
      </c>
      <c r="P203" s="64">
        <v>880</v>
      </c>
      <c r="Q203" s="44" t="s">
        <v>54</v>
      </c>
      <c r="R203" s="69"/>
      <c r="S203" s="44" t="s">
        <v>446</v>
      </c>
      <c r="T203" s="45" t="s">
        <v>722</v>
      </c>
      <c r="U203" s="45">
        <v>33030002101</v>
      </c>
      <c r="V203" s="45" t="s">
        <v>723</v>
      </c>
      <c r="W203" s="43" t="s">
        <v>43</v>
      </c>
      <c r="X203" s="71" t="s">
        <v>43</v>
      </c>
      <c r="Y203" s="71" t="s">
        <v>48</v>
      </c>
      <c r="Z203" s="48" t="s">
        <v>43</v>
      </c>
      <c r="AA203" s="75">
        <v>4680</v>
      </c>
      <c r="AB203" s="75">
        <v>4210</v>
      </c>
      <c r="AC203" s="80">
        <v>4015</v>
      </c>
      <c r="AD203" s="80">
        <v>3615</v>
      </c>
      <c r="AE203" s="80">
        <v>3075</v>
      </c>
      <c r="AF203" s="79">
        <f t="shared" si="30"/>
        <v>12</v>
      </c>
      <c r="AG203" s="79" t="str">
        <f t="shared" si="31"/>
        <v>肾上腺部分切除费</v>
      </c>
      <c r="AH203" s="79">
        <f t="shared" si="27"/>
        <v>4915</v>
      </c>
      <c r="AI203" s="79">
        <f t="shared" si="28"/>
        <v>4460</v>
      </c>
      <c r="AJ203" s="79">
        <f t="shared" si="29"/>
        <v>3810</v>
      </c>
    </row>
    <row r="204" ht="20" customHeight="1" spans="1:36">
      <c r="A204" s="81" t="s">
        <v>81</v>
      </c>
      <c r="B204" s="81" t="s">
        <v>720</v>
      </c>
      <c r="C204" s="81" t="s">
        <v>721</v>
      </c>
      <c r="D204" s="81" t="s">
        <v>213</v>
      </c>
      <c r="E204" s="81"/>
      <c r="F204" s="81"/>
      <c r="G204" s="81" t="s">
        <v>48</v>
      </c>
      <c r="H204" s="81"/>
      <c r="I204" s="56">
        <v>1270</v>
      </c>
      <c r="J204" s="56">
        <v>1143</v>
      </c>
      <c r="K204" s="54"/>
      <c r="L204" s="54"/>
      <c r="M204" s="54"/>
      <c r="N204" s="64">
        <v>1135</v>
      </c>
      <c r="O204" s="64">
        <v>1030</v>
      </c>
      <c r="P204" s="64">
        <v>880</v>
      </c>
      <c r="Q204" s="44" t="s">
        <v>54</v>
      </c>
      <c r="R204" s="69"/>
      <c r="S204" s="44" t="s">
        <v>446</v>
      </c>
      <c r="T204" s="45" t="s">
        <v>724</v>
      </c>
      <c r="U204" s="45">
        <v>33030002103</v>
      </c>
      <c r="V204" s="45" t="s">
        <v>725</v>
      </c>
      <c r="W204" s="43" t="s">
        <v>43</v>
      </c>
      <c r="X204" s="71" t="s">
        <v>43</v>
      </c>
      <c r="Y204" s="71" t="s">
        <v>48</v>
      </c>
      <c r="Z204" s="48" t="s">
        <v>43</v>
      </c>
      <c r="AA204" s="75">
        <v>5480</v>
      </c>
      <c r="AB204" s="75">
        <v>4930</v>
      </c>
      <c r="AC204" s="80">
        <v>4640</v>
      </c>
      <c r="AD204" s="80">
        <v>4215</v>
      </c>
      <c r="AE204" s="80">
        <v>3585</v>
      </c>
      <c r="AF204" s="79">
        <f t="shared" si="30"/>
        <v>12</v>
      </c>
      <c r="AG204" s="79" t="str">
        <f t="shared" si="31"/>
        <v>肾上腺部分切除费</v>
      </c>
      <c r="AH204" s="79">
        <f t="shared" si="27"/>
        <v>4915</v>
      </c>
      <c r="AI204" s="79">
        <f t="shared" si="28"/>
        <v>4460</v>
      </c>
      <c r="AJ204" s="79">
        <f t="shared" si="29"/>
        <v>3810</v>
      </c>
    </row>
    <row r="205" ht="20" customHeight="1" spans="1:36">
      <c r="A205" s="81" t="s">
        <v>81</v>
      </c>
      <c r="B205" s="81" t="s">
        <v>720</v>
      </c>
      <c r="C205" s="81" t="s">
        <v>721</v>
      </c>
      <c r="D205" s="81" t="s">
        <v>213</v>
      </c>
      <c r="E205" s="81"/>
      <c r="F205" s="81"/>
      <c r="G205" s="81" t="s">
        <v>48</v>
      </c>
      <c r="H205" s="81"/>
      <c r="I205" s="56">
        <v>1270</v>
      </c>
      <c r="J205" s="56">
        <v>1143</v>
      </c>
      <c r="K205" s="54"/>
      <c r="L205" s="54"/>
      <c r="M205" s="54"/>
      <c r="N205" s="64">
        <v>1135</v>
      </c>
      <c r="O205" s="64">
        <v>1030</v>
      </c>
      <c r="P205" s="64">
        <v>880</v>
      </c>
      <c r="Q205" s="44" t="s">
        <v>54</v>
      </c>
      <c r="R205" s="69"/>
      <c r="S205" s="44" t="s">
        <v>446</v>
      </c>
      <c r="T205" s="45" t="s">
        <v>726</v>
      </c>
      <c r="U205" s="45">
        <v>33030002201</v>
      </c>
      <c r="V205" s="45" t="s">
        <v>727</v>
      </c>
      <c r="W205" s="43" t="s">
        <v>43</v>
      </c>
      <c r="X205" s="71" t="s">
        <v>43</v>
      </c>
      <c r="Y205" s="71" t="s">
        <v>48</v>
      </c>
      <c r="Z205" s="48" t="s">
        <v>43</v>
      </c>
      <c r="AA205" s="75">
        <v>6240</v>
      </c>
      <c r="AB205" s="75">
        <v>5615</v>
      </c>
      <c r="AC205" s="80">
        <v>5370</v>
      </c>
      <c r="AD205" s="80">
        <v>4835</v>
      </c>
      <c r="AE205" s="80">
        <v>4110</v>
      </c>
      <c r="AF205" s="79">
        <f t="shared" si="30"/>
        <v>12</v>
      </c>
      <c r="AG205" s="79" t="str">
        <f t="shared" si="31"/>
        <v>肾上腺部分切除费</v>
      </c>
      <c r="AH205" s="79">
        <f t="shared" si="27"/>
        <v>4915</v>
      </c>
      <c r="AI205" s="79">
        <f t="shared" si="28"/>
        <v>4460</v>
      </c>
      <c r="AJ205" s="79">
        <f t="shared" si="29"/>
        <v>3810</v>
      </c>
    </row>
    <row r="206" ht="20" customHeight="1" spans="1:36">
      <c r="A206" s="81" t="s">
        <v>81</v>
      </c>
      <c r="B206" s="81" t="s">
        <v>720</v>
      </c>
      <c r="C206" s="81" t="s">
        <v>721</v>
      </c>
      <c r="D206" s="81" t="s">
        <v>213</v>
      </c>
      <c r="E206" s="81"/>
      <c r="F206" s="81"/>
      <c r="G206" s="81" t="s">
        <v>48</v>
      </c>
      <c r="H206" s="81"/>
      <c r="I206" s="56">
        <v>1270</v>
      </c>
      <c r="J206" s="56">
        <v>1143</v>
      </c>
      <c r="K206" s="54"/>
      <c r="L206" s="54"/>
      <c r="M206" s="54"/>
      <c r="N206" s="64">
        <v>1135</v>
      </c>
      <c r="O206" s="64">
        <v>1030</v>
      </c>
      <c r="P206" s="64">
        <v>880</v>
      </c>
      <c r="Q206" s="44" t="s">
        <v>54</v>
      </c>
      <c r="R206" s="69"/>
      <c r="S206" s="44" t="s">
        <v>446</v>
      </c>
      <c r="T206" s="45" t="s">
        <v>728</v>
      </c>
      <c r="U206" s="45">
        <v>33030002203</v>
      </c>
      <c r="V206" s="45" t="s">
        <v>729</v>
      </c>
      <c r="W206" s="43" t="s">
        <v>43</v>
      </c>
      <c r="X206" s="71" t="s">
        <v>43</v>
      </c>
      <c r="Y206" s="71" t="s">
        <v>48</v>
      </c>
      <c r="Z206" s="48" t="s">
        <v>43</v>
      </c>
      <c r="AA206" s="75">
        <v>7040</v>
      </c>
      <c r="AB206" s="75">
        <v>6335</v>
      </c>
      <c r="AC206" s="80">
        <v>5995</v>
      </c>
      <c r="AD206" s="80">
        <v>5435</v>
      </c>
      <c r="AE206" s="80">
        <v>4620</v>
      </c>
      <c r="AF206" s="79">
        <f t="shared" si="30"/>
        <v>12</v>
      </c>
      <c r="AG206" s="79" t="str">
        <f t="shared" si="31"/>
        <v>肾上腺部分切除费</v>
      </c>
      <c r="AH206" s="79">
        <f t="shared" si="27"/>
        <v>4915</v>
      </c>
      <c r="AI206" s="79">
        <f t="shared" si="28"/>
        <v>4460</v>
      </c>
      <c r="AJ206" s="79">
        <f t="shared" si="29"/>
        <v>3810</v>
      </c>
    </row>
    <row r="207" ht="33" customHeight="1" spans="1:36">
      <c r="A207" s="44">
        <v>47</v>
      </c>
      <c r="B207" s="44" t="s">
        <v>730</v>
      </c>
      <c r="C207" s="44" t="s">
        <v>731</v>
      </c>
      <c r="D207" s="44" t="s">
        <v>213</v>
      </c>
      <c r="E207" s="44" t="s">
        <v>732</v>
      </c>
      <c r="F207" s="44" t="s">
        <v>733</v>
      </c>
      <c r="G207" s="44" t="s">
        <v>48</v>
      </c>
      <c r="H207" s="44"/>
      <c r="I207" s="56">
        <v>4234</v>
      </c>
      <c r="J207" s="56">
        <v>3811</v>
      </c>
      <c r="K207" s="59">
        <v>3702.74509803922</v>
      </c>
      <c r="L207" s="59">
        <v>3364.07079646018</v>
      </c>
      <c r="M207" s="57">
        <v>2870</v>
      </c>
      <c r="N207" s="64">
        <v>3780</v>
      </c>
      <c r="O207" s="64">
        <v>3430</v>
      </c>
      <c r="P207" s="64">
        <v>2930</v>
      </c>
      <c r="Q207" s="44" t="s">
        <v>54</v>
      </c>
      <c r="R207" s="70" t="s">
        <v>416</v>
      </c>
      <c r="S207" s="44" t="s">
        <v>707</v>
      </c>
      <c r="T207" s="43" t="s">
        <v>708</v>
      </c>
      <c r="U207" s="71">
        <v>330300021</v>
      </c>
      <c r="V207" s="43" t="s">
        <v>709</v>
      </c>
      <c r="W207" s="43" t="s">
        <v>710</v>
      </c>
      <c r="X207" s="71" t="s">
        <v>43</v>
      </c>
      <c r="Y207" s="71" t="s">
        <v>48</v>
      </c>
      <c r="Z207" s="48" t="s">
        <v>43</v>
      </c>
      <c r="AA207" s="75">
        <v>3600</v>
      </c>
      <c r="AB207" s="75">
        <v>3240</v>
      </c>
      <c r="AC207" s="80">
        <v>3090</v>
      </c>
      <c r="AD207" s="80">
        <v>2780</v>
      </c>
      <c r="AE207" s="80">
        <v>2360</v>
      </c>
      <c r="AF207" s="79">
        <f t="shared" si="30"/>
        <v>0</v>
      </c>
      <c r="AG207" s="79" t="str">
        <f t="shared" si="31"/>
        <v>肾上腺全切费</v>
      </c>
      <c r="AH207" s="79">
        <f t="shared" si="27"/>
        <v>3780</v>
      </c>
      <c r="AI207" s="79">
        <f t="shared" si="28"/>
        <v>3430</v>
      </c>
      <c r="AJ207" s="79">
        <f t="shared" si="29"/>
        <v>2930</v>
      </c>
    </row>
    <row r="208" ht="33" customHeight="1" spans="1:36">
      <c r="A208" s="44">
        <v>47</v>
      </c>
      <c r="B208" s="44" t="s">
        <v>730</v>
      </c>
      <c r="C208" s="44" t="s">
        <v>731</v>
      </c>
      <c r="D208" s="44" t="s">
        <v>213</v>
      </c>
      <c r="E208" s="44" t="s">
        <v>732</v>
      </c>
      <c r="F208" s="44" t="s">
        <v>733</v>
      </c>
      <c r="G208" s="44" t="s">
        <v>48</v>
      </c>
      <c r="H208" s="44"/>
      <c r="I208" s="56">
        <v>4234</v>
      </c>
      <c r="J208" s="56">
        <v>3811</v>
      </c>
      <c r="K208" s="59">
        <v>3702.74509803922</v>
      </c>
      <c r="L208" s="59">
        <v>3364.07079646018</v>
      </c>
      <c r="M208" s="57">
        <v>2870</v>
      </c>
      <c r="N208" s="64">
        <v>3780</v>
      </c>
      <c r="O208" s="64">
        <v>3430</v>
      </c>
      <c r="P208" s="64">
        <v>2930</v>
      </c>
      <c r="Q208" s="44" t="s">
        <v>54</v>
      </c>
      <c r="R208" s="70" t="s">
        <v>416</v>
      </c>
      <c r="S208" s="44" t="s">
        <v>707</v>
      </c>
      <c r="T208" s="43" t="s">
        <v>711</v>
      </c>
      <c r="U208" s="71">
        <v>33030002102</v>
      </c>
      <c r="V208" s="43" t="s">
        <v>712</v>
      </c>
      <c r="W208" s="43" t="s">
        <v>43</v>
      </c>
      <c r="X208" s="71" t="s">
        <v>43</v>
      </c>
      <c r="Y208" s="71" t="s">
        <v>48</v>
      </c>
      <c r="Z208" s="48" t="s">
        <v>43</v>
      </c>
      <c r="AA208" s="75">
        <v>4400</v>
      </c>
      <c r="AB208" s="75">
        <v>3960</v>
      </c>
      <c r="AC208" s="80">
        <v>3715</v>
      </c>
      <c r="AD208" s="80">
        <v>3380</v>
      </c>
      <c r="AE208" s="80">
        <v>2870</v>
      </c>
      <c r="AF208" s="79">
        <f t="shared" si="30"/>
        <v>0</v>
      </c>
      <c r="AG208" s="79" t="str">
        <f t="shared" si="31"/>
        <v>肾上腺全切费</v>
      </c>
      <c r="AH208" s="79">
        <f t="shared" si="27"/>
        <v>3780</v>
      </c>
      <c r="AI208" s="79">
        <f t="shared" si="28"/>
        <v>3430</v>
      </c>
      <c r="AJ208" s="79">
        <f t="shared" si="29"/>
        <v>2930</v>
      </c>
    </row>
    <row r="209" ht="28" customHeight="1" spans="1:36">
      <c r="A209" s="47" t="s">
        <v>81</v>
      </c>
      <c r="B209" s="47" t="s">
        <v>734</v>
      </c>
      <c r="C209" s="47" t="s">
        <v>735</v>
      </c>
      <c r="D209" s="47" t="s">
        <v>213</v>
      </c>
      <c r="E209" s="47"/>
      <c r="F209" s="47"/>
      <c r="G209" s="47" t="s">
        <v>48</v>
      </c>
      <c r="H209" s="47"/>
      <c r="I209" s="56">
        <v>1089</v>
      </c>
      <c r="J209" s="56">
        <v>980</v>
      </c>
      <c r="K209" s="58"/>
      <c r="L209" s="58"/>
      <c r="M209" s="58"/>
      <c r="N209" s="64">
        <v>975</v>
      </c>
      <c r="O209" s="64">
        <v>890</v>
      </c>
      <c r="P209" s="64">
        <v>750</v>
      </c>
      <c r="Q209" s="44" t="s">
        <v>54</v>
      </c>
      <c r="R209" s="69"/>
      <c r="S209" s="44" t="s">
        <v>715</v>
      </c>
      <c r="T209" s="43" t="s">
        <v>716</v>
      </c>
      <c r="U209" s="71">
        <v>330300022</v>
      </c>
      <c r="V209" s="43" t="s">
        <v>717</v>
      </c>
      <c r="W209" s="43" t="s">
        <v>43</v>
      </c>
      <c r="X209" s="71" t="s">
        <v>43</v>
      </c>
      <c r="Y209" s="71" t="s">
        <v>48</v>
      </c>
      <c r="Z209" s="48" t="s">
        <v>43</v>
      </c>
      <c r="AA209" s="75">
        <v>4800</v>
      </c>
      <c r="AB209" s="75">
        <v>4320</v>
      </c>
      <c r="AC209" s="80">
        <v>4130</v>
      </c>
      <c r="AD209" s="80">
        <v>3720</v>
      </c>
      <c r="AE209" s="80">
        <v>3160</v>
      </c>
      <c r="AF209" s="79">
        <f t="shared" si="30"/>
        <v>18</v>
      </c>
      <c r="AG209" s="79" t="str">
        <f t="shared" si="31"/>
        <v>肾上腺全切费</v>
      </c>
      <c r="AH209" s="79">
        <f t="shared" si="27"/>
        <v>4755</v>
      </c>
      <c r="AI209" s="79">
        <f t="shared" si="28"/>
        <v>4320</v>
      </c>
      <c r="AJ209" s="79">
        <f t="shared" si="29"/>
        <v>3680</v>
      </c>
    </row>
    <row r="210" ht="28" customHeight="1" spans="1:36">
      <c r="A210" s="47" t="s">
        <v>81</v>
      </c>
      <c r="B210" s="47" t="s">
        <v>734</v>
      </c>
      <c r="C210" s="47" t="s">
        <v>735</v>
      </c>
      <c r="D210" s="47" t="s">
        <v>213</v>
      </c>
      <c r="E210" s="47"/>
      <c r="F210" s="47"/>
      <c r="G210" s="47" t="s">
        <v>48</v>
      </c>
      <c r="H210" s="47"/>
      <c r="I210" s="56">
        <v>1089</v>
      </c>
      <c r="J210" s="56">
        <v>980</v>
      </c>
      <c r="K210" s="58"/>
      <c r="L210" s="58"/>
      <c r="M210" s="58"/>
      <c r="N210" s="64">
        <v>975</v>
      </c>
      <c r="O210" s="64">
        <v>890</v>
      </c>
      <c r="P210" s="64">
        <v>750</v>
      </c>
      <c r="Q210" s="44" t="s">
        <v>54</v>
      </c>
      <c r="R210" s="69"/>
      <c r="S210" s="44" t="s">
        <v>715</v>
      </c>
      <c r="T210" s="45" t="s">
        <v>718</v>
      </c>
      <c r="U210" s="71">
        <v>33030002202</v>
      </c>
      <c r="V210" s="43" t="s">
        <v>719</v>
      </c>
      <c r="W210" s="43" t="s">
        <v>43</v>
      </c>
      <c r="X210" s="71" t="s">
        <v>43</v>
      </c>
      <c r="Y210" s="71" t="s">
        <v>48</v>
      </c>
      <c r="Z210" s="48" t="s">
        <v>43</v>
      </c>
      <c r="AA210" s="75">
        <v>5600</v>
      </c>
      <c r="AB210" s="75">
        <v>5040</v>
      </c>
      <c r="AC210" s="80">
        <v>4755</v>
      </c>
      <c r="AD210" s="80">
        <v>4320</v>
      </c>
      <c r="AE210" s="80">
        <v>3670</v>
      </c>
      <c r="AF210" s="79">
        <f t="shared" si="30"/>
        <v>18</v>
      </c>
      <c r="AG210" s="79" t="str">
        <f t="shared" si="31"/>
        <v>肾上腺全切费</v>
      </c>
      <c r="AH210" s="79">
        <f t="shared" si="27"/>
        <v>4755</v>
      </c>
      <c r="AI210" s="79">
        <f t="shared" si="28"/>
        <v>4320</v>
      </c>
      <c r="AJ210" s="79">
        <f t="shared" si="29"/>
        <v>3680</v>
      </c>
    </row>
    <row r="211" ht="29" customHeight="1" spans="1:36">
      <c r="A211" s="81" t="s">
        <v>81</v>
      </c>
      <c r="B211" s="81" t="s">
        <v>736</v>
      </c>
      <c r="C211" s="81" t="s">
        <v>737</v>
      </c>
      <c r="D211" s="81" t="s">
        <v>213</v>
      </c>
      <c r="E211" s="81"/>
      <c r="F211" s="81"/>
      <c r="G211" s="81" t="s">
        <v>48</v>
      </c>
      <c r="H211" s="81"/>
      <c r="I211" s="56">
        <v>1270</v>
      </c>
      <c r="J211" s="56">
        <v>1143</v>
      </c>
      <c r="K211" s="54"/>
      <c r="L211" s="54"/>
      <c r="M211" s="54"/>
      <c r="N211" s="64">
        <v>1135</v>
      </c>
      <c r="O211" s="64">
        <v>1030</v>
      </c>
      <c r="P211" s="64">
        <v>880</v>
      </c>
      <c r="Q211" s="44" t="s">
        <v>54</v>
      </c>
      <c r="R211" s="69"/>
      <c r="S211" s="44" t="s">
        <v>446</v>
      </c>
      <c r="T211" s="45" t="s">
        <v>722</v>
      </c>
      <c r="U211" s="45">
        <v>33030002101</v>
      </c>
      <c r="V211" s="45" t="s">
        <v>723</v>
      </c>
      <c r="W211" s="43" t="s">
        <v>43</v>
      </c>
      <c r="X211" s="71" t="s">
        <v>43</v>
      </c>
      <c r="Y211" s="71" t="s">
        <v>48</v>
      </c>
      <c r="Z211" s="48" t="s">
        <v>43</v>
      </c>
      <c r="AA211" s="75">
        <v>4680</v>
      </c>
      <c r="AB211" s="75">
        <v>4210</v>
      </c>
      <c r="AC211" s="80">
        <v>4015</v>
      </c>
      <c r="AD211" s="80">
        <v>3615</v>
      </c>
      <c r="AE211" s="80">
        <v>3075</v>
      </c>
      <c r="AF211" s="79">
        <f t="shared" si="30"/>
        <v>10</v>
      </c>
      <c r="AG211" s="79" t="str">
        <f t="shared" si="31"/>
        <v>肾上腺全切费</v>
      </c>
      <c r="AH211" s="79">
        <f t="shared" si="27"/>
        <v>4915</v>
      </c>
      <c r="AI211" s="79">
        <f t="shared" si="28"/>
        <v>4460</v>
      </c>
      <c r="AJ211" s="79">
        <f t="shared" si="29"/>
        <v>3810</v>
      </c>
    </row>
    <row r="212" ht="29" customHeight="1" spans="1:36">
      <c r="A212" s="81" t="s">
        <v>81</v>
      </c>
      <c r="B212" s="81" t="s">
        <v>736</v>
      </c>
      <c r="C212" s="81" t="s">
        <v>737</v>
      </c>
      <c r="D212" s="81" t="s">
        <v>213</v>
      </c>
      <c r="E212" s="81"/>
      <c r="F212" s="81"/>
      <c r="G212" s="81" t="s">
        <v>48</v>
      </c>
      <c r="H212" s="81"/>
      <c r="I212" s="56">
        <v>1270</v>
      </c>
      <c r="J212" s="56">
        <v>1143</v>
      </c>
      <c r="K212" s="54"/>
      <c r="L212" s="54"/>
      <c r="M212" s="54"/>
      <c r="N212" s="64">
        <v>1135</v>
      </c>
      <c r="O212" s="64">
        <v>1030</v>
      </c>
      <c r="P212" s="64">
        <v>880</v>
      </c>
      <c r="Q212" s="44" t="s">
        <v>54</v>
      </c>
      <c r="R212" s="69"/>
      <c r="S212" s="44" t="s">
        <v>446</v>
      </c>
      <c r="T212" s="45" t="s">
        <v>724</v>
      </c>
      <c r="U212" s="45">
        <v>33030002103</v>
      </c>
      <c r="V212" s="45" t="s">
        <v>725</v>
      </c>
      <c r="W212" s="43" t="s">
        <v>43</v>
      </c>
      <c r="X212" s="71" t="s">
        <v>43</v>
      </c>
      <c r="Y212" s="71" t="s">
        <v>48</v>
      </c>
      <c r="Z212" s="48" t="s">
        <v>43</v>
      </c>
      <c r="AA212" s="75">
        <v>5480</v>
      </c>
      <c r="AB212" s="75">
        <v>4930</v>
      </c>
      <c r="AC212" s="80">
        <v>4640</v>
      </c>
      <c r="AD212" s="80">
        <v>4215</v>
      </c>
      <c r="AE212" s="80">
        <v>3585</v>
      </c>
      <c r="AF212" s="79">
        <f t="shared" si="30"/>
        <v>10</v>
      </c>
      <c r="AG212" s="79" t="str">
        <f t="shared" si="31"/>
        <v>肾上腺全切费</v>
      </c>
      <c r="AH212" s="79">
        <f t="shared" si="27"/>
        <v>4915</v>
      </c>
      <c r="AI212" s="79">
        <f t="shared" si="28"/>
        <v>4460</v>
      </c>
      <c r="AJ212" s="79">
        <f t="shared" si="29"/>
        <v>3810</v>
      </c>
    </row>
    <row r="213" ht="29" customHeight="1" spans="1:36">
      <c r="A213" s="81" t="s">
        <v>81</v>
      </c>
      <c r="B213" s="81" t="s">
        <v>736</v>
      </c>
      <c r="C213" s="81" t="s">
        <v>737</v>
      </c>
      <c r="D213" s="81" t="s">
        <v>213</v>
      </c>
      <c r="E213" s="81"/>
      <c r="F213" s="81"/>
      <c r="G213" s="81" t="s">
        <v>48</v>
      </c>
      <c r="H213" s="81"/>
      <c r="I213" s="56">
        <v>1270</v>
      </c>
      <c r="J213" s="56">
        <v>1143</v>
      </c>
      <c r="K213" s="54"/>
      <c r="L213" s="54"/>
      <c r="M213" s="54"/>
      <c r="N213" s="64">
        <v>1135</v>
      </c>
      <c r="O213" s="64">
        <v>1030</v>
      </c>
      <c r="P213" s="64">
        <v>880</v>
      </c>
      <c r="Q213" s="44" t="s">
        <v>54</v>
      </c>
      <c r="R213" s="69"/>
      <c r="S213" s="44" t="s">
        <v>446</v>
      </c>
      <c r="T213" s="45" t="s">
        <v>726</v>
      </c>
      <c r="U213" s="45">
        <v>33030002201</v>
      </c>
      <c r="V213" s="45" t="s">
        <v>727</v>
      </c>
      <c r="W213" s="43" t="s">
        <v>43</v>
      </c>
      <c r="X213" s="71" t="s">
        <v>43</v>
      </c>
      <c r="Y213" s="71" t="s">
        <v>48</v>
      </c>
      <c r="Z213" s="48" t="s">
        <v>43</v>
      </c>
      <c r="AA213" s="75">
        <v>6240</v>
      </c>
      <c r="AB213" s="75">
        <v>5615</v>
      </c>
      <c r="AC213" s="80">
        <v>5370</v>
      </c>
      <c r="AD213" s="80">
        <v>4835</v>
      </c>
      <c r="AE213" s="80">
        <v>4110</v>
      </c>
      <c r="AF213" s="79">
        <f t="shared" si="30"/>
        <v>10</v>
      </c>
      <c r="AG213" s="79" t="str">
        <f t="shared" si="31"/>
        <v>肾上腺全切费</v>
      </c>
      <c r="AH213" s="79">
        <f t="shared" si="27"/>
        <v>4915</v>
      </c>
      <c r="AI213" s="79">
        <f t="shared" si="28"/>
        <v>4460</v>
      </c>
      <c r="AJ213" s="79">
        <f t="shared" si="29"/>
        <v>3810</v>
      </c>
    </row>
    <row r="214" ht="29" customHeight="1" spans="1:36">
      <c r="A214" s="81" t="s">
        <v>81</v>
      </c>
      <c r="B214" s="81" t="s">
        <v>736</v>
      </c>
      <c r="C214" s="81" t="s">
        <v>737</v>
      </c>
      <c r="D214" s="81" t="s">
        <v>213</v>
      </c>
      <c r="E214" s="81"/>
      <c r="F214" s="81"/>
      <c r="G214" s="81" t="s">
        <v>48</v>
      </c>
      <c r="H214" s="81"/>
      <c r="I214" s="56">
        <v>1270</v>
      </c>
      <c r="J214" s="56">
        <v>1143</v>
      </c>
      <c r="K214" s="54"/>
      <c r="L214" s="54"/>
      <c r="M214" s="54"/>
      <c r="N214" s="64">
        <v>1135</v>
      </c>
      <c r="O214" s="64">
        <v>1030</v>
      </c>
      <c r="P214" s="64">
        <v>880</v>
      </c>
      <c r="Q214" s="44" t="s">
        <v>54</v>
      </c>
      <c r="R214" s="69"/>
      <c r="S214" s="44" t="s">
        <v>446</v>
      </c>
      <c r="T214" s="45" t="s">
        <v>728</v>
      </c>
      <c r="U214" s="45">
        <v>33030002203</v>
      </c>
      <c r="V214" s="45" t="s">
        <v>729</v>
      </c>
      <c r="W214" s="43" t="s">
        <v>43</v>
      </c>
      <c r="X214" s="71" t="s">
        <v>43</v>
      </c>
      <c r="Y214" s="71" t="s">
        <v>48</v>
      </c>
      <c r="Z214" s="48" t="s">
        <v>43</v>
      </c>
      <c r="AA214" s="75">
        <v>7040</v>
      </c>
      <c r="AB214" s="75">
        <v>6335</v>
      </c>
      <c r="AC214" s="80">
        <v>5995</v>
      </c>
      <c r="AD214" s="80">
        <v>5435</v>
      </c>
      <c r="AE214" s="80">
        <v>4620</v>
      </c>
      <c r="AF214" s="79">
        <f t="shared" si="30"/>
        <v>10</v>
      </c>
      <c r="AG214" s="79" t="str">
        <f t="shared" si="31"/>
        <v>肾上腺全切费</v>
      </c>
      <c r="AH214" s="79">
        <f t="shared" si="27"/>
        <v>4915</v>
      </c>
      <c r="AI214" s="79">
        <f t="shared" si="28"/>
        <v>4460</v>
      </c>
      <c r="AJ214" s="79">
        <f t="shared" si="29"/>
        <v>3810</v>
      </c>
    </row>
    <row r="215" ht="78" customHeight="1" spans="1:36">
      <c r="A215" s="46">
        <v>48</v>
      </c>
      <c r="B215" s="46" t="s">
        <v>738</v>
      </c>
      <c r="C215" s="46" t="s">
        <v>739</v>
      </c>
      <c r="D215" s="46" t="s">
        <v>213</v>
      </c>
      <c r="E215" s="50" t="s">
        <v>740</v>
      </c>
      <c r="F215" s="50" t="s">
        <v>741</v>
      </c>
      <c r="G215" s="46" t="s">
        <v>40</v>
      </c>
      <c r="H215" s="50" t="s">
        <v>43</v>
      </c>
      <c r="I215" s="53">
        <v>5520</v>
      </c>
      <c r="J215" s="53">
        <v>4968</v>
      </c>
      <c r="K215" s="58"/>
      <c r="L215" s="58"/>
      <c r="M215" s="58"/>
      <c r="N215" s="63">
        <v>5000</v>
      </c>
      <c r="O215" s="63">
        <v>4500</v>
      </c>
      <c r="P215" s="63">
        <v>3850</v>
      </c>
      <c r="Q215" s="45" t="s">
        <v>54</v>
      </c>
      <c r="R215" s="69" t="s">
        <v>416</v>
      </c>
      <c r="S215" s="49" t="s">
        <v>742</v>
      </c>
      <c r="T215" s="43" t="s">
        <v>743</v>
      </c>
      <c r="U215" s="71">
        <v>330300025</v>
      </c>
      <c r="V215" s="43" t="s">
        <v>744</v>
      </c>
      <c r="W215" s="43" t="s">
        <v>745</v>
      </c>
      <c r="X215" s="71" t="s">
        <v>43</v>
      </c>
      <c r="Y215" s="71" t="s">
        <v>40</v>
      </c>
      <c r="Z215" s="48" t="s">
        <v>43</v>
      </c>
      <c r="AA215" s="75">
        <v>5520</v>
      </c>
      <c r="AB215" s="75">
        <v>4970</v>
      </c>
      <c r="AC215" s="80">
        <v>4740</v>
      </c>
      <c r="AD215" s="80">
        <v>4270</v>
      </c>
      <c r="AE215" s="80">
        <v>3630</v>
      </c>
      <c r="AF215" s="79">
        <f t="shared" si="30"/>
        <v>0</v>
      </c>
      <c r="AG215" s="79" t="str">
        <f t="shared" si="31"/>
        <v>肾上腺移植费</v>
      </c>
      <c r="AH215" s="79">
        <f t="shared" si="27"/>
        <v>5000</v>
      </c>
      <c r="AI215" s="79">
        <f t="shared" si="28"/>
        <v>4500</v>
      </c>
      <c r="AJ215" s="79">
        <f t="shared" si="29"/>
        <v>3850</v>
      </c>
    </row>
    <row r="216" ht="51" customHeight="1" spans="1:36">
      <c r="A216" s="46" t="s">
        <v>81</v>
      </c>
      <c r="B216" s="46" t="s">
        <v>746</v>
      </c>
      <c r="C216" s="46" t="s">
        <v>747</v>
      </c>
      <c r="D216" s="46" t="s">
        <v>213</v>
      </c>
      <c r="E216" s="50" t="s">
        <v>43</v>
      </c>
      <c r="F216" s="50" t="s">
        <v>43</v>
      </c>
      <c r="G216" s="46" t="s">
        <v>40</v>
      </c>
      <c r="H216" s="50" t="s">
        <v>43</v>
      </c>
      <c r="I216" s="53">
        <v>1656</v>
      </c>
      <c r="J216" s="53">
        <v>1490</v>
      </c>
      <c r="K216" s="55"/>
      <c r="L216" s="55"/>
      <c r="M216" s="55"/>
      <c r="N216" s="63">
        <v>1500</v>
      </c>
      <c r="O216" s="63">
        <v>1350</v>
      </c>
      <c r="P216" s="63">
        <v>1155</v>
      </c>
      <c r="Q216" s="45" t="s">
        <v>54</v>
      </c>
      <c r="R216" s="69"/>
      <c r="S216" s="49" t="s">
        <v>446</v>
      </c>
      <c r="T216" s="45" t="s">
        <v>748</v>
      </c>
      <c r="U216" s="45">
        <v>33030002501</v>
      </c>
      <c r="V216" s="45" t="s">
        <v>749</v>
      </c>
      <c r="W216" s="43" t="s">
        <v>43</v>
      </c>
      <c r="X216" s="71" t="s">
        <v>43</v>
      </c>
      <c r="Y216" s="71" t="s">
        <v>40</v>
      </c>
      <c r="Z216" s="48" t="s">
        <v>43</v>
      </c>
      <c r="AA216" s="75">
        <v>7175</v>
      </c>
      <c r="AB216" s="75">
        <v>6460</v>
      </c>
      <c r="AC216" s="80">
        <v>6160</v>
      </c>
      <c r="AD216" s="80">
        <v>5550</v>
      </c>
      <c r="AE216" s="80">
        <v>4720</v>
      </c>
      <c r="AF216" s="79">
        <f t="shared" si="30"/>
        <v>10</v>
      </c>
      <c r="AG216" s="79" t="str">
        <f t="shared" si="31"/>
        <v>肾上腺移植费</v>
      </c>
      <c r="AH216" s="79">
        <f t="shared" si="27"/>
        <v>6500</v>
      </c>
      <c r="AI216" s="79">
        <f t="shared" si="28"/>
        <v>5850</v>
      </c>
      <c r="AJ216" s="79">
        <f t="shared" si="29"/>
        <v>5005</v>
      </c>
    </row>
    <row r="217" ht="20" customHeight="1" spans="1:36">
      <c r="A217" s="44">
        <v>49</v>
      </c>
      <c r="B217" s="44" t="s">
        <v>752</v>
      </c>
      <c r="C217" s="44" t="s">
        <v>753</v>
      </c>
      <c r="D217" s="44" t="s">
        <v>213</v>
      </c>
      <c r="E217" s="44" t="s">
        <v>754</v>
      </c>
      <c r="F217" s="44" t="s">
        <v>755</v>
      </c>
      <c r="G217" s="44" t="s">
        <v>40</v>
      </c>
      <c r="H217" s="44"/>
      <c r="I217" s="56">
        <v>3206</v>
      </c>
      <c r="J217" s="56">
        <v>2885</v>
      </c>
      <c r="K217" s="59">
        <v>2677.35576923077</v>
      </c>
      <c r="L217" s="59">
        <v>2455.32051282051</v>
      </c>
      <c r="M217" s="59">
        <v>2137.5</v>
      </c>
      <c r="N217" s="64">
        <v>2900</v>
      </c>
      <c r="O217" s="64">
        <v>2600</v>
      </c>
      <c r="P217" s="64">
        <v>2250</v>
      </c>
      <c r="Q217" s="44" t="s">
        <v>54</v>
      </c>
      <c r="R217" s="70" t="s">
        <v>416</v>
      </c>
      <c r="S217" s="44" t="s">
        <v>756</v>
      </c>
      <c r="T217" s="43" t="s">
        <v>757</v>
      </c>
      <c r="U217" s="71">
        <v>331102009</v>
      </c>
      <c r="V217" s="43" t="s">
        <v>758</v>
      </c>
      <c r="W217" s="43" t="s">
        <v>43</v>
      </c>
      <c r="X217" s="71" t="s">
        <v>43</v>
      </c>
      <c r="Y217" s="71" t="s">
        <v>40</v>
      </c>
      <c r="Z217" s="48" t="s">
        <v>43</v>
      </c>
      <c r="AA217" s="75">
        <v>2500</v>
      </c>
      <c r="AB217" s="75">
        <v>2240</v>
      </c>
      <c r="AC217" s="80">
        <v>2375</v>
      </c>
      <c r="AD217" s="80">
        <v>2140</v>
      </c>
      <c r="AE217" s="80">
        <v>1710</v>
      </c>
      <c r="AF217" s="79">
        <f t="shared" si="30"/>
        <v>0</v>
      </c>
      <c r="AG217" s="79" t="str">
        <f t="shared" si="31"/>
        <v>输尿管部分切除费</v>
      </c>
      <c r="AH217" s="79">
        <f t="shared" ref="AH217:AH280" si="32">IF(AF217&gt;0,_xlfn.MAXIFS(N:N,C:C,AG217),0)+N217</f>
        <v>2900</v>
      </c>
      <c r="AI217" s="79">
        <f t="shared" ref="AI217:AI280" si="33">IF(AF217&gt;0,_xlfn.MAXIFS(O:O,C:C,AG217),0)+O217</f>
        <v>2600</v>
      </c>
      <c r="AJ217" s="79">
        <f t="shared" ref="AJ217:AJ280" si="34">IF(AF217&gt;0,_xlfn.MAXIFS(P:P,C:C,AG217),0)+P217</f>
        <v>2250</v>
      </c>
    </row>
    <row r="218" ht="20" customHeight="1" spans="1:36">
      <c r="A218" s="44">
        <v>49</v>
      </c>
      <c r="B218" s="44" t="s">
        <v>752</v>
      </c>
      <c r="C218" s="44" t="s">
        <v>753</v>
      </c>
      <c r="D218" s="44" t="s">
        <v>213</v>
      </c>
      <c r="E218" s="44" t="s">
        <v>754</v>
      </c>
      <c r="F218" s="44" t="s">
        <v>755</v>
      </c>
      <c r="G218" s="44" t="s">
        <v>40</v>
      </c>
      <c r="H218" s="44"/>
      <c r="I218" s="56">
        <v>3206</v>
      </c>
      <c r="J218" s="56">
        <v>2885</v>
      </c>
      <c r="K218" s="59">
        <v>2677.35576923077</v>
      </c>
      <c r="L218" s="59">
        <v>2455.32051282051</v>
      </c>
      <c r="M218" s="59">
        <v>2137.5</v>
      </c>
      <c r="N218" s="64">
        <v>2900</v>
      </c>
      <c r="O218" s="64">
        <v>2600</v>
      </c>
      <c r="P218" s="64">
        <v>2250</v>
      </c>
      <c r="Q218" s="44" t="s">
        <v>54</v>
      </c>
      <c r="R218" s="70" t="s">
        <v>416</v>
      </c>
      <c r="S218" s="44" t="s">
        <v>756</v>
      </c>
      <c r="T218" s="43" t="s">
        <v>759</v>
      </c>
      <c r="U218" s="71">
        <v>33110200902</v>
      </c>
      <c r="V218" s="43" t="s">
        <v>760</v>
      </c>
      <c r="W218" s="43" t="s">
        <v>43</v>
      </c>
      <c r="X218" s="71" t="s">
        <v>43</v>
      </c>
      <c r="Y218" s="71" t="s">
        <v>40</v>
      </c>
      <c r="Z218" s="48" t="s">
        <v>43</v>
      </c>
      <c r="AA218" s="75">
        <v>3300</v>
      </c>
      <c r="AB218" s="75">
        <v>2960</v>
      </c>
      <c r="AC218" s="80">
        <v>3000</v>
      </c>
      <c r="AD218" s="80">
        <v>2740</v>
      </c>
      <c r="AE218" s="80">
        <v>2220</v>
      </c>
      <c r="AF218" s="79">
        <f t="shared" si="30"/>
        <v>0</v>
      </c>
      <c r="AG218" s="79" t="str">
        <f t="shared" si="31"/>
        <v>输尿管部分切除费</v>
      </c>
      <c r="AH218" s="79">
        <f t="shared" si="32"/>
        <v>2900</v>
      </c>
      <c r="AI218" s="79">
        <f t="shared" si="33"/>
        <v>2600</v>
      </c>
      <c r="AJ218" s="79">
        <f t="shared" si="34"/>
        <v>2250</v>
      </c>
    </row>
    <row r="219" ht="20" customHeight="1" spans="1:36">
      <c r="A219" s="44">
        <v>49</v>
      </c>
      <c r="B219" s="44" t="s">
        <v>752</v>
      </c>
      <c r="C219" s="44" t="s">
        <v>753</v>
      </c>
      <c r="D219" s="44" t="s">
        <v>213</v>
      </c>
      <c r="E219" s="44" t="s">
        <v>754</v>
      </c>
      <c r="F219" s="44" t="s">
        <v>755</v>
      </c>
      <c r="G219" s="44" t="s">
        <v>40</v>
      </c>
      <c r="H219" s="44"/>
      <c r="I219" s="56">
        <v>3206</v>
      </c>
      <c r="J219" s="56">
        <v>2885</v>
      </c>
      <c r="K219" s="59">
        <v>2677.35576923077</v>
      </c>
      <c r="L219" s="59">
        <v>2455.32051282051</v>
      </c>
      <c r="M219" s="59">
        <v>2137.5</v>
      </c>
      <c r="N219" s="64">
        <v>2900</v>
      </c>
      <c r="O219" s="64">
        <v>2600</v>
      </c>
      <c r="P219" s="64">
        <v>2250</v>
      </c>
      <c r="Q219" s="44" t="s">
        <v>54</v>
      </c>
      <c r="R219" s="70" t="s">
        <v>416</v>
      </c>
      <c r="S219" s="44" t="s">
        <v>756</v>
      </c>
      <c r="T219" s="43" t="s">
        <v>761</v>
      </c>
      <c r="U219" s="71">
        <v>331102012</v>
      </c>
      <c r="V219" s="43" t="s">
        <v>762</v>
      </c>
      <c r="W219" s="43" t="s">
        <v>43</v>
      </c>
      <c r="X219" s="71" t="s">
        <v>43</v>
      </c>
      <c r="Y219" s="71" t="s">
        <v>40</v>
      </c>
      <c r="Z219" s="48" t="s">
        <v>43</v>
      </c>
      <c r="AA219" s="75">
        <v>2110</v>
      </c>
      <c r="AB219" s="75">
        <v>1900</v>
      </c>
      <c r="AC219" s="80">
        <v>1860</v>
      </c>
      <c r="AD219" s="80">
        <v>1670</v>
      </c>
      <c r="AE219" s="80">
        <v>1420</v>
      </c>
      <c r="AF219" s="79">
        <f t="shared" si="30"/>
        <v>0</v>
      </c>
      <c r="AG219" s="79" t="str">
        <f t="shared" si="31"/>
        <v>输尿管部分切除费</v>
      </c>
      <c r="AH219" s="79">
        <f t="shared" si="32"/>
        <v>2900</v>
      </c>
      <c r="AI219" s="79">
        <f t="shared" si="33"/>
        <v>2600</v>
      </c>
      <c r="AJ219" s="79">
        <f t="shared" si="34"/>
        <v>2250</v>
      </c>
    </row>
    <row r="220" ht="20" customHeight="1" spans="1:36">
      <c r="A220" s="44">
        <v>49</v>
      </c>
      <c r="B220" s="44" t="s">
        <v>752</v>
      </c>
      <c r="C220" s="44" t="s">
        <v>753</v>
      </c>
      <c r="D220" s="44" t="s">
        <v>213</v>
      </c>
      <c r="E220" s="44" t="s">
        <v>754</v>
      </c>
      <c r="F220" s="44" t="s">
        <v>755</v>
      </c>
      <c r="G220" s="44" t="s">
        <v>40</v>
      </c>
      <c r="H220" s="44"/>
      <c r="I220" s="56">
        <v>3206</v>
      </c>
      <c r="J220" s="56">
        <v>2885</v>
      </c>
      <c r="K220" s="59">
        <v>2677.35576923077</v>
      </c>
      <c r="L220" s="59">
        <v>2455.32051282051</v>
      </c>
      <c r="M220" s="59">
        <v>2137.5</v>
      </c>
      <c r="N220" s="64">
        <v>2900</v>
      </c>
      <c r="O220" s="64">
        <v>2600</v>
      </c>
      <c r="P220" s="64">
        <v>2250</v>
      </c>
      <c r="Q220" s="44" t="s">
        <v>54</v>
      </c>
      <c r="R220" s="70" t="s">
        <v>416</v>
      </c>
      <c r="S220" s="44" t="s">
        <v>756</v>
      </c>
      <c r="T220" s="43" t="s">
        <v>763</v>
      </c>
      <c r="U220" s="71">
        <v>33110201202</v>
      </c>
      <c r="V220" s="43" t="s">
        <v>764</v>
      </c>
      <c r="W220" s="43" t="s">
        <v>43</v>
      </c>
      <c r="X220" s="71" t="s">
        <v>43</v>
      </c>
      <c r="Y220" s="71" t="s">
        <v>40</v>
      </c>
      <c r="Z220" s="48" t="s">
        <v>43</v>
      </c>
      <c r="AA220" s="75">
        <v>2910</v>
      </c>
      <c r="AB220" s="75">
        <v>2620</v>
      </c>
      <c r="AC220" s="80">
        <v>2485</v>
      </c>
      <c r="AD220" s="80">
        <v>2270</v>
      </c>
      <c r="AE220" s="80">
        <v>1930</v>
      </c>
      <c r="AF220" s="79">
        <f t="shared" si="30"/>
        <v>0</v>
      </c>
      <c r="AG220" s="79" t="str">
        <f t="shared" si="31"/>
        <v>输尿管部分切除费</v>
      </c>
      <c r="AH220" s="79">
        <f t="shared" si="32"/>
        <v>2900</v>
      </c>
      <c r="AI220" s="79">
        <f t="shared" si="33"/>
        <v>2600</v>
      </c>
      <c r="AJ220" s="79">
        <f t="shared" si="34"/>
        <v>2250</v>
      </c>
    </row>
    <row r="221" ht="20" customHeight="1" spans="1:36">
      <c r="A221" s="44">
        <v>49</v>
      </c>
      <c r="B221" s="44" t="s">
        <v>752</v>
      </c>
      <c r="C221" s="44" t="s">
        <v>753</v>
      </c>
      <c r="D221" s="44" t="s">
        <v>213</v>
      </c>
      <c r="E221" s="44" t="s">
        <v>754</v>
      </c>
      <c r="F221" s="44" t="s">
        <v>755</v>
      </c>
      <c r="G221" s="44" t="s">
        <v>40</v>
      </c>
      <c r="H221" s="44"/>
      <c r="I221" s="56">
        <v>3206</v>
      </c>
      <c r="J221" s="56">
        <v>2885</v>
      </c>
      <c r="K221" s="59">
        <v>2677.35576923077</v>
      </c>
      <c r="L221" s="59">
        <v>2455.32051282051</v>
      </c>
      <c r="M221" s="59">
        <v>2137.5</v>
      </c>
      <c r="N221" s="64">
        <v>2900</v>
      </c>
      <c r="O221" s="64">
        <v>2600</v>
      </c>
      <c r="P221" s="64">
        <v>2250</v>
      </c>
      <c r="Q221" s="44" t="s">
        <v>54</v>
      </c>
      <c r="R221" s="70" t="s">
        <v>416</v>
      </c>
      <c r="S221" s="44" t="s">
        <v>756</v>
      </c>
      <c r="T221" s="43" t="s">
        <v>765</v>
      </c>
      <c r="U221" s="71">
        <v>331102004</v>
      </c>
      <c r="V221" s="73" t="s">
        <v>766</v>
      </c>
      <c r="W221" s="43" t="s">
        <v>43</v>
      </c>
      <c r="X221" s="71" t="s">
        <v>43</v>
      </c>
      <c r="Y221" s="71" t="s">
        <v>40</v>
      </c>
      <c r="Z221" s="48" t="s">
        <v>43</v>
      </c>
      <c r="AA221" s="75">
        <v>3070</v>
      </c>
      <c r="AB221" s="75">
        <v>2760</v>
      </c>
      <c r="AC221" s="80">
        <v>2700</v>
      </c>
      <c r="AD221" s="80">
        <v>2430</v>
      </c>
      <c r="AE221" s="80">
        <v>2070</v>
      </c>
      <c r="AF221" s="79">
        <f t="shared" si="30"/>
        <v>0</v>
      </c>
      <c r="AG221" s="79" t="str">
        <f t="shared" si="31"/>
        <v>输尿管部分切除费</v>
      </c>
      <c r="AH221" s="79">
        <f t="shared" si="32"/>
        <v>2900</v>
      </c>
      <c r="AI221" s="79">
        <f t="shared" si="33"/>
        <v>2600</v>
      </c>
      <c r="AJ221" s="79">
        <f t="shared" si="34"/>
        <v>2250</v>
      </c>
    </row>
    <row r="222" ht="20" customHeight="1" spans="1:36">
      <c r="A222" s="44">
        <v>49</v>
      </c>
      <c r="B222" s="44" t="s">
        <v>752</v>
      </c>
      <c r="C222" s="44" t="s">
        <v>753</v>
      </c>
      <c r="D222" s="44" t="s">
        <v>213</v>
      </c>
      <c r="E222" s="44" t="s">
        <v>754</v>
      </c>
      <c r="F222" s="44" t="s">
        <v>755</v>
      </c>
      <c r="G222" s="44" t="s">
        <v>40</v>
      </c>
      <c r="H222" s="44"/>
      <c r="I222" s="56">
        <v>3206</v>
      </c>
      <c r="J222" s="56">
        <v>2885</v>
      </c>
      <c r="K222" s="59">
        <v>2677.35576923077</v>
      </c>
      <c r="L222" s="59">
        <v>2455.32051282051</v>
      </c>
      <c r="M222" s="59">
        <v>2137.5</v>
      </c>
      <c r="N222" s="64">
        <v>2900</v>
      </c>
      <c r="O222" s="64">
        <v>2600</v>
      </c>
      <c r="P222" s="64">
        <v>2250</v>
      </c>
      <c r="Q222" s="44" t="s">
        <v>54</v>
      </c>
      <c r="R222" s="70" t="s">
        <v>416</v>
      </c>
      <c r="S222" s="44" t="s">
        <v>756</v>
      </c>
      <c r="T222" s="45" t="s">
        <v>767</v>
      </c>
      <c r="U222" s="71">
        <v>33110200402</v>
      </c>
      <c r="V222" s="73" t="s">
        <v>768</v>
      </c>
      <c r="W222" s="43" t="s">
        <v>43</v>
      </c>
      <c r="X222" s="71" t="s">
        <v>43</v>
      </c>
      <c r="Y222" s="71" t="s">
        <v>40</v>
      </c>
      <c r="Z222" s="48" t="s">
        <v>43</v>
      </c>
      <c r="AA222" s="75">
        <v>3870</v>
      </c>
      <c r="AB222" s="75">
        <v>3480</v>
      </c>
      <c r="AC222" s="80">
        <v>3325</v>
      </c>
      <c r="AD222" s="80">
        <v>3030</v>
      </c>
      <c r="AE222" s="80">
        <v>2580</v>
      </c>
      <c r="AF222" s="79">
        <f t="shared" si="30"/>
        <v>0</v>
      </c>
      <c r="AG222" s="79" t="str">
        <f t="shared" si="31"/>
        <v>输尿管部分切除费</v>
      </c>
      <c r="AH222" s="79">
        <f t="shared" si="32"/>
        <v>2900</v>
      </c>
      <c r="AI222" s="79">
        <f t="shared" si="33"/>
        <v>2600</v>
      </c>
      <c r="AJ222" s="79">
        <f t="shared" si="34"/>
        <v>2250</v>
      </c>
    </row>
    <row r="223" ht="20" customHeight="1" spans="1:36">
      <c r="A223" s="44">
        <v>49</v>
      </c>
      <c r="B223" s="44" t="s">
        <v>752</v>
      </c>
      <c r="C223" s="44" t="s">
        <v>753</v>
      </c>
      <c r="D223" s="44" t="s">
        <v>213</v>
      </c>
      <c r="E223" s="44" t="s">
        <v>754</v>
      </c>
      <c r="F223" s="44" t="s">
        <v>755</v>
      </c>
      <c r="G223" s="44" t="s">
        <v>40</v>
      </c>
      <c r="H223" s="44"/>
      <c r="I223" s="56">
        <v>3206</v>
      </c>
      <c r="J223" s="56">
        <v>2885</v>
      </c>
      <c r="K223" s="59">
        <v>2677.35576923077</v>
      </c>
      <c r="L223" s="59">
        <v>2455.32051282051</v>
      </c>
      <c r="M223" s="59">
        <v>2137.5</v>
      </c>
      <c r="N223" s="64">
        <v>2900</v>
      </c>
      <c r="O223" s="64">
        <v>2600</v>
      </c>
      <c r="P223" s="64">
        <v>2250</v>
      </c>
      <c r="Q223" s="44" t="s">
        <v>54</v>
      </c>
      <c r="R223" s="70" t="s">
        <v>416</v>
      </c>
      <c r="S223" s="44" t="s">
        <v>756</v>
      </c>
      <c r="T223" s="43" t="s">
        <v>769</v>
      </c>
      <c r="U223" s="71">
        <v>331102014</v>
      </c>
      <c r="V223" s="73" t="s">
        <v>770</v>
      </c>
      <c r="W223" s="43" t="s">
        <v>43</v>
      </c>
      <c r="X223" s="71" t="s">
        <v>43</v>
      </c>
      <c r="Y223" s="71" t="s">
        <v>40</v>
      </c>
      <c r="Z223" s="48" t="s">
        <v>43</v>
      </c>
      <c r="AA223" s="75">
        <v>2690</v>
      </c>
      <c r="AB223" s="75">
        <v>2420</v>
      </c>
      <c r="AC223" s="80">
        <v>2360</v>
      </c>
      <c r="AD223" s="80">
        <v>2120</v>
      </c>
      <c r="AE223" s="80">
        <v>1800</v>
      </c>
      <c r="AF223" s="79">
        <f t="shared" si="30"/>
        <v>0</v>
      </c>
      <c r="AG223" s="79" t="str">
        <f t="shared" si="31"/>
        <v>输尿管部分切除费</v>
      </c>
      <c r="AH223" s="79">
        <f t="shared" si="32"/>
        <v>2900</v>
      </c>
      <c r="AI223" s="79">
        <f t="shared" si="33"/>
        <v>2600</v>
      </c>
      <c r="AJ223" s="79">
        <f t="shared" si="34"/>
        <v>2250</v>
      </c>
    </row>
    <row r="224" ht="20" customHeight="1" spans="1:36">
      <c r="A224" s="44">
        <v>49</v>
      </c>
      <c r="B224" s="44" t="s">
        <v>752</v>
      </c>
      <c r="C224" s="44" t="s">
        <v>753</v>
      </c>
      <c r="D224" s="44" t="s">
        <v>213</v>
      </c>
      <c r="E224" s="44" t="s">
        <v>754</v>
      </c>
      <c r="F224" s="44" t="s">
        <v>755</v>
      </c>
      <c r="G224" s="44" t="s">
        <v>40</v>
      </c>
      <c r="H224" s="44"/>
      <c r="I224" s="56">
        <v>3206</v>
      </c>
      <c r="J224" s="56">
        <v>2885</v>
      </c>
      <c r="K224" s="59">
        <v>2677.35576923077</v>
      </c>
      <c r="L224" s="59">
        <v>2455.32051282051</v>
      </c>
      <c r="M224" s="59">
        <v>2137.5</v>
      </c>
      <c r="N224" s="64">
        <v>2900</v>
      </c>
      <c r="O224" s="64">
        <v>2600</v>
      </c>
      <c r="P224" s="64">
        <v>2250</v>
      </c>
      <c r="Q224" s="44" t="s">
        <v>54</v>
      </c>
      <c r="R224" s="70" t="s">
        <v>416</v>
      </c>
      <c r="S224" s="44" t="s">
        <v>756</v>
      </c>
      <c r="T224" s="43" t="s">
        <v>771</v>
      </c>
      <c r="U224" s="71">
        <v>33110201402</v>
      </c>
      <c r="V224" s="73" t="s">
        <v>772</v>
      </c>
      <c r="W224" s="43" t="s">
        <v>43</v>
      </c>
      <c r="X224" s="71" t="s">
        <v>43</v>
      </c>
      <c r="Y224" s="71" t="s">
        <v>40</v>
      </c>
      <c r="Z224" s="48" t="s">
        <v>43</v>
      </c>
      <c r="AA224" s="75">
        <v>3490</v>
      </c>
      <c r="AB224" s="75">
        <v>3140</v>
      </c>
      <c r="AC224" s="80">
        <v>2985</v>
      </c>
      <c r="AD224" s="80">
        <v>2720</v>
      </c>
      <c r="AE224" s="80">
        <v>2310</v>
      </c>
      <c r="AF224" s="79">
        <f t="shared" si="30"/>
        <v>0</v>
      </c>
      <c r="AG224" s="79" t="str">
        <f t="shared" si="31"/>
        <v>输尿管部分切除费</v>
      </c>
      <c r="AH224" s="79">
        <f t="shared" si="32"/>
        <v>2900</v>
      </c>
      <c r="AI224" s="79">
        <f t="shared" si="33"/>
        <v>2600</v>
      </c>
      <c r="AJ224" s="79">
        <f t="shared" si="34"/>
        <v>2250</v>
      </c>
    </row>
    <row r="225" ht="20" customHeight="1" spans="1:36">
      <c r="A225" s="44">
        <v>49</v>
      </c>
      <c r="B225" s="44" t="s">
        <v>752</v>
      </c>
      <c r="C225" s="44" t="s">
        <v>753</v>
      </c>
      <c r="D225" s="44" t="s">
        <v>213</v>
      </c>
      <c r="E225" s="44" t="s">
        <v>754</v>
      </c>
      <c r="F225" s="44" t="s">
        <v>755</v>
      </c>
      <c r="G225" s="44" t="s">
        <v>40</v>
      </c>
      <c r="H225" s="44"/>
      <c r="I225" s="56">
        <v>3206</v>
      </c>
      <c r="J225" s="56">
        <v>2885</v>
      </c>
      <c r="K225" s="59">
        <v>2677.35576923077</v>
      </c>
      <c r="L225" s="59">
        <v>2455.32051282051</v>
      </c>
      <c r="M225" s="59">
        <v>2137.5</v>
      </c>
      <c r="N225" s="64">
        <v>2900</v>
      </c>
      <c r="O225" s="64">
        <v>2600</v>
      </c>
      <c r="P225" s="64">
        <v>2250</v>
      </c>
      <c r="Q225" s="44" t="s">
        <v>54</v>
      </c>
      <c r="R225" s="70" t="s">
        <v>416</v>
      </c>
      <c r="S225" s="44" t="s">
        <v>756</v>
      </c>
      <c r="T225" s="43" t="s">
        <v>773</v>
      </c>
      <c r="U225" s="71">
        <v>331102008</v>
      </c>
      <c r="V225" s="76" t="s">
        <v>774</v>
      </c>
      <c r="W225" s="43" t="s">
        <v>43</v>
      </c>
      <c r="X225" s="71" t="s">
        <v>43</v>
      </c>
      <c r="Y225" s="71" t="s">
        <v>40</v>
      </c>
      <c r="Z225" s="48" t="s">
        <v>43</v>
      </c>
      <c r="AA225" s="75">
        <v>1620</v>
      </c>
      <c r="AB225" s="75">
        <v>1460</v>
      </c>
      <c r="AC225" s="80">
        <v>1500</v>
      </c>
      <c r="AD225" s="80">
        <v>1440</v>
      </c>
      <c r="AE225" s="80">
        <v>1224</v>
      </c>
      <c r="AF225" s="79">
        <f t="shared" si="30"/>
        <v>0</v>
      </c>
      <c r="AG225" s="79" t="str">
        <f t="shared" si="31"/>
        <v>输尿管部分切除费</v>
      </c>
      <c r="AH225" s="79">
        <f t="shared" si="32"/>
        <v>2900</v>
      </c>
      <c r="AI225" s="79">
        <f t="shared" si="33"/>
        <v>2600</v>
      </c>
      <c r="AJ225" s="79">
        <f t="shared" si="34"/>
        <v>2250</v>
      </c>
    </row>
    <row r="226" ht="20" customHeight="1" spans="1:36">
      <c r="A226" s="44">
        <v>49</v>
      </c>
      <c r="B226" s="44" t="s">
        <v>752</v>
      </c>
      <c r="C226" s="44" t="s">
        <v>753</v>
      </c>
      <c r="D226" s="44" t="s">
        <v>213</v>
      </c>
      <c r="E226" s="44" t="s">
        <v>754</v>
      </c>
      <c r="F226" s="44" t="s">
        <v>755</v>
      </c>
      <c r="G226" s="44" t="s">
        <v>40</v>
      </c>
      <c r="H226" s="44"/>
      <c r="I226" s="56">
        <v>3206</v>
      </c>
      <c r="J226" s="56">
        <v>2885</v>
      </c>
      <c r="K226" s="59">
        <v>2677.35576923077</v>
      </c>
      <c r="L226" s="59">
        <v>2455.32051282051</v>
      </c>
      <c r="M226" s="59">
        <v>2137.5</v>
      </c>
      <c r="N226" s="64">
        <v>2900</v>
      </c>
      <c r="O226" s="64">
        <v>2600</v>
      </c>
      <c r="P226" s="64">
        <v>2250</v>
      </c>
      <c r="Q226" s="44" t="s">
        <v>54</v>
      </c>
      <c r="R226" s="70" t="s">
        <v>416</v>
      </c>
      <c r="S226" s="44" t="s">
        <v>756</v>
      </c>
      <c r="T226" s="43" t="s">
        <v>775</v>
      </c>
      <c r="U226" s="71">
        <v>33110200802</v>
      </c>
      <c r="V226" s="76" t="s">
        <v>776</v>
      </c>
      <c r="W226" s="43" t="s">
        <v>43</v>
      </c>
      <c r="X226" s="71" t="s">
        <v>43</v>
      </c>
      <c r="Y226" s="71" t="s">
        <v>40</v>
      </c>
      <c r="Z226" s="48" t="s">
        <v>43</v>
      </c>
      <c r="AA226" s="75">
        <v>2420</v>
      </c>
      <c r="AB226" s="75">
        <v>2180</v>
      </c>
      <c r="AC226" s="80">
        <v>2125</v>
      </c>
      <c r="AD226" s="80">
        <v>2040</v>
      </c>
      <c r="AE226" s="80">
        <v>1734</v>
      </c>
      <c r="AF226" s="79">
        <f t="shared" si="30"/>
        <v>0</v>
      </c>
      <c r="AG226" s="79" t="str">
        <f t="shared" si="31"/>
        <v>输尿管部分切除费</v>
      </c>
      <c r="AH226" s="79">
        <f t="shared" si="32"/>
        <v>2900</v>
      </c>
      <c r="AI226" s="79">
        <f t="shared" si="33"/>
        <v>2600</v>
      </c>
      <c r="AJ226" s="79">
        <f t="shared" si="34"/>
        <v>2250</v>
      </c>
    </row>
    <row r="227" ht="20" customHeight="1" spans="1:36">
      <c r="A227" s="44">
        <v>49</v>
      </c>
      <c r="B227" s="44" t="s">
        <v>752</v>
      </c>
      <c r="C227" s="44" t="s">
        <v>753</v>
      </c>
      <c r="D227" s="44" t="s">
        <v>213</v>
      </c>
      <c r="E227" s="44" t="s">
        <v>754</v>
      </c>
      <c r="F227" s="44" t="s">
        <v>755</v>
      </c>
      <c r="G227" s="44" t="s">
        <v>40</v>
      </c>
      <c r="H227" s="44"/>
      <c r="I227" s="56">
        <v>3206</v>
      </c>
      <c r="J227" s="56">
        <v>2885</v>
      </c>
      <c r="K227" s="59">
        <v>2677.35576923077</v>
      </c>
      <c r="L227" s="59">
        <v>2455.32051282051</v>
      </c>
      <c r="M227" s="59">
        <v>2137.5</v>
      </c>
      <c r="N227" s="64">
        <v>2900</v>
      </c>
      <c r="O227" s="64">
        <v>2600</v>
      </c>
      <c r="P227" s="64">
        <v>2250</v>
      </c>
      <c r="Q227" s="44" t="s">
        <v>54</v>
      </c>
      <c r="R227" s="70" t="s">
        <v>416</v>
      </c>
      <c r="S227" s="44" t="s">
        <v>756</v>
      </c>
      <c r="T227" s="43" t="s">
        <v>777</v>
      </c>
      <c r="U227" s="71">
        <v>331102010</v>
      </c>
      <c r="V227" s="76" t="s">
        <v>778</v>
      </c>
      <c r="W227" s="43" t="s">
        <v>43</v>
      </c>
      <c r="X227" s="71" t="s">
        <v>43</v>
      </c>
      <c r="Y227" s="71" t="s">
        <v>40</v>
      </c>
      <c r="Z227" s="48" t="s">
        <v>43</v>
      </c>
      <c r="AA227" s="75">
        <v>2110</v>
      </c>
      <c r="AB227" s="75">
        <v>1900</v>
      </c>
      <c r="AC227" s="80">
        <v>1860</v>
      </c>
      <c r="AD227" s="80">
        <v>1670</v>
      </c>
      <c r="AE227" s="80">
        <v>1420</v>
      </c>
      <c r="AF227" s="79">
        <f t="shared" si="30"/>
        <v>0</v>
      </c>
      <c r="AG227" s="79" t="str">
        <f t="shared" si="31"/>
        <v>输尿管部分切除费</v>
      </c>
      <c r="AH227" s="79">
        <f t="shared" si="32"/>
        <v>2900</v>
      </c>
      <c r="AI227" s="79">
        <f t="shared" si="33"/>
        <v>2600</v>
      </c>
      <c r="AJ227" s="79">
        <f t="shared" si="34"/>
        <v>2250</v>
      </c>
    </row>
    <row r="228" ht="20" customHeight="1" spans="1:36">
      <c r="A228" s="44">
        <v>49</v>
      </c>
      <c r="B228" s="44" t="s">
        <v>752</v>
      </c>
      <c r="C228" s="44" t="s">
        <v>753</v>
      </c>
      <c r="D228" s="44" t="s">
        <v>213</v>
      </c>
      <c r="E228" s="44" t="s">
        <v>754</v>
      </c>
      <c r="F228" s="44" t="s">
        <v>755</v>
      </c>
      <c r="G228" s="44" t="s">
        <v>40</v>
      </c>
      <c r="H228" s="44"/>
      <c r="I228" s="56">
        <v>3206</v>
      </c>
      <c r="J228" s="56">
        <v>2885</v>
      </c>
      <c r="K228" s="59">
        <v>2677.35576923077</v>
      </c>
      <c r="L228" s="59">
        <v>2455.32051282051</v>
      </c>
      <c r="M228" s="59">
        <v>2137.5</v>
      </c>
      <c r="N228" s="64">
        <v>2900</v>
      </c>
      <c r="O228" s="64">
        <v>2600</v>
      </c>
      <c r="P228" s="64">
        <v>2250</v>
      </c>
      <c r="Q228" s="44" t="s">
        <v>54</v>
      </c>
      <c r="R228" s="70" t="s">
        <v>416</v>
      </c>
      <c r="S228" s="44" t="s">
        <v>756</v>
      </c>
      <c r="T228" s="43" t="s">
        <v>779</v>
      </c>
      <c r="U228" s="71">
        <v>33110201002</v>
      </c>
      <c r="V228" s="76" t="s">
        <v>780</v>
      </c>
      <c r="W228" s="43" t="s">
        <v>43</v>
      </c>
      <c r="X228" s="71" t="s">
        <v>43</v>
      </c>
      <c r="Y228" s="71" t="s">
        <v>40</v>
      </c>
      <c r="Z228" s="48" t="s">
        <v>43</v>
      </c>
      <c r="AA228" s="75">
        <v>2910</v>
      </c>
      <c r="AB228" s="75">
        <v>2620</v>
      </c>
      <c r="AC228" s="80">
        <v>2485</v>
      </c>
      <c r="AD228" s="80">
        <v>2270</v>
      </c>
      <c r="AE228" s="80">
        <v>1930</v>
      </c>
      <c r="AF228" s="79">
        <f t="shared" si="30"/>
        <v>0</v>
      </c>
      <c r="AG228" s="79" t="str">
        <f t="shared" si="31"/>
        <v>输尿管部分切除费</v>
      </c>
      <c r="AH228" s="79">
        <f t="shared" si="32"/>
        <v>2900</v>
      </c>
      <c r="AI228" s="79">
        <f t="shared" si="33"/>
        <v>2600</v>
      </c>
      <c r="AJ228" s="79">
        <f t="shared" si="34"/>
        <v>2250</v>
      </c>
    </row>
    <row r="229" ht="20" customHeight="1" spans="1:36">
      <c r="A229" s="44">
        <v>49</v>
      </c>
      <c r="B229" s="44" t="s">
        <v>752</v>
      </c>
      <c r="C229" s="44" t="s">
        <v>753</v>
      </c>
      <c r="D229" s="44" t="s">
        <v>213</v>
      </c>
      <c r="E229" s="44" t="s">
        <v>754</v>
      </c>
      <c r="F229" s="44" t="s">
        <v>755</v>
      </c>
      <c r="G229" s="44" t="s">
        <v>40</v>
      </c>
      <c r="H229" s="44"/>
      <c r="I229" s="56">
        <v>3206</v>
      </c>
      <c r="J229" s="56">
        <v>2885</v>
      </c>
      <c r="K229" s="59">
        <v>2677.35576923077</v>
      </c>
      <c r="L229" s="59">
        <v>2455.32051282051</v>
      </c>
      <c r="M229" s="59">
        <v>2137.5</v>
      </c>
      <c r="N229" s="64">
        <v>2900</v>
      </c>
      <c r="O229" s="64">
        <v>2600</v>
      </c>
      <c r="P229" s="64">
        <v>2250</v>
      </c>
      <c r="Q229" s="44" t="s">
        <v>54</v>
      </c>
      <c r="R229" s="70" t="s">
        <v>416</v>
      </c>
      <c r="S229" s="44" t="s">
        <v>756</v>
      </c>
      <c r="T229" s="43" t="s">
        <v>781</v>
      </c>
      <c r="U229" s="71">
        <v>331102011</v>
      </c>
      <c r="V229" s="76" t="s">
        <v>782</v>
      </c>
      <c r="W229" s="43" t="s">
        <v>43</v>
      </c>
      <c r="X229" s="71" t="s">
        <v>43</v>
      </c>
      <c r="Y229" s="71" t="s">
        <v>40</v>
      </c>
      <c r="Z229" s="48" t="s">
        <v>43</v>
      </c>
      <c r="AA229" s="75">
        <v>1350</v>
      </c>
      <c r="AB229" s="75">
        <v>1215</v>
      </c>
      <c r="AC229" s="80">
        <v>1250</v>
      </c>
      <c r="AD229" s="80">
        <v>1200</v>
      </c>
      <c r="AE229" s="80">
        <v>1020</v>
      </c>
      <c r="AF229" s="79">
        <f t="shared" si="30"/>
        <v>0</v>
      </c>
      <c r="AG229" s="79" t="str">
        <f t="shared" si="31"/>
        <v>输尿管部分切除费</v>
      </c>
      <c r="AH229" s="79">
        <f t="shared" si="32"/>
        <v>2900</v>
      </c>
      <c r="AI229" s="79">
        <f t="shared" si="33"/>
        <v>2600</v>
      </c>
      <c r="AJ229" s="79">
        <f t="shared" si="34"/>
        <v>2250</v>
      </c>
    </row>
    <row r="230" ht="20" customHeight="1" spans="1:36">
      <c r="A230" s="44">
        <v>49</v>
      </c>
      <c r="B230" s="44" t="s">
        <v>752</v>
      </c>
      <c r="C230" s="44" t="s">
        <v>753</v>
      </c>
      <c r="D230" s="44" t="s">
        <v>213</v>
      </c>
      <c r="E230" s="44" t="s">
        <v>754</v>
      </c>
      <c r="F230" s="44" t="s">
        <v>755</v>
      </c>
      <c r="G230" s="44" t="s">
        <v>40</v>
      </c>
      <c r="H230" s="44"/>
      <c r="I230" s="56">
        <v>3206</v>
      </c>
      <c r="J230" s="56">
        <v>2885</v>
      </c>
      <c r="K230" s="59">
        <v>2677.35576923077</v>
      </c>
      <c r="L230" s="59">
        <v>2455.32051282051</v>
      </c>
      <c r="M230" s="59">
        <v>2137.5</v>
      </c>
      <c r="N230" s="64">
        <v>2900</v>
      </c>
      <c r="O230" s="64">
        <v>2600</v>
      </c>
      <c r="P230" s="64">
        <v>2250</v>
      </c>
      <c r="Q230" s="44" t="s">
        <v>54</v>
      </c>
      <c r="R230" s="70" t="s">
        <v>416</v>
      </c>
      <c r="S230" s="44" t="s">
        <v>756</v>
      </c>
      <c r="T230" s="43" t="s">
        <v>783</v>
      </c>
      <c r="U230" s="71">
        <v>33110201102</v>
      </c>
      <c r="V230" s="76" t="s">
        <v>784</v>
      </c>
      <c r="W230" s="43" t="s">
        <v>43</v>
      </c>
      <c r="X230" s="71" t="s">
        <v>43</v>
      </c>
      <c r="Y230" s="71" t="s">
        <v>40</v>
      </c>
      <c r="Z230" s="48" t="s">
        <v>43</v>
      </c>
      <c r="AA230" s="75">
        <v>2150</v>
      </c>
      <c r="AB230" s="75">
        <v>1935</v>
      </c>
      <c r="AC230" s="80">
        <v>1875</v>
      </c>
      <c r="AD230" s="80">
        <v>1800</v>
      </c>
      <c r="AE230" s="80">
        <v>1530</v>
      </c>
      <c r="AF230" s="79">
        <f t="shared" si="30"/>
        <v>0</v>
      </c>
      <c r="AG230" s="79" t="str">
        <f t="shared" si="31"/>
        <v>输尿管部分切除费</v>
      </c>
      <c r="AH230" s="79">
        <f t="shared" si="32"/>
        <v>2900</v>
      </c>
      <c r="AI230" s="79">
        <f t="shared" si="33"/>
        <v>2600</v>
      </c>
      <c r="AJ230" s="79">
        <f t="shared" si="34"/>
        <v>2250</v>
      </c>
    </row>
    <row r="231" ht="20" customHeight="1" spans="1:36">
      <c r="A231" s="44">
        <v>49</v>
      </c>
      <c r="B231" s="44" t="s">
        <v>752</v>
      </c>
      <c r="C231" s="44" t="s">
        <v>753</v>
      </c>
      <c r="D231" s="44" t="s">
        <v>213</v>
      </c>
      <c r="E231" s="44" t="s">
        <v>754</v>
      </c>
      <c r="F231" s="44" t="s">
        <v>755</v>
      </c>
      <c r="G231" s="44" t="s">
        <v>40</v>
      </c>
      <c r="H231" s="44"/>
      <c r="I231" s="56">
        <v>3206</v>
      </c>
      <c r="J231" s="56">
        <v>2885</v>
      </c>
      <c r="K231" s="59">
        <v>2677.35576923077</v>
      </c>
      <c r="L231" s="59">
        <v>2455.32051282051</v>
      </c>
      <c r="M231" s="59">
        <v>2137.5</v>
      </c>
      <c r="N231" s="64">
        <v>2900</v>
      </c>
      <c r="O231" s="64">
        <v>2600</v>
      </c>
      <c r="P231" s="64">
        <v>2250</v>
      </c>
      <c r="Q231" s="44" t="s">
        <v>54</v>
      </c>
      <c r="R231" s="70" t="s">
        <v>416</v>
      </c>
      <c r="S231" s="44" t="s">
        <v>756</v>
      </c>
      <c r="T231" s="43" t="s">
        <v>785</v>
      </c>
      <c r="U231" s="71">
        <v>331203012</v>
      </c>
      <c r="V231" s="76" t="s">
        <v>786</v>
      </c>
      <c r="W231" s="43" t="s">
        <v>43</v>
      </c>
      <c r="X231" s="71" t="s">
        <v>43</v>
      </c>
      <c r="Y231" s="71" t="s">
        <v>40</v>
      </c>
      <c r="Z231" s="48" t="s">
        <v>43</v>
      </c>
      <c r="AA231" s="75">
        <v>875</v>
      </c>
      <c r="AB231" s="75">
        <v>790</v>
      </c>
      <c r="AC231" s="80">
        <v>875</v>
      </c>
      <c r="AD231" s="80">
        <v>840</v>
      </c>
      <c r="AE231" s="80">
        <v>714</v>
      </c>
      <c r="AF231" s="79">
        <f t="shared" si="30"/>
        <v>0</v>
      </c>
      <c r="AG231" s="79" t="str">
        <f t="shared" si="31"/>
        <v>输尿管部分切除费</v>
      </c>
      <c r="AH231" s="79">
        <f t="shared" si="32"/>
        <v>2900</v>
      </c>
      <c r="AI231" s="79">
        <f t="shared" si="33"/>
        <v>2600</v>
      </c>
      <c r="AJ231" s="79">
        <f t="shared" si="34"/>
        <v>2250</v>
      </c>
    </row>
    <row r="232" ht="20" customHeight="1" spans="1:36">
      <c r="A232" s="44">
        <v>49</v>
      </c>
      <c r="B232" s="44" t="s">
        <v>752</v>
      </c>
      <c r="C232" s="44" t="s">
        <v>753</v>
      </c>
      <c r="D232" s="44" t="s">
        <v>213</v>
      </c>
      <c r="E232" s="44" t="s">
        <v>754</v>
      </c>
      <c r="F232" s="44" t="s">
        <v>755</v>
      </c>
      <c r="G232" s="44" t="s">
        <v>40</v>
      </c>
      <c r="H232" s="44"/>
      <c r="I232" s="56">
        <v>3206</v>
      </c>
      <c r="J232" s="56">
        <v>2885</v>
      </c>
      <c r="K232" s="59">
        <v>2677.35576923077</v>
      </c>
      <c r="L232" s="59">
        <v>2455.32051282051</v>
      </c>
      <c r="M232" s="59">
        <v>2137.5</v>
      </c>
      <c r="N232" s="64">
        <v>2900</v>
      </c>
      <c r="O232" s="64">
        <v>2600</v>
      </c>
      <c r="P232" s="64">
        <v>2250</v>
      </c>
      <c r="Q232" s="44" t="s">
        <v>54</v>
      </c>
      <c r="R232" s="70" t="s">
        <v>416</v>
      </c>
      <c r="S232" s="44" t="s">
        <v>756</v>
      </c>
      <c r="T232" s="43" t="s">
        <v>787</v>
      </c>
      <c r="U232" s="71">
        <v>33120301202</v>
      </c>
      <c r="V232" s="76" t="s">
        <v>788</v>
      </c>
      <c r="W232" s="43" t="s">
        <v>43</v>
      </c>
      <c r="X232" s="71" t="s">
        <v>43</v>
      </c>
      <c r="Y232" s="71" t="s">
        <v>40</v>
      </c>
      <c r="Z232" s="48" t="s">
        <v>43</v>
      </c>
      <c r="AA232" s="75">
        <v>1125</v>
      </c>
      <c r="AB232" s="75">
        <v>1015</v>
      </c>
      <c r="AC232" s="80">
        <v>1125</v>
      </c>
      <c r="AD232" s="80">
        <v>1065</v>
      </c>
      <c r="AE232" s="80">
        <v>904</v>
      </c>
      <c r="AF232" s="79">
        <f t="shared" si="30"/>
        <v>0</v>
      </c>
      <c r="AG232" s="79" t="str">
        <f t="shared" si="31"/>
        <v>输尿管部分切除费</v>
      </c>
      <c r="AH232" s="79">
        <f t="shared" si="32"/>
        <v>2900</v>
      </c>
      <c r="AI232" s="79">
        <f t="shared" si="33"/>
        <v>2600</v>
      </c>
      <c r="AJ232" s="79">
        <f t="shared" si="34"/>
        <v>2250</v>
      </c>
    </row>
    <row r="233" ht="20" customHeight="1" spans="1:36">
      <c r="A233" s="81" t="s">
        <v>81</v>
      </c>
      <c r="B233" s="114" t="s">
        <v>789</v>
      </c>
      <c r="C233" s="81" t="s">
        <v>790</v>
      </c>
      <c r="D233" s="81" t="s">
        <v>213</v>
      </c>
      <c r="E233" s="81"/>
      <c r="F233" s="81"/>
      <c r="G233" s="81" t="s">
        <v>40</v>
      </c>
      <c r="H233" s="81"/>
      <c r="I233" s="56">
        <v>962</v>
      </c>
      <c r="J233" s="56">
        <v>866</v>
      </c>
      <c r="K233" s="59">
        <v>151.666666666667</v>
      </c>
      <c r="L233" s="84"/>
      <c r="M233" s="84"/>
      <c r="N233" s="64">
        <v>870</v>
      </c>
      <c r="O233" s="64">
        <v>780</v>
      </c>
      <c r="P233" s="64">
        <v>675</v>
      </c>
      <c r="Q233" s="44" t="s">
        <v>54</v>
      </c>
      <c r="R233" s="69"/>
      <c r="S233" s="44" t="s">
        <v>446</v>
      </c>
      <c r="T233" s="45" t="s">
        <v>791</v>
      </c>
      <c r="U233" s="45">
        <v>33110200401</v>
      </c>
      <c r="V233" s="63" t="s">
        <v>792</v>
      </c>
      <c r="W233" s="43" t="s">
        <v>43</v>
      </c>
      <c r="X233" s="71" t="s">
        <v>43</v>
      </c>
      <c r="Y233" s="71" t="s">
        <v>40</v>
      </c>
      <c r="Z233" s="48" t="s">
        <v>43</v>
      </c>
      <c r="AA233" s="75">
        <v>3990</v>
      </c>
      <c r="AB233" s="75">
        <v>3590</v>
      </c>
      <c r="AC233" s="80">
        <v>3510</v>
      </c>
      <c r="AD233" s="80">
        <v>3160</v>
      </c>
      <c r="AE233" s="80">
        <v>2685</v>
      </c>
      <c r="AF233" s="79">
        <f t="shared" si="30"/>
        <v>12</v>
      </c>
      <c r="AG233" s="79" t="str">
        <f t="shared" si="31"/>
        <v>输尿管部分切除费</v>
      </c>
      <c r="AH233" s="79">
        <f t="shared" si="32"/>
        <v>3770</v>
      </c>
      <c r="AI233" s="79">
        <f t="shared" si="33"/>
        <v>3380</v>
      </c>
      <c r="AJ233" s="79">
        <f t="shared" si="34"/>
        <v>2925</v>
      </c>
    </row>
    <row r="234" ht="20" customHeight="1" spans="1:36">
      <c r="A234" s="81" t="s">
        <v>81</v>
      </c>
      <c r="B234" s="114" t="s">
        <v>789</v>
      </c>
      <c r="C234" s="81" t="s">
        <v>790</v>
      </c>
      <c r="D234" s="81" t="s">
        <v>213</v>
      </c>
      <c r="E234" s="81"/>
      <c r="F234" s="81"/>
      <c r="G234" s="81" t="s">
        <v>40</v>
      </c>
      <c r="H234" s="81"/>
      <c r="I234" s="56">
        <v>962</v>
      </c>
      <c r="J234" s="56">
        <v>866</v>
      </c>
      <c r="K234" s="59">
        <v>151.666666666667</v>
      </c>
      <c r="L234" s="84"/>
      <c r="M234" s="84"/>
      <c r="N234" s="64">
        <v>870</v>
      </c>
      <c r="O234" s="64">
        <v>780</v>
      </c>
      <c r="P234" s="64">
        <v>675</v>
      </c>
      <c r="Q234" s="44" t="s">
        <v>54</v>
      </c>
      <c r="R234" s="69"/>
      <c r="S234" s="44" t="s">
        <v>446</v>
      </c>
      <c r="T234" s="45" t="s">
        <v>793</v>
      </c>
      <c r="U234" s="45">
        <v>33110200403</v>
      </c>
      <c r="V234" s="63" t="s">
        <v>794</v>
      </c>
      <c r="W234" s="43" t="s">
        <v>43</v>
      </c>
      <c r="X234" s="71" t="s">
        <v>43</v>
      </c>
      <c r="Y234" s="71" t="s">
        <v>40</v>
      </c>
      <c r="Z234" s="48" t="s">
        <v>43</v>
      </c>
      <c r="AA234" s="75">
        <v>4790</v>
      </c>
      <c r="AB234" s="75">
        <v>4310</v>
      </c>
      <c r="AC234" s="80">
        <v>4135</v>
      </c>
      <c r="AD234" s="80">
        <v>3760</v>
      </c>
      <c r="AE234" s="80">
        <v>3195</v>
      </c>
      <c r="AF234" s="79">
        <f t="shared" si="30"/>
        <v>12</v>
      </c>
      <c r="AG234" s="79" t="str">
        <f t="shared" si="31"/>
        <v>输尿管部分切除费</v>
      </c>
      <c r="AH234" s="79">
        <f t="shared" si="32"/>
        <v>3770</v>
      </c>
      <c r="AI234" s="79">
        <f t="shared" si="33"/>
        <v>3380</v>
      </c>
      <c r="AJ234" s="79">
        <f t="shared" si="34"/>
        <v>2925</v>
      </c>
    </row>
    <row r="235" ht="20" customHeight="1" spans="1:36">
      <c r="A235" s="81" t="s">
        <v>81</v>
      </c>
      <c r="B235" s="114" t="s">
        <v>789</v>
      </c>
      <c r="C235" s="81" t="s">
        <v>790</v>
      </c>
      <c r="D235" s="81" t="s">
        <v>213</v>
      </c>
      <c r="E235" s="81"/>
      <c r="F235" s="81"/>
      <c r="G235" s="81" t="s">
        <v>40</v>
      </c>
      <c r="H235" s="81"/>
      <c r="I235" s="56">
        <v>962</v>
      </c>
      <c r="J235" s="56">
        <v>866</v>
      </c>
      <c r="K235" s="59">
        <v>151.666666666667</v>
      </c>
      <c r="L235" s="84"/>
      <c r="M235" s="84"/>
      <c r="N235" s="64">
        <v>870</v>
      </c>
      <c r="O235" s="64">
        <v>780</v>
      </c>
      <c r="P235" s="64">
        <v>675</v>
      </c>
      <c r="Q235" s="44" t="s">
        <v>54</v>
      </c>
      <c r="R235" s="69"/>
      <c r="S235" s="44" t="s">
        <v>446</v>
      </c>
      <c r="T235" s="45" t="s">
        <v>795</v>
      </c>
      <c r="U235" s="45">
        <v>33110201401</v>
      </c>
      <c r="V235" s="63" t="s">
        <v>796</v>
      </c>
      <c r="W235" s="43" t="s">
        <v>43</v>
      </c>
      <c r="X235" s="71" t="s">
        <v>43</v>
      </c>
      <c r="Y235" s="71" t="s">
        <v>40</v>
      </c>
      <c r="Z235" s="48" t="s">
        <v>43</v>
      </c>
      <c r="AA235" s="75">
        <v>3495</v>
      </c>
      <c r="AB235" s="75">
        <v>3145</v>
      </c>
      <c r="AC235" s="80">
        <v>3070</v>
      </c>
      <c r="AD235" s="80">
        <v>2755</v>
      </c>
      <c r="AE235" s="80">
        <v>2340</v>
      </c>
      <c r="AF235" s="79">
        <f t="shared" si="30"/>
        <v>12</v>
      </c>
      <c r="AG235" s="79" t="str">
        <f t="shared" si="31"/>
        <v>输尿管部分切除费</v>
      </c>
      <c r="AH235" s="79">
        <f t="shared" si="32"/>
        <v>3770</v>
      </c>
      <c r="AI235" s="79">
        <f t="shared" si="33"/>
        <v>3380</v>
      </c>
      <c r="AJ235" s="79">
        <f t="shared" si="34"/>
        <v>2925</v>
      </c>
    </row>
    <row r="236" ht="20" customHeight="1" spans="1:36">
      <c r="A236" s="81" t="s">
        <v>81</v>
      </c>
      <c r="B236" s="114" t="s">
        <v>789</v>
      </c>
      <c r="C236" s="81" t="s">
        <v>790</v>
      </c>
      <c r="D236" s="81" t="s">
        <v>213</v>
      </c>
      <c r="E236" s="81"/>
      <c r="F236" s="81"/>
      <c r="G236" s="81" t="s">
        <v>40</v>
      </c>
      <c r="H236" s="81"/>
      <c r="I236" s="56">
        <v>962</v>
      </c>
      <c r="J236" s="56">
        <v>866</v>
      </c>
      <c r="K236" s="59">
        <v>151.666666666667</v>
      </c>
      <c r="L236" s="84"/>
      <c r="M236" s="84"/>
      <c r="N236" s="64">
        <v>870</v>
      </c>
      <c r="O236" s="64">
        <v>780</v>
      </c>
      <c r="P236" s="64">
        <v>675</v>
      </c>
      <c r="Q236" s="44" t="s">
        <v>54</v>
      </c>
      <c r="R236" s="69"/>
      <c r="S236" s="44" t="s">
        <v>446</v>
      </c>
      <c r="T236" s="45" t="s">
        <v>797</v>
      </c>
      <c r="U236" s="45">
        <v>33110201403</v>
      </c>
      <c r="V236" s="63" t="s">
        <v>798</v>
      </c>
      <c r="W236" s="43" t="s">
        <v>43</v>
      </c>
      <c r="X236" s="71" t="s">
        <v>43</v>
      </c>
      <c r="Y236" s="71" t="s">
        <v>40</v>
      </c>
      <c r="Z236" s="48" t="s">
        <v>43</v>
      </c>
      <c r="AA236" s="75">
        <v>4295</v>
      </c>
      <c r="AB236" s="75">
        <v>3865</v>
      </c>
      <c r="AC236" s="80">
        <v>3695</v>
      </c>
      <c r="AD236" s="80">
        <v>3355</v>
      </c>
      <c r="AE236" s="80">
        <v>2850</v>
      </c>
      <c r="AF236" s="79">
        <f t="shared" si="30"/>
        <v>12</v>
      </c>
      <c r="AG236" s="79" t="str">
        <f t="shared" si="31"/>
        <v>输尿管部分切除费</v>
      </c>
      <c r="AH236" s="79">
        <f t="shared" si="32"/>
        <v>3770</v>
      </c>
      <c r="AI236" s="79">
        <f t="shared" si="33"/>
        <v>3380</v>
      </c>
      <c r="AJ236" s="79">
        <f t="shared" si="34"/>
        <v>2925</v>
      </c>
    </row>
    <row r="237" ht="20" customHeight="1" spans="1:36">
      <c r="A237" s="81" t="s">
        <v>81</v>
      </c>
      <c r="B237" s="114" t="s">
        <v>789</v>
      </c>
      <c r="C237" s="81" t="s">
        <v>790</v>
      </c>
      <c r="D237" s="81" t="s">
        <v>213</v>
      </c>
      <c r="E237" s="81"/>
      <c r="F237" s="81"/>
      <c r="G237" s="81" t="s">
        <v>40</v>
      </c>
      <c r="H237" s="81"/>
      <c r="I237" s="56">
        <v>962</v>
      </c>
      <c r="J237" s="56">
        <v>866</v>
      </c>
      <c r="K237" s="59">
        <v>151.666666666667</v>
      </c>
      <c r="L237" s="84"/>
      <c r="M237" s="84"/>
      <c r="N237" s="64">
        <v>870</v>
      </c>
      <c r="O237" s="64">
        <v>780</v>
      </c>
      <c r="P237" s="64">
        <v>675</v>
      </c>
      <c r="Q237" s="44" t="s">
        <v>54</v>
      </c>
      <c r="R237" s="69"/>
      <c r="S237" s="44" t="s">
        <v>446</v>
      </c>
      <c r="T237" s="45" t="s">
        <v>799</v>
      </c>
      <c r="U237" s="45">
        <v>33110201001</v>
      </c>
      <c r="V237" s="53" t="s">
        <v>800</v>
      </c>
      <c r="W237" s="43" t="s">
        <v>43</v>
      </c>
      <c r="X237" s="71" t="s">
        <v>43</v>
      </c>
      <c r="Y237" s="71" t="s">
        <v>40</v>
      </c>
      <c r="Z237" s="48" t="s">
        <v>43</v>
      </c>
      <c r="AA237" s="75">
        <v>2745</v>
      </c>
      <c r="AB237" s="75">
        <v>2470</v>
      </c>
      <c r="AC237" s="80">
        <v>2420</v>
      </c>
      <c r="AD237" s="80">
        <v>2170</v>
      </c>
      <c r="AE237" s="80">
        <v>1845</v>
      </c>
      <c r="AF237" s="79">
        <f t="shared" si="30"/>
        <v>12</v>
      </c>
      <c r="AG237" s="79" t="str">
        <f t="shared" si="31"/>
        <v>输尿管部分切除费</v>
      </c>
      <c r="AH237" s="79">
        <f t="shared" si="32"/>
        <v>3770</v>
      </c>
      <c r="AI237" s="79">
        <f t="shared" si="33"/>
        <v>3380</v>
      </c>
      <c r="AJ237" s="79">
        <f t="shared" si="34"/>
        <v>2925</v>
      </c>
    </row>
    <row r="238" ht="20" customHeight="1" spans="1:36">
      <c r="A238" s="81" t="s">
        <v>81</v>
      </c>
      <c r="B238" s="114" t="s">
        <v>789</v>
      </c>
      <c r="C238" s="81" t="s">
        <v>790</v>
      </c>
      <c r="D238" s="81" t="s">
        <v>213</v>
      </c>
      <c r="E238" s="81"/>
      <c r="F238" s="81"/>
      <c r="G238" s="81" t="s">
        <v>40</v>
      </c>
      <c r="H238" s="81"/>
      <c r="I238" s="56">
        <v>962</v>
      </c>
      <c r="J238" s="56">
        <v>866</v>
      </c>
      <c r="K238" s="59">
        <v>151.666666666667</v>
      </c>
      <c r="L238" s="84"/>
      <c r="M238" s="84"/>
      <c r="N238" s="64">
        <v>870</v>
      </c>
      <c r="O238" s="64">
        <v>780</v>
      </c>
      <c r="P238" s="64">
        <v>675</v>
      </c>
      <c r="Q238" s="44" t="s">
        <v>54</v>
      </c>
      <c r="R238" s="69"/>
      <c r="S238" s="44" t="s">
        <v>446</v>
      </c>
      <c r="T238" s="45" t="s">
        <v>801</v>
      </c>
      <c r="U238" s="45">
        <v>33110201003</v>
      </c>
      <c r="V238" s="53" t="s">
        <v>802</v>
      </c>
      <c r="W238" s="43" t="s">
        <v>43</v>
      </c>
      <c r="X238" s="71" t="s">
        <v>43</v>
      </c>
      <c r="Y238" s="71" t="s">
        <v>40</v>
      </c>
      <c r="Z238" s="48" t="s">
        <v>43</v>
      </c>
      <c r="AA238" s="75">
        <v>3545</v>
      </c>
      <c r="AB238" s="75">
        <v>3190</v>
      </c>
      <c r="AC238" s="80">
        <v>3045</v>
      </c>
      <c r="AD238" s="80">
        <v>2770</v>
      </c>
      <c r="AE238" s="80">
        <v>2355</v>
      </c>
      <c r="AF238" s="79">
        <f t="shared" si="30"/>
        <v>12</v>
      </c>
      <c r="AG238" s="79" t="str">
        <f t="shared" si="31"/>
        <v>输尿管部分切除费</v>
      </c>
      <c r="AH238" s="79">
        <f t="shared" si="32"/>
        <v>3770</v>
      </c>
      <c r="AI238" s="79">
        <f t="shared" si="33"/>
        <v>3380</v>
      </c>
      <c r="AJ238" s="79">
        <f t="shared" si="34"/>
        <v>2925</v>
      </c>
    </row>
    <row r="239" ht="20" customHeight="1" spans="1:36">
      <c r="A239" s="81" t="s">
        <v>81</v>
      </c>
      <c r="B239" s="114" t="s">
        <v>789</v>
      </c>
      <c r="C239" s="81" t="s">
        <v>790</v>
      </c>
      <c r="D239" s="81" t="s">
        <v>213</v>
      </c>
      <c r="E239" s="81"/>
      <c r="F239" s="81"/>
      <c r="G239" s="81" t="s">
        <v>40</v>
      </c>
      <c r="H239" s="81"/>
      <c r="I239" s="56">
        <v>962</v>
      </c>
      <c r="J239" s="56">
        <v>866</v>
      </c>
      <c r="K239" s="59">
        <v>151.666666666667</v>
      </c>
      <c r="L239" s="84"/>
      <c r="M239" s="84"/>
      <c r="N239" s="64">
        <v>870</v>
      </c>
      <c r="O239" s="64">
        <v>780</v>
      </c>
      <c r="P239" s="64">
        <v>675</v>
      </c>
      <c r="Q239" s="44" t="s">
        <v>54</v>
      </c>
      <c r="R239" s="69"/>
      <c r="S239" s="44" t="s">
        <v>446</v>
      </c>
      <c r="T239" s="45" t="s">
        <v>803</v>
      </c>
      <c r="U239" s="45">
        <v>33110201101</v>
      </c>
      <c r="V239" s="53" t="s">
        <v>804</v>
      </c>
      <c r="W239" s="43" t="s">
        <v>43</v>
      </c>
      <c r="X239" s="71" t="s">
        <v>43</v>
      </c>
      <c r="Y239" s="71" t="s">
        <v>40</v>
      </c>
      <c r="Z239" s="48" t="s">
        <v>43</v>
      </c>
      <c r="AA239" s="75">
        <v>1755</v>
      </c>
      <c r="AB239" s="75">
        <v>1580</v>
      </c>
      <c r="AC239" s="80">
        <v>1625</v>
      </c>
      <c r="AD239" s="80">
        <v>1560</v>
      </c>
      <c r="AE239" s="80">
        <v>1325</v>
      </c>
      <c r="AF239" s="79">
        <f t="shared" si="30"/>
        <v>12</v>
      </c>
      <c r="AG239" s="79" t="str">
        <f t="shared" si="31"/>
        <v>输尿管部分切除费</v>
      </c>
      <c r="AH239" s="79">
        <f t="shared" si="32"/>
        <v>3770</v>
      </c>
      <c r="AI239" s="79">
        <f t="shared" si="33"/>
        <v>3380</v>
      </c>
      <c r="AJ239" s="79">
        <f t="shared" si="34"/>
        <v>2925</v>
      </c>
    </row>
    <row r="240" ht="20" customHeight="1" spans="1:36">
      <c r="A240" s="81" t="s">
        <v>81</v>
      </c>
      <c r="B240" s="114" t="s">
        <v>789</v>
      </c>
      <c r="C240" s="81" t="s">
        <v>790</v>
      </c>
      <c r="D240" s="81" t="s">
        <v>213</v>
      </c>
      <c r="E240" s="81"/>
      <c r="F240" s="81"/>
      <c r="G240" s="81" t="s">
        <v>40</v>
      </c>
      <c r="H240" s="81"/>
      <c r="I240" s="56">
        <v>962</v>
      </c>
      <c r="J240" s="56">
        <v>866</v>
      </c>
      <c r="K240" s="59">
        <v>151.666666666667</v>
      </c>
      <c r="L240" s="84"/>
      <c r="M240" s="84"/>
      <c r="N240" s="64">
        <v>870</v>
      </c>
      <c r="O240" s="64">
        <v>780</v>
      </c>
      <c r="P240" s="64">
        <v>675</v>
      </c>
      <c r="Q240" s="44" t="s">
        <v>54</v>
      </c>
      <c r="R240" s="69"/>
      <c r="S240" s="44" t="s">
        <v>446</v>
      </c>
      <c r="T240" s="45" t="s">
        <v>805</v>
      </c>
      <c r="U240" s="45">
        <v>33110201103</v>
      </c>
      <c r="V240" s="53" t="s">
        <v>806</v>
      </c>
      <c r="W240" s="43" t="s">
        <v>43</v>
      </c>
      <c r="X240" s="71" t="s">
        <v>43</v>
      </c>
      <c r="Y240" s="71" t="s">
        <v>40</v>
      </c>
      <c r="Z240" s="48" t="s">
        <v>43</v>
      </c>
      <c r="AA240" s="75">
        <v>2555</v>
      </c>
      <c r="AB240" s="75">
        <v>2300</v>
      </c>
      <c r="AC240" s="80">
        <v>2250</v>
      </c>
      <c r="AD240" s="80">
        <v>2160</v>
      </c>
      <c r="AE240" s="80">
        <v>1835</v>
      </c>
      <c r="AF240" s="79">
        <f t="shared" si="30"/>
        <v>12</v>
      </c>
      <c r="AG240" s="79" t="str">
        <f t="shared" si="31"/>
        <v>输尿管部分切除费</v>
      </c>
      <c r="AH240" s="79">
        <f t="shared" si="32"/>
        <v>3770</v>
      </c>
      <c r="AI240" s="79">
        <f t="shared" si="33"/>
        <v>3380</v>
      </c>
      <c r="AJ240" s="79">
        <f t="shared" si="34"/>
        <v>2925</v>
      </c>
    </row>
    <row r="241" ht="20" customHeight="1" spans="1:36">
      <c r="A241" s="81" t="s">
        <v>81</v>
      </c>
      <c r="B241" s="114" t="s">
        <v>789</v>
      </c>
      <c r="C241" s="81" t="s">
        <v>790</v>
      </c>
      <c r="D241" s="81" t="s">
        <v>213</v>
      </c>
      <c r="E241" s="81"/>
      <c r="F241" s="81"/>
      <c r="G241" s="81" t="s">
        <v>40</v>
      </c>
      <c r="H241" s="81"/>
      <c r="I241" s="56">
        <v>962</v>
      </c>
      <c r="J241" s="56">
        <v>866</v>
      </c>
      <c r="K241" s="59">
        <v>151.666666666667</v>
      </c>
      <c r="L241" s="84"/>
      <c r="M241" s="84"/>
      <c r="N241" s="64">
        <v>870</v>
      </c>
      <c r="O241" s="64">
        <v>780</v>
      </c>
      <c r="P241" s="64">
        <v>675</v>
      </c>
      <c r="Q241" s="44" t="s">
        <v>54</v>
      </c>
      <c r="R241" s="69"/>
      <c r="S241" s="44" t="s">
        <v>446</v>
      </c>
      <c r="T241" s="45" t="s">
        <v>807</v>
      </c>
      <c r="U241" s="45">
        <v>33110200901</v>
      </c>
      <c r="V241" s="53" t="s">
        <v>808</v>
      </c>
      <c r="W241" s="43" t="s">
        <v>43</v>
      </c>
      <c r="X241" s="71" t="s">
        <v>43</v>
      </c>
      <c r="Y241" s="71" t="s">
        <v>40</v>
      </c>
      <c r="Z241" s="48" t="s">
        <v>43</v>
      </c>
      <c r="AA241" s="75">
        <v>3250</v>
      </c>
      <c r="AB241" s="75">
        <v>2910</v>
      </c>
      <c r="AC241" s="80">
        <v>3085</v>
      </c>
      <c r="AD241" s="80">
        <v>2780</v>
      </c>
      <c r="AE241" s="80">
        <v>2225</v>
      </c>
      <c r="AF241" s="79">
        <f t="shared" si="30"/>
        <v>12</v>
      </c>
      <c r="AG241" s="79" t="str">
        <f t="shared" si="31"/>
        <v>输尿管部分切除费</v>
      </c>
      <c r="AH241" s="79">
        <f t="shared" si="32"/>
        <v>3770</v>
      </c>
      <c r="AI241" s="79">
        <f t="shared" si="33"/>
        <v>3380</v>
      </c>
      <c r="AJ241" s="79">
        <f t="shared" si="34"/>
        <v>2925</v>
      </c>
    </row>
    <row r="242" ht="20" customHeight="1" spans="1:36">
      <c r="A242" s="81" t="s">
        <v>81</v>
      </c>
      <c r="B242" s="114" t="s">
        <v>789</v>
      </c>
      <c r="C242" s="81" t="s">
        <v>790</v>
      </c>
      <c r="D242" s="81" t="s">
        <v>213</v>
      </c>
      <c r="E242" s="81"/>
      <c r="F242" s="81"/>
      <c r="G242" s="81" t="s">
        <v>40</v>
      </c>
      <c r="H242" s="81"/>
      <c r="I242" s="56">
        <v>962</v>
      </c>
      <c r="J242" s="56">
        <v>866</v>
      </c>
      <c r="K242" s="59">
        <v>151.666666666667</v>
      </c>
      <c r="L242" s="84"/>
      <c r="M242" s="84"/>
      <c r="N242" s="64">
        <v>870</v>
      </c>
      <c r="O242" s="64">
        <v>780</v>
      </c>
      <c r="P242" s="64">
        <v>675</v>
      </c>
      <c r="Q242" s="44" t="s">
        <v>54</v>
      </c>
      <c r="R242" s="69"/>
      <c r="S242" s="44" t="s">
        <v>446</v>
      </c>
      <c r="T242" s="45" t="s">
        <v>809</v>
      </c>
      <c r="U242" s="45">
        <v>33110200903</v>
      </c>
      <c r="V242" s="45" t="s">
        <v>810</v>
      </c>
      <c r="W242" s="43" t="s">
        <v>43</v>
      </c>
      <c r="X242" s="71" t="s">
        <v>43</v>
      </c>
      <c r="Y242" s="71" t="s">
        <v>40</v>
      </c>
      <c r="Z242" s="48" t="s">
        <v>43</v>
      </c>
      <c r="AA242" s="75">
        <v>4050</v>
      </c>
      <c r="AB242" s="75">
        <v>3630</v>
      </c>
      <c r="AC242" s="80">
        <v>3710</v>
      </c>
      <c r="AD242" s="80">
        <v>3380</v>
      </c>
      <c r="AE242" s="80">
        <v>2735</v>
      </c>
      <c r="AF242" s="79">
        <f t="shared" si="30"/>
        <v>12</v>
      </c>
      <c r="AG242" s="79" t="str">
        <f t="shared" si="31"/>
        <v>输尿管部分切除费</v>
      </c>
      <c r="AH242" s="79">
        <f t="shared" si="32"/>
        <v>3770</v>
      </c>
      <c r="AI242" s="79">
        <f t="shared" si="33"/>
        <v>3380</v>
      </c>
      <c r="AJ242" s="79">
        <f t="shared" si="34"/>
        <v>2925</v>
      </c>
    </row>
    <row r="243" ht="20" customHeight="1" spans="1:36">
      <c r="A243" s="81" t="s">
        <v>81</v>
      </c>
      <c r="B243" s="114" t="s">
        <v>789</v>
      </c>
      <c r="C243" s="81" t="s">
        <v>790</v>
      </c>
      <c r="D243" s="81" t="s">
        <v>213</v>
      </c>
      <c r="E243" s="81"/>
      <c r="F243" s="81"/>
      <c r="G243" s="81" t="s">
        <v>40</v>
      </c>
      <c r="H243" s="81"/>
      <c r="I243" s="56">
        <v>962</v>
      </c>
      <c r="J243" s="56">
        <v>866</v>
      </c>
      <c r="K243" s="59">
        <v>151.666666666667</v>
      </c>
      <c r="L243" s="84"/>
      <c r="M243" s="84"/>
      <c r="N243" s="64">
        <v>870</v>
      </c>
      <c r="O243" s="64">
        <v>780</v>
      </c>
      <c r="P243" s="64">
        <v>675</v>
      </c>
      <c r="Q243" s="44" t="s">
        <v>54</v>
      </c>
      <c r="R243" s="69"/>
      <c r="S243" s="44" t="s">
        <v>446</v>
      </c>
      <c r="T243" s="45" t="s">
        <v>811</v>
      </c>
      <c r="U243" s="45">
        <v>33120301201</v>
      </c>
      <c r="V243" s="45" t="s">
        <v>812</v>
      </c>
      <c r="W243" s="43" t="s">
        <v>43</v>
      </c>
      <c r="X243" s="71" t="s">
        <v>43</v>
      </c>
      <c r="Y243" s="71" t="s">
        <v>40</v>
      </c>
      <c r="Z243" s="48" t="s">
        <v>43</v>
      </c>
      <c r="AA243" s="75">
        <v>1140</v>
      </c>
      <c r="AB243" s="75">
        <v>1025</v>
      </c>
      <c r="AC243" s="80">
        <v>1140</v>
      </c>
      <c r="AD243" s="80">
        <v>1090</v>
      </c>
      <c r="AE243" s="80">
        <v>925</v>
      </c>
      <c r="AF243" s="79">
        <f t="shared" si="30"/>
        <v>12</v>
      </c>
      <c r="AG243" s="79" t="str">
        <f t="shared" si="31"/>
        <v>输尿管部分切除费</v>
      </c>
      <c r="AH243" s="79">
        <f t="shared" si="32"/>
        <v>3770</v>
      </c>
      <c r="AI243" s="79">
        <f t="shared" si="33"/>
        <v>3380</v>
      </c>
      <c r="AJ243" s="79">
        <f t="shared" si="34"/>
        <v>2925</v>
      </c>
    </row>
    <row r="244" ht="20" customHeight="1" spans="1:36">
      <c r="A244" s="81" t="s">
        <v>81</v>
      </c>
      <c r="B244" s="114" t="s">
        <v>789</v>
      </c>
      <c r="C244" s="81" t="s">
        <v>790</v>
      </c>
      <c r="D244" s="81" t="s">
        <v>213</v>
      </c>
      <c r="E244" s="81"/>
      <c r="F244" s="81"/>
      <c r="G244" s="81" t="s">
        <v>40</v>
      </c>
      <c r="H244" s="81"/>
      <c r="I244" s="56">
        <v>962</v>
      </c>
      <c r="J244" s="56">
        <v>866</v>
      </c>
      <c r="K244" s="59">
        <v>151.666666666667</v>
      </c>
      <c r="L244" s="84"/>
      <c r="M244" s="84"/>
      <c r="N244" s="64">
        <v>870</v>
      </c>
      <c r="O244" s="64">
        <v>780</v>
      </c>
      <c r="P244" s="64">
        <v>675</v>
      </c>
      <c r="Q244" s="44" t="s">
        <v>54</v>
      </c>
      <c r="R244" s="69"/>
      <c r="S244" s="44" t="s">
        <v>446</v>
      </c>
      <c r="T244" s="45" t="s">
        <v>813</v>
      </c>
      <c r="U244" s="45">
        <v>33120301203</v>
      </c>
      <c r="V244" s="45" t="s">
        <v>814</v>
      </c>
      <c r="W244" s="43" t="s">
        <v>43</v>
      </c>
      <c r="X244" s="71" t="s">
        <v>43</v>
      </c>
      <c r="Y244" s="71" t="s">
        <v>40</v>
      </c>
      <c r="Z244" s="48" t="s">
        <v>43</v>
      </c>
      <c r="AA244" s="75">
        <v>1390</v>
      </c>
      <c r="AB244" s="75">
        <v>1250</v>
      </c>
      <c r="AC244" s="80">
        <v>1390</v>
      </c>
      <c r="AD244" s="80">
        <v>1315</v>
      </c>
      <c r="AE244" s="80">
        <v>1115</v>
      </c>
      <c r="AF244" s="79">
        <f t="shared" si="30"/>
        <v>12</v>
      </c>
      <c r="AG244" s="79" t="str">
        <f t="shared" si="31"/>
        <v>输尿管部分切除费</v>
      </c>
      <c r="AH244" s="79">
        <f t="shared" si="32"/>
        <v>3770</v>
      </c>
      <c r="AI244" s="79">
        <f t="shared" si="33"/>
        <v>3380</v>
      </c>
      <c r="AJ244" s="79">
        <f t="shared" si="34"/>
        <v>2925</v>
      </c>
    </row>
    <row r="245" ht="20" customHeight="1" spans="1:36">
      <c r="A245" s="81" t="s">
        <v>81</v>
      </c>
      <c r="B245" s="114" t="s">
        <v>789</v>
      </c>
      <c r="C245" s="81" t="s">
        <v>790</v>
      </c>
      <c r="D245" s="81" t="s">
        <v>213</v>
      </c>
      <c r="E245" s="81"/>
      <c r="F245" s="81"/>
      <c r="G245" s="81" t="s">
        <v>40</v>
      </c>
      <c r="H245" s="81"/>
      <c r="I245" s="56">
        <v>962</v>
      </c>
      <c r="J245" s="56">
        <v>866</v>
      </c>
      <c r="K245" s="59">
        <v>151.666666666667</v>
      </c>
      <c r="L245" s="84"/>
      <c r="M245" s="84"/>
      <c r="N245" s="64">
        <v>870</v>
      </c>
      <c r="O245" s="64">
        <v>780</v>
      </c>
      <c r="P245" s="64">
        <v>675</v>
      </c>
      <c r="Q245" s="44" t="s">
        <v>54</v>
      </c>
      <c r="R245" s="69"/>
      <c r="S245" s="44" t="s">
        <v>446</v>
      </c>
      <c r="T245" s="45" t="s">
        <v>815</v>
      </c>
      <c r="U245" s="45">
        <v>33110200801</v>
      </c>
      <c r="V245" s="45" t="s">
        <v>816</v>
      </c>
      <c r="W245" s="43" t="s">
        <v>43</v>
      </c>
      <c r="X245" s="71" t="s">
        <v>43</v>
      </c>
      <c r="Y245" s="71" t="s">
        <v>40</v>
      </c>
      <c r="Z245" s="48" t="s">
        <v>43</v>
      </c>
      <c r="AA245" s="75">
        <v>2105</v>
      </c>
      <c r="AB245" s="75">
        <v>1900</v>
      </c>
      <c r="AC245" s="80">
        <v>1950</v>
      </c>
      <c r="AD245" s="80">
        <v>1870</v>
      </c>
      <c r="AE245" s="80">
        <v>1590</v>
      </c>
      <c r="AF245" s="79">
        <f t="shared" si="30"/>
        <v>12</v>
      </c>
      <c r="AG245" s="79" t="str">
        <f t="shared" si="31"/>
        <v>输尿管部分切除费</v>
      </c>
      <c r="AH245" s="79">
        <f t="shared" si="32"/>
        <v>3770</v>
      </c>
      <c r="AI245" s="79">
        <f t="shared" si="33"/>
        <v>3380</v>
      </c>
      <c r="AJ245" s="79">
        <f t="shared" si="34"/>
        <v>2925</v>
      </c>
    </row>
    <row r="246" ht="20" customHeight="1" spans="1:36">
      <c r="A246" s="81" t="s">
        <v>81</v>
      </c>
      <c r="B246" s="114" t="s">
        <v>789</v>
      </c>
      <c r="C246" s="81" t="s">
        <v>790</v>
      </c>
      <c r="D246" s="81" t="s">
        <v>213</v>
      </c>
      <c r="E246" s="81"/>
      <c r="F246" s="81"/>
      <c r="G246" s="81" t="s">
        <v>40</v>
      </c>
      <c r="H246" s="81"/>
      <c r="I246" s="56">
        <v>962</v>
      </c>
      <c r="J246" s="56">
        <v>866</v>
      </c>
      <c r="K246" s="59">
        <v>151.666666666667</v>
      </c>
      <c r="L246" s="84"/>
      <c r="M246" s="84"/>
      <c r="N246" s="64">
        <v>870</v>
      </c>
      <c r="O246" s="64">
        <v>780</v>
      </c>
      <c r="P246" s="64">
        <v>675</v>
      </c>
      <c r="Q246" s="44" t="s">
        <v>54</v>
      </c>
      <c r="R246" s="69"/>
      <c r="S246" s="44" t="s">
        <v>446</v>
      </c>
      <c r="T246" s="45" t="s">
        <v>817</v>
      </c>
      <c r="U246" s="45">
        <v>33110200803</v>
      </c>
      <c r="V246" s="45" t="s">
        <v>818</v>
      </c>
      <c r="W246" s="43" t="s">
        <v>43</v>
      </c>
      <c r="X246" s="71" t="s">
        <v>43</v>
      </c>
      <c r="Y246" s="71" t="s">
        <v>40</v>
      </c>
      <c r="Z246" s="48" t="s">
        <v>43</v>
      </c>
      <c r="AA246" s="75">
        <v>2905</v>
      </c>
      <c r="AB246" s="75">
        <v>2620</v>
      </c>
      <c r="AC246" s="80">
        <v>2575</v>
      </c>
      <c r="AD246" s="80">
        <v>2470</v>
      </c>
      <c r="AE246" s="80">
        <v>2100</v>
      </c>
      <c r="AF246" s="79">
        <f t="shared" si="30"/>
        <v>12</v>
      </c>
      <c r="AG246" s="79" t="str">
        <f t="shared" si="31"/>
        <v>输尿管部分切除费</v>
      </c>
      <c r="AH246" s="79">
        <f t="shared" si="32"/>
        <v>3770</v>
      </c>
      <c r="AI246" s="79">
        <f t="shared" si="33"/>
        <v>3380</v>
      </c>
      <c r="AJ246" s="79">
        <f t="shared" si="34"/>
        <v>2925</v>
      </c>
    </row>
    <row r="247" ht="20" customHeight="1" spans="1:36">
      <c r="A247" s="81" t="s">
        <v>81</v>
      </c>
      <c r="B247" s="114" t="s">
        <v>789</v>
      </c>
      <c r="C247" s="81" t="s">
        <v>790</v>
      </c>
      <c r="D247" s="81" t="s">
        <v>213</v>
      </c>
      <c r="E247" s="81"/>
      <c r="F247" s="81"/>
      <c r="G247" s="81" t="s">
        <v>40</v>
      </c>
      <c r="H247" s="81"/>
      <c r="I247" s="56">
        <v>962</v>
      </c>
      <c r="J247" s="56">
        <v>866</v>
      </c>
      <c r="K247" s="59">
        <v>151.666666666667</v>
      </c>
      <c r="L247" s="84"/>
      <c r="M247" s="84"/>
      <c r="N247" s="64">
        <v>870</v>
      </c>
      <c r="O247" s="64">
        <v>780</v>
      </c>
      <c r="P247" s="64">
        <v>675</v>
      </c>
      <c r="Q247" s="44" t="s">
        <v>54</v>
      </c>
      <c r="R247" s="69"/>
      <c r="S247" s="44" t="s">
        <v>446</v>
      </c>
      <c r="T247" s="45" t="s">
        <v>819</v>
      </c>
      <c r="U247" s="45">
        <v>33110201201</v>
      </c>
      <c r="V247" s="45" t="s">
        <v>820</v>
      </c>
      <c r="W247" s="43" t="s">
        <v>43</v>
      </c>
      <c r="X247" s="71" t="s">
        <v>43</v>
      </c>
      <c r="Y247" s="71" t="s">
        <v>40</v>
      </c>
      <c r="Z247" s="48" t="s">
        <v>43</v>
      </c>
      <c r="AA247" s="75">
        <v>2745</v>
      </c>
      <c r="AB247" s="75">
        <v>2470</v>
      </c>
      <c r="AC247" s="80">
        <v>2420</v>
      </c>
      <c r="AD247" s="80">
        <v>2170</v>
      </c>
      <c r="AE247" s="80">
        <v>1845</v>
      </c>
      <c r="AF247" s="79">
        <f t="shared" si="30"/>
        <v>12</v>
      </c>
      <c r="AG247" s="79" t="str">
        <f t="shared" si="31"/>
        <v>输尿管部分切除费</v>
      </c>
      <c r="AH247" s="79">
        <f t="shared" si="32"/>
        <v>3770</v>
      </c>
      <c r="AI247" s="79">
        <f t="shared" si="33"/>
        <v>3380</v>
      </c>
      <c r="AJ247" s="79">
        <f t="shared" si="34"/>
        <v>2925</v>
      </c>
    </row>
    <row r="248" ht="20" customHeight="1" spans="1:36">
      <c r="A248" s="81" t="s">
        <v>81</v>
      </c>
      <c r="B248" s="114" t="s">
        <v>789</v>
      </c>
      <c r="C248" s="81" t="s">
        <v>790</v>
      </c>
      <c r="D248" s="81" t="s">
        <v>213</v>
      </c>
      <c r="E248" s="81"/>
      <c r="F248" s="81"/>
      <c r="G248" s="81" t="s">
        <v>40</v>
      </c>
      <c r="H248" s="81"/>
      <c r="I248" s="56">
        <v>962</v>
      </c>
      <c r="J248" s="56">
        <v>866</v>
      </c>
      <c r="K248" s="59">
        <v>151.666666666667</v>
      </c>
      <c r="L248" s="84"/>
      <c r="M248" s="84"/>
      <c r="N248" s="64">
        <v>870</v>
      </c>
      <c r="O248" s="64">
        <v>780</v>
      </c>
      <c r="P248" s="64">
        <v>675</v>
      </c>
      <c r="Q248" s="44" t="s">
        <v>54</v>
      </c>
      <c r="R248" s="69"/>
      <c r="S248" s="44" t="s">
        <v>446</v>
      </c>
      <c r="T248" s="45" t="s">
        <v>821</v>
      </c>
      <c r="U248" s="45">
        <v>33110201203</v>
      </c>
      <c r="V248" s="45" t="s">
        <v>822</v>
      </c>
      <c r="W248" s="43" t="s">
        <v>43</v>
      </c>
      <c r="X248" s="71" t="s">
        <v>43</v>
      </c>
      <c r="Y248" s="71" t="s">
        <v>40</v>
      </c>
      <c r="Z248" s="48" t="s">
        <v>43</v>
      </c>
      <c r="AA248" s="75">
        <v>3545</v>
      </c>
      <c r="AB248" s="75">
        <v>3190</v>
      </c>
      <c r="AC248" s="80">
        <v>3045</v>
      </c>
      <c r="AD248" s="80">
        <v>2770</v>
      </c>
      <c r="AE248" s="80">
        <v>2355</v>
      </c>
      <c r="AF248" s="79">
        <f t="shared" si="30"/>
        <v>12</v>
      </c>
      <c r="AG248" s="79" t="str">
        <f t="shared" si="31"/>
        <v>输尿管部分切除费</v>
      </c>
      <c r="AH248" s="79">
        <f t="shared" si="32"/>
        <v>3770</v>
      </c>
      <c r="AI248" s="79">
        <f t="shared" si="33"/>
        <v>3380</v>
      </c>
      <c r="AJ248" s="79">
        <f t="shared" si="34"/>
        <v>2925</v>
      </c>
    </row>
    <row r="249" ht="51" spans="1:36">
      <c r="A249" s="44">
        <v>50</v>
      </c>
      <c r="B249" s="44" t="s">
        <v>823</v>
      </c>
      <c r="C249" s="44" t="s">
        <v>824</v>
      </c>
      <c r="D249" s="44" t="s">
        <v>213</v>
      </c>
      <c r="E249" s="44" t="s">
        <v>825</v>
      </c>
      <c r="F249" s="44" t="s">
        <v>826</v>
      </c>
      <c r="G249" s="44" t="s">
        <v>40</v>
      </c>
      <c r="H249" s="44">
        <v>1.31752963194011</v>
      </c>
      <c r="I249" s="56">
        <v>4224</v>
      </c>
      <c r="J249" s="56">
        <v>3802</v>
      </c>
      <c r="K249" s="59">
        <v>3686.23376623377</v>
      </c>
      <c r="L249" s="59">
        <v>3376.26373626374</v>
      </c>
      <c r="M249" s="59">
        <v>3160</v>
      </c>
      <c r="N249" s="64">
        <v>3800</v>
      </c>
      <c r="O249" s="64">
        <v>3420</v>
      </c>
      <c r="P249" s="64">
        <v>2950</v>
      </c>
      <c r="Q249" s="44" t="s">
        <v>54</v>
      </c>
      <c r="R249" s="70" t="s">
        <v>67</v>
      </c>
      <c r="S249" s="44" t="s">
        <v>827</v>
      </c>
      <c r="T249" s="43" t="s">
        <v>828</v>
      </c>
      <c r="U249" s="71">
        <v>331101011</v>
      </c>
      <c r="V249" s="43" t="s">
        <v>829</v>
      </c>
      <c r="W249" s="43" t="s">
        <v>43</v>
      </c>
      <c r="X249" s="71" t="s">
        <v>43</v>
      </c>
      <c r="Y249" s="71" t="s">
        <v>40</v>
      </c>
      <c r="Z249" s="48" t="s">
        <v>43</v>
      </c>
      <c r="AA249" s="75">
        <v>3460</v>
      </c>
      <c r="AB249" s="75">
        <v>3110</v>
      </c>
      <c r="AC249" s="80">
        <v>3040</v>
      </c>
      <c r="AD249" s="80">
        <v>2740</v>
      </c>
      <c r="AE249" s="80">
        <v>2330</v>
      </c>
      <c r="AF249" s="79">
        <f t="shared" si="30"/>
        <v>0</v>
      </c>
      <c r="AG249" s="79" t="str">
        <f t="shared" si="31"/>
        <v>肾输尿管全长切除费</v>
      </c>
      <c r="AH249" s="79">
        <f t="shared" si="32"/>
        <v>3800</v>
      </c>
      <c r="AI249" s="79">
        <f t="shared" si="33"/>
        <v>3420</v>
      </c>
      <c r="AJ249" s="79">
        <f t="shared" si="34"/>
        <v>2950</v>
      </c>
    </row>
    <row r="250" ht="51" spans="1:36">
      <c r="A250" s="44">
        <v>50</v>
      </c>
      <c r="B250" s="44" t="s">
        <v>823</v>
      </c>
      <c r="C250" s="44" t="s">
        <v>824</v>
      </c>
      <c r="D250" s="44" t="s">
        <v>213</v>
      </c>
      <c r="E250" s="44" t="s">
        <v>825</v>
      </c>
      <c r="F250" s="44" t="s">
        <v>826</v>
      </c>
      <c r="G250" s="44" t="s">
        <v>40</v>
      </c>
      <c r="H250" s="44">
        <v>1.31752963194011</v>
      </c>
      <c r="I250" s="56">
        <v>4224</v>
      </c>
      <c r="J250" s="56">
        <v>3802</v>
      </c>
      <c r="K250" s="59">
        <v>3686.23376623377</v>
      </c>
      <c r="L250" s="59">
        <v>3376.26373626374</v>
      </c>
      <c r="M250" s="59">
        <v>3160</v>
      </c>
      <c r="N250" s="64">
        <v>3800</v>
      </c>
      <c r="O250" s="64">
        <v>3420</v>
      </c>
      <c r="P250" s="64">
        <v>2950</v>
      </c>
      <c r="Q250" s="44" t="s">
        <v>54</v>
      </c>
      <c r="R250" s="70" t="s">
        <v>67</v>
      </c>
      <c r="S250" s="44" t="s">
        <v>827</v>
      </c>
      <c r="T250" s="43" t="s">
        <v>830</v>
      </c>
      <c r="U250" s="71">
        <v>33110101102</v>
      </c>
      <c r="V250" s="43" t="s">
        <v>831</v>
      </c>
      <c r="W250" s="43" t="s">
        <v>43</v>
      </c>
      <c r="X250" s="71" t="s">
        <v>43</v>
      </c>
      <c r="Y250" s="71" t="s">
        <v>40</v>
      </c>
      <c r="Z250" s="48" t="s">
        <v>43</v>
      </c>
      <c r="AA250" s="75">
        <v>4260</v>
      </c>
      <c r="AB250" s="75">
        <v>3830</v>
      </c>
      <c r="AC250" s="80">
        <v>3665</v>
      </c>
      <c r="AD250" s="80">
        <v>3340</v>
      </c>
      <c r="AE250" s="80">
        <v>2840</v>
      </c>
      <c r="AF250" s="79">
        <f t="shared" si="30"/>
        <v>0</v>
      </c>
      <c r="AG250" s="79" t="str">
        <f t="shared" si="31"/>
        <v>肾输尿管全长切除费</v>
      </c>
      <c r="AH250" s="79">
        <f t="shared" si="32"/>
        <v>3800</v>
      </c>
      <c r="AI250" s="79">
        <f t="shared" si="33"/>
        <v>3420</v>
      </c>
      <c r="AJ250" s="79">
        <f t="shared" si="34"/>
        <v>2950</v>
      </c>
    </row>
    <row r="251" ht="24" customHeight="1" spans="1:36">
      <c r="A251" s="44">
        <v>50</v>
      </c>
      <c r="B251" s="44" t="s">
        <v>823</v>
      </c>
      <c r="C251" s="44" t="s">
        <v>824</v>
      </c>
      <c r="D251" s="44" t="s">
        <v>213</v>
      </c>
      <c r="E251" s="44" t="s">
        <v>825</v>
      </c>
      <c r="F251" s="44" t="s">
        <v>826</v>
      </c>
      <c r="G251" s="44" t="s">
        <v>40</v>
      </c>
      <c r="H251" s="44">
        <v>1.31752963194011</v>
      </c>
      <c r="I251" s="56">
        <v>4224</v>
      </c>
      <c r="J251" s="56">
        <v>3802</v>
      </c>
      <c r="K251" s="59">
        <v>3686.23376623377</v>
      </c>
      <c r="L251" s="59">
        <v>3376.26373626374</v>
      </c>
      <c r="M251" s="59">
        <v>3160</v>
      </c>
      <c r="N251" s="64">
        <v>3800</v>
      </c>
      <c r="O251" s="64">
        <v>3420</v>
      </c>
      <c r="P251" s="64">
        <v>2950</v>
      </c>
      <c r="Q251" s="44" t="s">
        <v>54</v>
      </c>
      <c r="R251" s="70" t="s">
        <v>67</v>
      </c>
      <c r="S251" s="44" t="s">
        <v>827</v>
      </c>
      <c r="T251" s="43" t="s">
        <v>832</v>
      </c>
      <c r="U251" s="71">
        <v>331102001</v>
      </c>
      <c r="V251" s="43" t="s">
        <v>833</v>
      </c>
      <c r="W251" s="43" t="s">
        <v>834</v>
      </c>
      <c r="X251" s="71" t="s">
        <v>43</v>
      </c>
      <c r="Y251" s="71" t="s">
        <v>40</v>
      </c>
      <c r="Z251" s="48" t="s">
        <v>43</v>
      </c>
      <c r="AA251" s="75">
        <v>4800</v>
      </c>
      <c r="AB251" s="75">
        <v>4320</v>
      </c>
      <c r="AC251" s="80">
        <v>4130</v>
      </c>
      <c r="AD251" s="80">
        <v>3720</v>
      </c>
      <c r="AE251" s="80">
        <v>3160</v>
      </c>
      <c r="AF251" s="79">
        <f t="shared" si="30"/>
        <v>0</v>
      </c>
      <c r="AG251" s="79" t="str">
        <f t="shared" si="31"/>
        <v>肾输尿管全长切除费</v>
      </c>
      <c r="AH251" s="79">
        <f t="shared" si="32"/>
        <v>3800</v>
      </c>
      <c r="AI251" s="79">
        <f t="shared" si="33"/>
        <v>3420</v>
      </c>
      <c r="AJ251" s="79">
        <f t="shared" si="34"/>
        <v>2950</v>
      </c>
    </row>
    <row r="252" ht="51" spans="1:36">
      <c r="A252" s="44">
        <v>50</v>
      </c>
      <c r="B252" s="44" t="s">
        <v>823</v>
      </c>
      <c r="C252" s="44" t="s">
        <v>824</v>
      </c>
      <c r="D252" s="44" t="s">
        <v>213</v>
      </c>
      <c r="E252" s="44" t="s">
        <v>825</v>
      </c>
      <c r="F252" s="44" t="s">
        <v>826</v>
      </c>
      <c r="G252" s="44" t="s">
        <v>40</v>
      </c>
      <c r="H252" s="44">
        <v>1.31752963194011</v>
      </c>
      <c r="I252" s="56">
        <v>4224</v>
      </c>
      <c r="J252" s="56">
        <v>3802</v>
      </c>
      <c r="K252" s="59">
        <v>3686.23376623377</v>
      </c>
      <c r="L252" s="59">
        <v>3376.26373626374</v>
      </c>
      <c r="M252" s="59">
        <v>3160</v>
      </c>
      <c r="N252" s="64">
        <v>3800</v>
      </c>
      <c r="O252" s="64">
        <v>3420</v>
      </c>
      <c r="P252" s="64">
        <v>2950</v>
      </c>
      <c r="Q252" s="44" t="s">
        <v>54</v>
      </c>
      <c r="R252" s="70" t="s">
        <v>67</v>
      </c>
      <c r="S252" s="44" t="s">
        <v>827</v>
      </c>
      <c r="T252" s="43" t="s">
        <v>835</v>
      </c>
      <c r="U252" s="71">
        <v>33110200102</v>
      </c>
      <c r="V252" s="43" t="s">
        <v>836</v>
      </c>
      <c r="W252" s="43" t="s">
        <v>43</v>
      </c>
      <c r="X252" s="71" t="s">
        <v>43</v>
      </c>
      <c r="Y252" s="71" t="s">
        <v>40</v>
      </c>
      <c r="Z252" s="48" t="s">
        <v>43</v>
      </c>
      <c r="AA252" s="75">
        <v>5600</v>
      </c>
      <c r="AB252" s="75">
        <v>5040</v>
      </c>
      <c r="AC252" s="80">
        <v>4755</v>
      </c>
      <c r="AD252" s="80">
        <v>4320</v>
      </c>
      <c r="AE252" s="80">
        <v>3670</v>
      </c>
      <c r="AF252" s="79">
        <f t="shared" si="30"/>
        <v>0</v>
      </c>
      <c r="AG252" s="79" t="str">
        <f t="shared" si="31"/>
        <v>肾输尿管全长切除费</v>
      </c>
      <c r="AH252" s="79">
        <f t="shared" si="32"/>
        <v>3800</v>
      </c>
      <c r="AI252" s="79">
        <f t="shared" si="33"/>
        <v>3420</v>
      </c>
      <c r="AJ252" s="79">
        <f t="shared" si="34"/>
        <v>2950</v>
      </c>
    </row>
    <row r="253" ht="51" spans="1:36">
      <c r="A253" s="44">
        <v>50</v>
      </c>
      <c r="B253" s="44" t="s">
        <v>823</v>
      </c>
      <c r="C253" s="44" t="s">
        <v>824</v>
      </c>
      <c r="D253" s="44" t="s">
        <v>213</v>
      </c>
      <c r="E253" s="44" t="s">
        <v>825</v>
      </c>
      <c r="F253" s="44" t="s">
        <v>826</v>
      </c>
      <c r="G253" s="44" t="s">
        <v>40</v>
      </c>
      <c r="H253" s="44">
        <v>1.31752963194011</v>
      </c>
      <c r="I253" s="56">
        <v>4224</v>
      </c>
      <c r="J253" s="56">
        <v>3802</v>
      </c>
      <c r="K253" s="59">
        <v>3686.23376623377</v>
      </c>
      <c r="L253" s="59">
        <v>3376.26373626374</v>
      </c>
      <c r="M253" s="59">
        <v>3160</v>
      </c>
      <c r="N253" s="64">
        <v>3800</v>
      </c>
      <c r="O253" s="64">
        <v>3420</v>
      </c>
      <c r="P253" s="64">
        <v>2950</v>
      </c>
      <c r="Q253" s="44" t="s">
        <v>54</v>
      </c>
      <c r="R253" s="70" t="s">
        <v>67</v>
      </c>
      <c r="S253" s="44" t="s">
        <v>827</v>
      </c>
      <c r="T253" s="43" t="s">
        <v>547</v>
      </c>
      <c r="U253" s="71">
        <v>331101006</v>
      </c>
      <c r="V253" s="43" t="s">
        <v>548</v>
      </c>
      <c r="W253" s="43" t="s">
        <v>43</v>
      </c>
      <c r="X253" s="71" t="s">
        <v>43</v>
      </c>
      <c r="Y253" s="71" t="s">
        <v>40</v>
      </c>
      <c r="Z253" s="48" t="s">
        <v>43</v>
      </c>
      <c r="AA253" s="75">
        <v>2500</v>
      </c>
      <c r="AB253" s="75">
        <v>2240</v>
      </c>
      <c r="AC253" s="80">
        <v>2190</v>
      </c>
      <c r="AD253" s="80">
        <v>1970</v>
      </c>
      <c r="AE253" s="80">
        <v>1670</v>
      </c>
      <c r="AF253" s="79">
        <f t="shared" si="30"/>
        <v>0</v>
      </c>
      <c r="AG253" s="79" t="str">
        <f t="shared" si="31"/>
        <v>肾输尿管全长切除费</v>
      </c>
      <c r="AH253" s="79">
        <f t="shared" si="32"/>
        <v>3800</v>
      </c>
      <c r="AI253" s="79">
        <f t="shared" si="33"/>
        <v>3420</v>
      </c>
      <c r="AJ253" s="79">
        <f t="shared" si="34"/>
        <v>2950</v>
      </c>
    </row>
    <row r="254" ht="51" spans="1:36">
      <c r="A254" s="44">
        <v>50</v>
      </c>
      <c r="B254" s="44" t="s">
        <v>823</v>
      </c>
      <c r="C254" s="44" t="s">
        <v>824</v>
      </c>
      <c r="D254" s="44" t="s">
        <v>213</v>
      </c>
      <c r="E254" s="44" t="s">
        <v>825</v>
      </c>
      <c r="F254" s="44" t="s">
        <v>826</v>
      </c>
      <c r="G254" s="44" t="s">
        <v>40</v>
      </c>
      <c r="H254" s="44">
        <v>1.31752963194011</v>
      </c>
      <c r="I254" s="56">
        <v>4224</v>
      </c>
      <c r="J254" s="56">
        <v>3802</v>
      </c>
      <c r="K254" s="59">
        <v>3686.23376623377</v>
      </c>
      <c r="L254" s="59">
        <v>3376.26373626374</v>
      </c>
      <c r="M254" s="59">
        <v>3160</v>
      </c>
      <c r="N254" s="64">
        <v>3800</v>
      </c>
      <c r="O254" s="64">
        <v>3420</v>
      </c>
      <c r="P254" s="64">
        <v>2950</v>
      </c>
      <c r="Q254" s="44" t="s">
        <v>54</v>
      </c>
      <c r="R254" s="70" t="s">
        <v>67</v>
      </c>
      <c r="S254" s="44" t="s">
        <v>827</v>
      </c>
      <c r="T254" s="43" t="s">
        <v>550</v>
      </c>
      <c r="U254" s="71">
        <v>33110100602</v>
      </c>
      <c r="V254" s="43" t="s">
        <v>551</v>
      </c>
      <c r="W254" s="43" t="s">
        <v>43</v>
      </c>
      <c r="X254" s="71" t="s">
        <v>43</v>
      </c>
      <c r="Y254" s="71" t="s">
        <v>40</v>
      </c>
      <c r="Z254" s="48" t="s">
        <v>43</v>
      </c>
      <c r="AA254" s="75">
        <v>3300</v>
      </c>
      <c r="AB254" s="75">
        <v>2960</v>
      </c>
      <c r="AC254" s="80">
        <v>2815</v>
      </c>
      <c r="AD254" s="80">
        <v>2570</v>
      </c>
      <c r="AE254" s="80">
        <v>2180</v>
      </c>
      <c r="AF254" s="79">
        <f t="shared" si="30"/>
        <v>0</v>
      </c>
      <c r="AG254" s="79" t="str">
        <f t="shared" si="31"/>
        <v>肾输尿管全长切除费</v>
      </c>
      <c r="AH254" s="79">
        <f t="shared" si="32"/>
        <v>3800</v>
      </c>
      <c r="AI254" s="79">
        <f t="shared" si="33"/>
        <v>3420</v>
      </c>
      <c r="AJ254" s="79">
        <f t="shared" si="34"/>
        <v>2950</v>
      </c>
    </row>
    <row r="255" ht="24" customHeight="1" spans="1:36">
      <c r="A255" s="81" t="s">
        <v>81</v>
      </c>
      <c r="B255" s="114" t="s">
        <v>837</v>
      </c>
      <c r="C255" s="81" t="s">
        <v>838</v>
      </c>
      <c r="D255" s="81" t="s">
        <v>213</v>
      </c>
      <c r="E255" s="81"/>
      <c r="F255" s="81"/>
      <c r="G255" s="81" t="s">
        <v>40</v>
      </c>
      <c r="H255" s="81"/>
      <c r="I255" s="56">
        <v>1267</v>
      </c>
      <c r="J255" s="56">
        <v>1140</v>
      </c>
      <c r="K255" s="54"/>
      <c r="L255" s="54"/>
      <c r="M255" s="54"/>
      <c r="N255" s="64">
        <v>1140</v>
      </c>
      <c r="O255" s="64">
        <v>1025</v>
      </c>
      <c r="P255" s="64">
        <v>885</v>
      </c>
      <c r="Q255" s="44" t="s">
        <v>54</v>
      </c>
      <c r="R255" s="69"/>
      <c r="S255" s="49"/>
      <c r="T255" s="45" t="s">
        <v>839</v>
      </c>
      <c r="U255" s="45">
        <v>33110101101</v>
      </c>
      <c r="V255" s="45" t="s">
        <v>840</v>
      </c>
      <c r="W255" s="43" t="s">
        <v>43</v>
      </c>
      <c r="X255" s="71" t="s">
        <v>43</v>
      </c>
      <c r="Y255" s="71" t="s">
        <v>40</v>
      </c>
      <c r="Z255" s="48" t="s">
        <v>43</v>
      </c>
      <c r="AA255" s="75">
        <v>4500</v>
      </c>
      <c r="AB255" s="75">
        <v>4045</v>
      </c>
      <c r="AC255" s="80">
        <v>3950</v>
      </c>
      <c r="AD255" s="80">
        <v>3560</v>
      </c>
      <c r="AE255" s="80">
        <v>3025</v>
      </c>
      <c r="AF255" s="79">
        <f t="shared" si="30"/>
        <v>13</v>
      </c>
      <c r="AG255" s="79" t="str">
        <f t="shared" si="31"/>
        <v>肾输尿管全长切除费</v>
      </c>
      <c r="AH255" s="79">
        <f t="shared" si="32"/>
        <v>4940</v>
      </c>
      <c r="AI255" s="79">
        <f t="shared" si="33"/>
        <v>4445</v>
      </c>
      <c r="AJ255" s="79">
        <f t="shared" si="34"/>
        <v>3835</v>
      </c>
    </row>
    <row r="256" ht="24" customHeight="1" spans="1:36">
      <c r="A256" s="81" t="s">
        <v>81</v>
      </c>
      <c r="B256" s="114" t="s">
        <v>837</v>
      </c>
      <c r="C256" s="81" t="s">
        <v>838</v>
      </c>
      <c r="D256" s="81" t="s">
        <v>213</v>
      </c>
      <c r="E256" s="81"/>
      <c r="F256" s="81"/>
      <c r="G256" s="81" t="s">
        <v>40</v>
      </c>
      <c r="H256" s="81"/>
      <c r="I256" s="56">
        <v>1267</v>
      </c>
      <c r="J256" s="56">
        <v>1140</v>
      </c>
      <c r="K256" s="54"/>
      <c r="L256" s="54"/>
      <c r="M256" s="54"/>
      <c r="N256" s="64">
        <v>1140</v>
      </c>
      <c r="O256" s="64">
        <v>1025</v>
      </c>
      <c r="P256" s="64">
        <v>885</v>
      </c>
      <c r="Q256" s="44" t="s">
        <v>54</v>
      </c>
      <c r="R256" s="69"/>
      <c r="S256" s="49"/>
      <c r="T256" s="45" t="s">
        <v>841</v>
      </c>
      <c r="U256" s="45">
        <v>33110101103</v>
      </c>
      <c r="V256" s="45" t="s">
        <v>842</v>
      </c>
      <c r="W256" s="43" t="s">
        <v>43</v>
      </c>
      <c r="X256" s="71" t="s">
        <v>43</v>
      </c>
      <c r="Y256" s="71" t="s">
        <v>40</v>
      </c>
      <c r="Z256" s="48" t="s">
        <v>43</v>
      </c>
      <c r="AA256" s="75">
        <v>5300</v>
      </c>
      <c r="AB256" s="75">
        <v>4765</v>
      </c>
      <c r="AC256" s="80">
        <v>4575</v>
      </c>
      <c r="AD256" s="80">
        <v>4160</v>
      </c>
      <c r="AE256" s="80">
        <v>3535</v>
      </c>
      <c r="AF256" s="79">
        <f t="shared" si="30"/>
        <v>13</v>
      </c>
      <c r="AG256" s="79" t="str">
        <f t="shared" si="31"/>
        <v>肾输尿管全长切除费</v>
      </c>
      <c r="AH256" s="79">
        <f t="shared" si="32"/>
        <v>4940</v>
      </c>
      <c r="AI256" s="79">
        <f t="shared" si="33"/>
        <v>4445</v>
      </c>
      <c r="AJ256" s="79">
        <f t="shared" si="34"/>
        <v>3835</v>
      </c>
    </row>
    <row r="257" ht="24" customHeight="1" spans="1:36">
      <c r="A257" s="81" t="s">
        <v>81</v>
      </c>
      <c r="B257" s="114" t="s">
        <v>837</v>
      </c>
      <c r="C257" s="81" t="s">
        <v>838</v>
      </c>
      <c r="D257" s="81" t="s">
        <v>213</v>
      </c>
      <c r="E257" s="81"/>
      <c r="F257" s="81"/>
      <c r="G257" s="81" t="s">
        <v>40</v>
      </c>
      <c r="H257" s="81"/>
      <c r="I257" s="56">
        <v>1267</v>
      </c>
      <c r="J257" s="56">
        <v>1140</v>
      </c>
      <c r="K257" s="54"/>
      <c r="L257" s="54"/>
      <c r="M257" s="54"/>
      <c r="N257" s="64">
        <v>1140</v>
      </c>
      <c r="O257" s="64">
        <v>1025</v>
      </c>
      <c r="P257" s="64">
        <v>885</v>
      </c>
      <c r="Q257" s="44" t="s">
        <v>54</v>
      </c>
      <c r="R257" s="69"/>
      <c r="S257" s="49"/>
      <c r="T257" s="45" t="s">
        <v>843</v>
      </c>
      <c r="U257" s="45">
        <v>33110200101</v>
      </c>
      <c r="V257" s="45" t="s">
        <v>844</v>
      </c>
      <c r="W257" s="43" t="s">
        <v>43</v>
      </c>
      <c r="X257" s="71" t="s">
        <v>43</v>
      </c>
      <c r="Y257" s="71" t="s">
        <v>40</v>
      </c>
      <c r="Z257" s="48" t="s">
        <v>43</v>
      </c>
      <c r="AA257" s="75">
        <v>6240</v>
      </c>
      <c r="AB257" s="75">
        <v>5615</v>
      </c>
      <c r="AC257" s="80">
        <v>5370</v>
      </c>
      <c r="AD257" s="80">
        <v>4835</v>
      </c>
      <c r="AE257" s="80">
        <v>4110</v>
      </c>
      <c r="AF257" s="79">
        <f t="shared" si="30"/>
        <v>13</v>
      </c>
      <c r="AG257" s="79" t="str">
        <f t="shared" si="31"/>
        <v>肾输尿管全长切除费</v>
      </c>
      <c r="AH257" s="79">
        <f t="shared" si="32"/>
        <v>4940</v>
      </c>
      <c r="AI257" s="79">
        <f t="shared" si="33"/>
        <v>4445</v>
      </c>
      <c r="AJ257" s="79">
        <f t="shared" si="34"/>
        <v>3835</v>
      </c>
    </row>
    <row r="258" ht="24" customHeight="1" spans="1:36">
      <c r="A258" s="81" t="s">
        <v>81</v>
      </c>
      <c r="B258" s="114" t="s">
        <v>837</v>
      </c>
      <c r="C258" s="81" t="s">
        <v>838</v>
      </c>
      <c r="D258" s="81" t="s">
        <v>213</v>
      </c>
      <c r="E258" s="81"/>
      <c r="F258" s="81"/>
      <c r="G258" s="81" t="s">
        <v>40</v>
      </c>
      <c r="H258" s="81"/>
      <c r="I258" s="56">
        <v>1267</v>
      </c>
      <c r="J258" s="56">
        <v>1140</v>
      </c>
      <c r="K258" s="54"/>
      <c r="L258" s="54"/>
      <c r="M258" s="54"/>
      <c r="N258" s="64">
        <v>1140</v>
      </c>
      <c r="O258" s="64">
        <v>1025</v>
      </c>
      <c r="P258" s="64">
        <v>885</v>
      </c>
      <c r="Q258" s="44" t="s">
        <v>54</v>
      </c>
      <c r="R258" s="69"/>
      <c r="S258" s="49"/>
      <c r="T258" s="45" t="s">
        <v>845</v>
      </c>
      <c r="U258" s="45">
        <v>33110200103</v>
      </c>
      <c r="V258" s="45" t="s">
        <v>846</v>
      </c>
      <c r="W258" s="43" t="s">
        <v>43</v>
      </c>
      <c r="X258" s="71" t="s">
        <v>43</v>
      </c>
      <c r="Y258" s="71" t="s">
        <v>40</v>
      </c>
      <c r="Z258" s="48" t="s">
        <v>43</v>
      </c>
      <c r="AA258" s="75">
        <v>7040</v>
      </c>
      <c r="AB258" s="75">
        <v>6335</v>
      </c>
      <c r="AC258" s="80">
        <v>5995</v>
      </c>
      <c r="AD258" s="80">
        <v>5435</v>
      </c>
      <c r="AE258" s="80">
        <v>4620</v>
      </c>
      <c r="AF258" s="79">
        <f t="shared" si="30"/>
        <v>13</v>
      </c>
      <c r="AG258" s="79" t="str">
        <f t="shared" si="31"/>
        <v>肾输尿管全长切除费</v>
      </c>
      <c r="AH258" s="79">
        <f t="shared" si="32"/>
        <v>4940</v>
      </c>
      <c r="AI258" s="79">
        <f t="shared" si="33"/>
        <v>4445</v>
      </c>
      <c r="AJ258" s="79">
        <f t="shared" si="34"/>
        <v>3835</v>
      </c>
    </row>
    <row r="259" ht="24" customHeight="1" spans="1:36">
      <c r="A259" s="81" t="s">
        <v>81</v>
      </c>
      <c r="B259" s="114" t="s">
        <v>837</v>
      </c>
      <c r="C259" s="81" t="s">
        <v>838</v>
      </c>
      <c r="D259" s="81" t="s">
        <v>213</v>
      </c>
      <c r="E259" s="81"/>
      <c r="F259" s="81"/>
      <c r="G259" s="81" t="s">
        <v>40</v>
      </c>
      <c r="H259" s="81"/>
      <c r="I259" s="56">
        <v>1267</v>
      </c>
      <c r="J259" s="56">
        <v>1140</v>
      </c>
      <c r="K259" s="54"/>
      <c r="L259" s="54"/>
      <c r="M259" s="54"/>
      <c r="N259" s="64">
        <v>1140</v>
      </c>
      <c r="O259" s="64">
        <v>1025</v>
      </c>
      <c r="P259" s="64">
        <v>885</v>
      </c>
      <c r="Q259" s="44" t="s">
        <v>54</v>
      </c>
      <c r="R259" s="69"/>
      <c r="S259" s="49"/>
      <c r="T259" s="45" t="s">
        <v>558</v>
      </c>
      <c r="U259" s="45">
        <v>33110100601</v>
      </c>
      <c r="V259" s="45" t="s">
        <v>559</v>
      </c>
      <c r="W259" s="43" t="s">
        <v>43</v>
      </c>
      <c r="X259" s="71" t="s">
        <v>43</v>
      </c>
      <c r="Y259" s="71" t="s">
        <v>40</v>
      </c>
      <c r="Z259" s="48" t="s">
        <v>43</v>
      </c>
      <c r="AA259" s="75">
        <v>3250</v>
      </c>
      <c r="AB259" s="75">
        <v>2910</v>
      </c>
      <c r="AC259" s="80">
        <v>2845</v>
      </c>
      <c r="AD259" s="80">
        <v>2560</v>
      </c>
      <c r="AE259" s="80">
        <v>2175</v>
      </c>
      <c r="AF259" s="79">
        <f t="shared" si="30"/>
        <v>13</v>
      </c>
      <c r="AG259" s="79" t="str">
        <f t="shared" si="31"/>
        <v>肾输尿管全长切除费</v>
      </c>
      <c r="AH259" s="79">
        <f t="shared" si="32"/>
        <v>4940</v>
      </c>
      <c r="AI259" s="79">
        <f t="shared" si="33"/>
        <v>4445</v>
      </c>
      <c r="AJ259" s="79">
        <f t="shared" si="34"/>
        <v>3835</v>
      </c>
    </row>
    <row r="260" ht="24" customHeight="1" spans="1:36">
      <c r="A260" s="81" t="s">
        <v>81</v>
      </c>
      <c r="B260" s="114" t="s">
        <v>837</v>
      </c>
      <c r="C260" s="81" t="s">
        <v>838</v>
      </c>
      <c r="D260" s="81" t="s">
        <v>213</v>
      </c>
      <c r="E260" s="81"/>
      <c r="F260" s="81"/>
      <c r="G260" s="81" t="s">
        <v>40</v>
      </c>
      <c r="H260" s="81"/>
      <c r="I260" s="56">
        <v>1267</v>
      </c>
      <c r="J260" s="56">
        <v>1140</v>
      </c>
      <c r="K260" s="54"/>
      <c r="L260" s="54"/>
      <c r="M260" s="54"/>
      <c r="N260" s="64">
        <v>1140</v>
      </c>
      <c r="O260" s="64">
        <v>1025</v>
      </c>
      <c r="P260" s="64">
        <v>885</v>
      </c>
      <c r="Q260" s="44" t="s">
        <v>54</v>
      </c>
      <c r="R260" s="69"/>
      <c r="S260" s="49"/>
      <c r="T260" s="45" t="s">
        <v>560</v>
      </c>
      <c r="U260" s="45">
        <v>33110100603</v>
      </c>
      <c r="V260" s="45" t="s">
        <v>561</v>
      </c>
      <c r="W260" s="43" t="s">
        <v>43</v>
      </c>
      <c r="X260" s="71" t="s">
        <v>43</v>
      </c>
      <c r="Y260" s="71" t="s">
        <v>40</v>
      </c>
      <c r="Z260" s="48" t="s">
        <v>43</v>
      </c>
      <c r="AA260" s="75">
        <v>4050</v>
      </c>
      <c r="AB260" s="75">
        <v>3630</v>
      </c>
      <c r="AC260" s="80">
        <v>3470</v>
      </c>
      <c r="AD260" s="80">
        <v>3160</v>
      </c>
      <c r="AE260" s="80">
        <v>2685</v>
      </c>
      <c r="AF260" s="79">
        <f t="shared" si="30"/>
        <v>13</v>
      </c>
      <c r="AG260" s="79" t="str">
        <f t="shared" si="31"/>
        <v>肾输尿管全长切除费</v>
      </c>
      <c r="AH260" s="79">
        <f t="shared" si="32"/>
        <v>4940</v>
      </c>
      <c r="AI260" s="79">
        <f t="shared" si="33"/>
        <v>4445</v>
      </c>
      <c r="AJ260" s="79">
        <f t="shared" si="34"/>
        <v>3835</v>
      </c>
    </row>
    <row r="261" ht="38.25" spans="1:36">
      <c r="A261" s="44">
        <v>51</v>
      </c>
      <c r="B261" s="44" t="s">
        <v>847</v>
      </c>
      <c r="C261" s="44" t="s">
        <v>848</v>
      </c>
      <c r="D261" s="44" t="s">
        <v>213</v>
      </c>
      <c r="E261" s="44" t="s">
        <v>849</v>
      </c>
      <c r="F261" s="44" t="s">
        <v>850</v>
      </c>
      <c r="G261" s="44" t="s">
        <v>40</v>
      </c>
      <c r="H261" s="44"/>
      <c r="I261" s="56">
        <v>360</v>
      </c>
      <c r="J261" s="56">
        <v>324</v>
      </c>
      <c r="K261" s="59">
        <v>263.223740759842</v>
      </c>
      <c r="L261" s="59">
        <v>233.509558902061</v>
      </c>
      <c r="M261" s="59">
        <v>235.098214285714</v>
      </c>
      <c r="N261" s="64">
        <v>330</v>
      </c>
      <c r="O261" s="64">
        <v>300</v>
      </c>
      <c r="P261" s="64">
        <v>255</v>
      </c>
      <c r="Q261" s="44" t="s">
        <v>54</v>
      </c>
      <c r="R261" s="70" t="s">
        <v>851</v>
      </c>
      <c r="S261" s="44" t="s">
        <v>852</v>
      </c>
      <c r="T261" s="43" t="s">
        <v>853</v>
      </c>
      <c r="U261" s="71">
        <v>311000027</v>
      </c>
      <c r="V261" s="43" t="s">
        <v>854</v>
      </c>
      <c r="W261" s="43" t="s">
        <v>855</v>
      </c>
      <c r="X261" s="71" t="s">
        <v>856</v>
      </c>
      <c r="Y261" s="71" t="s">
        <v>40</v>
      </c>
      <c r="Z261" s="48" t="s">
        <v>43</v>
      </c>
      <c r="AA261" s="75">
        <v>275</v>
      </c>
      <c r="AB261" s="75">
        <v>250</v>
      </c>
      <c r="AC261" s="80">
        <v>275</v>
      </c>
      <c r="AD261" s="80">
        <v>250</v>
      </c>
      <c r="AE261" s="80">
        <v>212.5</v>
      </c>
      <c r="AF261" s="79">
        <f t="shared" si="30"/>
        <v>0</v>
      </c>
      <c r="AG261" s="79" t="str">
        <f t="shared" si="31"/>
        <v>输尿管支架置入费</v>
      </c>
      <c r="AH261" s="79">
        <f t="shared" si="32"/>
        <v>330</v>
      </c>
      <c r="AI261" s="79">
        <f t="shared" si="33"/>
        <v>300</v>
      </c>
      <c r="AJ261" s="79">
        <f t="shared" si="34"/>
        <v>255</v>
      </c>
    </row>
    <row r="262" ht="38.25" spans="1:36">
      <c r="A262" s="44">
        <v>51</v>
      </c>
      <c r="B262" s="44" t="s">
        <v>847</v>
      </c>
      <c r="C262" s="44" t="s">
        <v>848</v>
      </c>
      <c r="D262" s="44" t="s">
        <v>213</v>
      </c>
      <c r="E262" s="44" t="s">
        <v>849</v>
      </c>
      <c r="F262" s="44" t="s">
        <v>850</v>
      </c>
      <c r="G262" s="44" t="s">
        <v>40</v>
      </c>
      <c r="H262" s="44"/>
      <c r="I262" s="56">
        <v>360</v>
      </c>
      <c r="J262" s="56">
        <v>324</v>
      </c>
      <c r="K262" s="59">
        <v>263.223740759842</v>
      </c>
      <c r="L262" s="59">
        <v>233.509558902061</v>
      </c>
      <c r="M262" s="59">
        <v>235.098214285714</v>
      </c>
      <c r="N262" s="64">
        <v>330</v>
      </c>
      <c r="O262" s="64">
        <v>300</v>
      </c>
      <c r="P262" s="64">
        <v>255</v>
      </c>
      <c r="Q262" s="44" t="s">
        <v>54</v>
      </c>
      <c r="R262" s="70" t="s">
        <v>851</v>
      </c>
      <c r="S262" s="44" t="s">
        <v>852</v>
      </c>
      <c r="T262" s="43" t="s">
        <v>857</v>
      </c>
      <c r="U262" s="71">
        <v>311000029</v>
      </c>
      <c r="V262" s="43" t="s">
        <v>858</v>
      </c>
      <c r="W262" s="43" t="s">
        <v>43</v>
      </c>
      <c r="X262" s="71" t="s">
        <v>43</v>
      </c>
      <c r="Y262" s="71" t="s">
        <v>40</v>
      </c>
      <c r="Z262" s="48" t="s">
        <v>43</v>
      </c>
      <c r="AA262" s="75">
        <v>11</v>
      </c>
      <c r="AB262" s="75">
        <v>10</v>
      </c>
      <c r="AC262" s="80">
        <v>11</v>
      </c>
      <c r="AD262" s="80">
        <v>10</v>
      </c>
      <c r="AE262" s="80">
        <v>8.5</v>
      </c>
      <c r="AF262" s="79">
        <f t="shared" ref="AF262:AF325" si="35">IFERROR(FIND("（加收）",C262,1),0)</f>
        <v>0</v>
      </c>
      <c r="AG262" s="79" t="str">
        <f t="shared" ref="AG262:AG325" si="36">IF(AF262&gt;0,LEFT(C262,IFERROR(FIND("-",C262,1),1)-1),C262)</f>
        <v>输尿管支架置入费</v>
      </c>
      <c r="AH262" s="79">
        <f t="shared" si="32"/>
        <v>330</v>
      </c>
      <c r="AI262" s="79">
        <f t="shared" si="33"/>
        <v>300</v>
      </c>
      <c r="AJ262" s="79">
        <f t="shared" si="34"/>
        <v>255</v>
      </c>
    </row>
    <row r="263" ht="38.25" spans="1:36">
      <c r="A263" s="44">
        <v>51</v>
      </c>
      <c r="B263" s="44" t="s">
        <v>847</v>
      </c>
      <c r="C263" s="44" t="s">
        <v>848</v>
      </c>
      <c r="D263" s="44" t="s">
        <v>213</v>
      </c>
      <c r="E263" s="44" t="s">
        <v>849</v>
      </c>
      <c r="F263" s="44" t="s">
        <v>850</v>
      </c>
      <c r="G263" s="44" t="s">
        <v>40</v>
      </c>
      <c r="H263" s="44"/>
      <c r="I263" s="56">
        <v>360</v>
      </c>
      <c r="J263" s="56">
        <v>324</v>
      </c>
      <c r="K263" s="59">
        <v>263.223740759842</v>
      </c>
      <c r="L263" s="59">
        <v>233.509558902061</v>
      </c>
      <c r="M263" s="59">
        <v>235.098214285714</v>
      </c>
      <c r="N263" s="64">
        <v>330</v>
      </c>
      <c r="O263" s="64">
        <v>300</v>
      </c>
      <c r="P263" s="64">
        <v>255</v>
      </c>
      <c r="Q263" s="44" t="s">
        <v>54</v>
      </c>
      <c r="R263" s="70" t="s">
        <v>851</v>
      </c>
      <c r="S263" s="44" t="s">
        <v>852</v>
      </c>
      <c r="T263" s="43" t="s">
        <v>859</v>
      </c>
      <c r="U263" s="71">
        <v>311000021</v>
      </c>
      <c r="V263" s="43" t="s">
        <v>860</v>
      </c>
      <c r="W263" s="43" t="s">
        <v>43</v>
      </c>
      <c r="X263" s="71" t="s">
        <v>43</v>
      </c>
      <c r="Y263" s="71" t="s">
        <v>48</v>
      </c>
      <c r="Z263" s="48" t="s">
        <v>43</v>
      </c>
      <c r="AA263" s="75">
        <v>220</v>
      </c>
      <c r="AB263" s="75">
        <v>200</v>
      </c>
      <c r="AC263" s="80">
        <v>220</v>
      </c>
      <c r="AD263" s="80">
        <v>200</v>
      </c>
      <c r="AE263" s="80">
        <v>170</v>
      </c>
      <c r="AF263" s="79">
        <f t="shared" si="35"/>
        <v>0</v>
      </c>
      <c r="AG263" s="79" t="str">
        <f t="shared" si="36"/>
        <v>输尿管支架置入费</v>
      </c>
      <c r="AH263" s="79">
        <f t="shared" si="32"/>
        <v>330</v>
      </c>
      <c r="AI263" s="79">
        <f t="shared" si="33"/>
        <v>300</v>
      </c>
      <c r="AJ263" s="79">
        <f t="shared" si="34"/>
        <v>255</v>
      </c>
    </row>
    <row r="264" ht="31" customHeight="1" spans="1:36">
      <c r="A264" s="44">
        <v>51</v>
      </c>
      <c r="B264" s="44" t="s">
        <v>847</v>
      </c>
      <c r="C264" s="44" t="s">
        <v>848</v>
      </c>
      <c r="D264" s="44" t="s">
        <v>213</v>
      </c>
      <c r="E264" s="44" t="s">
        <v>849</v>
      </c>
      <c r="F264" s="44" t="s">
        <v>850</v>
      </c>
      <c r="G264" s="44" t="s">
        <v>40</v>
      </c>
      <c r="H264" s="44"/>
      <c r="I264" s="56">
        <v>360</v>
      </c>
      <c r="J264" s="56">
        <v>324</v>
      </c>
      <c r="K264" s="59">
        <v>263.223740759842</v>
      </c>
      <c r="L264" s="59">
        <v>233.509558902061</v>
      </c>
      <c r="M264" s="59">
        <v>235.098214285714</v>
      </c>
      <c r="N264" s="64">
        <v>330</v>
      </c>
      <c r="O264" s="64">
        <v>300</v>
      </c>
      <c r="P264" s="64">
        <v>255</v>
      </c>
      <c r="Q264" s="44" t="s">
        <v>54</v>
      </c>
      <c r="R264" s="70" t="s">
        <v>851</v>
      </c>
      <c r="S264" s="44" t="s">
        <v>852</v>
      </c>
      <c r="T264" s="43" t="s">
        <v>861</v>
      </c>
      <c r="U264" s="71">
        <v>311000028</v>
      </c>
      <c r="V264" s="43" t="s">
        <v>862</v>
      </c>
      <c r="W264" s="43" t="s">
        <v>855</v>
      </c>
      <c r="X264" s="71" t="s">
        <v>856</v>
      </c>
      <c r="Y264" s="71" t="s">
        <v>40</v>
      </c>
      <c r="Z264" s="48" t="s">
        <v>43</v>
      </c>
      <c r="AA264" s="75">
        <v>220</v>
      </c>
      <c r="AB264" s="75">
        <v>200</v>
      </c>
      <c r="AC264" s="80">
        <v>220</v>
      </c>
      <c r="AD264" s="80">
        <v>200</v>
      </c>
      <c r="AE264" s="80">
        <v>170</v>
      </c>
      <c r="AF264" s="79">
        <f t="shared" si="35"/>
        <v>0</v>
      </c>
      <c r="AG264" s="79" t="str">
        <f t="shared" si="36"/>
        <v>输尿管支架置入费</v>
      </c>
      <c r="AH264" s="79">
        <f t="shared" si="32"/>
        <v>330</v>
      </c>
      <c r="AI264" s="79">
        <f t="shared" si="33"/>
        <v>300</v>
      </c>
      <c r="AJ264" s="79">
        <f t="shared" si="34"/>
        <v>255</v>
      </c>
    </row>
    <row r="265" ht="36" customHeight="1" spans="1:36">
      <c r="A265" s="44">
        <v>52</v>
      </c>
      <c r="B265" s="44" t="s">
        <v>865</v>
      </c>
      <c r="C265" s="44" t="s">
        <v>866</v>
      </c>
      <c r="D265" s="44" t="s">
        <v>213</v>
      </c>
      <c r="E265" s="44" t="s">
        <v>867</v>
      </c>
      <c r="F265" s="44" t="s">
        <v>868</v>
      </c>
      <c r="G265" s="44" t="s">
        <v>40</v>
      </c>
      <c r="H265" s="44"/>
      <c r="I265" s="56">
        <v>350</v>
      </c>
      <c r="J265" s="56">
        <v>315</v>
      </c>
      <c r="K265" s="59">
        <v>256.82962962963</v>
      </c>
      <c r="L265" s="59">
        <v>245.645592163847</v>
      </c>
      <c r="M265" s="59">
        <v>210.126745040411</v>
      </c>
      <c r="N265" s="64">
        <v>320</v>
      </c>
      <c r="O265" s="64">
        <v>290</v>
      </c>
      <c r="P265" s="64">
        <v>245</v>
      </c>
      <c r="Q265" s="44" t="s">
        <v>54</v>
      </c>
      <c r="R265" s="70" t="s">
        <v>851</v>
      </c>
      <c r="S265" s="44" t="s">
        <v>852</v>
      </c>
      <c r="T265" s="43" t="s">
        <v>869</v>
      </c>
      <c r="U265" s="71">
        <v>31100002801</v>
      </c>
      <c r="V265" s="43" t="s">
        <v>870</v>
      </c>
      <c r="W265" s="43" t="s">
        <v>43</v>
      </c>
      <c r="X265" s="71" t="s">
        <v>43</v>
      </c>
      <c r="Y265" s="71" t="s">
        <v>40</v>
      </c>
      <c r="Z265" s="48" t="s">
        <v>871</v>
      </c>
      <c r="AA265" s="75">
        <v>220</v>
      </c>
      <c r="AB265" s="75">
        <v>200</v>
      </c>
      <c r="AC265" s="80">
        <v>220</v>
      </c>
      <c r="AD265" s="80">
        <v>200</v>
      </c>
      <c r="AE265" s="80">
        <v>170</v>
      </c>
      <c r="AF265" s="79">
        <f t="shared" si="35"/>
        <v>0</v>
      </c>
      <c r="AG265" s="79" t="str">
        <f t="shared" si="36"/>
        <v>输尿管支架取出费</v>
      </c>
      <c r="AH265" s="79">
        <f t="shared" si="32"/>
        <v>320</v>
      </c>
      <c r="AI265" s="79">
        <f t="shared" si="33"/>
        <v>290</v>
      </c>
      <c r="AJ265" s="79">
        <f t="shared" si="34"/>
        <v>245</v>
      </c>
    </row>
    <row r="266" ht="36" customHeight="1" spans="1:36">
      <c r="A266" s="44">
        <v>52</v>
      </c>
      <c r="B266" s="44" t="s">
        <v>865</v>
      </c>
      <c r="C266" s="44" t="s">
        <v>866</v>
      </c>
      <c r="D266" s="44" t="s">
        <v>213</v>
      </c>
      <c r="E266" s="44" t="s">
        <v>867</v>
      </c>
      <c r="F266" s="44" t="s">
        <v>868</v>
      </c>
      <c r="G266" s="44" t="s">
        <v>40</v>
      </c>
      <c r="H266" s="44"/>
      <c r="I266" s="56">
        <v>350</v>
      </c>
      <c r="J266" s="56">
        <v>315</v>
      </c>
      <c r="K266" s="59">
        <v>256.82962962963</v>
      </c>
      <c r="L266" s="59">
        <v>245.645592163847</v>
      </c>
      <c r="M266" s="59">
        <v>210.126745040411</v>
      </c>
      <c r="N266" s="64">
        <v>320</v>
      </c>
      <c r="O266" s="64">
        <v>290</v>
      </c>
      <c r="P266" s="64">
        <v>245</v>
      </c>
      <c r="Q266" s="44" t="s">
        <v>54</v>
      </c>
      <c r="R266" s="70" t="s">
        <v>851</v>
      </c>
      <c r="S266" s="44" t="s">
        <v>852</v>
      </c>
      <c r="T266" s="43" t="s">
        <v>872</v>
      </c>
      <c r="U266" s="71">
        <v>31100002701</v>
      </c>
      <c r="V266" s="43" t="s">
        <v>873</v>
      </c>
      <c r="W266" s="43" t="s">
        <v>43</v>
      </c>
      <c r="X266" s="71" t="s">
        <v>43</v>
      </c>
      <c r="Y266" s="71" t="s">
        <v>40</v>
      </c>
      <c r="Z266" s="48" t="s">
        <v>871</v>
      </c>
      <c r="AA266" s="75">
        <v>275</v>
      </c>
      <c r="AB266" s="75">
        <v>250</v>
      </c>
      <c r="AC266" s="80">
        <v>275</v>
      </c>
      <c r="AD266" s="80">
        <v>250</v>
      </c>
      <c r="AE266" s="80">
        <v>212.5</v>
      </c>
      <c r="AF266" s="79">
        <f t="shared" si="35"/>
        <v>0</v>
      </c>
      <c r="AG266" s="79" t="str">
        <f t="shared" si="36"/>
        <v>输尿管支架取出费</v>
      </c>
      <c r="AH266" s="79">
        <f t="shared" si="32"/>
        <v>320</v>
      </c>
      <c r="AI266" s="79">
        <f t="shared" si="33"/>
        <v>290</v>
      </c>
      <c r="AJ266" s="79">
        <f t="shared" si="34"/>
        <v>245</v>
      </c>
    </row>
    <row r="267" ht="51" spans="1:36">
      <c r="A267" s="44">
        <v>53</v>
      </c>
      <c r="B267" s="44" t="s">
        <v>876</v>
      </c>
      <c r="C267" s="44" t="s">
        <v>877</v>
      </c>
      <c r="D267" s="44" t="s">
        <v>213</v>
      </c>
      <c r="E267" s="44" t="s">
        <v>878</v>
      </c>
      <c r="F267" s="44" t="s">
        <v>879</v>
      </c>
      <c r="G267" s="44" t="s">
        <v>40</v>
      </c>
      <c r="H267" s="44"/>
      <c r="I267" s="56">
        <v>1217</v>
      </c>
      <c r="J267" s="56">
        <v>1095</v>
      </c>
      <c r="K267" s="59">
        <v>770.27027027027</v>
      </c>
      <c r="L267" s="59">
        <v>972.151898734177</v>
      </c>
      <c r="M267" s="59">
        <v>612</v>
      </c>
      <c r="N267" s="64">
        <v>1070</v>
      </c>
      <c r="O267" s="64">
        <v>970</v>
      </c>
      <c r="P267" s="64">
        <v>820</v>
      </c>
      <c r="Q267" s="44" t="s">
        <v>54</v>
      </c>
      <c r="R267" s="70" t="s">
        <v>67</v>
      </c>
      <c r="S267" s="44" t="s">
        <v>880</v>
      </c>
      <c r="T267" s="43" t="s">
        <v>881</v>
      </c>
      <c r="U267" s="71">
        <v>331103022</v>
      </c>
      <c r="V267" s="43" t="s">
        <v>882</v>
      </c>
      <c r="W267" s="43" t="s">
        <v>43</v>
      </c>
      <c r="X267" s="71" t="s">
        <v>883</v>
      </c>
      <c r="Y267" s="71" t="s">
        <v>40</v>
      </c>
      <c r="Z267" s="48" t="s">
        <v>43</v>
      </c>
      <c r="AA267" s="75">
        <v>1620</v>
      </c>
      <c r="AB267" s="75">
        <v>1460</v>
      </c>
      <c r="AC267" s="80">
        <v>1500</v>
      </c>
      <c r="AD267" s="80">
        <v>1440</v>
      </c>
      <c r="AE267" s="80">
        <v>1224</v>
      </c>
      <c r="AF267" s="79">
        <f t="shared" si="35"/>
        <v>0</v>
      </c>
      <c r="AG267" s="79" t="str">
        <f t="shared" si="36"/>
        <v>膀胱颈/尿道悬吊费</v>
      </c>
      <c r="AH267" s="79">
        <f t="shared" si="32"/>
        <v>1070</v>
      </c>
      <c r="AI267" s="79">
        <f t="shared" si="33"/>
        <v>970</v>
      </c>
      <c r="AJ267" s="79">
        <f t="shared" si="34"/>
        <v>820</v>
      </c>
    </row>
    <row r="268" ht="51" spans="1:36">
      <c r="A268" s="44">
        <v>53</v>
      </c>
      <c r="B268" s="44" t="s">
        <v>876</v>
      </c>
      <c r="C268" s="44" t="s">
        <v>877</v>
      </c>
      <c r="D268" s="44" t="s">
        <v>213</v>
      </c>
      <c r="E268" s="44" t="s">
        <v>878</v>
      </c>
      <c r="F268" s="44" t="s">
        <v>879</v>
      </c>
      <c r="G268" s="44" t="s">
        <v>40</v>
      </c>
      <c r="H268" s="44"/>
      <c r="I268" s="56">
        <v>1217</v>
      </c>
      <c r="J268" s="56">
        <v>1095</v>
      </c>
      <c r="K268" s="59">
        <v>770.27027027027</v>
      </c>
      <c r="L268" s="59">
        <v>972.151898734177</v>
      </c>
      <c r="M268" s="59">
        <v>612</v>
      </c>
      <c r="N268" s="64">
        <v>1070</v>
      </c>
      <c r="O268" s="64">
        <v>970</v>
      </c>
      <c r="P268" s="64">
        <v>820</v>
      </c>
      <c r="Q268" s="44" t="s">
        <v>54</v>
      </c>
      <c r="R268" s="70" t="s">
        <v>67</v>
      </c>
      <c r="S268" s="44" t="s">
        <v>880</v>
      </c>
      <c r="T268" s="43" t="s">
        <v>884</v>
      </c>
      <c r="U268" s="71">
        <v>33110302202</v>
      </c>
      <c r="V268" s="43" t="s">
        <v>885</v>
      </c>
      <c r="W268" s="43" t="s">
        <v>43</v>
      </c>
      <c r="X268" s="71" t="s">
        <v>43</v>
      </c>
      <c r="Y268" s="71" t="s">
        <v>40</v>
      </c>
      <c r="Z268" s="48" t="s">
        <v>43</v>
      </c>
      <c r="AA268" s="75">
        <v>2420</v>
      </c>
      <c r="AB268" s="75">
        <v>2180</v>
      </c>
      <c r="AC268" s="80">
        <v>2125</v>
      </c>
      <c r="AD268" s="80">
        <v>2040</v>
      </c>
      <c r="AE268" s="80">
        <v>1734</v>
      </c>
      <c r="AF268" s="79">
        <f t="shared" si="35"/>
        <v>0</v>
      </c>
      <c r="AG268" s="79" t="str">
        <f t="shared" si="36"/>
        <v>膀胱颈/尿道悬吊费</v>
      </c>
      <c r="AH268" s="79">
        <f t="shared" si="32"/>
        <v>1070</v>
      </c>
      <c r="AI268" s="79">
        <f t="shared" si="33"/>
        <v>970</v>
      </c>
      <c r="AJ268" s="79">
        <f t="shared" si="34"/>
        <v>820</v>
      </c>
    </row>
    <row r="269" ht="51" spans="1:36">
      <c r="A269" s="44">
        <v>53</v>
      </c>
      <c r="B269" s="44" t="s">
        <v>876</v>
      </c>
      <c r="C269" s="44" t="s">
        <v>877</v>
      </c>
      <c r="D269" s="44" t="s">
        <v>213</v>
      </c>
      <c r="E269" s="44" t="s">
        <v>878</v>
      </c>
      <c r="F269" s="44" t="s">
        <v>879</v>
      </c>
      <c r="G269" s="44" t="s">
        <v>40</v>
      </c>
      <c r="H269" s="44"/>
      <c r="I269" s="56">
        <v>1217</v>
      </c>
      <c r="J269" s="56">
        <v>1095</v>
      </c>
      <c r="K269" s="59">
        <v>770.27027027027</v>
      </c>
      <c r="L269" s="59">
        <v>972.151898734177</v>
      </c>
      <c r="M269" s="59">
        <v>612</v>
      </c>
      <c r="N269" s="64">
        <v>1070</v>
      </c>
      <c r="O269" s="64">
        <v>970</v>
      </c>
      <c r="P269" s="64">
        <v>820</v>
      </c>
      <c r="Q269" s="44" t="s">
        <v>54</v>
      </c>
      <c r="R269" s="70" t="s">
        <v>67</v>
      </c>
      <c r="S269" s="44" t="s">
        <v>880</v>
      </c>
      <c r="T269" s="43" t="s">
        <v>886</v>
      </c>
      <c r="U269" s="71">
        <v>331104022</v>
      </c>
      <c r="V269" s="43" t="s">
        <v>887</v>
      </c>
      <c r="W269" s="43" t="s">
        <v>43</v>
      </c>
      <c r="X269" s="71" t="s">
        <v>888</v>
      </c>
      <c r="Y269" s="71" t="s">
        <v>40</v>
      </c>
      <c r="Z269" s="48" t="s">
        <v>43</v>
      </c>
      <c r="AA269" s="75">
        <v>810</v>
      </c>
      <c r="AB269" s="75">
        <v>730</v>
      </c>
      <c r="AC269" s="80">
        <v>750</v>
      </c>
      <c r="AD269" s="80">
        <v>720</v>
      </c>
      <c r="AE269" s="80">
        <v>612</v>
      </c>
      <c r="AF269" s="79">
        <f t="shared" si="35"/>
        <v>0</v>
      </c>
      <c r="AG269" s="79" t="str">
        <f t="shared" si="36"/>
        <v>膀胱颈/尿道悬吊费</v>
      </c>
      <c r="AH269" s="79">
        <f t="shared" si="32"/>
        <v>1070</v>
      </c>
      <c r="AI269" s="79">
        <f t="shared" si="33"/>
        <v>970</v>
      </c>
      <c r="AJ269" s="79">
        <f t="shared" si="34"/>
        <v>820</v>
      </c>
    </row>
    <row r="270" ht="51" spans="1:36">
      <c r="A270" s="44">
        <v>53</v>
      </c>
      <c r="B270" s="44" t="s">
        <v>876</v>
      </c>
      <c r="C270" s="44" t="s">
        <v>877</v>
      </c>
      <c r="D270" s="44" t="s">
        <v>213</v>
      </c>
      <c r="E270" s="44" t="s">
        <v>878</v>
      </c>
      <c r="F270" s="44" t="s">
        <v>879</v>
      </c>
      <c r="G270" s="44" t="s">
        <v>40</v>
      </c>
      <c r="H270" s="44"/>
      <c r="I270" s="56">
        <v>1217</v>
      </c>
      <c r="J270" s="56">
        <v>1095</v>
      </c>
      <c r="K270" s="59">
        <v>770.27027027027</v>
      </c>
      <c r="L270" s="59">
        <v>972.151898734177</v>
      </c>
      <c r="M270" s="59">
        <v>612</v>
      </c>
      <c r="N270" s="64">
        <v>1070</v>
      </c>
      <c r="O270" s="64">
        <v>970</v>
      </c>
      <c r="P270" s="64">
        <v>820</v>
      </c>
      <c r="Q270" s="44" t="s">
        <v>54</v>
      </c>
      <c r="R270" s="70" t="s">
        <v>67</v>
      </c>
      <c r="S270" s="44" t="s">
        <v>880</v>
      </c>
      <c r="T270" s="43" t="s">
        <v>889</v>
      </c>
      <c r="U270" s="71">
        <v>331103023</v>
      </c>
      <c r="V270" s="43" t="s">
        <v>890</v>
      </c>
      <c r="W270" s="43" t="s">
        <v>43</v>
      </c>
      <c r="X270" s="71" t="s">
        <v>43</v>
      </c>
      <c r="Y270" s="71" t="s">
        <v>40</v>
      </c>
      <c r="Z270" s="48" t="s">
        <v>43</v>
      </c>
      <c r="AA270" s="74" t="s">
        <v>43</v>
      </c>
      <c r="AB270" s="74" t="s">
        <v>43</v>
      </c>
      <c r="AC270" s="78" t="s">
        <v>43</v>
      </c>
      <c r="AD270" s="78" t="s">
        <v>43</v>
      </c>
      <c r="AE270" s="78" t="s">
        <v>43</v>
      </c>
      <c r="AF270" s="79">
        <f t="shared" si="35"/>
        <v>0</v>
      </c>
      <c r="AG270" s="79" t="str">
        <f t="shared" si="36"/>
        <v>膀胱颈/尿道悬吊费</v>
      </c>
      <c r="AH270" s="79">
        <f t="shared" si="32"/>
        <v>1070</v>
      </c>
      <c r="AI270" s="79">
        <f t="shared" si="33"/>
        <v>970</v>
      </c>
      <c r="AJ270" s="79">
        <f t="shared" si="34"/>
        <v>820</v>
      </c>
    </row>
    <row r="271" ht="25.5" spans="1:36">
      <c r="A271" s="81" t="s">
        <v>81</v>
      </c>
      <c r="B271" s="81" t="s">
        <v>891</v>
      </c>
      <c r="C271" s="81" t="s">
        <v>892</v>
      </c>
      <c r="D271" s="81" t="s">
        <v>213</v>
      </c>
      <c r="E271" s="81"/>
      <c r="F271" s="81"/>
      <c r="G271" s="81" t="s">
        <v>40</v>
      </c>
      <c r="H271" s="81"/>
      <c r="I271" s="56">
        <v>365</v>
      </c>
      <c r="J271" s="56">
        <v>329</v>
      </c>
      <c r="K271" s="54"/>
      <c r="L271" s="54"/>
      <c r="M271" s="54"/>
      <c r="N271" s="64">
        <v>320</v>
      </c>
      <c r="O271" s="64">
        <v>290</v>
      </c>
      <c r="P271" s="64">
        <v>245</v>
      </c>
      <c r="Q271" s="44" t="s">
        <v>54</v>
      </c>
      <c r="R271" s="69"/>
      <c r="S271" s="49"/>
      <c r="T271" s="45" t="s">
        <v>893</v>
      </c>
      <c r="U271" s="45">
        <v>33110302201</v>
      </c>
      <c r="V271" s="45" t="s">
        <v>894</v>
      </c>
      <c r="W271" s="43" t="s">
        <v>43</v>
      </c>
      <c r="X271" s="71" t="s">
        <v>43</v>
      </c>
      <c r="Y271" s="71" t="s">
        <v>40</v>
      </c>
      <c r="Z271" s="48" t="s">
        <v>43</v>
      </c>
      <c r="AA271" s="75">
        <v>2105</v>
      </c>
      <c r="AB271" s="75">
        <v>1900</v>
      </c>
      <c r="AC271" s="80">
        <v>1950</v>
      </c>
      <c r="AD271" s="80">
        <v>1870</v>
      </c>
      <c r="AE271" s="80">
        <v>1590</v>
      </c>
      <c r="AF271" s="79">
        <f t="shared" si="35"/>
        <v>13</v>
      </c>
      <c r="AG271" s="79" t="str">
        <f t="shared" si="36"/>
        <v>膀胱颈/尿道悬吊费</v>
      </c>
      <c r="AH271" s="79">
        <f t="shared" si="32"/>
        <v>1390</v>
      </c>
      <c r="AI271" s="79">
        <f t="shared" si="33"/>
        <v>1260</v>
      </c>
      <c r="AJ271" s="79">
        <f t="shared" si="34"/>
        <v>1065</v>
      </c>
    </row>
    <row r="272" ht="25.5" spans="1:36">
      <c r="A272" s="81" t="s">
        <v>81</v>
      </c>
      <c r="B272" s="81" t="s">
        <v>891</v>
      </c>
      <c r="C272" s="81" t="s">
        <v>892</v>
      </c>
      <c r="D272" s="81" t="s">
        <v>213</v>
      </c>
      <c r="E272" s="81"/>
      <c r="F272" s="81"/>
      <c r="G272" s="81" t="s">
        <v>40</v>
      </c>
      <c r="H272" s="81"/>
      <c r="I272" s="56">
        <v>365</v>
      </c>
      <c r="J272" s="56">
        <v>329</v>
      </c>
      <c r="K272" s="54"/>
      <c r="L272" s="54"/>
      <c r="M272" s="54"/>
      <c r="N272" s="64">
        <v>320</v>
      </c>
      <c r="O272" s="64">
        <v>290</v>
      </c>
      <c r="P272" s="64">
        <v>245</v>
      </c>
      <c r="Q272" s="44" t="s">
        <v>54</v>
      </c>
      <c r="R272" s="69"/>
      <c r="S272" s="49"/>
      <c r="T272" s="45" t="s">
        <v>895</v>
      </c>
      <c r="U272" s="45">
        <v>33110302203</v>
      </c>
      <c r="V272" s="45" t="s">
        <v>896</v>
      </c>
      <c r="W272" s="43" t="s">
        <v>43</v>
      </c>
      <c r="X272" s="71" t="s">
        <v>43</v>
      </c>
      <c r="Y272" s="71" t="s">
        <v>40</v>
      </c>
      <c r="Z272" s="48" t="s">
        <v>43</v>
      </c>
      <c r="AA272" s="75">
        <v>2905</v>
      </c>
      <c r="AB272" s="75">
        <v>2620</v>
      </c>
      <c r="AC272" s="80">
        <v>2575</v>
      </c>
      <c r="AD272" s="80">
        <v>2470</v>
      </c>
      <c r="AE272" s="80">
        <v>2100</v>
      </c>
      <c r="AF272" s="79">
        <f t="shared" si="35"/>
        <v>13</v>
      </c>
      <c r="AG272" s="79" t="str">
        <f t="shared" si="36"/>
        <v>膀胱颈/尿道悬吊费</v>
      </c>
      <c r="AH272" s="79">
        <f t="shared" si="32"/>
        <v>1390</v>
      </c>
      <c r="AI272" s="79">
        <f t="shared" si="33"/>
        <v>1260</v>
      </c>
      <c r="AJ272" s="79">
        <f t="shared" si="34"/>
        <v>1065</v>
      </c>
    </row>
    <row r="273" ht="25.5" spans="1:36">
      <c r="A273" s="81" t="s">
        <v>81</v>
      </c>
      <c r="B273" s="81" t="s">
        <v>891</v>
      </c>
      <c r="C273" s="81" t="s">
        <v>892</v>
      </c>
      <c r="D273" s="81" t="s">
        <v>213</v>
      </c>
      <c r="E273" s="81"/>
      <c r="F273" s="81"/>
      <c r="G273" s="81" t="s">
        <v>40</v>
      </c>
      <c r="H273" s="81"/>
      <c r="I273" s="56">
        <v>365</v>
      </c>
      <c r="J273" s="56">
        <v>329</v>
      </c>
      <c r="K273" s="54"/>
      <c r="L273" s="54"/>
      <c r="M273" s="54"/>
      <c r="N273" s="64">
        <v>320</v>
      </c>
      <c r="O273" s="64">
        <v>290</v>
      </c>
      <c r="P273" s="64">
        <v>245</v>
      </c>
      <c r="Q273" s="44" t="s">
        <v>54</v>
      </c>
      <c r="R273" s="69"/>
      <c r="S273" s="49"/>
      <c r="T273" s="45" t="s">
        <v>897</v>
      </c>
      <c r="U273" s="45">
        <v>33110402201</v>
      </c>
      <c r="V273" s="45" t="s">
        <v>898</v>
      </c>
      <c r="W273" s="43" t="s">
        <v>43</v>
      </c>
      <c r="X273" s="71" t="s">
        <v>43</v>
      </c>
      <c r="Y273" s="71" t="s">
        <v>40</v>
      </c>
      <c r="Z273" s="48" t="s">
        <v>43</v>
      </c>
      <c r="AA273" s="75">
        <v>1055</v>
      </c>
      <c r="AB273" s="75">
        <v>950</v>
      </c>
      <c r="AC273" s="80">
        <v>975</v>
      </c>
      <c r="AD273" s="80">
        <v>935</v>
      </c>
      <c r="AE273" s="80">
        <v>795</v>
      </c>
      <c r="AF273" s="79">
        <f t="shared" si="35"/>
        <v>13</v>
      </c>
      <c r="AG273" s="79" t="str">
        <f t="shared" si="36"/>
        <v>膀胱颈/尿道悬吊费</v>
      </c>
      <c r="AH273" s="79">
        <f t="shared" si="32"/>
        <v>1390</v>
      </c>
      <c r="AI273" s="79">
        <f t="shared" si="33"/>
        <v>1260</v>
      </c>
      <c r="AJ273" s="79">
        <f t="shared" si="34"/>
        <v>1065</v>
      </c>
    </row>
    <row r="274" ht="25.5" spans="1:36">
      <c r="A274" s="81" t="s">
        <v>81</v>
      </c>
      <c r="B274" s="81" t="s">
        <v>891</v>
      </c>
      <c r="C274" s="81" t="s">
        <v>892</v>
      </c>
      <c r="D274" s="81" t="s">
        <v>213</v>
      </c>
      <c r="E274" s="81"/>
      <c r="F274" s="81"/>
      <c r="G274" s="81" t="s">
        <v>40</v>
      </c>
      <c r="H274" s="81"/>
      <c r="I274" s="56">
        <v>365</v>
      </c>
      <c r="J274" s="56">
        <v>329</v>
      </c>
      <c r="K274" s="54"/>
      <c r="L274" s="54"/>
      <c r="M274" s="54"/>
      <c r="N274" s="64">
        <v>320</v>
      </c>
      <c r="O274" s="64">
        <v>290</v>
      </c>
      <c r="P274" s="64">
        <v>245</v>
      </c>
      <c r="Q274" s="44" t="s">
        <v>54</v>
      </c>
      <c r="R274" s="69"/>
      <c r="S274" s="49"/>
      <c r="T274" s="45" t="s">
        <v>899</v>
      </c>
      <c r="U274" s="45">
        <v>33110302301</v>
      </c>
      <c r="V274" s="45" t="s">
        <v>900</v>
      </c>
      <c r="W274" s="43" t="s">
        <v>43</v>
      </c>
      <c r="X274" s="71" t="s">
        <v>43</v>
      </c>
      <c r="Y274" s="71" t="s">
        <v>40</v>
      </c>
      <c r="Z274" s="48" t="s">
        <v>43</v>
      </c>
      <c r="AA274" s="74" t="s">
        <v>43</v>
      </c>
      <c r="AB274" s="74" t="s">
        <v>43</v>
      </c>
      <c r="AC274" s="78" t="s">
        <v>43</v>
      </c>
      <c r="AD274" s="78" t="s">
        <v>43</v>
      </c>
      <c r="AE274" s="78" t="s">
        <v>43</v>
      </c>
      <c r="AF274" s="79">
        <f t="shared" si="35"/>
        <v>13</v>
      </c>
      <c r="AG274" s="79" t="str">
        <f t="shared" si="36"/>
        <v>膀胱颈/尿道悬吊费</v>
      </c>
      <c r="AH274" s="79">
        <f t="shared" si="32"/>
        <v>1390</v>
      </c>
      <c r="AI274" s="79">
        <f t="shared" si="33"/>
        <v>1260</v>
      </c>
      <c r="AJ274" s="79">
        <f t="shared" si="34"/>
        <v>1065</v>
      </c>
    </row>
    <row r="275" ht="97" customHeight="1" spans="1:36">
      <c r="A275" s="45">
        <v>54</v>
      </c>
      <c r="B275" s="45" t="s">
        <v>901</v>
      </c>
      <c r="C275" s="45" t="s">
        <v>902</v>
      </c>
      <c r="D275" s="45" t="s">
        <v>213</v>
      </c>
      <c r="E275" s="49" t="s">
        <v>903</v>
      </c>
      <c r="F275" s="49" t="s">
        <v>904</v>
      </c>
      <c r="G275" s="45" t="s">
        <v>40</v>
      </c>
      <c r="H275" s="49" t="s">
        <v>43</v>
      </c>
      <c r="I275" s="53">
        <v>22</v>
      </c>
      <c r="J275" s="53">
        <v>20</v>
      </c>
      <c r="K275" s="55">
        <v>22</v>
      </c>
      <c r="L275" s="55">
        <v>20</v>
      </c>
      <c r="M275" s="55">
        <v>17</v>
      </c>
      <c r="N275" s="63">
        <v>22</v>
      </c>
      <c r="O275" s="63">
        <v>20</v>
      </c>
      <c r="P275" s="63">
        <v>17</v>
      </c>
      <c r="Q275" s="45" t="s">
        <v>54</v>
      </c>
      <c r="R275" s="69" t="s">
        <v>55</v>
      </c>
      <c r="S275" s="49" t="s">
        <v>55</v>
      </c>
      <c r="T275" s="43" t="s">
        <v>905</v>
      </c>
      <c r="U275" s="71">
        <v>311000031</v>
      </c>
      <c r="V275" s="43" t="s">
        <v>906</v>
      </c>
      <c r="W275" s="43" t="s">
        <v>43</v>
      </c>
      <c r="X275" s="71" t="s">
        <v>43</v>
      </c>
      <c r="Y275" s="71" t="s">
        <v>40</v>
      </c>
      <c r="Z275" s="48" t="s">
        <v>43</v>
      </c>
      <c r="AA275" s="75">
        <v>22</v>
      </c>
      <c r="AB275" s="75">
        <v>20</v>
      </c>
      <c r="AC275" s="80">
        <v>22</v>
      </c>
      <c r="AD275" s="80">
        <v>20</v>
      </c>
      <c r="AE275" s="80">
        <v>17</v>
      </c>
      <c r="AF275" s="79">
        <f t="shared" si="35"/>
        <v>0</v>
      </c>
      <c r="AG275" s="79" t="str">
        <f t="shared" si="36"/>
        <v>膀胱灌注费</v>
      </c>
      <c r="AH275" s="79">
        <f t="shared" si="32"/>
        <v>22</v>
      </c>
      <c r="AI275" s="79">
        <f t="shared" si="33"/>
        <v>20</v>
      </c>
      <c r="AJ275" s="79">
        <f t="shared" si="34"/>
        <v>17</v>
      </c>
    </row>
    <row r="276" ht="38.25" spans="1:36">
      <c r="A276" s="44">
        <v>55</v>
      </c>
      <c r="B276" s="44" t="s">
        <v>909</v>
      </c>
      <c r="C276" s="44" t="s">
        <v>910</v>
      </c>
      <c r="D276" s="44" t="s">
        <v>213</v>
      </c>
      <c r="E276" s="44" t="s">
        <v>911</v>
      </c>
      <c r="F276" s="44" t="s">
        <v>912</v>
      </c>
      <c r="G276" s="44" t="s">
        <v>40</v>
      </c>
      <c r="H276" s="44"/>
      <c r="I276" s="56">
        <v>1378</v>
      </c>
      <c r="J276" s="56">
        <v>1240</v>
      </c>
      <c r="K276" s="59">
        <v>1267.85714285714</v>
      </c>
      <c r="L276" s="59">
        <v>1336</v>
      </c>
      <c r="M276" s="84"/>
      <c r="N276" s="64">
        <v>1270</v>
      </c>
      <c r="O276" s="64">
        <v>1200</v>
      </c>
      <c r="P276" s="64">
        <v>1020</v>
      </c>
      <c r="Q276" s="44" t="s">
        <v>54</v>
      </c>
      <c r="R276" s="70" t="s">
        <v>67</v>
      </c>
      <c r="S276" s="44" t="s">
        <v>913</v>
      </c>
      <c r="T276" s="43" t="s">
        <v>914</v>
      </c>
      <c r="U276" s="71">
        <v>331103016</v>
      </c>
      <c r="V276" s="43" t="s">
        <v>915</v>
      </c>
      <c r="W276" s="43" t="s">
        <v>43</v>
      </c>
      <c r="X276" s="71" t="s">
        <v>43</v>
      </c>
      <c r="Y276" s="71" t="s">
        <v>40</v>
      </c>
      <c r="Z276" s="48" t="s">
        <v>43</v>
      </c>
      <c r="AA276" s="75">
        <v>1220</v>
      </c>
      <c r="AB276" s="75">
        <v>1090</v>
      </c>
      <c r="AC276" s="80">
        <v>1125</v>
      </c>
      <c r="AD276" s="80">
        <v>1080</v>
      </c>
      <c r="AE276" s="80">
        <v>918</v>
      </c>
      <c r="AF276" s="79">
        <f t="shared" si="35"/>
        <v>0</v>
      </c>
      <c r="AG276" s="79" t="str">
        <f t="shared" si="36"/>
        <v>膀胱修补费</v>
      </c>
      <c r="AH276" s="79">
        <f t="shared" si="32"/>
        <v>1270</v>
      </c>
      <c r="AI276" s="79">
        <f t="shared" si="33"/>
        <v>1200</v>
      </c>
      <c r="AJ276" s="79">
        <f t="shared" si="34"/>
        <v>1020</v>
      </c>
    </row>
    <row r="277" ht="38.25" spans="1:36">
      <c r="A277" s="44">
        <v>55</v>
      </c>
      <c r="B277" s="44" t="s">
        <v>909</v>
      </c>
      <c r="C277" s="44" t="s">
        <v>910</v>
      </c>
      <c r="D277" s="44" t="s">
        <v>213</v>
      </c>
      <c r="E277" s="44" t="s">
        <v>911</v>
      </c>
      <c r="F277" s="44" t="s">
        <v>912</v>
      </c>
      <c r="G277" s="44" t="s">
        <v>40</v>
      </c>
      <c r="H277" s="44"/>
      <c r="I277" s="56">
        <v>1378</v>
      </c>
      <c r="J277" s="56">
        <v>1240</v>
      </c>
      <c r="K277" s="59">
        <v>1267.85714285714</v>
      </c>
      <c r="L277" s="59">
        <v>1336</v>
      </c>
      <c r="M277" s="84"/>
      <c r="N277" s="64">
        <v>1270</v>
      </c>
      <c r="O277" s="64">
        <v>1200</v>
      </c>
      <c r="P277" s="64">
        <v>1020</v>
      </c>
      <c r="Q277" s="44" t="s">
        <v>54</v>
      </c>
      <c r="R277" s="70" t="s">
        <v>67</v>
      </c>
      <c r="S277" s="44" t="s">
        <v>913</v>
      </c>
      <c r="T277" s="43" t="s">
        <v>916</v>
      </c>
      <c r="U277" s="71">
        <v>33110301602</v>
      </c>
      <c r="V277" s="43" t="s">
        <v>917</v>
      </c>
      <c r="W277" s="43" t="s">
        <v>43</v>
      </c>
      <c r="X277" s="71" t="s">
        <v>43</v>
      </c>
      <c r="Y277" s="71" t="s">
        <v>40</v>
      </c>
      <c r="Z277" s="48" t="s">
        <v>43</v>
      </c>
      <c r="AA277" s="75">
        <v>2020</v>
      </c>
      <c r="AB277" s="75">
        <v>1810</v>
      </c>
      <c r="AC277" s="80">
        <v>1750</v>
      </c>
      <c r="AD277" s="80">
        <v>1680</v>
      </c>
      <c r="AE277" s="80">
        <v>1428</v>
      </c>
      <c r="AF277" s="79">
        <f t="shared" si="35"/>
        <v>0</v>
      </c>
      <c r="AG277" s="79" t="str">
        <f t="shared" si="36"/>
        <v>膀胱修补费</v>
      </c>
      <c r="AH277" s="79">
        <f t="shared" si="32"/>
        <v>1270</v>
      </c>
      <c r="AI277" s="79">
        <f t="shared" si="33"/>
        <v>1200</v>
      </c>
      <c r="AJ277" s="79">
        <f t="shared" si="34"/>
        <v>1020</v>
      </c>
    </row>
    <row r="278" ht="38.25" spans="1:36">
      <c r="A278" s="44">
        <v>55</v>
      </c>
      <c r="B278" s="44" t="s">
        <v>909</v>
      </c>
      <c r="C278" s="44" t="s">
        <v>910</v>
      </c>
      <c r="D278" s="44" t="s">
        <v>213</v>
      </c>
      <c r="E278" s="44" t="s">
        <v>911</v>
      </c>
      <c r="F278" s="44" t="s">
        <v>912</v>
      </c>
      <c r="G278" s="44" t="s">
        <v>40</v>
      </c>
      <c r="H278" s="44"/>
      <c r="I278" s="56">
        <v>1378</v>
      </c>
      <c r="J278" s="56">
        <v>1240</v>
      </c>
      <c r="K278" s="59">
        <v>1267.85714285714</v>
      </c>
      <c r="L278" s="59">
        <v>1336</v>
      </c>
      <c r="M278" s="84"/>
      <c r="N278" s="64">
        <v>1270</v>
      </c>
      <c r="O278" s="64">
        <v>1200</v>
      </c>
      <c r="P278" s="64">
        <v>1020</v>
      </c>
      <c r="Q278" s="44" t="s">
        <v>54</v>
      </c>
      <c r="R278" s="70" t="s">
        <v>67</v>
      </c>
      <c r="S278" s="44" t="s">
        <v>913</v>
      </c>
      <c r="T278" s="43" t="s">
        <v>918</v>
      </c>
      <c r="U278" s="71">
        <v>331103017</v>
      </c>
      <c r="V278" s="43" t="s">
        <v>919</v>
      </c>
      <c r="W278" s="43" t="s">
        <v>43</v>
      </c>
      <c r="X278" s="71" t="s">
        <v>43</v>
      </c>
      <c r="Y278" s="71" t="s">
        <v>40</v>
      </c>
      <c r="Z278" s="48" t="s">
        <v>43</v>
      </c>
      <c r="AA278" s="75">
        <v>1350</v>
      </c>
      <c r="AB278" s="75">
        <v>1215</v>
      </c>
      <c r="AC278" s="80">
        <v>1250</v>
      </c>
      <c r="AD278" s="80">
        <v>1200</v>
      </c>
      <c r="AE278" s="80">
        <v>1020</v>
      </c>
      <c r="AF278" s="79">
        <f t="shared" si="35"/>
        <v>0</v>
      </c>
      <c r="AG278" s="79" t="str">
        <f t="shared" si="36"/>
        <v>膀胱修补费</v>
      </c>
      <c r="AH278" s="79">
        <f t="shared" si="32"/>
        <v>1270</v>
      </c>
      <c r="AI278" s="79">
        <f t="shared" si="33"/>
        <v>1200</v>
      </c>
      <c r="AJ278" s="79">
        <f t="shared" si="34"/>
        <v>1020</v>
      </c>
    </row>
    <row r="279" ht="38.25" spans="1:36">
      <c r="A279" s="44">
        <v>55</v>
      </c>
      <c r="B279" s="44" t="s">
        <v>909</v>
      </c>
      <c r="C279" s="44" t="s">
        <v>910</v>
      </c>
      <c r="D279" s="44" t="s">
        <v>213</v>
      </c>
      <c r="E279" s="44" t="s">
        <v>911</v>
      </c>
      <c r="F279" s="44" t="s">
        <v>912</v>
      </c>
      <c r="G279" s="44" t="s">
        <v>40</v>
      </c>
      <c r="H279" s="44"/>
      <c r="I279" s="56">
        <v>1378</v>
      </c>
      <c r="J279" s="56">
        <v>1240</v>
      </c>
      <c r="K279" s="59">
        <v>1267.85714285714</v>
      </c>
      <c r="L279" s="59">
        <v>1336</v>
      </c>
      <c r="M279" s="84"/>
      <c r="N279" s="64">
        <v>1270</v>
      </c>
      <c r="O279" s="64">
        <v>1200</v>
      </c>
      <c r="P279" s="64">
        <v>1020</v>
      </c>
      <c r="Q279" s="44" t="s">
        <v>54</v>
      </c>
      <c r="R279" s="70" t="s">
        <v>67</v>
      </c>
      <c r="S279" s="44" t="s">
        <v>913</v>
      </c>
      <c r="T279" s="43" t="s">
        <v>920</v>
      </c>
      <c r="U279" s="71">
        <v>33110301702</v>
      </c>
      <c r="V279" s="43" t="s">
        <v>921</v>
      </c>
      <c r="W279" s="43" t="s">
        <v>43</v>
      </c>
      <c r="X279" s="71" t="s">
        <v>43</v>
      </c>
      <c r="Y279" s="71" t="s">
        <v>40</v>
      </c>
      <c r="Z279" s="48" t="s">
        <v>43</v>
      </c>
      <c r="AA279" s="75">
        <v>2150</v>
      </c>
      <c r="AB279" s="75">
        <v>1935</v>
      </c>
      <c r="AC279" s="80">
        <v>1875</v>
      </c>
      <c r="AD279" s="80">
        <v>1800</v>
      </c>
      <c r="AE279" s="80">
        <v>1530</v>
      </c>
      <c r="AF279" s="79">
        <f t="shared" si="35"/>
        <v>0</v>
      </c>
      <c r="AG279" s="79" t="str">
        <f t="shared" si="36"/>
        <v>膀胱修补费</v>
      </c>
      <c r="AH279" s="79">
        <f t="shared" si="32"/>
        <v>1270</v>
      </c>
      <c r="AI279" s="79">
        <f t="shared" si="33"/>
        <v>1200</v>
      </c>
      <c r="AJ279" s="79">
        <f t="shared" si="34"/>
        <v>1020</v>
      </c>
    </row>
    <row r="280" ht="38.25" spans="1:36">
      <c r="A280" s="44">
        <v>55</v>
      </c>
      <c r="B280" s="44" t="s">
        <v>909</v>
      </c>
      <c r="C280" s="44" t="s">
        <v>910</v>
      </c>
      <c r="D280" s="44" t="s">
        <v>213</v>
      </c>
      <c r="E280" s="44" t="s">
        <v>911</v>
      </c>
      <c r="F280" s="44" t="s">
        <v>912</v>
      </c>
      <c r="G280" s="44" t="s">
        <v>40</v>
      </c>
      <c r="H280" s="44"/>
      <c r="I280" s="56">
        <v>1378</v>
      </c>
      <c r="J280" s="56">
        <v>1240</v>
      </c>
      <c r="K280" s="59">
        <v>1267.85714285714</v>
      </c>
      <c r="L280" s="59">
        <v>1336</v>
      </c>
      <c r="M280" s="84"/>
      <c r="N280" s="64">
        <v>1270</v>
      </c>
      <c r="O280" s="64">
        <v>1200</v>
      </c>
      <c r="P280" s="64">
        <v>1020</v>
      </c>
      <c r="Q280" s="44" t="s">
        <v>54</v>
      </c>
      <c r="R280" s="70" t="s">
        <v>67</v>
      </c>
      <c r="S280" s="44" t="s">
        <v>913</v>
      </c>
      <c r="T280" s="43" t="s">
        <v>922</v>
      </c>
      <c r="U280" s="71">
        <v>331103018</v>
      </c>
      <c r="V280" s="43" t="s">
        <v>923</v>
      </c>
      <c r="W280" s="43" t="s">
        <v>924</v>
      </c>
      <c r="X280" s="71" t="s">
        <v>43</v>
      </c>
      <c r="Y280" s="71" t="s">
        <v>40</v>
      </c>
      <c r="Z280" s="48" t="s">
        <v>43</v>
      </c>
      <c r="AA280" s="75">
        <v>3460</v>
      </c>
      <c r="AB280" s="75">
        <v>3110</v>
      </c>
      <c r="AC280" s="80">
        <v>3040</v>
      </c>
      <c r="AD280" s="80">
        <v>2740</v>
      </c>
      <c r="AE280" s="80">
        <v>2330</v>
      </c>
      <c r="AF280" s="79">
        <f t="shared" si="35"/>
        <v>0</v>
      </c>
      <c r="AG280" s="79" t="str">
        <f t="shared" si="36"/>
        <v>膀胱修补费</v>
      </c>
      <c r="AH280" s="79">
        <f t="shared" si="32"/>
        <v>1270</v>
      </c>
      <c r="AI280" s="79">
        <f t="shared" si="33"/>
        <v>1200</v>
      </c>
      <c r="AJ280" s="79">
        <f t="shared" si="34"/>
        <v>1020</v>
      </c>
    </row>
    <row r="281" ht="38.25" spans="1:36">
      <c r="A281" s="44">
        <v>55</v>
      </c>
      <c r="B281" s="44" t="s">
        <v>909</v>
      </c>
      <c r="C281" s="44" t="s">
        <v>910</v>
      </c>
      <c r="D281" s="44" t="s">
        <v>213</v>
      </c>
      <c r="E281" s="44" t="s">
        <v>911</v>
      </c>
      <c r="F281" s="44" t="s">
        <v>912</v>
      </c>
      <c r="G281" s="44" t="s">
        <v>40</v>
      </c>
      <c r="H281" s="44"/>
      <c r="I281" s="56">
        <v>1378</v>
      </c>
      <c r="J281" s="56">
        <v>1240</v>
      </c>
      <c r="K281" s="59">
        <v>1267.85714285714</v>
      </c>
      <c r="L281" s="59">
        <v>1336</v>
      </c>
      <c r="M281" s="84"/>
      <c r="N281" s="64">
        <v>1270</v>
      </c>
      <c r="O281" s="64">
        <v>1200</v>
      </c>
      <c r="P281" s="64">
        <v>1020</v>
      </c>
      <c r="Q281" s="44" t="s">
        <v>54</v>
      </c>
      <c r="R281" s="70" t="s">
        <v>67</v>
      </c>
      <c r="S281" s="44" t="s">
        <v>913</v>
      </c>
      <c r="T281" s="43" t="s">
        <v>925</v>
      </c>
      <c r="U281" s="71">
        <v>33110301802</v>
      </c>
      <c r="V281" s="43" t="s">
        <v>926</v>
      </c>
      <c r="W281" s="43" t="s">
        <v>43</v>
      </c>
      <c r="X281" s="71" t="s">
        <v>43</v>
      </c>
      <c r="Y281" s="71" t="s">
        <v>40</v>
      </c>
      <c r="Z281" s="48" t="s">
        <v>43</v>
      </c>
      <c r="AA281" s="75">
        <v>4260</v>
      </c>
      <c r="AB281" s="75">
        <v>3830</v>
      </c>
      <c r="AC281" s="80">
        <v>3665</v>
      </c>
      <c r="AD281" s="80">
        <v>3340</v>
      </c>
      <c r="AE281" s="80">
        <v>2840</v>
      </c>
      <c r="AF281" s="79">
        <f t="shared" si="35"/>
        <v>0</v>
      </c>
      <c r="AG281" s="79" t="str">
        <f t="shared" si="36"/>
        <v>膀胱修补费</v>
      </c>
      <c r="AH281" s="79">
        <f t="shared" ref="AH281:AH344" si="37">IF(AF281&gt;0,_xlfn.MAXIFS(N:N,C:C,AG281),0)+N281</f>
        <v>1270</v>
      </c>
      <c r="AI281" s="79">
        <f t="shared" ref="AI281:AI344" si="38">IF(AF281&gt;0,_xlfn.MAXIFS(O:O,C:C,AG281),0)+O281</f>
        <v>1200</v>
      </c>
      <c r="AJ281" s="79">
        <f t="shared" ref="AJ281:AJ344" si="39">IF(AF281&gt;0,_xlfn.MAXIFS(P:P,C:C,AG281),0)+P281</f>
        <v>1020</v>
      </c>
    </row>
    <row r="282" ht="23" customHeight="1" spans="1:36">
      <c r="A282" s="81" t="s">
        <v>81</v>
      </c>
      <c r="B282" s="81" t="s">
        <v>927</v>
      </c>
      <c r="C282" s="81" t="s">
        <v>928</v>
      </c>
      <c r="D282" s="81" t="s">
        <v>213</v>
      </c>
      <c r="E282" s="81"/>
      <c r="F282" s="81"/>
      <c r="G282" s="81" t="s">
        <v>40</v>
      </c>
      <c r="H282" s="81"/>
      <c r="I282" s="56">
        <v>413</v>
      </c>
      <c r="J282" s="56">
        <v>372</v>
      </c>
      <c r="K282" s="54"/>
      <c r="L282" s="54"/>
      <c r="M282" s="54"/>
      <c r="N282" s="64">
        <v>380</v>
      </c>
      <c r="O282" s="64">
        <v>360</v>
      </c>
      <c r="P282" s="64">
        <v>305</v>
      </c>
      <c r="Q282" s="44" t="s">
        <v>54</v>
      </c>
      <c r="R282" s="69"/>
      <c r="S282" s="49"/>
      <c r="T282" s="45" t="s">
        <v>929</v>
      </c>
      <c r="U282" s="45">
        <v>33110301601</v>
      </c>
      <c r="V282" s="45" t="s">
        <v>930</v>
      </c>
      <c r="W282" s="43" t="s">
        <v>43</v>
      </c>
      <c r="X282" s="71" t="s">
        <v>43</v>
      </c>
      <c r="Y282" s="71" t="s">
        <v>40</v>
      </c>
      <c r="Z282" s="48" t="s">
        <v>43</v>
      </c>
      <c r="AA282" s="75">
        <v>1585</v>
      </c>
      <c r="AB282" s="75">
        <v>1415</v>
      </c>
      <c r="AC282" s="80">
        <v>1465</v>
      </c>
      <c r="AD282" s="80">
        <v>1405</v>
      </c>
      <c r="AE282" s="80">
        <v>1195</v>
      </c>
      <c r="AF282" s="79">
        <f t="shared" si="35"/>
        <v>9</v>
      </c>
      <c r="AG282" s="79" t="str">
        <f t="shared" si="36"/>
        <v>膀胱修补费</v>
      </c>
      <c r="AH282" s="79">
        <f t="shared" si="37"/>
        <v>1650</v>
      </c>
      <c r="AI282" s="79">
        <f t="shared" si="38"/>
        <v>1560</v>
      </c>
      <c r="AJ282" s="79">
        <f t="shared" si="39"/>
        <v>1325</v>
      </c>
    </row>
    <row r="283" ht="23" customHeight="1" spans="1:36">
      <c r="A283" s="81" t="s">
        <v>81</v>
      </c>
      <c r="B283" s="81" t="s">
        <v>927</v>
      </c>
      <c r="C283" s="81" t="s">
        <v>928</v>
      </c>
      <c r="D283" s="81" t="s">
        <v>213</v>
      </c>
      <c r="E283" s="81"/>
      <c r="F283" s="81"/>
      <c r="G283" s="81" t="s">
        <v>40</v>
      </c>
      <c r="H283" s="81"/>
      <c r="I283" s="56">
        <v>413</v>
      </c>
      <c r="J283" s="56">
        <v>372</v>
      </c>
      <c r="K283" s="54"/>
      <c r="L283" s="54"/>
      <c r="M283" s="54"/>
      <c r="N283" s="64">
        <v>380</v>
      </c>
      <c r="O283" s="64">
        <v>360</v>
      </c>
      <c r="P283" s="64">
        <v>305</v>
      </c>
      <c r="Q283" s="44" t="s">
        <v>54</v>
      </c>
      <c r="R283" s="69"/>
      <c r="S283" s="49"/>
      <c r="T283" s="45" t="s">
        <v>931</v>
      </c>
      <c r="U283" s="45">
        <v>33110301603</v>
      </c>
      <c r="V283" s="45" t="s">
        <v>932</v>
      </c>
      <c r="W283" s="43" t="s">
        <v>43</v>
      </c>
      <c r="X283" s="71" t="s">
        <v>43</v>
      </c>
      <c r="Y283" s="71" t="s">
        <v>40</v>
      </c>
      <c r="Z283" s="48" t="s">
        <v>43</v>
      </c>
      <c r="AA283" s="75">
        <v>2385</v>
      </c>
      <c r="AB283" s="75">
        <v>2135</v>
      </c>
      <c r="AC283" s="80">
        <v>2090</v>
      </c>
      <c r="AD283" s="80">
        <v>2005</v>
      </c>
      <c r="AE283" s="80">
        <v>1705</v>
      </c>
      <c r="AF283" s="79">
        <f t="shared" si="35"/>
        <v>9</v>
      </c>
      <c r="AG283" s="79" t="str">
        <f t="shared" si="36"/>
        <v>膀胱修补费</v>
      </c>
      <c r="AH283" s="79">
        <f t="shared" si="37"/>
        <v>1650</v>
      </c>
      <c r="AI283" s="79">
        <f t="shared" si="38"/>
        <v>1560</v>
      </c>
      <c r="AJ283" s="79">
        <f t="shared" si="39"/>
        <v>1325</v>
      </c>
    </row>
    <row r="284" ht="23" customHeight="1" spans="1:36">
      <c r="A284" s="81" t="s">
        <v>81</v>
      </c>
      <c r="B284" s="81" t="s">
        <v>927</v>
      </c>
      <c r="C284" s="81" t="s">
        <v>928</v>
      </c>
      <c r="D284" s="81" t="s">
        <v>213</v>
      </c>
      <c r="E284" s="81"/>
      <c r="F284" s="81"/>
      <c r="G284" s="81" t="s">
        <v>40</v>
      </c>
      <c r="H284" s="81"/>
      <c r="I284" s="56">
        <v>413</v>
      </c>
      <c r="J284" s="56">
        <v>372</v>
      </c>
      <c r="K284" s="54"/>
      <c r="L284" s="54"/>
      <c r="M284" s="54"/>
      <c r="N284" s="64">
        <v>380</v>
      </c>
      <c r="O284" s="64">
        <v>360</v>
      </c>
      <c r="P284" s="64">
        <v>305</v>
      </c>
      <c r="Q284" s="44" t="s">
        <v>54</v>
      </c>
      <c r="R284" s="69"/>
      <c r="S284" s="49"/>
      <c r="T284" s="45" t="s">
        <v>933</v>
      </c>
      <c r="U284" s="45">
        <v>33110301701</v>
      </c>
      <c r="V284" s="45" t="s">
        <v>934</v>
      </c>
      <c r="W284" s="43" t="s">
        <v>43</v>
      </c>
      <c r="X284" s="71" t="s">
        <v>43</v>
      </c>
      <c r="Y284" s="71" t="s">
        <v>40</v>
      </c>
      <c r="Z284" s="48" t="s">
        <v>43</v>
      </c>
      <c r="AA284" s="75">
        <v>1755</v>
      </c>
      <c r="AB284" s="75">
        <v>1580</v>
      </c>
      <c r="AC284" s="80">
        <v>1625</v>
      </c>
      <c r="AD284" s="80">
        <v>1560</v>
      </c>
      <c r="AE284" s="80">
        <v>1325</v>
      </c>
      <c r="AF284" s="79">
        <f t="shared" si="35"/>
        <v>9</v>
      </c>
      <c r="AG284" s="79" t="str">
        <f t="shared" si="36"/>
        <v>膀胱修补费</v>
      </c>
      <c r="AH284" s="79">
        <f t="shared" si="37"/>
        <v>1650</v>
      </c>
      <c r="AI284" s="79">
        <f t="shared" si="38"/>
        <v>1560</v>
      </c>
      <c r="AJ284" s="79">
        <f t="shared" si="39"/>
        <v>1325</v>
      </c>
    </row>
    <row r="285" ht="23" customHeight="1" spans="1:36">
      <c r="A285" s="81" t="s">
        <v>81</v>
      </c>
      <c r="B285" s="81" t="s">
        <v>927</v>
      </c>
      <c r="C285" s="81" t="s">
        <v>928</v>
      </c>
      <c r="D285" s="81" t="s">
        <v>213</v>
      </c>
      <c r="E285" s="81"/>
      <c r="F285" s="81"/>
      <c r="G285" s="81" t="s">
        <v>40</v>
      </c>
      <c r="H285" s="81"/>
      <c r="I285" s="56">
        <v>413</v>
      </c>
      <c r="J285" s="56">
        <v>372</v>
      </c>
      <c r="K285" s="54"/>
      <c r="L285" s="54"/>
      <c r="M285" s="54"/>
      <c r="N285" s="64">
        <v>380</v>
      </c>
      <c r="O285" s="64">
        <v>360</v>
      </c>
      <c r="P285" s="64">
        <v>305</v>
      </c>
      <c r="Q285" s="44" t="s">
        <v>54</v>
      </c>
      <c r="R285" s="69"/>
      <c r="S285" s="49"/>
      <c r="T285" s="45" t="s">
        <v>935</v>
      </c>
      <c r="U285" s="45">
        <v>33110301703</v>
      </c>
      <c r="V285" s="45" t="s">
        <v>936</v>
      </c>
      <c r="W285" s="43" t="s">
        <v>43</v>
      </c>
      <c r="X285" s="71" t="s">
        <v>43</v>
      </c>
      <c r="Y285" s="71" t="s">
        <v>40</v>
      </c>
      <c r="Z285" s="48" t="s">
        <v>43</v>
      </c>
      <c r="AA285" s="75">
        <v>2555</v>
      </c>
      <c r="AB285" s="75">
        <v>2300</v>
      </c>
      <c r="AC285" s="80">
        <v>2250</v>
      </c>
      <c r="AD285" s="80">
        <v>2160</v>
      </c>
      <c r="AE285" s="80">
        <v>1835</v>
      </c>
      <c r="AF285" s="79">
        <f t="shared" si="35"/>
        <v>9</v>
      </c>
      <c r="AG285" s="79" t="str">
        <f t="shared" si="36"/>
        <v>膀胱修补费</v>
      </c>
      <c r="AH285" s="79">
        <f t="shared" si="37"/>
        <v>1650</v>
      </c>
      <c r="AI285" s="79">
        <f t="shared" si="38"/>
        <v>1560</v>
      </c>
      <c r="AJ285" s="79">
        <f t="shared" si="39"/>
        <v>1325</v>
      </c>
    </row>
    <row r="286" ht="23" customHeight="1" spans="1:36">
      <c r="A286" s="81" t="s">
        <v>81</v>
      </c>
      <c r="B286" s="81" t="s">
        <v>927</v>
      </c>
      <c r="C286" s="81" t="s">
        <v>928</v>
      </c>
      <c r="D286" s="81" t="s">
        <v>213</v>
      </c>
      <c r="E286" s="81"/>
      <c r="F286" s="81"/>
      <c r="G286" s="81" t="s">
        <v>40</v>
      </c>
      <c r="H286" s="81"/>
      <c r="I286" s="56">
        <v>413</v>
      </c>
      <c r="J286" s="56">
        <v>372</v>
      </c>
      <c r="K286" s="54"/>
      <c r="L286" s="54"/>
      <c r="M286" s="54"/>
      <c r="N286" s="64">
        <v>380</v>
      </c>
      <c r="O286" s="64">
        <v>360</v>
      </c>
      <c r="P286" s="64">
        <v>305</v>
      </c>
      <c r="Q286" s="44" t="s">
        <v>54</v>
      </c>
      <c r="R286" s="69"/>
      <c r="S286" s="49"/>
      <c r="T286" s="45" t="s">
        <v>937</v>
      </c>
      <c r="U286" s="45">
        <v>33110301801</v>
      </c>
      <c r="V286" s="45" t="s">
        <v>938</v>
      </c>
      <c r="W286" s="43" t="s">
        <v>43</v>
      </c>
      <c r="X286" s="71" t="s">
        <v>43</v>
      </c>
      <c r="Y286" s="71" t="s">
        <v>40</v>
      </c>
      <c r="Z286" s="48" t="s">
        <v>43</v>
      </c>
      <c r="AA286" s="75">
        <v>4500</v>
      </c>
      <c r="AB286" s="75">
        <v>4045</v>
      </c>
      <c r="AC286" s="80">
        <v>3950</v>
      </c>
      <c r="AD286" s="80">
        <v>3560</v>
      </c>
      <c r="AE286" s="80">
        <v>3025</v>
      </c>
      <c r="AF286" s="79">
        <f t="shared" si="35"/>
        <v>9</v>
      </c>
      <c r="AG286" s="79" t="str">
        <f t="shared" si="36"/>
        <v>膀胱修补费</v>
      </c>
      <c r="AH286" s="79">
        <f t="shared" si="37"/>
        <v>1650</v>
      </c>
      <c r="AI286" s="79">
        <f t="shared" si="38"/>
        <v>1560</v>
      </c>
      <c r="AJ286" s="79">
        <f t="shared" si="39"/>
        <v>1325</v>
      </c>
    </row>
    <row r="287" ht="23" customHeight="1" spans="1:36">
      <c r="A287" s="81" t="s">
        <v>81</v>
      </c>
      <c r="B287" s="81" t="s">
        <v>927</v>
      </c>
      <c r="C287" s="81" t="s">
        <v>928</v>
      </c>
      <c r="D287" s="81" t="s">
        <v>213</v>
      </c>
      <c r="E287" s="81"/>
      <c r="F287" s="81"/>
      <c r="G287" s="81" t="s">
        <v>40</v>
      </c>
      <c r="H287" s="81"/>
      <c r="I287" s="56">
        <v>413</v>
      </c>
      <c r="J287" s="56">
        <v>372</v>
      </c>
      <c r="K287" s="54"/>
      <c r="L287" s="54"/>
      <c r="M287" s="54"/>
      <c r="N287" s="64">
        <v>380</v>
      </c>
      <c r="O287" s="64">
        <v>360</v>
      </c>
      <c r="P287" s="64">
        <v>305</v>
      </c>
      <c r="Q287" s="44" t="s">
        <v>54</v>
      </c>
      <c r="R287" s="69"/>
      <c r="S287" s="49"/>
      <c r="T287" s="45" t="s">
        <v>939</v>
      </c>
      <c r="U287" s="45">
        <v>33110301803</v>
      </c>
      <c r="V287" s="45" t="s">
        <v>940</v>
      </c>
      <c r="W287" s="43" t="s">
        <v>43</v>
      </c>
      <c r="X287" s="71" t="s">
        <v>43</v>
      </c>
      <c r="Y287" s="71" t="s">
        <v>40</v>
      </c>
      <c r="Z287" s="48" t="s">
        <v>43</v>
      </c>
      <c r="AA287" s="75">
        <v>5300</v>
      </c>
      <c r="AB287" s="75">
        <v>4765</v>
      </c>
      <c r="AC287" s="80">
        <v>4575</v>
      </c>
      <c r="AD287" s="80">
        <v>4160</v>
      </c>
      <c r="AE287" s="80">
        <v>3535</v>
      </c>
      <c r="AF287" s="79">
        <f t="shared" si="35"/>
        <v>9</v>
      </c>
      <c r="AG287" s="79" t="str">
        <f t="shared" si="36"/>
        <v>膀胱修补费</v>
      </c>
      <c r="AH287" s="79">
        <f t="shared" si="37"/>
        <v>1650</v>
      </c>
      <c r="AI287" s="79">
        <f t="shared" si="38"/>
        <v>1560</v>
      </c>
      <c r="AJ287" s="79">
        <f t="shared" si="39"/>
        <v>1325</v>
      </c>
    </row>
    <row r="288" ht="38.25" spans="1:36">
      <c r="A288" s="44">
        <v>56</v>
      </c>
      <c r="B288" s="44" t="s">
        <v>941</v>
      </c>
      <c r="C288" s="44" t="s">
        <v>942</v>
      </c>
      <c r="D288" s="44" t="s">
        <v>213</v>
      </c>
      <c r="E288" s="44" t="s">
        <v>943</v>
      </c>
      <c r="F288" s="44" t="s">
        <v>944</v>
      </c>
      <c r="G288" s="44" t="s">
        <v>40</v>
      </c>
      <c r="H288" s="44"/>
      <c r="I288" s="56">
        <v>2050</v>
      </c>
      <c r="J288" s="56">
        <v>1845</v>
      </c>
      <c r="K288" s="55"/>
      <c r="L288" s="57">
        <v>1975</v>
      </c>
      <c r="M288" s="55"/>
      <c r="N288" s="64">
        <v>2000</v>
      </c>
      <c r="O288" s="64">
        <v>1800</v>
      </c>
      <c r="P288" s="64">
        <v>1530</v>
      </c>
      <c r="Q288" s="44" t="s">
        <v>54</v>
      </c>
      <c r="R288" s="70" t="s">
        <v>67</v>
      </c>
      <c r="S288" s="44" t="s">
        <v>945</v>
      </c>
      <c r="T288" s="43" t="s">
        <v>946</v>
      </c>
      <c r="U288" s="71">
        <v>331103021</v>
      </c>
      <c r="V288" s="43" t="s">
        <v>947</v>
      </c>
      <c r="W288" s="43" t="s">
        <v>948</v>
      </c>
      <c r="X288" s="71" t="s">
        <v>43</v>
      </c>
      <c r="Y288" s="71" t="s">
        <v>40</v>
      </c>
      <c r="Z288" s="48" t="s">
        <v>43</v>
      </c>
      <c r="AA288" s="75">
        <v>2500</v>
      </c>
      <c r="AB288" s="75">
        <v>2240</v>
      </c>
      <c r="AC288" s="80">
        <v>2190</v>
      </c>
      <c r="AD288" s="80">
        <v>1970</v>
      </c>
      <c r="AE288" s="80">
        <v>1670</v>
      </c>
      <c r="AF288" s="79">
        <f t="shared" si="35"/>
        <v>0</v>
      </c>
      <c r="AG288" s="79" t="str">
        <f t="shared" si="36"/>
        <v>膀胱颈重建费</v>
      </c>
      <c r="AH288" s="79">
        <f t="shared" si="37"/>
        <v>2000</v>
      </c>
      <c r="AI288" s="79">
        <f t="shared" si="38"/>
        <v>1800</v>
      </c>
      <c r="AJ288" s="79">
        <f t="shared" si="39"/>
        <v>1530</v>
      </c>
    </row>
    <row r="289" ht="38.25" spans="1:36">
      <c r="A289" s="44">
        <v>56</v>
      </c>
      <c r="B289" s="44" t="s">
        <v>941</v>
      </c>
      <c r="C289" s="44" t="s">
        <v>942</v>
      </c>
      <c r="D289" s="44" t="s">
        <v>213</v>
      </c>
      <c r="E289" s="44" t="s">
        <v>943</v>
      </c>
      <c r="F289" s="44" t="s">
        <v>944</v>
      </c>
      <c r="G289" s="44" t="s">
        <v>40</v>
      </c>
      <c r="H289" s="44"/>
      <c r="I289" s="56">
        <v>2050</v>
      </c>
      <c r="J289" s="56">
        <v>1845</v>
      </c>
      <c r="K289" s="55"/>
      <c r="L289" s="57">
        <v>1975</v>
      </c>
      <c r="M289" s="55"/>
      <c r="N289" s="64">
        <v>2000</v>
      </c>
      <c r="O289" s="64">
        <v>1800</v>
      </c>
      <c r="P289" s="64">
        <v>1530</v>
      </c>
      <c r="Q289" s="44" t="s">
        <v>54</v>
      </c>
      <c r="R289" s="70" t="s">
        <v>67</v>
      </c>
      <c r="S289" s="44" t="s">
        <v>945</v>
      </c>
      <c r="T289" s="45" t="s">
        <v>949</v>
      </c>
      <c r="U289" s="45">
        <v>33110302102</v>
      </c>
      <c r="V289" s="45" t="s">
        <v>950</v>
      </c>
      <c r="W289" s="43" t="s">
        <v>43</v>
      </c>
      <c r="X289" s="71" t="s">
        <v>43</v>
      </c>
      <c r="Y289" s="71" t="s">
        <v>40</v>
      </c>
      <c r="Z289" s="48" t="s">
        <v>43</v>
      </c>
      <c r="AA289" s="75">
        <v>3300</v>
      </c>
      <c r="AB289" s="75">
        <v>2960</v>
      </c>
      <c r="AC289" s="80">
        <v>2815</v>
      </c>
      <c r="AD289" s="80">
        <v>2570</v>
      </c>
      <c r="AE289" s="80">
        <v>2180</v>
      </c>
      <c r="AF289" s="79">
        <f t="shared" si="35"/>
        <v>0</v>
      </c>
      <c r="AG289" s="79" t="str">
        <f t="shared" si="36"/>
        <v>膀胱颈重建费</v>
      </c>
      <c r="AH289" s="79">
        <f t="shared" si="37"/>
        <v>2000</v>
      </c>
      <c r="AI289" s="79">
        <f t="shared" si="38"/>
        <v>1800</v>
      </c>
      <c r="AJ289" s="79">
        <f t="shared" si="39"/>
        <v>1530</v>
      </c>
    </row>
    <row r="290" ht="38.25" spans="1:36">
      <c r="A290" s="44">
        <v>56</v>
      </c>
      <c r="B290" s="44" t="s">
        <v>941</v>
      </c>
      <c r="C290" s="44" t="s">
        <v>942</v>
      </c>
      <c r="D290" s="44" t="s">
        <v>213</v>
      </c>
      <c r="E290" s="44" t="s">
        <v>943</v>
      </c>
      <c r="F290" s="44" t="s">
        <v>944</v>
      </c>
      <c r="G290" s="44" t="s">
        <v>40</v>
      </c>
      <c r="H290" s="44"/>
      <c r="I290" s="56">
        <v>2050</v>
      </c>
      <c r="J290" s="56">
        <v>1845</v>
      </c>
      <c r="K290" s="55"/>
      <c r="L290" s="57">
        <v>1975</v>
      </c>
      <c r="M290" s="55"/>
      <c r="N290" s="64">
        <v>2000</v>
      </c>
      <c r="O290" s="64">
        <v>1800</v>
      </c>
      <c r="P290" s="64">
        <v>1530</v>
      </c>
      <c r="Q290" s="44" t="s">
        <v>54</v>
      </c>
      <c r="R290" s="70" t="s">
        <v>67</v>
      </c>
      <c r="S290" s="44" t="s">
        <v>945</v>
      </c>
      <c r="T290" s="45" t="s">
        <v>951</v>
      </c>
      <c r="U290" s="45">
        <v>331103020</v>
      </c>
      <c r="V290" s="45" t="s">
        <v>952</v>
      </c>
      <c r="W290" s="43" t="s">
        <v>43</v>
      </c>
      <c r="X290" s="71" t="s">
        <v>43</v>
      </c>
      <c r="Y290" s="71" t="s">
        <v>40</v>
      </c>
      <c r="Z290" s="48" t="s">
        <v>43</v>
      </c>
      <c r="AA290" s="75">
        <v>1350</v>
      </c>
      <c r="AB290" s="75">
        <v>1215</v>
      </c>
      <c r="AC290" s="80">
        <v>1250</v>
      </c>
      <c r="AD290" s="80">
        <v>1200</v>
      </c>
      <c r="AE290" s="80">
        <v>1020</v>
      </c>
      <c r="AF290" s="79">
        <f t="shared" si="35"/>
        <v>0</v>
      </c>
      <c r="AG290" s="79" t="str">
        <f t="shared" si="36"/>
        <v>膀胱颈重建费</v>
      </c>
      <c r="AH290" s="79">
        <f t="shared" si="37"/>
        <v>2000</v>
      </c>
      <c r="AI290" s="79">
        <f t="shared" si="38"/>
        <v>1800</v>
      </c>
      <c r="AJ290" s="79">
        <f t="shared" si="39"/>
        <v>1530</v>
      </c>
    </row>
    <row r="291" ht="38.25" spans="1:36">
      <c r="A291" s="44">
        <v>56</v>
      </c>
      <c r="B291" s="44" t="s">
        <v>941</v>
      </c>
      <c r="C291" s="44" t="s">
        <v>942</v>
      </c>
      <c r="D291" s="44" t="s">
        <v>213</v>
      </c>
      <c r="E291" s="44" t="s">
        <v>943</v>
      </c>
      <c r="F291" s="44" t="s">
        <v>944</v>
      </c>
      <c r="G291" s="44" t="s">
        <v>40</v>
      </c>
      <c r="H291" s="44"/>
      <c r="I291" s="56">
        <v>2050</v>
      </c>
      <c r="J291" s="56">
        <v>1845</v>
      </c>
      <c r="K291" s="55"/>
      <c r="L291" s="57">
        <v>1975</v>
      </c>
      <c r="M291" s="55"/>
      <c r="N291" s="64">
        <v>2000</v>
      </c>
      <c r="O291" s="64">
        <v>1800</v>
      </c>
      <c r="P291" s="64">
        <v>1530</v>
      </c>
      <c r="Q291" s="44" t="s">
        <v>54</v>
      </c>
      <c r="R291" s="70" t="s">
        <v>67</v>
      </c>
      <c r="S291" s="44" t="s">
        <v>945</v>
      </c>
      <c r="T291" s="45" t="s">
        <v>953</v>
      </c>
      <c r="U291" s="45">
        <v>33110302002</v>
      </c>
      <c r="V291" s="45" t="s">
        <v>954</v>
      </c>
      <c r="W291" s="43" t="s">
        <v>43</v>
      </c>
      <c r="X291" s="71" t="s">
        <v>43</v>
      </c>
      <c r="Y291" s="71" t="s">
        <v>40</v>
      </c>
      <c r="Z291" s="48" t="s">
        <v>43</v>
      </c>
      <c r="AA291" s="75">
        <v>2150</v>
      </c>
      <c r="AB291" s="75">
        <v>1935</v>
      </c>
      <c r="AC291" s="80">
        <v>1875</v>
      </c>
      <c r="AD291" s="80">
        <v>1800</v>
      </c>
      <c r="AE291" s="80">
        <v>1530</v>
      </c>
      <c r="AF291" s="79">
        <f t="shared" si="35"/>
        <v>0</v>
      </c>
      <c r="AG291" s="79" t="str">
        <f t="shared" si="36"/>
        <v>膀胱颈重建费</v>
      </c>
      <c r="AH291" s="79">
        <f t="shared" si="37"/>
        <v>2000</v>
      </c>
      <c r="AI291" s="79">
        <f t="shared" si="38"/>
        <v>1800</v>
      </c>
      <c r="AJ291" s="79">
        <f t="shared" si="39"/>
        <v>1530</v>
      </c>
    </row>
    <row r="292" ht="25.5" spans="1:36">
      <c r="A292" s="81" t="s">
        <v>81</v>
      </c>
      <c r="B292" s="81" t="s">
        <v>955</v>
      </c>
      <c r="C292" s="81" t="s">
        <v>956</v>
      </c>
      <c r="D292" s="81" t="s">
        <v>213</v>
      </c>
      <c r="E292" s="81"/>
      <c r="F292" s="81"/>
      <c r="G292" s="81" t="s">
        <v>40</v>
      </c>
      <c r="H292" s="81"/>
      <c r="I292" s="56">
        <v>615</v>
      </c>
      <c r="J292" s="56">
        <v>554</v>
      </c>
      <c r="K292" s="54"/>
      <c r="L292" s="54"/>
      <c r="M292" s="54"/>
      <c r="N292" s="64">
        <v>600</v>
      </c>
      <c r="O292" s="64">
        <v>540</v>
      </c>
      <c r="P292" s="64">
        <v>460</v>
      </c>
      <c r="Q292" s="44" t="s">
        <v>54</v>
      </c>
      <c r="R292" s="69"/>
      <c r="S292" s="44" t="s">
        <v>446</v>
      </c>
      <c r="T292" s="45" t="s">
        <v>957</v>
      </c>
      <c r="U292" s="45">
        <v>33110302101</v>
      </c>
      <c r="V292" s="45" t="s">
        <v>958</v>
      </c>
      <c r="W292" s="43" t="s">
        <v>43</v>
      </c>
      <c r="X292" s="71" t="s">
        <v>43</v>
      </c>
      <c r="Y292" s="71" t="s">
        <v>40</v>
      </c>
      <c r="Z292" s="48" t="s">
        <v>43</v>
      </c>
      <c r="AA292" s="75">
        <v>3250</v>
      </c>
      <c r="AB292" s="75">
        <v>2910</v>
      </c>
      <c r="AC292" s="80">
        <v>2845</v>
      </c>
      <c r="AD292" s="80">
        <v>2560</v>
      </c>
      <c r="AE292" s="80">
        <v>2175</v>
      </c>
      <c r="AF292" s="79">
        <f t="shared" si="35"/>
        <v>10</v>
      </c>
      <c r="AG292" s="79" t="str">
        <f t="shared" si="36"/>
        <v>膀胱颈重建费</v>
      </c>
      <c r="AH292" s="79">
        <f t="shared" si="37"/>
        <v>2600</v>
      </c>
      <c r="AI292" s="79">
        <f t="shared" si="38"/>
        <v>2340</v>
      </c>
      <c r="AJ292" s="79">
        <f t="shared" si="39"/>
        <v>1990</v>
      </c>
    </row>
    <row r="293" ht="25.5" spans="1:36">
      <c r="A293" s="81" t="s">
        <v>81</v>
      </c>
      <c r="B293" s="81" t="s">
        <v>955</v>
      </c>
      <c r="C293" s="81" t="s">
        <v>956</v>
      </c>
      <c r="D293" s="81" t="s">
        <v>213</v>
      </c>
      <c r="E293" s="81"/>
      <c r="F293" s="81"/>
      <c r="G293" s="81" t="s">
        <v>40</v>
      </c>
      <c r="H293" s="81"/>
      <c r="I293" s="56">
        <v>615</v>
      </c>
      <c r="J293" s="56">
        <v>554</v>
      </c>
      <c r="K293" s="54"/>
      <c r="L293" s="54"/>
      <c r="M293" s="54"/>
      <c r="N293" s="64">
        <v>600</v>
      </c>
      <c r="O293" s="64">
        <v>540</v>
      </c>
      <c r="P293" s="64">
        <v>460</v>
      </c>
      <c r="Q293" s="44" t="s">
        <v>54</v>
      </c>
      <c r="R293" s="69"/>
      <c r="S293" s="44" t="s">
        <v>446</v>
      </c>
      <c r="T293" s="45" t="s">
        <v>959</v>
      </c>
      <c r="U293" s="45">
        <v>33110302103</v>
      </c>
      <c r="V293" s="45" t="s">
        <v>960</v>
      </c>
      <c r="W293" s="43" t="s">
        <v>43</v>
      </c>
      <c r="X293" s="71" t="s">
        <v>43</v>
      </c>
      <c r="Y293" s="71" t="s">
        <v>40</v>
      </c>
      <c r="Z293" s="48" t="s">
        <v>43</v>
      </c>
      <c r="AA293" s="75">
        <v>4050</v>
      </c>
      <c r="AB293" s="75">
        <v>3630</v>
      </c>
      <c r="AC293" s="80">
        <v>3470</v>
      </c>
      <c r="AD293" s="80">
        <v>3160</v>
      </c>
      <c r="AE293" s="80">
        <v>2685</v>
      </c>
      <c r="AF293" s="79">
        <f t="shared" si="35"/>
        <v>10</v>
      </c>
      <c r="AG293" s="79" t="str">
        <f t="shared" si="36"/>
        <v>膀胱颈重建费</v>
      </c>
      <c r="AH293" s="79">
        <f t="shared" si="37"/>
        <v>2600</v>
      </c>
      <c r="AI293" s="79">
        <f t="shared" si="38"/>
        <v>2340</v>
      </c>
      <c r="AJ293" s="79">
        <f t="shared" si="39"/>
        <v>1990</v>
      </c>
    </row>
    <row r="294" ht="25.5" spans="1:36">
      <c r="A294" s="81" t="s">
        <v>81</v>
      </c>
      <c r="B294" s="81" t="s">
        <v>955</v>
      </c>
      <c r="C294" s="81" t="s">
        <v>956</v>
      </c>
      <c r="D294" s="81" t="s">
        <v>213</v>
      </c>
      <c r="E294" s="81"/>
      <c r="F294" s="81"/>
      <c r="G294" s="81" t="s">
        <v>40</v>
      </c>
      <c r="H294" s="81"/>
      <c r="I294" s="56">
        <v>615</v>
      </c>
      <c r="J294" s="56">
        <v>554</v>
      </c>
      <c r="K294" s="54"/>
      <c r="L294" s="54"/>
      <c r="M294" s="54"/>
      <c r="N294" s="64">
        <v>600</v>
      </c>
      <c r="O294" s="64">
        <v>540</v>
      </c>
      <c r="P294" s="64">
        <v>460</v>
      </c>
      <c r="Q294" s="44" t="s">
        <v>54</v>
      </c>
      <c r="R294" s="69"/>
      <c r="S294" s="44" t="s">
        <v>446</v>
      </c>
      <c r="T294" s="45" t="s">
        <v>961</v>
      </c>
      <c r="U294" s="45">
        <v>33110302001</v>
      </c>
      <c r="V294" s="45" t="s">
        <v>962</v>
      </c>
      <c r="W294" s="43" t="s">
        <v>43</v>
      </c>
      <c r="X294" s="71" t="s">
        <v>43</v>
      </c>
      <c r="Y294" s="71" t="s">
        <v>40</v>
      </c>
      <c r="Z294" s="48" t="s">
        <v>43</v>
      </c>
      <c r="AA294" s="75">
        <v>1755</v>
      </c>
      <c r="AB294" s="75">
        <v>1580</v>
      </c>
      <c r="AC294" s="80">
        <v>1625</v>
      </c>
      <c r="AD294" s="80">
        <v>1560</v>
      </c>
      <c r="AE294" s="80">
        <v>1325</v>
      </c>
      <c r="AF294" s="79">
        <f t="shared" si="35"/>
        <v>10</v>
      </c>
      <c r="AG294" s="79" t="str">
        <f t="shared" si="36"/>
        <v>膀胱颈重建费</v>
      </c>
      <c r="AH294" s="79">
        <f t="shared" si="37"/>
        <v>2600</v>
      </c>
      <c r="AI294" s="79">
        <f t="shared" si="38"/>
        <v>2340</v>
      </c>
      <c r="AJ294" s="79">
        <f t="shared" si="39"/>
        <v>1990</v>
      </c>
    </row>
    <row r="295" ht="25.5" spans="1:36">
      <c r="A295" s="81" t="s">
        <v>81</v>
      </c>
      <c r="B295" s="81" t="s">
        <v>955</v>
      </c>
      <c r="C295" s="81" t="s">
        <v>956</v>
      </c>
      <c r="D295" s="81" t="s">
        <v>213</v>
      </c>
      <c r="E295" s="81"/>
      <c r="F295" s="81"/>
      <c r="G295" s="81" t="s">
        <v>40</v>
      </c>
      <c r="H295" s="81"/>
      <c r="I295" s="56">
        <v>615</v>
      </c>
      <c r="J295" s="56">
        <v>554</v>
      </c>
      <c r="K295" s="54"/>
      <c r="L295" s="54"/>
      <c r="M295" s="54"/>
      <c r="N295" s="64">
        <v>600</v>
      </c>
      <c r="O295" s="64">
        <v>540</v>
      </c>
      <c r="P295" s="64">
        <v>460</v>
      </c>
      <c r="Q295" s="44" t="s">
        <v>54</v>
      </c>
      <c r="R295" s="69"/>
      <c r="S295" s="44" t="s">
        <v>446</v>
      </c>
      <c r="T295" s="45" t="s">
        <v>963</v>
      </c>
      <c r="U295" s="45">
        <v>33110302003</v>
      </c>
      <c r="V295" s="45" t="s">
        <v>964</v>
      </c>
      <c r="W295" s="43" t="s">
        <v>43</v>
      </c>
      <c r="X295" s="71" t="s">
        <v>43</v>
      </c>
      <c r="Y295" s="71" t="s">
        <v>40</v>
      </c>
      <c r="Z295" s="48" t="s">
        <v>43</v>
      </c>
      <c r="AA295" s="75">
        <v>2555</v>
      </c>
      <c r="AB295" s="75">
        <v>2300</v>
      </c>
      <c r="AC295" s="80">
        <v>2250</v>
      </c>
      <c r="AD295" s="80">
        <v>2160</v>
      </c>
      <c r="AE295" s="80">
        <v>1835</v>
      </c>
      <c r="AF295" s="79">
        <f t="shared" si="35"/>
        <v>10</v>
      </c>
      <c r="AG295" s="79" t="str">
        <f t="shared" si="36"/>
        <v>膀胱颈重建费</v>
      </c>
      <c r="AH295" s="79">
        <f t="shared" si="37"/>
        <v>2600</v>
      </c>
      <c r="AI295" s="79">
        <f t="shared" si="38"/>
        <v>2340</v>
      </c>
      <c r="AJ295" s="79">
        <f t="shared" si="39"/>
        <v>1990</v>
      </c>
    </row>
    <row r="296" ht="21" customHeight="1" spans="1:36">
      <c r="A296" s="44">
        <v>57</v>
      </c>
      <c r="B296" s="44" t="s">
        <v>965</v>
      </c>
      <c r="C296" s="44" t="s">
        <v>966</v>
      </c>
      <c r="D296" s="44" t="s">
        <v>213</v>
      </c>
      <c r="E296" s="44" t="s">
        <v>967</v>
      </c>
      <c r="F296" s="44" t="s">
        <v>968</v>
      </c>
      <c r="G296" s="44" t="s">
        <v>40</v>
      </c>
      <c r="H296" s="44"/>
      <c r="I296" s="56">
        <v>2510</v>
      </c>
      <c r="J296" s="56">
        <v>2259</v>
      </c>
      <c r="K296" s="59">
        <v>2088.57142857143</v>
      </c>
      <c r="L296" s="59">
        <v>1781.42857142857</v>
      </c>
      <c r="M296" s="57">
        <v>1020</v>
      </c>
      <c r="N296" s="64">
        <v>2200</v>
      </c>
      <c r="O296" s="64">
        <v>2000</v>
      </c>
      <c r="P296" s="64">
        <v>1700</v>
      </c>
      <c r="Q296" s="44" t="s">
        <v>54</v>
      </c>
      <c r="R296" s="70" t="s">
        <v>416</v>
      </c>
      <c r="S296" s="44" t="s">
        <v>969</v>
      </c>
      <c r="T296" s="43" t="s">
        <v>970</v>
      </c>
      <c r="U296" s="71">
        <v>331103003</v>
      </c>
      <c r="V296" s="43" t="s">
        <v>971</v>
      </c>
      <c r="W296" s="45"/>
      <c r="X296" s="71" t="s">
        <v>43</v>
      </c>
      <c r="Y296" s="71" t="s">
        <v>40</v>
      </c>
      <c r="Z296" s="48" t="s">
        <v>43</v>
      </c>
      <c r="AA296" s="75">
        <v>2300</v>
      </c>
      <c r="AB296" s="75">
        <v>2080</v>
      </c>
      <c r="AC296" s="80">
        <v>2030</v>
      </c>
      <c r="AD296" s="80">
        <v>1830</v>
      </c>
      <c r="AE296" s="80">
        <v>1560</v>
      </c>
      <c r="AF296" s="79">
        <f t="shared" si="35"/>
        <v>0</v>
      </c>
      <c r="AG296" s="79" t="str">
        <f t="shared" si="36"/>
        <v>膀胱部分切除费</v>
      </c>
      <c r="AH296" s="79">
        <f t="shared" si="37"/>
        <v>2200</v>
      </c>
      <c r="AI296" s="79">
        <f t="shared" si="38"/>
        <v>2000</v>
      </c>
      <c r="AJ296" s="79">
        <f t="shared" si="39"/>
        <v>1700</v>
      </c>
    </row>
    <row r="297" ht="21" customHeight="1" spans="1:36">
      <c r="A297" s="44">
        <v>57</v>
      </c>
      <c r="B297" s="44" t="s">
        <v>965</v>
      </c>
      <c r="C297" s="44" t="s">
        <v>966</v>
      </c>
      <c r="D297" s="44" t="s">
        <v>213</v>
      </c>
      <c r="E297" s="44" t="s">
        <v>967</v>
      </c>
      <c r="F297" s="44" t="s">
        <v>968</v>
      </c>
      <c r="G297" s="44" t="s">
        <v>40</v>
      </c>
      <c r="H297" s="44"/>
      <c r="I297" s="56">
        <v>2510</v>
      </c>
      <c r="J297" s="56">
        <v>2259</v>
      </c>
      <c r="K297" s="59">
        <v>2088.57142857143</v>
      </c>
      <c r="L297" s="59">
        <v>1781.42857142857</v>
      </c>
      <c r="M297" s="57">
        <v>1020</v>
      </c>
      <c r="N297" s="64">
        <v>2200</v>
      </c>
      <c r="O297" s="64">
        <v>2000</v>
      </c>
      <c r="P297" s="64">
        <v>1700</v>
      </c>
      <c r="Q297" s="44" t="s">
        <v>54</v>
      </c>
      <c r="R297" s="70" t="s">
        <v>416</v>
      </c>
      <c r="S297" s="44" t="s">
        <v>969</v>
      </c>
      <c r="T297" s="43" t="s">
        <v>972</v>
      </c>
      <c r="U297" s="71">
        <v>33110300302</v>
      </c>
      <c r="V297" s="43" t="s">
        <v>973</v>
      </c>
      <c r="W297" s="45"/>
      <c r="X297" s="71" t="s">
        <v>43</v>
      </c>
      <c r="Y297" s="71" t="s">
        <v>40</v>
      </c>
      <c r="Z297" s="48" t="s">
        <v>43</v>
      </c>
      <c r="AA297" s="75">
        <v>3100</v>
      </c>
      <c r="AB297" s="75">
        <v>2800</v>
      </c>
      <c r="AC297" s="80">
        <v>2655</v>
      </c>
      <c r="AD297" s="80">
        <v>2430</v>
      </c>
      <c r="AE297" s="80">
        <v>2070</v>
      </c>
      <c r="AF297" s="79">
        <f t="shared" si="35"/>
        <v>0</v>
      </c>
      <c r="AG297" s="79" t="str">
        <f t="shared" si="36"/>
        <v>膀胱部分切除费</v>
      </c>
      <c r="AH297" s="79">
        <f t="shared" si="37"/>
        <v>2200</v>
      </c>
      <c r="AI297" s="79">
        <f t="shared" si="38"/>
        <v>2000</v>
      </c>
      <c r="AJ297" s="79">
        <f t="shared" si="39"/>
        <v>1700</v>
      </c>
    </row>
    <row r="298" ht="21" customHeight="1" spans="1:36">
      <c r="A298" s="44">
        <v>57</v>
      </c>
      <c r="B298" s="44" t="s">
        <v>965</v>
      </c>
      <c r="C298" s="44" t="s">
        <v>966</v>
      </c>
      <c r="D298" s="44" t="s">
        <v>213</v>
      </c>
      <c r="E298" s="44" t="s">
        <v>967</v>
      </c>
      <c r="F298" s="44" t="s">
        <v>968</v>
      </c>
      <c r="G298" s="44" t="s">
        <v>40</v>
      </c>
      <c r="H298" s="44"/>
      <c r="I298" s="56">
        <v>2510</v>
      </c>
      <c r="J298" s="56">
        <v>2259</v>
      </c>
      <c r="K298" s="59">
        <v>2088.57142857143</v>
      </c>
      <c r="L298" s="59">
        <v>1781.42857142857</v>
      </c>
      <c r="M298" s="57">
        <v>1020</v>
      </c>
      <c r="N298" s="64">
        <v>2200</v>
      </c>
      <c r="O298" s="64">
        <v>2000</v>
      </c>
      <c r="P298" s="64">
        <v>1700</v>
      </c>
      <c r="Q298" s="44" t="s">
        <v>54</v>
      </c>
      <c r="R298" s="70" t="s">
        <v>416</v>
      </c>
      <c r="S298" s="44" t="s">
        <v>969</v>
      </c>
      <c r="T298" s="43" t="s">
        <v>974</v>
      </c>
      <c r="U298" s="71">
        <v>331103002</v>
      </c>
      <c r="V298" s="43" t="s">
        <v>975</v>
      </c>
      <c r="W298" s="45"/>
      <c r="X298" s="71" t="s">
        <v>43</v>
      </c>
      <c r="Y298" s="71" t="s">
        <v>40</v>
      </c>
      <c r="Z298" s="48" t="s">
        <v>43</v>
      </c>
      <c r="AA298" s="75">
        <v>1620</v>
      </c>
      <c r="AB298" s="75">
        <v>1460</v>
      </c>
      <c r="AC298" s="80">
        <v>1500</v>
      </c>
      <c r="AD298" s="80">
        <v>1440</v>
      </c>
      <c r="AE298" s="80">
        <v>1224</v>
      </c>
      <c r="AF298" s="79">
        <f t="shared" si="35"/>
        <v>0</v>
      </c>
      <c r="AG298" s="79" t="str">
        <f t="shared" si="36"/>
        <v>膀胱部分切除费</v>
      </c>
      <c r="AH298" s="79">
        <f t="shared" si="37"/>
        <v>2200</v>
      </c>
      <c r="AI298" s="79">
        <f t="shared" si="38"/>
        <v>2000</v>
      </c>
      <c r="AJ298" s="79">
        <f t="shared" si="39"/>
        <v>1700</v>
      </c>
    </row>
    <row r="299" ht="21" customHeight="1" spans="1:36">
      <c r="A299" s="44">
        <v>57</v>
      </c>
      <c r="B299" s="44" t="s">
        <v>965</v>
      </c>
      <c r="C299" s="44" t="s">
        <v>966</v>
      </c>
      <c r="D299" s="44" t="s">
        <v>213</v>
      </c>
      <c r="E299" s="44" t="s">
        <v>967</v>
      </c>
      <c r="F299" s="44" t="s">
        <v>968</v>
      </c>
      <c r="G299" s="44" t="s">
        <v>40</v>
      </c>
      <c r="H299" s="44"/>
      <c r="I299" s="56">
        <v>2510</v>
      </c>
      <c r="J299" s="56">
        <v>2259</v>
      </c>
      <c r="K299" s="59">
        <v>2088.57142857143</v>
      </c>
      <c r="L299" s="59">
        <v>1781.42857142857</v>
      </c>
      <c r="M299" s="57">
        <v>1020</v>
      </c>
      <c r="N299" s="64">
        <v>2200</v>
      </c>
      <c r="O299" s="64">
        <v>2000</v>
      </c>
      <c r="P299" s="64">
        <v>1700</v>
      </c>
      <c r="Q299" s="44" t="s">
        <v>54</v>
      </c>
      <c r="R299" s="70" t="s">
        <v>416</v>
      </c>
      <c r="S299" s="44" t="s">
        <v>969</v>
      </c>
      <c r="T299" s="43" t="s">
        <v>976</v>
      </c>
      <c r="U299" s="71">
        <v>33110300202</v>
      </c>
      <c r="V299" s="43" t="s">
        <v>977</v>
      </c>
      <c r="W299" s="45"/>
      <c r="X299" s="71" t="s">
        <v>43</v>
      </c>
      <c r="Y299" s="71" t="s">
        <v>40</v>
      </c>
      <c r="Z299" s="48" t="s">
        <v>43</v>
      </c>
      <c r="AA299" s="75">
        <v>2420</v>
      </c>
      <c r="AB299" s="75">
        <v>2180</v>
      </c>
      <c r="AC299" s="80">
        <v>2125</v>
      </c>
      <c r="AD299" s="80">
        <v>2040</v>
      </c>
      <c r="AE299" s="80">
        <v>1734</v>
      </c>
      <c r="AF299" s="79">
        <f t="shared" si="35"/>
        <v>0</v>
      </c>
      <c r="AG299" s="79" t="str">
        <f t="shared" si="36"/>
        <v>膀胱部分切除费</v>
      </c>
      <c r="AH299" s="79">
        <f t="shared" si="37"/>
        <v>2200</v>
      </c>
      <c r="AI299" s="79">
        <f t="shared" si="38"/>
        <v>2000</v>
      </c>
      <c r="AJ299" s="79">
        <f t="shared" si="39"/>
        <v>1700</v>
      </c>
    </row>
    <row r="300" ht="21" customHeight="1" spans="1:36">
      <c r="A300" s="44">
        <v>57</v>
      </c>
      <c r="B300" s="44" t="s">
        <v>965</v>
      </c>
      <c r="C300" s="44" t="s">
        <v>966</v>
      </c>
      <c r="D300" s="44" t="s">
        <v>213</v>
      </c>
      <c r="E300" s="44" t="s">
        <v>967</v>
      </c>
      <c r="F300" s="44" t="s">
        <v>968</v>
      </c>
      <c r="G300" s="44" t="s">
        <v>40</v>
      </c>
      <c r="H300" s="44"/>
      <c r="I300" s="56">
        <v>2510</v>
      </c>
      <c r="J300" s="56">
        <v>2259</v>
      </c>
      <c r="K300" s="59">
        <v>2088.57142857143</v>
      </c>
      <c r="L300" s="59">
        <v>1781.42857142857</v>
      </c>
      <c r="M300" s="57">
        <v>1020</v>
      </c>
      <c r="N300" s="64">
        <v>2200</v>
      </c>
      <c r="O300" s="64">
        <v>2000</v>
      </c>
      <c r="P300" s="64">
        <v>1700</v>
      </c>
      <c r="Q300" s="44" t="s">
        <v>54</v>
      </c>
      <c r="R300" s="70" t="s">
        <v>416</v>
      </c>
      <c r="S300" s="44" t="s">
        <v>969</v>
      </c>
      <c r="T300" s="43" t="s">
        <v>978</v>
      </c>
      <c r="U300" s="71">
        <v>331103015</v>
      </c>
      <c r="V300" s="43" t="s">
        <v>979</v>
      </c>
      <c r="W300" s="45"/>
      <c r="X300" s="71" t="s">
        <v>43</v>
      </c>
      <c r="Y300" s="71" t="s">
        <v>40</v>
      </c>
      <c r="Z300" s="48" t="s">
        <v>43</v>
      </c>
      <c r="AA300" s="75">
        <v>1080</v>
      </c>
      <c r="AB300" s="75">
        <v>970</v>
      </c>
      <c r="AC300" s="80">
        <v>1000</v>
      </c>
      <c r="AD300" s="80">
        <v>960</v>
      </c>
      <c r="AE300" s="80">
        <v>816</v>
      </c>
      <c r="AF300" s="79">
        <f t="shared" si="35"/>
        <v>0</v>
      </c>
      <c r="AG300" s="79" t="str">
        <f t="shared" si="36"/>
        <v>膀胱部分切除费</v>
      </c>
      <c r="AH300" s="79">
        <f t="shared" si="37"/>
        <v>2200</v>
      </c>
      <c r="AI300" s="79">
        <f t="shared" si="38"/>
        <v>2000</v>
      </c>
      <c r="AJ300" s="79">
        <f t="shared" si="39"/>
        <v>1700</v>
      </c>
    </row>
    <row r="301" ht="21" customHeight="1" spans="1:36">
      <c r="A301" s="44">
        <v>57</v>
      </c>
      <c r="B301" s="44" t="s">
        <v>965</v>
      </c>
      <c r="C301" s="44" t="s">
        <v>966</v>
      </c>
      <c r="D301" s="44" t="s">
        <v>213</v>
      </c>
      <c r="E301" s="44" t="s">
        <v>967</v>
      </c>
      <c r="F301" s="44" t="s">
        <v>968</v>
      </c>
      <c r="G301" s="44" t="s">
        <v>40</v>
      </c>
      <c r="H301" s="44"/>
      <c r="I301" s="56">
        <v>2510</v>
      </c>
      <c r="J301" s="56">
        <v>2259</v>
      </c>
      <c r="K301" s="59">
        <v>2088.57142857143</v>
      </c>
      <c r="L301" s="59">
        <v>1781.42857142857</v>
      </c>
      <c r="M301" s="57">
        <v>1020</v>
      </c>
      <c r="N301" s="64">
        <v>2200</v>
      </c>
      <c r="O301" s="64">
        <v>2000</v>
      </c>
      <c r="P301" s="64">
        <v>1700</v>
      </c>
      <c r="Q301" s="44" t="s">
        <v>54</v>
      </c>
      <c r="R301" s="70" t="s">
        <v>416</v>
      </c>
      <c r="S301" s="44" t="s">
        <v>969</v>
      </c>
      <c r="T301" s="43" t="s">
        <v>980</v>
      </c>
      <c r="U301" s="71">
        <v>33110301502</v>
      </c>
      <c r="V301" s="43" t="s">
        <v>981</v>
      </c>
      <c r="W301" s="45"/>
      <c r="X301" s="71" t="s">
        <v>43</v>
      </c>
      <c r="Y301" s="71" t="s">
        <v>40</v>
      </c>
      <c r="Z301" s="48" t="s">
        <v>43</v>
      </c>
      <c r="AA301" s="75">
        <v>1880</v>
      </c>
      <c r="AB301" s="75">
        <v>1690</v>
      </c>
      <c r="AC301" s="80">
        <v>1625</v>
      </c>
      <c r="AD301" s="80">
        <v>1560</v>
      </c>
      <c r="AE301" s="80">
        <v>1326</v>
      </c>
      <c r="AF301" s="79">
        <f t="shared" si="35"/>
        <v>0</v>
      </c>
      <c r="AG301" s="79" t="str">
        <f t="shared" si="36"/>
        <v>膀胱部分切除费</v>
      </c>
      <c r="AH301" s="79">
        <f t="shared" si="37"/>
        <v>2200</v>
      </c>
      <c r="AI301" s="79">
        <f t="shared" si="38"/>
        <v>2000</v>
      </c>
      <c r="AJ301" s="79">
        <f t="shared" si="39"/>
        <v>1700</v>
      </c>
    </row>
    <row r="302" ht="21" customHeight="1" spans="1:36">
      <c r="A302" s="44">
        <v>57</v>
      </c>
      <c r="B302" s="44" t="s">
        <v>965</v>
      </c>
      <c r="C302" s="44" t="s">
        <v>966</v>
      </c>
      <c r="D302" s="44" t="s">
        <v>213</v>
      </c>
      <c r="E302" s="44" t="s">
        <v>967</v>
      </c>
      <c r="F302" s="44" t="s">
        <v>968</v>
      </c>
      <c r="G302" s="44" t="s">
        <v>40</v>
      </c>
      <c r="H302" s="44"/>
      <c r="I302" s="56">
        <v>2510</v>
      </c>
      <c r="J302" s="56">
        <v>2259</v>
      </c>
      <c r="K302" s="59">
        <v>2088.57142857143</v>
      </c>
      <c r="L302" s="59">
        <v>1781.42857142857</v>
      </c>
      <c r="M302" s="57">
        <v>1020</v>
      </c>
      <c r="N302" s="64">
        <v>2200</v>
      </c>
      <c r="O302" s="64">
        <v>2000</v>
      </c>
      <c r="P302" s="64">
        <v>1700</v>
      </c>
      <c r="Q302" s="44" t="s">
        <v>54</v>
      </c>
      <c r="R302" s="70" t="s">
        <v>416</v>
      </c>
      <c r="S302" s="44" t="s">
        <v>969</v>
      </c>
      <c r="T302" s="43" t="s">
        <v>982</v>
      </c>
      <c r="U302" s="71">
        <v>331103024</v>
      </c>
      <c r="V302" s="43" t="s">
        <v>983</v>
      </c>
      <c r="W302" s="45"/>
      <c r="X302" s="71" t="s">
        <v>43</v>
      </c>
      <c r="Y302" s="71" t="s">
        <v>40</v>
      </c>
      <c r="Z302" s="48" t="s">
        <v>43</v>
      </c>
      <c r="AA302" s="75">
        <v>1350</v>
      </c>
      <c r="AB302" s="75">
        <v>1215</v>
      </c>
      <c r="AC302" s="80">
        <v>1250</v>
      </c>
      <c r="AD302" s="80">
        <v>1200</v>
      </c>
      <c r="AE302" s="80">
        <v>1020</v>
      </c>
      <c r="AF302" s="79">
        <f t="shared" si="35"/>
        <v>0</v>
      </c>
      <c r="AG302" s="79" t="str">
        <f t="shared" si="36"/>
        <v>膀胱部分切除费</v>
      </c>
      <c r="AH302" s="79">
        <f t="shared" si="37"/>
        <v>2200</v>
      </c>
      <c r="AI302" s="79">
        <f t="shared" si="38"/>
        <v>2000</v>
      </c>
      <c r="AJ302" s="79">
        <f t="shared" si="39"/>
        <v>1700</v>
      </c>
    </row>
    <row r="303" ht="21" customHeight="1" spans="1:36">
      <c r="A303" s="44">
        <v>57</v>
      </c>
      <c r="B303" s="44" t="s">
        <v>965</v>
      </c>
      <c r="C303" s="44" t="s">
        <v>966</v>
      </c>
      <c r="D303" s="44" t="s">
        <v>213</v>
      </c>
      <c r="E303" s="44" t="s">
        <v>967</v>
      </c>
      <c r="F303" s="44" t="s">
        <v>968</v>
      </c>
      <c r="G303" s="44" t="s">
        <v>40</v>
      </c>
      <c r="H303" s="44"/>
      <c r="I303" s="56">
        <v>2510</v>
      </c>
      <c r="J303" s="56">
        <v>2259</v>
      </c>
      <c r="K303" s="59">
        <v>2088.57142857143</v>
      </c>
      <c r="L303" s="59">
        <v>1781.42857142857</v>
      </c>
      <c r="M303" s="57">
        <v>1020</v>
      </c>
      <c r="N303" s="64">
        <v>2200</v>
      </c>
      <c r="O303" s="64">
        <v>2000</v>
      </c>
      <c r="P303" s="64">
        <v>1700</v>
      </c>
      <c r="Q303" s="44" t="s">
        <v>54</v>
      </c>
      <c r="R303" s="70" t="s">
        <v>416</v>
      </c>
      <c r="S303" s="44" t="s">
        <v>969</v>
      </c>
      <c r="T303" s="43" t="s">
        <v>984</v>
      </c>
      <c r="U303" s="71">
        <v>33110302402</v>
      </c>
      <c r="V303" s="43" t="s">
        <v>985</v>
      </c>
      <c r="W303" s="45"/>
      <c r="X303" s="71" t="s">
        <v>43</v>
      </c>
      <c r="Y303" s="71" t="s">
        <v>40</v>
      </c>
      <c r="Z303" s="48" t="s">
        <v>43</v>
      </c>
      <c r="AA303" s="75">
        <v>2150</v>
      </c>
      <c r="AB303" s="75">
        <v>1935</v>
      </c>
      <c r="AC303" s="80">
        <v>1875</v>
      </c>
      <c r="AD303" s="80">
        <v>1800</v>
      </c>
      <c r="AE303" s="80">
        <v>1530</v>
      </c>
      <c r="AF303" s="79">
        <f t="shared" si="35"/>
        <v>0</v>
      </c>
      <c r="AG303" s="79" t="str">
        <f t="shared" si="36"/>
        <v>膀胱部分切除费</v>
      </c>
      <c r="AH303" s="79">
        <f t="shared" si="37"/>
        <v>2200</v>
      </c>
      <c r="AI303" s="79">
        <f t="shared" si="38"/>
        <v>2000</v>
      </c>
      <c r="AJ303" s="79">
        <f t="shared" si="39"/>
        <v>1700</v>
      </c>
    </row>
    <row r="304" ht="21" customHeight="1" spans="1:36">
      <c r="A304" s="44">
        <v>57</v>
      </c>
      <c r="B304" s="44" t="s">
        <v>965</v>
      </c>
      <c r="C304" s="44" t="s">
        <v>966</v>
      </c>
      <c r="D304" s="44" t="s">
        <v>213</v>
      </c>
      <c r="E304" s="44" t="s">
        <v>967</v>
      </c>
      <c r="F304" s="44" t="s">
        <v>968</v>
      </c>
      <c r="G304" s="44" t="s">
        <v>40</v>
      </c>
      <c r="H304" s="44"/>
      <c r="I304" s="56">
        <v>2510</v>
      </c>
      <c r="J304" s="56">
        <v>2259</v>
      </c>
      <c r="K304" s="59">
        <v>2088.57142857143</v>
      </c>
      <c r="L304" s="59">
        <v>1781.42857142857</v>
      </c>
      <c r="M304" s="57">
        <v>1020</v>
      </c>
      <c r="N304" s="64">
        <v>2200</v>
      </c>
      <c r="O304" s="64">
        <v>2000</v>
      </c>
      <c r="P304" s="64">
        <v>1700</v>
      </c>
      <c r="Q304" s="44" t="s">
        <v>54</v>
      </c>
      <c r="R304" s="70" t="s">
        <v>416</v>
      </c>
      <c r="S304" s="44" t="s">
        <v>969</v>
      </c>
      <c r="T304" s="43" t="s">
        <v>986</v>
      </c>
      <c r="U304" s="71">
        <v>331103004</v>
      </c>
      <c r="V304" s="43" t="s">
        <v>987</v>
      </c>
      <c r="W304" s="45"/>
      <c r="X304" s="71" t="s">
        <v>43</v>
      </c>
      <c r="Y304" s="71" t="s">
        <v>40</v>
      </c>
      <c r="Z304" s="48" t="s">
        <v>43</v>
      </c>
      <c r="AA304" s="75">
        <v>1350</v>
      </c>
      <c r="AB304" s="75">
        <v>1215</v>
      </c>
      <c r="AC304" s="80">
        <v>1250</v>
      </c>
      <c r="AD304" s="80">
        <v>1200</v>
      </c>
      <c r="AE304" s="80">
        <v>1020</v>
      </c>
      <c r="AF304" s="79">
        <f t="shared" si="35"/>
        <v>0</v>
      </c>
      <c r="AG304" s="79" t="str">
        <f t="shared" si="36"/>
        <v>膀胱部分切除费</v>
      </c>
      <c r="AH304" s="79">
        <f t="shared" si="37"/>
        <v>2200</v>
      </c>
      <c r="AI304" s="79">
        <f t="shared" si="38"/>
        <v>2000</v>
      </c>
      <c r="AJ304" s="79">
        <f t="shared" si="39"/>
        <v>1700</v>
      </c>
    </row>
    <row r="305" ht="21" customHeight="1" spans="1:36">
      <c r="A305" s="44">
        <v>57</v>
      </c>
      <c r="B305" s="44" t="s">
        <v>965</v>
      </c>
      <c r="C305" s="44" t="s">
        <v>966</v>
      </c>
      <c r="D305" s="44" t="s">
        <v>213</v>
      </c>
      <c r="E305" s="44" t="s">
        <v>967</v>
      </c>
      <c r="F305" s="44" t="s">
        <v>968</v>
      </c>
      <c r="G305" s="44" t="s">
        <v>40</v>
      </c>
      <c r="H305" s="44"/>
      <c r="I305" s="56">
        <v>2510</v>
      </c>
      <c r="J305" s="56">
        <v>2259</v>
      </c>
      <c r="K305" s="59">
        <v>2088.57142857143</v>
      </c>
      <c r="L305" s="59">
        <v>1781.42857142857</v>
      </c>
      <c r="M305" s="57">
        <v>1020</v>
      </c>
      <c r="N305" s="64">
        <v>2200</v>
      </c>
      <c r="O305" s="64">
        <v>2000</v>
      </c>
      <c r="P305" s="64">
        <v>1700</v>
      </c>
      <c r="Q305" s="44" t="s">
        <v>54</v>
      </c>
      <c r="R305" s="70" t="s">
        <v>416</v>
      </c>
      <c r="S305" s="44" t="s">
        <v>969</v>
      </c>
      <c r="T305" s="43" t="s">
        <v>988</v>
      </c>
      <c r="U305" s="71">
        <v>33110300402</v>
      </c>
      <c r="V305" s="43" t="s">
        <v>989</v>
      </c>
      <c r="W305" s="45"/>
      <c r="X305" s="71" t="s">
        <v>43</v>
      </c>
      <c r="Y305" s="71" t="s">
        <v>40</v>
      </c>
      <c r="Z305" s="48" t="s">
        <v>43</v>
      </c>
      <c r="AA305" s="75">
        <v>2150</v>
      </c>
      <c r="AB305" s="75">
        <v>1935</v>
      </c>
      <c r="AC305" s="80">
        <v>1875</v>
      </c>
      <c r="AD305" s="80">
        <v>1800</v>
      </c>
      <c r="AE305" s="80">
        <v>1530</v>
      </c>
      <c r="AF305" s="79">
        <f t="shared" si="35"/>
        <v>0</v>
      </c>
      <c r="AG305" s="79" t="str">
        <f t="shared" si="36"/>
        <v>膀胱部分切除费</v>
      </c>
      <c r="AH305" s="79">
        <f t="shared" si="37"/>
        <v>2200</v>
      </c>
      <c r="AI305" s="79">
        <f t="shared" si="38"/>
        <v>2000</v>
      </c>
      <c r="AJ305" s="79">
        <f t="shared" si="39"/>
        <v>1700</v>
      </c>
    </row>
    <row r="306" ht="21" customHeight="1" spans="1:36">
      <c r="A306" s="44">
        <v>57</v>
      </c>
      <c r="B306" s="44" t="s">
        <v>965</v>
      </c>
      <c r="C306" s="44" t="s">
        <v>966</v>
      </c>
      <c r="D306" s="44" t="s">
        <v>213</v>
      </c>
      <c r="E306" s="44" t="s">
        <v>967</v>
      </c>
      <c r="F306" s="44" t="s">
        <v>968</v>
      </c>
      <c r="G306" s="44" t="s">
        <v>40</v>
      </c>
      <c r="H306" s="44"/>
      <c r="I306" s="56">
        <v>2510</v>
      </c>
      <c r="J306" s="56">
        <v>2259</v>
      </c>
      <c r="K306" s="59">
        <v>2088.57142857143</v>
      </c>
      <c r="L306" s="59">
        <v>1781.42857142857</v>
      </c>
      <c r="M306" s="57">
        <v>1020</v>
      </c>
      <c r="N306" s="64">
        <v>2200</v>
      </c>
      <c r="O306" s="64">
        <v>2000</v>
      </c>
      <c r="P306" s="64">
        <v>1700</v>
      </c>
      <c r="Q306" s="44" t="s">
        <v>54</v>
      </c>
      <c r="R306" s="70" t="s">
        <v>416</v>
      </c>
      <c r="S306" s="44" t="s">
        <v>969</v>
      </c>
      <c r="T306" s="43" t="s">
        <v>990</v>
      </c>
      <c r="U306" s="71">
        <v>331103025</v>
      </c>
      <c r="V306" s="43" t="s">
        <v>991</v>
      </c>
      <c r="W306" s="45"/>
      <c r="X306" s="71" t="s">
        <v>43</v>
      </c>
      <c r="Y306" s="71" t="s">
        <v>40</v>
      </c>
      <c r="Z306" s="48" t="s">
        <v>43</v>
      </c>
      <c r="AA306" s="75">
        <v>2500</v>
      </c>
      <c r="AB306" s="75">
        <v>2240</v>
      </c>
      <c r="AC306" s="80">
        <v>2190</v>
      </c>
      <c r="AD306" s="80">
        <v>1970</v>
      </c>
      <c r="AE306" s="80">
        <v>1670</v>
      </c>
      <c r="AF306" s="79">
        <f t="shared" si="35"/>
        <v>0</v>
      </c>
      <c r="AG306" s="79" t="str">
        <f t="shared" si="36"/>
        <v>膀胱部分切除费</v>
      </c>
      <c r="AH306" s="79">
        <f t="shared" si="37"/>
        <v>2200</v>
      </c>
      <c r="AI306" s="79">
        <f t="shared" si="38"/>
        <v>2000</v>
      </c>
      <c r="AJ306" s="79">
        <f t="shared" si="39"/>
        <v>1700</v>
      </c>
    </row>
    <row r="307" ht="21" customHeight="1" spans="1:36">
      <c r="A307" s="81" t="s">
        <v>81</v>
      </c>
      <c r="B307" s="81" t="s">
        <v>992</v>
      </c>
      <c r="C307" s="81" t="s">
        <v>993</v>
      </c>
      <c r="D307" s="81" t="s">
        <v>213</v>
      </c>
      <c r="E307" s="81"/>
      <c r="F307" s="81"/>
      <c r="G307" s="81" t="s">
        <v>40</v>
      </c>
      <c r="H307" s="81"/>
      <c r="I307" s="56">
        <v>600</v>
      </c>
      <c r="J307" s="56">
        <v>540</v>
      </c>
      <c r="K307" s="84"/>
      <c r="L307" s="84"/>
      <c r="M307" s="84"/>
      <c r="N307" s="64">
        <v>525</v>
      </c>
      <c r="O307" s="64">
        <v>470</v>
      </c>
      <c r="P307" s="64">
        <v>400</v>
      </c>
      <c r="Q307" s="44" t="s">
        <v>54</v>
      </c>
      <c r="R307" s="69"/>
      <c r="S307" s="44" t="s">
        <v>994</v>
      </c>
      <c r="T307" s="43" t="s">
        <v>995</v>
      </c>
      <c r="U307" s="71">
        <v>331103028</v>
      </c>
      <c r="V307" s="43" t="s">
        <v>996</v>
      </c>
      <c r="W307" s="45"/>
      <c r="X307" s="71" t="s">
        <v>43</v>
      </c>
      <c r="Y307" s="71" t="s">
        <v>40</v>
      </c>
      <c r="Z307" s="48" t="s">
        <v>43</v>
      </c>
      <c r="AA307" s="75">
        <v>1760</v>
      </c>
      <c r="AB307" s="75">
        <v>1580</v>
      </c>
      <c r="AC307" s="80">
        <v>1625</v>
      </c>
      <c r="AD307" s="80">
        <v>1560</v>
      </c>
      <c r="AE307" s="80">
        <v>1326</v>
      </c>
      <c r="AF307" s="79">
        <f t="shared" si="35"/>
        <v>16</v>
      </c>
      <c r="AG307" s="79" t="str">
        <f t="shared" si="36"/>
        <v>膀胱部分切除费</v>
      </c>
      <c r="AH307" s="79">
        <f t="shared" si="37"/>
        <v>2725</v>
      </c>
      <c r="AI307" s="79">
        <f t="shared" si="38"/>
        <v>2470</v>
      </c>
      <c r="AJ307" s="79">
        <f t="shared" si="39"/>
        <v>2100</v>
      </c>
    </row>
    <row r="308" ht="21" customHeight="1" spans="1:36">
      <c r="A308" s="81" t="s">
        <v>81</v>
      </c>
      <c r="B308" s="81" t="s">
        <v>992</v>
      </c>
      <c r="C308" s="81" t="s">
        <v>993</v>
      </c>
      <c r="D308" s="81" t="s">
        <v>213</v>
      </c>
      <c r="E308" s="81"/>
      <c r="F308" s="81"/>
      <c r="G308" s="81" t="s">
        <v>40</v>
      </c>
      <c r="H308" s="81"/>
      <c r="I308" s="56">
        <v>600</v>
      </c>
      <c r="J308" s="56">
        <v>540</v>
      </c>
      <c r="K308" s="84"/>
      <c r="L308" s="84"/>
      <c r="M308" s="84"/>
      <c r="N308" s="64">
        <v>525</v>
      </c>
      <c r="O308" s="64">
        <v>470</v>
      </c>
      <c r="P308" s="64">
        <v>400</v>
      </c>
      <c r="Q308" s="44" t="s">
        <v>54</v>
      </c>
      <c r="R308" s="69"/>
      <c r="S308" s="44" t="s">
        <v>994</v>
      </c>
      <c r="T308" s="45" t="s">
        <v>997</v>
      </c>
      <c r="U308" s="45">
        <v>33110302801</v>
      </c>
      <c r="V308" s="45" t="s">
        <v>998</v>
      </c>
      <c r="W308" s="45"/>
      <c r="X308" s="71" t="s">
        <v>43</v>
      </c>
      <c r="Y308" s="71" t="s">
        <v>40</v>
      </c>
      <c r="Z308" s="48" t="s">
        <v>43</v>
      </c>
      <c r="AA308" s="75">
        <v>2290</v>
      </c>
      <c r="AB308" s="75">
        <v>2055</v>
      </c>
      <c r="AC308" s="80">
        <v>2115</v>
      </c>
      <c r="AD308" s="80">
        <v>2030</v>
      </c>
      <c r="AE308" s="80">
        <v>1725</v>
      </c>
      <c r="AF308" s="79">
        <f t="shared" si="35"/>
        <v>16</v>
      </c>
      <c r="AG308" s="79" t="str">
        <f t="shared" si="36"/>
        <v>膀胱部分切除费</v>
      </c>
      <c r="AH308" s="79">
        <f t="shared" si="37"/>
        <v>2725</v>
      </c>
      <c r="AI308" s="79">
        <f t="shared" si="38"/>
        <v>2470</v>
      </c>
      <c r="AJ308" s="79">
        <f t="shared" si="39"/>
        <v>2100</v>
      </c>
    </row>
    <row r="309" ht="21" customHeight="1" spans="1:36">
      <c r="A309" s="81" t="s">
        <v>81</v>
      </c>
      <c r="B309" s="81" t="s">
        <v>992</v>
      </c>
      <c r="C309" s="81" t="s">
        <v>993</v>
      </c>
      <c r="D309" s="81" t="s">
        <v>213</v>
      </c>
      <c r="E309" s="81"/>
      <c r="F309" s="81"/>
      <c r="G309" s="81" t="s">
        <v>40</v>
      </c>
      <c r="H309" s="81"/>
      <c r="I309" s="56">
        <v>600</v>
      </c>
      <c r="J309" s="56">
        <v>540</v>
      </c>
      <c r="K309" s="84"/>
      <c r="L309" s="84"/>
      <c r="M309" s="84"/>
      <c r="N309" s="64">
        <v>525</v>
      </c>
      <c r="O309" s="64">
        <v>470</v>
      </c>
      <c r="P309" s="64">
        <v>400</v>
      </c>
      <c r="Q309" s="44" t="s">
        <v>54</v>
      </c>
      <c r="R309" s="69"/>
      <c r="S309" s="44" t="s">
        <v>994</v>
      </c>
      <c r="T309" s="45" t="s">
        <v>999</v>
      </c>
      <c r="U309" s="45">
        <v>33110302802</v>
      </c>
      <c r="V309" s="45" t="s">
        <v>1000</v>
      </c>
      <c r="W309" s="43" t="s">
        <v>43</v>
      </c>
      <c r="X309" s="71" t="s">
        <v>43</v>
      </c>
      <c r="Y309" s="71" t="s">
        <v>40</v>
      </c>
      <c r="Z309" s="48" t="s">
        <v>43</v>
      </c>
      <c r="AA309" s="75">
        <v>2560</v>
      </c>
      <c r="AB309" s="75">
        <v>2300</v>
      </c>
      <c r="AC309" s="80">
        <v>2250</v>
      </c>
      <c r="AD309" s="80">
        <v>2160</v>
      </c>
      <c r="AE309" s="80">
        <v>1836</v>
      </c>
      <c r="AF309" s="79">
        <f t="shared" si="35"/>
        <v>16</v>
      </c>
      <c r="AG309" s="79" t="str">
        <f t="shared" si="36"/>
        <v>膀胱部分切除费</v>
      </c>
      <c r="AH309" s="79">
        <f t="shared" si="37"/>
        <v>2725</v>
      </c>
      <c r="AI309" s="79">
        <f t="shared" si="38"/>
        <v>2470</v>
      </c>
      <c r="AJ309" s="79">
        <f t="shared" si="39"/>
        <v>2100</v>
      </c>
    </row>
    <row r="310" ht="21" customHeight="1" spans="1:36">
      <c r="A310" s="81" t="s">
        <v>81</v>
      </c>
      <c r="B310" s="81" t="s">
        <v>992</v>
      </c>
      <c r="C310" s="81" t="s">
        <v>993</v>
      </c>
      <c r="D310" s="81" t="s">
        <v>213</v>
      </c>
      <c r="E310" s="81"/>
      <c r="F310" s="81"/>
      <c r="G310" s="81" t="s">
        <v>40</v>
      </c>
      <c r="H310" s="81"/>
      <c r="I310" s="56">
        <v>600</v>
      </c>
      <c r="J310" s="56">
        <v>540</v>
      </c>
      <c r="K310" s="84"/>
      <c r="L310" s="84"/>
      <c r="M310" s="84"/>
      <c r="N310" s="64">
        <v>525</v>
      </c>
      <c r="O310" s="64">
        <v>470</v>
      </c>
      <c r="P310" s="64">
        <v>400</v>
      </c>
      <c r="Q310" s="44" t="s">
        <v>54</v>
      </c>
      <c r="R310" s="69"/>
      <c r="S310" s="44" t="s">
        <v>994</v>
      </c>
      <c r="T310" s="45" t="s">
        <v>1001</v>
      </c>
      <c r="U310" s="45">
        <v>33110302803</v>
      </c>
      <c r="V310" s="45" t="s">
        <v>1002</v>
      </c>
      <c r="W310" s="43" t="s">
        <v>43</v>
      </c>
      <c r="X310" s="71" t="s">
        <v>43</v>
      </c>
      <c r="Y310" s="71" t="s">
        <v>40</v>
      </c>
      <c r="Z310" s="48" t="s">
        <v>43</v>
      </c>
      <c r="AA310" s="75">
        <v>3090</v>
      </c>
      <c r="AB310" s="75">
        <v>2775</v>
      </c>
      <c r="AC310" s="80">
        <v>2740</v>
      </c>
      <c r="AD310" s="80">
        <v>2630</v>
      </c>
      <c r="AE310" s="80">
        <v>2235</v>
      </c>
      <c r="AF310" s="79">
        <f t="shared" si="35"/>
        <v>16</v>
      </c>
      <c r="AG310" s="79" t="str">
        <f t="shared" si="36"/>
        <v>膀胱部分切除费</v>
      </c>
      <c r="AH310" s="79">
        <f t="shared" si="37"/>
        <v>2725</v>
      </c>
      <c r="AI310" s="79">
        <f t="shared" si="38"/>
        <v>2470</v>
      </c>
      <c r="AJ310" s="79">
        <f t="shared" si="39"/>
        <v>2100</v>
      </c>
    </row>
    <row r="311" ht="21" customHeight="1" spans="1:36">
      <c r="A311" s="81" t="s">
        <v>81</v>
      </c>
      <c r="B311" s="81" t="s">
        <v>1003</v>
      </c>
      <c r="C311" s="81" t="s">
        <v>1004</v>
      </c>
      <c r="D311" s="81" t="s">
        <v>213</v>
      </c>
      <c r="E311" s="81"/>
      <c r="F311" s="81"/>
      <c r="G311" s="81" t="s">
        <v>40</v>
      </c>
      <c r="H311" s="81"/>
      <c r="I311" s="56">
        <v>753</v>
      </c>
      <c r="J311" s="56">
        <v>678</v>
      </c>
      <c r="K311" s="54"/>
      <c r="L311" s="54"/>
      <c r="M311" s="54"/>
      <c r="N311" s="64">
        <v>660</v>
      </c>
      <c r="O311" s="64">
        <v>600</v>
      </c>
      <c r="P311" s="64">
        <v>510</v>
      </c>
      <c r="Q311" s="44" t="s">
        <v>54</v>
      </c>
      <c r="R311" s="69"/>
      <c r="S311" s="44" t="s">
        <v>446</v>
      </c>
      <c r="T311" s="45" t="s">
        <v>1005</v>
      </c>
      <c r="U311" s="45">
        <v>33110300301</v>
      </c>
      <c r="V311" s="45" t="s">
        <v>1006</v>
      </c>
      <c r="W311" s="43" t="s">
        <v>43</v>
      </c>
      <c r="X311" s="71" t="s">
        <v>43</v>
      </c>
      <c r="Y311" s="71" t="s">
        <v>40</v>
      </c>
      <c r="Z311" s="48" t="s">
        <v>43</v>
      </c>
      <c r="AA311" s="75">
        <v>2990</v>
      </c>
      <c r="AB311" s="75">
        <v>2705</v>
      </c>
      <c r="AC311" s="80">
        <v>2640</v>
      </c>
      <c r="AD311" s="80">
        <v>2380</v>
      </c>
      <c r="AE311" s="80">
        <v>2025</v>
      </c>
      <c r="AF311" s="79">
        <f t="shared" si="35"/>
        <v>11</v>
      </c>
      <c r="AG311" s="79" t="str">
        <f t="shared" si="36"/>
        <v>膀胱部分切除费</v>
      </c>
      <c r="AH311" s="79">
        <f t="shared" si="37"/>
        <v>2860</v>
      </c>
      <c r="AI311" s="79">
        <f t="shared" si="38"/>
        <v>2600</v>
      </c>
      <c r="AJ311" s="79">
        <f t="shared" si="39"/>
        <v>2210</v>
      </c>
    </row>
    <row r="312" ht="21" customHeight="1" spans="1:36">
      <c r="A312" s="81" t="s">
        <v>81</v>
      </c>
      <c r="B312" s="81" t="s">
        <v>1003</v>
      </c>
      <c r="C312" s="81" t="s">
        <v>1004</v>
      </c>
      <c r="D312" s="81" t="s">
        <v>213</v>
      </c>
      <c r="E312" s="81"/>
      <c r="F312" s="81"/>
      <c r="G312" s="81" t="s">
        <v>40</v>
      </c>
      <c r="H312" s="81"/>
      <c r="I312" s="56">
        <v>753</v>
      </c>
      <c r="J312" s="56">
        <v>678</v>
      </c>
      <c r="K312" s="54"/>
      <c r="L312" s="54"/>
      <c r="M312" s="54"/>
      <c r="N312" s="64">
        <v>660</v>
      </c>
      <c r="O312" s="64">
        <v>600</v>
      </c>
      <c r="P312" s="64">
        <v>510</v>
      </c>
      <c r="Q312" s="44" t="s">
        <v>54</v>
      </c>
      <c r="R312" s="69"/>
      <c r="S312" s="44" t="s">
        <v>446</v>
      </c>
      <c r="T312" s="45" t="s">
        <v>1007</v>
      </c>
      <c r="U312" s="45">
        <v>33110300303</v>
      </c>
      <c r="V312" s="45" t="s">
        <v>1008</v>
      </c>
      <c r="W312" s="43" t="s">
        <v>43</v>
      </c>
      <c r="X312" s="71" t="s">
        <v>43</v>
      </c>
      <c r="Y312" s="71" t="s">
        <v>40</v>
      </c>
      <c r="Z312" s="48" t="s">
        <v>43</v>
      </c>
      <c r="AA312" s="75">
        <v>3790</v>
      </c>
      <c r="AB312" s="75">
        <v>3425</v>
      </c>
      <c r="AC312" s="80">
        <v>3265</v>
      </c>
      <c r="AD312" s="80">
        <v>2980</v>
      </c>
      <c r="AE312" s="80">
        <v>2535</v>
      </c>
      <c r="AF312" s="79">
        <f t="shared" si="35"/>
        <v>11</v>
      </c>
      <c r="AG312" s="79" t="str">
        <f t="shared" si="36"/>
        <v>膀胱部分切除费</v>
      </c>
      <c r="AH312" s="79">
        <f t="shared" si="37"/>
        <v>2860</v>
      </c>
      <c r="AI312" s="79">
        <f t="shared" si="38"/>
        <v>2600</v>
      </c>
      <c r="AJ312" s="79">
        <f t="shared" si="39"/>
        <v>2210</v>
      </c>
    </row>
    <row r="313" ht="21" customHeight="1" spans="1:36">
      <c r="A313" s="81" t="s">
        <v>81</v>
      </c>
      <c r="B313" s="81" t="s">
        <v>1003</v>
      </c>
      <c r="C313" s="81" t="s">
        <v>1004</v>
      </c>
      <c r="D313" s="81" t="s">
        <v>213</v>
      </c>
      <c r="E313" s="81"/>
      <c r="F313" s="81"/>
      <c r="G313" s="81" t="s">
        <v>40</v>
      </c>
      <c r="H313" s="81"/>
      <c r="I313" s="56">
        <v>753</v>
      </c>
      <c r="J313" s="56">
        <v>678</v>
      </c>
      <c r="K313" s="54"/>
      <c r="L313" s="54"/>
      <c r="M313" s="54"/>
      <c r="N313" s="64">
        <v>660</v>
      </c>
      <c r="O313" s="64">
        <v>600</v>
      </c>
      <c r="P313" s="64">
        <v>510</v>
      </c>
      <c r="Q313" s="44" t="s">
        <v>54</v>
      </c>
      <c r="R313" s="69"/>
      <c r="S313" s="44" t="s">
        <v>446</v>
      </c>
      <c r="T313" s="45" t="s">
        <v>1009</v>
      </c>
      <c r="U313" s="45">
        <v>33110300201</v>
      </c>
      <c r="V313" s="45" t="s">
        <v>1010</v>
      </c>
      <c r="W313" s="43" t="s">
        <v>43</v>
      </c>
      <c r="X313" s="71" t="s">
        <v>43</v>
      </c>
      <c r="Y313" s="71" t="s">
        <v>40</v>
      </c>
      <c r="Z313" s="48" t="s">
        <v>43</v>
      </c>
      <c r="AA313" s="75">
        <v>2105</v>
      </c>
      <c r="AB313" s="75">
        <v>1900</v>
      </c>
      <c r="AC313" s="80">
        <v>1950</v>
      </c>
      <c r="AD313" s="80">
        <v>1870</v>
      </c>
      <c r="AE313" s="80">
        <v>1590</v>
      </c>
      <c r="AF313" s="79">
        <f t="shared" si="35"/>
        <v>11</v>
      </c>
      <c r="AG313" s="79" t="str">
        <f t="shared" si="36"/>
        <v>膀胱部分切除费</v>
      </c>
      <c r="AH313" s="79">
        <f t="shared" si="37"/>
        <v>2860</v>
      </c>
      <c r="AI313" s="79">
        <f t="shared" si="38"/>
        <v>2600</v>
      </c>
      <c r="AJ313" s="79">
        <f t="shared" si="39"/>
        <v>2210</v>
      </c>
    </row>
    <row r="314" ht="21" customHeight="1" spans="1:36">
      <c r="A314" s="81" t="s">
        <v>81</v>
      </c>
      <c r="B314" s="81" t="s">
        <v>1003</v>
      </c>
      <c r="C314" s="81" t="s">
        <v>1004</v>
      </c>
      <c r="D314" s="81" t="s">
        <v>213</v>
      </c>
      <c r="E314" s="81"/>
      <c r="F314" s="81"/>
      <c r="G314" s="81" t="s">
        <v>40</v>
      </c>
      <c r="H314" s="81"/>
      <c r="I314" s="56">
        <v>753</v>
      </c>
      <c r="J314" s="56">
        <v>678</v>
      </c>
      <c r="K314" s="54"/>
      <c r="L314" s="54"/>
      <c r="M314" s="54"/>
      <c r="N314" s="64">
        <v>660</v>
      </c>
      <c r="O314" s="64">
        <v>600</v>
      </c>
      <c r="P314" s="64">
        <v>510</v>
      </c>
      <c r="Q314" s="44" t="s">
        <v>54</v>
      </c>
      <c r="R314" s="69"/>
      <c r="S314" s="44" t="s">
        <v>446</v>
      </c>
      <c r="T314" s="45" t="s">
        <v>1011</v>
      </c>
      <c r="U314" s="45">
        <v>33110300203</v>
      </c>
      <c r="V314" s="45" t="s">
        <v>1012</v>
      </c>
      <c r="W314" s="43" t="s">
        <v>43</v>
      </c>
      <c r="X314" s="71" t="s">
        <v>43</v>
      </c>
      <c r="Y314" s="71" t="s">
        <v>40</v>
      </c>
      <c r="Z314" s="48" t="s">
        <v>43</v>
      </c>
      <c r="AA314" s="75">
        <v>2905</v>
      </c>
      <c r="AB314" s="75">
        <v>2620</v>
      </c>
      <c r="AC314" s="80">
        <v>2575</v>
      </c>
      <c r="AD314" s="80">
        <v>2470</v>
      </c>
      <c r="AE314" s="80">
        <v>2100</v>
      </c>
      <c r="AF314" s="79">
        <f t="shared" si="35"/>
        <v>11</v>
      </c>
      <c r="AG314" s="79" t="str">
        <f t="shared" si="36"/>
        <v>膀胱部分切除费</v>
      </c>
      <c r="AH314" s="79">
        <f t="shared" si="37"/>
        <v>2860</v>
      </c>
      <c r="AI314" s="79">
        <f t="shared" si="38"/>
        <v>2600</v>
      </c>
      <c r="AJ314" s="79">
        <f t="shared" si="39"/>
        <v>2210</v>
      </c>
    </row>
    <row r="315" ht="21" customHeight="1" spans="1:36">
      <c r="A315" s="81" t="s">
        <v>81</v>
      </c>
      <c r="B315" s="81" t="s">
        <v>1003</v>
      </c>
      <c r="C315" s="81" t="s">
        <v>1004</v>
      </c>
      <c r="D315" s="81" t="s">
        <v>213</v>
      </c>
      <c r="E315" s="81"/>
      <c r="F315" s="81"/>
      <c r="G315" s="81" t="s">
        <v>40</v>
      </c>
      <c r="H315" s="81"/>
      <c r="I315" s="56">
        <v>753</v>
      </c>
      <c r="J315" s="56">
        <v>678</v>
      </c>
      <c r="K315" s="54"/>
      <c r="L315" s="54"/>
      <c r="M315" s="54"/>
      <c r="N315" s="64">
        <v>660</v>
      </c>
      <c r="O315" s="64">
        <v>600</v>
      </c>
      <c r="P315" s="64">
        <v>510</v>
      </c>
      <c r="Q315" s="44" t="s">
        <v>54</v>
      </c>
      <c r="R315" s="69"/>
      <c r="S315" s="44" t="s">
        <v>446</v>
      </c>
      <c r="T315" s="45" t="s">
        <v>1013</v>
      </c>
      <c r="U315" s="45">
        <v>33110301501</v>
      </c>
      <c r="V315" s="45" t="s">
        <v>1014</v>
      </c>
      <c r="W315" s="43" t="s">
        <v>43</v>
      </c>
      <c r="X315" s="71" t="s">
        <v>43</v>
      </c>
      <c r="Y315" s="71" t="s">
        <v>40</v>
      </c>
      <c r="Z315" s="48" t="s">
        <v>43</v>
      </c>
      <c r="AA315" s="75">
        <v>1405</v>
      </c>
      <c r="AB315" s="75">
        <v>1260</v>
      </c>
      <c r="AC315" s="80">
        <v>1300</v>
      </c>
      <c r="AD315" s="80">
        <v>1250</v>
      </c>
      <c r="AE315" s="80">
        <v>1065</v>
      </c>
      <c r="AF315" s="79">
        <f t="shared" si="35"/>
        <v>11</v>
      </c>
      <c r="AG315" s="79" t="str">
        <f t="shared" si="36"/>
        <v>膀胱部分切除费</v>
      </c>
      <c r="AH315" s="79">
        <f t="shared" si="37"/>
        <v>2860</v>
      </c>
      <c r="AI315" s="79">
        <f t="shared" si="38"/>
        <v>2600</v>
      </c>
      <c r="AJ315" s="79">
        <f t="shared" si="39"/>
        <v>2210</v>
      </c>
    </row>
    <row r="316" ht="21" customHeight="1" spans="1:36">
      <c r="A316" s="81" t="s">
        <v>81</v>
      </c>
      <c r="B316" s="81" t="s">
        <v>1003</v>
      </c>
      <c r="C316" s="81" t="s">
        <v>1004</v>
      </c>
      <c r="D316" s="81" t="s">
        <v>213</v>
      </c>
      <c r="E316" s="81"/>
      <c r="F316" s="81"/>
      <c r="G316" s="81" t="s">
        <v>40</v>
      </c>
      <c r="H316" s="81"/>
      <c r="I316" s="56">
        <v>753</v>
      </c>
      <c r="J316" s="56">
        <v>678</v>
      </c>
      <c r="K316" s="54"/>
      <c r="L316" s="54"/>
      <c r="M316" s="54"/>
      <c r="N316" s="64">
        <v>660</v>
      </c>
      <c r="O316" s="64">
        <v>600</v>
      </c>
      <c r="P316" s="64">
        <v>510</v>
      </c>
      <c r="Q316" s="44" t="s">
        <v>54</v>
      </c>
      <c r="R316" s="69"/>
      <c r="S316" s="44" t="s">
        <v>446</v>
      </c>
      <c r="T316" s="45" t="s">
        <v>1015</v>
      </c>
      <c r="U316" s="45">
        <v>33110301503</v>
      </c>
      <c r="V316" s="45" t="s">
        <v>1016</v>
      </c>
      <c r="W316" s="43" t="s">
        <v>43</v>
      </c>
      <c r="X316" s="71" t="s">
        <v>43</v>
      </c>
      <c r="Y316" s="71" t="s">
        <v>40</v>
      </c>
      <c r="Z316" s="48" t="s">
        <v>43</v>
      </c>
      <c r="AA316" s="75">
        <v>2205</v>
      </c>
      <c r="AB316" s="75">
        <v>1980</v>
      </c>
      <c r="AC316" s="80">
        <v>1925</v>
      </c>
      <c r="AD316" s="80">
        <v>1850</v>
      </c>
      <c r="AE316" s="80">
        <v>1575</v>
      </c>
      <c r="AF316" s="79">
        <f t="shared" si="35"/>
        <v>11</v>
      </c>
      <c r="AG316" s="79" t="str">
        <f t="shared" si="36"/>
        <v>膀胱部分切除费</v>
      </c>
      <c r="AH316" s="79">
        <f t="shared" si="37"/>
        <v>2860</v>
      </c>
      <c r="AI316" s="79">
        <f t="shared" si="38"/>
        <v>2600</v>
      </c>
      <c r="AJ316" s="79">
        <f t="shared" si="39"/>
        <v>2210</v>
      </c>
    </row>
    <row r="317" ht="21" customHeight="1" spans="1:36">
      <c r="A317" s="81" t="s">
        <v>81</v>
      </c>
      <c r="B317" s="81" t="s">
        <v>1003</v>
      </c>
      <c r="C317" s="81" t="s">
        <v>1004</v>
      </c>
      <c r="D317" s="81" t="s">
        <v>213</v>
      </c>
      <c r="E317" s="81"/>
      <c r="F317" s="81"/>
      <c r="G317" s="81" t="s">
        <v>40</v>
      </c>
      <c r="H317" s="81"/>
      <c r="I317" s="56">
        <v>753</v>
      </c>
      <c r="J317" s="56">
        <v>678</v>
      </c>
      <c r="K317" s="54"/>
      <c r="L317" s="54"/>
      <c r="M317" s="54"/>
      <c r="N317" s="64">
        <v>660</v>
      </c>
      <c r="O317" s="64">
        <v>600</v>
      </c>
      <c r="P317" s="64">
        <v>510</v>
      </c>
      <c r="Q317" s="44" t="s">
        <v>54</v>
      </c>
      <c r="R317" s="69"/>
      <c r="S317" s="44" t="s">
        <v>446</v>
      </c>
      <c r="T317" s="45" t="s">
        <v>1017</v>
      </c>
      <c r="U317" s="45">
        <v>33110302401</v>
      </c>
      <c r="V317" s="45" t="s">
        <v>1018</v>
      </c>
      <c r="W317" s="43" t="s">
        <v>43</v>
      </c>
      <c r="X317" s="71" t="s">
        <v>43</v>
      </c>
      <c r="Y317" s="71" t="s">
        <v>40</v>
      </c>
      <c r="Z317" s="48" t="s">
        <v>43</v>
      </c>
      <c r="AA317" s="75">
        <v>1755</v>
      </c>
      <c r="AB317" s="75">
        <v>1580</v>
      </c>
      <c r="AC317" s="80">
        <v>1625</v>
      </c>
      <c r="AD317" s="80">
        <v>1560</v>
      </c>
      <c r="AE317" s="80">
        <v>1325</v>
      </c>
      <c r="AF317" s="79">
        <f t="shared" si="35"/>
        <v>11</v>
      </c>
      <c r="AG317" s="79" t="str">
        <f t="shared" si="36"/>
        <v>膀胱部分切除费</v>
      </c>
      <c r="AH317" s="79">
        <f t="shared" si="37"/>
        <v>2860</v>
      </c>
      <c r="AI317" s="79">
        <f t="shared" si="38"/>
        <v>2600</v>
      </c>
      <c r="AJ317" s="79">
        <f t="shared" si="39"/>
        <v>2210</v>
      </c>
    </row>
    <row r="318" ht="21" customHeight="1" spans="1:36">
      <c r="A318" s="81" t="s">
        <v>81</v>
      </c>
      <c r="B318" s="81" t="s">
        <v>1003</v>
      </c>
      <c r="C318" s="81" t="s">
        <v>1004</v>
      </c>
      <c r="D318" s="81" t="s">
        <v>213</v>
      </c>
      <c r="E318" s="81"/>
      <c r="F318" s="81"/>
      <c r="G318" s="81" t="s">
        <v>40</v>
      </c>
      <c r="H318" s="81"/>
      <c r="I318" s="56">
        <v>753</v>
      </c>
      <c r="J318" s="56">
        <v>678</v>
      </c>
      <c r="K318" s="54"/>
      <c r="L318" s="54"/>
      <c r="M318" s="54"/>
      <c r="N318" s="64">
        <v>660</v>
      </c>
      <c r="O318" s="64">
        <v>600</v>
      </c>
      <c r="P318" s="64">
        <v>510</v>
      </c>
      <c r="Q318" s="44" t="s">
        <v>54</v>
      </c>
      <c r="R318" s="69"/>
      <c r="S318" s="44" t="s">
        <v>446</v>
      </c>
      <c r="T318" s="45" t="s">
        <v>1019</v>
      </c>
      <c r="U318" s="45">
        <v>33110302403</v>
      </c>
      <c r="V318" s="45" t="s">
        <v>1020</v>
      </c>
      <c r="W318" s="43" t="s">
        <v>43</v>
      </c>
      <c r="X318" s="71" t="s">
        <v>43</v>
      </c>
      <c r="Y318" s="71" t="s">
        <v>40</v>
      </c>
      <c r="Z318" s="48" t="s">
        <v>43</v>
      </c>
      <c r="AA318" s="75">
        <v>2555</v>
      </c>
      <c r="AB318" s="75">
        <v>2300</v>
      </c>
      <c r="AC318" s="80">
        <v>2250</v>
      </c>
      <c r="AD318" s="80">
        <v>2160</v>
      </c>
      <c r="AE318" s="80">
        <v>1835</v>
      </c>
      <c r="AF318" s="79">
        <f t="shared" si="35"/>
        <v>11</v>
      </c>
      <c r="AG318" s="79" t="str">
        <f t="shared" si="36"/>
        <v>膀胱部分切除费</v>
      </c>
      <c r="AH318" s="79">
        <f t="shared" si="37"/>
        <v>2860</v>
      </c>
      <c r="AI318" s="79">
        <f t="shared" si="38"/>
        <v>2600</v>
      </c>
      <c r="AJ318" s="79">
        <f t="shared" si="39"/>
        <v>2210</v>
      </c>
    </row>
    <row r="319" ht="21" customHeight="1" spans="1:36">
      <c r="A319" s="81" t="s">
        <v>81</v>
      </c>
      <c r="B319" s="81" t="s">
        <v>1003</v>
      </c>
      <c r="C319" s="81" t="s">
        <v>1004</v>
      </c>
      <c r="D319" s="81" t="s">
        <v>213</v>
      </c>
      <c r="E319" s="81"/>
      <c r="F319" s="81"/>
      <c r="G319" s="81" t="s">
        <v>40</v>
      </c>
      <c r="H319" s="81"/>
      <c r="I319" s="56">
        <v>753</v>
      </c>
      <c r="J319" s="56">
        <v>678</v>
      </c>
      <c r="K319" s="54"/>
      <c r="L319" s="54"/>
      <c r="M319" s="54"/>
      <c r="N319" s="64">
        <v>660</v>
      </c>
      <c r="O319" s="64">
        <v>600</v>
      </c>
      <c r="P319" s="64">
        <v>510</v>
      </c>
      <c r="Q319" s="44" t="s">
        <v>54</v>
      </c>
      <c r="R319" s="69"/>
      <c r="S319" s="44" t="s">
        <v>446</v>
      </c>
      <c r="T319" s="45" t="s">
        <v>1021</v>
      </c>
      <c r="U319" s="45">
        <v>33110300401</v>
      </c>
      <c r="V319" s="45" t="s">
        <v>1022</v>
      </c>
      <c r="W319" s="43" t="s">
        <v>43</v>
      </c>
      <c r="X319" s="71" t="s">
        <v>43</v>
      </c>
      <c r="Y319" s="71" t="s">
        <v>40</v>
      </c>
      <c r="Z319" s="48" t="s">
        <v>43</v>
      </c>
      <c r="AA319" s="75">
        <v>1755</v>
      </c>
      <c r="AB319" s="75">
        <v>1580</v>
      </c>
      <c r="AC319" s="80">
        <v>1625</v>
      </c>
      <c r="AD319" s="80">
        <v>1560</v>
      </c>
      <c r="AE319" s="80">
        <v>1325</v>
      </c>
      <c r="AF319" s="79">
        <f t="shared" si="35"/>
        <v>11</v>
      </c>
      <c r="AG319" s="79" t="str">
        <f t="shared" si="36"/>
        <v>膀胱部分切除费</v>
      </c>
      <c r="AH319" s="79">
        <f t="shared" si="37"/>
        <v>2860</v>
      </c>
      <c r="AI319" s="79">
        <f t="shared" si="38"/>
        <v>2600</v>
      </c>
      <c r="AJ319" s="79">
        <f t="shared" si="39"/>
        <v>2210</v>
      </c>
    </row>
    <row r="320" ht="21" customHeight="1" spans="1:36">
      <c r="A320" s="81" t="s">
        <v>81</v>
      </c>
      <c r="B320" s="81" t="s">
        <v>1003</v>
      </c>
      <c r="C320" s="81" t="s">
        <v>1004</v>
      </c>
      <c r="D320" s="81" t="s">
        <v>213</v>
      </c>
      <c r="E320" s="81"/>
      <c r="F320" s="81"/>
      <c r="G320" s="81" t="s">
        <v>40</v>
      </c>
      <c r="H320" s="81"/>
      <c r="I320" s="56">
        <v>753</v>
      </c>
      <c r="J320" s="56">
        <v>678</v>
      </c>
      <c r="K320" s="54"/>
      <c r="L320" s="54"/>
      <c r="M320" s="54"/>
      <c r="N320" s="64">
        <v>660</v>
      </c>
      <c r="O320" s="64">
        <v>600</v>
      </c>
      <c r="P320" s="64">
        <v>510</v>
      </c>
      <c r="Q320" s="44" t="s">
        <v>54</v>
      </c>
      <c r="R320" s="69"/>
      <c r="S320" s="44" t="s">
        <v>446</v>
      </c>
      <c r="T320" s="45" t="s">
        <v>1023</v>
      </c>
      <c r="U320" s="45">
        <v>33110300403</v>
      </c>
      <c r="V320" s="45" t="s">
        <v>1024</v>
      </c>
      <c r="W320" s="43" t="s">
        <v>43</v>
      </c>
      <c r="X320" s="71" t="s">
        <v>43</v>
      </c>
      <c r="Y320" s="71" t="s">
        <v>40</v>
      </c>
      <c r="Z320" s="48" t="s">
        <v>43</v>
      </c>
      <c r="AA320" s="75">
        <v>2555</v>
      </c>
      <c r="AB320" s="75">
        <v>2300</v>
      </c>
      <c r="AC320" s="80">
        <v>2250</v>
      </c>
      <c r="AD320" s="80">
        <v>2160</v>
      </c>
      <c r="AE320" s="80">
        <v>1835</v>
      </c>
      <c r="AF320" s="79">
        <f t="shared" si="35"/>
        <v>11</v>
      </c>
      <c r="AG320" s="79" t="str">
        <f t="shared" si="36"/>
        <v>膀胱部分切除费</v>
      </c>
      <c r="AH320" s="79">
        <f t="shared" si="37"/>
        <v>2860</v>
      </c>
      <c r="AI320" s="79">
        <f t="shared" si="38"/>
        <v>2600</v>
      </c>
      <c r="AJ320" s="79">
        <f t="shared" si="39"/>
        <v>2210</v>
      </c>
    </row>
    <row r="321" ht="21" customHeight="1" spans="1:36">
      <c r="A321" s="81" t="s">
        <v>81</v>
      </c>
      <c r="B321" s="81" t="s">
        <v>1003</v>
      </c>
      <c r="C321" s="81" t="s">
        <v>1004</v>
      </c>
      <c r="D321" s="81" t="s">
        <v>213</v>
      </c>
      <c r="E321" s="81"/>
      <c r="F321" s="81"/>
      <c r="G321" s="81" t="s">
        <v>40</v>
      </c>
      <c r="H321" s="81"/>
      <c r="I321" s="56">
        <v>753</v>
      </c>
      <c r="J321" s="56">
        <v>678</v>
      </c>
      <c r="K321" s="54"/>
      <c r="L321" s="54"/>
      <c r="M321" s="54"/>
      <c r="N321" s="64">
        <v>660</v>
      </c>
      <c r="O321" s="64">
        <v>600</v>
      </c>
      <c r="P321" s="64">
        <v>510</v>
      </c>
      <c r="Q321" s="44" t="s">
        <v>54</v>
      </c>
      <c r="R321" s="69"/>
      <c r="S321" s="44" t="s">
        <v>446</v>
      </c>
      <c r="T321" s="45" t="s">
        <v>1025</v>
      </c>
      <c r="U321" s="45">
        <v>33110302501</v>
      </c>
      <c r="V321" s="45" t="s">
        <v>1026</v>
      </c>
      <c r="W321" s="43" t="s">
        <v>43</v>
      </c>
      <c r="X321" s="71" t="s">
        <v>43</v>
      </c>
      <c r="Y321" s="71" t="s">
        <v>40</v>
      </c>
      <c r="Z321" s="48" t="s">
        <v>43</v>
      </c>
      <c r="AA321" s="75">
        <v>3250</v>
      </c>
      <c r="AB321" s="75">
        <v>2910</v>
      </c>
      <c r="AC321" s="80">
        <v>2845</v>
      </c>
      <c r="AD321" s="80">
        <v>2560</v>
      </c>
      <c r="AE321" s="80">
        <v>2175</v>
      </c>
      <c r="AF321" s="79">
        <f t="shared" si="35"/>
        <v>11</v>
      </c>
      <c r="AG321" s="79" t="str">
        <f t="shared" si="36"/>
        <v>膀胱部分切除费</v>
      </c>
      <c r="AH321" s="79">
        <f t="shared" si="37"/>
        <v>2860</v>
      </c>
      <c r="AI321" s="79">
        <f t="shared" si="38"/>
        <v>2600</v>
      </c>
      <c r="AJ321" s="79">
        <f t="shared" si="39"/>
        <v>2210</v>
      </c>
    </row>
    <row r="322" ht="41" customHeight="1" spans="1:36">
      <c r="A322" s="44">
        <v>58</v>
      </c>
      <c r="B322" s="44" t="s">
        <v>1027</v>
      </c>
      <c r="C322" s="44" t="s">
        <v>1028</v>
      </c>
      <c r="D322" s="44" t="s">
        <v>213</v>
      </c>
      <c r="E322" s="44" t="s">
        <v>1029</v>
      </c>
      <c r="F322" s="44" t="s">
        <v>968</v>
      </c>
      <c r="G322" s="44" t="s">
        <v>40</v>
      </c>
      <c r="H322" s="49"/>
      <c r="I322" s="56">
        <v>3840</v>
      </c>
      <c r="J322" s="56">
        <v>3456</v>
      </c>
      <c r="K322" s="55"/>
      <c r="L322" s="57">
        <v>3040</v>
      </c>
      <c r="M322" s="55"/>
      <c r="N322" s="64">
        <v>3400</v>
      </c>
      <c r="O322" s="64">
        <v>3050</v>
      </c>
      <c r="P322" s="64">
        <v>2600</v>
      </c>
      <c r="Q322" s="44" t="s">
        <v>54</v>
      </c>
      <c r="R322" s="70" t="s">
        <v>67</v>
      </c>
      <c r="S322" s="44" t="s">
        <v>945</v>
      </c>
      <c r="T322" s="43" t="s">
        <v>1030</v>
      </c>
      <c r="U322" s="71">
        <v>331103007</v>
      </c>
      <c r="V322" s="43" t="s">
        <v>1031</v>
      </c>
      <c r="W322" s="43" t="s">
        <v>43</v>
      </c>
      <c r="X322" s="71" t="s">
        <v>43</v>
      </c>
      <c r="Y322" s="71" t="s">
        <v>40</v>
      </c>
      <c r="Z322" s="48" t="s">
        <v>43</v>
      </c>
      <c r="AA322" s="75">
        <v>3840</v>
      </c>
      <c r="AB322" s="75">
        <v>3460</v>
      </c>
      <c r="AC322" s="80">
        <v>3380</v>
      </c>
      <c r="AD322" s="80">
        <v>3040</v>
      </c>
      <c r="AE322" s="80">
        <v>2580</v>
      </c>
      <c r="AF322" s="79">
        <f t="shared" si="35"/>
        <v>0</v>
      </c>
      <c r="AG322" s="79" t="str">
        <f t="shared" si="36"/>
        <v>膀胱全切除费</v>
      </c>
      <c r="AH322" s="79">
        <f t="shared" si="37"/>
        <v>3400</v>
      </c>
      <c r="AI322" s="79">
        <f t="shared" si="38"/>
        <v>3050</v>
      </c>
      <c r="AJ322" s="79">
        <f t="shared" si="39"/>
        <v>2600</v>
      </c>
    </row>
    <row r="323" ht="41" customHeight="1" spans="1:36">
      <c r="A323" s="44">
        <v>58</v>
      </c>
      <c r="B323" s="44" t="s">
        <v>1027</v>
      </c>
      <c r="C323" s="44" t="s">
        <v>1028</v>
      </c>
      <c r="D323" s="44" t="s">
        <v>213</v>
      </c>
      <c r="E323" s="44" t="s">
        <v>1029</v>
      </c>
      <c r="F323" s="44" t="s">
        <v>968</v>
      </c>
      <c r="G323" s="44" t="s">
        <v>40</v>
      </c>
      <c r="H323" s="49"/>
      <c r="I323" s="56">
        <v>3840</v>
      </c>
      <c r="J323" s="56">
        <v>3456</v>
      </c>
      <c r="K323" s="55"/>
      <c r="L323" s="57">
        <v>3040</v>
      </c>
      <c r="M323" s="55"/>
      <c r="N323" s="64">
        <v>3400</v>
      </c>
      <c r="O323" s="64">
        <v>3050</v>
      </c>
      <c r="P323" s="64">
        <v>2600</v>
      </c>
      <c r="Q323" s="44" t="s">
        <v>54</v>
      </c>
      <c r="R323" s="70" t="s">
        <v>67</v>
      </c>
      <c r="S323" s="44" t="s">
        <v>945</v>
      </c>
      <c r="T323" s="43" t="s">
        <v>1032</v>
      </c>
      <c r="U323" s="71">
        <v>33110300702</v>
      </c>
      <c r="V323" s="43" t="s">
        <v>1033</v>
      </c>
      <c r="W323" s="43" t="s">
        <v>43</v>
      </c>
      <c r="X323" s="71" t="s">
        <v>43</v>
      </c>
      <c r="Y323" s="71" t="s">
        <v>40</v>
      </c>
      <c r="Z323" s="48" t="s">
        <v>43</v>
      </c>
      <c r="AA323" s="75">
        <v>4640</v>
      </c>
      <c r="AB323" s="75">
        <v>4180</v>
      </c>
      <c r="AC323" s="80">
        <v>4005</v>
      </c>
      <c r="AD323" s="80">
        <v>3640</v>
      </c>
      <c r="AE323" s="80">
        <v>3090</v>
      </c>
      <c r="AF323" s="79">
        <f t="shared" si="35"/>
        <v>0</v>
      </c>
      <c r="AG323" s="79" t="str">
        <f t="shared" si="36"/>
        <v>膀胱全切除费</v>
      </c>
      <c r="AH323" s="79">
        <f t="shared" si="37"/>
        <v>3400</v>
      </c>
      <c r="AI323" s="79">
        <f t="shared" si="38"/>
        <v>3050</v>
      </c>
      <c r="AJ323" s="79">
        <f t="shared" si="39"/>
        <v>2600</v>
      </c>
    </row>
    <row r="324" ht="33" customHeight="1" spans="1:36">
      <c r="A324" s="81" t="s">
        <v>81</v>
      </c>
      <c r="B324" s="81" t="s">
        <v>1034</v>
      </c>
      <c r="C324" s="81" t="s">
        <v>1035</v>
      </c>
      <c r="D324" s="81" t="s">
        <v>213</v>
      </c>
      <c r="E324" s="81"/>
      <c r="F324" s="81"/>
      <c r="G324" s="81" t="s">
        <v>40</v>
      </c>
      <c r="H324" s="81"/>
      <c r="I324" s="56">
        <v>1152</v>
      </c>
      <c r="J324" s="56">
        <v>1037</v>
      </c>
      <c r="K324" s="54"/>
      <c r="L324" s="54"/>
      <c r="M324" s="54"/>
      <c r="N324" s="64">
        <v>1020</v>
      </c>
      <c r="O324" s="64">
        <v>915</v>
      </c>
      <c r="P324" s="64">
        <v>780</v>
      </c>
      <c r="Q324" s="44" t="s">
        <v>54</v>
      </c>
      <c r="R324" s="69"/>
      <c r="S324" s="44" t="s">
        <v>446</v>
      </c>
      <c r="T324" s="45" t="s">
        <v>1036</v>
      </c>
      <c r="U324" s="45">
        <v>33110300701</v>
      </c>
      <c r="V324" s="45" t="s">
        <v>1037</v>
      </c>
      <c r="W324" s="43" t="s">
        <v>43</v>
      </c>
      <c r="X324" s="71" t="s">
        <v>43</v>
      </c>
      <c r="Y324" s="71" t="s">
        <v>40</v>
      </c>
      <c r="Z324" s="48" t="s">
        <v>43</v>
      </c>
      <c r="AA324" s="75">
        <v>4990</v>
      </c>
      <c r="AB324" s="75">
        <v>4500</v>
      </c>
      <c r="AC324" s="80">
        <v>4395</v>
      </c>
      <c r="AD324" s="80">
        <v>3950</v>
      </c>
      <c r="AE324" s="80">
        <v>3360</v>
      </c>
      <c r="AF324" s="79">
        <f t="shared" si="35"/>
        <v>10</v>
      </c>
      <c r="AG324" s="79" t="str">
        <f t="shared" si="36"/>
        <v>膀胱全切除费</v>
      </c>
      <c r="AH324" s="79">
        <f t="shared" si="37"/>
        <v>4420</v>
      </c>
      <c r="AI324" s="79">
        <f t="shared" si="38"/>
        <v>3965</v>
      </c>
      <c r="AJ324" s="79">
        <f t="shared" si="39"/>
        <v>3380</v>
      </c>
    </row>
    <row r="325" ht="47" customHeight="1" spans="1:36">
      <c r="A325" s="81" t="s">
        <v>81</v>
      </c>
      <c r="B325" s="81" t="s">
        <v>1034</v>
      </c>
      <c r="C325" s="81" t="s">
        <v>1035</v>
      </c>
      <c r="D325" s="81" t="s">
        <v>213</v>
      </c>
      <c r="E325" s="81"/>
      <c r="F325" s="81"/>
      <c r="G325" s="81" t="s">
        <v>40</v>
      </c>
      <c r="H325" s="81"/>
      <c r="I325" s="56">
        <v>1152</v>
      </c>
      <c r="J325" s="56">
        <v>1037</v>
      </c>
      <c r="K325" s="54"/>
      <c r="L325" s="54"/>
      <c r="M325" s="54"/>
      <c r="N325" s="64">
        <v>1020</v>
      </c>
      <c r="O325" s="64">
        <v>915</v>
      </c>
      <c r="P325" s="64">
        <v>780</v>
      </c>
      <c r="Q325" s="44" t="s">
        <v>54</v>
      </c>
      <c r="R325" s="69"/>
      <c r="S325" s="44" t="s">
        <v>446</v>
      </c>
      <c r="T325" s="45" t="s">
        <v>1038</v>
      </c>
      <c r="U325" s="45">
        <v>33110300703</v>
      </c>
      <c r="V325" s="45" t="s">
        <v>1039</v>
      </c>
      <c r="W325" s="43" t="s">
        <v>43</v>
      </c>
      <c r="X325" s="71" t="s">
        <v>43</v>
      </c>
      <c r="Y325" s="71" t="s">
        <v>40</v>
      </c>
      <c r="Z325" s="48" t="s">
        <v>43</v>
      </c>
      <c r="AA325" s="75">
        <v>5790</v>
      </c>
      <c r="AB325" s="75">
        <v>5220</v>
      </c>
      <c r="AC325" s="80">
        <v>5020</v>
      </c>
      <c r="AD325" s="80">
        <v>4550</v>
      </c>
      <c r="AE325" s="80">
        <v>3870</v>
      </c>
      <c r="AF325" s="79">
        <f t="shared" si="35"/>
        <v>10</v>
      </c>
      <c r="AG325" s="79" t="str">
        <f t="shared" si="36"/>
        <v>膀胱全切除费</v>
      </c>
      <c r="AH325" s="79">
        <f t="shared" si="37"/>
        <v>4420</v>
      </c>
      <c r="AI325" s="79">
        <f t="shared" si="38"/>
        <v>3965</v>
      </c>
      <c r="AJ325" s="79">
        <f t="shared" si="39"/>
        <v>3380</v>
      </c>
    </row>
    <row r="326" ht="50" customHeight="1" spans="1:36">
      <c r="A326" s="47">
        <v>59</v>
      </c>
      <c r="B326" s="47" t="s">
        <v>1040</v>
      </c>
      <c r="C326" s="47" t="s">
        <v>1041</v>
      </c>
      <c r="D326" s="47" t="s">
        <v>213</v>
      </c>
      <c r="E326" s="47" t="s">
        <v>1042</v>
      </c>
      <c r="F326" s="47" t="s">
        <v>1043</v>
      </c>
      <c r="G326" s="47" t="s">
        <v>40</v>
      </c>
      <c r="H326" s="47" t="s">
        <v>1044</v>
      </c>
      <c r="I326" s="56">
        <v>7234</v>
      </c>
      <c r="J326" s="56">
        <v>6511</v>
      </c>
      <c r="K326" s="83">
        <v>5597.8125</v>
      </c>
      <c r="L326" s="83">
        <v>5060</v>
      </c>
      <c r="M326" s="83">
        <v>4400</v>
      </c>
      <c r="N326" s="64">
        <v>6500</v>
      </c>
      <c r="O326" s="64">
        <v>5850</v>
      </c>
      <c r="P326" s="64">
        <v>4980</v>
      </c>
      <c r="Q326" s="44" t="s">
        <v>54</v>
      </c>
      <c r="R326" s="70" t="s">
        <v>416</v>
      </c>
      <c r="S326" s="44" t="s">
        <v>1045</v>
      </c>
      <c r="T326" s="43" t="s">
        <v>1046</v>
      </c>
      <c r="U326" s="71">
        <v>331103006</v>
      </c>
      <c r="V326" s="43" t="s">
        <v>1047</v>
      </c>
      <c r="W326" s="43" t="s">
        <v>1048</v>
      </c>
      <c r="X326" s="71" t="s">
        <v>1049</v>
      </c>
      <c r="Y326" s="71" t="s">
        <v>40</v>
      </c>
      <c r="Z326" s="48"/>
      <c r="AA326" s="75">
        <v>6600</v>
      </c>
      <c r="AB326" s="75">
        <v>5540</v>
      </c>
      <c r="AC326" s="80">
        <v>5090</v>
      </c>
      <c r="AD326" s="80">
        <v>4580</v>
      </c>
      <c r="AE326" s="80">
        <v>3890</v>
      </c>
      <c r="AF326" s="79">
        <f t="shared" ref="AF326:AF389" si="40">IFERROR(FIND("（加收）",C326,1),0)</f>
        <v>0</v>
      </c>
      <c r="AG326" s="79" t="str">
        <f t="shared" ref="AG326:AG389" si="41">IF(AF326&gt;0,LEFT(C326,IFERROR(FIND("-",C326,1),1)-1),C326)</f>
        <v>根治性膀胱全切除费</v>
      </c>
      <c r="AH326" s="79">
        <f t="shared" si="37"/>
        <v>6500</v>
      </c>
      <c r="AI326" s="79">
        <f t="shared" si="38"/>
        <v>5850</v>
      </c>
      <c r="AJ326" s="79">
        <f t="shared" si="39"/>
        <v>4980</v>
      </c>
    </row>
    <row r="327" ht="50" customHeight="1" spans="1:36">
      <c r="A327" s="47">
        <v>59</v>
      </c>
      <c r="B327" s="47" t="s">
        <v>1040</v>
      </c>
      <c r="C327" s="47" t="s">
        <v>1041</v>
      </c>
      <c r="D327" s="47" t="s">
        <v>213</v>
      </c>
      <c r="E327" s="47" t="s">
        <v>1042</v>
      </c>
      <c r="F327" s="47" t="s">
        <v>1043</v>
      </c>
      <c r="G327" s="47" t="s">
        <v>40</v>
      </c>
      <c r="H327" s="47" t="s">
        <v>1044</v>
      </c>
      <c r="I327" s="56">
        <v>7234</v>
      </c>
      <c r="J327" s="56">
        <v>6511</v>
      </c>
      <c r="K327" s="83">
        <v>5597.8125</v>
      </c>
      <c r="L327" s="83">
        <v>5060</v>
      </c>
      <c r="M327" s="83">
        <v>4400</v>
      </c>
      <c r="N327" s="64">
        <v>6500</v>
      </c>
      <c r="O327" s="64">
        <v>5850</v>
      </c>
      <c r="P327" s="64">
        <v>4980</v>
      </c>
      <c r="Q327" s="44" t="s">
        <v>54</v>
      </c>
      <c r="R327" s="70" t="s">
        <v>416</v>
      </c>
      <c r="S327" s="44" t="s">
        <v>1045</v>
      </c>
      <c r="T327" s="43" t="s">
        <v>1050</v>
      </c>
      <c r="U327" s="71">
        <v>33110300602</v>
      </c>
      <c r="V327" s="43" t="s">
        <v>1051</v>
      </c>
      <c r="W327" s="43" t="s">
        <v>43</v>
      </c>
      <c r="X327" s="71" t="s">
        <v>43</v>
      </c>
      <c r="Y327" s="71" t="s">
        <v>40</v>
      </c>
      <c r="Z327" s="48"/>
      <c r="AA327" s="75">
        <v>7400</v>
      </c>
      <c r="AB327" s="75">
        <v>6260</v>
      </c>
      <c r="AC327" s="80">
        <v>5715</v>
      </c>
      <c r="AD327" s="80">
        <v>5180</v>
      </c>
      <c r="AE327" s="80">
        <v>4400</v>
      </c>
      <c r="AF327" s="79">
        <f t="shared" si="40"/>
        <v>0</v>
      </c>
      <c r="AG327" s="79" t="str">
        <f t="shared" si="41"/>
        <v>根治性膀胱全切除费</v>
      </c>
      <c r="AH327" s="79">
        <f t="shared" si="37"/>
        <v>6500</v>
      </c>
      <c r="AI327" s="79">
        <f t="shared" si="38"/>
        <v>5850</v>
      </c>
      <c r="AJ327" s="79">
        <f t="shared" si="39"/>
        <v>4980</v>
      </c>
    </row>
    <row r="328" ht="27" customHeight="1" spans="1:36">
      <c r="A328" s="81" t="s">
        <v>81</v>
      </c>
      <c r="B328" s="81" t="s">
        <v>1054</v>
      </c>
      <c r="C328" s="81" t="s">
        <v>1055</v>
      </c>
      <c r="D328" s="81" t="s">
        <v>213</v>
      </c>
      <c r="E328" s="81"/>
      <c r="F328" s="81"/>
      <c r="G328" s="81" t="s">
        <v>40</v>
      </c>
      <c r="H328" s="81"/>
      <c r="I328" s="56">
        <v>2170</v>
      </c>
      <c r="J328" s="56">
        <v>1953</v>
      </c>
      <c r="K328" s="54"/>
      <c r="L328" s="54"/>
      <c r="M328" s="54"/>
      <c r="N328" s="64">
        <v>1950</v>
      </c>
      <c r="O328" s="64">
        <v>1755</v>
      </c>
      <c r="P328" s="64">
        <v>1495</v>
      </c>
      <c r="Q328" s="44" t="s">
        <v>54</v>
      </c>
      <c r="R328" s="69"/>
      <c r="S328" s="44" t="s">
        <v>446</v>
      </c>
      <c r="T328" s="45" t="s">
        <v>1056</v>
      </c>
      <c r="U328" s="45">
        <v>33110300601</v>
      </c>
      <c r="V328" s="45" t="s">
        <v>1057</v>
      </c>
      <c r="W328" s="43" t="s">
        <v>43</v>
      </c>
      <c r="X328" s="71" t="s">
        <v>43</v>
      </c>
      <c r="Y328" s="71" t="s">
        <v>40</v>
      </c>
      <c r="Z328" s="48" t="s">
        <v>43</v>
      </c>
      <c r="AA328" s="75">
        <v>8580</v>
      </c>
      <c r="AB328" s="75">
        <v>7200</v>
      </c>
      <c r="AC328" s="80">
        <v>6615</v>
      </c>
      <c r="AD328" s="80">
        <v>5955</v>
      </c>
      <c r="AE328" s="80">
        <v>5060</v>
      </c>
      <c r="AF328" s="79">
        <f t="shared" si="40"/>
        <v>13</v>
      </c>
      <c r="AG328" s="79" t="str">
        <f t="shared" si="41"/>
        <v>根治性膀胱全切除费</v>
      </c>
      <c r="AH328" s="79">
        <f t="shared" si="37"/>
        <v>8450</v>
      </c>
      <c r="AI328" s="79">
        <f t="shared" si="38"/>
        <v>7605</v>
      </c>
      <c r="AJ328" s="79">
        <f t="shared" si="39"/>
        <v>6475</v>
      </c>
    </row>
    <row r="329" ht="27" customHeight="1" spans="1:36">
      <c r="A329" s="81" t="s">
        <v>81</v>
      </c>
      <c r="B329" s="81" t="s">
        <v>1054</v>
      </c>
      <c r="C329" s="81" t="s">
        <v>1055</v>
      </c>
      <c r="D329" s="81" t="s">
        <v>213</v>
      </c>
      <c r="E329" s="81"/>
      <c r="F329" s="81"/>
      <c r="G329" s="81" t="s">
        <v>40</v>
      </c>
      <c r="H329" s="81"/>
      <c r="I329" s="56">
        <v>2170</v>
      </c>
      <c r="J329" s="56">
        <v>1953</v>
      </c>
      <c r="K329" s="54"/>
      <c r="L329" s="54"/>
      <c r="M329" s="54"/>
      <c r="N329" s="64">
        <v>1950</v>
      </c>
      <c r="O329" s="64">
        <v>1755</v>
      </c>
      <c r="P329" s="64">
        <v>1495</v>
      </c>
      <c r="Q329" s="44" t="s">
        <v>54</v>
      </c>
      <c r="R329" s="69"/>
      <c r="S329" s="44" t="s">
        <v>446</v>
      </c>
      <c r="T329" s="45" t="s">
        <v>1058</v>
      </c>
      <c r="U329" s="45">
        <v>33110300603</v>
      </c>
      <c r="V329" s="45" t="s">
        <v>1059</v>
      </c>
      <c r="W329" s="43" t="s">
        <v>43</v>
      </c>
      <c r="X329" s="71" t="s">
        <v>43</v>
      </c>
      <c r="Y329" s="71" t="s">
        <v>40</v>
      </c>
      <c r="Z329" s="48" t="s">
        <v>43</v>
      </c>
      <c r="AA329" s="75">
        <v>9380</v>
      </c>
      <c r="AB329" s="75">
        <v>7920</v>
      </c>
      <c r="AC329" s="80">
        <v>7240</v>
      </c>
      <c r="AD329" s="80">
        <v>6555</v>
      </c>
      <c r="AE329" s="80">
        <v>5570</v>
      </c>
      <c r="AF329" s="79">
        <f t="shared" si="40"/>
        <v>13</v>
      </c>
      <c r="AG329" s="79" t="str">
        <f t="shared" si="41"/>
        <v>根治性膀胱全切除费</v>
      </c>
      <c r="AH329" s="79">
        <f t="shared" si="37"/>
        <v>8450</v>
      </c>
      <c r="AI329" s="79">
        <f t="shared" si="38"/>
        <v>7605</v>
      </c>
      <c r="AJ329" s="79">
        <f t="shared" si="39"/>
        <v>6475</v>
      </c>
    </row>
    <row r="330" ht="30" customHeight="1" spans="1:36">
      <c r="A330" s="44">
        <v>60</v>
      </c>
      <c r="B330" s="44" t="s">
        <v>1060</v>
      </c>
      <c r="C330" s="44" t="s">
        <v>1061</v>
      </c>
      <c r="D330" s="44" t="s">
        <v>213</v>
      </c>
      <c r="E330" s="44" t="s">
        <v>1062</v>
      </c>
      <c r="F330" s="44" t="s">
        <v>1063</v>
      </c>
      <c r="G330" s="44" t="s">
        <v>40</v>
      </c>
      <c r="H330" s="44"/>
      <c r="I330" s="56">
        <v>900</v>
      </c>
      <c r="J330" s="56">
        <v>810</v>
      </c>
      <c r="K330" s="59">
        <v>625</v>
      </c>
      <c r="L330" s="59">
        <v>696.428571428571</v>
      </c>
      <c r="M330" s="55"/>
      <c r="N330" s="64">
        <v>810</v>
      </c>
      <c r="O330" s="64">
        <v>730</v>
      </c>
      <c r="P330" s="64">
        <v>620</v>
      </c>
      <c r="Q330" s="44" t="s">
        <v>54</v>
      </c>
      <c r="R330" s="70" t="s">
        <v>851</v>
      </c>
      <c r="S330" s="44" t="s">
        <v>1064</v>
      </c>
      <c r="T330" s="43" t="s">
        <v>1065</v>
      </c>
      <c r="U330" s="71">
        <v>331201008</v>
      </c>
      <c r="V330" s="43" t="s">
        <v>1066</v>
      </c>
      <c r="W330" s="43" t="s">
        <v>43</v>
      </c>
      <c r="X330" s="71" t="s">
        <v>856</v>
      </c>
      <c r="Y330" s="71" t="s">
        <v>40</v>
      </c>
      <c r="Z330" s="48" t="s">
        <v>43</v>
      </c>
      <c r="AA330" s="75">
        <v>625</v>
      </c>
      <c r="AB330" s="75">
        <v>565</v>
      </c>
      <c r="AC330" s="80">
        <v>625</v>
      </c>
      <c r="AD330" s="80">
        <v>600</v>
      </c>
      <c r="AE330" s="80">
        <v>510</v>
      </c>
      <c r="AF330" s="79">
        <f t="shared" si="40"/>
        <v>0</v>
      </c>
      <c r="AG330" s="79" t="str">
        <f t="shared" si="41"/>
        <v>尿道支架置入费</v>
      </c>
      <c r="AH330" s="79">
        <f t="shared" si="37"/>
        <v>810</v>
      </c>
      <c r="AI330" s="79">
        <f t="shared" si="38"/>
        <v>730</v>
      </c>
      <c r="AJ330" s="79">
        <f t="shared" si="39"/>
        <v>620</v>
      </c>
    </row>
    <row r="331" ht="30" customHeight="1" spans="1:36">
      <c r="A331" s="44">
        <v>60</v>
      </c>
      <c r="B331" s="44" t="s">
        <v>1060</v>
      </c>
      <c r="C331" s="44" t="s">
        <v>1061</v>
      </c>
      <c r="D331" s="44" t="s">
        <v>213</v>
      </c>
      <c r="E331" s="44" t="s">
        <v>1062</v>
      </c>
      <c r="F331" s="44" t="s">
        <v>1063</v>
      </c>
      <c r="G331" s="44" t="s">
        <v>40</v>
      </c>
      <c r="H331" s="44"/>
      <c r="I331" s="56">
        <v>900</v>
      </c>
      <c r="J331" s="56">
        <v>810</v>
      </c>
      <c r="K331" s="59">
        <v>625</v>
      </c>
      <c r="L331" s="59">
        <v>696.428571428571</v>
      </c>
      <c r="M331" s="55"/>
      <c r="N331" s="64">
        <v>810</v>
      </c>
      <c r="O331" s="64">
        <v>730</v>
      </c>
      <c r="P331" s="64">
        <v>620</v>
      </c>
      <c r="Q331" s="44" t="s">
        <v>54</v>
      </c>
      <c r="R331" s="70" t="s">
        <v>851</v>
      </c>
      <c r="S331" s="44" t="s">
        <v>1064</v>
      </c>
      <c r="T331" s="43" t="s">
        <v>1067</v>
      </c>
      <c r="U331" s="71">
        <v>33120100802</v>
      </c>
      <c r="V331" s="43" t="s">
        <v>1068</v>
      </c>
      <c r="W331" s="43" t="s">
        <v>43</v>
      </c>
      <c r="X331" s="71" t="s">
        <v>43</v>
      </c>
      <c r="Y331" s="71" t="s">
        <v>40</v>
      </c>
      <c r="Z331" s="48" t="s">
        <v>43</v>
      </c>
      <c r="AA331" s="75">
        <v>875</v>
      </c>
      <c r="AB331" s="75">
        <v>790</v>
      </c>
      <c r="AC331" s="80">
        <v>875</v>
      </c>
      <c r="AD331" s="80">
        <v>825</v>
      </c>
      <c r="AE331" s="80">
        <v>700</v>
      </c>
      <c r="AF331" s="79">
        <f t="shared" si="40"/>
        <v>0</v>
      </c>
      <c r="AG331" s="79" t="str">
        <f t="shared" si="41"/>
        <v>尿道支架置入费</v>
      </c>
      <c r="AH331" s="79">
        <f t="shared" si="37"/>
        <v>810</v>
      </c>
      <c r="AI331" s="79">
        <f t="shared" si="38"/>
        <v>730</v>
      </c>
      <c r="AJ331" s="79">
        <f t="shared" si="39"/>
        <v>620</v>
      </c>
    </row>
    <row r="332" ht="20" customHeight="1" spans="1:36">
      <c r="A332" s="81" t="s">
        <v>81</v>
      </c>
      <c r="B332" s="81" t="s">
        <v>1069</v>
      </c>
      <c r="C332" s="81" t="s">
        <v>1070</v>
      </c>
      <c r="D332" s="81" t="s">
        <v>213</v>
      </c>
      <c r="E332" s="81"/>
      <c r="F332" s="81"/>
      <c r="G332" s="81" t="s">
        <v>40</v>
      </c>
      <c r="H332" s="81"/>
      <c r="I332" s="56">
        <v>270</v>
      </c>
      <c r="J332" s="56">
        <v>243</v>
      </c>
      <c r="K332" s="54"/>
      <c r="L332" s="54"/>
      <c r="M332" s="54"/>
      <c r="N332" s="64">
        <v>245</v>
      </c>
      <c r="O332" s="64">
        <v>220</v>
      </c>
      <c r="P332" s="64">
        <v>185</v>
      </c>
      <c r="Q332" s="44" t="s">
        <v>54</v>
      </c>
      <c r="R332" s="69"/>
      <c r="S332" s="44" t="s">
        <v>446</v>
      </c>
      <c r="T332" s="45" t="s">
        <v>1071</v>
      </c>
      <c r="U332" s="45">
        <v>33120100801</v>
      </c>
      <c r="V332" s="45" t="s">
        <v>1072</v>
      </c>
      <c r="W332" s="43" t="s">
        <v>43</v>
      </c>
      <c r="X332" s="71" t="s">
        <v>43</v>
      </c>
      <c r="Y332" s="71" t="s">
        <v>40</v>
      </c>
      <c r="Z332" s="48" t="s">
        <v>43</v>
      </c>
      <c r="AA332" s="75">
        <v>815</v>
      </c>
      <c r="AB332" s="75">
        <v>735</v>
      </c>
      <c r="AC332" s="80">
        <v>815</v>
      </c>
      <c r="AD332" s="80">
        <v>780</v>
      </c>
      <c r="AE332" s="80">
        <v>665</v>
      </c>
      <c r="AF332" s="79">
        <f t="shared" si="40"/>
        <v>11</v>
      </c>
      <c r="AG332" s="79" t="str">
        <f t="shared" si="41"/>
        <v>尿道支架置入费</v>
      </c>
      <c r="AH332" s="79">
        <f t="shared" si="37"/>
        <v>1055</v>
      </c>
      <c r="AI332" s="79">
        <f t="shared" si="38"/>
        <v>950</v>
      </c>
      <c r="AJ332" s="79">
        <f t="shared" si="39"/>
        <v>805</v>
      </c>
    </row>
    <row r="333" ht="20" customHeight="1" spans="1:36">
      <c r="A333" s="81" t="s">
        <v>81</v>
      </c>
      <c r="B333" s="81" t="s">
        <v>1069</v>
      </c>
      <c r="C333" s="81" t="s">
        <v>1070</v>
      </c>
      <c r="D333" s="81" t="s">
        <v>213</v>
      </c>
      <c r="E333" s="81"/>
      <c r="F333" s="81"/>
      <c r="G333" s="81" t="s">
        <v>40</v>
      </c>
      <c r="H333" s="81"/>
      <c r="I333" s="56">
        <v>270</v>
      </c>
      <c r="J333" s="56">
        <v>243</v>
      </c>
      <c r="K333" s="54"/>
      <c r="L333" s="54"/>
      <c r="M333" s="54"/>
      <c r="N333" s="64">
        <v>245</v>
      </c>
      <c r="O333" s="64">
        <v>220</v>
      </c>
      <c r="P333" s="64">
        <v>185</v>
      </c>
      <c r="Q333" s="44" t="s">
        <v>54</v>
      </c>
      <c r="R333" s="69"/>
      <c r="S333" s="44" t="s">
        <v>446</v>
      </c>
      <c r="T333" s="45" t="s">
        <v>1073</v>
      </c>
      <c r="U333" s="45">
        <v>33120100803</v>
      </c>
      <c r="V333" s="45" t="s">
        <v>1074</v>
      </c>
      <c r="W333" s="43" t="s">
        <v>43</v>
      </c>
      <c r="X333" s="71" t="s">
        <v>43</v>
      </c>
      <c r="Y333" s="71" t="s">
        <v>40</v>
      </c>
      <c r="Z333" s="48" t="s">
        <v>43</v>
      </c>
      <c r="AA333" s="75">
        <v>1065</v>
      </c>
      <c r="AB333" s="75">
        <v>960</v>
      </c>
      <c r="AC333" s="80">
        <v>1065</v>
      </c>
      <c r="AD333" s="80">
        <v>1005</v>
      </c>
      <c r="AE333" s="80">
        <v>855</v>
      </c>
      <c r="AF333" s="79">
        <f t="shared" si="40"/>
        <v>11</v>
      </c>
      <c r="AG333" s="79" t="str">
        <f t="shared" si="41"/>
        <v>尿道支架置入费</v>
      </c>
      <c r="AH333" s="79">
        <f t="shared" si="37"/>
        <v>1055</v>
      </c>
      <c r="AI333" s="79">
        <f t="shared" si="38"/>
        <v>950</v>
      </c>
      <c r="AJ333" s="79">
        <f t="shared" si="39"/>
        <v>805</v>
      </c>
    </row>
    <row r="334" ht="52" customHeight="1" spans="1:36">
      <c r="A334" s="46">
        <v>61</v>
      </c>
      <c r="B334" s="46" t="s">
        <v>1075</v>
      </c>
      <c r="C334" s="46" t="s">
        <v>1076</v>
      </c>
      <c r="D334" s="46" t="s">
        <v>213</v>
      </c>
      <c r="E334" s="50" t="s">
        <v>1077</v>
      </c>
      <c r="F334" s="50" t="s">
        <v>868</v>
      </c>
      <c r="G334" s="46" t="s">
        <v>40</v>
      </c>
      <c r="H334" s="50" t="s">
        <v>43</v>
      </c>
      <c r="I334" s="53">
        <v>400</v>
      </c>
      <c r="J334" s="53">
        <v>360</v>
      </c>
      <c r="K334" s="58">
        <v>220</v>
      </c>
      <c r="L334" s="58">
        <v>200</v>
      </c>
      <c r="M334" s="58">
        <v>170</v>
      </c>
      <c r="N334" s="63">
        <v>360</v>
      </c>
      <c r="O334" s="63">
        <v>325</v>
      </c>
      <c r="P334" s="63">
        <v>280</v>
      </c>
      <c r="Q334" s="45" t="s">
        <v>54</v>
      </c>
      <c r="R334" s="69" t="s">
        <v>851</v>
      </c>
      <c r="S334" s="49" t="s">
        <v>1064</v>
      </c>
      <c r="T334" s="43" t="s">
        <v>869</v>
      </c>
      <c r="U334" s="71">
        <v>31100002801</v>
      </c>
      <c r="V334" s="43" t="s">
        <v>870</v>
      </c>
      <c r="W334" s="43" t="s">
        <v>43</v>
      </c>
      <c r="X334" s="71" t="s">
        <v>43</v>
      </c>
      <c r="Y334" s="71" t="s">
        <v>40</v>
      </c>
      <c r="Z334" s="48" t="s">
        <v>871</v>
      </c>
      <c r="AA334" s="75">
        <v>220</v>
      </c>
      <c r="AB334" s="75">
        <v>200</v>
      </c>
      <c r="AC334" s="80">
        <v>220</v>
      </c>
      <c r="AD334" s="80">
        <v>200</v>
      </c>
      <c r="AE334" s="80">
        <v>170</v>
      </c>
      <c r="AF334" s="79">
        <f t="shared" si="40"/>
        <v>0</v>
      </c>
      <c r="AG334" s="79" t="str">
        <f t="shared" si="41"/>
        <v>尿道支架取出费</v>
      </c>
      <c r="AH334" s="79">
        <f t="shared" si="37"/>
        <v>360</v>
      </c>
      <c r="AI334" s="79">
        <f t="shared" si="38"/>
        <v>325</v>
      </c>
      <c r="AJ334" s="79">
        <f t="shared" si="39"/>
        <v>280</v>
      </c>
    </row>
    <row r="335" ht="17" customHeight="1" spans="1:36">
      <c r="A335" s="44">
        <v>62</v>
      </c>
      <c r="B335" s="44" t="s">
        <v>1080</v>
      </c>
      <c r="C335" s="44" t="s">
        <v>1081</v>
      </c>
      <c r="D335" s="44" t="s">
        <v>213</v>
      </c>
      <c r="E335" s="44" t="s">
        <v>1082</v>
      </c>
      <c r="F335" s="44" t="s">
        <v>1083</v>
      </c>
      <c r="G335" s="44" t="s">
        <v>40</v>
      </c>
      <c r="H335" s="44"/>
      <c r="I335" s="56">
        <v>1370</v>
      </c>
      <c r="J335" s="56">
        <v>1233</v>
      </c>
      <c r="K335" s="57">
        <v>1300</v>
      </c>
      <c r="L335" s="59">
        <v>1135.21276595745</v>
      </c>
      <c r="M335" s="59">
        <v>843.142857142857</v>
      </c>
      <c r="N335" s="64">
        <v>1300</v>
      </c>
      <c r="O335" s="64">
        <v>1150</v>
      </c>
      <c r="P335" s="64">
        <v>950</v>
      </c>
      <c r="Q335" s="44" t="s">
        <v>54</v>
      </c>
      <c r="R335" s="70" t="s">
        <v>67</v>
      </c>
      <c r="S335" s="44" t="s">
        <v>1084</v>
      </c>
      <c r="T335" s="43" t="s">
        <v>1085</v>
      </c>
      <c r="U335" s="71">
        <v>331104020</v>
      </c>
      <c r="V335" s="43" t="s">
        <v>1086</v>
      </c>
      <c r="W335" s="43" t="s">
        <v>43</v>
      </c>
      <c r="X335" s="71" t="s">
        <v>43</v>
      </c>
      <c r="Y335" s="71" t="s">
        <v>40</v>
      </c>
      <c r="Z335" s="48" t="s">
        <v>43</v>
      </c>
      <c r="AA335" s="75">
        <v>625</v>
      </c>
      <c r="AB335" s="75">
        <v>565</v>
      </c>
      <c r="AC335" s="80">
        <v>625</v>
      </c>
      <c r="AD335" s="80">
        <v>600</v>
      </c>
      <c r="AE335" s="80">
        <v>510</v>
      </c>
      <c r="AF335" s="79">
        <f t="shared" si="40"/>
        <v>0</v>
      </c>
      <c r="AG335" s="79" t="str">
        <f t="shared" si="41"/>
        <v>尿道部分切除费</v>
      </c>
      <c r="AH335" s="79">
        <f t="shared" si="37"/>
        <v>1300</v>
      </c>
      <c r="AI335" s="79">
        <f t="shared" si="38"/>
        <v>1150</v>
      </c>
      <c r="AJ335" s="79">
        <f t="shared" si="39"/>
        <v>950</v>
      </c>
    </row>
    <row r="336" ht="17" customHeight="1" spans="1:36">
      <c r="A336" s="44">
        <v>62</v>
      </c>
      <c r="B336" s="44" t="s">
        <v>1080</v>
      </c>
      <c r="C336" s="44" t="s">
        <v>1081</v>
      </c>
      <c r="D336" s="44" t="s">
        <v>213</v>
      </c>
      <c r="E336" s="44" t="s">
        <v>1082</v>
      </c>
      <c r="F336" s="44" t="s">
        <v>1083</v>
      </c>
      <c r="G336" s="44" t="s">
        <v>40</v>
      </c>
      <c r="H336" s="44"/>
      <c r="I336" s="56">
        <v>1370</v>
      </c>
      <c r="J336" s="56">
        <v>1233</v>
      </c>
      <c r="K336" s="57">
        <v>1300</v>
      </c>
      <c r="L336" s="59">
        <v>1135.21276595745</v>
      </c>
      <c r="M336" s="59">
        <v>843.142857142857</v>
      </c>
      <c r="N336" s="64">
        <v>1300</v>
      </c>
      <c r="O336" s="64">
        <v>1150</v>
      </c>
      <c r="P336" s="64">
        <v>950</v>
      </c>
      <c r="Q336" s="44" t="s">
        <v>54</v>
      </c>
      <c r="R336" s="70" t="s">
        <v>67</v>
      </c>
      <c r="S336" s="44" t="s">
        <v>1084</v>
      </c>
      <c r="T336" s="43" t="s">
        <v>1087</v>
      </c>
      <c r="U336" s="71">
        <v>331104010</v>
      </c>
      <c r="V336" s="43" t="s">
        <v>1088</v>
      </c>
      <c r="W336" s="43" t="s">
        <v>43</v>
      </c>
      <c r="X336" s="71" t="s">
        <v>43</v>
      </c>
      <c r="Y336" s="71" t="s">
        <v>40</v>
      </c>
      <c r="Z336" s="48" t="s">
        <v>43</v>
      </c>
      <c r="AA336" s="75">
        <v>1080</v>
      </c>
      <c r="AB336" s="75">
        <v>970</v>
      </c>
      <c r="AC336" s="80">
        <v>1000</v>
      </c>
      <c r="AD336" s="80">
        <v>960</v>
      </c>
      <c r="AE336" s="80">
        <v>816</v>
      </c>
      <c r="AF336" s="79">
        <f t="shared" si="40"/>
        <v>0</v>
      </c>
      <c r="AG336" s="79" t="str">
        <f t="shared" si="41"/>
        <v>尿道部分切除费</v>
      </c>
      <c r="AH336" s="79">
        <f t="shared" si="37"/>
        <v>1300</v>
      </c>
      <c r="AI336" s="79">
        <f t="shared" si="38"/>
        <v>1150</v>
      </c>
      <c r="AJ336" s="79">
        <f t="shared" si="39"/>
        <v>950</v>
      </c>
    </row>
    <row r="337" ht="17" customHeight="1" spans="1:36">
      <c r="A337" s="44">
        <v>62</v>
      </c>
      <c r="B337" s="44" t="s">
        <v>1080</v>
      </c>
      <c r="C337" s="44" t="s">
        <v>1081</v>
      </c>
      <c r="D337" s="44" t="s">
        <v>213</v>
      </c>
      <c r="E337" s="44" t="s">
        <v>1082</v>
      </c>
      <c r="F337" s="44" t="s">
        <v>1083</v>
      </c>
      <c r="G337" s="44" t="s">
        <v>40</v>
      </c>
      <c r="H337" s="44"/>
      <c r="I337" s="56">
        <v>1370</v>
      </c>
      <c r="J337" s="56">
        <v>1233</v>
      </c>
      <c r="K337" s="57">
        <v>1300</v>
      </c>
      <c r="L337" s="59">
        <v>1135.21276595745</v>
      </c>
      <c r="M337" s="59">
        <v>843.142857142857</v>
      </c>
      <c r="N337" s="64">
        <v>1300</v>
      </c>
      <c r="O337" s="64">
        <v>1150</v>
      </c>
      <c r="P337" s="64">
        <v>950</v>
      </c>
      <c r="Q337" s="44" t="s">
        <v>54</v>
      </c>
      <c r="R337" s="70" t="s">
        <v>67</v>
      </c>
      <c r="S337" s="44" t="s">
        <v>1084</v>
      </c>
      <c r="T337" s="43" t="s">
        <v>1089</v>
      </c>
      <c r="U337" s="71">
        <v>331104007</v>
      </c>
      <c r="V337" s="43" t="s">
        <v>1090</v>
      </c>
      <c r="W337" s="43" t="s">
        <v>43</v>
      </c>
      <c r="X337" s="71" t="s">
        <v>43</v>
      </c>
      <c r="Y337" s="71" t="s">
        <v>40</v>
      </c>
      <c r="Z337" s="48" t="s">
        <v>43</v>
      </c>
      <c r="AA337" s="75">
        <v>1620</v>
      </c>
      <c r="AB337" s="75">
        <v>1460</v>
      </c>
      <c r="AC337" s="80">
        <v>1500</v>
      </c>
      <c r="AD337" s="80">
        <v>1440</v>
      </c>
      <c r="AE337" s="80">
        <v>1224</v>
      </c>
      <c r="AF337" s="79">
        <f t="shared" si="40"/>
        <v>0</v>
      </c>
      <c r="AG337" s="79" t="str">
        <f t="shared" si="41"/>
        <v>尿道部分切除费</v>
      </c>
      <c r="AH337" s="79">
        <f t="shared" si="37"/>
        <v>1300</v>
      </c>
      <c r="AI337" s="79">
        <f t="shared" si="38"/>
        <v>1150</v>
      </c>
      <c r="AJ337" s="79">
        <f t="shared" si="39"/>
        <v>950</v>
      </c>
    </row>
    <row r="338" ht="17" customHeight="1" spans="1:36">
      <c r="A338" s="44">
        <v>62</v>
      </c>
      <c r="B338" s="44" t="s">
        <v>1080</v>
      </c>
      <c r="C338" s="44" t="s">
        <v>1081</v>
      </c>
      <c r="D338" s="44" t="s">
        <v>213</v>
      </c>
      <c r="E338" s="44" t="s">
        <v>1082</v>
      </c>
      <c r="F338" s="44" t="s">
        <v>1083</v>
      </c>
      <c r="G338" s="44" t="s">
        <v>40</v>
      </c>
      <c r="H338" s="44"/>
      <c r="I338" s="56">
        <v>1370</v>
      </c>
      <c r="J338" s="56">
        <v>1233</v>
      </c>
      <c r="K338" s="57">
        <v>1300</v>
      </c>
      <c r="L338" s="59">
        <v>1135.21276595745</v>
      </c>
      <c r="M338" s="59">
        <v>843.142857142857</v>
      </c>
      <c r="N338" s="64">
        <v>1300</v>
      </c>
      <c r="O338" s="64">
        <v>1150</v>
      </c>
      <c r="P338" s="64">
        <v>950</v>
      </c>
      <c r="Q338" s="44" t="s">
        <v>54</v>
      </c>
      <c r="R338" s="70" t="s">
        <v>67</v>
      </c>
      <c r="S338" s="44" t="s">
        <v>1084</v>
      </c>
      <c r="T338" s="43" t="s">
        <v>1091</v>
      </c>
      <c r="U338" s="71">
        <v>33110400702</v>
      </c>
      <c r="V338" s="43" t="s">
        <v>1092</v>
      </c>
      <c r="W338" s="43" t="s">
        <v>43</v>
      </c>
      <c r="X338" s="71" t="s">
        <v>43</v>
      </c>
      <c r="Y338" s="71" t="s">
        <v>40</v>
      </c>
      <c r="Z338" s="48" t="s">
        <v>43</v>
      </c>
      <c r="AA338" s="75">
        <v>1870</v>
      </c>
      <c r="AB338" s="75">
        <v>1685</v>
      </c>
      <c r="AC338" s="80">
        <v>1750</v>
      </c>
      <c r="AD338" s="80">
        <v>1665</v>
      </c>
      <c r="AE338" s="80">
        <v>1414</v>
      </c>
      <c r="AF338" s="79">
        <f t="shared" si="40"/>
        <v>0</v>
      </c>
      <c r="AG338" s="79" t="str">
        <f t="shared" si="41"/>
        <v>尿道部分切除费</v>
      </c>
      <c r="AH338" s="79">
        <f t="shared" si="37"/>
        <v>1300</v>
      </c>
      <c r="AI338" s="79">
        <f t="shared" si="38"/>
        <v>1150</v>
      </c>
      <c r="AJ338" s="79">
        <f t="shared" si="39"/>
        <v>950</v>
      </c>
    </row>
    <row r="339" ht="17" customHeight="1" spans="1:36">
      <c r="A339" s="44">
        <v>62</v>
      </c>
      <c r="B339" s="44" t="s">
        <v>1080</v>
      </c>
      <c r="C339" s="44" t="s">
        <v>1081</v>
      </c>
      <c r="D339" s="44" t="s">
        <v>213</v>
      </c>
      <c r="E339" s="44" t="s">
        <v>1082</v>
      </c>
      <c r="F339" s="44" t="s">
        <v>1083</v>
      </c>
      <c r="G339" s="44" t="s">
        <v>40</v>
      </c>
      <c r="H339" s="44"/>
      <c r="I339" s="56">
        <v>1370</v>
      </c>
      <c r="J339" s="56">
        <v>1233</v>
      </c>
      <c r="K339" s="57">
        <v>1300</v>
      </c>
      <c r="L339" s="59">
        <v>1135.21276595745</v>
      </c>
      <c r="M339" s="59">
        <v>843.142857142857</v>
      </c>
      <c r="N339" s="64">
        <v>1300</v>
      </c>
      <c r="O339" s="64">
        <v>1150</v>
      </c>
      <c r="P339" s="64">
        <v>950</v>
      </c>
      <c r="Q339" s="44" t="s">
        <v>54</v>
      </c>
      <c r="R339" s="70" t="s">
        <v>67</v>
      </c>
      <c r="S339" s="44" t="s">
        <v>1084</v>
      </c>
      <c r="T339" s="43" t="s">
        <v>1093</v>
      </c>
      <c r="U339" s="71">
        <v>331104012</v>
      </c>
      <c r="V339" s="43" t="s">
        <v>1094</v>
      </c>
      <c r="W339" s="43" t="s">
        <v>43</v>
      </c>
      <c r="X339" s="71" t="s">
        <v>43</v>
      </c>
      <c r="Y339" s="71" t="s">
        <v>40</v>
      </c>
      <c r="Z339" s="48" t="s">
        <v>43</v>
      </c>
      <c r="AA339" s="75">
        <v>1350</v>
      </c>
      <c r="AB339" s="75">
        <v>1215</v>
      </c>
      <c r="AC339" s="80">
        <v>1250</v>
      </c>
      <c r="AD339" s="80">
        <v>1200</v>
      </c>
      <c r="AE339" s="80">
        <v>1020</v>
      </c>
      <c r="AF339" s="79">
        <f t="shared" si="40"/>
        <v>0</v>
      </c>
      <c r="AG339" s="79" t="str">
        <f t="shared" si="41"/>
        <v>尿道部分切除费</v>
      </c>
      <c r="AH339" s="79">
        <f t="shared" si="37"/>
        <v>1300</v>
      </c>
      <c r="AI339" s="79">
        <f t="shared" si="38"/>
        <v>1150</v>
      </c>
      <c r="AJ339" s="79">
        <f t="shared" si="39"/>
        <v>950</v>
      </c>
    </row>
    <row r="340" ht="17" customHeight="1" spans="1:36">
      <c r="A340" s="44">
        <v>62</v>
      </c>
      <c r="B340" s="44" t="s">
        <v>1080</v>
      </c>
      <c r="C340" s="44" t="s">
        <v>1081</v>
      </c>
      <c r="D340" s="44" t="s">
        <v>213</v>
      </c>
      <c r="E340" s="44" t="s">
        <v>1082</v>
      </c>
      <c r="F340" s="44" t="s">
        <v>1083</v>
      </c>
      <c r="G340" s="44" t="s">
        <v>40</v>
      </c>
      <c r="H340" s="44"/>
      <c r="I340" s="56">
        <v>1370</v>
      </c>
      <c r="J340" s="56">
        <v>1233</v>
      </c>
      <c r="K340" s="57">
        <v>1300</v>
      </c>
      <c r="L340" s="59">
        <v>1135.21276595745</v>
      </c>
      <c r="M340" s="59">
        <v>843.142857142857</v>
      </c>
      <c r="N340" s="64">
        <v>1300</v>
      </c>
      <c r="O340" s="64">
        <v>1150</v>
      </c>
      <c r="P340" s="64">
        <v>950</v>
      </c>
      <c r="Q340" s="44" t="s">
        <v>54</v>
      </c>
      <c r="R340" s="70" t="s">
        <v>67</v>
      </c>
      <c r="S340" s="44" t="s">
        <v>1084</v>
      </c>
      <c r="T340" s="43" t="s">
        <v>1095</v>
      </c>
      <c r="U340" s="71">
        <v>331104009</v>
      </c>
      <c r="V340" s="43" t="s">
        <v>1096</v>
      </c>
      <c r="W340" s="43" t="s">
        <v>43</v>
      </c>
      <c r="X340" s="71" t="s">
        <v>43</v>
      </c>
      <c r="Y340" s="71" t="s">
        <v>40</v>
      </c>
      <c r="Z340" s="48" t="s">
        <v>43</v>
      </c>
      <c r="AA340" s="75">
        <v>1490</v>
      </c>
      <c r="AB340" s="75">
        <v>1340</v>
      </c>
      <c r="AC340" s="80">
        <v>1375</v>
      </c>
      <c r="AD340" s="80">
        <v>1320</v>
      </c>
      <c r="AE340" s="80">
        <v>1122</v>
      </c>
      <c r="AF340" s="79">
        <f t="shared" si="40"/>
        <v>0</v>
      </c>
      <c r="AG340" s="79" t="str">
        <f t="shared" si="41"/>
        <v>尿道部分切除费</v>
      </c>
      <c r="AH340" s="79">
        <f t="shared" si="37"/>
        <v>1300</v>
      </c>
      <c r="AI340" s="79">
        <f t="shared" si="38"/>
        <v>1150</v>
      </c>
      <c r="AJ340" s="79">
        <f t="shared" si="39"/>
        <v>950</v>
      </c>
    </row>
    <row r="341" ht="17" customHeight="1" spans="1:36">
      <c r="A341" s="44">
        <v>62</v>
      </c>
      <c r="B341" s="44" t="s">
        <v>1080</v>
      </c>
      <c r="C341" s="44" t="s">
        <v>1081</v>
      </c>
      <c r="D341" s="44" t="s">
        <v>213</v>
      </c>
      <c r="E341" s="44" t="s">
        <v>1082</v>
      </c>
      <c r="F341" s="44" t="s">
        <v>1083</v>
      </c>
      <c r="G341" s="44" t="s">
        <v>40</v>
      </c>
      <c r="H341" s="44"/>
      <c r="I341" s="56">
        <v>1370</v>
      </c>
      <c r="J341" s="56">
        <v>1233</v>
      </c>
      <c r="K341" s="57">
        <v>1300</v>
      </c>
      <c r="L341" s="59">
        <v>1135.21276595745</v>
      </c>
      <c r="M341" s="59">
        <v>843.142857142857</v>
      </c>
      <c r="N341" s="64">
        <v>1300</v>
      </c>
      <c r="O341" s="64">
        <v>1150</v>
      </c>
      <c r="P341" s="64">
        <v>950</v>
      </c>
      <c r="Q341" s="44" t="s">
        <v>54</v>
      </c>
      <c r="R341" s="70" t="s">
        <v>67</v>
      </c>
      <c r="S341" s="44" t="s">
        <v>1084</v>
      </c>
      <c r="T341" s="43" t="s">
        <v>1097</v>
      </c>
      <c r="U341" s="71">
        <v>33110400902</v>
      </c>
      <c r="V341" s="43" t="s">
        <v>1098</v>
      </c>
      <c r="W341" s="43" t="s">
        <v>43</v>
      </c>
      <c r="X341" s="71" t="s">
        <v>43</v>
      </c>
      <c r="Y341" s="71" t="s">
        <v>40</v>
      </c>
      <c r="Z341" s="48" t="s">
        <v>43</v>
      </c>
      <c r="AA341" s="75">
        <v>1740</v>
      </c>
      <c r="AB341" s="75">
        <v>1565</v>
      </c>
      <c r="AC341" s="80">
        <v>1625</v>
      </c>
      <c r="AD341" s="80">
        <v>1545</v>
      </c>
      <c r="AE341" s="80">
        <v>1312</v>
      </c>
      <c r="AF341" s="79">
        <f t="shared" si="40"/>
        <v>0</v>
      </c>
      <c r="AG341" s="79" t="str">
        <f t="shared" si="41"/>
        <v>尿道部分切除费</v>
      </c>
      <c r="AH341" s="79">
        <f t="shared" si="37"/>
        <v>1300</v>
      </c>
      <c r="AI341" s="79">
        <f t="shared" si="38"/>
        <v>1150</v>
      </c>
      <c r="AJ341" s="79">
        <f t="shared" si="39"/>
        <v>950</v>
      </c>
    </row>
    <row r="342" ht="17" customHeight="1" spans="1:36">
      <c r="A342" s="44">
        <v>62</v>
      </c>
      <c r="B342" s="44" t="s">
        <v>1080</v>
      </c>
      <c r="C342" s="44" t="s">
        <v>1081</v>
      </c>
      <c r="D342" s="44" t="s">
        <v>213</v>
      </c>
      <c r="E342" s="44" t="s">
        <v>1082</v>
      </c>
      <c r="F342" s="44" t="s">
        <v>1083</v>
      </c>
      <c r="G342" s="44" t="s">
        <v>40</v>
      </c>
      <c r="H342" s="44"/>
      <c r="I342" s="56">
        <v>1370</v>
      </c>
      <c r="J342" s="56">
        <v>1233</v>
      </c>
      <c r="K342" s="57">
        <v>1300</v>
      </c>
      <c r="L342" s="59">
        <v>1135.21276595745</v>
      </c>
      <c r="M342" s="59">
        <v>843.142857142857</v>
      </c>
      <c r="N342" s="64">
        <v>1300</v>
      </c>
      <c r="O342" s="64">
        <v>1150</v>
      </c>
      <c r="P342" s="64">
        <v>950</v>
      </c>
      <c r="Q342" s="44" t="s">
        <v>54</v>
      </c>
      <c r="R342" s="70" t="s">
        <v>67</v>
      </c>
      <c r="S342" s="44" t="s">
        <v>1084</v>
      </c>
      <c r="T342" s="43" t="s">
        <v>1099</v>
      </c>
      <c r="U342" s="71">
        <v>331104006</v>
      </c>
      <c r="V342" s="43" t="s">
        <v>1100</v>
      </c>
      <c r="W342" s="43" t="s">
        <v>43</v>
      </c>
      <c r="X342" s="71" t="s">
        <v>43</v>
      </c>
      <c r="Y342" s="71" t="s">
        <v>40</v>
      </c>
      <c r="Z342" s="48" t="s">
        <v>43</v>
      </c>
      <c r="AA342" s="75">
        <v>1350</v>
      </c>
      <c r="AB342" s="75">
        <v>1215</v>
      </c>
      <c r="AC342" s="80">
        <v>1250</v>
      </c>
      <c r="AD342" s="80">
        <v>1200</v>
      </c>
      <c r="AE342" s="80">
        <v>1020</v>
      </c>
      <c r="AF342" s="79">
        <f t="shared" si="40"/>
        <v>0</v>
      </c>
      <c r="AG342" s="79" t="str">
        <f t="shared" si="41"/>
        <v>尿道部分切除费</v>
      </c>
      <c r="AH342" s="79">
        <f t="shared" si="37"/>
        <v>1300</v>
      </c>
      <c r="AI342" s="79">
        <f t="shared" si="38"/>
        <v>1150</v>
      </c>
      <c r="AJ342" s="79">
        <f t="shared" si="39"/>
        <v>950</v>
      </c>
    </row>
    <row r="343" ht="17" customHeight="1" spans="1:36">
      <c r="A343" s="44">
        <v>62</v>
      </c>
      <c r="B343" s="44" t="s">
        <v>1080</v>
      </c>
      <c r="C343" s="44" t="s">
        <v>1081</v>
      </c>
      <c r="D343" s="44" t="s">
        <v>213</v>
      </c>
      <c r="E343" s="44" t="s">
        <v>1082</v>
      </c>
      <c r="F343" s="44" t="s">
        <v>1083</v>
      </c>
      <c r="G343" s="44" t="s">
        <v>40</v>
      </c>
      <c r="H343" s="44"/>
      <c r="I343" s="56">
        <v>1370</v>
      </c>
      <c r="J343" s="56">
        <v>1233</v>
      </c>
      <c r="K343" s="57">
        <v>1300</v>
      </c>
      <c r="L343" s="59">
        <v>1135.21276595745</v>
      </c>
      <c r="M343" s="59">
        <v>843.142857142857</v>
      </c>
      <c r="N343" s="64">
        <v>1300</v>
      </c>
      <c r="O343" s="64">
        <v>1150</v>
      </c>
      <c r="P343" s="64">
        <v>950</v>
      </c>
      <c r="Q343" s="44" t="s">
        <v>54</v>
      </c>
      <c r="R343" s="70" t="s">
        <v>67</v>
      </c>
      <c r="S343" s="44" t="s">
        <v>1084</v>
      </c>
      <c r="T343" s="43" t="s">
        <v>1101</v>
      </c>
      <c r="U343" s="71">
        <v>33110400602</v>
      </c>
      <c r="V343" s="43" t="s">
        <v>1102</v>
      </c>
      <c r="W343" s="43" t="s">
        <v>43</v>
      </c>
      <c r="X343" s="71" t="s">
        <v>43</v>
      </c>
      <c r="Y343" s="71" t="s">
        <v>40</v>
      </c>
      <c r="Z343" s="48" t="s">
        <v>43</v>
      </c>
      <c r="AA343" s="75">
        <v>1600</v>
      </c>
      <c r="AB343" s="75">
        <v>1440</v>
      </c>
      <c r="AC343" s="80">
        <v>1500</v>
      </c>
      <c r="AD343" s="80">
        <v>1425</v>
      </c>
      <c r="AE343" s="80">
        <v>1210</v>
      </c>
      <c r="AF343" s="79">
        <f t="shared" si="40"/>
        <v>0</v>
      </c>
      <c r="AG343" s="79" t="str">
        <f t="shared" si="41"/>
        <v>尿道部分切除费</v>
      </c>
      <c r="AH343" s="79">
        <f t="shared" si="37"/>
        <v>1300</v>
      </c>
      <c r="AI343" s="79">
        <f t="shared" si="38"/>
        <v>1150</v>
      </c>
      <c r="AJ343" s="79">
        <f t="shared" si="39"/>
        <v>950</v>
      </c>
    </row>
    <row r="344" ht="17" customHeight="1" spans="1:36">
      <c r="A344" s="44">
        <v>62</v>
      </c>
      <c r="B344" s="44" t="s">
        <v>1080</v>
      </c>
      <c r="C344" s="44" t="s">
        <v>1081</v>
      </c>
      <c r="D344" s="44" t="s">
        <v>213</v>
      </c>
      <c r="E344" s="44" t="s">
        <v>1082</v>
      </c>
      <c r="F344" s="44" t="s">
        <v>1083</v>
      </c>
      <c r="G344" s="44" t="s">
        <v>40</v>
      </c>
      <c r="H344" s="44"/>
      <c r="I344" s="56">
        <v>1370</v>
      </c>
      <c r="J344" s="56">
        <v>1233</v>
      </c>
      <c r="K344" s="57">
        <v>1300</v>
      </c>
      <c r="L344" s="59">
        <v>1135.21276595745</v>
      </c>
      <c r="M344" s="59">
        <v>843.142857142857</v>
      </c>
      <c r="N344" s="64">
        <v>1300</v>
      </c>
      <c r="O344" s="64">
        <v>1150</v>
      </c>
      <c r="P344" s="64">
        <v>950</v>
      </c>
      <c r="Q344" s="44" t="s">
        <v>54</v>
      </c>
      <c r="R344" s="70" t="s">
        <v>67</v>
      </c>
      <c r="S344" s="44" t="s">
        <v>1084</v>
      </c>
      <c r="T344" s="43" t="s">
        <v>1103</v>
      </c>
      <c r="U344" s="71">
        <v>331104019</v>
      </c>
      <c r="V344" s="43" t="s">
        <v>1104</v>
      </c>
      <c r="W344" s="43" t="s">
        <v>43</v>
      </c>
      <c r="X344" s="71" t="s">
        <v>43</v>
      </c>
      <c r="Y344" s="71" t="s">
        <v>40</v>
      </c>
      <c r="Z344" s="48" t="s">
        <v>43</v>
      </c>
      <c r="AA344" s="75">
        <v>1350</v>
      </c>
      <c r="AB344" s="75">
        <v>1215</v>
      </c>
      <c r="AC344" s="80">
        <v>1250</v>
      </c>
      <c r="AD344" s="80">
        <v>1200</v>
      </c>
      <c r="AE344" s="80">
        <v>1020</v>
      </c>
      <c r="AF344" s="79">
        <f t="shared" si="40"/>
        <v>0</v>
      </c>
      <c r="AG344" s="79" t="str">
        <f t="shared" si="41"/>
        <v>尿道部分切除费</v>
      </c>
      <c r="AH344" s="79">
        <f t="shared" si="37"/>
        <v>1300</v>
      </c>
      <c r="AI344" s="79">
        <f t="shared" si="38"/>
        <v>1150</v>
      </c>
      <c r="AJ344" s="79">
        <f t="shared" si="39"/>
        <v>950</v>
      </c>
    </row>
    <row r="345" ht="17" customHeight="1" spans="1:36">
      <c r="A345" s="44">
        <v>62</v>
      </c>
      <c r="B345" s="44" t="s">
        <v>1080</v>
      </c>
      <c r="C345" s="44" t="s">
        <v>1081</v>
      </c>
      <c r="D345" s="44" t="s">
        <v>213</v>
      </c>
      <c r="E345" s="44" t="s">
        <v>1082</v>
      </c>
      <c r="F345" s="44" t="s">
        <v>1083</v>
      </c>
      <c r="G345" s="44" t="s">
        <v>40</v>
      </c>
      <c r="H345" s="44"/>
      <c r="I345" s="56">
        <v>1370</v>
      </c>
      <c r="J345" s="56">
        <v>1233</v>
      </c>
      <c r="K345" s="57">
        <v>1300</v>
      </c>
      <c r="L345" s="59">
        <v>1135.21276595745</v>
      </c>
      <c r="M345" s="59">
        <v>843.142857142857</v>
      </c>
      <c r="N345" s="64">
        <v>1300</v>
      </c>
      <c r="O345" s="64">
        <v>1150</v>
      </c>
      <c r="P345" s="64">
        <v>950</v>
      </c>
      <c r="Q345" s="44" t="s">
        <v>54</v>
      </c>
      <c r="R345" s="70" t="s">
        <v>67</v>
      </c>
      <c r="S345" s="44" t="s">
        <v>1084</v>
      </c>
      <c r="T345" s="43" t="s">
        <v>1105</v>
      </c>
      <c r="U345" s="71">
        <v>33110401902</v>
      </c>
      <c r="V345" s="43" t="s">
        <v>1106</v>
      </c>
      <c r="W345" s="43" t="s">
        <v>43</v>
      </c>
      <c r="X345" s="71" t="s">
        <v>43</v>
      </c>
      <c r="Y345" s="71" t="s">
        <v>40</v>
      </c>
      <c r="Z345" s="48" t="s">
        <v>43</v>
      </c>
      <c r="AA345" s="75">
        <v>1600</v>
      </c>
      <c r="AB345" s="75">
        <v>1440</v>
      </c>
      <c r="AC345" s="80">
        <v>1500</v>
      </c>
      <c r="AD345" s="80">
        <v>1425</v>
      </c>
      <c r="AE345" s="80">
        <v>1210</v>
      </c>
      <c r="AF345" s="79">
        <f t="shared" si="40"/>
        <v>0</v>
      </c>
      <c r="AG345" s="79" t="str">
        <f t="shared" si="41"/>
        <v>尿道部分切除费</v>
      </c>
      <c r="AH345" s="79">
        <f t="shared" ref="AH345:AH408" si="42">IF(AF345&gt;0,_xlfn.MAXIFS(N:N,C:C,AG345),0)+N345</f>
        <v>1300</v>
      </c>
      <c r="AI345" s="79">
        <f t="shared" ref="AI345:AI408" si="43">IF(AF345&gt;0,_xlfn.MAXIFS(O:O,C:C,AG345),0)+O345</f>
        <v>1150</v>
      </c>
      <c r="AJ345" s="79">
        <f t="shared" ref="AJ345:AJ408" si="44">IF(AF345&gt;0,_xlfn.MAXIFS(P:P,C:C,AG345),0)+P345</f>
        <v>950</v>
      </c>
    </row>
    <row r="346" ht="17" customHeight="1" spans="1:36">
      <c r="A346" s="44">
        <v>62</v>
      </c>
      <c r="B346" s="44" t="s">
        <v>1080</v>
      </c>
      <c r="C346" s="44" t="s">
        <v>1081</v>
      </c>
      <c r="D346" s="44" t="s">
        <v>213</v>
      </c>
      <c r="E346" s="44" t="s">
        <v>1082</v>
      </c>
      <c r="F346" s="44" t="s">
        <v>1083</v>
      </c>
      <c r="G346" s="44" t="s">
        <v>40</v>
      </c>
      <c r="H346" s="44"/>
      <c r="I346" s="56">
        <v>1370</v>
      </c>
      <c r="J346" s="56">
        <v>1233</v>
      </c>
      <c r="K346" s="57">
        <v>1300</v>
      </c>
      <c r="L346" s="59">
        <v>1135.21276595745</v>
      </c>
      <c r="M346" s="59">
        <v>843.142857142857</v>
      </c>
      <c r="N346" s="64">
        <v>1300</v>
      </c>
      <c r="O346" s="64">
        <v>1150</v>
      </c>
      <c r="P346" s="64">
        <v>950</v>
      </c>
      <c r="Q346" s="44" t="s">
        <v>54</v>
      </c>
      <c r="R346" s="70" t="s">
        <v>67</v>
      </c>
      <c r="S346" s="44" t="s">
        <v>1084</v>
      </c>
      <c r="T346" s="43" t="s">
        <v>1107</v>
      </c>
      <c r="U346" s="71">
        <v>331104008</v>
      </c>
      <c r="V346" s="43" t="s">
        <v>1108</v>
      </c>
      <c r="W346" s="43" t="s">
        <v>43</v>
      </c>
      <c r="X346" s="71" t="s">
        <v>43</v>
      </c>
      <c r="Y346" s="71" t="s">
        <v>40</v>
      </c>
      <c r="Z346" s="48" t="s">
        <v>43</v>
      </c>
      <c r="AA346" s="75">
        <v>1080</v>
      </c>
      <c r="AB346" s="75">
        <v>970</v>
      </c>
      <c r="AC346" s="80">
        <v>1000</v>
      </c>
      <c r="AD346" s="80">
        <v>960</v>
      </c>
      <c r="AE346" s="80">
        <v>816</v>
      </c>
      <c r="AF346" s="79">
        <f t="shared" si="40"/>
        <v>0</v>
      </c>
      <c r="AG346" s="79" t="str">
        <f t="shared" si="41"/>
        <v>尿道部分切除费</v>
      </c>
      <c r="AH346" s="79">
        <f t="shared" si="42"/>
        <v>1300</v>
      </c>
      <c r="AI346" s="79">
        <f t="shared" si="43"/>
        <v>1150</v>
      </c>
      <c r="AJ346" s="79">
        <f t="shared" si="44"/>
        <v>950</v>
      </c>
    </row>
    <row r="347" ht="17" customHeight="1" spans="1:36">
      <c r="A347" s="44">
        <v>62</v>
      </c>
      <c r="B347" s="44" t="s">
        <v>1080</v>
      </c>
      <c r="C347" s="44" t="s">
        <v>1081</v>
      </c>
      <c r="D347" s="44" t="s">
        <v>213</v>
      </c>
      <c r="E347" s="44" t="s">
        <v>1082</v>
      </c>
      <c r="F347" s="44" t="s">
        <v>1083</v>
      </c>
      <c r="G347" s="44" t="s">
        <v>40</v>
      </c>
      <c r="H347" s="44"/>
      <c r="I347" s="56">
        <v>1370</v>
      </c>
      <c r="J347" s="56">
        <v>1233</v>
      </c>
      <c r="K347" s="57">
        <v>1300</v>
      </c>
      <c r="L347" s="59">
        <v>1135.21276595745</v>
      </c>
      <c r="M347" s="59">
        <v>843.142857142857</v>
      </c>
      <c r="N347" s="64">
        <v>1300</v>
      </c>
      <c r="O347" s="64">
        <v>1150</v>
      </c>
      <c r="P347" s="64">
        <v>950</v>
      </c>
      <c r="Q347" s="44" t="s">
        <v>54</v>
      </c>
      <c r="R347" s="70" t="s">
        <v>67</v>
      </c>
      <c r="S347" s="44" t="s">
        <v>1084</v>
      </c>
      <c r="T347" s="43" t="s">
        <v>1109</v>
      </c>
      <c r="U347" s="71">
        <v>33110400802</v>
      </c>
      <c r="V347" s="43" t="s">
        <v>1110</v>
      </c>
      <c r="W347" s="43" t="s">
        <v>43</v>
      </c>
      <c r="X347" s="71" t="s">
        <v>43</v>
      </c>
      <c r="Y347" s="71" t="s">
        <v>40</v>
      </c>
      <c r="Z347" s="48" t="s">
        <v>43</v>
      </c>
      <c r="AA347" s="75">
        <v>1330</v>
      </c>
      <c r="AB347" s="75">
        <v>1195</v>
      </c>
      <c r="AC347" s="80">
        <v>1250</v>
      </c>
      <c r="AD347" s="80">
        <v>1185</v>
      </c>
      <c r="AE347" s="80">
        <v>1006</v>
      </c>
      <c r="AF347" s="79">
        <f t="shared" si="40"/>
        <v>0</v>
      </c>
      <c r="AG347" s="79" t="str">
        <f t="shared" si="41"/>
        <v>尿道部分切除费</v>
      </c>
      <c r="AH347" s="79">
        <f t="shared" si="42"/>
        <v>1300</v>
      </c>
      <c r="AI347" s="79">
        <f t="shared" si="43"/>
        <v>1150</v>
      </c>
      <c r="AJ347" s="79">
        <f t="shared" si="44"/>
        <v>950</v>
      </c>
    </row>
    <row r="348" ht="17" customHeight="1" spans="1:36">
      <c r="A348" s="81" t="s">
        <v>81</v>
      </c>
      <c r="B348" s="81" t="s">
        <v>1111</v>
      </c>
      <c r="C348" s="81" t="s">
        <v>1112</v>
      </c>
      <c r="D348" s="81" t="s">
        <v>213</v>
      </c>
      <c r="E348" s="81"/>
      <c r="F348" s="81"/>
      <c r="G348" s="81" t="s">
        <v>40</v>
      </c>
      <c r="H348" s="81"/>
      <c r="I348" s="56">
        <v>411</v>
      </c>
      <c r="J348" s="56">
        <v>370</v>
      </c>
      <c r="K348" s="54"/>
      <c r="L348" s="54"/>
      <c r="M348" s="54"/>
      <c r="N348" s="64">
        <v>390</v>
      </c>
      <c r="O348" s="64">
        <v>345</v>
      </c>
      <c r="P348" s="64">
        <v>285</v>
      </c>
      <c r="Q348" s="44" t="s">
        <v>54</v>
      </c>
      <c r="R348" s="69"/>
      <c r="S348" s="44" t="s">
        <v>446</v>
      </c>
      <c r="T348" s="45" t="s">
        <v>1113</v>
      </c>
      <c r="U348" s="45">
        <v>33110402001</v>
      </c>
      <c r="V348" s="45" t="s">
        <v>1114</v>
      </c>
      <c r="W348" s="43" t="s">
        <v>43</v>
      </c>
      <c r="X348" s="71" t="s">
        <v>43</v>
      </c>
      <c r="Y348" s="71" t="s">
        <v>40</v>
      </c>
      <c r="Z348" s="48" t="s">
        <v>43</v>
      </c>
      <c r="AA348" s="75">
        <v>815</v>
      </c>
      <c r="AB348" s="75">
        <v>735</v>
      </c>
      <c r="AC348" s="80">
        <v>815</v>
      </c>
      <c r="AD348" s="80">
        <v>780</v>
      </c>
      <c r="AE348" s="80">
        <v>665</v>
      </c>
      <c r="AF348" s="79">
        <f t="shared" si="40"/>
        <v>11</v>
      </c>
      <c r="AG348" s="79" t="str">
        <f t="shared" si="41"/>
        <v>尿道部分切除费</v>
      </c>
      <c r="AH348" s="79">
        <f t="shared" si="42"/>
        <v>1690</v>
      </c>
      <c r="AI348" s="79">
        <f t="shared" si="43"/>
        <v>1495</v>
      </c>
      <c r="AJ348" s="79">
        <f t="shared" si="44"/>
        <v>1235</v>
      </c>
    </row>
    <row r="349" ht="17" customHeight="1" spans="1:36">
      <c r="A349" s="81" t="s">
        <v>81</v>
      </c>
      <c r="B349" s="81" t="s">
        <v>1111</v>
      </c>
      <c r="C349" s="81" t="s">
        <v>1112</v>
      </c>
      <c r="D349" s="81" t="s">
        <v>213</v>
      </c>
      <c r="E349" s="81"/>
      <c r="F349" s="81"/>
      <c r="G349" s="81" t="s">
        <v>40</v>
      </c>
      <c r="H349" s="81"/>
      <c r="I349" s="56">
        <v>411</v>
      </c>
      <c r="J349" s="56">
        <v>370</v>
      </c>
      <c r="K349" s="54"/>
      <c r="L349" s="54"/>
      <c r="M349" s="54"/>
      <c r="N349" s="64">
        <v>390</v>
      </c>
      <c r="O349" s="64">
        <v>345</v>
      </c>
      <c r="P349" s="64">
        <v>285</v>
      </c>
      <c r="Q349" s="44" t="s">
        <v>54</v>
      </c>
      <c r="R349" s="69"/>
      <c r="S349" s="44" t="s">
        <v>446</v>
      </c>
      <c r="T349" s="45" t="s">
        <v>1115</v>
      </c>
      <c r="U349" s="45">
        <v>33110401001</v>
      </c>
      <c r="V349" s="45" t="s">
        <v>1116</v>
      </c>
      <c r="W349" s="43" t="s">
        <v>43</v>
      </c>
      <c r="X349" s="71" t="s">
        <v>43</v>
      </c>
      <c r="Y349" s="71" t="s">
        <v>40</v>
      </c>
      <c r="Z349" s="48" t="s">
        <v>43</v>
      </c>
      <c r="AA349" s="75">
        <v>1405</v>
      </c>
      <c r="AB349" s="75">
        <v>1260</v>
      </c>
      <c r="AC349" s="80">
        <v>1300</v>
      </c>
      <c r="AD349" s="80">
        <v>1250</v>
      </c>
      <c r="AE349" s="80">
        <v>1065</v>
      </c>
      <c r="AF349" s="79">
        <f t="shared" si="40"/>
        <v>11</v>
      </c>
      <c r="AG349" s="79" t="str">
        <f t="shared" si="41"/>
        <v>尿道部分切除费</v>
      </c>
      <c r="AH349" s="79">
        <f t="shared" si="42"/>
        <v>1690</v>
      </c>
      <c r="AI349" s="79">
        <f t="shared" si="43"/>
        <v>1495</v>
      </c>
      <c r="AJ349" s="79">
        <f t="shared" si="44"/>
        <v>1235</v>
      </c>
    </row>
    <row r="350" ht="17" customHeight="1" spans="1:36">
      <c r="A350" s="81" t="s">
        <v>81</v>
      </c>
      <c r="B350" s="81" t="s">
        <v>1111</v>
      </c>
      <c r="C350" s="81" t="s">
        <v>1112</v>
      </c>
      <c r="D350" s="81" t="s">
        <v>213</v>
      </c>
      <c r="E350" s="81"/>
      <c r="F350" s="81"/>
      <c r="G350" s="81" t="s">
        <v>40</v>
      </c>
      <c r="H350" s="81"/>
      <c r="I350" s="56">
        <v>411</v>
      </c>
      <c r="J350" s="56">
        <v>370</v>
      </c>
      <c r="K350" s="54"/>
      <c r="L350" s="54"/>
      <c r="M350" s="54"/>
      <c r="N350" s="64">
        <v>390</v>
      </c>
      <c r="O350" s="64">
        <v>345</v>
      </c>
      <c r="P350" s="64">
        <v>285</v>
      </c>
      <c r="Q350" s="44" t="s">
        <v>54</v>
      </c>
      <c r="R350" s="69"/>
      <c r="S350" s="44" t="s">
        <v>446</v>
      </c>
      <c r="T350" s="45" t="s">
        <v>1117</v>
      </c>
      <c r="U350" s="45">
        <v>33110400701</v>
      </c>
      <c r="V350" s="45" t="s">
        <v>1118</v>
      </c>
      <c r="W350" s="43" t="s">
        <v>43</v>
      </c>
      <c r="X350" s="71" t="s">
        <v>43</v>
      </c>
      <c r="Y350" s="71" t="s">
        <v>40</v>
      </c>
      <c r="Z350" s="48" t="s">
        <v>43</v>
      </c>
      <c r="AA350" s="75">
        <v>2105</v>
      </c>
      <c r="AB350" s="75">
        <v>1900</v>
      </c>
      <c r="AC350" s="80">
        <v>1950</v>
      </c>
      <c r="AD350" s="80">
        <v>1870</v>
      </c>
      <c r="AE350" s="80">
        <v>1590</v>
      </c>
      <c r="AF350" s="79">
        <f t="shared" si="40"/>
        <v>11</v>
      </c>
      <c r="AG350" s="79" t="str">
        <f t="shared" si="41"/>
        <v>尿道部分切除费</v>
      </c>
      <c r="AH350" s="79">
        <f t="shared" si="42"/>
        <v>1690</v>
      </c>
      <c r="AI350" s="79">
        <f t="shared" si="43"/>
        <v>1495</v>
      </c>
      <c r="AJ350" s="79">
        <f t="shared" si="44"/>
        <v>1235</v>
      </c>
    </row>
    <row r="351" ht="17" customHeight="1" spans="1:36">
      <c r="A351" s="81" t="s">
        <v>81</v>
      </c>
      <c r="B351" s="81" t="s">
        <v>1111</v>
      </c>
      <c r="C351" s="81" t="s">
        <v>1112</v>
      </c>
      <c r="D351" s="81" t="s">
        <v>213</v>
      </c>
      <c r="E351" s="81"/>
      <c r="F351" s="81"/>
      <c r="G351" s="81" t="s">
        <v>40</v>
      </c>
      <c r="H351" s="81"/>
      <c r="I351" s="56">
        <v>411</v>
      </c>
      <c r="J351" s="56">
        <v>370</v>
      </c>
      <c r="K351" s="54"/>
      <c r="L351" s="54"/>
      <c r="M351" s="54"/>
      <c r="N351" s="64">
        <v>390</v>
      </c>
      <c r="O351" s="64">
        <v>345</v>
      </c>
      <c r="P351" s="64">
        <v>285</v>
      </c>
      <c r="Q351" s="44" t="s">
        <v>54</v>
      </c>
      <c r="R351" s="69"/>
      <c r="S351" s="44" t="s">
        <v>446</v>
      </c>
      <c r="T351" s="45" t="s">
        <v>1119</v>
      </c>
      <c r="U351" s="45">
        <v>33110400703</v>
      </c>
      <c r="V351" s="45" t="s">
        <v>1120</v>
      </c>
      <c r="W351" s="43" t="s">
        <v>43</v>
      </c>
      <c r="X351" s="71" t="s">
        <v>43</v>
      </c>
      <c r="Y351" s="71" t="s">
        <v>40</v>
      </c>
      <c r="Z351" s="48" t="s">
        <v>43</v>
      </c>
      <c r="AA351" s="75">
        <v>2355</v>
      </c>
      <c r="AB351" s="75">
        <v>2125</v>
      </c>
      <c r="AC351" s="80">
        <v>2200</v>
      </c>
      <c r="AD351" s="80">
        <v>2095</v>
      </c>
      <c r="AE351" s="80">
        <v>1780</v>
      </c>
      <c r="AF351" s="79">
        <f t="shared" si="40"/>
        <v>11</v>
      </c>
      <c r="AG351" s="79" t="str">
        <f t="shared" si="41"/>
        <v>尿道部分切除费</v>
      </c>
      <c r="AH351" s="79">
        <f t="shared" si="42"/>
        <v>1690</v>
      </c>
      <c r="AI351" s="79">
        <f t="shared" si="43"/>
        <v>1495</v>
      </c>
      <c r="AJ351" s="79">
        <f t="shared" si="44"/>
        <v>1235</v>
      </c>
    </row>
    <row r="352" ht="17" customHeight="1" spans="1:36">
      <c r="A352" s="81" t="s">
        <v>81</v>
      </c>
      <c r="B352" s="81" t="s">
        <v>1111</v>
      </c>
      <c r="C352" s="81" t="s">
        <v>1112</v>
      </c>
      <c r="D352" s="81" t="s">
        <v>213</v>
      </c>
      <c r="E352" s="81"/>
      <c r="F352" s="81"/>
      <c r="G352" s="81" t="s">
        <v>40</v>
      </c>
      <c r="H352" s="81"/>
      <c r="I352" s="56">
        <v>411</v>
      </c>
      <c r="J352" s="56">
        <v>370</v>
      </c>
      <c r="K352" s="54"/>
      <c r="L352" s="54"/>
      <c r="M352" s="54"/>
      <c r="N352" s="64">
        <v>390</v>
      </c>
      <c r="O352" s="64">
        <v>345</v>
      </c>
      <c r="P352" s="64">
        <v>285</v>
      </c>
      <c r="Q352" s="44" t="s">
        <v>54</v>
      </c>
      <c r="R352" s="69"/>
      <c r="S352" s="44" t="s">
        <v>446</v>
      </c>
      <c r="T352" s="45" t="s">
        <v>1121</v>
      </c>
      <c r="U352" s="45">
        <v>33110401201</v>
      </c>
      <c r="V352" s="45" t="s">
        <v>1122</v>
      </c>
      <c r="W352" s="43" t="s">
        <v>43</v>
      </c>
      <c r="X352" s="71" t="s">
        <v>43</v>
      </c>
      <c r="Y352" s="71" t="s">
        <v>40</v>
      </c>
      <c r="Z352" s="48" t="s">
        <v>43</v>
      </c>
      <c r="AA352" s="75">
        <v>1755</v>
      </c>
      <c r="AB352" s="75">
        <v>1580</v>
      </c>
      <c r="AC352" s="80">
        <v>1625</v>
      </c>
      <c r="AD352" s="80">
        <v>1560</v>
      </c>
      <c r="AE352" s="80">
        <v>1325</v>
      </c>
      <c r="AF352" s="79">
        <f t="shared" si="40"/>
        <v>11</v>
      </c>
      <c r="AG352" s="79" t="str">
        <f t="shared" si="41"/>
        <v>尿道部分切除费</v>
      </c>
      <c r="AH352" s="79">
        <f t="shared" si="42"/>
        <v>1690</v>
      </c>
      <c r="AI352" s="79">
        <f t="shared" si="43"/>
        <v>1495</v>
      </c>
      <c r="AJ352" s="79">
        <f t="shared" si="44"/>
        <v>1235</v>
      </c>
    </row>
    <row r="353" ht="17" customHeight="1" spans="1:36">
      <c r="A353" s="81" t="s">
        <v>81</v>
      </c>
      <c r="B353" s="81" t="s">
        <v>1111</v>
      </c>
      <c r="C353" s="81" t="s">
        <v>1112</v>
      </c>
      <c r="D353" s="81" t="s">
        <v>213</v>
      </c>
      <c r="E353" s="81"/>
      <c r="F353" s="81"/>
      <c r="G353" s="81" t="s">
        <v>40</v>
      </c>
      <c r="H353" s="81"/>
      <c r="I353" s="56">
        <v>411</v>
      </c>
      <c r="J353" s="56">
        <v>370</v>
      </c>
      <c r="K353" s="54"/>
      <c r="L353" s="54"/>
      <c r="M353" s="54"/>
      <c r="N353" s="64">
        <v>390</v>
      </c>
      <c r="O353" s="64">
        <v>345</v>
      </c>
      <c r="P353" s="64">
        <v>285</v>
      </c>
      <c r="Q353" s="44" t="s">
        <v>54</v>
      </c>
      <c r="R353" s="69"/>
      <c r="S353" s="44" t="s">
        <v>446</v>
      </c>
      <c r="T353" s="45" t="s">
        <v>1123</v>
      </c>
      <c r="U353" s="45">
        <v>33110400901</v>
      </c>
      <c r="V353" s="45" t="s">
        <v>1124</v>
      </c>
      <c r="W353" s="43" t="s">
        <v>43</v>
      </c>
      <c r="X353" s="71" t="s">
        <v>43</v>
      </c>
      <c r="Y353" s="71" t="s">
        <v>40</v>
      </c>
      <c r="Z353" s="48" t="s">
        <v>43</v>
      </c>
      <c r="AA353" s="75">
        <v>1935</v>
      </c>
      <c r="AB353" s="75">
        <v>1740</v>
      </c>
      <c r="AC353" s="80">
        <v>1790</v>
      </c>
      <c r="AD353" s="80">
        <v>1715</v>
      </c>
      <c r="AE353" s="80">
        <v>1460</v>
      </c>
      <c r="AF353" s="79">
        <f t="shared" si="40"/>
        <v>11</v>
      </c>
      <c r="AG353" s="79" t="str">
        <f t="shared" si="41"/>
        <v>尿道部分切除费</v>
      </c>
      <c r="AH353" s="79">
        <f t="shared" si="42"/>
        <v>1690</v>
      </c>
      <c r="AI353" s="79">
        <f t="shared" si="43"/>
        <v>1495</v>
      </c>
      <c r="AJ353" s="79">
        <f t="shared" si="44"/>
        <v>1235</v>
      </c>
    </row>
    <row r="354" ht="17" customHeight="1" spans="1:36">
      <c r="A354" s="81" t="s">
        <v>81</v>
      </c>
      <c r="B354" s="81" t="s">
        <v>1111</v>
      </c>
      <c r="C354" s="81" t="s">
        <v>1112</v>
      </c>
      <c r="D354" s="81" t="s">
        <v>213</v>
      </c>
      <c r="E354" s="81"/>
      <c r="F354" s="81"/>
      <c r="G354" s="81" t="s">
        <v>40</v>
      </c>
      <c r="H354" s="81"/>
      <c r="I354" s="56">
        <v>411</v>
      </c>
      <c r="J354" s="56">
        <v>370</v>
      </c>
      <c r="K354" s="54"/>
      <c r="L354" s="54"/>
      <c r="M354" s="54"/>
      <c r="N354" s="64">
        <v>390</v>
      </c>
      <c r="O354" s="64">
        <v>345</v>
      </c>
      <c r="P354" s="64">
        <v>285</v>
      </c>
      <c r="Q354" s="44" t="s">
        <v>54</v>
      </c>
      <c r="R354" s="69"/>
      <c r="S354" s="44" t="s">
        <v>446</v>
      </c>
      <c r="T354" s="45" t="s">
        <v>1125</v>
      </c>
      <c r="U354" s="45">
        <v>33110400903</v>
      </c>
      <c r="V354" s="45" t="s">
        <v>1126</v>
      </c>
      <c r="W354" s="43" t="s">
        <v>43</v>
      </c>
      <c r="X354" s="71" t="s">
        <v>43</v>
      </c>
      <c r="Y354" s="71" t="s">
        <v>40</v>
      </c>
      <c r="Z354" s="48" t="s">
        <v>43</v>
      </c>
      <c r="AA354" s="75">
        <v>2185</v>
      </c>
      <c r="AB354" s="75">
        <v>1965</v>
      </c>
      <c r="AC354" s="80">
        <v>2040</v>
      </c>
      <c r="AD354" s="80">
        <v>1940</v>
      </c>
      <c r="AE354" s="80">
        <v>1650</v>
      </c>
      <c r="AF354" s="79">
        <f t="shared" si="40"/>
        <v>11</v>
      </c>
      <c r="AG354" s="79" t="str">
        <f t="shared" si="41"/>
        <v>尿道部分切除费</v>
      </c>
      <c r="AH354" s="79">
        <f t="shared" si="42"/>
        <v>1690</v>
      </c>
      <c r="AI354" s="79">
        <f t="shared" si="43"/>
        <v>1495</v>
      </c>
      <c r="AJ354" s="79">
        <f t="shared" si="44"/>
        <v>1235</v>
      </c>
    </row>
    <row r="355" ht="17" customHeight="1" spans="1:36">
      <c r="A355" s="81" t="s">
        <v>81</v>
      </c>
      <c r="B355" s="81" t="s">
        <v>1111</v>
      </c>
      <c r="C355" s="81" t="s">
        <v>1112</v>
      </c>
      <c r="D355" s="81" t="s">
        <v>213</v>
      </c>
      <c r="E355" s="81"/>
      <c r="F355" s="81"/>
      <c r="G355" s="81" t="s">
        <v>40</v>
      </c>
      <c r="H355" s="81"/>
      <c r="I355" s="56">
        <v>411</v>
      </c>
      <c r="J355" s="56">
        <v>370</v>
      </c>
      <c r="K355" s="54"/>
      <c r="L355" s="54"/>
      <c r="M355" s="54"/>
      <c r="N355" s="64">
        <v>390</v>
      </c>
      <c r="O355" s="64">
        <v>345</v>
      </c>
      <c r="P355" s="64">
        <v>285</v>
      </c>
      <c r="Q355" s="44" t="s">
        <v>54</v>
      </c>
      <c r="R355" s="69"/>
      <c r="S355" s="44" t="s">
        <v>446</v>
      </c>
      <c r="T355" s="45" t="s">
        <v>1127</v>
      </c>
      <c r="U355" s="45">
        <v>33110400601</v>
      </c>
      <c r="V355" s="45" t="s">
        <v>1128</v>
      </c>
      <c r="W355" s="43" t="s">
        <v>43</v>
      </c>
      <c r="X355" s="71" t="s">
        <v>43</v>
      </c>
      <c r="Y355" s="71" t="s">
        <v>40</v>
      </c>
      <c r="Z355" s="48" t="s">
        <v>43</v>
      </c>
      <c r="AA355" s="75">
        <v>1755</v>
      </c>
      <c r="AB355" s="75">
        <v>1580</v>
      </c>
      <c r="AC355" s="80">
        <v>1625</v>
      </c>
      <c r="AD355" s="80">
        <v>1560</v>
      </c>
      <c r="AE355" s="80">
        <v>1325</v>
      </c>
      <c r="AF355" s="79">
        <f t="shared" si="40"/>
        <v>11</v>
      </c>
      <c r="AG355" s="79" t="str">
        <f t="shared" si="41"/>
        <v>尿道部分切除费</v>
      </c>
      <c r="AH355" s="79">
        <f t="shared" si="42"/>
        <v>1690</v>
      </c>
      <c r="AI355" s="79">
        <f t="shared" si="43"/>
        <v>1495</v>
      </c>
      <c r="AJ355" s="79">
        <f t="shared" si="44"/>
        <v>1235</v>
      </c>
    </row>
    <row r="356" ht="17" customHeight="1" spans="1:36">
      <c r="A356" s="81" t="s">
        <v>81</v>
      </c>
      <c r="B356" s="81" t="s">
        <v>1111</v>
      </c>
      <c r="C356" s="81" t="s">
        <v>1112</v>
      </c>
      <c r="D356" s="81" t="s">
        <v>213</v>
      </c>
      <c r="E356" s="81"/>
      <c r="F356" s="81"/>
      <c r="G356" s="81" t="s">
        <v>40</v>
      </c>
      <c r="H356" s="81"/>
      <c r="I356" s="56">
        <v>411</v>
      </c>
      <c r="J356" s="56">
        <v>370</v>
      </c>
      <c r="K356" s="54"/>
      <c r="L356" s="54"/>
      <c r="M356" s="54"/>
      <c r="N356" s="64">
        <v>390</v>
      </c>
      <c r="O356" s="64">
        <v>345</v>
      </c>
      <c r="P356" s="64">
        <v>285</v>
      </c>
      <c r="Q356" s="44" t="s">
        <v>54</v>
      </c>
      <c r="R356" s="69"/>
      <c r="S356" s="44" t="s">
        <v>446</v>
      </c>
      <c r="T356" s="45" t="s">
        <v>1129</v>
      </c>
      <c r="U356" s="45">
        <v>33110400603</v>
      </c>
      <c r="V356" s="45" t="s">
        <v>1130</v>
      </c>
      <c r="W356" s="43" t="s">
        <v>43</v>
      </c>
      <c r="X356" s="71" t="s">
        <v>43</v>
      </c>
      <c r="Y356" s="71" t="s">
        <v>40</v>
      </c>
      <c r="Z356" s="48" t="s">
        <v>43</v>
      </c>
      <c r="AA356" s="75">
        <v>2005</v>
      </c>
      <c r="AB356" s="75">
        <v>1805</v>
      </c>
      <c r="AC356" s="80">
        <v>1875</v>
      </c>
      <c r="AD356" s="80">
        <v>1785</v>
      </c>
      <c r="AE356" s="80">
        <v>1515</v>
      </c>
      <c r="AF356" s="79">
        <f t="shared" si="40"/>
        <v>11</v>
      </c>
      <c r="AG356" s="79" t="str">
        <f t="shared" si="41"/>
        <v>尿道部分切除费</v>
      </c>
      <c r="AH356" s="79">
        <f t="shared" si="42"/>
        <v>1690</v>
      </c>
      <c r="AI356" s="79">
        <f t="shared" si="43"/>
        <v>1495</v>
      </c>
      <c r="AJ356" s="79">
        <f t="shared" si="44"/>
        <v>1235</v>
      </c>
    </row>
    <row r="357" ht="17" customHeight="1" spans="1:36">
      <c r="A357" s="81" t="s">
        <v>81</v>
      </c>
      <c r="B357" s="81" t="s">
        <v>1111</v>
      </c>
      <c r="C357" s="81" t="s">
        <v>1112</v>
      </c>
      <c r="D357" s="81" t="s">
        <v>213</v>
      </c>
      <c r="E357" s="81"/>
      <c r="F357" s="81"/>
      <c r="G357" s="81" t="s">
        <v>40</v>
      </c>
      <c r="H357" s="81"/>
      <c r="I357" s="56">
        <v>411</v>
      </c>
      <c r="J357" s="56">
        <v>370</v>
      </c>
      <c r="K357" s="54"/>
      <c r="L357" s="54"/>
      <c r="M357" s="54"/>
      <c r="N357" s="64">
        <v>390</v>
      </c>
      <c r="O357" s="64">
        <v>345</v>
      </c>
      <c r="P357" s="64">
        <v>285</v>
      </c>
      <c r="Q357" s="44" t="s">
        <v>54</v>
      </c>
      <c r="R357" s="69"/>
      <c r="S357" s="44" t="s">
        <v>446</v>
      </c>
      <c r="T357" s="45" t="s">
        <v>1131</v>
      </c>
      <c r="U357" s="45">
        <v>33110401901</v>
      </c>
      <c r="V357" s="45" t="s">
        <v>1132</v>
      </c>
      <c r="W357" s="43" t="s">
        <v>43</v>
      </c>
      <c r="X357" s="71" t="s">
        <v>43</v>
      </c>
      <c r="Y357" s="71" t="s">
        <v>40</v>
      </c>
      <c r="Z357" s="48" t="s">
        <v>43</v>
      </c>
      <c r="AA357" s="75">
        <v>1755</v>
      </c>
      <c r="AB357" s="75">
        <v>1580</v>
      </c>
      <c r="AC357" s="80">
        <v>1625</v>
      </c>
      <c r="AD357" s="80">
        <v>1560</v>
      </c>
      <c r="AE357" s="80">
        <v>1325</v>
      </c>
      <c r="AF357" s="79">
        <f t="shared" si="40"/>
        <v>11</v>
      </c>
      <c r="AG357" s="79" t="str">
        <f t="shared" si="41"/>
        <v>尿道部分切除费</v>
      </c>
      <c r="AH357" s="79">
        <f t="shared" si="42"/>
        <v>1690</v>
      </c>
      <c r="AI357" s="79">
        <f t="shared" si="43"/>
        <v>1495</v>
      </c>
      <c r="AJ357" s="79">
        <f t="shared" si="44"/>
        <v>1235</v>
      </c>
    </row>
    <row r="358" ht="17" customHeight="1" spans="1:36">
      <c r="A358" s="81" t="s">
        <v>81</v>
      </c>
      <c r="B358" s="81" t="s">
        <v>1111</v>
      </c>
      <c r="C358" s="81" t="s">
        <v>1112</v>
      </c>
      <c r="D358" s="81" t="s">
        <v>213</v>
      </c>
      <c r="E358" s="81"/>
      <c r="F358" s="81"/>
      <c r="G358" s="81" t="s">
        <v>40</v>
      </c>
      <c r="H358" s="81"/>
      <c r="I358" s="56">
        <v>411</v>
      </c>
      <c r="J358" s="56">
        <v>370</v>
      </c>
      <c r="K358" s="54"/>
      <c r="L358" s="54"/>
      <c r="M358" s="54"/>
      <c r="N358" s="64">
        <v>390</v>
      </c>
      <c r="O358" s="64">
        <v>345</v>
      </c>
      <c r="P358" s="64">
        <v>285</v>
      </c>
      <c r="Q358" s="44" t="s">
        <v>54</v>
      </c>
      <c r="R358" s="69"/>
      <c r="S358" s="44" t="s">
        <v>446</v>
      </c>
      <c r="T358" s="45" t="s">
        <v>1133</v>
      </c>
      <c r="U358" s="45">
        <v>33110401903</v>
      </c>
      <c r="V358" s="45" t="s">
        <v>1134</v>
      </c>
      <c r="W358" s="43" t="s">
        <v>43</v>
      </c>
      <c r="X358" s="71" t="s">
        <v>43</v>
      </c>
      <c r="Y358" s="71" t="s">
        <v>40</v>
      </c>
      <c r="Z358" s="48" t="s">
        <v>43</v>
      </c>
      <c r="AA358" s="75">
        <v>2005</v>
      </c>
      <c r="AB358" s="75">
        <v>1805</v>
      </c>
      <c r="AC358" s="80">
        <v>1875</v>
      </c>
      <c r="AD358" s="80">
        <v>1785</v>
      </c>
      <c r="AE358" s="80">
        <v>1515</v>
      </c>
      <c r="AF358" s="79">
        <f t="shared" si="40"/>
        <v>11</v>
      </c>
      <c r="AG358" s="79" t="str">
        <f t="shared" si="41"/>
        <v>尿道部分切除费</v>
      </c>
      <c r="AH358" s="79">
        <f t="shared" si="42"/>
        <v>1690</v>
      </c>
      <c r="AI358" s="79">
        <f t="shared" si="43"/>
        <v>1495</v>
      </c>
      <c r="AJ358" s="79">
        <f t="shared" si="44"/>
        <v>1235</v>
      </c>
    </row>
    <row r="359" ht="17" customHeight="1" spans="1:36">
      <c r="A359" s="81" t="s">
        <v>81</v>
      </c>
      <c r="B359" s="81" t="s">
        <v>1111</v>
      </c>
      <c r="C359" s="81" t="s">
        <v>1112</v>
      </c>
      <c r="D359" s="81" t="s">
        <v>213</v>
      </c>
      <c r="E359" s="81"/>
      <c r="F359" s="81"/>
      <c r="G359" s="81" t="s">
        <v>40</v>
      </c>
      <c r="H359" s="81"/>
      <c r="I359" s="56">
        <v>411</v>
      </c>
      <c r="J359" s="56">
        <v>370</v>
      </c>
      <c r="K359" s="54"/>
      <c r="L359" s="54"/>
      <c r="M359" s="54"/>
      <c r="N359" s="64">
        <v>390</v>
      </c>
      <c r="O359" s="64">
        <v>345</v>
      </c>
      <c r="P359" s="64">
        <v>285</v>
      </c>
      <c r="Q359" s="44" t="s">
        <v>54</v>
      </c>
      <c r="R359" s="69"/>
      <c r="S359" s="44" t="s">
        <v>446</v>
      </c>
      <c r="T359" s="45" t="s">
        <v>1135</v>
      </c>
      <c r="U359" s="45">
        <v>33110400801</v>
      </c>
      <c r="V359" s="45" t="s">
        <v>1136</v>
      </c>
      <c r="W359" s="43" t="s">
        <v>43</v>
      </c>
      <c r="X359" s="71" t="s">
        <v>43</v>
      </c>
      <c r="Y359" s="71" t="s">
        <v>40</v>
      </c>
      <c r="Z359" s="48" t="s">
        <v>43</v>
      </c>
      <c r="AA359" s="75">
        <v>1405</v>
      </c>
      <c r="AB359" s="75">
        <v>1260</v>
      </c>
      <c r="AC359" s="80">
        <v>1300</v>
      </c>
      <c r="AD359" s="80">
        <v>1250</v>
      </c>
      <c r="AE359" s="80">
        <v>1065</v>
      </c>
      <c r="AF359" s="79">
        <f t="shared" si="40"/>
        <v>11</v>
      </c>
      <c r="AG359" s="79" t="str">
        <f t="shared" si="41"/>
        <v>尿道部分切除费</v>
      </c>
      <c r="AH359" s="79">
        <f t="shared" si="42"/>
        <v>1690</v>
      </c>
      <c r="AI359" s="79">
        <f t="shared" si="43"/>
        <v>1495</v>
      </c>
      <c r="AJ359" s="79">
        <f t="shared" si="44"/>
        <v>1235</v>
      </c>
    </row>
    <row r="360" ht="17" customHeight="1" spans="1:36">
      <c r="A360" s="81" t="s">
        <v>81</v>
      </c>
      <c r="B360" s="81" t="s">
        <v>1111</v>
      </c>
      <c r="C360" s="81" t="s">
        <v>1112</v>
      </c>
      <c r="D360" s="81" t="s">
        <v>213</v>
      </c>
      <c r="E360" s="81"/>
      <c r="F360" s="81"/>
      <c r="G360" s="81" t="s">
        <v>40</v>
      </c>
      <c r="H360" s="81"/>
      <c r="I360" s="56">
        <v>411</v>
      </c>
      <c r="J360" s="56">
        <v>370</v>
      </c>
      <c r="K360" s="54"/>
      <c r="L360" s="54"/>
      <c r="M360" s="54"/>
      <c r="N360" s="64">
        <v>390</v>
      </c>
      <c r="O360" s="64">
        <v>345</v>
      </c>
      <c r="P360" s="64">
        <v>285</v>
      </c>
      <c r="Q360" s="44" t="s">
        <v>54</v>
      </c>
      <c r="R360" s="69"/>
      <c r="S360" s="44" t="s">
        <v>446</v>
      </c>
      <c r="T360" s="45" t="s">
        <v>1137</v>
      </c>
      <c r="U360" s="45">
        <v>33110400803</v>
      </c>
      <c r="V360" s="45" t="s">
        <v>1138</v>
      </c>
      <c r="W360" s="43" t="s">
        <v>43</v>
      </c>
      <c r="X360" s="71" t="s">
        <v>43</v>
      </c>
      <c r="Y360" s="71" t="s">
        <v>40</v>
      </c>
      <c r="Z360" s="48" t="s">
        <v>43</v>
      </c>
      <c r="AA360" s="75">
        <v>1655</v>
      </c>
      <c r="AB360" s="75">
        <v>1485</v>
      </c>
      <c r="AC360" s="80">
        <v>1550</v>
      </c>
      <c r="AD360" s="80">
        <v>1475</v>
      </c>
      <c r="AE360" s="80">
        <v>1255</v>
      </c>
      <c r="AF360" s="79">
        <f t="shared" si="40"/>
        <v>11</v>
      </c>
      <c r="AG360" s="79" t="str">
        <f t="shared" si="41"/>
        <v>尿道部分切除费</v>
      </c>
      <c r="AH360" s="79">
        <f t="shared" si="42"/>
        <v>1690</v>
      </c>
      <c r="AI360" s="79">
        <f t="shared" si="43"/>
        <v>1495</v>
      </c>
      <c r="AJ360" s="79">
        <f t="shared" si="44"/>
        <v>1235</v>
      </c>
    </row>
    <row r="361" ht="17" customHeight="1" spans="1:36">
      <c r="A361" s="44">
        <v>63</v>
      </c>
      <c r="B361" s="44" t="s">
        <v>1139</v>
      </c>
      <c r="C361" s="44" t="s">
        <v>1140</v>
      </c>
      <c r="D361" s="44" t="s">
        <v>213</v>
      </c>
      <c r="E361" s="44" t="s">
        <v>1141</v>
      </c>
      <c r="F361" s="44" t="s">
        <v>1142</v>
      </c>
      <c r="G361" s="44" t="s">
        <v>40</v>
      </c>
      <c r="H361" s="49"/>
      <c r="I361" s="56">
        <v>2160</v>
      </c>
      <c r="J361" s="56">
        <v>1944</v>
      </c>
      <c r="K361" s="55"/>
      <c r="L361" s="57">
        <v>2505</v>
      </c>
      <c r="M361" s="55"/>
      <c r="N361" s="64">
        <v>2050</v>
      </c>
      <c r="O361" s="64">
        <v>1850</v>
      </c>
      <c r="P361" s="64">
        <v>1570</v>
      </c>
      <c r="Q361" s="44" t="s">
        <v>54</v>
      </c>
      <c r="R361" s="70" t="s">
        <v>67</v>
      </c>
      <c r="S361" s="44" t="s">
        <v>1143</v>
      </c>
      <c r="T361" s="43" t="s">
        <v>1030</v>
      </c>
      <c r="U361" s="71">
        <v>331103007</v>
      </c>
      <c r="V361" s="43" t="s">
        <v>1031</v>
      </c>
      <c r="W361" s="43" t="s">
        <v>43</v>
      </c>
      <c r="X361" s="71" t="s">
        <v>43</v>
      </c>
      <c r="Y361" s="71" t="s">
        <v>40</v>
      </c>
      <c r="Z361" s="48" t="s">
        <v>43</v>
      </c>
      <c r="AA361" s="75">
        <v>3840</v>
      </c>
      <c r="AB361" s="75">
        <v>3460</v>
      </c>
      <c r="AC361" s="80">
        <v>3380</v>
      </c>
      <c r="AD361" s="80">
        <v>3040</v>
      </c>
      <c r="AE361" s="80">
        <v>2580</v>
      </c>
      <c r="AF361" s="79">
        <f t="shared" si="40"/>
        <v>0</v>
      </c>
      <c r="AG361" s="79" t="str">
        <f t="shared" si="41"/>
        <v>尿道全切除费</v>
      </c>
      <c r="AH361" s="79">
        <f t="shared" si="42"/>
        <v>2050</v>
      </c>
      <c r="AI361" s="79">
        <f t="shared" si="43"/>
        <v>1850</v>
      </c>
      <c r="AJ361" s="79">
        <f t="shared" si="44"/>
        <v>1570</v>
      </c>
    </row>
    <row r="362" ht="17" customHeight="1" spans="1:36">
      <c r="A362" s="44">
        <v>63</v>
      </c>
      <c r="B362" s="44" t="s">
        <v>1139</v>
      </c>
      <c r="C362" s="44" t="s">
        <v>1140</v>
      </c>
      <c r="D362" s="44" t="s">
        <v>213</v>
      </c>
      <c r="E362" s="44" t="s">
        <v>1141</v>
      </c>
      <c r="F362" s="44" t="s">
        <v>1142</v>
      </c>
      <c r="G362" s="44" t="s">
        <v>40</v>
      </c>
      <c r="H362" s="49"/>
      <c r="I362" s="56">
        <v>2160</v>
      </c>
      <c r="J362" s="56">
        <v>1944</v>
      </c>
      <c r="K362" s="55"/>
      <c r="L362" s="57">
        <v>2505</v>
      </c>
      <c r="M362" s="55"/>
      <c r="N362" s="64">
        <v>2050</v>
      </c>
      <c r="O362" s="64">
        <v>1850</v>
      </c>
      <c r="P362" s="64">
        <v>1570</v>
      </c>
      <c r="Q362" s="44" t="s">
        <v>54</v>
      </c>
      <c r="R362" s="70" t="s">
        <v>67</v>
      </c>
      <c r="S362" s="44" t="s">
        <v>1143</v>
      </c>
      <c r="T362" s="43" t="s">
        <v>1032</v>
      </c>
      <c r="U362" s="71">
        <v>33110300702</v>
      </c>
      <c r="V362" s="43" t="s">
        <v>1033</v>
      </c>
      <c r="W362" s="43" t="s">
        <v>43</v>
      </c>
      <c r="X362" s="71" t="s">
        <v>43</v>
      </c>
      <c r="Y362" s="71" t="s">
        <v>40</v>
      </c>
      <c r="Z362" s="48" t="s">
        <v>43</v>
      </c>
      <c r="AA362" s="75">
        <v>4640</v>
      </c>
      <c r="AB362" s="75">
        <v>4180</v>
      </c>
      <c r="AC362" s="80">
        <v>4005</v>
      </c>
      <c r="AD362" s="80">
        <v>3640</v>
      </c>
      <c r="AE362" s="80">
        <v>3090</v>
      </c>
      <c r="AF362" s="79">
        <f t="shared" si="40"/>
        <v>0</v>
      </c>
      <c r="AG362" s="79" t="str">
        <f t="shared" si="41"/>
        <v>尿道全切除费</v>
      </c>
      <c r="AH362" s="79">
        <f t="shared" si="42"/>
        <v>2050</v>
      </c>
      <c r="AI362" s="79">
        <f t="shared" si="43"/>
        <v>1850</v>
      </c>
      <c r="AJ362" s="79">
        <f t="shared" si="44"/>
        <v>1570</v>
      </c>
    </row>
    <row r="363" ht="17" customHeight="1" spans="1:36">
      <c r="A363" s="44">
        <v>63</v>
      </c>
      <c r="B363" s="44" t="s">
        <v>1139</v>
      </c>
      <c r="C363" s="44" t="s">
        <v>1140</v>
      </c>
      <c r="D363" s="44" t="s">
        <v>213</v>
      </c>
      <c r="E363" s="44" t="s">
        <v>1141</v>
      </c>
      <c r="F363" s="44" t="s">
        <v>1142</v>
      </c>
      <c r="G363" s="44" t="s">
        <v>40</v>
      </c>
      <c r="H363" s="49"/>
      <c r="I363" s="56">
        <v>2160</v>
      </c>
      <c r="J363" s="56">
        <v>1944</v>
      </c>
      <c r="K363" s="55"/>
      <c r="L363" s="57">
        <v>2505</v>
      </c>
      <c r="M363" s="55"/>
      <c r="N363" s="64">
        <v>2050</v>
      </c>
      <c r="O363" s="64">
        <v>1850</v>
      </c>
      <c r="P363" s="64">
        <v>1570</v>
      </c>
      <c r="Q363" s="44" t="s">
        <v>54</v>
      </c>
      <c r="R363" s="70" t="s">
        <v>67</v>
      </c>
      <c r="S363" s="44" t="s">
        <v>1143</v>
      </c>
      <c r="T363" s="43" t="s">
        <v>1144</v>
      </c>
      <c r="U363" s="71">
        <v>331104011</v>
      </c>
      <c r="V363" s="43" t="s">
        <v>1145</v>
      </c>
      <c r="W363" s="43" t="s">
        <v>43</v>
      </c>
      <c r="X363" s="71" t="s">
        <v>43</v>
      </c>
      <c r="Y363" s="71" t="s">
        <v>40</v>
      </c>
      <c r="Z363" s="48" t="s">
        <v>1146</v>
      </c>
      <c r="AA363" s="75">
        <v>2500</v>
      </c>
      <c r="AB363" s="75">
        <v>2240</v>
      </c>
      <c r="AC363" s="80">
        <v>2190</v>
      </c>
      <c r="AD363" s="80">
        <v>1970</v>
      </c>
      <c r="AE363" s="80">
        <v>1670</v>
      </c>
      <c r="AF363" s="79">
        <f t="shared" si="40"/>
        <v>0</v>
      </c>
      <c r="AG363" s="79" t="str">
        <f t="shared" si="41"/>
        <v>尿道全切除费</v>
      </c>
      <c r="AH363" s="79">
        <f t="shared" si="42"/>
        <v>2050</v>
      </c>
      <c r="AI363" s="79">
        <f t="shared" si="43"/>
        <v>1850</v>
      </c>
      <c r="AJ363" s="79">
        <f t="shared" si="44"/>
        <v>1570</v>
      </c>
    </row>
    <row r="364" ht="17" customHeight="1" spans="1:36">
      <c r="A364" s="44">
        <v>63</v>
      </c>
      <c r="B364" s="44" t="s">
        <v>1139</v>
      </c>
      <c r="C364" s="44" t="s">
        <v>1140</v>
      </c>
      <c r="D364" s="44" t="s">
        <v>213</v>
      </c>
      <c r="E364" s="44" t="s">
        <v>1141</v>
      </c>
      <c r="F364" s="44" t="s">
        <v>1142</v>
      </c>
      <c r="G364" s="44" t="s">
        <v>40</v>
      </c>
      <c r="H364" s="49"/>
      <c r="I364" s="56">
        <v>2160</v>
      </c>
      <c r="J364" s="56">
        <v>1944</v>
      </c>
      <c r="K364" s="55"/>
      <c r="L364" s="57">
        <v>2505</v>
      </c>
      <c r="M364" s="55"/>
      <c r="N364" s="64">
        <v>2050</v>
      </c>
      <c r="O364" s="64">
        <v>1850</v>
      </c>
      <c r="P364" s="64">
        <v>1570</v>
      </c>
      <c r="Q364" s="44" t="s">
        <v>54</v>
      </c>
      <c r="R364" s="70" t="s">
        <v>67</v>
      </c>
      <c r="S364" s="44" t="s">
        <v>1143</v>
      </c>
      <c r="T364" s="45" t="s">
        <v>1147</v>
      </c>
      <c r="U364" s="45">
        <v>33110401101</v>
      </c>
      <c r="V364" s="45" t="s">
        <v>1148</v>
      </c>
      <c r="W364" s="43" t="s">
        <v>43</v>
      </c>
      <c r="X364" s="71" t="s">
        <v>43</v>
      </c>
      <c r="Y364" s="71" t="s">
        <v>40</v>
      </c>
      <c r="Z364" s="48" t="s">
        <v>1149</v>
      </c>
      <c r="AA364" s="75">
        <v>3540</v>
      </c>
      <c r="AB364" s="75">
        <v>3175</v>
      </c>
      <c r="AC364" s="80">
        <v>3125</v>
      </c>
      <c r="AD364" s="80">
        <v>2810</v>
      </c>
      <c r="AE364" s="80">
        <v>2385</v>
      </c>
      <c r="AF364" s="79">
        <f t="shared" si="40"/>
        <v>0</v>
      </c>
      <c r="AG364" s="79" t="str">
        <f t="shared" si="41"/>
        <v>尿道全切除费</v>
      </c>
      <c r="AH364" s="79">
        <f t="shared" si="42"/>
        <v>2050</v>
      </c>
      <c r="AI364" s="79">
        <f t="shared" si="43"/>
        <v>1850</v>
      </c>
      <c r="AJ364" s="79">
        <f t="shared" si="44"/>
        <v>1570</v>
      </c>
    </row>
    <row r="365" ht="17" customHeight="1" spans="1:36">
      <c r="A365" s="44">
        <v>63</v>
      </c>
      <c r="B365" s="44" t="s">
        <v>1139</v>
      </c>
      <c r="C365" s="44" t="s">
        <v>1140</v>
      </c>
      <c r="D365" s="44" t="s">
        <v>213</v>
      </c>
      <c r="E365" s="44" t="s">
        <v>1141</v>
      </c>
      <c r="F365" s="44" t="s">
        <v>1142</v>
      </c>
      <c r="G365" s="44" t="s">
        <v>40</v>
      </c>
      <c r="H365" s="49"/>
      <c r="I365" s="56">
        <v>2160</v>
      </c>
      <c r="J365" s="56">
        <v>1944</v>
      </c>
      <c r="K365" s="55"/>
      <c r="L365" s="57">
        <v>2505</v>
      </c>
      <c r="M365" s="55"/>
      <c r="N365" s="64">
        <v>2050</v>
      </c>
      <c r="O365" s="64">
        <v>1850</v>
      </c>
      <c r="P365" s="64">
        <v>1570</v>
      </c>
      <c r="Q365" s="44" t="s">
        <v>54</v>
      </c>
      <c r="R365" s="70" t="s">
        <v>67</v>
      </c>
      <c r="S365" s="44" t="s">
        <v>1143</v>
      </c>
      <c r="T365" s="45" t="s">
        <v>1150</v>
      </c>
      <c r="U365" s="45">
        <v>33110401104</v>
      </c>
      <c r="V365" s="45" t="s">
        <v>1151</v>
      </c>
      <c r="W365" s="43" t="s">
        <v>43</v>
      </c>
      <c r="X365" s="71" t="s">
        <v>43</v>
      </c>
      <c r="Y365" s="71" t="s">
        <v>40</v>
      </c>
      <c r="Z365" s="48" t="s">
        <v>43</v>
      </c>
      <c r="AA365" s="75">
        <v>3300</v>
      </c>
      <c r="AB365" s="75">
        <v>2960</v>
      </c>
      <c r="AC365" s="80">
        <v>2815</v>
      </c>
      <c r="AD365" s="80">
        <v>2570</v>
      </c>
      <c r="AE365" s="80">
        <v>2180</v>
      </c>
      <c r="AF365" s="79">
        <f t="shared" si="40"/>
        <v>0</v>
      </c>
      <c r="AG365" s="79" t="str">
        <f t="shared" si="41"/>
        <v>尿道全切除费</v>
      </c>
      <c r="AH365" s="79">
        <f t="shared" si="42"/>
        <v>2050</v>
      </c>
      <c r="AI365" s="79">
        <f t="shared" si="43"/>
        <v>1850</v>
      </c>
      <c r="AJ365" s="79">
        <f t="shared" si="44"/>
        <v>1570</v>
      </c>
    </row>
    <row r="366" ht="17" customHeight="1" spans="1:36">
      <c r="A366" s="44">
        <v>63</v>
      </c>
      <c r="B366" s="44" t="s">
        <v>1139</v>
      </c>
      <c r="C366" s="44" t="s">
        <v>1140</v>
      </c>
      <c r="D366" s="44" t="s">
        <v>213</v>
      </c>
      <c r="E366" s="44" t="s">
        <v>1141</v>
      </c>
      <c r="F366" s="44" t="s">
        <v>1142</v>
      </c>
      <c r="G366" s="44" t="s">
        <v>40</v>
      </c>
      <c r="H366" s="49"/>
      <c r="I366" s="56">
        <v>2160</v>
      </c>
      <c r="J366" s="56">
        <v>1944</v>
      </c>
      <c r="K366" s="55"/>
      <c r="L366" s="57">
        <v>2505</v>
      </c>
      <c r="M366" s="55"/>
      <c r="N366" s="64">
        <v>2050</v>
      </c>
      <c r="O366" s="64">
        <v>1850</v>
      </c>
      <c r="P366" s="64">
        <v>1570</v>
      </c>
      <c r="Q366" s="44" t="s">
        <v>54</v>
      </c>
      <c r="R366" s="70" t="s">
        <v>67</v>
      </c>
      <c r="S366" s="44" t="s">
        <v>1143</v>
      </c>
      <c r="T366" s="45" t="s">
        <v>1152</v>
      </c>
      <c r="U366" s="45">
        <v>33110401105</v>
      </c>
      <c r="V366" s="45" t="s">
        <v>1153</v>
      </c>
      <c r="W366" s="43" t="s">
        <v>43</v>
      </c>
      <c r="X366" s="71" t="s">
        <v>43</v>
      </c>
      <c r="Y366" s="71" t="s">
        <v>40</v>
      </c>
      <c r="Z366" s="48" t="s">
        <v>1149</v>
      </c>
      <c r="AA366" s="75">
        <v>4340</v>
      </c>
      <c r="AB366" s="75">
        <v>3895</v>
      </c>
      <c r="AC366" s="80">
        <v>3750</v>
      </c>
      <c r="AD366" s="80">
        <v>3410</v>
      </c>
      <c r="AE366" s="80">
        <v>2895</v>
      </c>
      <c r="AF366" s="79">
        <f t="shared" si="40"/>
        <v>0</v>
      </c>
      <c r="AG366" s="79" t="str">
        <f t="shared" si="41"/>
        <v>尿道全切除费</v>
      </c>
      <c r="AH366" s="79">
        <f t="shared" si="42"/>
        <v>2050</v>
      </c>
      <c r="AI366" s="79">
        <f t="shared" si="43"/>
        <v>1850</v>
      </c>
      <c r="AJ366" s="79">
        <f t="shared" si="44"/>
        <v>1570</v>
      </c>
    </row>
    <row r="367" ht="17" customHeight="1" spans="1:36">
      <c r="A367" s="81" t="s">
        <v>81</v>
      </c>
      <c r="B367" s="81" t="s">
        <v>1154</v>
      </c>
      <c r="C367" s="81" t="s">
        <v>1155</v>
      </c>
      <c r="D367" s="81" t="s">
        <v>213</v>
      </c>
      <c r="E367" s="81"/>
      <c r="F367" s="81"/>
      <c r="G367" s="81" t="s">
        <v>40</v>
      </c>
      <c r="H367" s="81"/>
      <c r="I367" s="56">
        <v>648</v>
      </c>
      <c r="J367" s="56">
        <v>583</v>
      </c>
      <c r="K367" s="54"/>
      <c r="L367" s="54"/>
      <c r="M367" s="54"/>
      <c r="N367" s="64">
        <v>615</v>
      </c>
      <c r="O367" s="64">
        <v>555</v>
      </c>
      <c r="P367" s="64">
        <v>470</v>
      </c>
      <c r="Q367" s="44" t="s">
        <v>54</v>
      </c>
      <c r="R367" s="69"/>
      <c r="S367" s="44" t="s">
        <v>446</v>
      </c>
      <c r="T367" s="45" t="s">
        <v>1036</v>
      </c>
      <c r="U367" s="45">
        <v>33110300701</v>
      </c>
      <c r="V367" s="45" t="s">
        <v>1037</v>
      </c>
      <c r="W367" s="43" t="s">
        <v>43</v>
      </c>
      <c r="X367" s="71" t="s">
        <v>43</v>
      </c>
      <c r="Y367" s="71" t="s">
        <v>40</v>
      </c>
      <c r="Z367" s="48" t="s">
        <v>43</v>
      </c>
      <c r="AA367" s="75">
        <v>4990</v>
      </c>
      <c r="AB367" s="75">
        <v>4500</v>
      </c>
      <c r="AC367" s="80">
        <v>4395</v>
      </c>
      <c r="AD367" s="80">
        <v>3950</v>
      </c>
      <c r="AE367" s="80">
        <v>3360</v>
      </c>
      <c r="AF367" s="79">
        <f t="shared" si="40"/>
        <v>10</v>
      </c>
      <c r="AG367" s="79" t="str">
        <f t="shared" si="41"/>
        <v>尿道全切除费</v>
      </c>
      <c r="AH367" s="79">
        <f t="shared" si="42"/>
        <v>2665</v>
      </c>
      <c r="AI367" s="79">
        <f t="shared" si="43"/>
        <v>2405</v>
      </c>
      <c r="AJ367" s="79">
        <f t="shared" si="44"/>
        <v>2040</v>
      </c>
    </row>
    <row r="368" ht="17" customHeight="1" spans="1:36">
      <c r="A368" s="81" t="s">
        <v>81</v>
      </c>
      <c r="B368" s="81" t="s">
        <v>1154</v>
      </c>
      <c r="C368" s="81" t="s">
        <v>1155</v>
      </c>
      <c r="D368" s="81" t="s">
        <v>213</v>
      </c>
      <c r="E368" s="81"/>
      <c r="F368" s="81"/>
      <c r="G368" s="81" t="s">
        <v>40</v>
      </c>
      <c r="H368" s="81"/>
      <c r="I368" s="56">
        <v>648</v>
      </c>
      <c r="J368" s="56">
        <v>583</v>
      </c>
      <c r="K368" s="54"/>
      <c r="L368" s="54"/>
      <c r="M368" s="54"/>
      <c r="N368" s="64">
        <v>615</v>
      </c>
      <c r="O368" s="64">
        <v>555</v>
      </c>
      <c r="P368" s="64">
        <v>470</v>
      </c>
      <c r="Q368" s="44" t="s">
        <v>54</v>
      </c>
      <c r="R368" s="69"/>
      <c r="S368" s="44" t="s">
        <v>446</v>
      </c>
      <c r="T368" s="45" t="s">
        <v>1038</v>
      </c>
      <c r="U368" s="45">
        <v>33110300703</v>
      </c>
      <c r="V368" s="45" t="s">
        <v>1039</v>
      </c>
      <c r="W368" s="43" t="s">
        <v>43</v>
      </c>
      <c r="X368" s="71" t="s">
        <v>43</v>
      </c>
      <c r="Y368" s="71" t="s">
        <v>40</v>
      </c>
      <c r="Z368" s="48" t="s">
        <v>43</v>
      </c>
      <c r="AA368" s="75">
        <v>5790</v>
      </c>
      <c r="AB368" s="75">
        <v>5220</v>
      </c>
      <c r="AC368" s="80">
        <v>5020</v>
      </c>
      <c r="AD368" s="80">
        <v>4550</v>
      </c>
      <c r="AE368" s="80">
        <v>3870</v>
      </c>
      <c r="AF368" s="79">
        <f t="shared" si="40"/>
        <v>10</v>
      </c>
      <c r="AG368" s="79" t="str">
        <f t="shared" si="41"/>
        <v>尿道全切除费</v>
      </c>
      <c r="AH368" s="79">
        <f t="shared" si="42"/>
        <v>2665</v>
      </c>
      <c r="AI368" s="79">
        <f t="shared" si="43"/>
        <v>2405</v>
      </c>
      <c r="AJ368" s="79">
        <f t="shared" si="44"/>
        <v>2040</v>
      </c>
    </row>
    <row r="369" ht="17" customHeight="1" spans="1:36">
      <c r="A369" s="81" t="s">
        <v>81</v>
      </c>
      <c r="B369" s="81" t="s">
        <v>1154</v>
      </c>
      <c r="C369" s="81" t="s">
        <v>1155</v>
      </c>
      <c r="D369" s="81" t="s">
        <v>213</v>
      </c>
      <c r="E369" s="81"/>
      <c r="F369" s="81"/>
      <c r="G369" s="81" t="s">
        <v>40</v>
      </c>
      <c r="H369" s="81"/>
      <c r="I369" s="56">
        <v>648</v>
      </c>
      <c r="J369" s="56">
        <v>583</v>
      </c>
      <c r="K369" s="54"/>
      <c r="L369" s="54"/>
      <c r="M369" s="54"/>
      <c r="N369" s="64">
        <v>615</v>
      </c>
      <c r="O369" s="64">
        <v>555</v>
      </c>
      <c r="P369" s="64">
        <v>470</v>
      </c>
      <c r="Q369" s="44" t="s">
        <v>54</v>
      </c>
      <c r="R369" s="69"/>
      <c r="S369" s="44" t="s">
        <v>446</v>
      </c>
      <c r="T369" s="45" t="s">
        <v>1156</v>
      </c>
      <c r="U369" s="45">
        <v>33110401102</v>
      </c>
      <c r="V369" s="45" t="s">
        <v>1157</v>
      </c>
      <c r="W369" s="43" t="s">
        <v>43</v>
      </c>
      <c r="X369" s="71" t="s">
        <v>43</v>
      </c>
      <c r="Y369" s="71" t="s">
        <v>40</v>
      </c>
      <c r="Z369" s="48" t="s">
        <v>43</v>
      </c>
      <c r="AA369" s="75">
        <v>3250</v>
      </c>
      <c r="AB369" s="75">
        <v>2910</v>
      </c>
      <c r="AC369" s="80">
        <v>2845</v>
      </c>
      <c r="AD369" s="80">
        <v>2560</v>
      </c>
      <c r="AE369" s="80">
        <v>2175</v>
      </c>
      <c r="AF369" s="79">
        <f t="shared" si="40"/>
        <v>10</v>
      </c>
      <c r="AG369" s="79" t="str">
        <f t="shared" si="41"/>
        <v>尿道全切除费</v>
      </c>
      <c r="AH369" s="79">
        <f t="shared" si="42"/>
        <v>2665</v>
      </c>
      <c r="AI369" s="79">
        <f t="shared" si="43"/>
        <v>2405</v>
      </c>
      <c r="AJ369" s="79">
        <f t="shared" si="44"/>
        <v>2040</v>
      </c>
    </row>
    <row r="370" ht="17" customHeight="1" spans="1:36">
      <c r="A370" s="81" t="s">
        <v>81</v>
      </c>
      <c r="B370" s="81" t="s">
        <v>1154</v>
      </c>
      <c r="C370" s="81" t="s">
        <v>1155</v>
      </c>
      <c r="D370" s="81" t="s">
        <v>213</v>
      </c>
      <c r="E370" s="81"/>
      <c r="F370" s="81"/>
      <c r="G370" s="81" t="s">
        <v>40</v>
      </c>
      <c r="H370" s="81"/>
      <c r="I370" s="56">
        <v>648</v>
      </c>
      <c r="J370" s="56">
        <v>583</v>
      </c>
      <c r="K370" s="54"/>
      <c r="L370" s="54"/>
      <c r="M370" s="54"/>
      <c r="N370" s="64">
        <v>615</v>
      </c>
      <c r="O370" s="64">
        <v>555</v>
      </c>
      <c r="P370" s="64">
        <v>470</v>
      </c>
      <c r="Q370" s="44" t="s">
        <v>54</v>
      </c>
      <c r="R370" s="69"/>
      <c r="S370" s="44" t="s">
        <v>446</v>
      </c>
      <c r="T370" s="45" t="s">
        <v>1158</v>
      </c>
      <c r="U370" s="45">
        <v>33110401103</v>
      </c>
      <c r="V370" s="45" t="s">
        <v>1159</v>
      </c>
      <c r="W370" s="43" t="s">
        <v>43</v>
      </c>
      <c r="X370" s="71" t="s">
        <v>43</v>
      </c>
      <c r="Y370" s="71" t="s">
        <v>40</v>
      </c>
      <c r="Z370" s="48" t="s">
        <v>1149</v>
      </c>
      <c r="AA370" s="75">
        <v>4600</v>
      </c>
      <c r="AB370" s="75">
        <v>4130</v>
      </c>
      <c r="AC370" s="80">
        <v>4065</v>
      </c>
      <c r="AD370" s="80">
        <v>3655</v>
      </c>
      <c r="AE370" s="80">
        <v>3105</v>
      </c>
      <c r="AF370" s="79">
        <f t="shared" si="40"/>
        <v>10</v>
      </c>
      <c r="AG370" s="79" t="str">
        <f t="shared" si="41"/>
        <v>尿道全切除费</v>
      </c>
      <c r="AH370" s="79">
        <f t="shared" si="42"/>
        <v>2665</v>
      </c>
      <c r="AI370" s="79">
        <f t="shared" si="43"/>
        <v>2405</v>
      </c>
      <c r="AJ370" s="79">
        <f t="shared" si="44"/>
        <v>2040</v>
      </c>
    </row>
    <row r="371" ht="17" customHeight="1" spans="1:36">
      <c r="A371" s="81" t="s">
        <v>81</v>
      </c>
      <c r="B371" s="81" t="s">
        <v>1154</v>
      </c>
      <c r="C371" s="81" t="s">
        <v>1155</v>
      </c>
      <c r="D371" s="81" t="s">
        <v>213</v>
      </c>
      <c r="E371" s="81"/>
      <c r="F371" s="81"/>
      <c r="G371" s="81" t="s">
        <v>40</v>
      </c>
      <c r="H371" s="81"/>
      <c r="I371" s="56">
        <v>648</v>
      </c>
      <c r="J371" s="56">
        <v>583</v>
      </c>
      <c r="K371" s="54"/>
      <c r="L371" s="54"/>
      <c r="M371" s="54"/>
      <c r="N371" s="64">
        <v>615</v>
      </c>
      <c r="O371" s="64">
        <v>555</v>
      </c>
      <c r="P371" s="64">
        <v>470</v>
      </c>
      <c r="Q371" s="44" t="s">
        <v>54</v>
      </c>
      <c r="R371" s="69"/>
      <c r="S371" s="44" t="s">
        <v>446</v>
      </c>
      <c r="T371" s="45" t="s">
        <v>1160</v>
      </c>
      <c r="U371" s="45">
        <v>33110401106</v>
      </c>
      <c r="V371" s="45" t="s">
        <v>1161</v>
      </c>
      <c r="W371" s="43" t="s">
        <v>43</v>
      </c>
      <c r="X371" s="71" t="s">
        <v>43</v>
      </c>
      <c r="Y371" s="71" t="s">
        <v>40</v>
      </c>
      <c r="Z371" s="48" t="s">
        <v>43</v>
      </c>
      <c r="AA371" s="75">
        <v>4050</v>
      </c>
      <c r="AB371" s="75">
        <v>3630</v>
      </c>
      <c r="AC371" s="80">
        <v>3470</v>
      </c>
      <c r="AD371" s="80">
        <v>3160</v>
      </c>
      <c r="AE371" s="80">
        <v>2685</v>
      </c>
      <c r="AF371" s="79">
        <f t="shared" si="40"/>
        <v>10</v>
      </c>
      <c r="AG371" s="79" t="str">
        <f t="shared" si="41"/>
        <v>尿道全切除费</v>
      </c>
      <c r="AH371" s="79">
        <f t="shared" si="42"/>
        <v>2665</v>
      </c>
      <c r="AI371" s="79">
        <f t="shared" si="43"/>
        <v>2405</v>
      </c>
      <c r="AJ371" s="79">
        <f t="shared" si="44"/>
        <v>2040</v>
      </c>
    </row>
    <row r="372" ht="17" customHeight="1" spans="1:36">
      <c r="A372" s="81" t="s">
        <v>81</v>
      </c>
      <c r="B372" s="81" t="s">
        <v>1154</v>
      </c>
      <c r="C372" s="81" t="s">
        <v>1155</v>
      </c>
      <c r="D372" s="81" t="s">
        <v>213</v>
      </c>
      <c r="E372" s="81"/>
      <c r="F372" s="81"/>
      <c r="G372" s="81" t="s">
        <v>40</v>
      </c>
      <c r="H372" s="81"/>
      <c r="I372" s="56">
        <v>648</v>
      </c>
      <c r="J372" s="56">
        <v>583</v>
      </c>
      <c r="K372" s="54"/>
      <c r="L372" s="54"/>
      <c r="M372" s="54"/>
      <c r="N372" s="64">
        <v>615</v>
      </c>
      <c r="O372" s="64">
        <v>555</v>
      </c>
      <c r="P372" s="64">
        <v>470</v>
      </c>
      <c r="Q372" s="44" t="s">
        <v>54</v>
      </c>
      <c r="R372" s="69"/>
      <c r="S372" s="44" t="s">
        <v>446</v>
      </c>
      <c r="T372" s="45" t="s">
        <v>1162</v>
      </c>
      <c r="U372" s="45">
        <v>33110401107</v>
      </c>
      <c r="V372" s="45" t="s">
        <v>1163</v>
      </c>
      <c r="W372" s="43" t="s">
        <v>43</v>
      </c>
      <c r="X372" s="71" t="s">
        <v>43</v>
      </c>
      <c r="Y372" s="71" t="s">
        <v>40</v>
      </c>
      <c r="Z372" s="48" t="s">
        <v>1149</v>
      </c>
      <c r="AA372" s="75">
        <v>5400</v>
      </c>
      <c r="AB372" s="75">
        <v>4850</v>
      </c>
      <c r="AC372" s="80">
        <v>4690</v>
      </c>
      <c r="AD372" s="80">
        <v>4255</v>
      </c>
      <c r="AE372" s="80">
        <v>3615</v>
      </c>
      <c r="AF372" s="79">
        <f t="shared" si="40"/>
        <v>10</v>
      </c>
      <c r="AG372" s="79" t="str">
        <f t="shared" si="41"/>
        <v>尿道全切除费</v>
      </c>
      <c r="AH372" s="79">
        <f t="shared" si="42"/>
        <v>2665</v>
      </c>
      <c r="AI372" s="79">
        <f t="shared" si="43"/>
        <v>2405</v>
      </c>
      <c r="AJ372" s="79">
        <f t="shared" si="44"/>
        <v>2040</v>
      </c>
    </row>
    <row r="373" ht="115" customHeight="1" spans="1:36">
      <c r="A373" s="46">
        <v>64</v>
      </c>
      <c r="B373" s="46" t="s">
        <v>1164</v>
      </c>
      <c r="C373" s="46" t="s">
        <v>1165</v>
      </c>
      <c r="D373" s="46" t="s">
        <v>213</v>
      </c>
      <c r="E373" s="50" t="s">
        <v>1166</v>
      </c>
      <c r="F373" s="50" t="s">
        <v>1167</v>
      </c>
      <c r="G373" s="46" t="s">
        <v>40</v>
      </c>
      <c r="H373" s="50" t="s">
        <v>43</v>
      </c>
      <c r="I373" s="53">
        <v>55</v>
      </c>
      <c r="J373" s="53">
        <v>50</v>
      </c>
      <c r="K373" s="58">
        <v>55</v>
      </c>
      <c r="L373" s="58">
        <v>50</v>
      </c>
      <c r="M373" s="55">
        <v>42.5</v>
      </c>
      <c r="N373" s="63">
        <v>55</v>
      </c>
      <c r="O373" s="63">
        <v>50</v>
      </c>
      <c r="P373" s="63">
        <v>43</v>
      </c>
      <c r="Q373" s="45" t="s">
        <v>54</v>
      </c>
      <c r="R373" s="69" t="s">
        <v>55</v>
      </c>
      <c r="S373" s="49" t="s">
        <v>1168</v>
      </c>
      <c r="T373" s="43" t="s">
        <v>1169</v>
      </c>
      <c r="U373" s="71">
        <v>311000036</v>
      </c>
      <c r="V373" s="43" t="s">
        <v>1170</v>
      </c>
      <c r="W373" s="43" t="s">
        <v>43</v>
      </c>
      <c r="X373" s="71" t="s">
        <v>1171</v>
      </c>
      <c r="Y373" s="71" t="s">
        <v>40</v>
      </c>
      <c r="Z373" s="48" t="s">
        <v>43</v>
      </c>
      <c r="AA373" s="75">
        <v>55</v>
      </c>
      <c r="AB373" s="75">
        <v>50</v>
      </c>
      <c r="AC373" s="80">
        <v>55</v>
      </c>
      <c r="AD373" s="80">
        <v>50</v>
      </c>
      <c r="AE373" s="80">
        <v>42.5</v>
      </c>
      <c r="AF373" s="79">
        <f t="shared" si="40"/>
        <v>0</v>
      </c>
      <c r="AG373" s="79" t="str">
        <f t="shared" si="41"/>
        <v>尿道扩张费</v>
      </c>
      <c r="AH373" s="79">
        <f t="shared" si="42"/>
        <v>55</v>
      </c>
      <c r="AI373" s="79">
        <f t="shared" si="43"/>
        <v>50</v>
      </c>
      <c r="AJ373" s="79">
        <f t="shared" si="44"/>
        <v>43</v>
      </c>
    </row>
    <row r="374" ht="19" customHeight="1" spans="1:36">
      <c r="A374" s="44">
        <v>65</v>
      </c>
      <c r="B374" s="44" t="s">
        <v>1174</v>
      </c>
      <c r="C374" s="44" t="s">
        <v>1175</v>
      </c>
      <c r="D374" s="44" t="s">
        <v>213</v>
      </c>
      <c r="E374" s="44" t="s">
        <v>1176</v>
      </c>
      <c r="F374" s="44" t="s">
        <v>1177</v>
      </c>
      <c r="G374" s="44" t="s">
        <v>40</v>
      </c>
      <c r="H374" s="44"/>
      <c r="I374" s="56">
        <v>2660</v>
      </c>
      <c r="J374" s="56">
        <v>2394</v>
      </c>
      <c r="K374" s="59">
        <v>2311.42857142857</v>
      </c>
      <c r="L374" s="59">
        <v>2280</v>
      </c>
      <c r="M374" s="84"/>
      <c r="N374" s="64">
        <v>2400</v>
      </c>
      <c r="O374" s="64">
        <v>2280</v>
      </c>
      <c r="P374" s="64">
        <v>1950</v>
      </c>
      <c r="Q374" s="44" t="s">
        <v>42</v>
      </c>
      <c r="R374" s="70" t="s">
        <v>67</v>
      </c>
      <c r="S374" s="44" t="s">
        <v>1178</v>
      </c>
      <c r="T374" s="43" t="s">
        <v>1179</v>
      </c>
      <c r="U374" s="71">
        <v>331104026</v>
      </c>
      <c r="V374" s="43" t="s">
        <v>1180</v>
      </c>
      <c r="W374" s="43" t="s">
        <v>1181</v>
      </c>
      <c r="X374" s="71" t="s">
        <v>43</v>
      </c>
      <c r="Y374" s="71" t="s">
        <v>40</v>
      </c>
      <c r="Z374" s="48" t="s">
        <v>43</v>
      </c>
      <c r="AA374" s="75">
        <v>2880</v>
      </c>
      <c r="AB374" s="75">
        <v>2590</v>
      </c>
      <c r="AC374" s="80">
        <v>2530</v>
      </c>
      <c r="AD374" s="80">
        <v>2280</v>
      </c>
      <c r="AE374" s="80">
        <v>1940</v>
      </c>
      <c r="AF374" s="79">
        <f t="shared" si="40"/>
        <v>0</v>
      </c>
      <c r="AG374" s="79" t="str">
        <f t="shared" si="41"/>
        <v>尿道裂成形费（常规）</v>
      </c>
      <c r="AH374" s="79">
        <f t="shared" si="42"/>
        <v>2400</v>
      </c>
      <c r="AI374" s="79">
        <f t="shared" si="43"/>
        <v>2280</v>
      </c>
      <c r="AJ374" s="79">
        <f t="shared" si="44"/>
        <v>1950</v>
      </c>
    </row>
    <row r="375" ht="19" customHeight="1" spans="1:36">
      <c r="A375" s="44">
        <v>65</v>
      </c>
      <c r="B375" s="44" t="s">
        <v>1174</v>
      </c>
      <c r="C375" s="44" t="s">
        <v>1175</v>
      </c>
      <c r="D375" s="44" t="s">
        <v>213</v>
      </c>
      <c r="E375" s="44" t="s">
        <v>1176</v>
      </c>
      <c r="F375" s="44" t="s">
        <v>1177</v>
      </c>
      <c r="G375" s="44" t="s">
        <v>40</v>
      </c>
      <c r="H375" s="44"/>
      <c r="I375" s="56">
        <v>2660</v>
      </c>
      <c r="J375" s="56">
        <v>2394</v>
      </c>
      <c r="K375" s="59">
        <v>2311.42857142857</v>
      </c>
      <c r="L375" s="59">
        <v>2280</v>
      </c>
      <c r="M375" s="84"/>
      <c r="N375" s="64">
        <v>2400</v>
      </c>
      <c r="O375" s="64">
        <v>2280</v>
      </c>
      <c r="P375" s="64">
        <v>1950</v>
      </c>
      <c r="Q375" s="44" t="s">
        <v>42</v>
      </c>
      <c r="R375" s="70" t="s">
        <v>67</v>
      </c>
      <c r="S375" s="44" t="s">
        <v>1178</v>
      </c>
      <c r="T375" s="43" t="s">
        <v>1182</v>
      </c>
      <c r="U375" s="71">
        <v>331104023</v>
      </c>
      <c r="V375" s="43" t="s">
        <v>1183</v>
      </c>
      <c r="W375" s="43" t="s">
        <v>43</v>
      </c>
      <c r="X375" s="71" t="s">
        <v>43</v>
      </c>
      <c r="Y375" s="71" t="s">
        <v>40</v>
      </c>
      <c r="Z375" s="48" t="s">
        <v>43</v>
      </c>
      <c r="AA375" s="75">
        <v>2880</v>
      </c>
      <c r="AB375" s="75">
        <v>2590</v>
      </c>
      <c r="AC375" s="80">
        <v>2530</v>
      </c>
      <c r="AD375" s="80">
        <v>2280</v>
      </c>
      <c r="AE375" s="80">
        <v>1940</v>
      </c>
      <c r="AF375" s="79">
        <f t="shared" si="40"/>
        <v>0</v>
      </c>
      <c r="AG375" s="79" t="str">
        <f t="shared" si="41"/>
        <v>尿道裂成形费（常规）</v>
      </c>
      <c r="AH375" s="79">
        <f t="shared" si="42"/>
        <v>2400</v>
      </c>
      <c r="AI375" s="79">
        <f t="shared" si="43"/>
        <v>2280</v>
      </c>
      <c r="AJ375" s="79">
        <f t="shared" si="44"/>
        <v>1950</v>
      </c>
    </row>
    <row r="376" ht="19" customHeight="1" spans="1:36">
      <c r="A376" s="44">
        <v>65</v>
      </c>
      <c r="B376" s="44" t="s">
        <v>1174</v>
      </c>
      <c r="C376" s="44" t="s">
        <v>1175</v>
      </c>
      <c r="D376" s="44" t="s">
        <v>213</v>
      </c>
      <c r="E376" s="44" t="s">
        <v>1176</v>
      </c>
      <c r="F376" s="44" t="s">
        <v>1177</v>
      </c>
      <c r="G376" s="44" t="s">
        <v>40</v>
      </c>
      <c r="H376" s="44"/>
      <c r="I376" s="56">
        <v>2660</v>
      </c>
      <c r="J376" s="56">
        <v>2394</v>
      </c>
      <c r="K376" s="59">
        <v>2311.42857142857</v>
      </c>
      <c r="L376" s="59">
        <v>2280</v>
      </c>
      <c r="M376" s="84"/>
      <c r="N376" s="64">
        <v>2400</v>
      </c>
      <c r="O376" s="64">
        <v>2280</v>
      </c>
      <c r="P376" s="64">
        <v>1950</v>
      </c>
      <c r="Q376" s="44" t="s">
        <v>42</v>
      </c>
      <c r="R376" s="70" t="s">
        <v>67</v>
      </c>
      <c r="S376" s="44" t="s">
        <v>1178</v>
      </c>
      <c r="T376" s="43" t="s">
        <v>1184</v>
      </c>
      <c r="U376" s="71">
        <v>331104024</v>
      </c>
      <c r="V376" s="43" t="s">
        <v>1185</v>
      </c>
      <c r="W376" s="43" t="s">
        <v>43</v>
      </c>
      <c r="X376" s="71" t="s">
        <v>43</v>
      </c>
      <c r="Y376" s="71" t="s">
        <v>40</v>
      </c>
      <c r="Z376" s="48" t="s">
        <v>43</v>
      </c>
      <c r="AA376" s="75">
        <v>2880</v>
      </c>
      <c r="AB376" s="75">
        <v>2590</v>
      </c>
      <c r="AC376" s="80">
        <v>2530</v>
      </c>
      <c r="AD376" s="80">
        <v>2280</v>
      </c>
      <c r="AE376" s="80">
        <v>1940</v>
      </c>
      <c r="AF376" s="79">
        <f t="shared" si="40"/>
        <v>0</v>
      </c>
      <c r="AG376" s="79" t="str">
        <f t="shared" si="41"/>
        <v>尿道裂成形费（常规）</v>
      </c>
      <c r="AH376" s="79">
        <f t="shared" si="42"/>
        <v>2400</v>
      </c>
      <c r="AI376" s="79">
        <f t="shared" si="43"/>
        <v>2280</v>
      </c>
      <c r="AJ376" s="79">
        <f t="shared" si="44"/>
        <v>1950</v>
      </c>
    </row>
    <row r="377" ht="19" customHeight="1" spans="1:36">
      <c r="A377" s="44">
        <v>65</v>
      </c>
      <c r="B377" s="44" t="s">
        <v>1174</v>
      </c>
      <c r="C377" s="44" t="s">
        <v>1175</v>
      </c>
      <c r="D377" s="44" t="s">
        <v>213</v>
      </c>
      <c r="E377" s="44" t="s">
        <v>1176</v>
      </c>
      <c r="F377" s="44" t="s">
        <v>1177</v>
      </c>
      <c r="G377" s="44" t="s">
        <v>40</v>
      </c>
      <c r="H377" s="44"/>
      <c r="I377" s="56">
        <v>2660</v>
      </c>
      <c r="J377" s="56">
        <v>2394</v>
      </c>
      <c r="K377" s="59">
        <v>2311.42857142857</v>
      </c>
      <c r="L377" s="59">
        <v>2280</v>
      </c>
      <c r="M377" s="84"/>
      <c r="N377" s="64">
        <v>2400</v>
      </c>
      <c r="O377" s="64">
        <v>2280</v>
      </c>
      <c r="P377" s="64">
        <v>1950</v>
      </c>
      <c r="Q377" s="44" t="s">
        <v>42</v>
      </c>
      <c r="R377" s="70" t="s">
        <v>67</v>
      </c>
      <c r="S377" s="44" t="s">
        <v>1178</v>
      </c>
      <c r="T377" s="43" t="s">
        <v>1186</v>
      </c>
      <c r="U377" s="71">
        <v>331104025</v>
      </c>
      <c r="V377" s="43" t="s">
        <v>1187</v>
      </c>
      <c r="W377" s="43" t="s">
        <v>43</v>
      </c>
      <c r="X377" s="71" t="s">
        <v>43</v>
      </c>
      <c r="Y377" s="71" t="s">
        <v>40</v>
      </c>
      <c r="Z377" s="48" t="s">
        <v>43</v>
      </c>
      <c r="AA377" s="75">
        <v>1080</v>
      </c>
      <c r="AB377" s="75">
        <v>970</v>
      </c>
      <c r="AC377" s="80">
        <v>1000</v>
      </c>
      <c r="AD377" s="80">
        <v>960</v>
      </c>
      <c r="AE377" s="80">
        <v>816</v>
      </c>
      <c r="AF377" s="79">
        <f t="shared" si="40"/>
        <v>0</v>
      </c>
      <c r="AG377" s="79" t="str">
        <f t="shared" si="41"/>
        <v>尿道裂成形费（常规）</v>
      </c>
      <c r="AH377" s="79">
        <f t="shared" si="42"/>
        <v>2400</v>
      </c>
      <c r="AI377" s="79">
        <f t="shared" si="43"/>
        <v>2280</v>
      </c>
      <c r="AJ377" s="79">
        <f t="shared" si="44"/>
        <v>1950</v>
      </c>
    </row>
    <row r="378" ht="19" customHeight="1" spans="1:36">
      <c r="A378" s="44">
        <v>65</v>
      </c>
      <c r="B378" s="44" t="s">
        <v>1174</v>
      </c>
      <c r="C378" s="44" t="s">
        <v>1175</v>
      </c>
      <c r="D378" s="44" t="s">
        <v>213</v>
      </c>
      <c r="E378" s="44" t="s">
        <v>1176</v>
      </c>
      <c r="F378" s="44" t="s">
        <v>1177</v>
      </c>
      <c r="G378" s="44" t="s">
        <v>40</v>
      </c>
      <c r="H378" s="44"/>
      <c r="I378" s="56">
        <v>2660</v>
      </c>
      <c r="J378" s="56">
        <v>2394</v>
      </c>
      <c r="K378" s="59">
        <v>2311.42857142857</v>
      </c>
      <c r="L378" s="59">
        <v>2280</v>
      </c>
      <c r="M378" s="84"/>
      <c r="N378" s="64">
        <v>2400</v>
      </c>
      <c r="O378" s="64">
        <v>2280</v>
      </c>
      <c r="P378" s="64">
        <v>1950</v>
      </c>
      <c r="Q378" s="44" t="s">
        <v>42</v>
      </c>
      <c r="R378" s="70" t="s">
        <v>67</v>
      </c>
      <c r="S378" s="44" t="s">
        <v>1178</v>
      </c>
      <c r="T378" s="43" t="s">
        <v>1188</v>
      </c>
      <c r="U378" s="71">
        <v>331104027</v>
      </c>
      <c r="V378" s="43" t="s">
        <v>1189</v>
      </c>
      <c r="W378" s="43" t="s">
        <v>1190</v>
      </c>
      <c r="X378" s="71" t="s">
        <v>43</v>
      </c>
      <c r="Y378" s="71" t="s">
        <v>40</v>
      </c>
      <c r="Z378" s="48" t="s">
        <v>43</v>
      </c>
      <c r="AA378" s="75">
        <v>2880</v>
      </c>
      <c r="AB378" s="75">
        <v>2590</v>
      </c>
      <c r="AC378" s="80">
        <v>2530</v>
      </c>
      <c r="AD378" s="80">
        <v>2280</v>
      </c>
      <c r="AE378" s="80">
        <v>1940</v>
      </c>
      <c r="AF378" s="79">
        <f t="shared" si="40"/>
        <v>0</v>
      </c>
      <c r="AG378" s="79" t="str">
        <f t="shared" si="41"/>
        <v>尿道裂成形费（常规）</v>
      </c>
      <c r="AH378" s="79">
        <f t="shared" si="42"/>
        <v>2400</v>
      </c>
      <c r="AI378" s="79">
        <f t="shared" si="43"/>
        <v>2280</v>
      </c>
      <c r="AJ378" s="79">
        <f t="shared" si="44"/>
        <v>1950</v>
      </c>
    </row>
    <row r="379" ht="19" customHeight="1" spans="1:36">
      <c r="A379" s="44">
        <v>65</v>
      </c>
      <c r="B379" s="44" t="s">
        <v>1174</v>
      </c>
      <c r="C379" s="44" t="s">
        <v>1175</v>
      </c>
      <c r="D379" s="44" t="s">
        <v>213</v>
      </c>
      <c r="E379" s="44" t="s">
        <v>1176</v>
      </c>
      <c r="F379" s="44" t="s">
        <v>1177</v>
      </c>
      <c r="G379" s="44" t="s">
        <v>40</v>
      </c>
      <c r="H379" s="44"/>
      <c r="I379" s="56">
        <v>2660</v>
      </c>
      <c r="J379" s="56">
        <v>2394</v>
      </c>
      <c r="K379" s="59">
        <v>2311.42857142857</v>
      </c>
      <c r="L379" s="59">
        <v>2280</v>
      </c>
      <c r="M379" s="84"/>
      <c r="N379" s="64">
        <v>2400</v>
      </c>
      <c r="O379" s="64">
        <v>2280</v>
      </c>
      <c r="P379" s="64">
        <v>1950</v>
      </c>
      <c r="Q379" s="44" t="s">
        <v>42</v>
      </c>
      <c r="R379" s="70" t="s">
        <v>67</v>
      </c>
      <c r="S379" s="44" t="s">
        <v>1178</v>
      </c>
      <c r="T379" s="43" t="s">
        <v>1191</v>
      </c>
      <c r="U379" s="71">
        <v>331104028</v>
      </c>
      <c r="V379" s="43" t="s">
        <v>1192</v>
      </c>
      <c r="W379" s="43" t="s">
        <v>43</v>
      </c>
      <c r="X379" s="71" t="s">
        <v>43</v>
      </c>
      <c r="Y379" s="71" t="s">
        <v>40</v>
      </c>
      <c r="Z379" s="48" t="s">
        <v>1193</v>
      </c>
      <c r="AA379" s="75">
        <v>3070</v>
      </c>
      <c r="AB379" s="75">
        <v>2760</v>
      </c>
      <c r="AC379" s="80">
        <v>2700</v>
      </c>
      <c r="AD379" s="80">
        <v>2430</v>
      </c>
      <c r="AE379" s="80">
        <v>2070</v>
      </c>
      <c r="AF379" s="79">
        <f t="shared" si="40"/>
        <v>0</v>
      </c>
      <c r="AG379" s="79" t="str">
        <f t="shared" si="41"/>
        <v>尿道裂成形费（常规）</v>
      </c>
      <c r="AH379" s="79">
        <f t="shared" si="42"/>
        <v>2400</v>
      </c>
      <c r="AI379" s="79">
        <f t="shared" si="43"/>
        <v>2280</v>
      </c>
      <c r="AJ379" s="79">
        <f t="shared" si="44"/>
        <v>1950</v>
      </c>
    </row>
    <row r="380" ht="19" customHeight="1" spans="1:36">
      <c r="A380" s="44">
        <v>65</v>
      </c>
      <c r="B380" s="44" t="s">
        <v>1174</v>
      </c>
      <c r="C380" s="44" t="s">
        <v>1175</v>
      </c>
      <c r="D380" s="44" t="s">
        <v>213</v>
      </c>
      <c r="E380" s="44" t="s">
        <v>1176</v>
      </c>
      <c r="F380" s="44" t="s">
        <v>1177</v>
      </c>
      <c r="G380" s="44" t="s">
        <v>40</v>
      </c>
      <c r="H380" s="44"/>
      <c r="I380" s="56">
        <v>2660</v>
      </c>
      <c r="J380" s="56">
        <v>2394</v>
      </c>
      <c r="K380" s="59">
        <v>2311.42857142857</v>
      </c>
      <c r="L380" s="59">
        <v>2280</v>
      </c>
      <c r="M380" s="84"/>
      <c r="N380" s="64">
        <v>2400</v>
      </c>
      <c r="O380" s="64">
        <v>2280</v>
      </c>
      <c r="P380" s="64">
        <v>1950</v>
      </c>
      <c r="Q380" s="44" t="s">
        <v>42</v>
      </c>
      <c r="R380" s="70" t="s">
        <v>67</v>
      </c>
      <c r="S380" s="44" t="s">
        <v>1178</v>
      </c>
      <c r="T380" s="43" t="s">
        <v>1194</v>
      </c>
      <c r="U380" s="71">
        <v>33110402801</v>
      </c>
      <c r="V380" s="43" t="s">
        <v>1195</v>
      </c>
      <c r="W380" s="43" t="s">
        <v>43</v>
      </c>
      <c r="X380" s="71" t="s">
        <v>43</v>
      </c>
      <c r="Y380" s="71" t="s">
        <v>40</v>
      </c>
      <c r="Z380" s="48" t="s">
        <v>1196</v>
      </c>
      <c r="AA380" s="75">
        <v>3870</v>
      </c>
      <c r="AB380" s="75">
        <v>3480</v>
      </c>
      <c r="AC380" s="80">
        <v>3420</v>
      </c>
      <c r="AD380" s="80">
        <v>3080</v>
      </c>
      <c r="AE380" s="80">
        <v>2625</v>
      </c>
      <c r="AF380" s="79">
        <f t="shared" si="40"/>
        <v>0</v>
      </c>
      <c r="AG380" s="79" t="str">
        <f t="shared" si="41"/>
        <v>尿道裂成形费（常规）</v>
      </c>
      <c r="AH380" s="79">
        <f t="shared" si="42"/>
        <v>2400</v>
      </c>
      <c r="AI380" s="79">
        <f t="shared" si="43"/>
        <v>2280</v>
      </c>
      <c r="AJ380" s="79">
        <f t="shared" si="44"/>
        <v>1950</v>
      </c>
    </row>
    <row r="381" ht="19" customHeight="1" spans="1:36">
      <c r="A381" s="81" t="s">
        <v>81</v>
      </c>
      <c r="B381" s="81" t="s">
        <v>1197</v>
      </c>
      <c r="C381" s="81" t="s">
        <v>1198</v>
      </c>
      <c r="D381" s="81" t="s">
        <v>213</v>
      </c>
      <c r="E381" s="81"/>
      <c r="F381" s="81"/>
      <c r="G381" s="81" t="s">
        <v>40</v>
      </c>
      <c r="H381" s="81"/>
      <c r="I381" s="56">
        <v>798</v>
      </c>
      <c r="J381" s="56">
        <v>718</v>
      </c>
      <c r="K381" s="59">
        <v>747.857142857143</v>
      </c>
      <c r="L381" s="59">
        <v>685</v>
      </c>
      <c r="M381" s="59" t="e">
        <v>#DIV/0!</v>
      </c>
      <c r="N381" s="64">
        <v>720</v>
      </c>
      <c r="O381" s="64">
        <v>685</v>
      </c>
      <c r="P381" s="64">
        <v>585</v>
      </c>
      <c r="Q381" s="44" t="s">
        <v>42</v>
      </c>
      <c r="R381" s="69"/>
      <c r="S381" s="44" t="s">
        <v>446</v>
      </c>
      <c r="T381" s="45" t="s">
        <v>1199</v>
      </c>
      <c r="U381" s="45">
        <v>33110402601</v>
      </c>
      <c r="V381" s="45" t="s">
        <v>1200</v>
      </c>
      <c r="W381" s="43" t="s">
        <v>43</v>
      </c>
      <c r="X381" s="71" t="s">
        <v>43</v>
      </c>
      <c r="Y381" s="71" t="s">
        <v>40</v>
      </c>
      <c r="Z381" s="48" t="s">
        <v>43</v>
      </c>
      <c r="AA381" s="75">
        <v>3745</v>
      </c>
      <c r="AB381" s="75">
        <v>3365</v>
      </c>
      <c r="AC381" s="80">
        <v>3290</v>
      </c>
      <c r="AD381" s="80">
        <v>2965</v>
      </c>
      <c r="AE381" s="80">
        <v>2520</v>
      </c>
      <c r="AF381" s="79">
        <f t="shared" si="40"/>
        <v>14</v>
      </c>
      <c r="AG381" s="79" t="str">
        <f t="shared" si="41"/>
        <v>尿道裂成形费（常规）</v>
      </c>
      <c r="AH381" s="79">
        <f t="shared" si="42"/>
        <v>3120</v>
      </c>
      <c r="AI381" s="79">
        <f t="shared" si="43"/>
        <v>2965</v>
      </c>
      <c r="AJ381" s="79">
        <f t="shared" si="44"/>
        <v>2535</v>
      </c>
    </row>
    <row r="382" ht="19" customHeight="1" spans="1:36">
      <c r="A382" s="81" t="s">
        <v>81</v>
      </c>
      <c r="B382" s="81" t="s">
        <v>1197</v>
      </c>
      <c r="C382" s="81" t="s">
        <v>1198</v>
      </c>
      <c r="D382" s="81" t="s">
        <v>213</v>
      </c>
      <c r="E382" s="81"/>
      <c r="F382" s="81"/>
      <c r="G382" s="81" t="s">
        <v>40</v>
      </c>
      <c r="H382" s="81"/>
      <c r="I382" s="56">
        <v>798</v>
      </c>
      <c r="J382" s="56">
        <v>718</v>
      </c>
      <c r="K382" s="59">
        <v>747.857142857143</v>
      </c>
      <c r="L382" s="59">
        <v>685</v>
      </c>
      <c r="M382" s="59" t="e">
        <v>#DIV/0!</v>
      </c>
      <c r="N382" s="64">
        <v>720</v>
      </c>
      <c r="O382" s="64">
        <v>685</v>
      </c>
      <c r="P382" s="64">
        <v>585</v>
      </c>
      <c r="Q382" s="44" t="s">
        <v>42</v>
      </c>
      <c r="R382" s="69"/>
      <c r="S382" s="44" t="s">
        <v>446</v>
      </c>
      <c r="T382" s="45" t="s">
        <v>1201</v>
      </c>
      <c r="U382" s="45">
        <v>33110402301</v>
      </c>
      <c r="V382" s="45" t="s">
        <v>1202</v>
      </c>
      <c r="W382" s="43" t="s">
        <v>43</v>
      </c>
      <c r="X382" s="71" t="s">
        <v>43</v>
      </c>
      <c r="Y382" s="71" t="s">
        <v>40</v>
      </c>
      <c r="Z382" s="48" t="s">
        <v>43</v>
      </c>
      <c r="AA382" s="75">
        <v>3745</v>
      </c>
      <c r="AB382" s="75">
        <v>3365</v>
      </c>
      <c r="AC382" s="80">
        <v>3290</v>
      </c>
      <c r="AD382" s="80">
        <v>2965</v>
      </c>
      <c r="AE382" s="80">
        <v>2520</v>
      </c>
      <c r="AF382" s="79">
        <f t="shared" si="40"/>
        <v>14</v>
      </c>
      <c r="AG382" s="79" t="str">
        <f t="shared" si="41"/>
        <v>尿道裂成形费（常规）</v>
      </c>
      <c r="AH382" s="79">
        <f t="shared" si="42"/>
        <v>3120</v>
      </c>
      <c r="AI382" s="79">
        <f t="shared" si="43"/>
        <v>2965</v>
      </c>
      <c r="AJ382" s="79">
        <f t="shared" si="44"/>
        <v>2535</v>
      </c>
    </row>
    <row r="383" ht="19" customHeight="1" spans="1:36">
      <c r="A383" s="81" t="s">
        <v>81</v>
      </c>
      <c r="B383" s="81" t="s">
        <v>1197</v>
      </c>
      <c r="C383" s="81" t="s">
        <v>1198</v>
      </c>
      <c r="D383" s="81" t="s">
        <v>213</v>
      </c>
      <c r="E383" s="81"/>
      <c r="F383" s="81"/>
      <c r="G383" s="81" t="s">
        <v>40</v>
      </c>
      <c r="H383" s="81"/>
      <c r="I383" s="56">
        <v>798</v>
      </c>
      <c r="J383" s="56">
        <v>718</v>
      </c>
      <c r="K383" s="59">
        <v>747.857142857143</v>
      </c>
      <c r="L383" s="59">
        <v>685</v>
      </c>
      <c r="M383" s="59" t="e">
        <v>#DIV/0!</v>
      </c>
      <c r="N383" s="64">
        <v>720</v>
      </c>
      <c r="O383" s="64">
        <v>685</v>
      </c>
      <c r="P383" s="64">
        <v>585</v>
      </c>
      <c r="Q383" s="44" t="s">
        <v>42</v>
      </c>
      <c r="R383" s="69"/>
      <c r="S383" s="44" t="s">
        <v>446</v>
      </c>
      <c r="T383" s="45" t="s">
        <v>1203</v>
      </c>
      <c r="U383" s="45">
        <v>33110402401</v>
      </c>
      <c r="V383" s="45" t="s">
        <v>1204</v>
      </c>
      <c r="W383" s="43" t="s">
        <v>43</v>
      </c>
      <c r="X383" s="71" t="s">
        <v>43</v>
      </c>
      <c r="Y383" s="71" t="s">
        <v>40</v>
      </c>
      <c r="Z383" s="48" t="s">
        <v>43</v>
      </c>
      <c r="AA383" s="75">
        <v>3745</v>
      </c>
      <c r="AB383" s="75">
        <v>3365</v>
      </c>
      <c r="AC383" s="80">
        <v>3290</v>
      </c>
      <c r="AD383" s="80">
        <v>2965</v>
      </c>
      <c r="AE383" s="80">
        <v>2520</v>
      </c>
      <c r="AF383" s="79">
        <f t="shared" si="40"/>
        <v>14</v>
      </c>
      <c r="AG383" s="79" t="str">
        <f t="shared" si="41"/>
        <v>尿道裂成形费（常规）</v>
      </c>
      <c r="AH383" s="79">
        <f t="shared" si="42"/>
        <v>3120</v>
      </c>
      <c r="AI383" s="79">
        <f t="shared" si="43"/>
        <v>2965</v>
      </c>
      <c r="AJ383" s="79">
        <f t="shared" si="44"/>
        <v>2535</v>
      </c>
    </row>
    <row r="384" ht="19" customHeight="1" spans="1:36">
      <c r="A384" s="81" t="s">
        <v>81</v>
      </c>
      <c r="B384" s="81" t="s">
        <v>1197</v>
      </c>
      <c r="C384" s="81" t="s">
        <v>1198</v>
      </c>
      <c r="D384" s="81" t="s">
        <v>213</v>
      </c>
      <c r="E384" s="81"/>
      <c r="F384" s="81"/>
      <c r="G384" s="81" t="s">
        <v>40</v>
      </c>
      <c r="H384" s="81"/>
      <c r="I384" s="56">
        <v>798</v>
      </c>
      <c r="J384" s="56">
        <v>718</v>
      </c>
      <c r="K384" s="59">
        <v>747.857142857143</v>
      </c>
      <c r="L384" s="59">
        <v>685</v>
      </c>
      <c r="M384" s="59" t="e">
        <v>#DIV/0!</v>
      </c>
      <c r="N384" s="64">
        <v>720</v>
      </c>
      <c r="O384" s="64">
        <v>685</v>
      </c>
      <c r="P384" s="64">
        <v>585</v>
      </c>
      <c r="Q384" s="44" t="s">
        <v>42</v>
      </c>
      <c r="R384" s="69"/>
      <c r="S384" s="44" t="s">
        <v>446</v>
      </c>
      <c r="T384" s="45" t="s">
        <v>1205</v>
      </c>
      <c r="U384" s="45">
        <v>33110402501</v>
      </c>
      <c r="V384" s="45" t="s">
        <v>1206</v>
      </c>
      <c r="W384" s="43" t="s">
        <v>43</v>
      </c>
      <c r="X384" s="71" t="s">
        <v>43</v>
      </c>
      <c r="Y384" s="71" t="s">
        <v>40</v>
      </c>
      <c r="Z384" s="48" t="s">
        <v>43</v>
      </c>
      <c r="AA384" s="75">
        <v>1405</v>
      </c>
      <c r="AB384" s="75">
        <v>1260</v>
      </c>
      <c r="AC384" s="80">
        <v>1300</v>
      </c>
      <c r="AD384" s="80">
        <v>1250</v>
      </c>
      <c r="AE384" s="80">
        <v>1065</v>
      </c>
      <c r="AF384" s="79">
        <f t="shared" si="40"/>
        <v>14</v>
      </c>
      <c r="AG384" s="79" t="str">
        <f t="shared" si="41"/>
        <v>尿道裂成形费（常规）</v>
      </c>
      <c r="AH384" s="79">
        <f t="shared" si="42"/>
        <v>3120</v>
      </c>
      <c r="AI384" s="79">
        <f t="shared" si="43"/>
        <v>2965</v>
      </c>
      <c r="AJ384" s="79">
        <f t="shared" si="44"/>
        <v>2535</v>
      </c>
    </row>
    <row r="385" ht="19" customHeight="1" spans="1:36">
      <c r="A385" s="81" t="s">
        <v>81</v>
      </c>
      <c r="B385" s="81" t="s">
        <v>1197</v>
      </c>
      <c r="C385" s="81" t="s">
        <v>1198</v>
      </c>
      <c r="D385" s="81" t="s">
        <v>213</v>
      </c>
      <c r="E385" s="81"/>
      <c r="F385" s="81"/>
      <c r="G385" s="81" t="s">
        <v>40</v>
      </c>
      <c r="H385" s="81"/>
      <c r="I385" s="56">
        <v>798</v>
      </c>
      <c r="J385" s="56">
        <v>718</v>
      </c>
      <c r="K385" s="59">
        <v>747.857142857143</v>
      </c>
      <c r="L385" s="59">
        <v>685</v>
      </c>
      <c r="M385" s="59" t="e">
        <v>#DIV/0!</v>
      </c>
      <c r="N385" s="64">
        <v>720</v>
      </c>
      <c r="O385" s="64">
        <v>685</v>
      </c>
      <c r="P385" s="64">
        <v>585</v>
      </c>
      <c r="Q385" s="44" t="s">
        <v>42</v>
      </c>
      <c r="R385" s="69"/>
      <c r="S385" s="44" t="s">
        <v>446</v>
      </c>
      <c r="T385" s="45" t="s">
        <v>1207</v>
      </c>
      <c r="U385" s="45">
        <v>33110402701</v>
      </c>
      <c r="V385" s="45" t="s">
        <v>1208</v>
      </c>
      <c r="W385" s="43" t="s">
        <v>43</v>
      </c>
      <c r="X385" s="71" t="s">
        <v>43</v>
      </c>
      <c r="Y385" s="71" t="s">
        <v>40</v>
      </c>
      <c r="Z385" s="48" t="s">
        <v>43</v>
      </c>
      <c r="AA385" s="75">
        <v>3745</v>
      </c>
      <c r="AB385" s="75">
        <v>3365</v>
      </c>
      <c r="AC385" s="80">
        <v>3290</v>
      </c>
      <c r="AD385" s="80">
        <v>2965</v>
      </c>
      <c r="AE385" s="80">
        <v>2520</v>
      </c>
      <c r="AF385" s="79">
        <f t="shared" si="40"/>
        <v>14</v>
      </c>
      <c r="AG385" s="79" t="str">
        <f t="shared" si="41"/>
        <v>尿道裂成形费（常规）</v>
      </c>
      <c r="AH385" s="79">
        <f t="shared" si="42"/>
        <v>3120</v>
      </c>
      <c r="AI385" s="79">
        <f t="shared" si="43"/>
        <v>2965</v>
      </c>
      <c r="AJ385" s="79">
        <f t="shared" si="44"/>
        <v>2535</v>
      </c>
    </row>
    <row r="386" ht="19" customHeight="1" spans="1:36">
      <c r="A386" s="81" t="s">
        <v>81</v>
      </c>
      <c r="B386" s="81" t="s">
        <v>1197</v>
      </c>
      <c r="C386" s="81" t="s">
        <v>1198</v>
      </c>
      <c r="D386" s="81" t="s">
        <v>213</v>
      </c>
      <c r="E386" s="81"/>
      <c r="F386" s="81"/>
      <c r="G386" s="81" t="s">
        <v>40</v>
      </c>
      <c r="H386" s="81"/>
      <c r="I386" s="56">
        <v>798</v>
      </c>
      <c r="J386" s="56">
        <v>718</v>
      </c>
      <c r="K386" s="59">
        <v>747.857142857143</v>
      </c>
      <c r="L386" s="59">
        <v>685</v>
      </c>
      <c r="M386" s="59" t="e">
        <v>#DIV/0!</v>
      </c>
      <c r="N386" s="64">
        <v>720</v>
      </c>
      <c r="O386" s="64">
        <v>685</v>
      </c>
      <c r="P386" s="64">
        <v>585</v>
      </c>
      <c r="Q386" s="44" t="s">
        <v>42</v>
      </c>
      <c r="R386" s="69"/>
      <c r="S386" s="44" t="s">
        <v>446</v>
      </c>
      <c r="T386" s="45" t="s">
        <v>1209</v>
      </c>
      <c r="U386" s="45">
        <v>33110402802</v>
      </c>
      <c r="V386" s="45" t="s">
        <v>1210</v>
      </c>
      <c r="W386" s="43" t="s">
        <v>43</v>
      </c>
      <c r="X386" s="71" t="s">
        <v>43</v>
      </c>
      <c r="Y386" s="71" t="s">
        <v>40</v>
      </c>
      <c r="Z386" s="48" t="s">
        <v>43</v>
      </c>
      <c r="AA386" s="75">
        <v>3990</v>
      </c>
      <c r="AB386" s="75">
        <v>3590</v>
      </c>
      <c r="AC386" s="80">
        <v>3510</v>
      </c>
      <c r="AD386" s="80">
        <v>3160</v>
      </c>
      <c r="AE386" s="80">
        <v>2685</v>
      </c>
      <c r="AF386" s="79">
        <f t="shared" si="40"/>
        <v>14</v>
      </c>
      <c r="AG386" s="79" t="str">
        <f t="shared" si="41"/>
        <v>尿道裂成形费（常规）</v>
      </c>
      <c r="AH386" s="79">
        <f t="shared" si="42"/>
        <v>3120</v>
      </c>
      <c r="AI386" s="79">
        <f t="shared" si="43"/>
        <v>2965</v>
      </c>
      <c r="AJ386" s="79">
        <f t="shared" si="44"/>
        <v>2535</v>
      </c>
    </row>
    <row r="387" ht="19" customHeight="1" spans="1:36">
      <c r="A387" s="81" t="s">
        <v>81</v>
      </c>
      <c r="B387" s="81" t="s">
        <v>1197</v>
      </c>
      <c r="C387" s="81" t="s">
        <v>1198</v>
      </c>
      <c r="D387" s="81" t="s">
        <v>213</v>
      </c>
      <c r="E387" s="81"/>
      <c r="F387" s="81"/>
      <c r="G387" s="81" t="s">
        <v>40</v>
      </c>
      <c r="H387" s="81"/>
      <c r="I387" s="56">
        <v>798</v>
      </c>
      <c r="J387" s="56">
        <v>718</v>
      </c>
      <c r="K387" s="59">
        <v>747.857142857143</v>
      </c>
      <c r="L387" s="59">
        <v>685</v>
      </c>
      <c r="M387" s="59" t="e">
        <v>#DIV/0!</v>
      </c>
      <c r="N387" s="64">
        <v>720</v>
      </c>
      <c r="O387" s="64">
        <v>685</v>
      </c>
      <c r="P387" s="64">
        <v>585</v>
      </c>
      <c r="Q387" s="44" t="s">
        <v>42</v>
      </c>
      <c r="R387" s="69"/>
      <c r="S387" s="44" t="s">
        <v>446</v>
      </c>
      <c r="T387" s="45" t="s">
        <v>1211</v>
      </c>
      <c r="U387" s="45">
        <v>33110402803</v>
      </c>
      <c r="V387" s="45" t="s">
        <v>1212</v>
      </c>
      <c r="W387" s="43" t="s">
        <v>43</v>
      </c>
      <c r="X387" s="71" t="s">
        <v>43</v>
      </c>
      <c r="Y387" s="71" t="s">
        <v>40</v>
      </c>
      <c r="Z387" s="48" t="s">
        <v>1196</v>
      </c>
      <c r="AA387" s="75">
        <v>5030</v>
      </c>
      <c r="AB387" s="75">
        <v>4525</v>
      </c>
      <c r="AC387" s="80">
        <v>4445</v>
      </c>
      <c r="AD387" s="80">
        <v>4005</v>
      </c>
      <c r="AE387" s="80">
        <v>3405</v>
      </c>
      <c r="AF387" s="79">
        <f t="shared" si="40"/>
        <v>14</v>
      </c>
      <c r="AG387" s="79" t="str">
        <f t="shared" si="41"/>
        <v>尿道裂成形费（常规）</v>
      </c>
      <c r="AH387" s="79">
        <f t="shared" si="42"/>
        <v>3120</v>
      </c>
      <c r="AI387" s="79">
        <f t="shared" si="43"/>
        <v>2965</v>
      </c>
      <c r="AJ387" s="79">
        <f t="shared" si="44"/>
        <v>2535</v>
      </c>
    </row>
    <row r="388" ht="15" customHeight="1" spans="1:36">
      <c r="A388" s="44">
        <v>67</v>
      </c>
      <c r="B388" s="44" t="s">
        <v>1219</v>
      </c>
      <c r="C388" s="44" t="s">
        <v>1220</v>
      </c>
      <c r="D388" s="44" t="s">
        <v>213</v>
      </c>
      <c r="E388" s="44" t="s">
        <v>1221</v>
      </c>
      <c r="F388" s="44" t="s">
        <v>1222</v>
      </c>
      <c r="G388" s="44" t="s">
        <v>40</v>
      </c>
      <c r="H388" s="44"/>
      <c r="I388" s="56">
        <v>3301</v>
      </c>
      <c r="J388" s="56">
        <v>2971</v>
      </c>
      <c r="K388" s="57">
        <v>3040</v>
      </c>
      <c r="L388" s="55"/>
      <c r="M388" s="57">
        <v>2330</v>
      </c>
      <c r="N388" s="64">
        <v>3040</v>
      </c>
      <c r="O388" s="64">
        <v>2740</v>
      </c>
      <c r="P388" s="64">
        <v>2330</v>
      </c>
      <c r="Q388" s="44" t="s">
        <v>54</v>
      </c>
      <c r="R388" s="70" t="s">
        <v>55</v>
      </c>
      <c r="S388" s="44" t="s">
        <v>55</v>
      </c>
      <c r="T388" s="43" t="s">
        <v>1223</v>
      </c>
      <c r="U388" s="71">
        <v>331103013</v>
      </c>
      <c r="V388" s="43" t="s">
        <v>1224</v>
      </c>
      <c r="W388" s="43" t="s">
        <v>43</v>
      </c>
      <c r="X388" s="71" t="s">
        <v>43</v>
      </c>
      <c r="Y388" s="71" t="s">
        <v>40</v>
      </c>
      <c r="Z388" s="48" t="s">
        <v>43</v>
      </c>
      <c r="AA388" s="74" t="s">
        <v>43</v>
      </c>
      <c r="AB388" s="74" t="s">
        <v>43</v>
      </c>
      <c r="AC388" s="78" t="s">
        <v>43</v>
      </c>
      <c r="AD388" s="78" t="s">
        <v>43</v>
      </c>
      <c r="AE388" s="78" t="s">
        <v>43</v>
      </c>
      <c r="AF388" s="79">
        <f t="shared" si="40"/>
        <v>0</v>
      </c>
      <c r="AG388" s="79" t="str">
        <f t="shared" si="41"/>
        <v>尿流改道费</v>
      </c>
      <c r="AH388" s="79">
        <f t="shared" si="42"/>
        <v>3040</v>
      </c>
      <c r="AI388" s="79">
        <f t="shared" si="43"/>
        <v>2740</v>
      </c>
      <c r="AJ388" s="79">
        <f t="shared" si="44"/>
        <v>2330</v>
      </c>
    </row>
    <row r="389" s="30" customFormat="1" ht="15" customHeight="1" spans="1:36">
      <c r="A389" s="44">
        <v>67</v>
      </c>
      <c r="B389" s="44" t="s">
        <v>1219</v>
      </c>
      <c r="C389" s="44" t="s">
        <v>1220</v>
      </c>
      <c r="D389" s="44" t="s">
        <v>213</v>
      </c>
      <c r="E389" s="44" t="s">
        <v>1221</v>
      </c>
      <c r="F389" s="44" t="s">
        <v>1222</v>
      </c>
      <c r="G389" s="44" t="s">
        <v>40</v>
      </c>
      <c r="H389" s="44"/>
      <c r="I389" s="56">
        <v>3301</v>
      </c>
      <c r="J389" s="56">
        <v>2971</v>
      </c>
      <c r="K389" s="57">
        <v>3040</v>
      </c>
      <c r="L389" s="55"/>
      <c r="M389" s="57">
        <v>2330</v>
      </c>
      <c r="N389" s="64">
        <v>3040</v>
      </c>
      <c r="O389" s="64">
        <v>2740</v>
      </c>
      <c r="P389" s="64">
        <v>2330</v>
      </c>
      <c r="Q389" s="44" t="s">
        <v>54</v>
      </c>
      <c r="R389" s="70" t="s">
        <v>55</v>
      </c>
      <c r="S389" s="44" t="s">
        <v>55</v>
      </c>
      <c r="T389" s="45" t="s">
        <v>1225</v>
      </c>
      <c r="U389" s="45">
        <v>33110301302</v>
      </c>
      <c r="V389" s="45" t="s">
        <v>1226</v>
      </c>
      <c r="W389" s="43" t="s">
        <v>43</v>
      </c>
      <c r="X389" s="71" t="s">
        <v>43</v>
      </c>
      <c r="Y389" s="71" t="s">
        <v>40</v>
      </c>
      <c r="Z389" s="48" t="s">
        <v>43</v>
      </c>
      <c r="AA389" s="74" t="s">
        <v>43</v>
      </c>
      <c r="AB389" s="74" t="s">
        <v>43</v>
      </c>
      <c r="AC389" s="78" t="s">
        <v>43</v>
      </c>
      <c r="AD389" s="78" t="s">
        <v>43</v>
      </c>
      <c r="AE389" s="78" t="s">
        <v>43</v>
      </c>
      <c r="AF389" s="79">
        <f t="shared" si="40"/>
        <v>0</v>
      </c>
      <c r="AG389" s="79" t="str">
        <f t="shared" si="41"/>
        <v>尿流改道费</v>
      </c>
      <c r="AH389" s="79">
        <f t="shared" si="42"/>
        <v>3040</v>
      </c>
      <c r="AI389" s="79">
        <f t="shared" si="43"/>
        <v>2740</v>
      </c>
      <c r="AJ389" s="79">
        <f t="shared" si="44"/>
        <v>2330</v>
      </c>
    </row>
    <row r="390" ht="15" customHeight="1" spans="1:36">
      <c r="A390" s="44">
        <v>67</v>
      </c>
      <c r="B390" s="44" t="s">
        <v>1219</v>
      </c>
      <c r="C390" s="44" t="s">
        <v>1220</v>
      </c>
      <c r="D390" s="44" t="s">
        <v>213</v>
      </c>
      <c r="E390" s="44" t="s">
        <v>1221</v>
      </c>
      <c r="F390" s="44" t="s">
        <v>1222</v>
      </c>
      <c r="G390" s="44" t="s">
        <v>40</v>
      </c>
      <c r="H390" s="44"/>
      <c r="I390" s="56">
        <v>3301</v>
      </c>
      <c r="J390" s="56">
        <v>2971</v>
      </c>
      <c r="K390" s="57">
        <v>3040</v>
      </c>
      <c r="L390" s="55"/>
      <c r="M390" s="57">
        <v>2330</v>
      </c>
      <c r="N390" s="64">
        <v>3040</v>
      </c>
      <c r="O390" s="64">
        <v>2740</v>
      </c>
      <c r="P390" s="64">
        <v>2330</v>
      </c>
      <c r="Q390" s="44" t="s">
        <v>54</v>
      </c>
      <c r="R390" s="70" t="s">
        <v>55</v>
      </c>
      <c r="S390" s="44" t="s">
        <v>55</v>
      </c>
      <c r="T390" s="43" t="s">
        <v>1227</v>
      </c>
      <c r="U390" s="71">
        <v>331103008</v>
      </c>
      <c r="V390" s="43" t="s">
        <v>1228</v>
      </c>
      <c r="W390" s="43" t="s">
        <v>1229</v>
      </c>
      <c r="X390" s="71" t="s">
        <v>43</v>
      </c>
      <c r="Y390" s="71" t="s">
        <v>40</v>
      </c>
      <c r="Z390" s="48" t="s">
        <v>43</v>
      </c>
      <c r="AA390" s="75">
        <v>6000</v>
      </c>
      <c r="AB390" s="75">
        <v>5400</v>
      </c>
      <c r="AC390" s="80">
        <v>5160</v>
      </c>
      <c r="AD390" s="80">
        <v>4640</v>
      </c>
      <c r="AE390" s="80">
        <v>3940</v>
      </c>
      <c r="AF390" s="79">
        <f t="shared" ref="AF390:AF453" si="45">IFERROR(FIND("（加收）",C390,1),0)</f>
        <v>0</v>
      </c>
      <c r="AG390" s="79" t="str">
        <f t="shared" ref="AG390:AG453" si="46">IF(AF390&gt;0,LEFT(C390,IFERROR(FIND("-",C390,1),1)-1),C390)</f>
        <v>尿流改道费</v>
      </c>
      <c r="AH390" s="79">
        <f t="shared" si="42"/>
        <v>3040</v>
      </c>
      <c r="AI390" s="79">
        <f t="shared" si="43"/>
        <v>2740</v>
      </c>
      <c r="AJ390" s="79">
        <f t="shared" si="44"/>
        <v>2330</v>
      </c>
    </row>
    <row r="391" ht="15" customHeight="1" spans="1:36">
      <c r="A391" s="44">
        <v>67</v>
      </c>
      <c r="B391" s="44" t="s">
        <v>1219</v>
      </c>
      <c r="C391" s="44" t="s">
        <v>1220</v>
      </c>
      <c r="D391" s="44" t="s">
        <v>213</v>
      </c>
      <c r="E391" s="44" t="s">
        <v>1221</v>
      </c>
      <c r="F391" s="44" t="s">
        <v>1222</v>
      </c>
      <c r="G391" s="44" t="s">
        <v>40</v>
      </c>
      <c r="H391" s="44"/>
      <c r="I391" s="56">
        <v>3301</v>
      </c>
      <c r="J391" s="56">
        <v>2971</v>
      </c>
      <c r="K391" s="57">
        <v>3040</v>
      </c>
      <c r="L391" s="55"/>
      <c r="M391" s="57">
        <v>2330</v>
      </c>
      <c r="N391" s="64">
        <v>3040</v>
      </c>
      <c r="O391" s="64">
        <v>2740</v>
      </c>
      <c r="P391" s="64">
        <v>2330</v>
      </c>
      <c r="Q391" s="44" t="s">
        <v>54</v>
      </c>
      <c r="R391" s="70" t="s">
        <v>55</v>
      </c>
      <c r="S391" s="44" t="s">
        <v>55</v>
      </c>
      <c r="T391" s="43" t="s">
        <v>1230</v>
      </c>
      <c r="U391" s="71">
        <v>33110300802</v>
      </c>
      <c r="V391" s="43" t="s">
        <v>1231</v>
      </c>
      <c r="W391" s="43" t="s">
        <v>43</v>
      </c>
      <c r="X391" s="71" t="s">
        <v>43</v>
      </c>
      <c r="Y391" s="71" t="s">
        <v>40</v>
      </c>
      <c r="Z391" s="48" t="s">
        <v>43</v>
      </c>
      <c r="AA391" s="75">
        <v>6800</v>
      </c>
      <c r="AB391" s="75">
        <v>6120</v>
      </c>
      <c r="AC391" s="80">
        <v>5785</v>
      </c>
      <c r="AD391" s="80">
        <v>5240</v>
      </c>
      <c r="AE391" s="80">
        <v>4450</v>
      </c>
      <c r="AF391" s="79">
        <f t="shared" si="45"/>
        <v>0</v>
      </c>
      <c r="AG391" s="79" t="str">
        <f t="shared" si="46"/>
        <v>尿流改道费</v>
      </c>
      <c r="AH391" s="79">
        <f t="shared" si="42"/>
        <v>3040</v>
      </c>
      <c r="AI391" s="79">
        <f t="shared" si="43"/>
        <v>2740</v>
      </c>
      <c r="AJ391" s="79">
        <f t="shared" si="44"/>
        <v>2330</v>
      </c>
    </row>
    <row r="392" ht="15" customHeight="1" spans="1:36">
      <c r="A392" s="44">
        <v>67</v>
      </c>
      <c r="B392" s="44" t="s">
        <v>1219</v>
      </c>
      <c r="C392" s="44" t="s">
        <v>1220</v>
      </c>
      <c r="D392" s="44" t="s">
        <v>213</v>
      </c>
      <c r="E392" s="44" t="s">
        <v>1221</v>
      </c>
      <c r="F392" s="44" t="s">
        <v>1222</v>
      </c>
      <c r="G392" s="44" t="s">
        <v>40</v>
      </c>
      <c r="H392" s="44"/>
      <c r="I392" s="56">
        <v>3301</v>
      </c>
      <c r="J392" s="56">
        <v>2971</v>
      </c>
      <c r="K392" s="57">
        <v>3040</v>
      </c>
      <c r="L392" s="55"/>
      <c r="M392" s="57">
        <v>2330</v>
      </c>
      <c r="N392" s="64">
        <v>3040</v>
      </c>
      <c r="O392" s="64">
        <v>2740</v>
      </c>
      <c r="P392" s="64">
        <v>2330</v>
      </c>
      <c r="Q392" s="44" t="s">
        <v>54</v>
      </c>
      <c r="R392" s="70" t="s">
        <v>55</v>
      </c>
      <c r="S392" s="44" t="s">
        <v>55</v>
      </c>
      <c r="T392" s="43" t="s">
        <v>1232</v>
      </c>
      <c r="U392" s="71">
        <v>331103009</v>
      </c>
      <c r="V392" s="43" t="s">
        <v>1233</v>
      </c>
      <c r="W392" s="43" t="s">
        <v>1234</v>
      </c>
      <c r="X392" s="71" t="s">
        <v>43</v>
      </c>
      <c r="Y392" s="71" t="s">
        <v>40</v>
      </c>
      <c r="Z392" s="48" t="s">
        <v>43</v>
      </c>
      <c r="AA392" s="75">
        <v>3460</v>
      </c>
      <c r="AB392" s="75">
        <v>3110</v>
      </c>
      <c r="AC392" s="80">
        <v>3040</v>
      </c>
      <c r="AD392" s="80">
        <v>2740</v>
      </c>
      <c r="AE392" s="80">
        <v>2330</v>
      </c>
      <c r="AF392" s="79">
        <f t="shared" si="45"/>
        <v>0</v>
      </c>
      <c r="AG392" s="79" t="str">
        <f t="shared" si="46"/>
        <v>尿流改道费</v>
      </c>
      <c r="AH392" s="79">
        <f t="shared" si="42"/>
        <v>3040</v>
      </c>
      <c r="AI392" s="79">
        <f t="shared" si="43"/>
        <v>2740</v>
      </c>
      <c r="AJ392" s="79">
        <f t="shared" si="44"/>
        <v>2330</v>
      </c>
    </row>
    <row r="393" ht="15" customHeight="1" spans="1:36">
      <c r="A393" s="44">
        <v>67</v>
      </c>
      <c r="B393" s="44" t="s">
        <v>1219</v>
      </c>
      <c r="C393" s="44" t="s">
        <v>1220</v>
      </c>
      <c r="D393" s="44" t="s">
        <v>213</v>
      </c>
      <c r="E393" s="44" t="s">
        <v>1221</v>
      </c>
      <c r="F393" s="44" t="s">
        <v>1222</v>
      </c>
      <c r="G393" s="44" t="s">
        <v>40</v>
      </c>
      <c r="H393" s="44"/>
      <c r="I393" s="56">
        <v>3301</v>
      </c>
      <c r="J393" s="56">
        <v>2971</v>
      </c>
      <c r="K393" s="57">
        <v>3040</v>
      </c>
      <c r="L393" s="55"/>
      <c r="M393" s="57">
        <v>2330</v>
      </c>
      <c r="N393" s="64">
        <v>3040</v>
      </c>
      <c r="O393" s="64">
        <v>2740</v>
      </c>
      <c r="P393" s="64">
        <v>2330</v>
      </c>
      <c r="Q393" s="44" t="s">
        <v>54</v>
      </c>
      <c r="R393" s="70" t="s">
        <v>55</v>
      </c>
      <c r="S393" s="44" t="s">
        <v>55</v>
      </c>
      <c r="T393" s="43" t="s">
        <v>1235</v>
      </c>
      <c r="U393" s="71">
        <v>33110300902</v>
      </c>
      <c r="V393" s="71" t="s">
        <v>1236</v>
      </c>
      <c r="W393" s="43" t="s">
        <v>43</v>
      </c>
      <c r="X393" s="71" t="s">
        <v>43</v>
      </c>
      <c r="Y393" s="71" t="s">
        <v>40</v>
      </c>
      <c r="Z393" s="48" t="s">
        <v>43</v>
      </c>
      <c r="AA393" s="75">
        <v>4260</v>
      </c>
      <c r="AB393" s="75">
        <v>3830</v>
      </c>
      <c r="AC393" s="80">
        <v>3665</v>
      </c>
      <c r="AD393" s="80">
        <v>3340</v>
      </c>
      <c r="AE393" s="80">
        <v>2840</v>
      </c>
      <c r="AF393" s="79">
        <f t="shared" si="45"/>
        <v>0</v>
      </c>
      <c r="AG393" s="79" t="str">
        <f t="shared" si="46"/>
        <v>尿流改道费</v>
      </c>
      <c r="AH393" s="79">
        <f t="shared" si="42"/>
        <v>3040</v>
      </c>
      <c r="AI393" s="79">
        <f t="shared" si="43"/>
        <v>2740</v>
      </c>
      <c r="AJ393" s="79">
        <f t="shared" si="44"/>
        <v>2330</v>
      </c>
    </row>
    <row r="394" ht="15" customHeight="1" spans="1:36">
      <c r="A394" s="44">
        <v>67</v>
      </c>
      <c r="B394" s="44" t="s">
        <v>1219</v>
      </c>
      <c r="C394" s="44" t="s">
        <v>1220</v>
      </c>
      <c r="D394" s="44" t="s">
        <v>213</v>
      </c>
      <c r="E394" s="44" t="s">
        <v>1221</v>
      </c>
      <c r="F394" s="44" t="s">
        <v>1222</v>
      </c>
      <c r="G394" s="44" t="s">
        <v>40</v>
      </c>
      <c r="H394" s="44"/>
      <c r="I394" s="56">
        <v>3301</v>
      </c>
      <c r="J394" s="56">
        <v>2971</v>
      </c>
      <c r="K394" s="57">
        <v>3040</v>
      </c>
      <c r="L394" s="55"/>
      <c r="M394" s="57">
        <v>2330</v>
      </c>
      <c r="N394" s="64">
        <v>3040</v>
      </c>
      <c r="O394" s="64">
        <v>2740</v>
      </c>
      <c r="P394" s="64">
        <v>2330</v>
      </c>
      <c r="Q394" s="44" t="s">
        <v>54</v>
      </c>
      <c r="R394" s="70" t="s">
        <v>55</v>
      </c>
      <c r="S394" s="44" t="s">
        <v>55</v>
      </c>
      <c r="T394" s="43" t="s">
        <v>1237</v>
      </c>
      <c r="U394" s="71">
        <v>331103012</v>
      </c>
      <c r="V394" s="43" t="s">
        <v>1238</v>
      </c>
      <c r="W394" s="43" t="s">
        <v>1239</v>
      </c>
      <c r="X394" s="71" t="s">
        <v>43</v>
      </c>
      <c r="Y394" s="71" t="s">
        <v>40</v>
      </c>
      <c r="Z394" s="48" t="s">
        <v>43</v>
      </c>
      <c r="AA394" s="75">
        <v>3070</v>
      </c>
      <c r="AB394" s="75">
        <v>2760</v>
      </c>
      <c r="AC394" s="80">
        <v>2700</v>
      </c>
      <c r="AD394" s="80">
        <v>2430</v>
      </c>
      <c r="AE394" s="80">
        <v>2070</v>
      </c>
      <c r="AF394" s="79">
        <f t="shared" si="45"/>
        <v>0</v>
      </c>
      <c r="AG394" s="79" t="str">
        <f t="shared" si="46"/>
        <v>尿流改道费</v>
      </c>
      <c r="AH394" s="79">
        <f t="shared" si="42"/>
        <v>3040</v>
      </c>
      <c r="AI394" s="79">
        <f t="shared" si="43"/>
        <v>2740</v>
      </c>
      <c r="AJ394" s="79">
        <f t="shared" si="44"/>
        <v>2330</v>
      </c>
    </row>
    <row r="395" ht="15" customHeight="1" spans="1:36">
      <c r="A395" s="44">
        <v>67</v>
      </c>
      <c r="B395" s="44" t="s">
        <v>1219</v>
      </c>
      <c r="C395" s="44" t="s">
        <v>1220</v>
      </c>
      <c r="D395" s="44" t="s">
        <v>213</v>
      </c>
      <c r="E395" s="44" t="s">
        <v>1221</v>
      </c>
      <c r="F395" s="44" t="s">
        <v>1222</v>
      </c>
      <c r="G395" s="44" t="s">
        <v>40</v>
      </c>
      <c r="H395" s="44"/>
      <c r="I395" s="56">
        <v>3301</v>
      </c>
      <c r="J395" s="56">
        <v>2971</v>
      </c>
      <c r="K395" s="57">
        <v>3040</v>
      </c>
      <c r="L395" s="55"/>
      <c r="M395" s="57">
        <v>2330</v>
      </c>
      <c r="N395" s="64">
        <v>3040</v>
      </c>
      <c r="O395" s="64">
        <v>2740</v>
      </c>
      <c r="P395" s="64">
        <v>2330</v>
      </c>
      <c r="Q395" s="44" t="s">
        <v>54</v>
      </c>
      <c r="R395" s="70" t="s">
        <v>55</v>
      </c>
      <c r="S395" s="44" t="s">
        <v>55</v>
      </c>
      <c r="T395" s="43" t="s">
        <v>1240</v>
      </c>
      <c r="U395" s="71">
        <v>33110301202</v>
      </c>
      <c r="V395" s="43" t="s">
        <v>1241</v>
      </c>
      <c r="W395" s="43" t="s">
        <v>43</v>
      </c>
      <c r="X395" s="71" t="s">
        <v>43</v>
      </c>
      <c r="Y395" s="71" t="s">
        <v>40</v>
      </c>
      <c r="Z395" s="48" t="s">
        <v>43</v>
      </c>
      <c r="AA395" s="75">
        <v>3870</v>
      </c>
      <c r="AB395" s="75">
        <v>3480</v>
      </c>
      <c r="AC395" s="80">
        <v>3325</v>
      </c>
      <c r="AD395" s="80">
        <v>3030</v>
      </c>
      <c r="AE395" s="80">
        <v>2580</v>
      </c>
      <c r="AF395" s="79">
        <f t="shared" si="45"/>
        <v>0</v>
      </c>
      <c r="AG395" s="79" t="str">
        <f t="shared" si="46"/>
        <v>尿流改道费</v>
      </c>
      <c r="AH395" s="79">
        <f t="shared" si="42"/>
        <v>3040</v>
      </c>
      <c r="AI395" s="79">
        <f t="shared" si="43"/>
        <v>2740</v>
      </c>
      <c r="AJ395" s="79">
        <f t="shared" si="44"/>
        <v>2330</v>
      </c>
    </row>
    <row r="396" ht="15" customHeight="1" spans="1:36">
      <c r="A396" s="44">
        <v>67</v>
      </c>
      <c r="B396" s="44" t="s">
        <v>1219</v>
      </c>
      <c r="C396" s="44" t="s">
        <v>1220</v>
      </c>
      <c r="D396" s="44" t="s">
        <v>213</v>
      </c>
      <c r="E396" s="44" t="s">
        <v>1221</v>
      </c>
      <c r="F396" s="44" t="s">
        <v>1222</v>
      </c>
      <c r="G396" s="44" t="s">
        <v>40</v>
      </c>
      <c r="H396" s="44"/>
      <c r="I396" s="56">
        <v>3301</v>
      </c>
      <c r="J396" s="56">
        <v>2971</v>
      </c>
      <c r="K396" s="57">
        <v>3040</v>
      </c>
      <c r="L396" s="55"/>
      <c r="M396" s="57">
        <v>2330</v>
      </c>
      <c r="N396" s="64">
        <v>3040</v>
      </c>
      <c r="O396" s="64">
        <v>2740</v>
      </c>
      <c r="P396" s="64">
        <v>2330</v>
      </c>
      <c r="Q396" s="44" t="s">
        <v>54</v>
      </c>
      <c r="R396" s="70" t="s">
        <v>55</v>
      </c>
      <c r="S396" s="44" t="s">
        <v>55</v>
      </c>
      <c r="T396" s="43" t="s">
        <v>1242</v>
      </c>
      <c r="U396" s="71">
        <v>331103011</v>
      </c>
      <c r="V396" s="43" t="s">
        <v>1243</v>
      </c>
      <c r="W396" s="43" t="s">
        <v>1244</v>
      </c>
      <c r="X396" s="71" t="s">
        <v>43</v>
      </c>
      <c r="Y396" s="71" t="s">
        <v>40</v>
      </c>
      <c r="Z396" s="48" t="s">
        <v>43</v>
      </c>
      <c r="AA396" s="75">
        <v>3460</v>
      </c>
      <c r="AB396" s="75">
        <v>3110</v>
      </c>
      <c r="AC396" s="80">
        <v>3040</v>
      </c>
      <c r="AD396" s="80">
        <v>2740</v>
      </c>
      <c r="AE396" s="80">
        <v>2330</v>
      </c>
      <c r="AF396" s="79">
        <f t="shared" si="45"/>
        <v>0</v>
      </c>
      <c r="AG396" s="79" t="str">
        <f t="shared" si="46"/>
        <v>尿流改道费</v>
      </c>
      <c r="AH396" s="79">
        <f t="shared" si="42"/>
        <v>3040</v>
      </c>
      <c r="AI396" s="79">
        <f t="shared" si="43"/>
        <v>2740</v>
      </c>
      <c r="AJ396" s="79">
        <f t="shared" si="44"/>
        <v>2330</v>
      </c>
    </row>
    <row r="397" ht="15" customHeight="1" spans="1:36">
      <c r="A397" s="44">
        <v>67</v>
      </c>
      <c r="B397" s="44" t="s">
        <v>1219</v>
      </c>
      <c r="C397" s="44" t="s">
        <v>1220</v>
      </c>
      <c r="D397" s="44" t="s">
        <v>213</v>
      </c>
      <c r="E397" s="44" t="s">
        <v>1221</v>
      </c>
      <c r="F397" s="44" t="s">
        <v>1222</v>
      </c>
      <c r="G397" s="44" t="s">
        <v>40</v>
      </c>
      <c r="H397" s="44"/>
      <c r="I397" s="56">
        <v>3301</v>
      </c>
      <c r="J397" s="56">
        <v>2971</v>
      </c>
      <c r="K397" s="57">
        <v>3040</v>
      </c>
      <c r="L397" s="55"/>
      <c r="M397" s="57">
        <v>2330</v>
      </c>
      <c r="N397" s="64">
        <v>3040</v>
      </c>
      <c r="O397" s="64">
        <v>2740</v>
      </c>
      <c r="P397" s="64">
        <v>2330</v>
      </c>
      <c r="Q397" s="44" t="s">
        <v>54</v>
      </c>
      <c r="R397" s="70" t="s">
        <v>55</v>
      </c>
      <c r="S397" s="44" t="s">
        <v>55</v>
      </c>
      <c r="T397" s="43" t="s">
        <v>1245</v>
      </c>
      <c r="U397" s="71">
        <v>33110301102</v>
      </c>
      <c r="V397" s="43" t="s">
        <v>1246</v>
      </c>
      <c r="W397" s="43" t="s">
        <v>43</v>
      </c>
      <c r="X397" s="71" t="s">
        <v>43</v>
      </c>
      <c r="Y397" s="71" t="s">
        <v>40</v>
      </c>
      <c r="Z397" s="48" t="s">
        <v>43</v>
      </c>
      <c r="AA397" s="75">
        <v>4260</v>
      </c>
      <c r="AB397" s="75">
        <v>3830</v>
      </c>
      <c r="AC397" s="80">
        <v>3665</v>
      </c>
      <c r="AD397" s="80">
        <v>3340</v>
      </c>
      <c r="AE397" s="80">
        <v>2840</v>
      </c>
      <c r="AF397" s="79">
        <f t="shared" si="45"/>
        <v>0</v>
      </c>
      <c r="AG397" s="79" t="str">
        <f t="shared" si="46"/>
        <v>尿流改道费</v>
      </c>
      <c r="AH397" s="79">
        <f t="shared" si="42"/>
        <v>3040</v>
      </c>
      <c r="AI397" s="79">
        <f t="shared" si="43"/>
        <v>2740</v>
      </c>
      <c r="AJ397" s="79">
        <f t="shared" si="44"/>
        <v>2330</v>
      </c>
    </row>
    <row r="398" ht="15" customHeight="1" spans="1:36">
      <c r="A398" s="81" t="s">
        <v>81</v>
      </c>
      <c r="B398" s="81" t="s">
        <v>1247</v>
      </c>
      <c r="C398" s="81" t="s">
        <v>1248</v>
      </c>
      <c r="D398" s="81" t="s">
        <v>213</v>
      </c>
      <c r="E398" s="81"/>
      <c r="F398" s="81"/>
      <c r="G398" s="81" t="s">
        <v>40</v>
      </c>
      <c r="H398" s="81"/>
      <c r="I398" s="56">
        <v>880</v>
      </c>
      <c r="J398" s="56">
        <v>792</v>
      </c>
      <c r="K398" s="54"/>
      <c r="L398" s="54"/>
      <c r="M398" s="54"/>
      <c r="N398" s="64">
        <v>810</v>
      </c>
      <c r="O398" s="64">
        <v>730</v>
      </c>
      <c r="P398" s="64">
        <v>620</v>
      </c>
      <c r="Q398" s="44" t="s">
        <v>54</v>
      </c>
      <c r="R398" s="69"/>
      <c r="S398" s="44" t="s">
        <v>1249</v>
      </c>
      <c r="T398" s="43" t="s">
        <v>1250</v>
      </c>
      <c r="U398" s="71">
        <v>331103014</v>
      </c>
      <c r="V398" s="43" t="s">
        <v>1251</v>
      </c>
      <c r="W398" s="43" t="s">
        <v>43</v>
      </c>
      <c r="X398" s="71" t="s">
        <v>43</v>
      </c>
      <c r="Y398" s="71" t="s">
        <v>40</v>
      </c>
      <c r="Z398" s="48" t="s">
        <v>43</v>
      </c>
      <c r="AA398" s="75">
        <v>3840</v>
      </c>
      <c r="AB398" s="75">
        <v>3460</v>
      </c>
      <c r="AC398" s="80">
        <v>3380</v>
      </c>
      <c r="AD398" s="80">
        <v>3040</v>
      </c>
      <c r="AE398" s="80">
        <v>2580</v>
      </c>
      <c r="AF398" s="79">
        <f t="shared" si="45"/>
        <v>16</v>
      </c>
      <c r="AG398" s="79" t="str">
        <f t="shared" si="46"/>
        <v>尿流改道费</v>
      </c>
      <c r="AH398" s="79">
        <f t="shared" si="42"/>
        <v>3850</v>
      </c>
      <c r="AI398" s="79">
        <f t="shared" si="43"/>
        <v>3470</v>
      </c>
      <c r="AJ398" s="79">
        <f t="shared" si="44"/>
        <v>2950</v>
      </c>
    </row>
    <row r="399" ht="15" customHeight="1" spans="1:36">
      <c r="A399" s="81" t="s">
        <v>81</v>
      </c>
      <c r="B399" s="81" t="s">
        <v>1247</v>
      </c>
      <c r="C399" s="81" t="s">
        <v>1248</v>
      </c>
      <c r="D399" s="81" t="s">
        <v>213</v>
      </c>
      <c r="E399" s="81"/>
      <c r="F399" s="81"/>
      <c r="G399" s="81" t="s">
        <v>40</v>
      </c>
      <c r="H399" s="81"/>
      <c r="I399" s="56">
        <v>880</v>
      </c>
      <c r="J399" s="56">
        <v>792</v>
      </c>
      <c r="K399" s="54"/>
      <c r="L399" s="54"/>
      <c r="M399" s="54"/>
      <c r="N399" s="64">
        <v>810</v>
      </c>
      <c r="O399" s="64">
        <v>730</v>
      </c>
      <c r="P399" s="64">
        <v>620</v>
      </c>
      <c r="Q399" s="44" t="s">
        <v>54</v>
      </c>
      <c r="R399" s="69"/>
      <c r="S399" s="44" t="s">
        <v>1249</v>
      </c>
      <c r="T399" s="45" t="s">
        <v>1252</v>
      </c>
      <c r="U399" s="45">
        <v>33110301401</v>
      </c>
      <c r="V399" s="45" t="s">
        <v>1253</v>
      </c>
      <c r="W399" s="43" t="s">
        <v>43</v>
      </c>
      <c r="X399" s="71" t="s">
        <v>43</v>
      </c>
      <c r="Y399" s="71" t="s">
        <v>40</v>
      </c>
      <c r="Z399" s="48" t="s">
        <v>43</v>
      </c>
      <c r="AA399" s="75">
        <v>4990</v>
      </c>
      <c r="AB399" s="75">
        <v>4500</v>
      </c>
      <c r="AC399" s="80">
        <v>4395</v>
      </c>
      <c r="AD399" s="80">
        <v>3950</v>
      </c>
      <c r="AE399" s="80">
        <v>3360</v>
      </c>
      <c r="AF399" s="79">
        <f t="shared" si="45"/>
        <v>16</v>
      </c>
      <c r="AG399" s="79" t="str">
        <f t="shared" si="46"/>
        <v>尿流改道费</v>
      </c>
      <c r="AH399" s="79">
        <f t="shared" si="42"/>
        <v>3850</v>
      </c>
      <c r="AI399" s="79">
        <f t="shared" si="43"/>
        <v>3470</v>
      </c>
      <c r="AJ399" s="79">
        <f t="shared" si="44"/>
        <v>2950</v>
      </c>
    </row>
    <row r="400" ht="15" customHeight="1" spans="1:36">
      <c r="A400" s="81" t="s">
        <v>81</v>
      </c>
      <c r="B400" s="81" t="s">
        <v>1247</v>
      </c>
      <c r="C400" s="81" t="s">
        <v>1248</v>
      </c>
      <c r="D400" s="81" t="s">
        <v>213</v>
      </c>
      <c r="E400" s="81"/>
      <c r="F400" s="81"/>
      <c r="G400" s="81" t="s">
        <v>40</v>
      </c>
      <c r="H400" s="81"/>
      <c r="I400" s="56">
        <v>880</v>
      </c>
      <c r="J400" s="56">
        <v>792</v>
      </c>
      <c r="K400" s="54"/>
      <c r="L400" s="54"/>
      <c r="M400" s="54"/>
      <c r="N400" s="64">
        <v>810</v>
      </c>
      <c r="O400" s="64">
        <v>730</v>
      </c>
      <c r="P400" s="64">
        <v>620</v>
      </c>
      <c r="Q400" s="44" t="s">
        <v>54</v>
      </c>
      <c r="R400" s="69"/>
      <c r="S400" s="44" t="s">
        <v>1249</v>
      </c>
      <c r="T400" s="45" t="s">
        <v>1254</v>
      </c>
      <c r="U400" s="45">
        <v>33110301402</v>
      </c>
      <c r="V400" s="45" t="s">
        <v>1255</v>
      </c>
      <c r="W400" s="43" t="s">
        <v>43</v>
      </c>
      <c r="X400" s="71" t="s">
        <v>43</v>
      </c>
      <c r="Y400" s="71" t="s">
        <v>40</v>
      </c>
      <c r="Z400" s="48" t="s">
        <v>43</v>
      </c>
      <c r="AA400" s="75">
        <v>4640</v>
      </c>
      <c r="AB400" s="75">
        <v>4180</v>
      </c>
      <c r="AC400" s="80">
        <v>4005</v>
      </c>
      <c r="AD400" s="80">
        <v>3640</v>
      </c>
      <c r="AE400" s="80">
        <v>3090</v>
      </c>
      <c r="AF400" s="79">
        <f t="shared" si="45"/>
        <v>16</v>
      </c>
      <c r="AG400" s="79" t="str">
        <f t="shared" si="46"/>
        <v>尿流改道费</v>
      </c>
      <c r="AH400" s="79">
        <f t="shared" si="42"/>
        <v>3850</v>
      </c>
      <c r="AI400" s="79">
        <f t="shared" si="43"/>
        <v>3470</v>
      </c>
      <c r="AJ400" s="79">
        <f t="shared" si="44"/>
        <v>2950</v>
      </c>
    </row>
    <row r="401" ht="15" customHeight="1" spans="1:36">
      <c r="A401" s="81" t="s">
        <v>81</v>
      </c>
      <c r="B401" s="81" t="s">
        <v>1247</v>
      </c>
      <c r="C401" s="81" t="s">
        <v>1248</v>
      </c>
      <c r="D401" s="81" t="s">
        <v>213</v>
      </c>
      <c r="E401" s="81"/>
      <c r="F401" s="81"/>
      <c r="G401" s="81" t="s">
        <v>40</v>
      </c>
      <c r="H401" s="81"/>
      <c r="I401" s="56">
        <v>880</v>
      </c>
      <c r="J401" s="56">
        <v>792</v>
      </c>
      <c r="K401" s="54"/>
      <c r="L401" s="54"/>
      <c r="M401" s="54"/>
      <c r="N401" s="64">
        <v>810</v>
      </c>
      <c r="O401" s="64">
        <v>730</v>
      </c>
      <c r="P401" s="64">
        <v>620</v>
      </c>
      <c r="Q401" s="44" t="s">
        <v>54</v>
      </c>
      <c r="R401" s="69"/>
      <c r="S401" s="44" t="s">
        <v>1249</v>
      </c>
      <c r="T401" s="45" t="s">
        <v>1256</v>
      </c>
      <c r="U401" s="45">
        <v>33110301403</v>
      </c>
      <c r="V401" s="45" t="s">
        <v>1257</v>
      </c>
      <c r="W401" s="43" t="s">
        <v>43</v>
      </c>
      <c r="X401" s="71" t="s">
        <v>43</v>
      </c>
      <c r="Y401" s="71" t="s">
        <v>40</v>
      </c>
      <c r="Z401" s="48" t="s">
        <v>43</v>
      </c>
      <c r="AA401" s="75">
        <v>5790</v>
      </c>
      <c r="AB401" s="75">
        <v>5220</v>
      </c>
      <c r="AC401" s="80">
        <v>5020</v>
      </c>
      <c r="AD401" s="80">
        <v>4550</v>
      </c>
      <c r="AE401" s="80">
        <v>3870</v>
      </c>
      <c r="AF401" s="79">
        <f t="shared" si="45"/>
        <v>16</v>
      </c>
      <c r="AG401" s="79" t="str">
        <f t="shared" si="46"/>
        <v>尿流改道费</v>
      </c>
      <c r="AH401" s="79">
        <f t="shared" si="42"/>
        <v>3850</v>
      </c>
      <c r="AI401" s="79">
        <f t="shared" si="43"/>
        <v>3470</v>
      </c>
      <c r="AJ401" s="79">
        <f t="shared" si="44"/>
        <v>2950</v>
      </c>
    </row>
    <row r="402" ht="15" customHeight="1" spans="1:36">
      <c r="A402" s="81" t="s">
        <v>81</v>
      </c>
      <c r="B402" s="81" t="s">
        <v>1247</v>
      </c>
      <c r="C402" s="81" t="s">
        <v>1248</v>
      </c>
      <c r="D402" s="81" t="s">
        <v>213</v>
      </c>
      <c r="E402" s="81"/>
      <c r="F402" s="81"/>
      <c r="G402" s="81" t="s">
        <v>40</v>
      </c>
      <c r="H402" s="81"/>
      <c r="I402" s="56">
        <v>880</v>
      </c>
      <c r="J402" s="56">
        <v>792</v>
      </c>
      <c r="K402" s="54"/>
      <c r="L402" s="54"/>
      <c r="M402" s="54"/>
      <c r="N402" s="64">
        <v>810</v>
      </c>
      <c r="O402" s="64">
        <v>730</v>
      </c>
      <c r="P402" s="64">
        <v>620</v>
      </c>
      <c r="Q402" s="44" t="s">
        <v>54</v>
      </c>
      <c r="R402" s="69"/>
      <c r="S402" s="44" t="s">
        <v>1249</v>
      </c>
      <c r="T402" s="43" t="s">
        <v>1258</v>
      </c>
      <c r="U402" s="71">
        <v>331103010</v>
      </c>
      <c r="V402" s="43" t="s">
        <v>1259</v>
      </c>
      <c r="W402" s="43" t="s">
        <v>1234</v>
      </c>
      <c r="X402" s="71" t="s">
        <v>43</v>
      </c>
      <c r="Y402" s="71" t="s">
        <v>40</v>
      </c>
      <c r="Z402" s="48" t="s">
        <v>43</v>
      </c>
      <c r="AA402" s="75">
        <v>4800</v>
      </c>
      <c r="AB402" s="75">
        <v>4320</v>
      </c>
      <c r="AC402" s="80">
        <v>4130</v>
      </c>
      <c r="AD402" s="80">
        <v>3720</v>
      </c>
      <c r="AE402" s="80">
        <v>3160</v>
      </c>
      <c r="AF402" s="79">
        <f t="shared" si="45"/>
        <v>16</v>
      </c>
      <c r="AG402" s="79" t="str">
        <f t="shared" si="46"/>
        <v>尿流改道费</v>
      </c>
      <c r="AH402" s="79">
        <f t="shared" si="42"/>
        <v>3850</v>
      </c>
      <c r="AI402" s="79">
        <f t="shared" si="43"/>
        <v>3470</v>
      </c>
      <c r="AJ402" s="79">
        <f t="shared" si="44"/>
        <v>2950</v>
      </c>
    </row>
    <row r="403" ht="15" customHeight="1" spans="1:36">
      <c r="A403" s="81" t="s">
        <v>81</v>
      </c>
      <c r="B403" s="81" t="s">
        <v>1247</v>
      </c>
      <c r="C403" s="81" t="s">
        <v>1248</v>
      </c>
      <c r="D403" s="81" t="s">
        <v>213</v>
      </c>
      <c r="E403" s="81"/>
      <c r="F403" s="81"/>
      <c r="G403" s="81" t="s">
        <v>40</v>
      </c>
      <c r="H403" s="81"/>
      <c r="I403" s="56">
        <v>880</v>
      </c>
      <c r="J403" s="56">
        <v>792</v>
      </c>
      <c r="K403" s="54"/>
      <c r="L403" s="54"/>
      <c r="M403" s="54"/>
      <c r="N403" s="64">
        <v>810</v>
      </c>
      <c r="O403" s="64">
        <v>730</v>
      </c>
      <c r="P403" s="64">
        <v>620</v>
      </c>
      <c r="Q403" s="44" t="s">
        <v>54</v>
      </c>
      <c r="R403" s="69"/>
      <c r="S403" s="44" t="s">
        <v>1249</v>
      </c>
      <c r="T403" s="45" t="s">
        <v>1260</v>
      </c>
      <c r="U403" s="45">
        <v>33110301001</v>
      </c>
      <c r="V403" s="45" t="s">
        <v>1261</v>
      </c>
      <c r="W403" s="43" t="s">
        <v>43</v>
      </c>
      <c r="X403" s="71" t="s">
        <v>43</v>
      </c>
      <c r="Y403" s="71" t="s">
        <v>40</v>
      </c>
      <c r="Z403" s="48" t="s">
        <v>43</v>
      </c>
      <c r="AA403" s="75">
        <v>6240</v>
      </c>
      <c r="AB403" s="75">
        <v>5615</v>
      </c>
      <c r="AC403" s="80">
        <v>5370</v>
      </c>
      <c r="AD403" s="80">
        <v>4835</v>
      </c>
      <c r="AE403" s="80">
        <v>4110</v>
      </c>
      <c r="AF403" s="79">
        <f t="shared" si="45"/>
        <v>16</v>
      </c>
      <c r="AG403" s="79" t="str">
        <f t="shared" si="46"/>
        <v>尿流改道费</v>
      </c>
      <c r="AH403" s="79">
        <f t="shared" si="42"/>
        <v>3850</v>
      </c>
      <c r="AI403" s="79">
        <f t="shared" si="43"/>
        <v>3470</v>
      </c>
      <c r="AJ403" s="79">
        <f t="shared" si="44"/>
        <v>2950</v>
      </c>
    </row>
    <row r="404" ht="15" customHeight="1" spans="1:36">
      <c r="A404" s="81" t="s">
        <v>81</v>
      </c>
      <c r="B404" s="81" t="s">
        <v>1247</v>
      </c>
      <c r="C404" s="81" t="s">
        <v>1248</v>
      </c>
      <c r="D404" s="81" t="s">
        <v>213</v>
      </c>
      <c r="E404" s="81"/>
      <c r="F404" s="81"/>
      <c r="G404" s="81" t="s">
        <v>40</v>
      </c>
      <c r="H404" s="81"/>
      <c r="I404" s="56">
        <v>880</v>
      </c>
      <c r="J404" s="56">
        <v>792</v>
      </c>
      <c r="K404" s="54"/>
      <c r="L404" s="54"/>
      <c r="M404" s="54"/>
      <c r="N404" s="64">
        <v>810</v>
      </c>
      <c r="O404" s="64">
        <v>730</v>
      </c>
      <c r="P404" s="64">
        <v>620</v>
      </c>
      <c r="Q404" s="44" t="s">
        <v>54</v>
      </c>
      <c r="R404" s="69"/>
      <c r="S404" s="44" t="s">
        <v>1249</v>
      </c>
      <c r="T404" s="45" t="s">
        <v>1262</v>
      </c>
      <c r="U404" s="45">
        <v>33110301002</v>
      </c>
      <c r="V404" s="45" t="s">
        <v>1263</v>
      </c>
      <c r="W404" s="43" t="s">
        <v>43</v>
      </c>
      <c r="X404" s="71" t="s">
        <v>43</v>
      </c>
      <c r="Y404" s="71" t="s">
        <v>40</v>
      </c>
      <c r="Z404" s="48" t="s">
        <v>43</v>
      </c>
      <c r="AA404" s="75">
        <v>5600</v>
      </c>
      <c r="AB404" s="75">
        <v>5040</v>
      </c>
      <c r="AC404" s="80">
        <v>4755</v>
      </c>
      <c r="AD404" s="80">
        <v>4320</v>
      </c>
      <c r="AE404" s="80">
        <v>3670</v>
      </c>
      <c r="AF404" s="79">
        <f t="shared" si="45"/>
        <v>16</v>
      </c>
      <c r="AG404" s="79" t="str">
        <f t="shared" si="46"/>
        <v>尿流改道费</v>
      </c>
      <c r="AH404" s="79">
        <f t="shared" si="42"/>
        <v>3850</v>
      </c>
      <c r="AI404" s="79">
        <f t="shared" si="43"/>
        <v>3470</v>
      </c>
      <c r="AJ404" s="79">
        <f t="shared" si="44"/>
        <v>2950</v>
      </c>
    </row>
    <row r="405" ht="15" customHeight="1" spans="1:36">
      <c r="A405" s="81" t="s">
        <v>81</v>
      </c>
      <c r="B405" s="81" t="s">
        <v>1247</v>
      </c>
      <c r="C405" s="81" t="s">
        <v>1248</v>
      </c>
      <c r="D405" s="81" t="s">
        <v>213</v>
      </c>
      <c r="E405" s="81"/>
      <c r="F405" s="81"/>
      <c r="G405" s="81" t="s">
        <v>40</v>
      </c>
      <c r="H405" s="81"/>
      <c r="I405" s="56">
        <v>880</v>
      </c>
      <c r="J405" s="56">
        <v>792</v>
      </c>
      <c r="K405" s="54"/>
      <c r="L405" s="54"/>
      <c r="M405" s="54"/>
      <c r="N405" s="64">
        <v>810</v>
      </c>
      <c r="O405" s="64">
        <v>730</v>
      </c>
      <c r="P405" s="64">
        <v>620</v>
      </c>
      <c r="Q405" s="44" t="s">
        <v>54</v>
      </c>
      <c r="R405" s="69"/>
      <c r="S405" s="44" t="s">
        <v>1249</v>
      </c>
      <c r="T405" s="45" t="s">
        <v>1264</v>
      </c>
      <c r="U405" s="45">
        <v>33110301003</v>
      </c>
      <c r="V405" s="45" t="s">
        <v>1265</v>
      </c>
      <c r="W405" s="43" t="s">
        <v>43</v>
      </c>
      <c r="X405" s="71" t="s">
        <v>43</v>
      </c>
      <c r="Y405" s="71" t="s">
        <v>40</v>
      </c>
      <c r="Z405" s="48" t="s">
        <v>43</v>
      </c>
      <c r="AA405" s="75">
        <v>7040</v>
      </c>
      <c r="AB405" s="75">
        <v>6335</v>
      </c>
      <c r="AC405" s="80">
        <v>5995</v>
      </c>
      <c r="AD405" s="80">
        <v>5435</v>
      </c>
      <c r="AE405" s="80">
        <v>4620</v>
      </c>
      <c r="AF405" s="79">
        <f t="shared" si="45"/>
        <v>16</v>
      </c>
      <c r="AG405" s="79" t="str">
        <f t="shared" si="46"/>
        <v>尿流改道费</v>
      </c>
      <c r="AH405" s="79">
        <f t="shared" si="42"/>
        <v>3850</v>
      </c>
      <c r="AI405" s="79">
        <f t="shared" si="43"/>
        <v>3470</v>
      </c>
      <c r="AJ405" s="79">
        <f t="shared" si="44"/>
        <v>2950</v>
      </c>
    </row>
    <row r="406" ht="15" customHeight="1" spans="1:36">
      <c r="A406" s="81" t="s">
        <v>81</v>
      </c>
      <c r="B406" s="81" t="s">
        <v>1266</v>
      </c>
      <c r="C406" s="81" t="s">
        <v>1267</v>
      </c>
      <c r="D406" s="81" t="s">
        <v>213</v>
      </c>
      <c r="E406" s="81"/>
      <c r="F406" s="81"/>
      <c r="G406" s="81" t="s">
        <v>40</v>
      </c>
      <c r="H406" s="81" t="s">
        <v>1268</v>
      </c>
      <c r="I406" s="56">
        <v>801</v>
      </c>
      <c r="J406" s="56">
        <v>721</v>
      </c>
      <c r="K406" s="82">
        <v>850</v>
      </c>
      <c r="L406" s="82">
        <v>770</v>
      </c>
      <c r="M406" s="82">
        <v>660</v>
      </c>
      <c r="N406" s="64">
        <v>740</v>
      </c>
      <c r="O406" s="64">
        <v>670</v>
      </c>
      <c r="P406" s="64">
        <v>570</v>
      </c>
      <c r="Q406" s="44" t="s">
        <v>54</v>
      </c>
      <c r="R406" s="69"/>
      <c r="S406" s="44" t="s">
        <v>1269</v>
      </c>
      <c r="T406" s="43" t="s">
        <v>1270</v>
      </c>
      <c r="U406" s="71">
        <v>331102013</v>
      </c>
      <c r="V406" s="43" t="s">
        <v>1271</v>
      </c>
      <c r="W406" s="43" t="s">
        <v>43</v>
      </c>
      <c r="X406" s="71" t="s">
        <v>43</v>
      </c>
      <c r="Y406" s="71" t="s">
        <v>40</v>
      </c>
      <c r="Z406" s="48" t="s">
        <v>1272</v>
      </c>
      <c r="AA406" s="75">
        <v>2500</v>
      </c>
      <c r="AB406" s="75">
        <v>2240</v>
      </c>
      <c r="AC406" s="80">
        <v>2190</v>
      </c>
      <c r="AD406" s="80">
        <v>1970</v>
      </c>
      <c r="AE406" s="80">
        <v>1670</v>
      </c>
      <c r="AF406" s="79">
        <f t="shared" si="45"/>
        <v>0</v>
      </c>
      <c r="AG406" s="79" t="str">
        <f t="shared" si="46"/>
        <v>尿流改道费-输尿管造口（减收）</v>
      </c>
      <c r="AH406" s="79">
        <f t="shared" si="42"/>
        <v>740</v>
      </c>
      <c r="AI406" s="79">
        <f t="shared" si="43"/>
        <v>670</v>
      </c>
      <c r="AJ406" s="79">
        <f t="shared" si="44"/>
        <v>570</v>
      </c>
    </row>
    <row r="407" ht="15" customHeight="1" spans="1:36">
      <c r="A407" s="81" t="s">
        <v>81</v>
      </c>
      <c r="B407" s="81" t="s">
        <v>1266</v>
      </c>
      <c r="C407" s="81" t="s">
        <v>1267</v>
      </c>
      <c r="D407" s="81" t="s">
        <v>213</v>
      </c>
      <c r="E407" s="81"/>
      <c r="F407" s="81"/>
      <c r="G407" s="81" t="s">
        <v>40</v>
      </c>
      <c r="H407" s="81" t="s">
        <v>1268</v>
      </c>
      <c r="I407" s="56">
        <v>801</v>
      </c>
      <c r="J407" s="56">
        <v>721</v>
      </c>
      <c r="K407" s="82">
        <v>850</v>
      </c>
      <c r="L407" s="82">
        <v>770</v>
      </c>
      <c r="M407" s="82">
        <v>660</v>
      </c>
      <c r="N407" s="64">
        <v>740</v>
      </c>
      <c r="O407" s="64">
        <v>670</v>
      </c>
      <c r="P407" s="64">
        <v>570</v>
      </c>
      <c r="Q407" s="44" t="s">
        <v>54</v>
      </c>
      <c r="R407" s="69"/>
      <c r="S407" s="44" t="s">
        <v>1269</v>
      </c>
      <c r="T407" s="45" t="s">
        <v>1273</v>
      </c>
      <c r="U407" s="45">
        <v>33110201301</v>
      </c>
      <c r="V407" s="45" t="s">
        <v>1274</v>
      </c>
      <c r="W407" s="43" t="s">
        <v>43</v>
      </c>
      <c r="X407" s="71" t="s">
        <v>43</v>
      </c>
      <c r="Y407" s="71" t="s">
        <v>40</v>
      </c>
      <c r="Z407" s="48" t="s">
        <v>43</v>
      </c>
      <c r="AA407" s="75">
        <v>3250</v>
      </c>
      <c r="AB407" s="75">
        <v>2910</v>
      </c>
      <c r="AC407" s="80">
        <v>2845</v>
      </c>
      <c r="AD407" s="80">
        <v>2560</v>
      </c>
      <c r="AE407" s="80">
        <v>2175</v>
      </c>
      <c r="AF407" s="79">
        <f t="shared" si="45"/>
        <v>0</v>
      </c>
      <c r="AG407" s="79" t="str">
        <f t="shared" si="46"/>
        <v>尿流改道费-输尿管造口（减收）</v>
      </c>
      <c r="AH407" s="79">
        <f t="shared" si="42"/>
        <v>740</v>
      </c>
      <c r="AI407" s="79">
        <f t="shared" si="43"/>
        <v>670</v>
      </c>
      <c r="AJ407" s="79">
        <f t="shared" si="44"/>
        <v>570</v>
      </c>
    </row>
    <row r="408" ht="15" customHeight="1" spans="1:36">
      <c r="A408" s="81" t="s">
        <v>81</v>
      </c>
      <c r="B408" s="81" t="s">
        <v>1266</v>
      </c>
      <c r="C408" s="81" t="s">
        <v>1267</v>
      </c>
      <c r="D408" s="81" t="s">
        <v>213</v>
      </c>
      <c r="E408" s="81"/>
      <c r="F408" s="81"/>
      <c r="G408" s="81" t="s">
        <v>40</v>
      </c>
      <c r="H408" s="81" t="s">
        <v>1268</v>
      </c>
      <c r="I408" s="56">
        <v>801</v>
      </c>
      <c r="J408" s="56">
        <v>721</v>
      </c>
      <c r="K408" s="82">
        <v>850</v>
      </c>
      <c r="L408" s="82">
        <v>770</v>
      </c>
      <c r="M408" s="82">
        <v>660</v>
      </c>
      <c r="N408" s="64">
        <v>740</v>
      </c>
      <c r="O408" s="64">
        <v>670</v>
      </c>
      <c r="P408" s="64">
        <v>570</v>
      </c>
      <c r="Q408" s="44" t="s">
        <v>54</v>
      </c>
      <c r="R408" s="69"/>
      <c r="S408" s="44" t="s">
        <v>1269</v>
      </c>
      <c r="T408" s="45" t="s">
        <v>1275</v>
      </c>
      <c r="U408" s="45">
        <v>33110201302</v>
      </c>
      <c r="V408" s="45" t="s">
        <v>1276</v>
      </c>
      <c r="W408" s="43" t="s">
        <v>43</v>
      </c>
      <c r="X408" s="71" t="s">
        <v>43</v>
      </c>
      <c r="Y408" s="71" t="s">
        <v>40</v>
      </c>
      <c r="Z408" s="48" t="s">
        <v>43</v>
      </c>
      <c r="AA408" s="75">
        <v>3300</v>
      </c>
      <c r="AB408" s="75">
        <v>2960</v>
      </c>
      <c r="AC408" s="80">
        <v>2815</v>
      </c>
      <c r="AD408" s="80">
        <v>2570</v>
      </c>
      <c r="AE408" s="80">
        <v>2180</v>
      </c>
      <c r="AF408" s="79">
        <f t="shared" si="45"/>
        <v>0</v>
      </c>
      <c r="AG408" s="79" t="str">
        <f t="shared" si="46"/>
        <v>尿流改道费-输尿管造口（减收）</v>
      </c>
      <c r="AH408" s="79">
        <f t="shared" si="42"/>
        <v>740</v>
      </c>
      <c r="AI408" s="79">
        <f t="shared" si="43"/>
        <v>670</v>
      </c>
      <c r="AJ408" s="79">
        <f t="shared" si="44"/>
        <v>570</v>
      </c>
    </row>
    <row r="409" ht="15" customHeight="1" spans="1:36">
      <c r="A409" s="81" t="s">
        <v>81</v>
      </c>
      <c r="B409" s="81" t="s">
        <v>1266</v>
      </c>
      <c r="C409" s="81" t="s">
        <v>1267</v>
      </c>
      <c r="D409" s="81" t="s">
        <v>213</v>
      </c>
      <c r="E409" s="81"/>
      <c r="F409" s="81"/>
      <c r="G409" s="81" t="s">
        <v>40</v>
      </c>
      <c r="H409" s="81" t="s">
        <v>1268</v>
      </c>
      <c r="I409" s="56">
        <v>801</v>
      </c>
      <c r="J409" s="56">
        <v>721</v>
      </c>
      <c r="K409" s="82">
        <v>850</v>
      </c>
      <c r="L409" s="82">
        <v>770</v>
      </c>
      <c r="M409" s="82">
        <v>660</v>
      </c>
      <c r="N409" s="64">
        <v>740</v>
      </c>
      <c r="O409" s="64">
        <v>670</v>
      </c>
      <c r="P409" s="64">
        <v>570</v>
      </c>
      <c r="Q409" s="44" t="s">
        <v>54</v>
      </c>
      <c r="R409" s="69"/>
      <c r="S409" s="44" t="s">
        <v>1269</v>
      </c>
      <c r="T409" s="45" t="s">
        <v>1277</v>
      </c>
      <c r="U409" s="45">
        <v>33110201303</v>
      </c>
      <c r="V409" s="45" t="s">
        <v>1278</v>
      </c>
      <c r="W409" s="43" t="s">
        <v>43</v>
      </c>
      <c r="X409" s="71" t="s">
        <v>43</v>
      </c>
      <c r="Y409" s="71" t="s">
        <v>40</v>
      </c>
      <c r="Z409" s="48" t="s">
        <v>43</v>
      </c>
      <c r="AA409" s="75">
        <v>4050</v>
      </c>
      <c r="AB409" s="75">
        <v>3630</v>
      </c>
      <c r="AC409" s="80">
        <v>3470</v>
      </c>
      <c r="AD409" s="80">
        <v>3160</v>
      </c>
      <c r="AE409" s="80">
        <v>2685</v>
      </c>
      <c r="AF409" s="79">
        <f t="shared" si="45"/>
        <v>0</v>
      </c>
      <c r="AG409" s="79" t="str">
        <f t="shared" si="46"/>
        <v>尿流改道费-输尿管造口（减收）</v>
      </c>
      <c r="AH409" s="79">
        <f t="shared" ref="AH409:AH472" si="47">IF(AF409&gt;0,_xlfn.MAXIFS(N:N,C:C,AG409),0)+N409</f>
        <v>740</v>
      </c>
      <c r="AI409" s="79">
        <f t="shared" ref="AI409:AI472" si="48">IF(AF409&gt;0,_xlfn.MAXIFS(O:O,C:C,AG409),0)+O409</f>
        <v>670</v>
      </c>
      <c r="AJ409" s="79">
        <f t="shared" ref="AJ409:AJ472" si="49">IF(AF409&gt;0,_xlfn.MAXIFS(P:P,C:C,AG409),0)+P409</f>
        <v>570</v>
      </c>
    </row>
    <row r="410" ht="15" customHeight="1" spans="1:36">
      <c r="A410" s="81" t="s">
        <v>81</v>
      </c>
      <c r="B410" s="114" t="s">
        <v>1279</v>
      </c>
      <c r="C410" s="81" t="s">
        <v>1280</v>
      </c>
      <c r="D410" s="81" t="s">
        <v>213</v>
      </c>
      <c r="E410" s="81"/>
      <c r="F410" s="81"/>
      <c r="G410" s="81" t="s">
        <v>40</v>
      </c>
      <c r="H410" s="81"/>
      <c r="I410" s="56">
        <v>990</v>
      </c>
      <c r="J410" s="56">
        <v>891</v>
      </c>
      <c r="K410" s="54"/>
      <c r="L410" s="54"/>
      <c r="M410" s="54"/>
      <c r="N410" s="64">
        <v>910</v>
      </c>
      <c r="O410" s="64">
        <v>820</v>
      </c>
      <c r="P410" s="64">
        <v>700</v>
      </c>
      <c r="Q410" s="44" t="s">
        <v>54</v>
      </c>
      <c r="R410" s="69"/>
      <c r="S410" s="44" t="s">
        <v>446</v>
      </c>
      <c r="T410" s="45" t="s">
        <v>1281</v>
      </c>
      <c r="U410" s="45">
        <v>33110301301</v>
      </c>
      <c r="V410" s="45" t="s">
        <v>1282</v>
      </c>
      <c r="W410" s="43" t="s">
        <v>43</v>
      </c>
      <c r="X410" s="71" t="s">
        <v>43</v>
      </c>
      <c r="Y410" s="71" t="s">
        <v>40</v>
      </c>
      <c r="Z410" s="48" t="s">
        <v>43</v>
      </c>
      <c r="AA410" s="74" t="s">
        <v>43</v>
      </c>
      <c r="AB410" s="74" t="s">
        <v>43</v>
      </c>
      <c r="AC410" s="78" t="s">
        <v>43</v>
      </c>
      <c r="AD410" s="78" t="s">
        <v>43</v>
      </c>
      <c r="AE410" s="78" t="s">
        <v>43</v>
      </c>
      <c r="AF410" s="79">
        <f t="shared" si="45"/>
        <v>9</v>
      </c>
      <c r="AG410" s="79" t="str">
        <f t="shared" si="46"/>
        <v>尿流改道费</v>
      </c>
      <c r="AH410" s="79">
        <f t="shared" si="47"/>
        <v>3950</v>
      </c>
      <c r="AI410" s="79">
        <f t="shared" si="48"/>
        <v>3560</v>
      </c>
      <c r="AJ410" s="79">
        <f t="shared" si="49"/>
        <v>3030</v>
      </c>
    </row>
    <row r="411" ht="15" customHeight="1" spans="1:36">
      <c r="A411" s="81" t="s">
        <v>81</v>
      </c>
      <c r="B411" s="114" t="s">
        <v>1279</v>
      </c>
      <c r="C411" s="81" t="s">
        <v>1280</v>
      </c>
      <c r="D411" s="81" t="s">
        <v>213</v>
      </c>
      <c r="E411" s="81"/>
      <c r="F411" s="81"/>
      <c r="G411" s="81" t="s">
        <v>40</v>
      </c>
      <c r="H411" s="81"/>
      <c r="I411" s="56">
        <v>990</v>
      </c>
      <c r="J411" s="56">
        <v>891</v>
      </c>
      <c r="K411" s="54"/>
      <c r="L411" s="54"/>
      <c r="M411" s="54"/>
      <c r="N411" s="64">
        <v>910</v>
      </c>
      <c r="O411" s="64">
        <v>820</v>
      </c>
      <c r="P411" s="64">
        <v>700</v>
      </c>
      <c r="Q411" s="44" t="s">
        <v>54</v>
      </c>
      <c r="R411" s="69"/>
      <c r="S411" s="44" t="s">
        <v>446</v>
      </c>
      <c r="T411" s="45" t="s">
        <v>1283</v>
      </c>
      <c r="U411" s="45">
        <v>33110301303</v>
      </c>
      <c r="V411" s="45" t="s">
        <v>1284</v>
      </c>
      <c r="W411" s="43" t="s">
        <v>43</v>
      </c>
      <c r="X411" s="71" t="s">
        <v>43</v>
      </c>
      <c r="Y411" s="71" t="s">
        <v>40</v>
      </c>
      <c r="Z411" s="48" t="s">
        <v>43</v>
      </c>
      <c r="AA411" s="74" t="s">
        <v>43</v>
      </c>
      <c r="AB411" s="74" t="s">
        <v>43</v>
      </c>
      <c r="AC411" s="78" t="s">
        <v>43</v>
      </c>
      <c r="AD411" s="78" t="s">
        <v>43</v>
      </c>
      <c r="AE411" s="78" t="s">
        <v>43</v>
      </c>
      <c r="AF411" s="79">
        <f t="shared" si="45"/>
        <v>9</v>
      </c>
      <c r="AG411" s="79" t="str">
        <f t="shared" si="46"/>
        <v>尿流改道费</v>
      </c>
      <c r="AH411" s="79">
        <f t="shared" si="47"/>
        <v>3950</v>
      </c>
      <c r="AI411" s="79">
        <f t="shared" si="48"/>
        <v>3560</v>
      </c>
      <c r="AJ411" s="79">
        <f t="shared" si="49"/>
        <v>3030</v>
      </c>
    </row>
    <row r="412" ht="15" customHeight="1" spans="1:36">
      <c r="A412" s="81" t="s">
        <v>81</v>
      </c>
      <c r="B412" s="114" t="s">
        <v>1279</v>
      </c>
      <c r="C412" s="81" t="s">
        <v>1280</v>
      </c>
      <c r="D412" s="81" t="s">
        <v>213</v>
      </c>
      <c r="E412" s="81"/>
      <c r="F412" s="81"/>
      <c r="G412" s="81" t="s">
        <v>40</v>
      </c>
      <c r="H412" s="81"/>
      <c r="I412" s="56">
        <v>990</v>
      </c>
      <c r="J412" s="56">
        <v>891</v>
      </c>
      <c r="K412" s="54"/>
      <c r="L412" s="54"/>
      <c r="M412" s="54"/>
      <c r="N412" s="64">
        <v>910</v>
      </c>
      <c r="O412" s="64">
        <v>820</v>
      </c>
      <c r="P412" s="64">
        <v>700</v>
      </c>
      <c r="Q412" s="44" t="s">
        <v>54</v>
      </c>
      <c r="R412" s="69"/>
      <c r="S412" s="44" t="s">
        <v>446</v>
      </c>
      <c r="T412" s="45" t="s">
        <v>1285</v>
      </c>
      <c r="U412" s="45">
        <v>33110300801</v>
      </c>
      <c r="V412" s="45" t="s">
        <v>1286</v>
      </c>
      <c r="W412" s="43" t="s">
        <v>43</v>
      </c>
      <c r="X412" s="71" t="s">
        <v>43</v>
      </c>
      <c r="Y412" s="71" t="s">
        <v>40</v>
      </c>
      <c r="Z412" s="48" t="s">
        <v>43</v>
      </c>
      <c r="AA412" s="75">
        <v>7800</v>
      </c>
      <c r="AB412" s="75">
        <v>7020</v>
      </c>
      <c r="AC412" s="80">
        <v>6710</v>
      </c>
      <c r="AD412" s="80">
        <v>6030</v>
      </c>
      <c r="AE412" s="80">
        <v>5125</v>
      </c>
      <c r="AF412" s="79">
        <f t="shared" si="45"/>
        <v>9</v>
      </c>
      <c r="AG412" s="79" t="str">
        <f t="shared" si="46"/>
        <v>尿流改道费</v>
      </c>
      <c r="AH412" s="79">
        <f t="shared" si="47"/>
        <v>3950</v>
      </c>
      <c r="AI412" s="79">
        <f t="shared" si="48"/>
        <v>3560</v>
      </c>
      <c r="AJ412" s="79">
        <f t="shared" si="49"/>
        <v>3030</v>
      </c>
    </row>
    <row r="413" ht="15" customHeight="1" spans="1:36">
      <c r="A413" s="81" t="s">
        <v>81</v>
      </c>
      <c r="B413" s="114" t="s">
        <v>1279</v>
      </c>
      <c r="C413" s="81" t="s">
        <v>1280</v>
      </c>
      <c r="D413" s="81" t="s">
        <v>213</v>
      </c>
      <c r="E413" s="81"/>
      <c r="F413" s="81"/>
      <c r="G413" s="81" t="s">
        <v>40</v>
      </c>
      <c r="H413" s="81"/>
      <c r="I413" s="56">
        <v>990</v>
      </c>
      <c r="J413" s="56">
        <v>891</v>
      </c>
      <c r="K413" s="54"/>
      <c r="L413" s="54"/>
      <c r="M413" s="54"/>
      <c r="N413" s="64">
        <v>910</v>
      </c>
      <c r="O413" s="64">
        <v>820</v>
      </c>
      <c r="P413" s="64">
        <v>700</v>
      </c>
      <c r="Q413" s="44" t="s">
        <v>54</v>
      </c>
      <c r="R413" s="69"/>
      <c r="S413" s="44" t="s">
        <v>446</v>
      </c>
      <c r="T413" s="45" t="s">
        <v>1287</v>
      </c>
      <c r="U413" s="45">
        <v>33110300803</v>
      </c>
      <c r="V413" s="45" t="s">
        <v>1288</v>
      </c>
      <c r="W413" s="43" t="s">
        <v>43</v>
      </c>
      <c r="X413" s="71" t="s">
        <v>43</v>
      </c>
      <c r="Y413" s="71" t="s">
        <v>40</v>
      </c>
      <c r="Z413" s="48" t="s">
        <v>43</v>
      </c>
      <c r="AA413" s="75">
        <v>8600</v>
      </c>
      <c r="AB413" s="75">
        <v>7740</v>
      </c>
      <c r="AC413" s="80">
        <v>7335</v>
      </c>
      <c r="AD413" s="80">
        <v>6630</v>
      </c>
      <c r="AE413" s="80">
        <v>5635</v>
      </c>
      <c r="AF413" s="79">
        <f t="shared" si="45"/>
        <v>9</v>
      </c>
      <c r="AG413" s="79" t="str">
        <f t="shared" si="46"/>
        <v>尿流改道费</v>
      </c>
      <c r="AH413" s="79">
        <f t="shared" si="47"/>
        <v>3950</v>
      </c>
      <c r="AI413" s="79">
        <f t="shared" si="48"/>
        <v>3560</v>
      </c>
      <c r="AJ413" s="79">
        <f t="shared" si="49"/>
        <v>3030</v>
      </c>
    </row>
    <row r="414" ht="15" customHeight="1" spans="1:36">
      <c r="A414" s="81" t="s">
        <v>81</v>
      </c>
      <c r="B414" s="114" t="s">
        <v>1279</v>
      </c>
      <c r="C414" s="81" t="s">
        <v>1280</v>
      </c>
      <c r="D414" s="81" t="s">
        <v>213</v>
      </c>
      <c r="E414" s="81"/>
      <c r="F414" s="81"/>
      <c r="G414" s="81" t="s">
        <v>40</v>
      </c>
      <c r="H414" s="81"/>
      <c r="I414" s="56">
        <v>990</v>
      </c>
      <c r="J414" s="56">
        <v>891</v>
      </c>
      <c r="K414" s="54"/>
      <c r="L414" s="54"/>
      <c r="M414" s="54"/>
      <c r="N414" s="64">
        <v>910</v>
      </c>
      <c r="O414" s="64">
        <v>820</v>
      </c>
      <c r="P414" s="64">
        <v>700</v>
      </c>
      <c r="Q414" s="44" t="s">
        <v>54</v>
      </c>
      <c r="R414" s="69"/>
      <c r="S414" s="44" t="s">
        <v>446</v>
      </c>
      <c r="T414" s="45" t="s">
        <v>1289</v>
      </c>
      <c r="U414" s="45">
        <v>33110300901</v>
      </c>
      <c r="V414" s="45" t="s">
        <v>1290</v>
      </c>
      <c r="W414" s="43" t="s">
        <v>43</v>
      </c>
      <c r="X414" s="71" t="s">
        <v>43</v>
      </c>
      <c r="Y414" s="71" t="s">
        <v>40</v>
      </c>
      <c r="Z414" s="48" t="s">
        <v>43</v>
      </c>
      <c r="AA414" s="75">
        <v>4500</v>
      </c>
      <c r="AB414" s="75">
        <v>4045</v>
      </c>
      <c r="AC414" s="80">
        <v>3950</v>
      </c>
      <c r="AD414" s="80">
        <v>3560</v>
      </c>
      <c r="AE414" s="80">
        <v>3025</v>
      </c>
      <c r="AF414" s="79">
        <f t="shared" si="45"/>
        <v>9</v>
      </c>
      <c r="AG414" s="79" t="str">
        <f t="shared" si="46"/>
        <v>尿流改道费</v>
      </c>
      <c r="AH414" s="79">
        <f t="shared" si="47"/>
        <v>3950</v>
      </c>
      <c r="AI414" s="79">
        <f t="shared" si="48"/>
        <v>3560</v>
      </c>
      <c r="AJ414" s="79">
        <f t="shared" si="49"/>
        <v>3030</v>
      </c>
    </row>
    <row r="415" ht="15" customHeight="1" spans="1:36">
      <c r="A415" s="81" t="s">
        <v>81</v>
      </c>
      <c r="B415" s="114" t="s">
        <v>1279</v>
      </c>
      <c r="C415" s="81" t="s">
        <v>1280</v>
      </c>
      <c r="D415" s="81" t="s">
        <v>213</v>
      </c>
      <c r="E415" s="81"/>
      <c r="F415" s="81"/>
      <c r="G415" s="81" t="s">
        <v>40</v>
      </c>
      <c r="H415" s="81"/>
      <c r="I415" s="56">
        <v>990</v>
      </c>
      <c r="J415" s="56">
        <v>891</v>
      </c>
      <c r="K415" s="54"/>
      <c r="L415" s="54"/>
      <c r="M415" s="54"/>
      <c r="N415" s="64">
        <v>910</v>
      </c>
      <c r="O415" s="64">
        <v>820</v>
      </c>
      <c r="P415" s="64">
        <v>700</v>
      </c>
      <c r="Q415" s="44" t="s">
        <v>54</v>
      </c>
      <c r="R415" s="69"/>
      <c r="S415" s="44" t="s">
        <v>446</v>
      </c>
      <c r="T415" s="45" t="s">
        <v>1291</v>
      </c>
      <c r="U415" s="45">
        <v>33110300903</v>
      </c>
      <c r="V415" s="45" t="s">
        <v>1292</v>
      </c>
      <c r="W415" s="43" t="s">
        <v>43</v>
      </c>
      <c r="X415" s="71" t="s">
        <v>43</v>
      </c>
      <c r="Y415" s="71" t="s">
        <v>40</v>
      </c>
      <c r="Z415" s="48" t="s">
        <v>43</v>
      </c>
      <c r="AA415" s="75">
        <v>5300</v>
      </c>
      <c r="AB415" s="75">
        <v>4765</v>
      </c>
      <c r="AC415" s="80">
        <v>4575</v>
      </c>
      <c r="AD415" s="80">
        <v>4160</v>
      </c>
      <c r="AE415" s="80">
        <v>3535</v>
      </c>
      <c r="AF415" s="79">
        <f t="shared" si="45"/>
        <v>9</v>
      </c>
      <c r="AG415" s="79" t="str">
        <f t="shared" si="46"/>
        <v>尿流改道费</v>
      </c>
      <c r="AH415" s="79">
        <f t="shared" si="47"/>
        <v>3950</v>
      </c>
      <c r="AI415" s="79">
        <f t="shared" si="48"/>
        <v>3560</v>
      </c>
      <c r="AJ415" s="79">
        <f t="shared" si="49"/>
        <v>3030</v>
      </c>
    </row>
    <row r="416" ht="15" customHeight="1" spans="1:36">
      <c r="A416" s="81" t="s">
        <v>81</v>
      </c>
      <c r="B416" s="114" t="s">
        <v>1279</v>
      </c>
      <c r="C416" s="81" t="s">
        <v>1280</v>
      </c>
      <c r="D416" s="81" t="s">
        <v>213</v>
      </c>
      <c r="E416" s="81"/>
      <c r="F416" s="81"/>
      <c r="G416" s="81" t="s">
        <v>40</v>
      </c>
      <c r="H416" s="81"/>
      <c r="I416" s="56">
        <v>990</v>
      </c>
      <c r="J416" s="56">
        <v>891</v>
      </c>
      <c r="K416" s="54"/>
      <c r="L416" s="54"/>
      <c r="M416" s="54"/>
      <c r="N416" s="64">
        <v>910</v>
      </c>
      <c r="O416" s="64">
        <v>820</v>
      </c>
      <c r="P416" s="64">
        <v>700</v>
      </c>
      <c r="Q416" s="44" t="s">
        <v>54</v>
      </c>
      <c r="R416" s="69"/>
      <c r="S416" s="44" t="s">
        <v>446</v>
      </c>
      <c r="T416" s="45" t="s">
        <v>1293</v>
      </c>
      <c r="U416" s="45">
        <v>33110301201</v>
      </c>
      <c r="V416" s="45" t="s">
        <v>1294</v>
      </c>
      <c r="W416" s="43" t="s">
        <v>43</v>
      </c>
      <c r="X416" s="71" t="s">
        <v>43</v>
      </c>
      <c r="Y416" s="71" t="s">
        <v>40</v>
      </c>
      <c r="Z416" s="48" t="s">
        <v>43</v>
      </c>
      <c r="AA416" s="75">
        <v>3990</v>
      </c>
      <c r="AB416" s="75">
        <v>3590</v>
      </c>
      <c r="AC416" s="80">
        <v>3510</v>
      </c>
      <c r="AD416" s="80">
        <v>3160</v>
      </c>
      <c r="AE416" s="80">
        <v>2685</v>
      </c>
      <c r="AF416" s="79">
        <f t="shared" si="45"/>
        <v>9</v>
      </c>
      <c r="AG416" s="79" t="str">
        <f t="shared" si="46"/>
        <v>尿流改道费</v>
      </c>
      <c r="AH416" s="79">
        <f t="shared" si="47"/>
        <v>3950</v>
      </c>
      <c r="AI416" s="79">
        <f t="shared" si="48"/>
        <v>3560</v>
      </c>
      <c r="AJ416" s="79">
        <f t="shared" si="49"/>
        <v>3030</v>
      </c>
    </row>
    <row r="417" ht="15" customHeight="1" spans="1:36">
      <c r="A417" s="81" t="s">
        <v>81</v>
      </c>
      <c r="B417" s="114" t="s">
        <v>1279</v>
      </c>
      <c r="C417" s="81" t="s">
        <v>1280</v>
      </c>
      <c r="D417" s="81" t="s">
        <v>213</v>
      </c>
      <c r="E417" s="81"/>
      <c r="F417" s="81"/>
      <c r="G417" s="81" t="s">
        <v>40</v>
      </c>
      <c r="H417" s="81"/>
      <c r="I417" s="56">
        <v>990</v>
      </c>
      <c r="J417" s="56">
        <v>891</v>
      </c>
      <c r="K417" s="54"/>
      <c r="L417" s="54"/>
      <c r="M417" s="54"/>
      <c r="N417" s="64">
        <v>910</v>
      </c>
      <c r="O417" s="64">
        <v>820</v>
      </c>
      <c r="P417" s="64">
        <v>700</v>
      </c>
      <c r="Q417" s="44" t="s">
        <v>54</v>
      </c>
      <c r="R417" s="69"/>
      <c r="S417" s="44" t="s">
        <v>446</v>
      </c>
      <c r="T417" s="45" t="s">
        <v>1295</v>
      </c>
      <c r="U417" s="45">
        <v>33110301203</v>
      </c>
      <c r="V417" s="45" t="s">
        <v>1296</v>
      </c>
      <c r="W417" s="43" t="s">
        <v>43</v>
      </c>
      <c r="X417" s="71" t="s">
        <v>43</v>
      </c>
      <c r="Y417" s="71" t="s">
        <v>40</v>
      </c>
      <c r="Z417" s="48" t="s">
        <v>43</v>
      </c>
      <c r="AA417" s="75">
        <v>4790</v>
      </c>
      <c r="AB417" s="75">
        <v>4310</v>
      </c>
      <c r="AC417" s="80">
        <v>4135</v>
      </c>
      <c r="AD417" s="80">
        <v>3760</v>
      </c>
      <c r="AE417" s="80">
        <v>3195</v>
      </c>
      <c r="AF417" s="79">
        <f t="shared" si="45"/>
        <v>9</v>
      </c>
      <c r="AG417" s="79" t="str">
        <f t="shared" si="46"/>
        <v>尿流改道费</v>
      </c>
      <c r="AH417" s="79">
        <f t="shared" si="47"/>
        <v>3950</v>
      </c>
      <c r="AI417" s="79">
        <f t="shared" si="48"/>
        <v>3560</v>
      </c>
      <c r="AJ417" s="79">
        <f t="shared" si="49"/>
        <v>3030</v>
      </c>
    </row>
    <row r="418" ht="15" customHeight="1" spans="1:36">
      <c r="A418" s="81" t="s">
        <v>81</v>
      </c>
      <c r="B418" s="114" t="s">
        <v>1279</v>
      </c>
      <c r="C418" s="81" t="s">
        <v>1280</v>
      </c>
      <c r="D418" s="81" t="s">
        <v>213</v>
      </c>
      <c r="E418" s="81"/>
      <c r="F418" s="81"/>
      <c r="G418" s="81" t="s">
        <v>40</v>
      </c>
      <c r="H418" s="81"/>
      <c r="I418" s="56">
        <v>990</v>
      </c>
      <c r="J418" s="56">
        <v>891</v>
      </c>
      <c r="K418" s="54"/>
      <c r="L418" s="54"/>
      <c r="M418" s="54"/>
      <c r="N418" s="64">
        <v>910</v>
      </c>
      <c r="O418" s="64">
        <v>820</v>
      </c>
      <c r="P418" s="64">
        <v>700</v>
      </c>
      <c r="Q418" s="44" t="s">
        <v>54</v>
      </c>
      <c r="R418" s="69"/>
      <c r="S418" s="44" t="s">
        <v>446</v>
      </c>
      <c r="T418" s="45" t="s">
        <v>1297</v>
      </c>
      <c r="U418" s="45">
        <v>33110301101</v>
      </c>
      <c r="V418" s="45" t="s">
        <v>1298</v>
      </c>
      <c r="W418" s="43" t="s">
        <v>43</v>
      </c>
      <c r="X418" s="71" t="s">
        <v>43</v>
      </c>
      <c r="Y418" s="71" t="s">
        <v>40</v>
      </c>
      <c r="Z418" s="48" t="s">
        <v>43</v>
      </c>
      <c r="AA418" s="75">
        <v>4500</v>
      </c>
      <c r="AB418" s="75">
        <v>4045</v>
      </c>
      <c r="AC418" s="80">
        <v>3950</v>
      </c>
      <c r="AD418" s="80">
        <v>3560</v>
      </c>
      <c r="AE418" s="80">
        <v>3025</v>
      </c>
      <c r="AF418" s="79">
        <f t="shared" si="45"/>
        <v>9</v>
      </c>
      <c r="AG418" s="79" t="str">
        <f t="shared" si="46"/>
        <v>尿流改道费</v>
      </c>
      <c r="AH418" s="79">
        <f t="shared" si="47"/>
        <v>3950</v>
      </c>
      <c r="AI418" s="79">
        <f t="shared" si="48"/>
        <v>3560</v>
      </c>
      <c r="AJ418" s="79">
        <f t="shared" si="49"/>
        <v>3030</v>
      </c>
    </row>
    <row r="419" ht="15" customHeight="1" spans="1:36">
      <c r="A419" s="81" t="s">
        <v>81</v>
      </c>
      <c r="B419" s="114" t="s">
        <v>1279</v>
      </c>
      <c r="C419" s="81" t="s">
        <v>1280</v>
      </c>
      <c r="D419" s="81" t="s">
        <v>213</v>
      </c>
      <c r="E419" s="81"/>
      <c r="F419" s="81"/>
      <c r="G419" s="81" t="s">
        <v>40</v>
      </c>
      <c r="H419" s="81"/>
      <c r="I419" s="56">
        <v>990</v>
      </c>
      <c r="J419" s="56">
        <v>891</v>
      </c>
      <c r="K419" s="54"/>
      <c r="L419" s="54"/>
      <c r="M419" s="54"/>
      <c r="N419" s="64">
        <v>910</v>
      </c>
      <c r="O419" s="64">
        <v>820</v>
      </c>
      <c r="P419" s="64">
        <v>700</v>
      </c>
      <c r="Q419" s="44" t="s">
        <v>54</v>
      </c>
      <c r="R419" s="69"/>
      <c r="S419" s="44" t="s">
        <v>446</v>
      </c>
      <c r="T419" s="45" t="s">
        <v>1299</v>
      </c>
      <c r="U419" s="45">
        <v>33110301103</v>
      </c>
      <c r="V419" s="45" t="s">
        <v>1300</v>
      </c>
      <c r="W419" s="43" t="s">
        <v>43</v>
      </c>
      <c r="X419" s="71" t="s">
        <v>43</v>
      </c>
      <c r="Y419" s="71" t="s">
        <v>40</v>
      </c>
      <c r="Z419" s="48" t="s">
        <v>43</v>
      </c>
      <c r="AA419" s="75">
        <v>5300</v>
      </c>
      <c r="AB419" s="75">
        <v>4765</v>
      </c>
      <c r="AC419" s="80">
        <v>4575</v>
      </c>
      <c r="AD419" s="80">
        <v>4160</v>
      </c>
      <c r="AE419" s="80">
        <v>3535</v>
      </c>
      <c r="AF419" s="79">
        <f t="shared" si="45"/>
        <v>9</v>
      </c>
      <c r="AG419" s="79" t="str">
        <f t="shared" si="46"/>
        <v>尿流改道费</v>
      </c>
      <c r="AH419" s="79">
        <f t="shared" si="47"/>
        <v>3950</v>
      </c>
      <c r="AI419" s="79">
        <f t="shared" si="48"/>
        <v>3560</v>
      </c>
      <c r="AJ419" s="79">
        <f t="shared" si="49"/>
        <v>3030</v>
      </c>
    </row>
    <row r="420" ht="14" customHeight="1" spans="1:36">
      <c r="A420" s="44">
        <v>68</v>
      </c>
      <c r="B420" s="44" t="s">
        <v>1301</v>
      </c>
      <c r="C420" s="44" t="s">
        <v>1302</v>
      </c>
      <c r="D420" s="44" t="s">
        <v>213</v>
      </c>
      <c r="E420" s="44" t="s">
        <v>1303</v>
      </c>
      <c r="F420" s="44" t="s">
        <v>1304</v>
      </c>
      <c r="G420" s="44" t="s">
        <v>40</v>
      </c>
      <c r="H420" s="49"/>
      <c r="I420" s="56">
        <v>2820</v>
      </c>
      <c r="J420" s="56">
        <v>2538</v>
      </c>
      <c r="K420" s="59">
        <v>2444.17808219178</v>
      </c>
      <c r="L420" s="59">
        <v>2390.49689440994</v>
      </c>
      <c r="M420" s="59">
        <v>1290</v>
      </c>
      <c r="N420" s="64">
        <v>2550</v>
      </c>
      <c r="O420" s="64">
        <v>2390</v>
      </c>
      <c r="P420" s="64">
        <v>2000</v>
      </c>
      <c r="Q420" s="44" t="s">
        <v>54</v>
      </c>
      <c r="R420" s="70" t="s">
        <v>416</v>
      </c>
      <c r="S420" s="44" t="s">
        <v>1305</v>
      </c>
      <c r="T420" s="43" t="s">
        <v>1306</v>
      </c>
      <c r="U420" s="43">
        <v>331102003</v>
      </c>
      <c r="V420" s="43" t="s">
        <v>1307</v>
      </c>
      <c r="W420" s="43" t="s">
        <v>1308</v>
      </c>
      <c r="X420" s="71" t="s">
        <v>43</v>
      </c>
      <c r="Y420" s="71" t="s">
        <v>40</v>
      </c>
      <c r="Z420" s="48" t="s">
        <v>43</v>
      </c>
      <c r="AA420" s="75">
        <v>3070</v>
      </c>
      <c r="AB420" s="75">
        <v>2760</v>
      </c>
      <c r="AC420" s="80">
        <v>2700</v>
      </c>
      <c r="AD420" s="80">
        <v>2430</v>
      </c>
      <c r="AE420" s="80">
        <v>2070</v>
      </c>
      <c r="AF420" s="79">
        <f t="shared" si="45"/>
        <v>0</v>
      </c>
      <c r="AG420" s="79" t="str">
        <f t="shared" si="46"/>
        <v>尿路成形费（常规）</v>
      </c>
      <c r="AH420" s="79">
        <f t="shared" si="47"/>
        <v>2550</v>
      </c>
      <c r="AI420" s="79">
        <f t="shared" si="48"/>
        <v>2390</v>
      </c>
      <c r="AJ420" s="79">
        <f t="shared" si="49"/>
        <v>2000</v>
      </c>
    </row>
    <row r="421" ht="14" customHeight="1" spans="1:36">
      <c r="A421" s="44">
        <v>68</v>
      </c>
      <c r="B421" s="44" t="s">
        <v>1301</v>
      </c>
      <c r="C421" s="44" t="s">
        <v>1302</v>
      </c>
      <c r="D421" s="44" t="s">
        <v>213</v>
      </c>
      <c r="E421" s="44" t="s">
        <v>1303</v>
      </c>
      <c r="F421" s="44" t="s">
        <v>1304</v>
      </c>
      <c r="G421" s="44" t="s">
        <v>40</v>
      </c>
      <c r="H421" s="49"/>
      <c r="I421" s="56">
        <v>2820</v>
      </c>
      <c r="J421" s="56">
        <v>2538</v>
      </c>
      <c r="K421" s="59">
        <v>2444.17808219178</v>
      </c>
      <c r="L421" s="59">
        <v>2390.49689440994</v>
      </c>
      <c r="M421" s="59">
        <v>1290</v>
      </c>
      <c r="N421" s="64">
        <v>2550</v>
      </c>
      <c r="O421" s="64">
        <v>2390</v>
      </c>
      <c r="P421" s="64">
        <v>2000</v>
      </c>
      <c r="Q421" s="44" t="s">
        <v>54</v>
      </c>
      <c r="R421" s="70" t="s">
        <v>416</v>
      </c>
      <c r="S421" s="44" t="s">
        <v>1305</v>
      </c>
      <c r="T421" s="43" t="s">
        <v>1309</v>
      </c>
      <c r="U421" s="71">
        <v>331102005</v>
      </c>
      <c r="V421" s="43" t="s">
        <v>1310</v>
      </c>
      <c r="W421" s="43" t="s">
        <v>1311</v>
      </c>
      <c r="X421" s="71" t="s">
        <v>43</v>
      </c>
      <c r="Y421" s="71" t="s">
        <v>40</v>
      </c>
      <c r="Z421" s="48" t="s">
        <v>1312</v>
      </c>
      <c r="AA421" s="75">
        <v>3070</v>
      </c>
      <c r="AB421" s="75">
        <v>2760</v>
      </c>
      <c r="AC421" s="80">
        <v>2700</v>
      </c>
      <c r="AD421" s="80">
        <v>2430</v>
      </c>
      <c r="AE421" s="80">
        <v>2070</v>
      </c>
      <c r="AF421" s="79">
        <f t="shared" si="45"/>
        <v>0</v>
      </c>
      <c r="AG421" s="79" t="str">
        <f t="shared" si="46"/>
        <v>尿路成形费（常规）</v>
      </c>
      <c r="AH421" s="79">
        <f t="shared" si="47"/>
        <v>2550</v>
      </c>
      <c r="AI421" s="79">
        <f t="shared" si="48"/>
        <v>2390</v>
      </c>
      <c r="AJ421" s="79">
        <f t="shared" si="49"/>
        <v>2000</v>
      </c>
    </row>
    <row r="422" ht="14" customHeight="1" spans="1:36">
      <c r="A422" s="44">
        <v>68</v>
      </c>
      <c r="B422" s="44" t="s">
        <v>1301</v>
      </c>
      <c r="C422" s="44" t="s">
        <v>1302</v>
      </c>
      <c r="D422" s="44" t="s">
        <v>213</v>
      </c>
      <c r="E422" s="44" t="s">
        <v>1303</v>
      </c>
      <c r="F422" s="44" t="s">
        <v>1304</v>
      </c>
      <c r="G422" s="44" t="s">
        <v>40</v>
      </c>
      <c r="H422" s="49"/>
      <c r="I422" s="56">
        <v>2820</v>
      </c>
      <c r="J422" s="56">
        <v>2538</v>
      </c>
      <c r="K422" s="59">
        <v>2444.17808219178</v>
      </c>
      <c r="L422" s="59">
        <v>2390.49689440994</v>
      </c>
      <c r="M422" s="59">
        <v>1290</v>
      </c>
      <c r="N422" s="64">
        <v>2550</v>
      </c>
      <c r="O422" s="64">
        <v>2390</v>
      </c>
      <c r="P422" s="64">
        <v>2000</v>
      </c>
      <c r="Q422" s="44" t="s">
        <v>54</v>
      </c>
      <c r="R422" s="70" t="s">
        <v>416</v>
      </c>
      <c r="S422" s="44" t="s">
        <v>1305</v>
      </c>
      <c r="T422" s="43" t="s">
        <v>1313</v>
      </c>
      <c r="U422" s="43">
        <v>33110200501</v>
      </c>
      <c r="V422" s="43" t="s">
        <v>1314</v>
      </c>
      <c r="W422" s="43" t="s">
        <v>43</v>
      </c>
      <c r="X422" s="71" t="s">
        <v>43</v>
      </c>
      <c r="Y422" s="71" t="s">
        <v>40</v>
      </c>
      <c r="Z422" s="48" t="s">
        <v>1315</v>
      </c>
      <c r="AA422" s="75">
        <v>4350</v>
      </c>
      <c r="AB422" s="75">
        <v>3910</v>
      </c>
      <c r="AC422" s="80">
        <v>3850</v>
      </c>
      <c r="AD422" s="80">
        <v>3470</v>
      </c>
      <c r="AE422" s="80">
        <v>2955</v>
      </c>
      <c r="AF422" s="79">
        <f t="shared" si="45"/>
        <v>0</v>
      </c>
      <c r="AG422" s="79" t="str">
        <f t="shared" si="46"/>
        <v>尿路成形费（常规）</v>
      </c>
      <c r="AH422" s="79">
        <f t="shared" si="47"/>
        <v>2550</v>
      </c>
      <c r="AI422" s="79">
        <f t="shared" si="48"/>
        <v>2390</v>
      </c>
      <c r="AJ422" s="79">
        <f t="shared" si="49"/>
        <v>2000</v>
      </c>
    </row>
    <row r="423" ht="14" customHeight="1" spans="1:36">
      <c r="A423" s="44">
        <v>68</v>
      </c>
      <c r="B423" s="44" t="s">
        <v>1301</v>
      </c>
      <c r="C423" s="44" t="s">
        <v>1302</v>
      </c>
      <c r="D423" s="44" t="s">
        <v>213</v>
      </c>
      <c r="E423" s="44" t="s">
        <v>1303</v>
      </c>
      <c r="F423" s="44" t="s">
        <v>1304</v>
      </c>
      <c r="G423" s="44" t="s">
        <v>40</v>
      </c>
      <c r="H423" s="49"/>
      <c r="I423" s="56">
        <v>2820</v>
      </c>
      <c r="J423" s="56">
        <v>2538</v>
      </c>
      <c r="K423" s="59">
        <v>2444.17808219178</v>
      </c>
      <c r="L423" s="59">
        <v>2390.49689440994</v>
      </c>
      <c r="M423" s="59">
        <v>1290</v>
      </c>
      <c r="N423" s="64">
        <v>2550</v>
      </c>
      <c r="O423" s="64">
        <v>2390</v>
      </c>
      <c r="P423" s="64">
        <v>2000</v>
      </c>
      <c r="Q423" s="44" t="s">
        <v>54</v>
      </c>
      <c r="R423" s="70" t="s">
        <v>416</v>
      </c>
      <c r="S423" s="44" t="s">
        <v>1305</v>
      </c>
      <c r="T423" s="43" t="s">
        <v>1316</v>
      </c>
      <c r="U423" s="71">
        <v>33110200504</v>
      </c>
      <c r="V423" s="43" t="s">
        <v>1317</v>
      </c>
      <c r="W423" s="43" t="s">
        <v>43</v>
      </c>
      <c r="X423" s="71" t="s">
        <v>43</v>
      </c>
      <c r="Y423" s="71" t="s">
        <v>40</v>
      </c>
      <c r="Z423" s="48" t="s">
        <v>43</v>
      </c>
      <c r="AA423" s="75">
        <v>3870</v>
      </c>
      <c r="AB423" s="75">
        <v>3480</v>
      </c>
      <c r="AC423" s="80">
        <v>3325</v>
      </c>
      <c r="AD423" s="80">
        <v>3030</v>
      </c>
      <c r="AE423" s="80">
        <v>2580</v>
      </c>
      <c r="AF423" s="79">
        <f t="shared" si="45"/>
        <v>0</v>
      </c>
      <c r="AG423" s="79" t="str">
        <f t="shared" si="46"/>
        <v>尿路成形费（常规）</v>
      </c>
      <c r="AH423" s="79">
        <f t="shared" si="47"/>
        <v>2550</v>
      </c>
      <c r="AI423" s="79">
        <f t="shared" si="48"/>
        <v>2390</v>
      </c>
      <c r="AJ423" s="79">
        <f t="shared" si="49"/>
        <v>2000</v>
      </c>
    </row>
    <row r="424" ht="14" customHeight="1" spans="1:36">
      <c r="A424" s="44">
        <v>68</v>
      </c>
      <c r="B424" s="44" t="s">
        <v>1301</v>
      </c>
      <c r="C424" s="44" t="s">
        <v>1302</v>
      </c>
      <c r="D424" s="44" t="s">
        <v>213</v>
      </c>
      <c r="E424" s="44" t="s">
        <v>1303</v>
      </c>
      <c r="F424" s="44" t="s">
        <v>1304</v>
      </c>
      <c r="G424" s="44" t="s">
        <v>40</v>
      </c>
      <c r="H424" s="49"/>
      <c r="I424" s="56">
        <v>2820</v>
      </c>
      <c r="J424" s="56">
        <v>2538</v>
      </c>
      <c r="K424" s="59">
        <v>2444.17808219178</v>
      </c>
      <c r="L424" s="59">
        <v>2390.49689440994</v>
      </c>
      <c r="M424" s="59">
        <v>1290</v>
      </c>
      <c r="N424" s="64">
        <v>2550</v>
      </c>
      <c r="O424" s="64">
        <v>2390</v>
      </c>
      <c r="P424" s="64">
        <v>2000</v>
      </c>
      <c r="Q424" s="44" t="s">
        <v>54</v>
      </c>
      <c r="R424" s="70" t="s">
        <v>416</v>
      </c>
      <c r="S424" s="44" t="s">
        <v>1305</v>
      </c>
      <c r="T424" s="43" t="s">
        <v>1318</v>
      </c>
      <c r="U424" s="71">
        <v>33110200505</v>
      </c>
      <c r="V424" s="43" t="s">
        <v>1319</v>
      </c>
      <c r="W424" s="43" t="s">
        <v>43</v>
      </c>
      <c r="X424" s="71" t="s">
        <v>43</v>
      </c>
      <c r="Y424" s="71" t="s">
        <v>40</v>
      </c>
      <c r="Z424" s="48" t="s">
        <v>1315</v>
      </c>
      <c r="AA424" s="75">
        <v>5150</v>
      </c>
      <c r="AB424" s="75">
        <v>4630</v>
      </c>
      <c r="AC424" s="80">
        <v>4475</v>
      </c>
      <c r="AD424" s="80">
        <v>4070</v>
      </c>
      <c r="AE424" s="80">
        <v>3465</v>
      </c>
      <c r="AF424" s="79">
        <f t="shared" si="45"/>
        <v>0</v>
      </c>
      <c r="AG424" s="79" t="str">
        <f t="shared" si="46"/>
        <v>尿路成形费（常规）</v>
      </c>
      <c r="AH424" s="79">
        <f t="shared" si="47"/>
        <v>2550</v>
      </c>
      <c r="AI424" s="79">
        <f t="shared" si="48"/>
        <v>2390</v>
      </c>
      <c r="AJ424" s="79">
        <f t="shared" si="49"/>
        <v>2000</v>
      </c>
    </row>
    <row r="425" ht="14" customHeight="1" spans="1:36">
      <c r="A425" s="44">
        <v>68</v>
      </c>
      <c r="B425" s="44" t="s">
        <v>1301</v>
      </c>
      <c r="C425" s="44" t="s">
        <v>1302</v>
      </c>
      <c r="D425" s="44" t="s">
        <v>213</v>
      </c>
      <c r="E425" s="44" t="s">
        <v>1303</v>
      </c>
      <c r="F425" s="44" t="s">
        <v>1304</v>
      </c>
      <c r="G425" s="44" t="s">
        <v>40</v>
      </c>
      <c r="H425" s="49"/>
      <c r="I425" s="56">
        <v>2820</v>
      </c>
      <c r="J425" s="56">
        <v>2538</v>
      </c>
      <c r="K425" s="59">
        <v>2444.17808219178</v>
      </c>
      <c r="L425" s="59">
        <v>2390.49689440994</v>
      </c>
      <c r="M425" s="59">
        <v>1290</v>
      </c>
      <c r="N425" s="64">
        <v>2550</v>
      </c>
      <c r="O425" s="64">
        <v>2390</v>
      </c>
      <c r="P425" s="64">
        <v>2000</v>
      </c>
      <c r="Q425" s="44" t="s">
        <v>54</v>
      </c>
      <c r="R425" s="70" t="s">
        <v>416</v>
      </c>
      <c r="S425" s="44" t="s">
        <v>1305</v>
      </c>
      <c r="T425" s="43" t="s">
        <v>1320</v>
      </c>
      <c r="U425" s="71">
        <v>331102015</v>
      </c>
      <c r="V425" s="71" t="s">
        <v>1321</v>
      </c>
      <c r="W425" s="43" t="s">
        <v>43</v>
      </c>
      <c r="X425" s="71" t="s">
        <v>43</v>
      </c>
      <c r="Y425" s="71" t="s">
        <v>40</v>
      </c>
      <c r="Z425" s="48" t="s">
        <v>43</v>
      </c>
      <c r="AA425" s="75">
        <v>1490</v>
      </c>
      <c r="AB425" s="75">
        <v>1340</v>
      </c>
      <c r="AC425" s="80">
        <v>1375</v>
      </c>
      <c r="AD425" s="80">
        <v>1320</v>
      </c>
      <c r="AE425" s="80">
        <v>1122</v>
      </c>
      <c r="AF425" s="79">
        <f t="shared" si="45"/>
        <v>0</v>
      </c>
      <c r="AG425" s="79" t="str">
        <f t="shared" si="46"/>
        <v>尿路成形费（常规）</v>
      </c>
      <c r="AH425" s="79">
        <f t="shared" si="47"/>
        <v>2550</v>
      </c>
      <c r="AI425" s="79">
        <f t="shared" si="48"/>
        <v>2390</v>
      </c>
      <c r="AJ425" s="79">
        <f t="shared" si="49"/>
        <v>2000</v>
      </c>
    </row>
    <row r="426" ht="14" customHeight="1" spans="1:36">
      <c r="A426" s="44">
        <v>68</v>
      </c>
      <c r="B426" s="44" t="s">
        <v>1301</v>
      </c>
      <c r="C426" s="44" t="s">
        <v>1302</v>
      </c>
      <c r="D426" s="44" t="s">
        <v>213</v>
      </c>
      <c r="E426" s="44" t="s">
        <v>1303</v>
      </c>
      <c r="F426" s="44" t="s">
        <v>1304</v>
      </c>
      <c r="G426" s="44" t="s">
        <v>40</v>
      </c>
      <c r="H426" s="49"/>
      <c r="I426" s="56">
        <v>2820</v>
      </c>
      <c r="J426" s="56">
        <v>2538</v>
      </c>
      <c r="K426" s="59">
        <v>2444.17808219178</v>
      </c>
      <c r="L426" s="59">
        <v>2390.49689440994</v>
      </c>
      <c r="M426" s="59">
        <v>1290</v>
      </c>
      <c r="N426" s="64">
        <v>2550</v>
      </c>
      <c r="O426" s="64">
        <v>2390</v>
      </c>
      <c r="P426" s="64">
        <v>2000</v>
      </c>
      <c r="Q426" s="44" t="s">
        <v>54</v>
      </c>
      <c r="R426" s="70" t="s">
        <v>416</v>
      </c>
      <c r="S426" s="44" t="s">
        <v>1305</v>
      </c>
      <c r="T426" s="43" t="s">
        <v>1322</v>
      </c>
      <c r="U426" s="71">
        <v>33110201502</v>
      </c>
      <c r="V426" s="71" t="s">
        <v>1323</v>
      </c>
      <c r="W426" s="43" t="s">
        <v>43</v>
      </c>
      <c r="X426" s="71" t="s">
        <v>43</v>
      </c>
      <c r="Y426" s="71" t="s">
        <v>40</v>
      </c>
      <c r="Z426" s="48" t="s">
        <v>43</v>
      </c>
      <c r="AA426" s="75">
        <v>2290</v>
      </c>
      <c r="AB426" s="75">
        <v>2060</v>
      </c>
      <c r="AC426" s="80">
        <v>2000</v>
      </c>
      <c r="AD426" s="80">
        <v>1920</v>
      </c>
      <c r="AE426" s="80">
        <v>1632</v>
      </c>
      <c r="AF426" s="79">
        <f t="shared" si="45"/>
        <v>0</v>
      </c>
      <c r="AG426" s="79" t="str">
        <f t="shared" si="46"/>
        <v>尿路成形费（常规）</v>
      </c>
      <c r="AH426" s="79">
        <f t="shared" si="47"/>
        <v>2550</v>
      </c>
      <c r="AI426" s="79">
        <f t="shared" si="48"/>
        <v>2390</v>
      </c>
      <c r="AJ426" s="79">
        <f t="shared" si="49"/>
        <v>2000</v>
      </c>
    </row>
    <row r="427" ht="14" customHeight="1" spans="1:36">
      <c r="A427" s="44">
        <v>68</v>
      </c>
      <c r="B427" s="44" t="s">
        <v>1301</v>
      </c>
      <c r="C427" s="44" t="s">
        <v>1302</v>
      </c>
      <c r="D427" s="44" t="s">
        <v>213</v>
      </c>
      <c r="E427" s="44" t="s">
        <v>1303</v>
      </c>
      <c r="F427" s="44" t="s">
        <v>1304</v>
      </c>
      <c r="G427" s="44" t="s">
        <v>40</v>
      </c>
      <c r="H427" s="49"/>
      <c r="I427" s="56">
        <v>2820</v>
      </c>
      <c r="J427" s="56">
        <v>2538</v>
      </c>
      <c r="K427" s="59">
        <v>2444.17808219178</v>
      </c>
      <c r="L427" s="59">
        <v>2390.49689440994</v>
      </c>
      <c r="M427" s="59">
        <v>1290</v>
      </c>
      <c r="N427" s="64">
        <v>2550</v>
      </c>
      <c r="O427" s="64">
        <v>2390</v>
      </c>
      <c r="P427" s="64">
        <v>2000</v>
      </c>
      <c r="Q427" s="44" t="s">
        <v>54</v>
      </c>
      <c r="R427" s="70" t="s">
        <v>416</v>
      </c>
      <c r="S427" s="44" t="s">
        <v>1305</v>
      </c>
      <c r="T427" s="43" t="s">
        <v>1324</v>
      </c>
      <c r="U427" s="71">
        <v>331102016</v>
      </c>
      <c r="V427" s="71" t="s">
        <v>1325</v>
      </c>
      <c r="W427" s="43" t="s">
        <v>43</v>
      </c>
      <c r="X427" s="71" t="s">
        <v>43</v>
      </c>
      <c r="Y427" s="71" t="s">
        <v>40</v>
      </c>
      <c r="Z427" s="48" t="s">
        <v>43</v>
      </c>
      <c r="AA427" s="75">
        <v>2500</v>
      </c>
      <c r="AB427" s="75">
        <v>2240</v>
      </c>
      <c r="AC427" s="80">
        <v>2190</v>
      </c>
      <c r="AD427" s="80">
        <v>1970</v>
      </c>
      <c r="AE427" s="80">
        <v>1670</v>
      </c>
      <c r="AF427" s="79">
        <f t="shared" si="45"/>
        <v>0</v>
      </c>
      <c r="AG427" s="79" t="str">
        <f t="shared" si="46"/>
        <v>尿路成形费（常规）</v>
      </c>
      <c r="AH427" s="79">
        <f t="shared" si="47"/>
        <v>2550</v>
      </c>
      <c r="AI427" s="79">
        <f t="shared" si="48"/>
        <v>2390</v>
      </c>
      <c r="AJ427" s="79">
        <f t="shared" si="49"/>
        <v>2000</v>
      </c>
    </row>
    <row r="428" ht="14" customHeight="1" spans="1:36">
      <c r="A428" s="44">
        <v>68</v>
      </c>
      <c r="B428" s="44" t="s">
        <v>1301</v>
      </c>
      <c r="C428" s="44" t="s">
        <v>1302</v>
      </c>
      <c r="D428" s="44" t="s">
        <v>213</v>
      </c>
      <c r="E428" s="44" t="s">
        <v>1303</v>
      </c>
      <c r="F428" s="44" t="s">
        <v>1304</v>
      </c>
      <c r="G428" s="44" t="s">
        <v>40</v>
      </c>
      <c r="H428" s="49"/>
      <c r="I428" s="56">
        <v>2820</v>
      </c>
      <c r="J428" s="56">
        <v>2538</v>
      </c>
      <c r="K428" s="59">
        <v>2444.17808219178</v>
      </c>
      <c r="L428" s="59">
        <v>2390.49689440994</v>
      </c>
      <c r="M428" s="59">
        <v>1290</v>
      </c>
      <c r="N428" s="64">
        <v>2550</v>
      </c>
      <c r="O428" s="64">
        <v>2390</v>
      </c>
      <c r="P428" s="64">
        <v>2000</v>
      </c>
      <c r="Q428" s="44" t="s">
        <v>54</v>
      </c>
      <c r="R428" s="70" t="s">
        <v>416</v>
      </c>
      <c r="S428" s="44" t="s">
        <v>1305</v>
      </c>
      <c r="T428" s="43" t="s">
        <v>1326</v>
      </c>
      <c r="U428" s="71">
        <v>33110201602</v>
      </c>
      <c r="V428" s="71" t="s">
        <v>1327</v>
      </c>
      <c r="W428" s="43" t="s">
        <v>43</v>
      </c>
      <c r="X428" s="71" t="s">
        <v>43</v>
      </c>
      <c r="Y428" s="71" t="s">
        <v>40</v>
      </c>
      <c r="Z428" s="48" t="s">
        <v>43</v>
      </c>
      <c r="AA428" s="75">
        <v>3300</v>
      </c>
      <c r="AB428" s="75">
        <v>2960</v>
      </c>
      <c r="AC428" s="80">
        <v>2815</v>
      </c>
      <c r="AD428" s="80">
        <v>2570</v>
      </c>
      <c r="AE428" s="80">
        <v>2180</v>
      </c>
      <c r="AF428" s="79">
        <f t="shared" si="45"/>
        <v>0</v>
      </c>
      <c r="AG428" s="79" t="str">
        <f t="shared" si="46"/>
        <v>尿路成形费（常规）</v>
      </c>
      <c r="AH428" s="79">
        <f t="shared" si="47"/>
        <v>2550</v>
      </c>
      <c r="AI428" s="79">
        <f t="shared" si="48"/>
        <v>2390</v>
      </c>
      <c r="AJ428" s="79">
        <f t="shared" si="49"/>
        <v>2000</v>
      </c>
    </row>
    <row r="429" ht="14" customHeight="1" spans="1:36">
      <c r="A429" s="44">
        <v>68</v>
      </c>
      <c r="B429" s="44" t="s">
        <v>1301</v>
      </c>
      <c r="C429" s="44" t="s">
        <v>1302</v>
      </c>
      <c r="D429" s="44" t="s">
        <v>213</v>
      </c>
      <c r="E429" s="44" t="s">
        <v>1303</v>
      </c>
      <c r="F429" s="44" t="s">
        <v>1304</v>
      </c>
      <c r="G429" s="44" t="s">
        <v>40</v>
      </c>
      <c r="H429" s="49"/>
      <c r="I429" s="56">
        <v>2820</v>
      </c>
      <c r="J429" s="56">
        <v>2538</v>
      </c>
      <c r="K429" s="59">
        <v>2444.17808219178</v>
      </c>
      <c r="L429" s="59">
        <v>2390.49689440994</v>
      </c>
      <c r="M429" s="59">
        <v>1290</v>
      </c>
      <c r="N429" s="64">
        <v>2550</v>
      </c>
      <c r="O429" s="64">
        <v>2390</v>
      </c>
      <c r="P429" s="64">
        <v>2000</v>
      </c>
      <c r="Q429" s="44" t="s">
        <v>54</v>
      </c>
      <c r="R429" s="70" t="s">
        <v>416</v>
      </c>
      <c r="S429" s="44" t="s">
        <v>1305</v>
      </c>
      <c r="T429" s="43" t="s">
        <v>1328</v>
      </c>
      <c r="U429" s="43">
        <v>331102002</v>
      </c>
      <c r="V429" s="43" t="s">
        <v>1329</v>
      </c>
      <c r="W429" s="43" t="s">
        <v>43</v>
      </c>
      <c r="X429" s="71" t="s">
        <v>43</v>
      </c>
      <c r="Y429" s="71" t="s">
        <v>40</v>
      </c>
      <c r="Z429" s="48" t="s">
        <v>43</v>
      </c>
      <c r="AA429" s="75">
        <v>3070</v>
      </c>
      <c r="AB429" s="75">
        <v>2760</v>
      </c>
      <c r="AC429" s="80">
        <v>2700</v>
      </c>
      <c r="AD429" s="80">
        <v>2430</v>
      </c>
      <c r="AE429" s="80">
        <v>2070</v>
      </c>
      <c r="AF429" s="79">
        <f t="shared" si="45"/>
        <v>0</v>
      </c>
      <c r="AG429" s="79" t="str">
        <f t="shared" si="46"/>
        <v>尿路成形费（常规）</v>
      </c>
      <c r="AH429" s="79">
        <f t="shared" si="47"/>
        <v>2550</v>
      </c>
      <c r="AI429" s="79">
        <f t="shared" si="48"/>
        <v>2390</v>
      </c>
      <c r="AJ429" s="79">
        <f t="shared" si="49"/>
        <v>2000</v>
      </c>
    </row>
    <row r="430" ht="14" customHeight="1" spans="1:36">
      <c r="A430" s="44">
        <v>68</v>
      </c>
      <c r="B430" s="44" t="s">
        <v>1301</v>
      </c>
      <c r="C430" s="44" t="s">
        <v>1302</v>
      </c>
      <c r="D430" s="44" t="s">
        <v>213</v>
      </c>
      <c r="E430" s="44" t="s">
        <v>1303</v>
      </c>
      <c r="F430" s="44" t="s">
        <v>1304</v>
      </c>
      <c r="G430" s="44" t="s">
        <v>40</v>
      </c>
      <c r="H430" s="49"/>
      <c r="I430" s="56">
        <v>2820</v>
      </c>
      <c r="J430" s="56">
        <v>2538</v>
      </c>
      <c r="K430" s="59">
        <v>2444.17808219178</v>
      </c>
      <c r="L430" s="59">
        <v>2390.49689440994</v>
      </c>
      <c r="M430" s="59">
        <v>1290</v>
      </c>
      <c r="N430" s="64">
        <v>2550</v>
      </c>
      <c r="O430" s="64">
        <v>2390</v>
      </c>
      <c r="P430" s="64">
        <v>2000</v>
      </c>
      <c r="Q430" s="44" t="s">
        <v>54</v>
      </c>
      <c r="R430" s="70" t="s">
        <v>416</v>
      </c>
      <c r="S430" s="44" t="s">
        <v>1305</v>
      </c>
      <c r="T430" s="43" t="s">
        <v>1330</v>
      </c>
      <c r="U430" s="43">
        <v>33110200202</v>
      </c>
      <c r="V430" s="43" t="s">
        <v>1331</v>
      </c>
      <c r="W430" s="43" t="s">
        <v>43</v>
      </c>
      <c r="X430" s="71" t="s">
        <v>43</v>
      </c>
      <c r="Y430" s="71" t="s">
        <v>40</v>
      </c>
      <c r="Z430" s="48" t="s">
        <v>43</v>
      </c>
      <c r="AA430" s="75">
        <v>3870</v>
      </c>
      <c r="AB430" s="75">
        <v>3480</v>
      </c>
      <c r="AC430" s="80">
        <v>3325</v>
      </c>
      <c r="AD430" s="80">
        <v>3030</v>
      </c>
      <c r="AE430" s="80">
        <v>2580</v>
      </c>
      <c r="AF430" s="79">
        <f t="shared" si="45"/>
        <v>0</v>
      </c>
      <c r="AG430" s="79" t="str">
        <f t="shared" si="46"/>
        <v>尿路成形费（常规）</v>
      </c>
      <c r="AH430" s="79">
        <f t="shared" si="47"/>
        <v>2550</v>
      </c>
      <c r="AI430" s="79">
        <f t="shared" si="48"/>
        <v>2390</v>
      </c>
      <c r="AJ430" s="79">
        <f t="shared" si="49"/>
        <v>2000</v>
      </c>
    </row>
    <row r="431" ht="14" customHeight="1" spans="1:36">
      <c r="A431" s="44">
        <v>68</v>
      </c>
      <c r="B431" s="44" t="s">
        <v>1301</v>
      </c>
      <c r="C431" s="44" t="s">
        <v>1302</v>
      </c>
      <c r="D431" s="44" t="s">
        <v>213</v>
      </c>
      <c r="E431" s="44" t="s">
        <v>1303</v>
      </c>
      <c r="F431" s="44" t="s">
        <v>1304</v>
      </c>
      <c r="G431" s="44" t="s">
        <v>40</v>
      </c>
      <c r="H431" s="49"/>
      <c r="I431" s="56">
        <v>2820</v>
      </c>
      <c r="J431" s="56">
        <v>2538</v>
      </c>
      <c r="K431" s="59">
        <v>2444.17808219178</v>
      </c>
      <c r="L431" s="59">
        <v>2390.49689440994</v>
      </c>
      <c r="M431" s="59">
        <v>1290</v>
      </c>
      <c r="N431" s="64">
        <v>2550</v>
      </c>
      <c r="O431" s="64">
        <v>2390</v>
      </c>
      <c r="P431" s="64">
        <v>2000</v>
      </c>
      <c r="Q431" s="44" t="s">
        <v>54</v>
      </c>
      <c r="R431" s="70" t="s">
        <v>416</v>
      </c>
      <c r="S431" s="44" t="s">
        <v>1305</v>
      </c>
      <c r="T431" s="43" t="s">
        <v>1332</v>
      </c>
      <c r="U431" s="43">
        <v>331104021</v>
      </c>
      <c r="V431" s="43" t="s">
        <v>1333</v>
      </c>
      <c r="W431" s="43" t="s">
        <v>43</v>
      </c>
      <c r="X431" s="71" t="s">
        <v>43</v>
      </c>
      <c r="Y431" s="71" t="s">
        <v>40</v>
      </c>
      <c r="Z431" s="48" t="s">
        <v>43</v>
      </c>
      <c r="AA431" s="75">
        <v>1080</v>
      </c>
      <c r="AB431" s="75">
        <v>970</v>
      </c>
      <c r="AC431" s="80">
        <v>1000</v>
      </c>
      <c r="AD431" s="80">
        <v>960</v>
      </c>
      <c r="AE431" s="80">
        <v>816</v>
      </c>
      <c r="AF431" s="79">
        <f t="shared" si="45"/>
        <v>0</v>
      </c>
      <c r="AG431" s="79" t="str">
        <f t="shared" si="46"/>
        <v>尿路成形费（常规）</v>
      </c>
      <c r="AH431" s="79">
        <f t="shared" si="47"/>
        <v>2550</v>
      </c>
      <c r="AI431" s="79">
        <f t="shared" si="48"/>
        <v>2390</v>
      </c>
      <c r="AJ431" s="79">
        <f t="shared" si="49"/>
        <v>2000</v>
      </c>
    </row>
    <row r="432" ht="14" customHeight="1" spans="1:36">
      <c r="A432" s="44">
        <v>68</v>
      </c>
      <c r="B432" s="44" t="s">
        <v>1301</v>
      </c>
      <c r="C432" s="44" t="s">
        <v>1302</v>
      </c>
      <c r="D432" s="44" t="s">
        <v>213</v>
      </c>
      <c r="E432" s="44" t="s">
        <v>1303</v>
      </c>
      <c r="F432" s="44" t="s">
        <v>1304</v>
      </c>
      <c r="G432" s="44" t="s">
        <v>40</v>
      </c>
      <c r="H432" s="49"/>
      <c r="I432" s="56">
        <v>2820</v>
      </c>
      <c r="J432" s="56">
        <v>2538</v>
      </c>
      <c r="K432" s="59">
        <v>2444.17808219178</v>
      </c>
      <c r="L432" s="59">
        <v>2390.49689440994</v>
      </c>
      <c r="M432" s="59">
        <v>1290</v>
      </c>
      <c r="N432" s="64">
        <v>2550</v>
      </c>
      <c r="O432" s="64">
        <v>2390</v>
      </c>
      <c r="P432" s="64">
        <v>2000</v>
      </c>
      <c r="Q432" s="44" t="s">
        <v>54</v>
      </c>
      <c r="R432" s="70" t="s">
        <v>416</v>
      </c>
      <c r="S432" s="44" t="s">
        <v>1305</v>
      </c>
      <c r="T432" s="43" t="s">
        <v>1334</v>
      </c>
      <c r="U432" s="71">
        <v>331102017</v>
      </c>
      <c r="V432" s="43" t="s">
        <v>1335</v>
      </c>
      <c r="W432" s="43" t="s">
        <v>43</v>
      </c>
      <c r="X432" s="71" t="s">
        <v>43</v>
      </c>
      <c r="Y432" s="71" t="s">
        <v>40</v>
      </c>
      <c r="Z432" s="48" t="s">
        <v>43</v>
      </c>
      <c r="AA432" s="75">
        <v>2690</v>
      </c>
      <c r="AB432" s="75">
        <v>2420</v>
      </c>
      <c r="AC432" s="80">
        <v>2360</v>
      </c>
      <c r="AD432" s="80">
        <v>2120</v>
      </c>
      <c r="AE432" s="80">
        <v>1800</v>
      </c>
      <c r="AF432" s="79">
        <f t="shared" si="45"/>
        <v>0</v>
      </c>
      <c r="AG432" s="79" t="str">
        <f t="shared" si="46"/>
        <v>尿路成形费（常规）</v>
      </c>
      <c r="AH432" s="79">
        <f t="shared" si="47"/>
        <v>2550</v>
      </c>
      <c r="AI432" s="79">
        <f t="shared" si="48"/>
        <v>2390</v>
      </c>
      <c r="AJ432" s="79">
        <f t="shared" si="49"/>
        <v>2000</v>
      </c>
    </row>
    <row r="433" ht="14" customHeight="1" spans="1:36">
      <c r="A433" s="44">
        <v>68</v>
      </c>
      <c r="B433" s="44" t="s">
        <v>1301</v>
      </c>
      <c r="C433" s="44" t="s">
        <v>1302</v>
      </c>
      <c r="D433" s="44" t="s">
        <v>213</v>
      </c>
      <c r="E433" s="44" t="s">
        <v>1303</v>
      </c>
      <c r="F433" s="44" t="s">
        <v>1304</v>
      </c>
      <c r="G433" s="44" t="s">
        <v>40</v>
      </c>
      <c r="H433" s="49"/>
      <c r="I433" s="56">
        <v>2820</v>
      </c>
      <c r="J433" s="56">
        <v>2538</v>
      </c>
      <c r="K433" s="59">
        <v>2444.17808219178</v>
      </c>
      <c r="L433" s="59">
        <v>2390.49689440994</v>
      </c>
      <c r="M433" s="59">
        <v>1290</v>
      </c>
      <c r="N433" s="64">
        <v>2550</v>
      </c>
      <c r="O433" s="64">
        <v>2390</v>
      </c>
      <c r="P433" s="64">
        <v>2000</v>
      </c>
      <c r="Q433" s="44" t="s">
        <v>54</v>
      </c>
      <c r="R433" s="70" t="s">
        <v>416</v>
      </c>
      <c r="S433" s="44" t="s">
        <v>1305</v>
      </c>
      <c r="T433" s="45" t="s">
        <v>1336</v>
      </c>
      <c r="U433" s="45">
        <v>33110201702</v>
      </c>
      <c r="V433" s="45" t="s">
        <v>1337</v>
      </c>
      <c r="W433" s="43" t="s">
        <v>43</v>
      </c>
      <c r="X433" s="71" t="s">
        <v>43</v>
      </c>
      <c r="Y433" s="71" t="s">
        <v>40</v>
      </c>
      <c r="Z433" s="48" t="s">
        <v>43</v>
      </c>
      <c r="AA433" s="75">
        <v>3490</v>
      </c>
      <c r="AB433" s="75">
        <v>3140</v>
      </c>
      <c r="AC433" s="80">
        <v>2985</v>
      </c>
      <c r="AD433" s="80">
        <v>2720</v>
      </c>
      <c r="AE433" s="80">
        <v>2310</v>
      </c>
      <c r="AF433" s="79">
        <f t="shared" si="45"/>
        <v>0</v>
      </c>
      <c r="AG433" s="79" t="str">
        <f t="shared" si="46"/>
        <v>尿路成形费（常规）</v>
      </c>
      <c r="AH433" s="79">
        <f t="shared" si="47"/>
        <v>2550</v>
      </c>
      <c r="AI433" s="79">
        <f t="shared" si="48"/>
        <v>2390</v>
      </c>
      <c r="AJ433" s="79">
        <f t="shared" si="49"/>
        <v>2000</v>
      </c>
    </row>
    <row r="434" ht="14" customHeight="1" spans="1:36">
      <c r="A434" s="44">
        <v>68</v>
      </c>
      <c r="B434" s="44" t="s">
        <v>1301</v>
      </c>
      <c r="C434" s="44" t="s">
        <v>1302</v>
      </c>
      <c r="D434" s="44" t="s">
        <v>213</v>
      </c>
      <c r="E434" s="44" t="s">
        <v>1303</v>
      </c>
      <c r="F434" s="44" t="s">
        <v>1304</v>
      </c>
      <c r="G434" s="44" t="s">
        <v>40</v>
      </c>
      <c r="H434" s="49"/>
      <c r="I434" s="56">
        <v>2820</v>
      </c>
      <c r="J434" s="56">
        <v>2538</v>
      </c>
      <c r="K434" s="59">
        <v>2444.17808219178</v>
      </c>
      <c r="L434" s="59">
        <v>2390.49689440994</v>
      </c>
      <c r="M434" s="59">
        <v>1290</v>
      </c>
      <c r="N434" s="64">
        <v>2550</v>
      </c>
      <c r="O434" s="64">
        <v>2390</v>
      </c>
      <c r="P434" s="64">
        <v>2000</v>
      </c>
      <c r="Q434" s="44" t="s">
        <v>54</v>
      </c>
      <c r="R434" s="70" t="s">
        <v>416</v>
      </c>
      <c r="S434" s="44" t="s">
        <v>1305</v>
      </c>
      <c r="T434" s="43" t="s">
        <v>1338</v>
      </c>
      <c r="U434" s="71">
        <v>331104016</v>
      </c>
      <c r="V434" s="43" t="s">
        <v>1339</v>
      </c>
      <c r="W434" s="43" t="s">
        <v>43</v>
      </c>
      <c r="X434" s="71" t="s">
        <v>43</v>
      </c>
      <c r="Y434" s="71" t="s">
        <v>40</v>
      </c>
      <c r="Z434" s="48" t="s">
        <v>43</v>
      </c>
      <c r="AA434" s="75">
        <v>2690</v>
      </c>
      <c r="AB434" s="75">
        <v>2420</v>
      </c>
      <c r="AC434" s="80">
        <v>2360</v>
      </c>
      <c r="AD434" s="80">
        <v>2120</v>
      </c>
      <c r="AE434" s="80">
        <v>1800</v>
      </c>
      <c r="AF434" s="79">
        <f t="shared" si="45"/>
        <v>0</v>
      </c>
      <c r="AG434" s="79" t="str">
        <f t="shared" si="46"/>
        <v>尿路成形费（常规）</v>
      </c>
      <c r="AH434" s="79">
        <f t="shared" si="47"/>
        <v>2550</v>
      </c>
      <c r="AI434" s="79">
        <f t="shared" si="48"/>
        <v>2390</v>
      </c>
      <c r="AJ434" s="79">
        <f t="shared" si="49"/>
        <v>2000</v>
      </c>
    </row>
    <row r="435" ht="14" customHeight="1" spans="1:36">
      <c r="A435" s="44">
        <v>68</v>
      </c>
      <c r="B435" s="44" t="s">
        <v>1301</v>
      </c>
      <c r="C435" s="44" t="s">
        <v>1302</v>
      </c>
      <c r="D435" s="44" t="s">
        <v>213</v>
      </c>
      <c r="E435" s="44" t="s">
        <v>1303</v>
      </c>
      <c r="F435" s="44" t="s">
        <v>1304</v>
      </c>
      <c r="G435" s="44" t="s">
        <v>40</v>
      </c>
      <c r="H435" s="49"/>
      <c r="I435" s="56">
        <v>2820</v>
      </c>
      <c r="J435" s="56">
        <v>2538</v>
      </c>
      <c r="K435" s="59">
        <v>2444.17808219178</v>
      </c>
      <c r="L435" s="59">
        <v>2390.49689440994</v>
      </c>
      <c r="M435" s="59">
        <v>1290</v>
      </c>
      <c r="N435" s="64">
        <v>2550</v>
      </c>
      <c r="O435" s="64">
        <v>2390</v>
      </c>
      <c r="P435" s="64">
        <v>2000</v>
      </c>
      <c r="Q435" s="44" t="s">
        <v>54</v>
      </c>
      <c r="R435" s="70" t="s">
        <v>416</v>
      </c>
      <c r="S435" s="44" t="s">
        <v>1305</v>
      </c>
      <c r="T435" s="43" t="s">
        <v>1340</v>
      </c>
      <c r="U435" s="71">
        <v>331104004</v>
      </c>
      <c r="V435" s="43" t="s">
        <v>1341</v>
      </c>
      <c r="W435" s="43" t="s">
        <v>43</v>
      </c>
      <c r="X435" s="71" t="s">
        <v>43</v>
      </c>
      <c r="Y435" s="71" t="s">
        <v>40</v>
      </c>
      <c r="Z435" s="48" t="s">
        <v>43</v>
      </c>
      <c r="AA435" s="75">
        <v>1350</v>
      </c>
      <c r="AB435" s="75">
        <v>1215</v>
      </c>
      <c r="AC435" s="80">
        <v>1250</v>
      </c>
      <c r="AD435" s="80">
        <v>1200</v>
      </c>
      <c r="AE435" s="80">
        <v>1020</v>
      </c>
      <c r="AF435" s="79">
        <f t="shared" si="45"/>
        <v>0</v>
      </c>
      <c r="AG435" s="79" t="str">
        <f t="shared" si="46"/>
        <v>尿路成形费（常规）</v>
      </c>
      <c r="AH435" s="79">
        <f t="shared" si="47"/>
        <v>2550</v>
      </c>
      <c r="AI435" s="79">
        <f t="shared" si="48"/>
        <v>2390</v>
      </c>
      <c r="AJ435" s="79">
        <f t="shared" si="49"/>
        <v>2000</v>
      </c>
    </row>
    <row r="436" ht="14" customHeight="1" spans="1:36">
      <c r="A436" s="44">
        <v>68</v>
      </c>
      <c r="B436" s="44" t="s">
        <v>1301</v>
      </c>
      <c r="C436" s="44" t="s">
        <v>1302</v>
      </c>
      <c r="D436" s="44" t="s">
        <v>213</v>
      </c>
      <c r="E436" s="44" t="s">
        <v>1303</v>
      </c>
      <c r="F436" s="44" t="s">
        <v>1304</v>
      </c>
      <c r="G436" s="44" t="s">
        <v>40</v>
      </c>
      <c r="H436" s="49"/>
      <c r="I436" s="56">
        <v>2820</v>
      </c>
      <c r="J436" s="56">
        <v>2538</v>
      </c>
      <c r="K436" s="59">
        <v>2444.17808219178</v>
      </c>
      <c r="L436" s="59">
        <v>2390.49689440994</v>
      </c>
      <c r="M436" s="59">
        <v>1290</v>
      </c>
      <c r="N436" s="64">
        <v>2550</v>
      </c>
      <c r="O436" s="64">
        <v>2390</v>
      </c>
      <c r="P436" s="64">
        <v>2000</v>
      </c>
      <c r="Q436" s="44" t="s">
        <v>54</v>
      </c>
      <c r="R436" s="70" t="s">
        <v>416</v>
      </c>
      <c r="S436" s="44" t="s">
        <v>1305</v>
      </c>
      <c r="T436" s="45" t="s">
        <v>1342</v>
      </c>
      <c r="U436" s="45">
        <v>33110400402</v>
      </c>
      <c r="V436" s="45" t="s">
        <v>1343</v>
      </c>
      <c r="W436" s="43" t="s">
        <v>43</v>
      </c>
      <c r="X436" s="71" t="s">
        <v>43</v>
      </c>
      <c r="Y436" s="71" t="s">
        <v>40</v>
      </c>
      <c r="Z436" s="48" t="s">
        <v>43</v>
      </c>
      <c r="AA436" s="75">
        <v>1600</v>
      </c>
      <c r="AB436" s="75">
        <v>1440</v>
      </c>
      <c r="AC436" s="80">
        <v>1500</v>
      </c>
      <c r="AD436" s="80">
        <v>1425</v>
      </c>
      <c r="AE436" s="80">
        <v>1210</v>
      </c>
      <c r="AF436" s="79">
        <f t="shared" si="45"/>
        <v>0</v>
      </c>
      <c r="AG436" s="79" t="str">
        <f t="shared" si="46"/>
        <v>尿路成形费（常规）</v>
      </c>
      <c r="AH436" s="79">
        <f t="shared" si="47"/>
        <v>2550</v>
      </c>
      <c r="AI436" s="79">
        <f t="shared" si="48"/>
        <v>2390</v>
      </c>
      <c r="AJ436" s="79">
        <f t="shared" si="49"/>
        <v>2000</v>
      </c>
    </row>
    <row r="437" ht="14" customHeight="1" spans="1:36">
      <c r="A437" s="44">
        <v>68</v>
      </c>
      <c r="B437" s="44" t="s">
        <v>1301</v>
      </c>
      <c r="C437" s="44" t="s">
        <v>1302</v>
      </c>
      <c r="D437" s="44" t="s">
        <v>213</v>
      </c>
      <c r="E437" s="44" t="s">
        <v>1303</v>
      </c>
      <c r="F437" s="44" t="s">
        <v>1304</v>
      </c>
      <c r="G437" s="44" t="s">
        <v>40</v>
      </c>
      <c r="H437" s="49"/>
      <c r="I437" s="56">
        <v>2820</v>
      </c>
      <c r="J437" s="56">
        <v>2538</v>
      </c>
      <c r="K437" s="59">
        <v>2444.17808219178</v>
      </c>
      <c r="L437" s="59">
        <v>2390.49689440994</v>
      </c>
      <c r="M437" s="59">
        <v>1290</v>
      </c>
      <c r="N437" s="64">
        <v>2550</v>
      </c>
      <c r="O437" s="64">
        <v>2390</v>
      </c>
      <c r="P437" s="64">
        <v>2000</v>
      </c>
      <c r="Q437" s="44" t="s">
        <v>54</v>
      </c>
      <c r="R437" s="70" t="s">
        <v>416</v>
      </c>
      <c r="S437" s="44" t="s">
        <v>1305</v>
      </c>
      <c r="T437" s="43" t="s">
        <v>1344</v>
      </c>
      <c r="U437" s="71">
        <v>331104002</v>
      </c>
      <c r="V437" s="43" t="s">
        <v>1345</v>
      </c>
      <c r="W437" s="43" t="s">
        <v>43</v>
      </c>
      <c r="X437" s="71" t="s">
        <v>43</v>
      </c>
      <c r="Y437" s="71" t="s">
        <v>40</v>
      </c>
      <c r="Z437" s="48" t="s">
        <v>43</v>
      </c>
      <c r="AA437" s="75">
        <v>2110</v>
      </c>
      <c r="AB437" s="75">
        <v>1900</v>
      </c>
      <c r="AC437" s="80">
        <v>1860</v>
      </c>
      <c r="AD437" s="80">
        <v>1670</v>
      </c>
      <c r="AE437" s="80">
        <v>1420</v>
      </c>
      <c r="AF437" s="79">
        <f t="shared" si="45"/>
        <v>0</v>
      </c>
      <c r="AG437" s="79" t="str">
        <f t="shared" si="46"/>
        <v>尿路成形费（常规）</v>
      </c>
      <c r="AH437" s="79">
        <f t="shared" si="47"/>
        <v>2550</v>
      </c>
      <c r="AI437" s="79">
        <f t="shared" si="48"/>
        <v>2390</v>
      </c>
      <c r="AJ437" s="79">
        <f t="shared" si="49"/>
        <v>2000</v>
      </c>
    </row>
    <row r="438" ht="14" customHeight="1" spans="1:36">
      <c r="A438" s="44">
        <v>68</v>
      </c>
      <c r="B438" s="44" t="s">
        <v>1301</v>
      </c>
      <c r="C438" s="44" t="s">
        <v>1302</v>
      </c>
      <c r="D438" s="44" t="s">
        <v>213</v>
      </c>
      <c r="E438" s="44" t="s">
        <v>1303</v>
      </c>
      <c r="F438" s="44" t="s">
        <v>1304</v>
      </c>
      <c r="G438" s="44" t="s">
        <v>40</v>
      </c>
      <c r="H438" s="49"/>
      <c r="I438" s="56">
        <v>2820</v>
      </c>
      <c r="J438" s="56">
        <v>2538</v>
      </c>
      <c r="K438" s="59">
        <v>2444.17808219178</v>
      </c>
      <c r="L438" s="59">
        <v>2390.49689440994</v>
      </c>
      <c r="M438" s="59">
        <v>1290</v>
      </c>
      <c r="N438" s="64">
        <v>2550</v>
      </c>
      <c r="O438" s="64">
        <v>2390</v>
      </c>
      <c r="P438" s="64">
        <v>2000</v>
      </c>
      <c r="Q438" s="44" t="s">
        <v>54</v>
      </c>
      <c r="R438" s="70" t="s">
        <v>416</v>
      </c>
      <c r="S438" s="44" t="s">
        <v>1305</v>
      </c>
      <c r="T438" s="45" t="s">
        <v>1346</v>
      </c>
      <c r="U438" s="45">
        <v>33110400202</v>
      </c>
      <c r="V438" s="45" t="s">
        <v>1347</v>
      </c>
      <c r="W438" s="43" t="s">
        <v>43</v>
      </c>
      <c r="X438" s="71" t="s">
        <v>43</v>
      </c>
      <c r="Y438" s="71" t="s">
        <v>40</v>
      </c>
      <c r="Z438" s="48" t="s">
        <v>43</v>
      </c>
      <c r="AA438" s="75">
        <v>2360</v>
      </c>
      <c r="AB438" s="75">
        <v>2125</v>
      </c>
      <c r="AC438" s="80">
        <v>2110</v>
      </c>
      <c r="AD438" s="80">
        <v>1895</v>
      </c>
      <c r="AE438" s="80">
        <v>1610</v>
      </c>
      <c r="AF438" s="79">
        <f t="shared" si="45"/>
        <v>0</v>
      </c>
      <c r="AG438" s="79" t="str">
        <f t="shared" si="46"/>
        <v>尿路成形费（常规）</v>
      </c>
      <c r="AH438" s="79">
        <f t="shared" si="47"/>
        <v>2550</v>
      </c>
      <c r="AI438" s="79">
        <f t="shared" si="48"/>
        <v>2390</v>
      </c>
      <c r="AJ438" s="79">
        <f t="shared" si="49"/>
        <v>2000</v>
      </c>
    </row>
    <row r="439" ht="14" customHeight="1" spans="1:36">
      <c r="A439" s="44">
        <v>68</v>
      </c>
      <c r="B439" s="44" t="s">
        <v>1301</v>
      </c>
      <c r="C439" s="44" t="s">
        <v>1302</v>
      </c>
      <c r="D439" s="44" t="s">
        <v>213</v>
      </c>
      <c r="E439" s="44" t="s">
        <v>1303</v>
      </c>
      <c r="F439" s="44" t="s">
        <v>1304</v>
      </c>
      <c r="G439" s="44" t="s">
        <v>40</v>
      </c>
      <c r="H439" s="49"/>
      <c r="I439" s="56">
        <v>2820</v>
      </c>
      <c r="J439" s="56">
        <v>2538</v>
      </c>
      <c r="K439" s="59">
        <v>2444.17808219178</v>
      </c>
      <c r="L439" s="59">
        <v>2390.49689440994</v>
      </c>
      <c r="M439" s="59">
        <v>1290</v>
      </c>
      <c r="N439" s="64">
        <v>2550</v>
      </c>
      <c r="O439" s="64">
        <v>2390</v>
      </c>
      <c r="P439" s="64">
        <v>2000</v>
      </c>
      <c r="Q439" s="44" t="s">
        <v>54</v>
      </c>
      <c r="R439" s="70" t="s">
        <v>416</v>
      </c>
      <c r="S439" s="44" t="s">
        <v>1305</v>
      </c>
      <c r="T439" s="43" t="s">
        <v>1348</v>
      </c>
      <c r="U439" s="71">
        <v>331104001</v>
      </c>
      <c r="V439" s="43" t="s">
        <v>1349</v>
      </c>
      <c r="W439" s="43" t="s">
        <v>1350</v>
      </c>
      <c r="X439" s="71" t="s">
        <v>43</v>
      </c>
      <c r="Y439" s="71" t="s">
        <v>40</v>
      </c>
      <c r="Z439" s="48" t="s">
        <v>43</v>
      </c>
      <c r="AA439" s="75">
        <v>2880</v>
      </c>
      <c r="AB439" s="75">
        <v>2590</v>
      </c>
      <c r="AC439" s="80">
        <v>2530</v>
      </c>
      <c r="AD439" s="80">
        <v>2280</v>
      </c>
      <c r="AE439" s="80">
        <v>1940</v>
      </c>
      <c r="AF439" s="79">
        <f t="shared" si="45"/>
        <v>0</v>
      </c>
      <c r="AG439" s="79" t="str">
        <f t="shared" si="46"/>
        <v>尿路成形费（常规）</v>
      </c>
      <c r="AH439" s="79">
        <f t="shared" si="47"/>
        <v>2550</v>
      </c>
      <c r="AI439" s="79">
        <f t="shared" si="48"/>
        <v>2390</v>
      </c>
      <c r="AJ439" s="79">
        <f t="shared" si="49"/>
        <v>2000</v>
      </c>
    </row>
    <row r="440" ht="14" customHeight="1" spans="1:36">
      <c r="A440" s="44">
        <v>68</v>
      </c>
      <c r="B440" s="44" t="s">
        <v>1301</v>
      </c>
      <c r="C440" s="44" t="s">
        <v>1302</v>
      </c>
      <c r="D440" s="44" t="s">
        <v>213</v>
      </c>
      <c r="E440" s="44" t="s">
        <v>1303</v>
      </c>
      <c r="F440" s="44" t="s">
        <v>1304</v>
      </c>
      <c r="G440" s="44" t="s">
        <v>40</v>
      </c>
      <c r="H440" s="49"/>
      <c r="I440" s="56">
        <v>2820</v>
      </c>
      <c r="J440" s="56">
        <v>2538</v>
      </c>
      <c r="K440" s="59">
        <v>2444.17808219178</v>
      </c>
      <c r="L440" s="59">
        <v>2390.49689440994</v>
      </c>
      <c r="M440" s="59">
        <v>1290</v>
      </c>
      <c r="N440" s="64">
        <v>2550</v>
      </c>
      <c r="O440" s="64">
        <v>2390</v>
      </c>
      <c r="P440" s="64">
        <v>2000</v>
      </c>
      <c r="Q440" s="44" t="s">
        <v>54</v>
      </c>
      <c r="R440" s="70" t="s">
        <v>416</v>
      </c>
      <c r="S440" s="44" t="s">
        <v>1305</v>
      </c>
      <c r="T440" s="45" t="s">
        <v>1351</v>
      </c>
      <c r="U440" s="45">
        <v>33110400102</v>
      </c>
      <c r="V440" s="45" t="s">
        <v>1352</v>
      </c>
      <c r="W440" s="43" t="s">
        <v>43</v>
      </c>
      <c r="X440" s="71" t="s">
        <v>43</v>
      </c>
      <c r="Y440" s="71" t="s">
        <v>40</v>
      </c>
      <c r="Z440" s="48" t="s">
        <v>43</v>
      </c>
      <c r="AA440" s="75">
        <v>3130</v>
      </c>
      <c r="AB440" s="75">
        <v>2815</v>
      </c>
      <c r="AC440" s="80">
        <v>2780</v>
      </c>
      <c r="AD440" s="80">
        <v>2505</v>
      </c>
      <c r="AE440" s="80">
        <v>2130</v>
      </c>
      <c r="AF440" s="79">
        <f t="shared" si="45"/>
        <v>0</v>
      </c>
      <c r="AG440" s="79" t="str">
        <f t="shared" si="46"/>
        <v>尿路成形费（常规）</v>
      </c>
      <c r="AH440" s="79">
        <f t="shared" si="47"/>
        <v>2550</v>
      </c>
      <c r="AI440" s="79">
        <f t="shared" si="48"/>
        <v>2390</v>
      </c>
      <c r="AJ440" s="79">
        <f t="shared" si="49"/>
        <v>2000</v>
      </c>
    </row>
    <row r="441" ht="14" customHeight="1" spans="1:36">
      <c r="A441" s="44">
        <v>68</v>
      </c>
      <c r="B441" s="44" t="s">
        <v>1301</v>
      </c>
      <c r="C441" s="44" t="s">
        <v>1302</v>
      </c>
      <c r="D441" s="44" t="s">
        <v>213</v>
      </c>
      <c r="E441" s="44" t="s">
        <v>1303</v>
      </c>
      <c r="F441" s="44" t="s">
        <v>1304</v>
      </c>
      <c r="G441" s="44" t="s">
        <v>40</v>
      </c>
      <c r="H441" s="49"/>
      <c r="I441" s="56">
        <v>2820</v>
      </c>
      <c r="J441" s="56">
        <v>2538</v>
      </c>
      <c r="K441" s="59">
        <v>2444.17808219178</v>
      </c>
      <c r="L441" s="59">
        <v>2390.49689440994</v>
      </c>
      <c r="M441" s="59">
        <v>1290</v>
      </c>
      <c r="N441" s="64">
        <v>2550</v>
      </c>
      <c r="O441" s="64">
        <v>2390</v>
      </c>
      <c r="P441" s="64">
        <v>2000</v>
      </c>
      <c r="Q441" s="44" t="s">
        <v>54</v>
      </c>
      <c r="R441" s="70" t="s">
        <v>416</v>
      </c>
      <c r="S441" s="44" t="s">
        <v>1305</v>
      </c>
      <c r="T441" s="43" t="s">
        <v>1353</v>
      </c>
      <c r="U441" s="71">
        <v>331104013</v>
      </c>
      <c r="V441" s="43" t="s">
        <v>1354</v>
      </c>
      <c r="W441" s="43" t="s">
        <v>1355</v>
      </c>
      <c r="X441" s="71" t="s">
        <v>43</v>
      </c>
      <c r="Y441" s="71" t="s">
        <v>40</v>
      </c>
      <c r="Z441" s="48" t="s">
        <v>43</v>
      </c>
      <c r="AA441" s="75">
        <v>2880</v>
      </c>
      <c r="AB441" s="75">
        <v>2590</v>
      </c>
      <c r="AC441" s="80">
        <v>2530</v>
      </c>
      <c r="AD441" s="80">
        <v>2280</v>
      </c>
      <c r="AE441" s="80">
        <v>1940</v>
      </c>
      <c r="AF441" s="79">
        <f t="shared" si="45"/>
        <v>0</v>
      </c>
      <c r="AG441" s="79" t="str">
        <f t="shared" si="46"/>
        <v>尿路成形费（常规）</v>
      </c>
      <c r="AH441" s="79">
        <f t="shared" si="47"/>
        <v>2550</v>
      </c>
      <c r="AI441" s="79">
        <f t="shared" si="48"/>
        <v>2390</v>
      </c>
      <c r="AJ441" s="79">
        <f t="shared" si="49"/>
        <v>2000</v>
      </c>
    </row>
    <row r="442" ht="14" customHeight="1" spans="1:36">
      <c r="A442" s="44">
        <v>68</v>
      </c>
      <c r="B442" s="44" t="s">
        <v>1301</v>
      </c>
      <c r="C442" s="44" t="s">
        <v>1302</v>
      </c>
      <c r="D442" s="44" t="s">
        <v>213</v>
      </c>
      <c r="E442" s="44" t="s">
        <v>1303</v>
      </c>
      <c r="F442" s="44" t="s">
        <v>1304</v>
      </c>
      <c r="G442" s="44" t="s">
        <v>40</v>
      </c>
      <c r="H442" s="49"/>
      <c r="I442" s="56">
        <v>2820</v>
      </c>
      <c r="J442" s="56">
        <v>2538</v>
      </c>
      <c r="K442" s="59">
        <v>2444.17808219178</v>
      </c>
      <c r="L442" s="59">
        <v>2390.49689440994</v>
      </c>
      <c r="M442" s="59">
        <v>1290</v>
      </c>
      <c r="N442" s="64">
        <v>2550</v>
      </c>
      <c r="O442" s="64">
        <v>2390</v>
      </c>
      <c r="P442" s="64">
        <v>2000</v>
      </c>
      <c r="Q442" s="44" t="s">
        <v>54</v>
      </c>
      <c r="R442" s="70" t="s">
        <v>416</v>
      </c>
      <c r="S442" s="44" t="s">
        <v>1305</v>
      </c>
      <c r="T442" s="45" t="s">
        <v>1356</v>
      </c>
      <c r="U442" s="45">
        <v>33110401302</v>
      </c>
      <c r="V442" s="45" t="s">
        <v>1357</v>
      </c>
      <c r="W442" s="43" t="s">
        <v>43</v>
      </c>
      <c r="X442" s="71" t="s">
        <v>43</v>
      </c>
      <c r="Y442" s="71" t="s">
        <v>40</v>
      </c>
      <c r="Z442" s="48" t="s">
        <v>43</v>
      </c>
      <c r="AA442" s="75">
        <v>3130</v>
      </c>
      <c r="AB442" s="75">
        <v>2815</v>
      </c>
      <c r="AC442" s="80">
        <v>2780</v>
      </c>
      <c r="AD442" s="80">
        <v>2505</v>
      </c>
      <c r="AE442" s="80">
        <v>2130</v>
      </c>
      <c r="AF442" s="79">
        <f t="shared" si="45"/>
        <v>0</v>
      </c>
      <c r="AG442" s="79" t="str">
        <f t="shared" si="46"/>
        <v>尿路成形费（常规）</v>
      </c>
      <c r="AH442" s="79">
        <f t="shared" si="47"/>
        <v>2550</v>
      </c>
      <c r="AI442" s="79">
        <f t="shared" si="48"/>
        <v>2390</v>
      </c>
      <c r="AJ442" s="79">
        <f t="shared" si="49"/>
        <v>2000</v>
      </c>
    </row>
    <row r="443" ht="14" customHeight="1" spans="1:36">
      <c r="A443" s="44">
        <v>68</v>
      </c>
      <c r="B443" s="44" t="s">
        <v>1301</v>
      </c>
      <c r="C443" s="44" t="s">
        <v>1302</v>
      </c>
      <c r="D443" s="44" t="s">
        <v>213</v>
      </c>
      <c r="E443" s="44" t="s">
        <v>1303</v>
      </c>
      <c r="F443" s="44" t="s">
        <v>1304</v>
      </c>
      <c r="G443" s="44" t="s">
        <v>40</v>
      </c>
      <c r="H443" s="49"/>
      <c r="I443" s="56">
        <v>2820</v>
      </c>
      <c r="J443" s="56">
        <v>2538</v>
      </c>
      <c r="K443" s="59">
        <v>2444.17808219178</v>
      </c>
      <c r="L443" s="59">
        <v>2390.49689440994</v>
      </c>
      <c r="M443" s="59">
        <v>1290</v>
      </c>
      <c r="N443" s="64">
        <v>2550</v>
      </c>
      <c r="O443" s="64">
        <v>2390</v>
      </c>
      <c r="P443" s="64">
        <v>2000</v>
      </c>
      <c r="Q443" s="44" t="s">
        <v>54</v>
      </c>
      <c r="R443" s="70" t="s">
        <v>416</v>
      </c>
      <c r="S443" s="44" t="s">
        <v>1305</v>
      </c>
      <c r="T443" s="43" t="s">
        <v>1358</v>
      </c>
      <c r="U443" s="71">
        <v>331104003</v>
      </c>
      <c r="V443" s="43" t="s">
        <v>1359</v>
      </c>
      <c r="W443" s="43" t="s">
        <v>43</v>
      </c>
      <c r="X443" s="71" t="s">
        <v>43</v>
      </c>
      <c r="Y443" s="71" t="s">
        <v>40</v>
      </c>
      <c r="Z443" s="48" t="s">
        <v>43</v>
      </c>
      <c r="AA443" s="75">
        <v>1920</v>
      </c>
      <c r="AB443" s="75">
        <v>1730</v>
      </c>
      <c r="AC443" s="80">
        <v>1690</v>
      </c>
      <c r="AD443" s="80">
        <v>1520</v>
      </c>
      <c r="AE443" s="80">
        <v>1290</v>
      </c>
      <c r="AF443" s="79">
        <f t="shared" si="45"/>
        <v>0</v>
      </c>
      <c r="AG443" s="79" t="str">
        <f t="shared" si="46"/>
        <v>尿路成形费（常规）</v>
      </c>
      <c r="AH443" s="79">
        <f t="shared" si="47"/>
        <v>2550</v>
      </c>
      <c r="AI443" s="79">
        <f t="shared" si="48"/>
        <v>2390</v>
      </c>
      <c r="AJ443" s="79">
        <f t="shared" si="49"/>
        <v>2000</v>
      </c>
    </row>
    <row r="444" ht="14" customHeight="1" spans="1:36">
      <c r="A444" s="44">
        <v>68</v>
      </c>
      <c r="B444" s="44" t="s">
        <v>1301</v>
      </c>
      <c r="C444" s="44" t="s">
        <v>1302</v>
      </c>
      <c r="D444" s="44" t="s">
        <v>213</v>
      </c>
      <c r="E444" s="44" t="s">
        <v>1303</v>
      </c>
      <c r="F444" s="44" t="s">
        <v>1304</v>
      </c>
      <c r="G444" s="44" t="s">
        <v>40</v>
      </c>
      <c r="H444" s="49"/>
      <c r="I444" s="56">
        <v>2820</v>
      </c>
      <c r="J444" s="56">
        <v>2538</v>
      </c>
      <c r="K444" s="59">
        <v>2444.17808219178</v>
      </c>
      <c r="L444" s="59">
        <v>2390.49689440994</v>
      </c>
      <c r="M444" s="59">
        <v>1290</v>
      </c>
      <c r="N444" s="64">
        <v>2550</v>
      </c>
      <c r="O444" s="64">
        <v>2390</v>
      </c>
      <c r="P444" s="64">
        <v>2000</v>
      </c>
      <c r="Q444" s="44" t="s">
        <v>54</v>
      </c>
      <c r="R444" s="70" t="s">
        <v>416</v>
      </c>
      <c r="S444" s="44" t="s">
        <v>1305</v>
      </c>
      <c r="T444" s="45" t="s">
        <v>1360</v>
      </c>
      <c r="U444" s="45">
        <v>33110400302</v>
      </c>
      <c r="V444" s="45" t="s">
        <v>1361</v>
      </c>
      <c r="W444" s="43" t="s">
        <v>43</v>
      </c>
      <c r="X444" s="71" t="s">
        <v>43</v>
      </c>
      <c r="Y444" s="71" t="s">
        <v>40</v>
      </c>
      <c r="Z444" s="48" t="s">
        <v>43</v>
      </c>
      <c r="AA444" s="75">
        <v>2170</v>
      </c>
      <c r="AB444" s="75">
        <v>1955</v>
      </c>
      <c r="AC444" s="80">
        <v>1940</v>
      </c>
      <c r="AD444" s="80">
        <v>1745</v>
      </c>
      <c r="AE444" s="80">
        <v>1480</v>
      </c>
      <c r="AF444" s="79">
        <f t="shared" si="45"/>
        <v>0</v>
      </c>
      <c r="AG444" s="79" t="str">
        <f t="shared" si="46"/>
        <v>尿路成形费（常规）</v>
      </c>
      <c r="AH444" s="79">
        <f t="shared" si="47"/>
        <v>2550</v>
      </c>
      <c r="AI444" s="79">
        <f t="shared" si="48"/>
        <v>2390</v>
      </c>
      <c r="AJ444" s="79">
        <f t="shared" si="49"/>
        <v>2000</v>
      </c>
    </row>
    <row r="445" ht="14" customHeight="1" spans="1:36">
      <c r="A445" s="44">
        <v>68</v>
      </c>
      <c r="B445" s="44" t="s">
        <v>1301</v>
      </c>
      <c r="C445" s="44" t="s">
        <v>1302</v>
      </c>
      <c r="D445" s="44" t="s">
        <v>213</v>
      </c>
      <c r="E445" s="44" t="s">
        <v>1303</v>
      </c>
      <c r="F445" s="44" t="s">
        <v>1304</v>
      </c>
      <c r="G445" s="44" t="s">
        <v>40</v>
      </c>
      <c r="H445" s="49"/>
      <c r="I445" s="56">
        <v>2820</v>
      </c>
      <c r="J445" s="56">
        <v>2538</v>
      </c>
      <c r="K445" s="59">
        <v>2444.17808219178</v>
      </c>
      <c r="L445" s="59">
        <v>2390.49689440994</v>
      </c>
      <c r="M445" s="59">
        <v>1290</v>
      </c>
      <c r="N445" s="64">
        <v>2550</v>
      </c>
      <c r="O445" s="64">
        <v>2390</v>
      </c>
      <c r="P445" s="64">
        <v>2000</v>
      </c>
      <c r="Q445" s="44" t="s">
        <v>54</v>
      </c>
      <c r="R445" s="70" t="s">
        <v>416</v>
      </c>
      <c r="S445" s="44" t="s">
        <v>1305</v>
      </c>
      <c r="T445" s="54" t="s">
        <v>1362</v>
      </c>
      <c r="U445" s="93">
        <v>331101002</v>
      </c>
      <c r="V445" s="54" t="s">
        <v>1363</v>
      </c>
      <c r="W445" s="54" t="s">
        <v>43</v>
      </c>
      <c r="X445" s="93" t="s">
        <v>43</v>
      </c>
      <c r="Y445" s="93" t="s">
        <v>40</v>
      </c>
      <c r="Z445" s="94" t="s">
        <v>43</v>
      </c>
      <c r="AA445" s="75">
        <v>2300</v>
      </c>
      <c r="AB445" s="75">
        <v>2080</v>
      </c>
      <c r="AC445" s="80">
        <v>2030</v>
      </c>
      <c r="AD445" s="80">
        <v>1830</v>
      </c>
      <c r="AE445" s="80">
        <v>1560</v>
      </c>
      <c r="AF445" s="79">
        <f t="shared" si="45"/>
        <v>0</v>
      </c>
      <c r="AG445" s="79" t="str">
        <f t="shared" si="46"/>
        <v>尿路成形费（常规）</v>
      </c>
      <c r="AH445" s="79">
        <f t="shared" si="47"/>
        <v>2550</v>
      </c>
      <c r="AI445" s="79">
        <f t="shared" si="48"/>
        <v>2390</v>
      </c>
      <c r="AJ445" s="79">
        <f t="shared" si="49"/>
        <v>2000</v>
      </c>
    </row>
    <row r="446" ht="14" customHeight="1" spans="1:36">
      <c r="A446" s="44">
        <v>68</v>
      </c>
      <c r="B446" s="44" t="s">
        <v>1301</v>
      </c>
      <c r="C446" s="44" t="s">
        <v>1302</v>
      </c>
      <c r="D446" s="44" t="s">
        <v>213</v>
      </c>
      <c r="E446" s="44" t="s">
        <v>1303</v>
      </c>
      <c r="F446" s="44" t="s">
        <v>1304</v>
      </c>
      <c r="G446" s="44" t="s">
        <v>40</v>
      </c>
      <c r="H446" s="49"/>
      <c r="I446" s="56">
        <v>2820</v>
      </c>
      <c r="J446" s="56">
        <v>2538</v>
      </c>
      <c r="K446" s="59">
        <v>2444.17808219178</v>
      </c>
      <c r="L446" s="59">
        <v>2390.49689440994</v>
      </c>
      <c r="M446" s="59">
        <v>1290</v>
      </c>
      <c r="N446" s="64">
        <v>2550</v>
      </c>
      <c r="O446" s="64">
        <v>2390</v>
      </c>
      <c r="P446" s="64">
        <v>2000</v>
      </c>
      <c r="Q446" s="44" t="s">
        <v>54</v>
      </c>
      <c r="R446" s="70" t="s">
        <v>416</v>
      </c>
      <c r="S446" s="44" t="s">
        <v>1305</v>
      </c>
      <c r="T446" s="55" t="s">
        <v>1364</v>
      </c>
      <c r="U446" s="55">
        <v>33110100202</v>
      </c>
      <c r="V446" s="55" t="s">
        <v>1365</v>
      </c>
      <c r="W446" s="54" t="s">
        <v>43</v>
      </c>
      <c r="X446" s="93" t="s">
        <v>43</v>
      </c>
      <c r="Y446" s="93" t="s">
        <v>40</v>
      </c>
      <c r="Z446" s="94" t="s">
        <v>43</v>
      </c>
      <c r="AA446" s="75">
        <v>3100</v>
      </c>
      <c r="AB446" s="75">
        <v>2800</v>
      </c>
      <c r="AC446" s="80">
        <v>2655</v>
      </c>
      <c r="AD446" s="80">
        <v>2430</v>
      </c>
      <c r="AE446" s="80">
        <v>2070</v>
      </c>
      <c r="AF446" s="79">
        <f t="shared" si="45"/>
        <v>0</v>
      </c>
      <c r="AG446" s="79" t="str">
        <f t="shared" si="46"/>
        <v>尿路成形费（常规）</v>
      </c>
      <c r="AH446" s="79">
        <f t="shared" si="47"/>
        <v>2550</v>
      </c>
      <c r="AI446" s="79">
        <f t="shared" si="48"/>
        <v>2390</v>
      </c>
      <c r="AJ446" s="79">
        <f t="shared" si="49"/>
        <v>2000</v>
      </c>
    </row>
    <row r="447" ht="14" customHeight="1" spans="1:36">
      <c r="A447" s="44">
        <v>68</v>
      </c>
      <c r="B447" s="44" t="s">
        <v>1301</v>
      </c>
      <c r="C447" s="44" t="s">
        <v>1302</v>
      </c>
      <c r="D447" s="44" t="s">
        <v>213</v>
      </c>
      <c r="E447" s="44" t="s">
        <v>1303</v>
      </c>
      <c r="F447" s="44" t="s">
        <v>1304</v>
      </c>
      <c r="G447" s="44" t="s">
        <v>40</v>
      </c>
      <c r="H447" s="49"/>
      <c r="I447" s="56">
        <v>2820</v>
      </c>
      <c r="J447" s="56">
        <v>2538</v>
      </c>
      <c r="K447" s="59">
        <v>2444.17808219178</v>
      </c>
      <c r="L447" s="59">
        <v>2390.49689440994</v>
      </c>
      <c r="M447" s="59">
        <v>1290</v>
      </c>
      <c r="N447" s="64">
        <v>2550</v>
      </c>
      <c r="O447" s="64">
        <v>2390</v>
      </c>
      <c r="P447" s="64">
        <v>2000</v>
      </c>
      <c r="Q447" s="44" t="s">
        <v>54</v>
      </c>
      <c r="R447" s="70" t="s">
        <v>416</v>
      </c>
      <c r="S447" s="44" t="s">
        <v>1305</v>
      </c>
      <c r="T447" s="54" t="s">
        <v>1366</v>
      </c>
      <c r="U447" s="93">
        <v>331101003</v>
      </c>
      <c r="V447" s="54" t="s">
        <v>1367</v>
      </c>
      <c r="W447" s="54" t="s">
        <v>43</v>
      </c>
      <c r="X447" s="93" t="s">
        <v>43</v>
      </c>
      <c r="Y447" s="93" t="s">
        <v>40</v>
      </c>
      <c r="Z447" s="94" t="s">
        <v>43</v>
      </c>
      <c r="AA447" s="75">
        <v>2690</v>
      </c>
      <c r="AB447" s="75">
        <v>2420</v>
      </c>
      <c r="AC447" s="80">
        <v>2360</v>
      </c>
      <c r="AD447" s="80">
        <v>2120</v>
      </c>
      <c r="AE447" s="80">
        <v>1800</v>
      </c>
      <c r="AF447" s="79">
        <f t="shared" si="45"/>
        <v>0</v>
      </c>
      <c r="AG447" s="79" t="str">
        <f t="shared" si="46"/>
        <v>尿路成形费（常规）</v>
      </c>
      <c r="AH447" s="79">
        <f t="shared" si="47"/>
        <v>2550</v>
      </c>
      <c r="AI447" s="79">
        <f t="shared" si="48"/>
        <v>2390</v>
      </c>
      <c r="AJ447" s="79">
        <f t="shared" si="49"/>
        <v>2000</v>
      </c>
    </row>
    <row r="448" ht="14" customHeight="1" spans="1:36">
      <c r="A448" s="44">
        <v>68</v>
      </c>
      <c r="B448" s="44" t="s">
        <v>1301</v>
      </c>
      <c r="C448" s="44" t="s">
        <v>1302</v>
      </c>
      <c r="D448" s="44" t="s">
        <v>213</v>
      </c>
      <c r="E448" s="44" t="s">
        <v>1303</v>
      </c>
      <c r="F448" s="44" t="s">
        <v>1304</v>
      </c>
      <c r="G448" s="44" t="s">
        <v>40</v>
      </c>
      <c r="H448" s="49"/>
      <c r="I448" s="56">
        <v>2820</v>
      </c>
      <c r="J448" s="56">
        <v>2538</v>
      </c>
      <c r="K448" s="59">
        <v>2444.17808219178</v>
      </c>
      <c r="L448" s="59">
        <v>2390.49689440994</v>
      </c>
      <c r="M448" s="59">
        <v>1290</v>
      </c>
      <c r="N448" s="64">
        <v>2550</v>
      </c>
      <c r="O448" s="64">
        <v>2390</v>
      </c>
      <c r="P448" s="64">
        <v>2000</v>
      </c>
      <c r="Q448" s="44" t="s">
        <v>54</v>
      </c>
      <c r="R448" s="70" t="s">
        <v>416</v>
      </c>
      <c r="S448" s="44" t="s">
        <v>1305</v>
      </c>
      <c r="T448" s="55" t="s">
        <v>1368</v>
      </c>
      <c r="U448" s="55">
        <v>33110100302</v>
      </c>
      <c r="V448" s="55" t="s">
        <v>1369</v>
      </c>
      <c r="W448" s="54" t="s">
        <v>43</v>
      </c>
      <c r="X448" s="93" t="s">
        <v>43</v>
      </c>
      <c r="Y448" s="93" t="s">
        <v>40</v>
      </c>
      <c r="Z448" s="94" t="s">
        <v>43</v>
      </c>
      <c r="AA448" s="75">
        <v>3490</v>
      </c>
      <c r="AB448" s="75">
        <v>3140</v>
      </c>
      <c r="AC448" s="80">
        <v>2985</v>
      </c>
      <c r="AD448" s="80">
        <v>2720</v>
      </c>
      <c r="AE448" s="80">
        <v>2310</v>
      </c>
      <c r="AF448" s="79">
        <f t="shared" si="45"/>
        <v>0</v>
      </c>
      <c r="AG448" s="79" t="str">
        <f t="shared" si="46"/>
        <v>尿路成形费（常规）</v>
      </c>
      <c r="AH448" s="79">
        <f t="shared" si="47"/>
        <v>2550</v>
      </c>
      <c r="AI448" s="79">
        <f t="shared" si="48"/>
        <v>2390</v>
      </c>
      <c r="AJ448" s="79">
        <f t="shared" si="49"/>
        <v>2000</v>
      </c>
    </row>
    <row r="449" ht="14" customHeight="1" spans="1:36">
      <c r="A449" s="81" t="s">
        <v>81</v>
      </c>
      <c r="B449" s="81" t="s">
        <v>1370</v>
      </c>
      <c r="C449" s="81" t="s">
        <v>1371</v>
      </c>
      <c r="D449" s="81" t="s">
        <v>213</v>
      </c>
      <c r="E449" s="81"/>
      <c r="F449" s="81"/>
      <c r="G449" s="81" t="s">
        <v>40</v>
      </c>
      <c r="H449" s="81"/>
      <c r="I449" s="56">
        <v>846</v>
      </c>
      <c r="J449" s="56">
        <v>761</v>
      </c>
      <c r="K449" s="59">
        <v>1178.18181818182</v>
      </c>
      <c r="L449" s="59">
        <v>1370</v>
      </c>
      <c r="M449" s="59" t="e">
        <v>#DIV/0!</v>
      </c>
      <c r="N449" s="64">
        <v>765</v>
      </c>
      <c r="O449" s="64">
        <v>715</v>
      </c>
      <c r="P449" s="64">
        <v>600</v>
      </c>
      <c r="Q449" s="44" t="s">
        <v>54</v>
      </c>
      <c r="R449" s="69"/>
      <c r="S449" s="44" t="s">
        <v>446</v>
      </c>
      <c r="T449" s="45" t="s">
        <v>1372</v>
      </c>
      <c r="U449" s="45">
        <v>33110200301</v>
      </c>
      <c r="V449" s="45" t="s">
        <v>1373</v>
      </c>
      <c r="W449" s="43" t="s">
        <v>43</v>
      </c>
      <c r="X449" s="71" t="s">
        <v>43</v>
      </c>
      <c r="Y449" s="71" t="s">
        <v>40</v>
      </c>
      <c r="Z449" s="48" t="s">
        <v>43</v>
      </c>
      <c r="AA449" s="75">
        <v>3990</v>
      </c>
      <c r="AB449" s="75">
        <v>3590</v>
      </c>
      <c r="AC449" s="80">
        <v>3510</v>
      </c>
      <c r="AD449" s="80">
        <v>3160</v>
      </c>
      <c r="AE449" s="80">
        <v>2685</v>
      </c>
      <c r="AF449" s="79">
        <f t="shared" si="45"/>
        <v>13</v>
      </c>
      <c r="AG449" s="79" t="str">
        <f t="shared" si="46"/>
        <v>尿路成形费（常规）</v>
      </c>
      <c r="AH449" s="79">
        <f t="shared" si="47"/>
        <v>3315</v>
      </c>
      <c r="AI449" s="79">
        <f t="shared" si="48"/>
        <v>3105</v>
      </c>
      <c r="AJ449" s="79">
        <f t="shared" si="49"/>
        <v>2600</v>
      </c>
    </row>
    <row r="450" ht="14" customHeight="1" spans="1:36">
      <c r="A450" s="81" t="s">
        <v>81</v>
      </c>
      <c r="B450" s="81" t="s">
        <v>1370</v>
      </c>
      <c r="C450" s="81" t="s">
        <v>1371</v>
      </c>
      <c r="D450" s="81" t="s">
        <v>213</v>
      </c>
      <c r="E450" s="81"/>
      <c r="F450" s="81"/>
      <c r="G450" s="81" t="s">
        <v>40</v>
      </c>
      <c r="H450" s="81"/>
      <c r="I450" s="56">
        <v>846</v>
      </c>
      <c r="J450" s="56">
        <v>761</v>
      </c>
      <c r="K450" s="59">
        <v>1178.18181818182</v>
      </c>
      <c r="L450" s="59">
        <v>1370</v>
      </c>
      <c r="M450" s="59" t="e">
        <v>#DIV/0!</v>
      </c>
      <c r="N450" s="64">
        <v>765</v>
      </c>
      <c r="O450" s="64">
        <v>715</v>
      </c>
      <c r="P450" s="64">
        <v>600</v>
      </c>
      <c r="Q450" s="44" t="s">
        <v>54</v>
      </c>
      <c r="R450" s="69"/>
      <c r="S450" s="44" t="s">
        <v>446</v>
      </c>
      <c r="T450" s="43" t="s">
        <v>1374</v>
      </c>
      <c r="U450" s="71">
        <v>33110200502</v>
      </c>
      <c r="V450" s="43" t="s">
        <v>1375</v>
      </c>
      <c r="W450" s="43" t="s">
        <v>43</v>
      </c>
      <c r="X450" s="71" t="s">
        <v>43</v>
      </c>
      <c r="Y450" s="71" t="s">
        <v>40</v>
      </c>
      <c r="Z450" s="48" t="s">
        <v>43</v>
      </c>
      <c r="AA450" s="75">
        <v>3990</v>
      </c>
      <c r="AB450" s="75">
        <v>3590</v>
      </c>
      <c r="AC450" s="80">
        <v>3510</v>
      </c>
      <c r="AD450" s="80">
        <v>3160</v>
      </c>
      <c r="AE450" s="80">
        <v>2685</v>
      </c>
      <c r="AF450" s="79">
        <f t="shared" si="45"/>
        <v>13</v>
      </c>
      <c r="AG450" s="79" t="str">
        <f t="shared" si="46"/>
        <v>尿路成形费（常规）</v>
      </c>
      <c r="AH450" s="79">
        <f t="shared" si="47"/>
        <v>3315</v>
      </c>
      <c r="AI450" s="79">
        <f t="shared" si="48"/>
        <v>3105</v>
      </c>
      <c r="AJ450" s="79">
        <f t="shared" si="49"/>
        <v>2600</v>
      </c>
    </row>
    <row r="451" ht="14" customHeight="1" spans="1:36">
      <c r="A451" s="81" t="s">
        <v>81</v>
      </c>
      <c r="B451" s="81" t="s">
        <v>1370</v>
      </c>
      <c r="C451" s="81" t="s">
        <v>1371</v>
      </c>
      <c r="D451" s="81" t="s">
        <v>213</v>
      </c>
      <c r="E451" s="81"/>
      <c r="F451" s="81"/>
      <c r="G451" s="81" t="s">
        <v>40</v>
      </c>
      <c r="H451" s="81"/>
      <c r="I451" s="56">
        <v>846</v>
      </c>
      <c r="J451" s="56">
        <v>761</v>
      </c>
      <c r="K451" s="59">
        <v>1178.18181818182</v>
      </c>
      <c r="L451" s="59">
        <v>1370</v>
      </c>
      <c r="M451" s="59" t="e">
        <v>#DIV/0!</v>
      </c>
      <c r="N451" s="64">
        <v>765</v>
      </c>
      <c r="O451" s="64">
        <v>715</v>
      </c>
      <c r="P451" s="64">
        <v>600</v>
      </c>
      <c r="Q451" s="44" t="s">
        <v>54</v>
      </c>
      <c r="R451" s="69"/>
      <c r="S451" s="44" t="s">
        <v>446</v>
      </c>
      <c r="T451" s="43" t="s">
        <v>1376</v>
      </c>
      <c r="U451" s="71">
        <v>33110200503</v>
      </c>
      <c r="V451" s="43" t="s">
        <v>1377</v>
      </c>
      <c r="W451" s="43" t="s">
        <v>43</v>
      </c>
      <c r="X451" s="71" t="s">
        <v>43</v>
      </c>
      <c r="Y451" s="71" t="s">
        <v>40</v>
      </c>
      <c r="Z451" s="48" t="s">
        <v>1315</v>
      </c>
      <c r="AA451" s="75">
        <v>5655</v>
      </c>
      <c r="AB451" s="75">
        <v>5085</v>
      </c>
      <c r="AC451" s="80">
        <v>5005</v>
      </c>
      <c r="AD451" s="80">
        <v>4510</v>
      </c>
      <c r="AE451" s="80">
        <v>3835</v>
      </c>
      <c r="AF451" s="79">
        <f t="shared" si="45"/>
        <v>13</v>
      </c>
      <c r="AG451" s="79" t="str">
        <f t="shared" si="46"/>
        <v>尿路成形费（常规）</v>
      </c>
      <c r="AH451" s="79">
        <f t="shared" si="47"/>
        <v>3315</v>
      </c>
      <c r="AI451" s="79">
        <f t="shared" si="48"/>
        <v>3105</v>
      </c>
      <c r="AJ451" s="79">
        <f t="shared" si="49"/>
        <v>2600</v>
      </c>
    </row>
    <row r="452" ht="14" customHeight="1" spans="1:36">
      <c r="A452" s="81" t="s">
        <v>81</v>
      </c>
      <c r="B452" s="81" t="s">
        <v>1370</v>
      </c>
      <c r="C452" s="81" t="s">
        <v>1371</v>
      </c>
      <c r="D452" s="81" t="s">
        <v>213</v>
      </c>
      <c r="E452" s="81"/>
      <c r="F452" s="81"/>
      <c r="G452" s="81" t="s">
        <v>40</v>
      </c>
      <c r="H452" s="81"/>
      <c r="I452" s="56">
        <v>846</v>
      </c>
      <c r="J452" s="56">
        <v>761</v>
      </c>
      <c r="K452" s="59">
        <v>1178.18181818182</v>
      </c>
      <c r="L452" s="59">
        <v>1370</v>
      </c>
      <c r="M452" s="59" t="e">
        <v>#DIV/0!</v>
      </c>
      <c r="N452" s="64">
        <v>765</v>
      </c>
      <c r="O452" s="64">
        <v>715</v>
      </c>
      <c r="P452" s="64">
        <v>600</v>
      </c>
      <c r="Q452" s="44" t="s">
        <v>54</v>
      </c>
      <c r="R452" s="69"/>
      <c r="S452" s="44" t="s">
        <v>446</v>
      </c>
      <c r="T452" s="43" t="s">
        <v>1378</v>
      </c>
      <c r="U452" s="71">
        <v>33110200506</v>
      </c>
      <c r="V452" s="43" t="s">
        <v>1379</v>
      </c>
      <c r="W452" s="43" t="s">
        <v>43</v>
      </c>
      <c r="X452" s="71" t="s">
        <v>43</v>
      </c>
      <c r="Y452" s="71" t="s">
        <v>40</v>
      </c>
      <c r="Z452" s="48" t="s">
        <v>43</v>
      </c>
      <c r="AA452" s="75">
        <v>4790</v>
      </c>
      <c r="AB452" s="75">
        <v>4310</v>
      </c>
      <c r="AC452" s="80">
        <v>4135</v>
      </c>
      <c r="AD452" s="80">
        <v>3760</v>
      </c>
      <c r="AE452" s="80">
        <v>3195</v>
      </c>
      <c r="AF452" s="79">
        <f t="shared" si="45"/>
        <v>13</v>
      </c>
      <c r="AG452" s="79" t="str">
        <f t="shared" si="46"/>
        <v>尿路成形费（常规）</v>
      </c>
      <c r="AH452" s="79">
        <f t="shared" si="47"/>
        <v>3315</v>
      </c>
      <c r="AI452" s="79">
        <f t="shared" si="48"/>
        <v>3105</v>
      </c>
      <c r="AJ452" s="79">
        <f t="shared" si="49"/>
        <v>2600</v>
      </c>
    </row>
    <row r="453" ht="14" customHeight="1" spans="1:36">
      <c r="A453" s="81" t="s">
        <v>81</v>
      </c>
      <c r="B453" s="81" t="s">
        <v>1370</v>
      </c>
      <c r="C453" s="81" t="s">
        <v>1371</v>
      </c>
      <c r="D453" s="81" t="s">
        <v>213</v>
      </c>
      <c r="E453" s="81"/>
      <c r="F453" s="81"/>
      <c r="G453" s="81" t="s">
        <v>40</v>
      </c>
      <c r="H453" s="81"/>
      <c r="I453" s="56">
        <v>846</v>
      </c>
      <c r="J453" s="56">
        <v>761</v>
      </c>
      <c r="K453" s="59">
        <v>1178.18181818182</v>
      </c>
      <c r="L453" s="59">
        <v>1370</v>
      </c>
      <c r="M453" s="59" t="e">
        <v>#DIV/0!</v>
      </c>
      <c r="N453" s="64">
        <v>765</v>
      </c>
      <c r="O453" s="64">
        <v>715</v>
      </c>
      <c r="P453" s="64">
        <v>600</v>
      </c>
      <c r="Q453" s="44" t="s">
        <v>54</v>
      </c>
      <c r="R453" s="69"/>
      <c r="S453" s="44" t="s">
        <v>446</v>
      </c>
      <c r="T453" s="43" t="s">
        <v>1380</v>
      </c>
      <c r="U453" s="71">
        <v>33110200507</v>
      </c>
      <c r="V453" s="43" t="s">
        <v>1381</v>
      </c>
      <c r="W453" s="43" t="s">
        <v>43</v>
      </c>
      <c r="X453" s="71" t="s">
        <v>43</v>
      </c>
      <c r="Y453" s="71" t="s">
        <v>40</v>
      </c>
      <c r="Z453" s="48" t="s">
        <v>1315</v>
      </c>
      <c r="AA453" s="75">
        <v>6455</v>
      </c>
      <c r="AB453" s="75">
        <v>5805</v>
      </c>
      <c r="AC453" s="80">
        <v>5630</v>
      </c>
      <c r="AD453" s="80">
        <v>5110</v>
      </c>
      <c r="AE453" s="80">
        <v>4345</v>
      </c>
      <c r="AF453" s="79">
        <f t="shared" si="45"/>
        <v>13</v>
      </c>
      <c r="AG453" s="79" t="str">
        <f t="shared" si="46"/>
        <v>尿路成形费（常规）</v>
      </c>
      <c r="AH453" s="79">
        <f t="shared" si="47"/>
        <v>3315</v>
      </c>
      <c r="AI453" s="79">
        <f t="shared" si="48"/>
        <v>3105</v>
      </c>
      <c r="AJ453" s="79">
        <f t="shared" si="49"/>
        <v>2600</v>
      </c>
    </row>
    <row r="454" ht="14" customHeight="1" spans="1:36">
      <c r="A454" s="81" t="s">
        <v>81</v>
      </c>
      <c r="B454" s="81" t="s">
        <v>1370</v>
      </c>
      <c r="C454" s="81" t="s">
        <v>1371</v>
      </c>
      <c r="D454" s="81" t="s">
        <v>213</v>
      </c>
      <c r="E454" s="81"/>
      <c r="F454" s="81"/>
      <c r="G454" s="81" t="s">
        <v>40</v>
      </c>
      <c r="H454" s="81"/>
      <c r="I454" s="56">
        <v>846</v>
      </c>
      <c r="J454" s="56">
        <v>761</v>
      </c>
      <c r="K454" s="59">
        <v>1178.18181818182</v>
      </c>
      <c r="L454" s="59">
        <v>1370</v>
      </c>
      <c r="M454" s="59" t="e">
        <v>#DIV/0!</v>
      </c>
      <c r="N454" s="64">
        <v>765</v>
      </c>
      <c r="O454" s="64">
        <v>715</v>
      </c>
      <c r="P454" s="64">
        <v>600</v>
      </c>
      <c r="Q454" s="44" t="s">
        <v>54</v>
      </c>
      <c r="R454" s="69"/>
      <c r="S454" s="44" t="s">
        <v>446</v>
      </c>
      <c r="T454" s="45" t="s">
        <v>1382</v>
      </c>
      <c r="U454" s="45">
        <v>33110201501</v>
      </c>
      <c r="V454" s="45" t="s">
        <v>1383</v>
      </c>
      <c r="W454" s="43" t="s">
        <v>43</v>
      </c>
      <c r="X454" s="71" t="s">
        <v>43</v>
      </c>
      <c r="Y454" s="71" t="s">
        <v>40</v>
      </c>
      <c r="Z454" s="48" t="s">
        <v>43</v>
      </c>
      <c r="AA454" s="75">
        <v>1935</v>
      </c>
      <c r="AB454" s="75">
        <v>1740</v>
      </c>
      <c r="AC454" s="80">
        <v>1790</v>
      </c>
      <c r="AD454" s="80">
        <v>1715</v>
      </c>
      <c r="AE454" s="80">
        <v>1460</v>
      </c>
      <c r="AF454" s="79">
        <f t="shared" ref="AF454:AF517" si="50">IFERROR(FIND("（加收）",C454,1),0)</f>
        <v>13</v>
      </c>
      <c r="AG454" s="79" t="str">
        <f t="shared" ref="AG454:AG517" si="51">IF(AF454&gt;0,LEFT(C454,IFERROR(FIND("-",C454,1),1)-1),C454)</f>
        <v>尿路成形费（常规）</v>
      </c>
      <c r="AH454" s="79">
        <f t="shared" si="47"/>
        <v>3315</v>
      </c>
      <c r="AI454" s="79">
        <f t="shared" si="48"/>
        <v>3105</v>
      </c>
      <c r="AJ454" s="79">
        <f t="shared" si="49"/>
        <v>2600</v>
      </c>
    </row>
    <row r="455" ht="14" customHeight="1" spans="1:36">
      <c r="A455" s="81" t="s">
        <v>81</v>
      </c>
      <c r="B455" s="81" t="s">
        <v>1370</v>
      </c>
      <c r="C455" s="81" t="s">
        <v>1371</v>
      </c>
      <c r="D455" s="81" t="s">
        <v>213</v>
      </c>
      <c r="E455" s="81"/>
      <c r="F455" s="81"/>
      <c r="G455" s="81" t="s">
        <v>40</v>
      </c>
      <c r="H455" s="81"/>
      <c r="I455" s="56">
        <v>846</v>
      </c>
      <c r="J455" s="56">
        <v>761</v>
      </c>
      <c r="K455" s="59">
        <v>1178.18181818182</v>
      </c>
      <c r="L455" s="59">
        <v>1370</v>
      </c>
      <c r="M455" s="59" t="e">
        <v>#DIV/0!</v>
      </c>
      <c r="N455" s="64">
        <v>765</v>
      </c>
      <c r="O455" s="64">
        <v>715</v>
      </c>
      <c r="P455" s="64">
        <v>600</v>
      </c>
      <c r="Q455" s="44" t="s">
        <v>54</v>
      </c>
      <c r="R455" s="69"/>
      <c r="S455" s="44" t="s">
        <v>446</v>
      </c>
      <c r="T455" s="45" t="s">
        <v>1384</v>
      </c>
      <c r="U455" s="45">
        <v>33110201503</v>
      </c>
      <c r="V455" s="45" t="s">
        <v>1385</v>
      </c>
      <c r="W455" s="43" t="s">
        <v>43</v>
      </c>
      <c r="X455" s="71" t="s">
        <v>43</v>
      </c>
      <c r="Y455" s="71" t="s">
        <v>40</v>
      </c>
      <c r="Z455" s="48" t="s">
        <v>43</v>
      </c>
      <c r="AA455" s="75">
        <v>2735</v>
      </c>
      <c r="AB455" s="75">
        <v>2460</v>
      </c>
      <c r="AC455" s="80">
        <v>2415</v>
      </c>
      <c r="AD455" s="80">
        <v>2315</v>
      </c>
      <c r="AE455" s="80">
        <v>1970</v>
      </c>
      <c r="AF455" s="79">
        <f t="shared" si="50"/>
        <v>13</v>
      </c>
      <c r="AG455" s="79" t="str">
        <f t="shared" si="51"/>
        <v>尿路成形费（常规）</v>
      </c>
      <c r="AH455" s="79">
        <f t="shared" si="47"/>
        <v>3315</v>
      </c>
      <c r="AI455" s="79">
        <f t="shared" si="48"/>
        <v>3105</v>
      </c>
      <c r="AJ455" s="79">
        <f t="shared" si="49"/>
        <v>2600</v>
      </c>
    </row>
    <row r="456" ht="14" customHeight="1" spans="1:36">
      <c r="A456" s="81" t="s">
        <v>81</v>
      </c>
      <c r="B456" s="81" t="s">
        <v>1370</v>
      </c>
      <c r="C456" s="81" t="s">
        <v>1371</v>
      </c>
      <c r="D456" s="81" t="s">
        <v>213</v>
      </c>
      <c r="E456" s="81"/>
      <c r="F456" s="81"/>
      <c r="G456" s="81" t="s">
        <v>40</v>
      </c>
      <c r="H456" s="81"/>
      <c r="I456" s="56">
        <v>846</v>
      </c>
      <c r="J456" s="56">
        <v>761</v>
      </c>
      <c r="K456" s="59">
        <v>1178.18181818182</v>
      </c>
      <c r="L456" s="59">
        <v>1370</v>
      </c>
      <c r="M456" s="59" t="e">
        <v>#DIV/0!</v>
      </c>
      <c r="N456" s="64">
        <v>765</v>
      </c>
      <c r="O456" s="64">
        <v>715</v>
      </c>
      <c r="P456" s="64">
        <v>600</v>
      </c>
      <c r="Q456" s="44" t="s">
        <v>54</v>
      </c>
      <c r="R456" s="69"/>
      <c r="S456" s="44" t="s">
        <v>446</v>
      </c>
      <c r="T456" s="45" t="s">
        <v>1386</v>
      </c>
      <c r="U456" s="45">
        <v>33110201601</v>
      </c>
      <c r="V456" s="45" t="s">
        <v>1387</v>
      </c>
      <c r="W456" s="43" t="s">
        <v>43</v>
      </c>
      <c r="X456" s="71" t="s">
        <v>43</v>
      </c>
      <c r="Y456" s="71" t="s">
        <v>40</v>
      </c>
      <c r="Z456" s="48" t="s">
        <v>43</v>
      </c>
      <c r="AA456" s="75">
        <v>3250</v>
      </c>
      <c r="AB456" s="75">
        <v>2910</v>
      </c>
      <c r="AC456" s="80">
        <v>2845</v>
      </c>
      <c r="AD456" s="80">
        <v>2560</v>
      </c>
      <c r="AE456" s="80">
        <v>2175</v>
      </c>
      <c r="AF456" s="79">
        <f t="shared" si="50"/>
        <v>13</v>
      </c>
      <c r="AG456" s="79" t="str">
        <f t="shared" si="51"/>
        <v>尿路成形费（常规）</v>
      </c>
      <c r="AH456" s="79">
        <f t="shared" si="47"/>
        <v>3315</v>
      </c>
      <c r="AI456" s="79">
        <f t="shared" si="48"/>
        <v>3105</v>
      </c>
      <c r="AJ456" s="79">
        <f t="shared" si="49"/>
        <v>2600</v>
      </c>
    </row>
    <row r="457" ht="14" customHeight="1" spans="1:36">
      <c r="A457" s="81" t="s">
        <v>81</v>
      </c>
      <c r="B457" s="81" t="s">
        <v>1370</v>
      </c>
      <c r="C457" s="81" t="s">
        <v>1371</v>
      </c>
      <c r="D457" s="81" t="s">
        <v>213</v>
      </c>
      <c r="E457" s="81"/>
      <c r="F457" s="81"/>
      <c r="G457" s="81" t="s">
        <v>40</v>
      </c>
      <c r="H457" s="81"/>
      <c r="I457" s="56">
        <v>846</v>
      </c>
      <c r="J457" s="56">
        <v>761</v>
      </c>
      <c r="K457" s="59">
        <v>1178.18181818182</v>
      </c>
      <c r="L457" s="59">
        <v>1370</v>
      </c>
      <c r="M457" s="59" t="e">
        <v>#DIV/0!</v>
      </c>
      <c r="N457" s="64">
        <v>765</v>
      </c>
      <c r="O457" s="64">
        <v>715</v>
      </c>
      <c r="P457" s="64">
        <v>600</v>
      </c>
      <c r="Q457" s="44" t="s">
        <v>54</v>
      </c>
      <c r="R457" s="69"/>
      <c r="S457" s="44" t="s">
        <v>446</v>
      </c>
      <c r="T457" s="45" t="s">
        <v>1388</v>
      </c>
      <c r="U457" s="45">
        <v>33110201603</v>
      </c>
      <c r="V457" s="45" t="s">
        <v>1389</v>
      </c>
      <c r="W457" s="43" t="s">
        <v>43</v>
      </c>
      <c r="X457" s="71" t="s">
        <v>43</v>
      </c>
      <c r="Y457" s="71" t="s">
        <v>40</v>
      </c>
      <c r="Z457" s="48" t="s">
        <v>43</v>
      </c>
      <c r="AA457" s="75">
        <v>4050</v>
      </c>
      <c r="AB457" s="75">
        <v>3630</v>
      </c>
      <c r="AC457" s="80">
        <v>3470</v>
      </c>
      <c r="AD457" s="80">
        <v>3160</v>
      </c>
      <c r="AE457" s="80">
        <v>2685</v>
      </c>
      <c r="AF457" s="79">
        <f t="shared" si="50"/>
        <v>13</v>
      </c>
      <c r="AG457" s="79" t="str">
        <f t="shared" si="51"/>
        <v>尿路成形费（常规）</v>
      </c>
      <c r="AH457" s="79">
        <f t="shared" si="47"/>
        <v>3315</v>
      </c>
      <c r="AI457" s="79">
        <f t="shared" si="48"/>
        <v>3105</v>
      </c>
      <c r="AJ457" s="79">
        <f t="shared" si="49"/>
        <v>2600</v>
      </c>
    </row>
    <row r="458" ht="14" customHeight="1" spans="1:36">
      <c r="A458" s="81" t="s">
        <v>81</v>
      </c>
      <c r="B458" s="81" t="s">
        <v>1370</v>
      </c>
      <c r="C458" s="81" t="s">
        <v>1371</v>
      </c>
      <c r="D458" s="81" t="s">
        <v>213</v>
      </c>
      <c r="E458" s="81"/>
      <c r="F458" s="81"/>
      <c r="G458" s="81" t="s">
        <v>40</v>
      </c>
      <c r="H458" s="81"/>
      <c r="I458" s="56">
        <v>846</v>
      </c>
      <c r="J458" s="56">
        <v>761</v>
      </c>
      <c r="K458" s="59">
        <v>1178.18181818182</v>
      </c>
      <c r="L458" s="59">
        <v>1370</v>
      </c>
      <c r="M458" s="59" t="e">
        <v>#DIV/0!</v>
      </c>
      <c r="N458" s="64">
        <v>765</v>
      </c>
      <c r="O458" s="64">
        <v>715</v>
      </c>
      <c r="P458" s="64">
        <v>600</v>
      </c>
      <c r="Q458" s="44" t="s">
        <v>54</v>
      </c>
      <c r="R458" s="69"/>
      <c r="S458" s="44" t="s">
        <v>446</v>
      </c>
      <c r="T458" s="45" t="s">
        <v>1390</v>
      </c>
      <c r="U458" s="45">
        <v>33110200201</v>
      </c>
      <c r="V458" s="45" t="s">
        <v>1391</v>
      </c>
      <c r="W458" s="43" t="s">
        <v>43</v>
      </c>
      <c r="X458" s="71" t="s">
        <v>43</v>
      </c>
      <c r="Y458" s="71" t="s">
        <v>40</v>
      </c>
      <c r="Z458" s="48" t="s">
        <v>43</v>
      </c>
      <c r="AA458" s="75">
        <v>3990</v>
      </c>
      <c r="AB458" s="75">
        <v>3590</v>
      </c>
      <c r="AC458" s="80">
        <v>3510</v>
      </c>
      <c r="AD458" s="80">
        <v>3160</v>
      </c>
      <c r="AE458" s="80">
        <v>2685</v>
      </c>
      <c r="AF458" s="79">
        <f t="shared" si="50"/>
        <v>13</v>
      </c>
      <c r="AG458" s="79" t="str">
        <f t="shared" si="51"/>
        <v>尿路成形费（常规）</v>
      </c>
      <c r="AH458" s="79">
        <f t="shared" si="47"/>
        <v>3315</v>
      </c>
      <c r="AI458" s="79">
        <f t="shared" si="48"/>
        <v>3105</v>
      </c>
      <c r="AJ458" s="79">
        <f t="shared" si="49"/>
        <v>2600</v>
      </c>
    </row>
    <row r="459" ht="14" customHeight="1" spans="1:36">
      <c r="A459" s="81" t="s">
        <v>81</v>
      </c>
      <c r="B459" s="81" t="s">
        <v>1370</v>
      </c>
      <c r="C459" s="81" t="s">
        <v>1371</v>
      </c>
      <c r="D459" s="81" t="s">
        <v>213</v>
      </c>
      <c r="E459" s="81"/>
      <c r="F459" s="81"/>
      <c r="G459" s="81" t="s">
        <v>40</v>
      </c>
      <c r="H459" s="81"/>
      <c r="I459" s="56">
        <v>846</v>
      </c>
      <c r="J459" s="56">
        <v>761</v>
      </c>
      <c r="K459" s="59">
        <v>1178.18181818182</v>
      </c>
      <c r="L459" s="59">
        <v>1370</v>
      </c>
      <c r="M459" s="59" t="e">
        <v>#DIV/0!</v>
      </c>
      <c r="N459" s="64">
        <v>765</v>
      </c>
      <c r="O459" s="64">
        <v>715</v>
      </c>
      <c r="P459" s="64">
        <v>600</v>
      </c>
      <c r="Q459" s="44" t="s">
        <v>54</v>
      </c>
      <c r="R459" s="69"/>
      <c r="S459" s="44" t="s">
        <v>446</v>
      </c>
      <c r="T459" s="45" t="s">
        <v>1392</v>
      </c>
      <c r="U459" s="45">
        <v>33110200203</v>
      </c>
      <c r="V459" s="45" t="s">
        <v>1393</v>
      </c>
      <c r="W459" s="43" t="s">
        <v>43</v>
      </c>
      <c r="X459" s="71" t="s">
        <v>43</v>
      </c>
      <c r="Y459" s="71" t="s">
        <v>40</v>
      </c>
      <c r="Z459" s="48" t="s">
        <v>43</v>
      </c>
      <c r="AA459" s="75">
        <v>4790</v>
      </c>
      <c r="AB459" s="75">
        <v>4310</v>
      </c>
      <c r="AC459" s="80">
        <v>4135</v>
      </c>
      <c r="AD459" s="80">
        <v>3760</v>
      </c>
      <c r="AE459" s="80">
        <v>3195</v>
      </c>
      <c r="AF459" s="79">
        <f t="shared" si="50"/>
        <v>13</v>
      </c>
      <c r="AG459" s="79" t="str">
        <f t="shared" si="51"/>
        <v>尿路成形费（常规）</v>
      </c>
      <c r="AH459" s="79">
        <f t="shared" si="47"/>
        <v>3315</v>
      </c>
      <c r="AI459" s="79">
        <f t="shared" si="48"/>
        <v>3105</v>
      </c>
      <c r="AJ459" s="79">
        <f t="shared" si="49"/>
        <v>2600</v>
      </c>
    </row>
    <row r="460" ht="14" customHeight="1" spans="1:36">
      <c r="A460" s="81" t="s">
        <v>81</v>
      </c>
      <c r="B460" s="81" t="s">
        <v>1370</v>
      </c>
      <c r="C460" s="81" t="s">
        <v>1371</v>
      </c>
      <c r="D460" s="81" t="s">
        <v>213</v>
      </c>
      <c r="E460" s="81"/>
      <c r="F460" s="81"/>
      <c r="G460" s="81" t="s">
        <v>40</v>
      </c>
      <c r="H460" s="81"/>
      <c r="I460" s="56">
        <v>846</v>
      </c>
      <c r="J460" s="56">
        <v>761</v>
      </c>
      <c r="K460" s="59">
        <v>1178.18181818182</v>
      </c>
      <c r="L460" s="59">
        <v>1370</v>
      </c>
      <c r="M460" s="59" t="e">
        <v>#DIV/0!</v>
      </c>
      <c r="N460" s="64">
        <v>765</v>
      </c>
      <c r="O460" s="64">
        <v>715</v>
      </c>
      <c r="P460" s="64">
        <v>600</v>
      </c>
      <c r="Q460" s="44" t="s">
        <v>54</v>
      </c>
      <c r="R460" s="69"/>
      <c r="S460" s="44" t="s">
        <v>446</v>
      </c>
      <c r="T460" s="45" t="s">
        <v>1394</v>
      </c>
      <c r="U460" s="45">
        <v>33110402101</v>
      </c>
      <c r="V460" s="45" t="s">
        <v>1395</v>
      </c>
      <c r="W460" s="43" t="s">
        <v>43</v>
      </c>
      <c r="X460" s="71" t="s">
        <v>43</v>
      </c>
      <c r="Y460" s="71" t="s">
        <v>40</v>
      </c>
      <c r="Z460" s="48" t="s">
        <v>43</v>
      </c>
      <c r="AA460" s="75">
        <v>1405</v>
      </c>
      <c r="AB460" s="75">
        <v>1260</v>
      </c>
      <c r="AC460" s="80">
        <v>1300</v>
      </c>
      <c r="AD460" s="80">
        <v>1250</v>
      </c>
      <c r="AE460" s="80">
        <v>1065</v>
      </c>
      <c r="AF460" s="79">
        <f t="shared" si="50"/>
        <v>13</v>
      </c>
      <c r="AG460" s="79" t="str">
        <f t="shared" si="51"/>
        <v>尿路成形费（常规）</v>
      </c>
      <c r="AH460" s="79">
        <f t="shared" si="47"/>
        <v>3315</v>
      </c>
      <c r="AI460" s="79">
        <f t="shared" si="48"/>
        <v>3105</v>
      </c>
      <c r="AJ460" s="79">
        <f t="shared" si="49"/>
        <v>2600</v>
      </c>
    </row>
    <row r="461" ht="14" customHeight="1" spans="1:36">
      <c r="A461" s="81" t="s">
        <v>81</v>
      </c>
      <c r="B461" s="81" t="s">
        <v>1370</v>
      </c>
      <c r="C461" s="81" t="s">
        <v>1371</v>
      </c>
      <c r="D461" s="81" t="s">
        <v>213</v>
      </c>
      <c r="E461" s="81"/>
      <c r="F461" s="81"/>
      <c r="G461" s="81" t="s">
        <v>40</v>
      </c>
      <c r="H461" s="81"/>
      <c r="I461" s="56">
        <v>846</v>
      </c>
      <c r="J461" s="56">
        <v>761</v>
      </c>
      <c r="K461" s="59">
        <v>1178.18181818182</v>
      </c>
      <c r="L461" s="59">
        <v>1370</v>
      </c>
      <c r="M461" s="59" t="e">
        <v>#DIV/0!</v>
      </c>
      <c r="N461" s="64">
        <v>765</v>
      </c>
      <c r="O461" s="64">
        <v>715</v>
      </c>
      <c r="P461" s="64">
        <v>600</v>
      </c>
      <c r="Q461" s="44" t="s">
        <v>54</v>
      </c>
      <c r="R461" s="69"/>
      <c r="S461" s="44" t="s">
        <v>446</v>
      </c>
      <c r="T461" s="45" t="s">
        <v>1396</v>
      </c>
      <c r="U461" s="45">
        <v>33110201701</v>
      </c>
      <c r="V461" s="45" t="s">
        <v>1397</v>
      </c>
      <c r="W461" s="43" t="s">
        <v>43</v>
      </c>
      <c r="X461" s="71" t="s">
        <v>43</v>
      </c>
      <c r="Y461" s="71" t="s">
        <v>40</v>
      </c>
      <c r="Z461" s="48" t="s">
        <v>43</v>
      </c>
      <c r="AA461" s="75">
        <v>3495</v>
      </c>
      <c r="AB461" s="75">
        <v>3145</v>
      </c>
      <c r="AC461" s="80">
        <v>3070</v>
      </c>
      <c r="AD461" s="80">
        <v>2755</v>
      </c>
      <c r="AE461" s="80">
        <v>2340</v>
      </c>
      <c r="AF461" s="79">
        <f t="shared" si="50"/>
        <v>13</v>
      </c>
      <c r="AG461" s="79" t="str">
        <f t="shared" si="51"/>
        <v>尿路成形费（常规）</v>
      </c>
      <c r="AH461" s="79">
        <f t="shared" si="47"/>
        <v>3315</v>
      </c>
      <c r="AI461" s="79">
        <f t="shared" si="48"/>
        <v>3105</v>
      </c>
      <c r="AJ461" s="79">
        <f t="shared" si="49"/>
        <v>2600</v>
      </c>
    </row>
    <row r="462" ht="14" customHeight="1" spans="1:36">
      <c r="A462" s="81" t="s">
        <v>81</v>
      </c>
      <c r="B462" s="81" t="s">
        <v>1370</v>
      </c>
      <c r="C462" s="81" t="s">
        <v>1371</v>
      </c>
      <c r="D462" s="81" t="s">
        <v>213</v>
      </c>
      <c r="E462" s="81"/>
      <c r="F462" s="81"/>
      <c r="G462" s="81" t="s">
        <v>40</v>
      </c>
      <c r="H462" s="81"/>
      <c r="I462" s="56">
        <v>846</v>
      </c>
      <c r="J462" s="56">
        <v>761</v>
      </c>
      <c r="K462" s="59">
        <v>1178.18181818182</v>
      </c>
      <c r="L462" s="59">
        <v>1370</v>
      </c>
      <c r="M462" s="59" t="e">
        <v>#DIV/0!</v>
      </c>
      <c r="N462" s="64">
        <v>765</v>
      </c>
      <c r="O462" s="64">
        <v>715</v>
      </c>
      <c r="P462" s="64">
        <v>600</v>
      </c>
      <c r="Q462" s="44" t="s">
        <v>54</v>
      </c>
      <c r="R462" s="69"/>
      <c r="S462" s="44" t="s">
        <v>446</v>
      </c>
      <c r="T462" s="45" t="s">
        <v>1398</v>
      </c>
      <c r="U462" s="45">
        <v>33110201703</v>
      </c>
      <c r="V462" s="45" t="s">
        <v>1399</v>
      </c>
      <c r="W462" s="43" t="s">
        <v>43</v>
      </c>
      <c r="X462" s="71" t="s">
        <v>43</v>
      </c>
      <c r="Y462" s="71" t="s">
        <v>40</v>
      </c>
      <c r="Z462" s="48" t="s">
        <v>43</v>
      </c>
      <c r="AA462" s="75">
        <v>4295</v>
      </c>
      <c r="AB462" s="75">
        <v>3865</v>
      </c>
      <c r="AC462" s="80">
        <v>3695</v>
      </c>
      <c r="AD462" s="80">
        <v>3355</v>
      </c>
      <c r="AE462" s="80">
        <v>2850</v>
      </c>
      <c r="AF462" s="79">
        <f t="shared" si="50"/>
        <v>13</v>
      </c>
      <c r="AG462" s="79" t="str">
        <f t="shared" si="51"/>
        <v>尿路成形费（常规）</v>
      </c>
      <c r="AH462" s="79">
        <f t="shared" si="47"/>
        <v>3315</v>
      </c>
      <c r="AI462" s="79">
        <f t="shared" si="48"/>
        <v>3105</v>
      </c>
      <c r="AJ462" s="79">
        <f t="shared" si="49"/>
        <v>2600</v>
      </c>
    </row>
    <row r="463" ht="14" customHeight="1" spans="1:36">
      <c r="A463" s="81" t="s">
        <v>81</v>
      </c>
      <c r="B463" s="81" t="s">
        <v>1370</v>
      </c>
      <c r="C463" s="81" t="s">
        <v>1371</v>
      </c>
      <c r="D463" s="81" t="s">
        <v>213</v>
      </c>
      <c r="E463" s="81"/>
      <c r="F463" s="81"/>
      <c r="G463" s="81" t="s">
        <v>40</v>
      </c>
      <c r="H463" s="81"/>
      <c r="I463" s="56">
        <v>846</v>
      </c>
      <c r="J463" s="56">
        <v>761</v>
      </c>
      <c r="K463" s="59">
        <v>1178.18181818182</v>
      </c>
      <c r="L463" s="59">
        <v>1370</v>
      </c>
      <c r="M463" s="59" t="e">
        <v>#DIV/0!</v>
      </c>
      <c r="N463" s="64">
        <v>765</v>
      </c>
      <c r="O463" s="64">
        <v>715</v>
      </c>
      <c r="P463" s="64">
        <v>600</v>
      </c>
      <c r="Q463" s="44" t="s">
        <v>54</v>
      </c>
      <c r="R463" s="69"/>
      <c r="S463" s="44" t="s">
        <v>446</v>
      </c>
      <c r="T463" s="45" t="s">
        <v>1400</v>
      </c>
      <c r="U463" s="45">
        <v>33110401601</v>
      </c>
      <c r="V463" s="45" t="s">
        <v>1401</v>
      </c>
      <c r="W463" s="43" t="s">
        <v>43</v>
      </c>
      <c r="X463" s="71" t="s">
        <v>43</v>
      </c>
      <c r="Y463" s="71" t="s">
        <v>40</v>
      </c>
      <c r="Z463" s="48" t="s">
        <v>43</v>
      </c>
      <c r="AA463" s="75">
        <v>3495</v>
      </c>
      <c r="AB463" s="75">
        <v>3145</v>
      </c>
      <c r="AC463" s="80">
        <v>3070</v>
      </c>
      <c r="AD463" s="80">
        <v>2755</v>
      </c>
      <c r="AE463" s="80">
        <v>2340</v>
      </c>
      <c r="AF463" s="79">
        <f t="shared" si="50"/>
        <v>13</v>
      </c>
      <c r="AG463" s="79" t="str">
        <f t="shared" si="51"/>
        <v>尿路成形费（常规）</v>
      </c>
      <c r="AH463" s="79">
        <f t="shared" si="47"/>
        <v>3315</v>
      </c>
      <c r="AI463" s="79">
        <f t="shared" si="48"/>
        <v>3105</v>
      </c>
      <c r="AJ463" s="79">
        <f t="shared" si="49"/>
        <v>2600</v>
      </c>
    </row>
    <row r="464" ht="14" customHeight="1" spans="1:36">
      <c r="A464" s="81" t="s">
        <v>81</v>
      </c>
      <c r="B464" s="81" t="s">
        <v>1370</v>
      </c>
      <c r="C464" s="81" t="s">
        <v>1371</v>
      </c>
      <c r="D464" s="81" t="s">
        <v>213</v>
      </c>
      <c r="E464" s="81"/>
      <c r="F464" s="81"/>
      <c r="G464" s="81" t="s">
        <v>40</v>
      </c>
      <c r="H464" s="81"/>
      <c r="I464" s="56">
        <v>846</v>
      </c>
      <c r="J464" s="56">
        <v>761</v>
      </c>
      <c r="K464" s="59">
        <v>1178.18181818182</v>
      </c>
      <c r="L464" s="59">
        <v>1370</v>
      </c>
      <c r="M464" s="59" t="e">
        <v>#DIV/0!</v>
      </c>
      <c r="N464" s="64">
        <v>765</v>
      </c>
      <c r="O464" s="64">
        <v>715</v>
      </c>
      <c r="P464" s="64">
        <v>600</v>
      </c>
      <c r="Q464" s="44" t="s">
        <v>54</v>
      </c>
      <c r="R464" s="69"/>
      <c r="S464" s="44" t="s">
        <v>446</v>
      </c>
      <c r="T464" s="45" t="s">
        <v>1402</v>
      </c>
      <c r="U464" s="45">
        <v>33110400401</v>
      </c>
      <c r="V464" s="45" t="s">
        <v>1403</v>
      </c>
      <c r="W464" s="43" t="s">
        <v>43</v>
      </c>
      <c r="X464" s="71" t="s">
        <v>43</v>
      </c>
      <c r="Y464" s="71" t="s">
        <v>40</v>
      </c>
      <c r="Z464" s="48" t="s">
        <v>43</v>
      </c>
      <c r="AA464" s="75">
        <v>1755</v>
      </c>
      <c r="AB464" s="75">
        <v>1580</v>
      </c>
      <c r="AC464" s="80">
        <v>1625</v>
      </c>
      <c r="AD464" s="80">
        <v>1560</v>
      </c>
      <c r="AE464" s="80">
        <v>1325</v>
      </c>
      <c r="AF464" s="79">
        <f t="shared" si="50"/>
        <v>13</v>
      </c>
      <c r="AG464" s="79" t="str">
        <f t="shared" si="51"/>
        <v>尿路成形费（常规）</v>
      </c>
      <c r="AH464" s="79">
        <f t="shared" si="47"/>
        <v>3315</v>
      </c>
      <c r="AI464" s="79">
        <f t="shared" si="48"/>
        <v>3105</v>
      </c>
      <c r="AJ464" s="79">
        <f t="shared" si="49"/>
        <v>2600</v>
      </c>
    </row>
    <row r="465" ht="14" customHeight="1" spans="1:36">
      <c r="A465" s="81" t="s">
        <v>81</v>
      </c>
      <c r="B465" s="81" t="s">
        <v>1370</v>
      </c>
      <c r="C465" s="81" t="s">
        <v>1371</v>
      </c>
      <c r="D465" s="81" t="s">
        <v>213</v>
      </c>
      <c r="E465" s="81"/>
      <c r="F465" s="81"/>
      <c r="G465" s="81" t="s">
        <v>40</v>
      </c>
      <c r="H465" s="81"/>
      <c r="I465" s="56">
        <v>846</v>
      </c>
      <c r="J465" s="56">
        <v>761</v>
      </c>
      <c r="K465" s="59">
        <v>1178.18181818182</v>
      </c>
      <c r="L465" s="59">
        <v>1370</v>
      </c>
      <c r="M465" s="59" t="e">
        <v>#DIV/0!</v>
      </c>
      <c r="N465" s="64">
        <v>765</v>
      </c>
      <c r="O465" s="64">
        <v>715</v>
      </c>
      <c r="P465" s="64">
        <v>600</v>
      </c>
      <c r="Q465" s="44" t="s">
        <v>54</v>
      </c>
      <c r="R465" s="69"/>
      <c r="S465" s="44" t="s">
        <v>446</v>
      </c>
      <c r="T465" s="45" t="s">
        <v>1404</v>
      </c>
      <c r="U465" s="45">
        <v>33110400403</v>
      </c>
      <c r="V465" s="45" t="s">
        <v>1405</v>
      </c>
      <c r="W465" s="43" t="s">
        <v>43</v>
      </c>
      <c r="X465" s="71" t="s">
        <v>43</v>
      </c>
      <c r="Y465" s="71" t="s">
        <v>40</v>
      </c>
      <c r="Z465" s="48" t="s">
        <v>43</v>
      </c>
      <c r="AA465" s="75">
        <v>2005</v>
      </c>
      <c r="AB465" s="75">
        <v>1805</v>
      </c>
      <c r="AC465" s="80">
        <v>1875</v>
      </c>
      <c r="AD465" s="80">
        <v>1785</v>
      </c>
      <c r="AE465" s="80">
        <v>1515</v>
      </c>
      <c r="AF465" s="79">
        <f t="shared" si="50"/>
        <v>13</v>
      </c>
      <c r="AG465" s="79" t="str">
        <f t="shared" si="51"/>
        <v>尿路成形费（常规）</v>
      </c>
      <c r="AH465" s="79">
        <f t="shared" si="47"/>
        <v>3315</v>
      </c>
      <c r="AI465" s="79">
        <f t="shared" si="48"/>
        <v>3105</v>
      </c>
      <c r="AJ465" s="79">
        <f t="shared" si="49"/>
        <v>2600</v>
      </c>
    </row>
    <row r="466" ht="14" customHeight="1" spans="1:36">
      <c r="A466" s="81" t="s">
        <v>81</v>
      </c>
      <c r="B466" s="81" t="s">
        <v>1370</v>
      </c>
      <c r="C466" s="81" t="s">
        <v>1371</v>
      </c>
      <c r="D466" s="81" t="s">
        <v>213</v>
      </c>
      <c r="E466" s="81"/>
      <c r="F466" s="81"/>
      <c r="G466" s="81" t="s">
        <v>40</v>
      </c>
      <c r="H466" s="81"/>
      <c r="I466" s="56">
        <v>846</v>
      </c>
      <c r="J466" s="56">
        <v>761</v>
      </c>
      <c r="K466" s="59">
        <v>1178.18181818182</v>
      </c>
      <c r="L466" s="59">
        <v>1370</v>
      </c>
      <c r="M466" s="59" t="e">
        <v>#DIV/0!</v>
      </c>
      <c r="N466" s="64">
        <v>765</v>
      </c>
      <c r="O466" s="64">
        <v>715</v>
      </c>
      <c r="P466" s="64">
        <v>600</v>
      </c>
      <c r="Q466" s="44" t="s">
        <v>54</v>
      </c>
      <c r="R466" s="69"/>
      <c r="S466" s="44" t="s">
        <v>446</v>
      </c>
      <c r="T466" s="45" t="s">
        <v>1406</v>
      </c>
      <c r="U466" s="45">
        <v>33110400201</v>
      </c>
      <c r="V466" s="45" t="s">
        <v>1407</v>
      </c>
      <c r="W466" s="43" t="s">
        <v>43</v>
      </c>
      <c r="X466" s="71" t="s">
        <v>43</v>
      </c>
      <c r="Y466" s="71" t="s">
        <v>40</v>
      </c>
      <c r="Z466" s="48" t="s">
        <v>43</v>
      </c>
      <c r="AA466" s="75">
        <v>2745</v>
      </c>
      <c r="AB466" s="75">
        <v>2470</v>
      </c>
      <c r="AC466" s="80">
        <v>2420</v>
      </c>
      <c r="AD466" s="80">
        <v>2170</v>
      </c>
      <c r="AE466" s="80">
        <v>1845</v>
      </c>
      <c r="AF466" s="79">
        <f t="shared" si="50"/>
        <v>13</v>
      </c>
      <c r="AG466" s="79" t="str">
        <f t="shared" si="51"/>
        <v>尿路成形费（常规）</v>
      </c>
      <c r="AH466" s="79">
        <f t="shared" si="47"/>
        <v>3315</v>
      </c>
      <c r="AI466" s="79">
        <f t="shared" si="48"/>
        <v>3105</v>
      </c>
      <c r="AJ466" s="79">
        <f t="shared" si="49"/>
        <v>2600</v>
      </c>
    </row>
    <row r="467" ht="14" customHeight="1" spans="1:36">
      <c r="A467" s="81" t="s">
        <v>81</v>
      </c>
      <c r="B467" s="81" t="s">
        <v>1370</v>
      </c>
      <c r="C467" s="81" t="s">
        <v>1371</v>
      </c>
      <c r="D467" s="81" t="s">
        <v>213</v>
      </c>
      <c r="E467" s="81"/>
      <c r="F467" s="81"/>
      <c r="G467" s="81" t="s">
        <v>40</v>
      </c>
      <c r="H467" s="81"/>
      <c r="I467" s="56">
        <v>846</v>
      </c>
      <c r="J467" s="56">
        <v>761</v>
      </c>
      <c r="K467" s="59">
        <v>1178.18181818182</v>
      </c>
      <c r="L467" s="59">
        <v>1370</v>
      </c>
      <c r="M467" s="59" t="e">
        <v>#DIV/0!</v>
      </c>
      <c r="N467" s="64">
        <v>765</v>
      </c>
      <c r="O467" s="64">
        <v>715</v>
      </c>
      <c r="P467" s="64">
        <v>600</v>
      </c>
      <c r="Q467" s="44" t="s">
        <v>54</v>
      </c>
      <c r="R467" s="69"/>
      <c r="S467" s="44" t="s">
        <v>446</v>
      </c>
      <c r="T467" s="45" t="s">
        <v>1408</v>
      </c>
      <c r="U467" s="45">
        <v>33110400203</v>
      </c>
      <c r="V467" s="45" t="s">
        <v>1409</v>
      </c>
      <c r="W467" s="43" t="s">
        <v>43</v>
      </c>
      <c r="X467" s="71" t="s">
        <v>43</v>
      </c>
      <c r="Y467" s="71" t="s">
        <v>40</v>
      </c>
      <c r="Z467" s="48" t="s">
        <v>43</v>
      </c>
      <c r="AA467" s="75">
        <v>2995</v>
      </c>
      <c r="AB467" s="75">
        <v>2695</v>
      </c>
      <c r="AC467" s="80">
        <v>2670</v>
      </c>
      <c r="AD467" s="80">
        <v>2395</v>
      </c>
      <c r="AE467" s="80">
        <v>2035</v>
      </c>
      <c r="AF467" s="79">
        <f t="shared" si="50"/>
        <v>13</v>
      </c>
      <c r="AG467" s="79" t="str">
        <f t="shared" si="51"/>
        <v>尿路成形费（常规）</v>
      </c>
      <c r="AH467" s="79">
        <f t="shared" si="47"/>
        <v>3315</v>
      </c>
      <c r="AI467" s="79">
        <f t="shared" si="48"/>
        <v>3105</v>
      </c>
      <c r="AJ467" s="79">
        <f t="shared" si="49"/>
        <v>2600</v>
      </c>
    </row>
    <row r="468" ht="14" customHeight="1" spans="1:36">
      <c r="A468" s="81" t="s">
        <v>81</v>
      </c>
      <c r="B468" s="81" t="s">
        <v>1370</v>
      </c>
      <c r="C468" s="81" t="s">
        <v>1371</v>
      </c>
      <c r="D468" s="81" t="s">
        <v>213</v>
      </c>
      <c r="E468" s="81"/>
      <c r="F468" s="81"/>
      <c r="G468" s="81" t="s">
        <v>40</v>
      </c>
      <c r="H468" s="81"/>
      <c r="I468" s="56">
        <v>846</v>
      </c>
      <c r="J468" s="56">
        <v>761</v>
      </c>
      <c r="K468" s="59">
        <v>1178.18181818182</v>
      </c>
      <c r="L468" s="59">
        <v>1370</v>
      </c>
      <c r="M468" s="59" t="e">
        <v>#DIV/0!</v>
      </c>
      <c r="N468" s="64">
        <v>765</v>
      </c>
      <c r="O468" s="64">
        <v>715</v>
      </c>
      <c r="P468" s="64">
        <v>600</v>
      </c>
      <c r="Q468" s="44" t="s">
        <v>54</v>
      </c>
      <c r="R468" s="69"/>
      <c r="S468" s="44" t="s">
        <v>446</v>
      </c>
      <c r="T468" s="45" t="s">
        <v>1410</v>
      </c>
      <c r="U468" s="45">
        <v>33110400101</v>
      </c>
      <c r="V468" s="45" t="s">
        <v>1411</v>
      </c>
      <c r="W468" s="43" t="s">
        <v>43</v>
      </c>
      <c r="X468" s="71" t="s">
        <v>43</v>
      </c>
      <c r="Y468" s="71" t="s">
        <v>40</v>
      </c>
      <c r="Z468" s="48" t="s">
        <v>43</v>
      </c>
      <c r="AA468" s="75">
        <v>3745</v>
      </c>
      <c r="AB468" s="75">
        <v>3365</v>
      </c>
      <c r="AC468" s="80">
        <v>3290</v>
      </c>
      <c r="AD468" s="80">
        <v>2965</v>
      </c>
      <c r="AE468" s="80">
        <v>2520</v>
      </c>
      <c r="AF468" s="79">
        <f t="shared" si="50"/>
        <v>13</v>
      </c>
      <c r="AG468" s="79" t="str">
        <f t="shared" si="51"/>
        <v>尿路成形费（常规）</v>
      </c>
      <c r="AH468" s="79">
        <f t="shared" si="47"/>
        <v>3315</v>
      </c>
      <c r="AI468" s="79">
        <f t="shared" si="48"/>
        <v>3105</v>
      </c>
      <c r="AJ468" s="79">
        <f t="shared" si="49"/>
        <v>2600</v>
      </c>
    </row>
    <row r="469" ht="14" customHeight="1" spans="1:36">
      <c r="A469" s="81" t="s">
        <v>81</v>
      </c>
      <c r="B469" s="81" t="s">
        <v>1370</v>
      </c>
      <c r="C469" s="81" t="s">
        <v>1371</v>
      </c>
      <c r="D469" s="81" t="s">
        <v>213</v>
      </c>
      <c r="E469" s="81"/>
      <c r="F469" s="81"/>
      <c r="G469" s="81" t="s">
        <v>40</v>
      </c>
      <c r="H469" s="81"/>
      <c r="I469" s="56">
        <v>846</v>
      </c>
      <c r="J469" s="56">
        <v>761</v>
      </c>
      <c r="K469" s="59">
        <v>1178.18181818182</v>
      </c>
      <c r="L469" s="59">
        <v>1370</v>
      </c>
      <c r="M469" s="59" t="e">
        <v>#DIV/0!</v>
      </c>
      <c r="N469" s="64">
        <v>765</v>
      </c>
      <c r="O469" s="64">
        <v>715</v>
      </c>
      <c r="P469" s="64">
        <v>600</v>
      </c>
      <c r="Q469" s="44" t="s">
        <v>54</v>
      </c>
      <c r="R469" s="69"/>
      <c r="S469" s="44" t="s">
        <v>446</v>
      </c>
      <c r="T469" s="45" t="s">
        <v>1412</v>
      </c>
      <c r="U469" s="45">
        <v>33110400103</v>
      </c>
      <c r="V469" s="45" t="s">
        <v>1413</v>
      </c>
      <c r="W469" s="43" t="s">
        <v>43</v>
      </c>
      <c r="X469" s="71" t="s">
        <v>43</v>
      </c>
      <c r="Y469" s="71" t="s">
        <v>40</v>
      </c>
      <c r="Z469" s="48" t="s">
        <v>43</v>
      </c>
      <c r="AA469" s="75">
        <v>3995</v>
      </c>
      <c r="AB469" s="75">
        <v>3590</v>
      </c>
      <c r="AC469" s="80">
        <v>3540</v>
      </c>
      <c r="AD469" s="80">
        <v>3190</v>
      </c>
      <c r="AE469" s="80">
        <v>2710</v>
      </c>
      <c r="AF469" s="79">
        <f t="shared" si="50"/>
        <v>13</v>
      </c>
      <c r="AG469" s="79" t="str">
        <f t="shared" si="51"/>
        <v>尿路成形费（常规）</v>
      </c>
      <c r="AH469" s="79">
        <f t="shared" si="47"/>
        <v>3315</v>
      </c>
      <c r="AI469" s="79">
        <f t="shared" si="48"/>
        <v>3105</v>
      </c>
      <c r="AJ469" s="79">
        <f t="shared" si="49"/>
        <v>2600</v>
      </c>
    </row>
    <row r="470" ht="14" customHeight="1" spans="1:36">
      <c r="A470" s="81" t="s">
        <v>81</v>
      </c>
      <c r="B470" s="81" t="s">
        <v>1370</v>
      </c>
      <c r="C470" s="81" t="s">
        <v>1371</v>
      </c>
      <c r="D470" s="81" t="s">
        <v>213</v>
      </c>
      <c r="E470" s="81"/>
      <c r="F470" s="81"/>
      <c r="G470" s="81" t="s">
        <v>40</v>
      </c>
      <c r="H470" s="81"/>
      <c r="I470" s="56">
        <v>846</v>
      </c>
      <c r="J470" s="56">
        <v>761</v>
      </c>
      <c r="K470" s="59">
        <v>1178.18181818182</v>
      </c>
      <c r="L470" s="59">
        <v>1370</v>
      </c>
      <c r="M470" s="59" t="e">
        <v>#DIV/0!</v>
      </c>
      <c r="N470" s="64">
        <v>765</v>
      </c>
      <c r="O470" s="64">
        <v>715</v>
      </c>
      <c r="P470" s="64">
        <v>600</v>
      </c>
      <c r="Q470" s="44" t="s">
        <v>54</v>
      </c>
      <c r="R470" s="69"/>
      <c r="S470" s="44" t="s">
        <v>446</v>
      </c>
      <c r="T470" s="45" t="s">
        <v>1414</v>
      </c>
      <c r="U470" s="45">
        <v>33110401301</v>
      </c>
      <c r="V470" s="45" t="s">
        <v>1415</v>
      </c>
      <c r="W470" s="43" t="s">
        <v>43</v>
      </c>
      <c r="X470" s="71" t="s">
        <v>43</v>
      </c>
      <c r="Y470" s="71" t="s">
        <v>40</v>
      </c>
      <c r="Z470" s="48" t="s">
        <v>43</v>
      </c>
      <c r="AA470" s="75">
        <v>3745</v>
      </c>
      <c r="AB470" s="75">
        <v>3365</v>
      </c>
      <c r="AC470" s="80">
        <v>3290</v>
      </c>
      <c r="AD470" s="80">
        <v>2965</v>
      </c>
      <c r="AE470" s="80">
        <v>2520</v>
      </c>
      <c r="AF470" s="79">
        <f t="shared" si="50"/>
        <v>13</v>
      </c>
      <c r="AG470" s="79" t="str">
        <f t="shared" si="51"/>
        <v>尿路成形费（常规）</v>
      </c>
      <c r="AH470" s="79">
        <f t="shared" si="47"/>
        <v>3315</v>
      </c>
      <c r="AI470" s="79">
        <f t="shared" si="48"/>
        <v>3105</v>
      </c>
      <c r="AJ470" s="79">
        <f t="shared" si="49"/>
        <v>2600</v>
      </c>
    </row>
    <row r="471" ht="14" customHeight="1" spans="1:36">
      <c r="A471" s="81" t="s">
        <v>81</v>
      </c>
      <c r="B471" s="81" t="s">
        <v>1370</v>
      </c>
      <c r="C471" s="81" t="s">
        <v>1371</v>
      </c>
      <c r="D471" s="81" t="s">
        <v>213</v>
      </c>
      <c r="E471" s="81"/>
      <c r="F471" s="81"/>
      <c r="G471" s="81" t="s">
        <v>40</v>
      </c>
      <c r="H471" s="81"/>
      <c r="I471" s="56">
        <v>846</v>
      </c>
      <c r="J471" s="56">
        <v>761</v>
      </c>
      <c r="K471" s="59">
        <v>1178.18181818182</v>
      </c>
      <c r="L471" s="59">
        <v>1370</v>
      </c>
      <c r="M471" s="59" t="e">
        <v>#DIV/0!</v>
      </c>
      <c r="N471" s="64">
        <v>765</v>
      </c>
      <c r="O471" s="64">
        <v>715</v>
      </c>
      <c r="P471" s="64">
        <v>600</v>
      </c>
      <c r="Q471" s="44" t="s">
        <v>54</v>
      </c>
      <c r="R471" s="69"/>
      <c r="S471" s="44" t="s">
        <v>446</v>
      </c>
      <c r="T471" s="45" t="s">
        <v>1416</v>
      </c>
      <c r="U471" s="45">
        <v>33110401303</v>
      </c>
      <c r="V471" s="45" t="s">
        <v>1417</v>
      </c>
      <c r="W471" s="43" t="s">
        <v>43</v>
      </c>
      <c r="X471" s="71" t="s">
        <v>43</v>
      </c>
      <c r="Y471" s="71" t="s">
        <v>40</v>
      </c>
      <c r="Z471" s="48" t="s">
        <v>43</v>
      </c>
      <c r="AA471" s="75">
        <v>3995</v>
      </c>
      <c r="AB471" s="75">
        <v>3590</v>
      </c>
      <c r="AC471" s="80">
        <v>3540</v>
      </c>
      <c r="AD471" s="80">
        <v>3190</v>
      </c>
      <c r="AE471" s="80">
        <v>2710</v>
      </c>
      <c r="AF471" s="79">
        <f t="shared" si="50"/>
        <v>13</v>
      </c>
      <c r="AG471" s="79" t="str">
        <f t="shared" si="51"/>
        <v>尿路成形费（常规）</v>
      </c>
      <c r="AH471" s="79">
        <f t="shared" si="47"/>
        <v>3315</v>
      </c>
      <c r="AI471" s="79">
        <f t="shared" si="48"/>
        <v>3105</v>
      </c>
      <c r="AJ471" s="79">
        <f t="shared" si="49"/>
        <v>2600</v>
      </c>
    </row>
    <row r="472" ht="14" customHeight="1" spans="1:36">
      <c r="A472" s="81" t="s">
        <v>81</v>
      </c>
      <c r="B472" s="81" t="s">
        <v>1370</v>
      </c>
      <c r="C472" s="81" t="s">
        <v>1371</v>
      </c>
      <c r="D472" s="81" t="s">
        <v>213</v>
      </c>
      <c r="E472" s="81"/>
      <c r="F472" s="81"/>
      <c r="G472" s="81" t="s">
        <v>40</v>
      </c>
      <c r="H472" s="81"/>
      <c r="I472" s="56">
        <v>846</v>
      </c>
      <c r="J472" s="56">
        <v>761</v>
      </c>
      <c r="K472" s="59">
        <v>1178.18181818182</v>
      </c>
      <c r="L472" s="59">
        <v>1370</v>
      </c>
      <c r="M472" s="59" t="e">
        <v>#DIV/0!</v>
      </c>
      <c r="N472" s="64">
        <v>765</v>
      </c>
      <c r="O472" s="64">
        <v>715</v>
      </c>
      <c r="P472" s="64">
        <v>600</v>
      </c>
      <c r="Q472" s="44" t="s">
        <v>54</v>
      </c>
      <c r="R472" s="69"/>
      <c r="S472" s="44" t="s">
        <v>446</v>
      </c>
      <c r="T472" s="45" t="s">
        <v>1418</v>
      </c>
      <c r="U472" s="45">
        <v>33110400301</v>
      </c>
      <c r="V472" s="45" t="s">
        <v>1419</v>
      </c>
      <c r="W472" s="43" t="s">
        <v>43</v>
      </c>
      <c r="X472" s="71" t="s">
        <v>43</v>
      </c>
      <c r="Y472" s="71" t="s">
        <v>40</v>
      </c>
      <c r="Z472" s="48" t="s">
        <v>43</v>
      </c>
      <c r="AA472" s="75">
        <v>2495</v>
      </c>
      <c r="AB472" s="75">
        <v>2250</v>
      </c>
      <c r="AC472" s="80">
        <v>2195</v>
      </c>
      <c r="AD472" s="80">
        <v>1975</v>
      </c>
      <c r="AE472" s="80">
        <v>1680</v>
      </c>
      <c r="AF472" s="79">
        <f t="shared" si="50"/>
        <v>13</v>
      </c>
      <c r="AG472" s="79" t="str">
        <f t="shared" si="51"/>
        <v>尿路成形费（常规）</v>
      </c>
      <c r="AH472" s="79">
        <f t="shared" si="47"/>
        <v>3315</v>
      </c>
      <c r="AI472" s="79">
        <f t="shared" si="48"/>
        <v>3105</v>
      </c>
      <c r="AJ472" s="79">
        <f t="shared" si="49"/>
        <v>2600</v>
      </c>
    </row>
    <row r="473" ht="14" customHeight="1" spans="1:36">
      <c r="A473" s="81" t="s">
        <v>81</v>
      </c>
      <c r="B473" s="81" t="s">
        <v>1370</v>
      </c>
      <c r="C473" s="81" t="s">
        <v>1371</v>
      </c>
      <c r="D473" s="81" t="s">
        <v>213</v>
      </c>
      <c r="E473" s="81"/>
      <c r="F473" s="81"/>
      <c r="G473" s="81" t="s">
        <v>40</v>
      </c>
      <c r="H473" s="81"/>
      <c r="I473" s="56">
        <v>846</v>
      </c>
      <c r="J473" s="56">
        <v>761</v>
      </c>
      <c r="K473" s="59">
        <v>1178.18181818182</v>
      </c>
      <c r="L473" s="59">
        <v>1370</v>
      </c>
      <c r="M473" s="59" t="e">
        <v>#DIV/0!</v>
      </c>
      <c r="N473" s="64">
        <v>765</v>
      </c>
      <c r="O473" s="64">
        <v>715</v>
      </c>
      <c r="P473" s="64">
        <v>600</v>
      </c>
      <c r="Q473" s="44" t="s">
        <v>54</v>
      </c>
      <c r="R473" s="69"/>
      <c r="S473" s="44" t="s">
        <v>446</v>
      </c>
      <c r="T473" s="45" t="s">
        <v>1420</v>
      </c>
      <c r="U473" s="45">
        <v>33110400303</v>
      </c>
      <c r="V473" s="45" t="s">
        <v>1421</v>
      </c>
      <c r="W473" s="43" t="s">
        <v>43</v>
      </c>
      <c r="X473" s="71" t="s">
        <v>43</v>
      </c>
      <c r="Y473" s="71" t="s">
        <v>40</v>
      </c>
      <c r="Z473" s="48" t="s">
        <v>43</v>
      </c>
      <c r="AA473" s="75">
        <v>2745</v>
      </c>
      <c r="AB473" s="75">
        <v>2475</v>
      </c>
      <c r="AC473" s="80">
        <v>2445</v>
      </c>
      <c r="AD473" s="80">
        <v>2200</v>
      </c>
      <c r="AE473" s="80">
        <v>1870</v>
      </c>
      <c r="AF473" s="79">
        <f t="shared" si="50"/>
        <v>13</v>
      </c>
      <c r="AG473" s="79" t="str">
        <f t="shared" si="51"/>
        <v>尿路成形费（常规）</v>
      </c>
      <c r="AH473" s="79">
        <f t="shared" ref="AH473:AH536" si="52">IF(AF473&gt;0,_xlfn.MAXIFS(N:N,C:C,AG473),0)+N473</f>
        <v>3315</v>
      </c>
      <c r="AI473" s="79">
        <f t="shared" ref="AI473:AI536" si="53">IF(AF473&gt;0,_xlfn.MAXIFS(O:O,C:C,AG473),0)+O473</f>
        <v>3105</v>
      </c>
      <c r="AJ473" s="79">
        <f t="shared" ref="AJ473:AJ536" si="54">IF(AF473&gt;0,_xlfn.MAXIFS(P:P,C:C,AG473),0)+P473</f>
        <v>2600</v>
      </c>
    </row>
    <row r="474" ht="14" customHeight="1" spans="1:36">
      <c r="A474" s="81" t="s">
        <v>81</v>
      </c>
      <c r="B474" s="81" t="s">
        <v>1370</v>
      </c>
      <c r="C474" s="81" t="s">
        <v>1371</v>
      </c>
      <c r="D474" s="81" t="s">
        <v>213</v>
      </c>
      <c r="E474" s="81"/>
      <c r="F474" s="81"/>
      <c r="G474" s="81" t="s">
        <v>40</v>
      </c>
      <c r="H474" s="81"/>
      <c r="I474" s="56">
        <v>846</v>
      </c>
      <c r="J474" s="56">
        <v>761</v>
      </c>
      <c r="K474" s="59">
        <v>1178.18181818182</v>
      </c>
      <c r="L474" s="59">
        <v>1370</v>
      </c>
      <c r="M474" s="59" t="e">
        <v>#DIV/0!</v>
      </c>
      <c r="N474" s="64">
        <v>765</v>
      </c>
      <c r="O474" s="64">
        <v>715</v>
      </c>
      <c r="P474" s="64">
        <v>600</v>
      </c>
      <c r="Q474" s="44" t="s">
        <v>54</v>
      </c>
      <c r="R474" s="69"/>
      <c r="S474" s="44" t="s">
        <v>446</v>
      </c>
      <c r="T474" s="55" t="s">
        <v>1422</v>
      </c>
      <c r="U474" s="55">
        <v>33110100201</v>
      </c>
      <c r="V474" s="55" t="s">
        <v>1423</v>
      </c>
      <c r="W474" s="54" t="s">
        <v>43</v>
      </c>
      <c r="X474" s="93" t="s">
        <v>43</v>
      </c>
      <c r="Y474" s="93" t="s">
        <v>40</v>
      </c>
      <c r="Z474" s="94" t="s">
        <v>43</v>
      </c>
      <c r="AA474" s="75">
        <v>2990</v>
      </c>
      <c r="AB474" s="75">
        <v>2705</v>
      </c>
      <c r="AC474" s="80">
        <v>2640</v>
      </c>
      <c r="AD474" s="80">
        <v>2380</v>
      </c>
      <c r="AE474" s="80">
        <v>2025</v>
      </c>
      <c r="AF474" s="79">
        <f t="shared" si="50"/>
        <v>13</v>
      </c>
      <c r="AG474" s="79" t="str">
        <f t="shared" si="51"/>
        <v>尿路成形费（常规）</v>
      </c>
      <c r="AH474" s="79">
        <f t="shared" si="52"/>
        <v>3315</v>
      </c>
      <c r="AI474" s="79">
        <f t="shared" si="53"/>
        <v>3105</v>
      </c>
      <c r="AJ474" s="79">
        <f t="shared" si="54"/>
        <v>2600</v>
      </c>
    </row>
    <row r="475" ht="14" customHeight="1" spans="1:36">
      <c r="A475" s="81" t="s">
        <v>81</v>
      </c>
      <c r="B475" s="81" t="s">
        <v>1370</v>
      </c>
      <c r="C475" s="81" t="s">
        <v>1371</v>
      </c>
      <c r="D475" s="81" t="s">
        <v>213</v>
      </c>
      <c r="E475" s="81"/>
      <c r="F475" s="81"/>
      <c r="G475" s="81" t="s">
        <v>40</v>
      </c>
      <c r="H475" s="81"/>
      <c r="I475" s="56">
        <v>846</v>
      </c>
      <c r="J475" s="56">
        <v>761</v>
      </c>
      <c r="K475" s="59">
        <v>1178.18181818182</v>
      </c>
      <c r="L475" s="59">
        <v>1370</v>
      </c>
      <c r="M475" s="59" t="e">
        <v>#DIV/0!</v>
      </c>
      <c r="N475" s="64">
        <v>765</v>
      </c>
      <c r="O475" s="64">
        <v>715</v>
      </c>
      <c r="P475" s="64">
        <v>600</v>
      </c>
      <c r="Q475" s="44" t="s">
        <v>54</v>
      </c>
      <c r="R475" s="69"/>
      <c r="S475" s="44" t="s">
        <v>446</v>
      </c>
      <c r="T475" s="55" t="s">
        <v>1424</v>
      </c>
      <c r="U475" s="55">
        <v>33110100203</v>
      </c>
      <c r="V475" s="55" t="s">
        <v>1425</v>
      </c>
      <c r="W475" s="54" t="s">
        <v>43</v>
      </c>
      <c r="X475" s="93" t="s">
        <v>43</v>
      </c>
      <c r="Y475" s="93" t="s">
        <v>40</v>
      </c>
      <c r="Z475" s="94" t="s">
        <v>43</v>
      </c>
      <c r="AA475" s="75">
        <v>3790</v>
      </c>
      <c r="AB475" s="75">
        <v>3425</v>
      </c>
      <c r="AC475" s="80">
        <v>3265</v>
      </c>
      <c r="AD475" s="80">
        <v>2980</v>
      </c>
      <c r="AE475" s="80">
        <v>2535</v>
      </c>
      <c r="AF475" s="79">
        <f t="shared" si="50"/>
        <v>13</v>
      </c>
      <c r="AG475" s="79" t="str">
        <f t="shared" si="51"/>
        <v>尿路成形费（常规）</v>
      </c>
      <c r="AH475" s="79">
        <f t="shared" si="52"/>
        <v>3315</v>
      </c>
      <c r="AI475" s="79">
        <f t="shared" si="53"/>
        <v>3105</v>
      </c>
      <c r="AJ475" s="79">
        <f t="shared" si="54"/>
        <v>2600</v>
      </c>
    </row>
    <row r="476" ht="14" customHeight="1" spans="1:36">
      <c r="A476" s="81" t="s">
        <v>81</v>
      </c>
      <c r="B476" s="81" t="s">
        <v>1370</v>
      </c>
      <c r="C476" s="81" t="s">
        <v>1371</v>
      </c>
      <c r="D476" s="81" t="s">
        <v>213</v>
      </c>
      <c r="E476" s="81"/>
      <c r="F476" s="81"/>
      <c r="G476" s="81" t="s">
        <v>40</v>
      </c>
      <c r="H476" s="81"/>
      <c r="I476" s="56">
        <v>846</v>
      </c>
      <c r="J476" s="56">
        <v>761</v>
      </c>
      <c r="K476" s="59">
        <v>1178.18181818182</v>
      </c>
      <c r="L476" s="59">
        <v>1370</v>
      </c>
      <c r="M476" s="59" t="e">
        <v>#DIV/0!</v>
      </c>
      <c r="N476" s="64">
        <v>765</v>
      </c>
      <c r="O476" s="64">
        <v>715</v>
      </c>
      <c r="P476" s="64">
        <v>600</v>
      </c>
      <c r="Q476" s="44" t="s">
        <v>54</v>
      </c>
      <c r="R476" s="69"/>
      <c r="S476" s="44" t="s">
        <v>446</v>
      </c>
      <c r="T476" s="55" t="s">
        <v>1426</v>
      </c>
      <c r="U476" s="55">
        <v>33110100301</v>
      </c>
      <c r="V476" s="55" t="s">
        <v>1427</v>
      </c>
      <c r="W476" s="54" t="s">
        <v>43</v>
      </c>
      <c r="X476" s="93" t="s">
        <v>43</v>
      </c>
      <c r="Y476" s="93" t="s">
        <v>40</v>
      </c>
      <c r="Z476" s="94" t="s">
        <v>43</v>
      </c>
      <c r="AA476" s="75">
        <v>3495</v>
      </c>
      <c r="AB476" s="75">
        <v>3145</v>
      </c>
      <c r="AC476" s="80">
        <v>3070</v>
      </c>
      <c r="AD476" s="80">
        <v>2755</v>
      </c>
      <c r="AE476" s="80">
        <v>2340</v>
      </c>
      <c r="AF476" s="79">
        <f t="shared" si="50"/>
        <v>13</v>
      </c>
      <c r="AG476" s="79" t="str">
        <f t="shared" si="51"/>
        <v>尿路成形费（常规）</v>
      </c>
      <c r="AH476" s="79">
        <f t="shared" si="52"/>
        <v>3315</v>
      </c>
      <c r="AI476" s="79">
        <f t="shared" si="53"/>
        <v>3105</v>
      </c>
      <c r="AJ476" s="79">
        <f t="shared" si="54"/>
        <v>2600</v>
      </c>
    </row>
    <row r="477" ht="14" customHeight="1" spans="1:36">
      <c r="A477" s="81" t="s">
        <v>81</v>
      </c>
      <c r="B477" s="81" t="s">
        <v>1370</v>
      </c>
      <c r="C477" s="81" t="s">
        <v>1371</v>
      </c>
      <c r="D477" s="81" t="s">
        <v>213</v>
      </c>
      <c r="E477" s="81"/>
      <c r="F477" s="81"/>
      <c r="G477" s="81" t="s">
        <v>40</v>
      </c>
      <c r="H477" s="81"/>
      <c r="I477" s="56">
        <v>846</v>
      </c>
      <c r="J477" s="56">
        <v>761</v>
      </c>
      <c r="K477" s="59">
        <v>1178.18181818182</v>
      </c>
      <c r="L477" s="59">
        <v>1370</v>
      </c>
      <c r="M477" s="59" t="e">
        <v>#DIV/0!</v>
      </c>
      <c r="N477" s="64">
        <v>765</v>
      </c>
      <c r="O477" s="64">
        <v>715</v>
      </c>
      <c r="P477" s="64">
        <v>600</v>
      </c>
      <c r="Q477" s="44" t="s">
        <v>54</v>
      </c>
      <c r="R477" s="69"/>
      <c r="S477" s="44" t="s">
        <v>446</v>
      </c>
      <c r="T477" s="55" t="s">
        <v>1428</v>
      </c>
      <c r="U477" s="55">
        <v>33110100303</v>
      </c>
      <c r="V477" s="55" t="s">
        <v>1429</v>
      </c>
      <c r="W477" s="54" t="s">
        <v>43</v>
      </c>
      <c r="X477" s="93" t="s">
        <v>43</v>
      </c>
      <c r="Y477" s="93" t="s">
        <v>40</v>
      </c>
      <c r="Z477" s="94" t="s">
        <v>43</v>
      </c>
      <c r="AA477" s="75">
        <v>4295</v>
      </c>
      <c r="AB477" s="75">
        <v>3865</v>
      </c>
      <c r="AC477" s="80">
        <v>3695</v>
      </c>
      <c r="AD477" s="80">
        <v>3355</v>
      </c>
      <c r="AE477" s="80">
        <v>2850</v>
      </c>
      <c r="AF477" s="79">
        <f t="shared" si="50"/>
        <v>13</v>
      </c>
      <c r="AG477" s="79" t="str">
        <f t="shared" si="51"/>
        <v>尿路成形费（常规）</v>
      </c>
      <c r="AH477" s="79">
        <f t="shared" si="52"/>
        <v>3315</v>
      </c>
      <c r="AI477" s="79">
        <f t="shared" si="53"/>
        <v>3105</v>
      </c>
      <c r="AJ477" s="79">
        <f t="shared" si="54"/>
        <v>2600</v>
      </c>
    </row>
    <row r="478" ht="14" customHeight="1" spans="1:36">
      <c r="A478" s="44">
        <v>69</v>
      </c>
      <c r="B478" s="44" t="s">
        <v>1430</v>
      </c>
      <c r="C478" s="44" t="s">
        <v>1431</v>
      </c>
      <c r="D478" s="44" t="s">
        <v>213</v>
      </c>
      <c r="E478" s="44" t="s">
        <v>1432</v>
      </c>
      <c r="F478" s="44" t="s">
        <v>1304</v>
      </c>
      <c r="G478" s="44" t="s">
        <v>40</v>
      </c>
      <c r="H478" s="44" t="s">
        <v>1433</v>
      </c>
      <c r="I478" s="56">
        <v>3500</v>
      </c>
      <c r="J478" s="56">
        <v>3150</v>
      </c>
      <c r="K478" s="59">
        <v>2606.66666666667</v>
      </c>
      <c r="L478" s="59">
        <v>3800</v>
      </c>
      <c r="M478" s="59" t="e">
        <v>#DIV/0!</v>
      </c>
      <c r="N478" s="64">
        <v>3150</v>
      </c>
      <c r="O478" s="64">
        <v>2970</v>
      </c>
      <c r="P478" s="64">
        <v>2480</v>
      </c>
      <c r="Q478" s="44" t="s">
        <v>54</v>
      </c>
      <c r="R478" s="70" t="s">
        <v>67</v>
      </c>
      <c r="S478" s="44" t="s">
        <v>1434</v>
      </c>
      <c r="T478" s="43" t="s">
        <v>1435</v>
      </c>
      <c r="U478" s="71">
        <v>331102018</v>
      </c>
      <c r="V478" s="43" t="s">
        <v>1436</v>
      </c>
      <c r="W478" s="43" t="s">
        <v>43</v>
      </c>
      <c r="X478" s="71" t="s">
        <v>43</v>
      </c>
      <c r="Y478" s="71" t="s">
        <v>40</v>
      </c>
      <c r="Z478" s="48" t="s">
        <v>43</v>
      </c>
      <c r="AA478" s="75">
        <v>2500</v>
      </c>
      <c r="AB478" s="75">
        <v>2240</v>
      </c>
      <c r="AC478" s="80">
        <v>2190</v>
      </c>
      <c r="AD478" s="80">
        <v>1970</v>
      </c>
      <c r="AE478" s="80">
        <v>1670</v>
      </c>
      <c r="AF478" s="79">
        <f t="shared" si="50"/>
        <v>0</v>
      </c>
      <c r="AG478" s="79" t="str">
        <f t="shared" si="51"/>
        <v>尿路成形费（复杂）</v>
      </c>
      <c r="AH478" s="79">
        <f t="shared" si="52"/>
        <v>3150</v>
      </c>
      <c r="AI478" s="79">
        <f t="shared" si="53"/>
        <v>2970</v>
      </c>
      <c r="AJ478" s="79">
        <f t="shared" si="54"/>
        <v>2480</v>
      </c>
    </row>
    <row r="479" ht="14" customHeight="1" spans="1:36">
      <c r="A479" s="44">
        <v>69</v>
      </c>
      <c r="B479" s="44" t="s">
        <v>1430</v>
      </c>
      <c r="C479" s="44" t="s">
        <v>1431</v>
      </c>
      <c r="D479" s="44" t="s">
        <v>213</v>
      </c>
      <c r="E479" s="44" t="s">
        <v>1432</v>
      </c>
      <c r="F479" s="44" t="s">
        <v>1304</v>
      </c>
      <c r="G479" s="44" t="s">
        <v>40</v>
      </c>
      <c r="H479" s="44" t="s">
        <v>1433</v>
      </c>
      <c r="I479" s="56">
        <v>3500</v>
      </c>
      <c r="J479" s="56">
        <v>3150</v>
      </c>
      <c r="K479" s="59">
        <v>2606.66666666667</v>
      </c>
      <c r="L479" s="59">
        <v>3800</v>
      </c>
      <c r="M479" s="59" t="e">
        <v>#DIV/0!</v>
      </c>
      <c r="N479" s="64">
        <v>3150</v>
      </c>
      <c r="O479" s="64">
        <v>2970</v>
      </c>
      <c r="P479" s="64">
        <v>2480</v>
      </c>
      <c r="Q479" s="44" t="s">
        <v>54</v>
      </c>
      <c r="R479" s="70" t="s">
        <v>67</v>
      </c>
      <c r="S479" s="44" t="s">
        <v>1434</v>
      </c>
      <c r="T479" s="43" t="s">
        <v>1437</v>
      </c>
      <c r="U479" s="71">
        <v>33110201802</v>
      </c>
      <c r="V479" s="43" t="s">
        <v>1438</v>
      </c>
      <c r="W479" s="43" t="s">
        <v>43</v>
      </c>
      <c r="X479" s="71" t="s">
        <v>43</v>
      </c>
      <c r="Y479" s="71" t="s">
        <v>40</v>
      </c>
      <c r="Z479" s="48" t="s">
        <v>43</v>
      </c>
      <c r="AA479" s="75">
        <v>3300</v>
      </c>
      <c r="AB479" s="75">
        <v>2960</v>
      </c>
      <c r="AC479" s="80">
        <v>2815</v>
      </c>
      <c r="AD479" s="80">
        <v>2570</v>
      </c>
      <c r="AE479" s="80">
        <v>2180</v>
      </c>
      <c r="AF479" s="79">
        <f t="shared" si="50"/>
        <v>0</v>
      </c>
      <c r="AG479" s="79" t="str">
        <f t="shared" si="51"/>
        <v>尿路成形费（复杂）</v>
      </c>
      <c r="AH479" s="79">
        <f t="shared" si="52"/>
        <v>3150</v>
      </c>
      <c r="AI479" s="79">
        <f t="shared" si="53"/>
        <v>2970</v>
      </c>
      <c r="AJ479" s="79">
        <f t="shared" si="54"/>
        <v>2480</v>
      </c>
    </row>
    <row r="480" ht="14" customHeight="1" spans="1:36">
      <c r="A480" s="44">
        <v>69</v>
      </c>
      <c r="B480" s="44" t="s">
        <v>1430</v>
      </c>
      <c r="C480" s="44" t="s">
        <v>1431</v>
      </c>
      <c r="D480" s="44" t="s">
        <v>213</v>
      </c>
      <c r="E480" s="44" t="s">
        <v>1432</v>
      </c>
      <c r="F480" s="44" t="s">
        <v>1304</v>
      </c>
      <c r="G480" s="44" t="s">
        <v>40</v>
      </c>
      <c r="H480" s="44" t="s">
        <v>1433</v>
      </c>
      <c r="I480" s="56">
        <v>3500</v>
      </c>
      <c r="J480" s="56">
        <v>3150</v>
      </c>
      <c r="K480" s="59">
        <v>2606.66666666667</v>
      </c>
      <c r="L480" s="59">
        <v>3800</v>
      </c>
      <c r="M480" s="59" t="e">
        <v>#DIV/0!</v>
      </c>
      <c r="N480" s="64">
        <v>3150</v>
      </c>
      <c r="O480" s="64">
        <v>2970</v>
      </c>
      <c r="P480" s="64">
        <v>2480</v>
      </c>
      <c r="Q480" s="44" t="s">
        <v>54</v>
      </c>
      <c r="R480" s="70" t="s">
        <v>67</v>
      </c>
      <c r="S480" s="44" t="s">
        <v>1434</v>
      </c>
      <c r="T480" s="43" t="s">
        <v>1439</v>
      </c>
      <c r="U480" s="71">
        <v>331102019</v>
      </c>
      <c r="V480" s="43" t="s">
        <v>1440</v>
      </c>
      <c r="W480" s="43" t="s">
        <v>43</v>
      </c>
      <c r="X480" s="71" t="s">
        <v>43</v>
      </c>
      <c r="Y480" s="71" t="s">
        <v>40</v>
      </c>
      <c r="Z480" s="48" t="s">
        <v>43</v>
      </c>
      <c r="AA480" s="75">
        <v>2500</v>
      </c>
      <c r="AB480" s="75">
        <v>2240</v>
      </c>
      <c r="AC480" s="80">
        <v>2190</v>
      </c>
      <c r="AD480" s="80">
        <v>1970</v>
      </c>
      <c r="AE480" s="80">
        <v>1670</v>
      </c>
      <c r="AF480" s="79">
        <f t="shared" si="50"/>
        <v>0</v>
      </c>
      <c r="AG480" s="79" t="str">
        <f t="shared" si="51"/>
        <v>尿路成形费（复杂）</v>
      </c>
      <c r="AH480" s="79">
        <f t="shared" si="52"/>
        <v>3150</v>
      </c>
      <c r="AI480" s="79">
        <f t="shared" si="53"/>
        <v>2970</v>
      </c>
      <c r="AJ480" s="79">
        <f t="shared" si="54"/>
        <v>2480</v>
      </c>
    </row>
    <row r="481" ht="14" customHeight="1" spans="1:36">
      <c r="A481" s="44">
        <v>69</v>
      </c>
      <c r="B481" s="44" t="s">
        <v>1430</v>
      </c>
      <c r="C481" s="44" t="s">
        <v>1431</v>
      </c>
      <c r="D481" s="44" t="s">
        <v>213</v>
      </c>
      <c r="E481" s="44" t="s">
        <v>1432</v>
      </c>
      <c r="F481" s="44" t="s">
        <v>1304</v>
      </c>
      <c r="G481" s="44" t="s">
        <v>40</v>
      </c>
      <c r="H481" s="44" t="s">
        <v>1433</v>
      </c>
      <c r="I481" s="56">
        <v>3500</v>
      </c>
      <c r="J481" s="56">
        <v>3150</v>
      </c>
      <c r="K481" s="59">
        <v>2606.66666666667</v>
      </c>
      <c r="L481" s="59">
        <v>3800</v>
      </c>
      <c r="M481" s="59" t="e">
        <v>#DIV/0!</v>
      </c>
      <c r="N481" s="64">
        <v>3150</v>
      </c>
      <c r="O481" s="64">
        <v>2970</v>
      </c>
      <c r="P481" s="64">
        <v>2480</v>
      </c>
      <c r="Q481" s="44" t="s">
        <v>54</v>
      </c>
      <c r="R481" s="70" t="s">
        <v>67</v>
      </c>
      <c r="S481" s="44" t="s">
        <v>1434</v>
      </c>
      <c r="T481" s="43" t="s">
        <v>1441</v>
      </c>
      <c r="U481" s="71">
        <v>33110201902</v>
      </c>
      <c r="V481" s="43" t="s">
        <v>1442</v>
      </c>
      <c r="W481" s="43" t="s">
        <v>43</v>
      </c>
      <c r="X481" s="71" t="s">
        <v>43</v>
      </c>
      <c r="Y481" s="71" t="s">
        <v>40</v>
      </c>
      <c r="Z481" s="48" t="s">
        <v>43</v>
      </c>
      <c r="AA481" s="75">
        <v>3300</v>
      </c>
      <c r="AB481" s="75">
        <v>2960</v>
      </c>
      <c r="AC481" s="80">
        <v>2815</v>
      </c>
      <c r="AD481" s="80">
        <v>2570</v>
      </c>
      <c r="AE481" s="80">
        <v>2180</v>
      </c>
      <c r="AF481" s="79">
        <f t="shared" si="50"/>
        <v>0</v>
      </c>
      <c r="AG481" s="79" t="str">
        <f t="shared" si="51"/>
        <v>尿路成形费（复杂）</v>
      </c>
      <c r="AH481" s="79">
        <f t="shared" si="52"/>
        <v>3150</v>
      </c>
      <c r="AI481" s="79">
        <f t="shared" si="53"/>
        <v>2970</v>
      </c>
      <c r="AJ481" s="79">
        <f t="shared" si="54"/>
        <v>2480</v>
      </c>
    </row>
    <row r="482" ht="14" customHeight="1" spans="1:36">
      <c r="A482" s="44">
        <v>69</v>
      </c>
      <c r="B482" s="44" t="s">
        <v>1430</v>
      </c>
      <c r="C482" s="44" t="s">
        <v>1431</v>
      </c>
      <c r="D482" s="44" t="s">
        <v>213</v>
      </c>
      <c r="E482" s="44" t="s">
        <v>1432</v>
      </c>
      <c r="F482" s="44" t="s">
        <v>1304</v>
      </c>
      <c r="G482" s="44" t="s">
        <v>40</v>
      </c>
      <c r="H482" s="44" t="s">
        <v>1433</v>
      </c>
      <c r="I482" s="56">
        <v>3500</v>
      </c>
      <c r="J482" s="56">
        <v>3150</v>
      </c>
      <c r="K482" s="59">
        <v>2606.66666666667</v>
      </c>
      <c r="L482" s="59">
        <v>3800</v>
      </c>
      <c r="M482" s="59" t="e">
        <v>#DIV/0!</v>
      </c>
      <c r="N482" s="64">
        <v>3150</v>
      </c>
      <c r="O482" s="64">
        <v>2970</v>
      </c>
      <c r="P482" s="64">
        <v>2480</v>
      </c>
      <c r="Q482" s="44" t="s">
        <v>54</v>
      </c>
      <c r="R482" s="70" t="s">
        <v>67</v>
      </c>
      <c r="S482" s="44" t="s">
        <v>1434</v>
      </c>
      <c r="T482" s="54" t="s">
        <v>1362</v>
      </c>
      <c r="U482" s="93">
        <v>331101002</v>
      </c>
      <c r="V482" s="54" t="s">
        <v>1363</v>
      </c>
      <c r="W482" s="54" t="s">
        <v>43</v>
      </c>
      <c r="X482" s="93" t="s">
        <v>43</v>
      </c>
      <c r="Y482" s="93" t="s">
        <v>40</v>
      </c>
      <c r="Z482" s="94" t="s">
        <v>43</v>
      </c>
      <c r="AA482" s="75">
        <v>2300</v>
      </c>
      <c r="AB482" s="75">
        <v>2080</v>
      </c>
      <c r="AC482" s="80">
        <v>2030</v>
      </c>
      <c r="AD482" s="80">
        <v>1830</v>
      </c>
      <c r="AE482" s="80">
        <v>1560</v>
      </c>
      <c r="AF482" s="79">
        <f t="shared" si="50"/>
        <v>0</v>
      </c>
      <c r="AG482" s="79" t="str">
        <f t="shared" si="51"/>
        <v>尿路成形费（复杂）</v>
      </c>
      <c r="AH482" s="79">
        <f t="shared" si="52"/>
        <v>3150</v>
      </c>
      <c r="AI482" s="79">
        <f t="shared" si="53"/>
        <v>2970</v>
      </c>
      <c r="AJ482" s="79">
        <f t="shared" si="54"/>
        <v>2480</v>
      </c>
    </row>
    <row r="483" ht="14" customHeight="1" spans="1:36">
      <c r="A483" s="44">
        <v>69</v>
      </c>
      <c r="B483" s="44" t="s">
        <v>1430</v>
      </c>
      <c r="C483" s="44" t="s">
        <v>1431</v>
      </c>
      <c r="D483" s="44" t="s">
        <v>213</v>
      </c>
      <c r="E483" s="44" t="s">
        <v>1432</v>
      </c>
      <c r="F483" s="44" t="s">
        <v>1304</v>
      </c>
      <c r="G483" s="44" t="s">
        <v>40</v>
      </c>
      <c r="H483" s="44" t="s">
        <v>1433</v>
      </c>
      <c r="I483" s="56">
        <v>3500</v>
      </c>
      <c r="J483" s="56">
        <v>3150</v>
      </c>
      <c r="K483" s="59">
        <v>2606.66666666667</v>
      </c>
      <c r="L483" s="59">
        <v>3800</v>
      </c>
      <c r="M483" s="59" t="e">
        <v>#DIV/0!</v>
      </c>
      <c r="N483" s="64">
        <v>3150</v>
      </c>
      <c r="O483" s="64">
        <v>2970</v>
      </c>
      <c r="P483" s="64">
        <v>2480</v>
      </c>
      <c r="Q483" s="44" t="s">
        <v>54</v>
      </c>
      <c r="R483" s="70" t="s">
        <v>67</v>
      </c>
      <c r="S483" s="44" t="s">
        <v>1434</v>
      </c>
      <c r="T483" s="54" t="s">
        <v>1364</v>
      </c>
      <c r="U483" s="93">
        <v>33110100202</v>
      </c>
      <c r="V483" s="54" t="s">
        <v>1365</v>
      </c>
      <c r="W483" s="54" t="s">
        <v>43</v>
      </c>
      <c r="X483" s="93" t="s">
        <v>43</v>
      </c>
      <c r="Y483" s="93" t="s">
        <v>40</v>
      </c>
      <c r="Z483" s="94" t="s">
        <v>43</v>
      </c>
      <c r="AA483" s="75">
        <v>3100</v>
      </c>
      <c r="AB483" s="75">
        <v>2800</v>
      </c>
      <c r="AC483" s="80">
        <v>2655</v>
      </c>
      <c r="AD483" s="80">
        <v>2430</v>
      </c>
      <c r="AE483" s="80">
        <v>2070</v>
      </c>
      <c r="AF483" s="79">
        <f t="shared" si="50"/>
        <v>0</v>
      </c>
      <c r="AG483" s="79" t="str">
        <f t="shared" si="51"/>
        <v>尿路成形费（复杂）</v>
      </c>
      <c r="AH483" s="79">
        <f t="shared" si="52"/>
        <v>3150</v>
      </c>
      <c r="AI483" s="79">
        <f t="shared" si="53"/>
        <v>2970</v>
      </c>
      <c r="AJ483" s="79">
        <f t="shared" si="54"/>
        <v>2480</v>
      </c>
    </row>
    <row r="484" ht="14" customHeight="1" spans="1:36">
      <c r="A484" s="44">
        <v>69</v>
      </c>
      <c r="B484" s="44" t="s">
        <v>1430</v>
      </c>
      <c r="C484" s="44" t="s">
        <v>1431</v>
      </c>
      <c r="D484" s="44" t="s">
        <v>213</v>
      </c>
      <c r="E484" s="44" t="s">
        <v>1432</v>
      </c>
      <c r="F484" s="44" t="s">
        <v>1304</v>
      </c>
      <c r="G484" s="44" t="s">
        <v>40</v>
      </c>
      <c r="H484" s="44" t="s">
        <v>1433</v>
      </c>
      <c r="I484" s="56">
        <v>3500</v>
      </c>
      <c r="J484" s="56">
        <v>3150</v>
      </c>
      <c r="K484" s="59">
        <v>2606.66666666667</v>
      </c>
      <c r="L484" s="59">
        <v>3800</v>
      </c>
      <c r="M484" s="59" t="e">
        <v>#DIV/0!</v>
      </c>
      <c r="N484" s="64">
        <v>3150</v>
      </c>
      <c r="O484" s="64">
        <v>2970</v>
      </c>
      <c r="P484" s="64">
        <v>2480</v>
      </c>
      <c r="Q484" s="44" t="s">
        <v>54</v>
      </c>
      <c r="R484" s="70" t="s">
        <v>67</v>
      </c>
      <c r="S484" s="44" t="s">
        <v>1434</v>
      </c>
      <c r="T484" s="54" t="s">
        <v>1366</v>
      </c>
      <c r="U484" s="93">
        <v>331101003</v>
      </c>
      <c r="V484" s="54" t="s">
        <v>1367</v>
      </c>
      <c r="W484" s="54" t="s">
        <v>43</v>
      </c>
      <c r="X484" s="93" t="s">
        <v>43</v>
      </c>
      <c r="Y484" s="93" t="s">
        <v>40</v>
      </c>
      <c r="Z484" s="94" t="s">
        <v>43</v>
      </c>
      <c r="AA484" s="75">
        <v>2690</v>
      </c>
      <c r="AB484" s="75">
        <v>2420</v>
      </c>
      <c r="AC484" s="80">
        <v>2360</v>
      </c>
      <c r="AD484" s="80">
        <v>2120</v>
      </c>
      <c r="AE484" s="80">
        <v>1800</v>
      </c>
      <c r="AF484" s="79">
        <f t="shared" si="50"/>
        <v>0</v>
      </c>
      <c r="AG484" s="79" t="str">
        <f t="shared" si="51"/>
        <v>尿路成形费（复杂）</v>
      </c>
      <c r="AH484" s="79">
        <f t="shared" si="52"/>
        <v>3150</v>
      </c>
      <c r="AI484" s="79">
        <f t="shared" si="53"/>
        <v>2970</v>
      </c>
      <c r="AJ484" s="79">
        <f t="shared" si="54"/>
        <v>2480</v>
      </c>
    </row>
    <row r="485" ht="14" customHeight="1" spans="1:36">
      <c r="A485" s="44">
        <v>69</v>
      </c>
      <c r="B485" s="44" t="s">
        <v>1430</v>
      </c>
      <c r="C485" s="44" t="s">
        <v>1431</v>
      </c>
      <c r="D485" s="44" t="s">
        <v>213</v>
      </c>
      <c r="E485" s="44" t="s">
        <v>1432</v>
      </c>
      <c r="F485" s="44" t="s">
        <v>1304</v>
      </c>
      <c r="G485" s="44" t="s">
        <v>40</v>
      </c>
      <c r="H485" s="44" t="s">
        <v>1433</v>
      </c>
      <c r="I485" s="56">
        <v>3500</v>
      </c>
      <c r="J485" s="56">
        <v>3150</v>
      </c>
      <c r="K485" s="59">
        <v>2606.66666666667</v>
      </c>
      <c r="L485" s="59">
        <v>3800</v>
      </c>
      <c r="M485" s="59" t="e">
        <v>#DIV/0!</v>
      </c>
      <c r="N485" s="64">
        <v>3150</v>
      </c>
      <c r="O485" s="64">
        <v>2970</v>
      </c>
      <c r="P485" s="64">
        <v>2480</v>
      </c>
      <c r="Q485" s="44" t="s">
        <v>54</v>
      </c>
      <c r="R485" s="70" t="s">
        <v>67</v>
      </c>
      <c r="S485" s="44" t="s">
        <v>1434</v>
      </c>
      <c r="T485" s="54" t="s">
        <v>1368</v>
      </c>
      <c r="U485" s="93">
        <v>33110100302</v>
      </c>
      <c r="V485" s="54" t="s">
        <v>1369</v>
      </c>
      <c r="W485" s="54" t="s">
        <v>43</v>
      </c>
      <c r="X485" s="93" t="s">
        <v>43</v>
      </c>
      <c r="Y485" s="93" t="s">
        <v>40</v>
      </c>
      <c r="Z485" s="94" t="s">
        <v>43</v>
      </c>
      <c r="AA485" s="75">
        <v>3490</v>
      </c>
      <c r="AB485" s="75">
        <v>3140</v>
      </c>
      <c r="AC485" s="80">
        <v>2985</v>
      </c>
      <c r="AD485" s="80">
        <v>2720</v>
      </c>
      <c r="AE485" s="80">
        <v>2310</v>
      </c>
      <c r="AF485" s="79">
        <f t="shared" si="50"/>
        <v>0</v>
      </c>
      <c r="AG485" s="79" t="str">
        <f t="shared" si="51"/>
        <v>尿路成形费（复杂）</v>
      </c>
      <c r="AH485" s="79">
        <f t="shared" si="52"/>
        <v>3150</v>
      </c>
      <c r="AI485" s="79">
        <f t="shared" si="53"/>
        <v>2970</v>
      </c>
      <c r="AJ485" s="79">
        <f t="shared" si="54"/>
        <v>2480</v>
      </c>
    </row>
    <row r="486" ht="14" customHeight="1" spans="1:36">
      <c r="A486" s="81" t="s">
        <v>81</v>
      </c>
      <c r="B486" s="81" t="s">
        <v>1443</v>
      </c>
      <c r="C486" s="81" t="s">
        <v>1444</v>
      </c>
      <c r="D486" s="81" t="s">
        <v>213</v>
      </c>
      <c r="E486" s="81"/>
      <c r="F486" s="81"/>
      <c r="G486" s="81" t="s">
        <v>40</v>
      </c>
      <c r="H486" s="81"/>
      <c r="I486" s="56">
        <v>1050</v>
      </c>
      <c r="J486" s="56">
        <v>945</v>
      </c>
      <c r="K486" s="54"/>
      <c r="L486" s="54"/>
      <c r="M486" s="54"/>
      <c r="N486" s="64">
        <v>945</v>
      </c>
      <c r="O486" s="64">
        <v>890</v>
      </c>
      <c r="P486" s="64">
        <v>745</v>
      </c>
      <c r="Q486" s="44" t="s">
        <v>54</v>
      </c>
      <c r="R486" s="69"/>
      <c r="S486" s="44" t="s">
        <v>446</v>
      </c>
      <c r="T486" s="45" t="s">
        <v>1445</v>
      </c>
      <c r="U486" s="45">
        <v>33110201801</v>
      </c>
      <c r="V486" s="45" t="s">
        <v>1446</v>
      </c>
      <c r="W486" s="43" t="s">
        <v>43</v>
      </c>
      <c r="X486" s="71" t="s">
        <v>43</v>
      </c>
      <c r="Y486" s="71" t="s">
        <v>40</v>
      </c>
      <c r="Z486" s="48" t="s">
        <v>43</v>
      </c>
      <c r="AA486" s="75">
        <v>3250</v>
      </c>
      <c r="AB486" s="75">
        <v>2910</v>
      </c>
      <c r="AC486" s="80">
        <v>2845</v>
      </c>
      <c r="AD486" s="80">
        <v>2560</v>
      </c>
      <c r="AE486" s="80">
        <v>2175</v>
      </c>
      <c r="AF486" s="79">
        <f t="shared" si="50"/>
        <v>13</v>
      </c>
      <c r="AG486" s="79" t="str">
        <f t="shared" si="51"/>
        <v>尿路成形费（复杂）</v>
      </c>
      <c r="AH486" s="79">
        <f t="shared" si="52"/>
        <v>4095</v>
      </c>
      <c r="AI486" s="79">
        <f t="shared" si="53"/>
        <v>3860</v>
      </c>
      <c r="AJ486" s="79">
        <f t="shared" si="54"/>
        <v>3225</v>
      </c>
    </row>
    <row r="487" ht="14" customHeight="1" spans="1:36">
      <c r="A487" s="81" t="s">
        <v>81</v>
      </c>
      <c r="B487" s="81" t="s">
        <v>1443</v>
      </c>
      <c r="C487" s="81" t="s">
        <v>1444</v>
      </c>
      <c r="D487" s="81" t="s">
        <v>213</v>
      </c>
      <c r="E487" s="81"/>
      <c r="F487" s="81"/>
      <c r="G487" s="81" t="s">
        <v>40</v>
      </c>
      <c r="H487" s="81"/>
      <c r="I487" s="56">
        <v>1050</v>
      </c>
      <c r="J487" s="56">
        <v>945</v>
      </c>
      <c r="K487" s="54"/>
      <c r="L487" s="54"/>
      <c r="M487" s="54"/>
      <c r="N487" s="64">
        <v>945</v>
      </c>
      <c r="O487" s="64">
        <v>890</v>
      </c>
      <c r="P487" s="64">
        <v>745</v>
      </c>
      <c r="Q487" s="44" t="s">
        <v>54</v>
      </c>
      <c r="R487" s="69"/>
      <c r="S487" s="44" t="s">
        <v>446</v>
      </c>
      <c r="T487" s="45" t="s">
        <v>1447</v>
      </c>
      <c r="U487" s="45">
        <v>33110201803</v>
      </c>
      <c r="V487" s="45" t="s">
        <v>1448</v>
      </c>
      <c r="W487" s="43" t="s">
        <v>43</v>
      </c>
      <c r="X487" s="71" t="s">
        <v>43</v>
      </c>
      <c r="Y487" s="71" t="s">
        <v>40</v>
      </c>
      <c r="Z487" s="48" t="s">
        <v>43</v>
      </c>
      <c r="AA487" s="75">
        <v>4050</v>
      </c>
      <c r="AB487" s="75">
        <v>3630</v>
      </c>
      <c r="AC487" s="80">
        <v>3470</v>
      </c>
      <c r="AD487" s="80">
        <v>3160</v>
      </c>
      <c r="AE487" s="80">
        <v>2685</v>
      </c>
      <c r="AF487" s="79">
        <f t="shared" si="50"/>
        <v>13</v>
      </c>
      <c r="AG487" s="79" t="str">
        <f t="shared" si="51"/>
        <v>尿路成形费（复杂）</v>
      </c>
      <c r="AH487" s="79">
        <f t="shared" si="52"/>
        <v>4095</v>
      </c>
      <c r="AI487" s="79">
        <f t="shared" si="53"/>
        <v>3860</v>
      </c>
      <c r="AJ487" s="79">
        <f t="shared" si="54"/>
        <v>3225</v>
      </c>
    </row>
    <row r="488" ht="14" customHeight="1" spans="1:36">
      <c r="A488" s="81" t="s">
        <v>81</v>
      </c>
      <c r="B488" s="81" t="s">
        <v>1443</v>
      </c>
      <c r="C488" s="81" t="s">
        <v>1444</v>
      </c>
      <c r="D488" s="81" t="s">
        <v>213</v>
      </c>
      <c r="E488" s="81"/>
      <c r="F488" s="81"/>
      <c r="G488" s="81" t="s">
        <v>40</v>
      </c>
      <c r="H488" s="81"/>
      <c r="I488" s="56">
        <v>1050</v>
      </c>
      <c r="J488" s="56">
        <v>945</v>
      </c>
      <c r="K488" s="54"/>
      <c r="L488" s="54"/>
      <c r="M488" s="54"/>
      <c r="N488" s="64">
        <v>945</v>
      </c>
      <c r="O488" s="64">
        <v>890</v>
      </c>
      <c r="P488" s="64">
        <v>745</v>
      </c>
      <c r="Q488" s="44" t="s">
        <v>54</v>
      </c>
      <c r="R488" s="69"/>
      <c r="S488" s="44" t="s">
        <v>446</v>
      </c>
      <c r="T488" s="45" t="s">
        <v>1449</v>
      </c>
      <c r="U488" s="45">
        <v>33110201901</v>
      </c>
      <c r="V488" s="45" t="s">
        <v>1450</v>
      </c>
      <c r="W488" s="43" t="s">
        <v>43</v>
      </c>
      <c r="X488" s="71" t="s">
        <v>43</v>
      </c>
      <c r="Y488" s="71" t="s">
        <v>40</v>
      </c>
      <c r="Z488" s="48" t="s">
        <v>43</v>
      </c>
      <c r="AA488" s="75">
        <v>3250</v>
      </c>
      <c r="AB488" s="75">
        <v>2910</v>
      </c>
      <c r="AC488" s="80">
        <v>2845</v>
      </c>
      <c r="AD488" s="80">
        <v>2560</v>
      </c>
      <c r="AE488" s="80">
        <v>2175</v>
      </c>
      <c r="AF488" s="79">
        <f t="shared" si="50"/>
        <v>13</v>
      </c>
      <c r="AG488" s="79" t="str">
        <f t="shared" si="51"/>
        <v>尿路成形费（复杂）</v>
      </c>
      <c r="AH488" s="79">
        <f t="shared" si="52"/>
        <v>4095</v>
      </c>
      <c r="AI488" s="79">
        <f t="shared" si="53"/>
        <v>3860</v>
      </c>
      <c r="AJ488" s="79">
        <f t="shared" si="54"/>
        <v>3225</v>
      </c>
    </row>
    <row r="489" ht="14" customHeight="1" spans="1:36">
      <c r="A489" s="81" t="s">
        <v>81</v>
      </c>
      <c r="B489" s="81" t="s">
        <v>1443</v>
      </c>
      <c r="C489" s="81" t="s">
        <v>1444</v>
      </c>
      <c r="D489" s="81" t="s">
        <v>213</v>
      </c>
      <c r="E489" s="81"/>
      <c r="F489" s="81"/>
      <c r="G489" s="81" t="s">
        <v>40</v>
      </c>
      <c r="H489" s="81"/>
      <c r="I489" s="56">
        <v>1050</v>
      </c>
      <c r="J489" s="56">
        <v>945</v>
      </c>
      <c r="K489" s="54"/>
      <c r="L489" s="54"/>
      <c r="M489" s="54"/>
      <c r="N489" s="64">
        <v>945</v>
      </c>
      <c r="O489" s="64">
        <v>890</v>
      </c>
      <c r="P489" s="64">
        <v>745</v>
      </c>
      <c r="Q489" s="44" t="s">
        <v>54</v>
      </c>
      <c r="R489" s="69"/>
      <c r="S489" s="44" t="s">
        <v>446</v>
      </c>
      <c r="T489" s="45" t="s">
        <v>1451</v>
      </c>
      <c r="U489" s="45">
        <v>33110201903</v>
      </c>
      <c r="V489" s="45" t="s">
        <v>1452</v>
      </c>
      <c r="W489" s="43" t="s">
        <v>43</v>
      </c>
      <c r="X489" s="71" t="s">
        <v>43</v>
      </c>
      <c r="Y489" s="71" t="s">
        <v>40</v>
      </c>
      <c r="Z489" s="48" t="s">
        <v>43</v>
      </c>
      <c r="AA489" s="75">
        <v>4050</v>
      </c>
      <c r="AB489" s="75">
        <v>3630</v>
      </c>
      <c r="AC489" s="80">
        <v>3470</v>
      </c>
      <c r="AD489" s="80">
        <v>3160</v>
      </c>
      <c r="AE489" s="80">
        <v>2685</v>
      </c>
      <c r="AF489" s="79">
        <f t="shared" si="50"/>
        <v>13</v>
      </c>
      <c r="AG489" s="79" t="str">
        <f t="shared" si="51"/>
        <v>尿路成形费（复杂）</v>
      </c>
      <c r="AH489" s="79">
        <f t="shared" si="52"/>
        <v>4095</v>
      </c>
      <c r="AI489" s="79">
        <f t="shared" si="53"/>
        <v>3860</v>
      </c>
      <c r="AJ489" s="79">
        <f t="shared" si="54"/>
        <v>3225</v>
      </c>
    </row>
    <row r="490" ht="14" customHeight="1" spans="1:36">
      <c r="A490" s="81" t="s">
        <v>81</v>
      </c>
      <c r="B490" s="81" t="s">
        <v>1443</v>
      </c>
      <c r="C490" s="81" t="s">
        <v>1444</v>
      </c>
      <c r="D490" s="81" t="s">
        <v>213</v>
      </c>
      <c r="E490" s="81"/>
      <c r="F490" s="81"/>
      <c r="G490" s="81" t="s">
        <v>40</v>
      </c>
      <c r="H490" s="81"/>
      <c r="I490" s="56">
        <v>1050</v>
      </c>
      <c r="J490" s="56">
        <v>945</v>
      </c>
      <c r="K490" s="54"/>
      <c r="L490" s="54"/>
      <c r="M490" s="54"/>
      <c r="N490" s="64">
        <v>945</v>
      </c>
      <c r="O490" s="64">
        <v>890</v>
      </c>
      <c r="P490" s="64">
        <v>745</v>
      </c>
      <c r="Q490" s="44" t="s">
        <v>54</v>
      </c>
      <c r="R490" s="69"/>
      <c r="S490" s="44" t="s">
        <v>446</v>
      </c>
      <c r="T490" s="55" t="s">
        <v>1422</v>
      </c>
      <c r="U490" s="55">
        <v>33110100201</v>
      </c>
      <c r="V490" s="55" t="s">
        <v>1423</v>
      </c>
      <c r="W490" s="54" t="s">
        <v>43</v>
      </c>
      <c r="X490" s="93" t="s">
        <v>43</v>
      </c>
      <c r="Y490" s="93" t="s">
        <v>40</v>
      </c>
      <c r="Z490" s="94" t="s">
        <v>43</v>
      </c>
      <c r="AA490" s="75">
        <v>2990</v>
      </c>
      <c r="AB490" s="75">
        <v>2705</v>
      </c>
      <c r="AC490" s="80">
        <v>2640</v>
      </c>
      <c r="AD490" s="80">
        <v>2380</v>
      </c>
      <c r="AE490" s="80">
        <v>2025</v>
      </c>
      <c r="AF490" s="79">
        <f t="shared" si="50"/>
        <v>13</v>
      </c>
      <c r="AG490" s="79" t="str">
        <f t="shared" si="51"/>
        <v>尿路成形费（复杂）</v>
      </c>
      <c r="AH490" s="79">
        <f t="shared" si="52"/>
        <v>4095</v>
      </c>
      <c r="AI490" s="79">
        <f t="shared" si="53"/>
        <v>3860</v>
      </c>
      <c r="AJ490" s="79">
        <f t="shared" si="54"/>
        <v>3225</v>
      </c>
    </row>
    <row r="491" ht="14" customHeight="1" spans="1:36">
      <c r="A491" s="81" t="s">
        <v>81</v>
      </c>
      <c r="B491" s="81" t="s">
        <v>1443</v>
      </c>
      <c r="C491" s="81" t="s">
        <v>1444</v>
      </c>
      <c r="D491" s="81" t="s">
        <v>213</v>
      </c>
      <c r="E491" s="81"/>
      <c r="F491" s="81"/>
      <c r="G491" s="81" t="s">
        <v>40</v>
      </c>
      <c r="H491" s="81"/>
      <c r="I491" s="56">
        <v>1050</v>
      </c>
      <c r="J491" s="56">
        <v>945</v>
      </c>
      <c r="K491" s="54"/>
      <c r="L491" s="54"/>
      <c r="M491" s="54"/>
      <c r="N491" s="64">
        <v>945</v>
      </c>
      <c r="O491" s="64">
        <v>890</v>
      </c>
      <c r="P491" s="64">
        <v>745</v>
      </c>
      <c r="Q491" s="44" t="s">
        <v>54</v>
      </c>
      <c r="R491" s="69"/>
      <c r="S491" s="44" t="s">
        <v>446</v>
      </c>
      <c r="T491" s="55" t="s">
        <v>1424</v>
      </c>
      <c r="U491" s="55">
        <v>33110100203</v>
      </c>
      <c r="V491" s="55" t="s">
        <v>1425</v>
      </c>
      <c r="W491" s="54" t="s">
        <v>43</v>
      </c>
      <c r="X491" s="93" t="s">
        <v>43</v>
      </c>
      <c r="Y491" s="93" t="s">
        <v>40</v>
      </c>
      <c r="Z491" s="94" t="s">
        <v>43</v>
      </c>
      <c r="AA491" s="75">
        <v>3790</v>
      </c>
      <c r="AB491" s="75">
        <v>3425</v>
      </c>
      <c r="AC491" s="80">
        <v>3265</v>
      </c>
      <c r="AD491" s="80">
        <v>2980</v>
      </c>
      <c r="AE491" s="80">
        <v>2535</v>
      </c>
      <c r="AF491" s="79">
        <f t="shared" si="50"/>
        <v>13</v>
      </c>
      <c r="AG491" s="79" t="str">
        <f t="shared" si="51"/>
        <v>尿路成形费（复杂）</v>
      </c>
      <c r="AH491" s="79">
        <f t="shared" si="52"/>
        <v>4095</v>
      </c>
      <c r="AI491" s="79">
        <f t="shared" si="53"/>
        <v>3860</v>
      </c>
      <c r="AJ491" s="79">
        <f t="shared" si="54"/>
        <v>3225</v>
      </c>
    </row>
    <row r="492" ht="14" customHeight="1" spans="1:36">
      <c r="A492" s="81" t="s">
        <v>81</v>
      </c>
      <c r="B492" s="81" t="s">
        <v>1443</v>
      </c>
      <c r="C492" s="81" t="s">
        <v>1444</v>
      </c>
      <c r="D492" s="81" t="s">
        <v>213</v>
      </c>
      <c r="E492" s="81"/>
      <c r="F492" s="81"/>
      <c r="G492" s="81" t="s">
        <v>40</v>
      </c>
      <c r="H492" s="81"/>
      <c r="I492" s="56">
        <v>1050</v>
      </c>
      <c r="J492" s="56">
        <v>945</v>
      </c>
      <c r="K492" s="54"/>
      <c r="L492" s="54"/>
      <c r="M492" s="54"/>
      <c r="N492" s="64">
        <v>945</v>
      </c>
      <c r="O492" s="64">
        <v>890</v>
      </c>
      <c r="P492" s="64">
        <v>745</v>
      </c>
      <c r="Q492" s="44" t="s">
        <v>54</v>
      </c>
      <c r="R492" s="69"/>
      <c r="S492" s="44" t="s">
        <v>446</v>
      </c>
      <c r="T492" s="55" t="s">
        <v>1426</v>
      </c>
      <c r="U492" s="55">
        <v>33110100301</v>
      </c>
      <c r="V492" s="55" t="s">
        <v>1427</v>
      </c>
      <c r="W492" s="54" t="s">
        <v>43</v>
      </c>
      <c r="X492" s="93" t="s">
        <v>43</v>
      </c>
      <c r="Y492" s="93" t="s">
        <v>40</v>
      </c>
      <c r="Z492" s="94" t="s">
        <v>43</v>
      </c>
      <c r="AA492" s="75">
        <v>3495</v>
      </c>
      <c r="AB492" s="75">
        <v>3145</v>
      </c>
      <c r="AC492" s="80">
        <v>3070</v>
      </c>
      <c r="AD492" s="80">
        <v>2755</v>
      </c>
      <c r="AE492" s="80">
        <v>2340</v>
      </c>
      <c r="AF492" s="79">
        <f t="shared" si="50"/>
        <v>13</v>
      </c>
      <c r="AG492" s="79" t="str">
        <f t="shared" si="51"/>
        <v>尿路成形费（复杂）</v>
      </c>
      <c r="AH492" s="79">
        <f t="shared" si="52"/>
        <v>4095</v>
      </c>
      <c r="AI492" s="79">
        <f t="shared" si="53"/>
        <v>3860</v>
      </c>
      <c r="AJ492" s="79">
        <f t="shared" si="54"/>
        <v>3225</v>
      </c>
    </row>
    <row r="493" ht="14" customHeight="1" spans="1:36">
      <c r="A493" s="81" t="s">
        <v>81</v>
      </c>
      <c r="B493" s="81" t="s">
        <v>1443</v>
      </c>
      <c r="C493" s="81" t="s">
        <v>1444</v>
      </c>
      <c r="D493" s="81" t="s">
        <v>213</v>
      </c>
      <c r="E493" s="81"/>
      <c r="F493" s="81"/>
      <c r="G493" s="81" t="s">
        <v>40</v>
      </c>
      <c r="H493" s="81"/>
      <c r="I493" s="56">
        <v>1050</v>
      </c>
      <c r="J493" s="56">
        <v>945</v>
      </c>
      <c r="K493" s="54"/>
      <c r="L493" s="54"/>
      <c r="M493" s="54"/>
      <c r="N493" s="64">
        <v>945</v>
      </c>
      <c r="O493" s="64">
        <v>890</v>
      </c>
      <c r="P493" s="64">
        <v>745</v>
      </c>
      <c r="Q493" s="44" t="s">
        <v>54</v>
      </c>
      <c r="R493" s="69"/>
      <c r="S493" s="44" t="s">
        <v>446</v>
      </c>
      <c r="T493" s="55" t="s">
        <v>1428</v>
      </c>
      <c r="U493" s="55">
        <v>33110100303</v>
      </c>
      <c r="V493" s="55" t="s">
        <v>1429</v>
      </c>
      <c r="W493" s="54" t="s">
        <v>43</v>
      </c>
      <c r="X493" s="93" t="s">
        <v>43</v>
      </c>
      <c r="Y493" s="93" t="s">
        <v>40</v>
      </c>
      <c r="Z493" s="94" t="s">
        <v>43</v>
      </c>
      <c r="AA493" s="75">
        <v>4295</v>
      </c>
      <c r="AB493" s="75">
        <v>3865</v>
      </c>
      <c r="AC493" s="80">
        <v>3695</v>
      </c>
      <c r="AD493" s="80">
        <v>3355</v>
      </c>
      <c r="AE493" s="80">
        <v>2850</v>
      </c>
      <c r="AF493" s="79">
        <f t="shared" si="50"/>
        <v>13</v>
      </c>
      <c r="AG493" s="79" t="str">
        <f t="shared" si="51"/>
        <v>尿路成形费（复杂）</v>
      </c>
      <c r="AH493" s="79">
        <f t="shared" si="52"/>
        <v>4095</v>
      </c>
      <c r="AI493" s="79">
        <f t="shared" si="53"/>
        <v>3860</v>
      </c>
      <c r="AJ493" s="79">
        <f t="shared" si="54"/>
        <v>3225</v>
      </c>
    </row>
    <row r="494" ht="69" customHeight="1" spans="1:36">
      <c r="A494" s="46">
        <v>73</v>
      </c>
      <c r="B494" s="46" t="s">
        <v>1473</v>
      </c>
      <c r="C494" s="46" t="s">
        <v>1474</v>
      </c>
      <c r="D494" s="46" t="s">
        <v>213</v>
      </c>
      <c r="E494" s="50" t="s">
        <v>1475</v>
      </c>
      <c r="F494" s="50" t="s">
        <v>1476</v>
      </c>
      <c r="G494" s="46" t="s">
        <v>48</v>
      </c>
      <c r="H494" s="50" t="s">
        <v>43</v>
      </c>
      <c r="I494" s="53">
        <v>3070</v>
      </c>
      <c r="J494" s="53">
        <v>2763</v>
      </c>
      <c r="K494" s="58">
        <v>2700</v>
      </c>
      <c r="L494" s="58">
        <v>2430</v>
      </c>
      <c r="M494" s="58">
        <v>2070</v>
      </c>
      <c r="N494" s="63">
        <v>2700</v>
      </c>
      <c r="O494" s="63">
        <v>2430</v>
      </c>
      <c r="P494" s="63">
        <v>2070</v>
      </c>
      <c r="Q494" s="45" t="s">
        <v>54</v>
      </c>
      <c r="R494" s="69" t="s">
        <v>55</v>
      </c>
      <c r="S494" s="49" t="s">
        <v>55</v>
      </c>
      <c r="T494" s="43" t="s">
        <v>1477</v>
      </c>
      <c r="U494" s="71">
        <v>331202013</v>
      </c>
      <c r="V494" s="81" t="s">
        <v>1478</v>
      </c>
      <c r="W494" s="43" t="s">
        <v>43</v>
      </c>
      <c r="X494" s="71" t="s">
        <v>43</v>
      </c>
      <c r="Y494" s="71" t="s">
        <v>40</v>
      </c>
      <c r="Z494" s="48" t="s">
        <v>43</v>
      </c>
      <c r="AA494" s="75">
        <v>3070</v>
      </c>
      <c r="AB494" s="75">
        <v>2760</v>
      </c>
      <c r="AC494" s="80">
        <v>2700</v>
      </c>
      <c r="AD494" s="80">
        <v>2430</v>
      </c>
      <c r="AE494" s="80">
        <v>2070</v>
      </c>
      <c r="AF494" s="79">
        <f t="shared" si="50"/>
        <v>0</v>
      </c>
      <c r="AG494" s="79" t="str">
        <f t="shared" si="51"/>
        <v>睾丸移植费</v>
      </c>
      <c r="AH494" s="79">
        <f t="shared" si="52"/>
        <v>2700</v>
      </c>
      <c r="AI494" s="79">
        <f t="shared" si="53"/>
        <v>2430</v>
      </c>
      <c r="AJ494" s="79">
        <f t="shared" si="54"/>
        <v>2070</v>
      </c>
    </row>
    <row r="495" ht="35" customHeight="1" spans="1:36">
      <c r="A495" s="43" t="s">
        <v>81</v>
      </c>
      <c r="B495" s="43" t="s">
        <v>1481</v>
      </c>
      <c r="C495" s="43" t="s">
        <v>1482</v>
      </c>
      <c r="D495" s="43" t="s">
        <v>213</v>
      </c>
      <c r="E495" s="48" t="s">
        <v>43</v>
      </c>
      <c r="F495" s="48" t="s">
        <v>43</v>
      </c>
      <c r="G495" s="43" t="s">
        <v>48</v>
      </c>
      <c r="H495" s="48" t="s">
        <v>43</v>
      </c>
      <c r="I495" s="53">
        <v>921</v>
      </c>
      <c r="J495" s="53">
        <v>829</v>
      </c>
      <c r="K495" s="54"/>
      <c r="L495" s="54"/>
      <c r="M495" s="54"/>
      <c r="N495" s="63">
        <v>810</v>
      </c>
      <c r="O495" s="63">
        <v>730</v>
      </c>
      <c r="P495" s="63">
        <v>620</v>
      </c>
      <c r="Q495" s="45" t="s">
        <v>54</v>
      </c>
      <c r="R495" s="69"/>
      <c r="S495" s="49" t="s">
        <v>446</v>
      </c>
      <c r="T495" s="45" t="s">
        <v>1483</v>
      </c>
      <c r="U495" s="45">
        <v>33120201301</v>
      </c>
      <c r="V495" s="45" t="s">
        <v>1484</v>
      </c>
      <c r="W495" s="43" t="s">
        <v>43</v>
      </c>
      <c r="X495" s="71" t="s">
        <v>43</v>
      </c>
      <c r="Y495" s="71" t="s">
        <v>40</v>
      </c>
      <c r="Z495" s="48" t="s">
        <v>43</v>
      </c>
      <c r="AA495" s="75">
        <v>3990</v>
      </c>
      <c r="AB495" s="75">
        <v>3590</v>
      </c>
      <c r="AC495" s="80">
        <v>3510</v>
      </c>
      <c r="AD495" s="80">
        <v>3160</v>
      </c>
      <c r="AE495" s="80">
        <v>2685</v>
      </c>
      <c r="AF495" s="79">
        <f t="shared" si="50"/>
        <v>9</v>
      </c>
      <c r="AG495" s="79" t="str">
        <f t="shared" si="51"/>
        <v>睾丸移植费</v>
      </c>
      <c r="AH495" s="79">
        <f t="shared" si="52"/>
        <v>3510</v>
      </c>
      <c r="AI495" s="79">
        <f t="shared" si="53"/>
        <v>3160</v>
      </c>
      <c r="AJ495" s="79">
        <f t="shared" si="54"/>
        <v>2690</v>
      </c>
    </row>
    <row r="496" ht="24" customHeight="1" spans="1:36">
      <c r="A496" s="81" t="s">
        <v>81</v>
      </c>
      <c r="B496" s="114" t="s">
        <v>1489</v>
      </c>
      <c r="C496" s="81" t="s">
        <v>1490</v>
      </c>
      <c r="D496" s="81" t="s">
        <v>213</v>
      </c>
      <c r="E496" s="81"/>
      <c r="F496" s="81"/>
      <c r="G496" s="81" t="s">
        <v>48</v>
      </c>
      <c r="H496" s="81" t="s">
        <v>1491</v>
      </c>
      <c r="I496" s="56">
        <v>482</v>
      </c>
      <c r="J496" s="56">
        <v>434</v>
      </c>
      <c r="K496" s="82">
        <v>200</v>
      </c>
      <c r="L496" s="82">
        <v>402</v>
      </c>
      <c r="M496" s="82">
        <v>365</v>
      </c>
      <c r="N496" s="64">
        <v>440</v>
      </c>
      <c r="O496" s="64">
        <v>400</v>
      </c>
      <c r="P496" s="64">
        <v>340</v>
      </c>
      <c r="Q496" s="44" t="s">
        <v>54</v>
      </c>
      <c r="R496" s="69"/>
      <c r="S496" s="44" t="s">
        <v>1492</v>
      </c>
      <c r="T496" s="43" t="s">
        <v>1493</v>
      </c>
      <c r="U496" s="71">
        <v>331202005</v>
      </c>
      <c r="V496" s="43" t="s">
        <v>1494</v>
      </c>
      <c r="W496" s="43" t="s">
        <v>1495</v>
      </c>
      <c r="X496" s="71" t="s">
        <v>43</v>
      </c>
      <c r="Y496" s="71" t="s">
        <v>48</v>
      </c>
      <c r="Z496" s="48" t="s">
        <v>43</v>
      </c>
      <c r="AA496" s="75">
        <v>1080</v>
      </c>
      <c r="AB496" s="75">
        <v>970</v>
      </c>
      <c r="AC496" s="80">
        <v>1000</v>
      </c>
      <c r="AD496" s="80">
        <v>960</v>
      </c>
      <c r="AE496" s="80">
        <v>816</v>
      </c>
      <c r="AF496" s="79">
        <f t="shared" si="50"/>
        <v>11</v>
      </c>
      <c r="AG496" s="79" t="str">
        <f t="shared" si="51"/>
        <v>隐睾复位费</v>
      </c>
      <c r="AH496" s="79">
        <f t="shared" si="52"/>
        <v>440</v>
      </c>
      <c r="AI496" s="79">
        <f t="shared" si="53"/>
        <v>400</v>
      </c>
      <c r="AJ496" s="79">
        <f t="shared" si="54"/>
        <v>340</v>
      </c>
    </row>
    <row r="497" ht="24" customHeight="1" spans="1:36">
      <c r="A497" s="81" t="s">
        <v>81</v>
      </c>
      <c r="B497" s="114" t="s">
        <v>1489</v>
      </c>
      <c r="C497" s="81" t="s">
        <v>1490</v>
      </c>
      <c r="D497" s="81" t="s">
        <v>213</v>
      </c>
      <c r="E497" s="81"/>
      <c r="F497" s="81"/>
      <c r="G497" s="81" t="s">
        <v>48</v>
      </c>
      <c r="H497" s="81" t="s">
        <v>1491</v>
      </c>
      <c r="I497" s="56">
        <v>482</v>
      </c>
      <c r="J497" s="56">
        <v>434</v>
      </c>
      <c r="K497" s="82">
        <v>200</v>
      </c>
      <c r="L497" s="82">
        <v>402</v>
      </c>
      <c r="M497" s="82">
        <v>365</v>
      </c>
      <c r="N497" s="64">
        <v>440</v>
      </c>
      <c r="O497" s="64">
        <v>400</v>
      </c>
      <c r="P497" s="64">
        <v>340</v>
      </c>
      <c r="Q497" s="44" t="s">
        <v>54</v>
      </c>
      <c r="R497" s="69"/>
      <c r="S497" s="44" t="s">
        <v>1492</v>
      </c>
      <c r="T497" s="45" t="s">
        <v>1496</v>
      </c>
      <c r="U497" s="45">
        <v>33120200501</v>
      </c>
      <c r="V497" s="45" t="s">
        <v>1497</v>
      </c>
      <c r="W497" s="43" t="s">
        <v>43</v>
      </c>
      <c r="X497" s="71" t="s">
        <v>43</v>
      </c>
      <c r="Y497" s="71" t="s">
        <v>48</v>
      </c>
      <c r="Z497" s="48" t="s">
        <v>43</v>
      </c>
      <c r="AA497" s="75">
        <v>1405</v>
      </c>
      <c r="AB497" s="75">
        <v>1260</v>
      </c>
      <c r="AC497" s="80">
        <v>1300</v>
      </c>
      <c r="AD497" s="80">
        <v>1250</v>
      </c>
      <c r="AE497" s="80">
        <v>1065</v>
      </c>
      <c r="AF497" s="79">
        <f t="shared" si="50"/>
        <v>11</v>
      </c>
      <c r="AG497" s="79" t="str">
        <f t="shared" si="51"/>
        <v>隐睾复位费</v>
      </c>
      <c r="AH497" s="79">
        <f t="shared" si="52"/>
        <v>440</v>
      </c>
      <c r="AI497" s="79">
        <f t="shared" si="53"/>
        <v>400</v>
      </c>
      <c r="AJ497" s="79">
        <f t="shared" si="54"/>
        <v>340</v>
      </c>
    </row>
    <row r="498" ht="24" customHeight="1" spans="1:36">
      <c r="A498" s="81" t="s">
        <v>81</v>
      </c>
      <c r="B498" s="114" t="s">
        <v>1489</v>
      </c>
      <c r="C498" s="81" t="s">
        <v>1490</v>
      </c>
      <c r="D498" s="81" t="s">
        <v>213</v>
      </c>
      <c r="E498" s="81"/>
      <c r="F498" s="81"/>
      <c r="G498" s="81" t="s">
        <v>48</v>
      </c>
      <c r="H498" s="81" t="s">
        <v>1491</v>
      </c>
      <c r="I498" s="56">
        <v>482</v>
      </c>
      <c r="J498" s="56">
        <v>434</v>
      </c>
      <c r="K498" s="82">
        <v>200</v>
      </c>
      <c r="L498" s="82">
        <v>402</v>
      </c>
      <c r="M498" s="82">
        <v>365</v>
      </c>
      <c r="N498" s="64">
        <v>440</v>
      </c>
      <c r="O498" s="64">
        <v>400</v>
      </c>
      <c r="P498" s="64">
        <v>340</v>
      </c>
      <c r="Q498" s="44" t="s">
        <v>54</v>
      </c>
      <c r="R498" s="69"/>
      <c r="S498" s="44" t="s">
        <v>1492</v>
      </c>
      <c r="T498" s="45" t="s">
        <v>1498</v>
      </c>
      <c r="U498" s="45">
        <v>33120200502</v>
      </c>
      <c r="V498" s="45" t="s">
        <v>1499</v>
      </c>
      <c r="W498" s="43" t="s">
        <v>43</v>
      </c>
      <c r="X498" s="71" t="s">
        <v>43</v>
      </c>
      <c r="Y498" s="71" t="s">
        <v>48</v>
      </c>
      <c r="Z498" s="48" t="s">
        <v>43</v>
      </c>
      <c r="AA498" s="75">
        <v>1880</v>
      </c>
      <c r="AB498" s="75">
        <v>1690</v>
      </c>
      <c r="AC498" s="80">
        <v>1625</v>
      </c>
      <c r="AD498" s="80">
        <v>1560</v>
      </c>
      <c r="AE498" s="80">
        <v>1326</v>
      </c>
      <c r="AF498" s="79">
        <f t="shared" si="50"/>
        <v>11</v>
      </c>
      <c r="AG498" s="79" t="str">
        <f t="shared" si="51"/>
        <v>隐睾复位费</v>
      </c>
      <c r="AH498" s="79">
        <f t="shared" si="52"/>
        <v>440</v>
      </c>
      <c r="AI498" s="79">
        <f t="shared" si="53"/>
        <v>400</v>
      </c>
      <c r="AJ498" s="79">
        <f t="shared" si="54"/>
        <v>340</v>
      </c>
    </row>
    <row r="499" ht="24" customHeight="1" spans="1:36">
      <c r="A499" s="81" t="s">
        <v>81</v>
      </c>
      <c r="B499" s="114" t="s">
        <v>1489</v>
      </c>
      <c r="C499" s="81" t="s">
        <v>1490</v>
      </c>
      <c r="D499" s="81" t="s">
        <v>213</v>
      </c>
      <c r="E499" s="81"/>
      <c r="F499" s="81"/>
      <c r="G499" s="81" t="s">
        <v>48</v>
      </c>
      <c r="H499" s="81" t="s">
        <v>1491</v>
      </c>
      <c r="I499" s="56">
        <v>482</v>
      </c>
      <c r="J499" s="56">
        <v>434</v>
      </c>
      <c r="K499" s="82">
        <v>200</v>
      </c>
      <c r="L499" s="82">
        <v>402</v>
      </c>
      <c r="M499" s="82">
        <v>365</v>
      </c>
      <c r="N499" s="64">
        <v>440</v>
      </c>
      <c r="O499" s="64">
        <v>400</v>
      </c>
      <c r="P499" s="64">
        <v>340</v>
      </c>
      <c r="Q499" s="44" t="s">
        <v>54</v>
      </c>
      <c r="R499" s="69"/>
      <c r="S499" s="44" t="s">
        <v>1492</v>
      </c>
      <c r="T499" s="45" t="s">
        <v>1500</v>
      </c>
      <c r="U499" s="45">
        <v>33120200503</v>
      </c>
      <c r="V499" s="45" t="s">
        <v>1501</v>
      </c>
      <c r="W499" s="43" t="s">
        <v>43</v>
      </c>
      <c r="X499" s="71" t="s">
        <v>43</v>
      </c>
      <c r="Y499" s="71" t="s">
        <v>48</v>
      </c>
      <c r="Z499" s="48" t="s">
        <v>43</v>
      </c>
      <c r="AA499" s="75">
        <v>2205</v>
      </c>
      <c r="AB499" s="75">
        <v>1980</v>
      </c>
      <c r="AC499" s="80">
        <v>1925</v>
      </c>
      <c r="AD499" s="80">
        <v>1850</v>
      </c>
      <c r="AE499" s="80">
        <v>1575</v>
      </c>
      <c r="AF499" s="79">
        <f t="shared" si="50"/>
        <v>11</v>
      </c>
      <c r="AG499" s="79" t="str">
        <f t="shared" si="51"/>
        <v>隐睾复位费</v>
      </c>
      <c r="AH499" s="79">
        <f t="shared" si="52"/>
        <v>440</v>
      </c>
      <c r="AI499" s="79">
        <f t="shared" si="53"/>
        <v>400</v>
      </c>
      <c r="AJ499" s="79">
        <f t="shared" si="54"/>
        <v>340</v>
      </c>
    </row>
    <row r="500" ht="51" spans="1:36">
      <c r="A500" s="45">
        <v>75</v>
      </c>
      <c r="B500" s="45" t="s">
        <v>1504</v>
      </c>
      <c r="C500" s="45" t="s">
        <v>1505</v>
      </c>
      <c r="D500" s="45" t="s">
        <v>213</v>
      </c>
      <c r="E500" s="49" t="s">
        <v>1506</v>
      </c>
      <c r="F500" s="49" t="s">
        <v>1507</v>
      </c>
      <c r="G500" s="45" t="s">
        <v>48</v>
      </c>
      <c r="H500" s="49" t="s">
        <v>43</v>
      </c>
      <c r="I500" s="53">
        <v>785</v>
      </c>
      <c r="J500" s="53">
        <v>707</v>
      </c>
      <c r="K500" s="55">
        <v>750</v>
      </c>
      <c r="L500" s="55">
        <v>720</v>
      </c>
      <c r="M500" s="55">
        <v>612</v>
      </c>
      <c r="N500" s="63">
        <v>750</v>
      </c>
      <c r="O500" s="63">
        <v>705</v>
      </c>
      <c r="P500" s="63">
        <v>600</v>
      </c>
      <c r="Q500" s="45" t="s">
        <v>54</v>
      </c>
      <c r="R500" s="69" t="s">
        <v>67</v>
      </c>
      <c r="S500" s="49" t="s">
        <v>77</v>
      </c>
      <c r="T500" s="43" t="s">
        <v>1508</v>
      </c>
      <c r="U500" s="71">
        <v>331202011</v>
      </c>
      <c r="V500" s="43" t="s">
        <v>1509</v>
      </c>
      <c r="W500" s="43" t="s">
        <v>43</v>
      </c>
      <c r="X500" s="71" t="s">
        <v>43</v>
      </c>
      <c r="Y500" s="71" t="s">
        <v>48</v>
      </c>
      <c r="Z500" s="48" t="s">
        <v>43</v>
      </c>
      <c r="AA500" s="75">
        <v>750</v>
      </c>
      <c r="AB500" s="75">
        <v>675</v>
      </c>
      <c r="AC500" s="80">
        <v>750</v>
      </c>
      <c r="AD500" s="80">
        <v>720</v>
      </c>
      <c r="AE500" s="80">
        <v>612</v>
      </c>
      <c r="AF500" s="79">
        <f t="shared" si="50"/>
        <v>0</v>
      </c>
      <c r="AG500" s="79" t="str">
        <f t="shared" si="51"/>
        <v>睾丸切除费</v>
      </c>
      <c r="AH500" s="79">
        <f t="shared" si="52"/>
        <v>750</v>
      </c>
      <c r="AI500" s="79">
        <f t="shared" si="53"/>
        <v>705</v>
      </c>
      <c r="AJ500" s="79">
        <f t="shared" si="54"/>
        <v>600</v>
      </c>
    </row>
    <row r="501" ht="25.5" spans="1:36">
      <c r="A501" s="44" t="s">
        <v>81</v>
      </c>
      <c r="B501" s="115" t="s">
        <v>1512</v>
      </c>
      <c r="C501" s="44" t="s">
        <v>1513</v>
      </c>
      <c r="D501" s="44" t="s">
        <v>213</v>
      </c>
      <c r="E501" s="44"/>
      <c r="F501" s="44"/>
      <c r="G501" s="44" t="s">
        <v>48</v>
      </c>
      <c r="H501" s="44"/>
      <c r="I501" s="56">
        <v>785</v>
      </c>
      <c r="J501" s="56">
        <v>707</v>
      </c>
      <c r="K501" s="57">
        <v>875</v>
      </c>
      <c r="L501" s="57">
        <v>840</v>
      </c>
      <c r="M501" s="57">
        <v>714</v>
      </c>
      <c r="N501" s="64">
        <v>750</v>
      </c>
      <c r="O501" s="64">
        <v>705</v>
      </c>
      <c r="P501" s="64">
        <v>600</v>
      </c>
      <c r="Q501" s="44" t="s">
        <v>54</v>
      </c>
      <c r="R501" s="69"/>
      <c r="S501" s="44" t="s">
        <v>84</v>
      </c>
      <c r="T501" s="43" t="s">
        <v>1514</v>
      </c>
      <c r="U501" s="71">
        <v>331203001</v>
      </c>
      <c r="V501" s="43" t="s">
        <v>1515</v>
      </c>
      <c r="W501" s="43" t="s">
        <v>1516</v>
      </c>
      <c r="X501" s="71" t="s">
        <v>43</v>
      </c>
      <c r="Y501" s="71" t="s">
        <v>40</v>
      </c>
      <c r="Z501" s="48" t="s">
        <v>43</v>
      </c>
      <c r="AA501" s="75">
        <v>875</v>
      </c>
      <c r="AB501" s="75">
        <v>790</v>
      </c>
      <c r="AC501" s="80">
        <v>875</v>
      </c>
      <c r="AD501" s="80">
        <v>840</v>
      </c>
      <c r="AE501" s="80">
        <v>714</v>
      </c>
      <c r="AF501" s="79">
        <f t="shared" si="50"/>
        <v>0</v>
      </c>
      <c r="AG501" s="79" t="str">
        <f t="shared" si="51"/>
        <v>睾丸切除费-附睾切除（扩展）</v>
      </c>
      <c r="AH501" s="79">
        <f t="shared" si="52"/>
        <v>750</v>
      </c>
      <c r="AI501" s="79">
        <f t="shared" si="53"/>
        <v>705</v>
      </c>
      <c r="AJ501" s="79">
        <f t="shared" si="54"/>
        <v>600</v>
      </c>
    </row>
    <row r="502" ht="25.5" spans="1:36">
      <c r="A502" s="44" t="s">
        <v>81</v>
      </c>
      <c r="B502" s="115" t="s">
        <v>1512</v>
      </c>
      <c r="C502" s="44" t="s">
        <v>1513</v>
      </c>
      <c r="D502" s="44" t="s">
        <v>213</v>
      </c>
      <c r="E502" s="44"/>
      <c r="F502" s="44"/>
      <c r="G502" s="44" t="s">
        <v>48</v>
      </c>
      <c r="H502" s="44"/>
      <c r="I502" s="56">
        <v>785</v>
      </c>
      <c r="J502" s="56">
        <v>707</v>
      </c>
      <c r="K502" s="57">
        <v>875</v>
      </c>
      <c r="L502" s="57">
        <v>840</v>
      </c>
      <c r="M502" s="57">
        <v>714</v>
      </c>
      <c r="N502" s="64">
        <v>750</v>
      </c>
      <c r="O502" s="64">
        <v>705</v>
      </c>
      <c r="P502" s="64">
        <v>600</v>
      </c>
      <c r="Q502" s="44" t="s">
        <v>54</v>
      </c>
      <c r="R502" s="69"/>
      <c r="S502" s="44" t="s">
        <v>84</v>
      </c>
      <c r="T502" s="45" t="s">
        <v>1517</v>
      </c>
      <c r="U502" s="45">
        <v>33120300101</v>
      </c>
      <c r="V502" s="45" t="s">
        <v>1518</v>
      </c>
      <c r="W502" s="43" t="s">
        <v>43</v>
      </c>
      <c r="X502" s="71" t="s">
        <v>43</v>
      </c>
      <c r="Y502" s="71" t="s">
        <v>40</v>
      </c>
      <c r="Z502" s="48" t="s">
        <v>43</v>
      </c>
      <c r="AA502" s="75">
        <v>1140</v>
      </c>
      <c r="AB502" s="75">
        <v>1025</v>
      </c>
      <c r="AC502" s="80">
        <v>1140</v>
      </c>
      <c r="AD502" s="80">
        <v>1090</v>
      </c>
      <c r="AE502" s="80">
        <v>925</v>
      </c>
      <c r="AF502" s="79">
        <f t="shared" si="50"/>
        <v>0</v>
      </c>
      <c r="AG502" s="79" t="str">
        <f t="shared" si="51"/>
        <v>睾丸切除费-附睾切除（扩展）</v>
      </c>
      <c r="AH502" s="79">
        <f t="shared" si="52"/>
        <v>750</v>
      </c>
      <c r="AI502" s="79">
        <f t="shared" si="53"/>
        <v>705</v>
      </c>
      <c r="AJ502" s="79">
        <f t="shared" si="54"/>
        <v>600</v>
      </c>
    </row>
    <row r="503" ht="25.5" spans="1:36">
      <c r="A503" s="44" t="s">
        <v>81</v>
      </c>
      <c r="B503" s="115" t="s">
        <v>1512</v>
      </c>
      <c r="C503" s="44" t="s">
        <v>1513</v>
      </c>
      <c r="D503" s="44" t="s">
        <v>213</v>
      </c>
      <c r="E503" s="44"/>
      <c r="F503" s="44"/>
      <c r="G503" s="44" t="s">
        <v>48</v>
      </c>
      <c r="H503" s="44"/>
      <c r="I503" s="56">
        <v>785</v>
      </c>
      <c r="J503" s="56">
        <v>707</v>
      </c>
      <c r="K503" s="57">
        <v>875</v>
      </c>
      <c r="L503" s="57">
        <v>840</v>
      </c>
      <c r="M503" s="57">
        <v>714</v>
      </c>
      <c r="N503" s="64">
        <v>750</v>
      </c>
      <c r="O503" s="64">
        <v>705</v>
      </c>
      <c r="P503" s="64">
        <v>600</v>
      </c>
      <c r="Q503" s="44" t="s">
        <v>54</v>
      </c>
      <c r="R503" s="69"/>
      <c r="S503" s="44" t="s">
        <v>84</v>
      </c>
      <c r="T503" s="45" t="s">
        <v>1519</v>
      </c>
      <c r="U503" s="45">
        <v>33120300102</v>
      </c>
      <c r="V503" s="45" t="s">
        <v>1520</v>
      </c>
      <c r="W503" s="43" t="s">
        <v>43</v>
      </c>
      <c r="X503" s="71" t="s">
        <v>43</v>
      </c>
      <c r="Y503" s="71" t="s">
        <v>40</v>
      </c>
      <c r="Z503" s="48" t="s">
        <v>43</v>
      </c>
      <c r="AA503" s="75">
        <v>1675</v>
      </c>
      <c r="AB503" s="75">
        <v>1510</v>
      </c>
      <c r="AC503" s="80">
        <v>1500</v>
      </c>
      <c r="AD503" s="80">
        <v>1440</v>
      </c>
      <c r="AE503" s="80">
        <v>1224</v>
      </c>
      <c r="AF503" s="79">
        <f t="shared" si="50"/>
        <v>0</v>
      </c>
      <c r="AG503" s="79" t="str">
        <f t="shared" si="51"/>
        <v>睾丸切除费-附睾切除（扩展）</v>
      </c>
      <c r="AH503" s="79">
        <f t="shared" si="52"/>
        <v>750</v>
      </c>
      <c r="AI503" s="79">
        <f t="shared" si="53"/>
        <v>705</v>
      </c>
      <c r="AJ503" s="79">
        <f t="shared" si="54"/>
        <v>600</v>
      </c>
    </row>
    <row r="504" ht="25.5" spans="1:36">
      <c r="A504" s="44" t="s">
        <v>81</v>
      </c>
      <c r="B504" s="115" t="s">
        <v>1512</v>
      </c>
      <c r="C504" s="44" t="s">
        <v>1513</v>
      </c>
      <c r="D504" s="44" t="s">
        <v>213</v>
      </c>
      <c r="E504" s="44"/>
      <c r="F504" s="44"/>
      <c r="G504" s="44" t="s">
        <v>48</v>
      </c>
      <c r="H504" s="44"/>
      <c r="I504" s="56">
        <v>785</v>
      </c>
      <c r="J504" s="56">
        <v>707</v>
      </c>
      <c r="K504" s="57">
        <v>875</v>
      </c>
      <c r="L504" s="57">
        <v>840</v>
      </c>
      <c r="M504" s="57">
        <v>714</v>
      </c>
      <c r="N504" s="64">
        <v>750</v>
      </c>
      <c r="O504" s="64">
        <v>705</v>
      </c>
      <c r="P504" s="64">
        <v>600</v>
      </c>
      <c r="Q504" s="44" t="s">
        <v>54</v>
      </c>
      <c r="R504" s="69"/>
      <c r="S504" s="44" t="s">
        <v>84</v>
      </c>
      <c r="T504" s="45" t="s">
        <v>1521</v>
      </c>
      <c r="U504" s="45">
        <v>33120300103</v>
      </c>
      <c r="V504" s="45" t="s">
        <v>1522</v>
      </c>
      <c r="W504" s="43" t="s">
        <v>43</v>
      </c>
      <c r="X504" s="71" t="s">
        <v>43</v>
      </c>
      <c r="Y504" s="71" t="s">
        <v>40</v>
      </c>
      <c r="Z504" s="48" t="s">
        <v>43</v>
      </c>
      <c r="AA504" s="75">
        <v>1940</v>
      </c>
      <c r="AB504" s="75">
        <v>1745</v>
      </c>
      <c r="AC504" s="80">
        <v>1765</v>
      </c>
      <c r="AD504" s="80">
        <v>1690</v>
      </c>
      <c r="AE504" s="80">
        <v>1435</v>
      </c>
      <c r="AF504" s="79">
        <f t="shared" si="50"/>
        <v>0</v>
      </c>
      <c r="AG504" s="79" t="str">
        <f t="shared" si="51"/>
        <v>睾丸切除费-附睾切除（扩展）</v>
      </c>
      <c r="AH504" s="79">
        <f t="shared" si="52"/>
        <v>750</v>
      </c>
      <c r="AI504" s="79">
        <f t="shared" si="53"/>
        <v>705</v>
      </c>
      <c r="AJ504" s="79">
        <f t="shared" si="54"/>
        <v>600</v>
      </c>
    </row>
    <row r="505" ht="33" customHeight="1" spans="1:36">
      <c r="A505" s="43" t="s">
        <v>81</v>
      </c>
      <c r="B505" s="43" t="s">
        <v>1523</v>
      </c>
      <c r="C505" s="43" t="s">
        <v>1524</v>
      </c>
      <c r="D505" s="43" t="s">
        <v>213</v>
      </c>
      <c r="E505" s="48" t="s">
        <v>43</v>
      </c>
      <c r="F505" s="48" t="s">
        <v>43</v>
      </c>
      <c r="G505" s="43" t="s">
        <v>48</v>
      </c>
      <c r="H505" s="48" t="s">
        <v>43</v>
      </c>
      <c r="I505" s="53">
        <v>236</v>
      </c>
      <c r="J505" s="53">
        <v>212</v>
      </c>
      <c r="K505" s="54">
        <v>225</v>
      </c>
      <c r="L505" s="54">
        <v>230</v>
      </c>
      <c r="M505" s="54">
        <v>195</v>
      </c>
      <c r="N505" s="63">
        <v>225</v>
      </c>
      <c r="O505" s="63">
        <v>210</v>
      </c>
      <c r="P505" s="63">
        <v>180</v>
      </c>
      <c r="Q505" s="45" t="s">
        <v>54</v>
      </c>
      <c r="R505" s="69"/>
      <c r="S505" s="49" t="s">
        <v>446</v>
      </c>
      <c r="T505" s="45" t="s">
        <v>1525</v>
      </c>
      <c r="U505" s="45">
        <v>33120201101</v>
      </c>
      <c r="V505" s="45" t="s">
        <v>1526</v>
      </c>
      <c r="W505" s="43" t="s">
        <v>43</v>
      </c>
      <c r="X505" s="71" t="s">
        <v>43</v>
      </c>
      <c r="Y505" s="71" t="s">
        <v>48</v>
      </c>
      <c r="Z505" s="48" t="s">
        <v>43</v>
      </c>
      <c r="AA505" s="75">
        <v>975</v>
      </c>
      <c r="AB505" s="75">
        <v>880</v>
      </c>
      <c r="AC505" s="80">
        <v>975</v>
      </c>
      <c r="AD505" s="80">
        <v>935</v>
      </c>
      <c r="AE505" s="80">
        <v>795</v>
      </c>
      <c r="AF505" s="79">
        <f t="shared" si="50"/>
        <v>9</v>
      </c>
      <c r="AG505" s="79" t="str">
        <f t="shared" si="51"/>
        <v>睾丸切除费</v>
      </c>
      <c r="AH505" s="79">
        <f t="shared" si="52"/>
        <v>975</v>
      </c>
      <c r="AI505" s="79">
        <f t="shared" si="53"/>
        <v>915</v>
      </c>
      <c r="AJ505" s="79">
        <f t="shared" si="54"/>
        <v>780</v>
      </c>
    </row>
    <row r="506" ht="15" customHeight="1" spans="1:36">
      <c r="A506" s="44">
        <v>76</v>
      </c>
      <c r="B506" s="44" t="s">
        <v>1527</v>
      </c>
      <c r="C506" s="44" t="s">
        <v>1528</v>
      </c>
      <c r="D506" s="44" t="s">
        <v>213</v>
      </c>
      <c r="E506" s="44" t="s">
        <v>1529</v>
      </c>
      <c r="F506" s="44" t="s">
        <v>1530</v>
      </c>
      <c r="G506" s="44" t="s">
        <v>48</v>
      </c>
      <c r="H506" s="44"/>
      <c r="I506" s="56">
        <v>825</v>
      </c>
      <c r="J506" s="56">
        <v>743</v>
      </c>
      <c r="K506" s="59">
        <v>793.402777777778</v>
      </c>
      <c r="L506" s="59">
        <v>641.796875</v>
      </c>
      <c r="M506" s="59">
        <v>540.783783783784</v>
      </c>
      <c r="N506" s="64">
        <v>800</v>
      </c>
      <c r="O506" s="64">
        <v>720</v>
      </c>
      <c r="P506" s="64">
        <v>600</v>
      </c>
      <c r="Q506" s="44" t="s">
        <v>54</v>
      </c>
      <c r="R506" s="70" t="s">
        <v>67</v>
      </c>
      <c r="S506" s="44" t="s">
        <v>1531</v>
      </c>
      <c r="T506" s="43" t="s">
        <v>1532</v>
      </c>
      <c r="U506" s="71">
        <v>331202006</v>
      </c>
      <c r="V506" s="43" t="s">
        <v>1533</v>
      </c>
      <c r="W506" s="43" t="s">
        <v>43</v>
      </c>
      <c r="X506" s="71" t="s">
        <v>43</v>
      </c>
      <c r="Y506" s="71" t="s">
        <v>48</v>
      </c>
      <c r="Z506" s="48" t="s">
        <v>43</v>
      </c>
      <c r="AA506" s="75">
        <v>625</v>
      </c>
      <c r="AB506" s="75">
        <v>565</v>
      </c>
      <c r="AC506" s="80">
        <v>625</v>
      </c>
      <c r="AD506" s="80">
        <v>600</v>
      </c>
      <c r="AE506" s="80">
        <v>510</v>
      </c>
      <c r="AF506" s="79">
        <f t="shared" si="50"/>
        <v>0</v>
      </c>
      <c r="AG506" s="79" t="str">
        <f t="shared" si="51"/>
        <v>睾丸鞘膜翻转费</v>
      </c>
      <c r="AH506" s="79">
        <f t="shared" si="52"/>
        <v>800</v>
      </c>
      <c r="AI506" s="79">
        <f t="shared" si="53"/>
        <v>720</v>
      </c>
      <c r="AJ506" s="79">
        <f t="shared" si="54"/>
        <v>600</v>
      </c>
    </row>
    <row r="507" ht="15" customHeight="1" spans="1:36">
      <c r="A507" s="44">
        <v>76</v>
      </c>
      <c r="B507" s="44" t="s">
        <v>1527</v>
      </c>
      <c r="C507" s="44" t="s">
        <v>1528</v>
      </c>
      <c r="D507" s="44" t="s">
        <v>213</v>
      </c>
      <c r="E507" s="44" t="s">
        <v>1529</v>
      </c>
      <c r="F507" s="44" t="s">
        <v>1530</v>
      </c>
      <c r="G507" s="44" t="s">
        <v>48</v>
      </c>
      <c r="H507" s="44"/>
      <c r="I507" s="56">
        <v>825</v>
      </c>
      <c r="J507" s="56">
        <v>743</v>
      </c>
      <c r="K507" s="59">
        <v>793.402777777778</v>
      </c>
      <c r="L507" s="59">
        <v>641.796875</v>
      </c>
      <c r="M507" s="59">
        <v>540.783783783784</v>
      </c>
      <c r="N507" s="64">
        <v>800</v>
      </c>
      <c r="O507" s="64">
        <v>720</v>
      </c>
      <c r="P507" s="64">
        <v>600</v>
      </c>
      <c r="Q507" s="44" t="s">
        <v>54</v>
      </c>
      <c r="R507" s="70" t="s">
        <v>67</v>
      </c>
      <c r="S507" s="44" t="s">
        <v>1531</v>
      </c>
      <c r="T507" s="43" t="s">
        <v>1534</v>
      </c>
      <c r="U507" s="71">
        <v>33120200602</v>
      </c>
      <c r="V507" s="43" t="s">
        <v>1535</v>
      </c>
      <c r="W507" s="43" t="s">
        <v>43</v>
      </c>
      <c r="X507" s="71" t="s">
        <v>43</v>
      </c>
      <c r="Y507" s="71" t="s">
        <v>48</v>
      </c>
      <c r="Z507" s="48" t="s">
        <v>43</v>
      </c>
      <c r="AA507" s="75">
        <v>1425</v>
      </c>
      <c r="AB507" s="75">
        <v>1285</v>
      </c>
      <c r="AC507" s="80">
        <v>1250</v>
      </c>
      <c r="AD507" s="80">
        <v>1200</v>
      </c>
      <c r="AE507" s="80">
        <v>1020</v>
      </c>
      <c r="AF507" s="79">
        <f t="shared" si="50"/>
        <v>0</v>
      </c>
      <c r="AG507" s="79" t="str">
        <f t="shared" si="51"/>
        <v>睾丸鞘膜翻转费</v>
      </c>
      <c r="AH507" s="79">
        <f t="shared" si="52"/>
        <v>800</v>
      </c>
      <c r="AI507" s="79">
        <f t="shared" si="53"/>
        <v>720</v>
      </c>
      <c r="AJ507" s="79">
        <f t="shared" si="54"/>
        <v>600</v>
      </c>
    </row>
    <row r="508" ht="15" customHeight="1" spans="1:36">
      <c r="A508" s="44">
        <v>76</v>
      </c>
      <c r="B508" s="44" t="s">
        <v>1527</v>
      </c>
      <c r="C508" s="44" t="s">
        <v>1528</v>
      </c>
      <c r="D508" s="44" t="s">
        <v>213</v>
      </c>
      <c r="E508" s="44" t="s">
        <v>1529</v>
      </c>
      <c r="F508" s="44" t="s">
        <v>1530</v>
      </c>
      <c r="G508" s="44" t="s">
        <v>48</v>
      </c>
      <c r="H508" s="44"/>
      <c r="I508" s="56">
        <v>825</v>
      </c>
      <c r="J508" s="56">
        <v>743</v>
      </c>
      <c r="K508" s="59">
        <v>793.402777777778</v>
      </c>
      <c r="L508" s="59">
        <v>641.796875</v>
      </c>
      <c r="M508" s="59">
        <v>540.783783783784</v>
      </c>
      <c r="N508" s="64">
        <v>800</v>
      </c>
      <c r="O508" s="64">
        <v>720</v>
      </c>
      <c r="P508" s="64">
        <v>600</v>
      </c>
      <c r="Q508" s="44" t="s">
        <v>54</v>
      </c>
      <c r="R508" s="70" t="s">
        <v>67</v>
      </c>
      <c r="S508" s="44" t="s">
        <v>1531</v>
      </c>
      <c r="T508" s="43" t="s">
        <v>1536</v>
      </c>
      <c r="U508" s="71">
        <v>331202007</v>
      </c>
      <c r="V508" s="43" t="s">
        <v>1537</v>
      </c>
      <c r="W508" s="43" t="s">
        <v>43</v>
      </c>
      <c r="X508" s="71" t="s">
        <v>43</v>
      </c>
      <c r="Y508" s="71" t="s">
        <v>48</v>
      </c>
      <c r="Z508" s="48" t="s">
        <v>1538</v>
      </c>
      <c r="AA508" s="75">
        <v>875</v>
      </c>
      <c r="AB508" s="75">
        <v>790</v>
      </c>
      <c r="AC508" s="80">
        <v>875</v>
      </c>
      <c r="AD508" s="80">
        <v>840</v>
      </c>
      <c r="AE508" s="80">
        <v>714</v>
      </c>
      <c r="AF508" s="79">
        <f t="shared" si="50"/>
        <v>0</v>
      </c>
      <c r="AG508" s="79" t="str">
        <f t="shared" si="51"/>
        <v>睾丸鞘膜翻转费</v>
      </c>
      <c r="AH508" s="79">
        <f t="shared" si="52"/>
        <v>800</v>
      </c>
      <c r="AI508" s="79">
        <f t="shared" si="53"/>
        <v>720</v>
      </c>
      <c r="AJ508" s="79">
        <f t="shared" si="54"/>
        <v>600</v>
      </c>
    </row>
    <row r="509" ht="15" customHeight="1" spans="1:36">
      <c r="A509" s="44">
        <v>76</v>
      </c>
      <c r="B509" s="44" t="s">
        <v>1527</v>
      </c>
      <c r="C509" s="44" t="s">
        <v>1528</v>
      </c>
      <c r="D509" s="44" t="s">
        <v>213</v>
      </c>
      <c r="E509" s="44" t="s">
        <v>1529</v>
      </c>
      <c r="F509" s="44" t="s">
        <v>1530</v>
      </c>
      <c r="G509" s="44" t="s">
        <v>48</v>
      </c>
      <c r="H509" s="44"/>
      <c r="I509" s="56">
        <v>825</v>
      </c>
      <c r="J509" s="56">
        <v>743</v>
      </c>
      <c r="K509" s="59">
        <v>793.402777777778</v>
      </c>
      <c r="L509" s="59">
        <v>641.796875</v>
      </c>
      <c r="M509" s="59">
        <v>540.783783783784</v>
      </c>
      <c r="N509" s="64">
        <v>800</v>
      </c>
      <c r="O509" s="64">
        <v>720</v>
      </c>
      <c r="P509" s="64">
        <v>600</v>
      </c>
      <c r="Q509" s="44" t="s">
        <v>54</v>
      </c>
      <c r="R509" s="70" t="s">
        <v>67</v>
      </c>
      <c r="S509" s="44" t="s">
        <v>1531</v>
      </c>
      <c r="T509" s="43" t="s">
        <v>1539</v>
      </c>
      <c r="U509" s="71">
        <v>33120200702</v>
      </c>
      <c r="V509" s="43" t="s">
        <v>1540</v>
      </c>
      <c r="W509" s="43" t="s">
        <v>43</v>
      </c>
      <c r="X509" s="71" t="s">
        <v>43</v>
      </c>
      <c r="Y509" s="71" t="s">
        <v>48</v>
      </c>
      <c r="Z509" s="48" t="s">
        <v>43</v>
      </c>
      <c r="AA509" s="75">
        <v>1675</v>
      </c>
      <c r="AB509" s="75">
        <v>1510</v>
      </c>
      <c r="AC509" s="80">
        <v>1500</v>
      </c>
      <c r="AD509" s="80">
        <v>1440</v>
      </c>
      <c r="AE509" s="80">
        <v>1224</v>
      </c>
      <c r="AF509" s="79">
        <f t="shared" si="50"/>
        <v>0</v>
      </c>
      <c r="AG509" s="79" t="str">
        <f t="shared" si="51"/>
        <v>睾丸鞘膜翻转费</v>
      </c>
      <c r="AH509" s="79">
        <f t="shared" si="52"/>
        <v>800</v>
      </c>
      <c r="AI509" s="79">
        <f t="shared" si="53"/>
        <v>720</v>
      </c>
      <c r="AJ509" s="79">
        <f t="shared" si="54"/>
        <v>600</v>
      </c>
    </row>
    <row r="510" s="30" customFormat="1" ht="15" customHeight="1" spans="1:36">
      <c r="A510" s="44">
        <v>76</v>
      </c>
      <c r="B510" s="44" t="s">
        <v>1527</v>
      </c>
      <c r="C510" s="44" t="s">
        <v>1528</v>
      </c>
      <c r="D510" s="44" t="s">
        <v>213</v>
      </c>
      <c r="E510" s="44" t="s">
        <v>1529</v>
      </c>
      <c r="F510" s="44" t="s">
        <v>1530</v>
      </c>
      <c r="G510" s="44" t="s">
        <v>48</v>
      </c>
      <c r="H510" s="44"/>
      <c r="I510" s="56">
        <v>825</v>
      </c>
      <c r="J510" s="56">
        <v>743</v>
      </c>
      <c r="K510" s="59">
        <v>793.402777777778</v>
      </c>
      <c r="L510" s="59">
        <v>641.796875</v>
      </c>
      <c r="M510" s="59">
        <v>540.783783783784</v>
      </c>
      <c r="N510" s="64">
        <v>800</v>
      </c>
      <c r="O510" s="64">
        <v>720</v>
      </c>
      <c r="P510" s="64">
        <v>600</v>
      </c>
      <c r="Q510" s="44" t="s">
        <v>54</v>
      </c>
      <c r="R510" s="70" t="s">
        <v>67</v>
      </c>
      <c r="S510" s="44" t="s">
        <v>1531</v>
      </c>
      <c r="T510" s="45" t="s">
        <v>1541</v>
      </c>
      <c r="U510" s="45">
        <v>33120200704</v>
      </c>
      <c r="V510" s="45" t="s">
        <v>1542</v>
      </c>
      <c r="W510" s="43" t="s">
        <v>43</v>
      </c>
      <c r="X510" s="71" t="s">
        <v>43</v>
      </c>
      <c r="Y510" s="71" t="s">
        <v>48</v>
      </c>
      <c r="Z510" s="48" t="s">
        <v>43</v>
      </c>
      <c r="AA510" s="75">
        <v>530</v>
      </c>
      <c r="AB510" s="75">
        <v>480</v>
      </c>
      <c r="AC510" s="80">
        <v>525</v>
      </c>
      <c r="AD510" s="80">
        <v>500</v>
      </c>
      <c r="AE510" s="80">
        <v>425</v>
      </c>
      <c r="AF510" s="79">
        <f t="shared" si="50"/>
        <v>0</v>
      </c>
      <c r="AG510" s="79" t="str">
        <f t="shared" si="51"/>
        <v>睾丸鞘膜翻转费</v>
      </c>
      <c r="AH510" s="79">
        <f t="shared" si="52"/>
        <v>800</v>
      </c>
      <c r="AI510" s="79">
        <f t="shared" si="53"/>
        <v>720</v>
      </c>
      <c r="AJ510" s="79">
        <f t="shared" si="54"/>
        <v>600</v>
      </c>
    </row>
    <row r="511" s="31" customFormat="1" ht="15" customHeight="1" spans="1:36">
      <c r="A511" s="81" t="s">
        <v>81</v>
      </c>
      <c r="B511" s="81" t="s">
        <v>1543</v>
      </c>
      <c r="C511" s="81" t="s">
        <v>1544</v>
      </c>
      <c r="D511" s="81" t="s">
        <v>213</v>
      </c>
      <c r="E511" s="81"/>
      <c r="F511" s="81"/>
      <c r="G511" s="81" t="s">
        <v>48</v>
      </c>
      <c r="H511" s="81"/>
      <c r="I511" s="56">
        <v>248</v>
      </c>
      <c r="J511" s="56">
        <v>223</v>
      </c>
      <c r="K511" s="59">
        <v>723.799126637555</v>
      </c>
      <c r="L511" s="59">
        <v>238.224299065421</v>
      </c>
      <c r="M511" s="59">
        <v>325</v>
      </c>
      <c r="N511" s="64">
        <v>240</v>
      </c>
      <c r="O511" s="64">
        <v>215</v>
      </c>
      <c r="P511" s="64">
        <v>180</v>
      </c>
      <c r="Q511" s="44" t="s">
        <v>54</v>
      </c>
      <c r="R511" s="69"/>
      <c r="S511" s="44" t="s">
        <v>446</v>
      </c>
      <c r="T511" s="45" t="s">
        <v>1545</v>
      </c>
      <c r="U511" s="45">
        <v>33120200601</v>
      </c>
      <c r="V511" s="45" t="s">
        <v>1546</v>
      </c>
      <c r="W511" s="43" t="s">
        <v>43</v>
      </c>
      <c r="X511" s="71" t="s">
        <v>43</v>
      </c>
      <c r="Y511" s="71" t="s">
        <v>48</v>
      </c>
      <c r="Z511" s="48" t="s">
        <v>43</v>
      </c>
      <c r="AA511" s="75">
        <v>815</v>
      </c>
      <c r="AB511" s="75">
        <v>735</v>
      </c>
      <c r="AC511" s="80">
        <v>815</v>
      </c>
      <c r="AD511" s="80">
        <v>780</v>
      </c>
      <c r="AE511" s="80">
        <v>665</v>
      </c>
      <c r="AF511" s="79">
        <f t="shared" si="50"/>
        <v>11</v>
      </c>
      <c r="AG511" s="79" t="str">
        <f t="shared" si="51"/>
        <v>睾丸鞘膜翻转费</v>
      </c>
      <c r="AH511" s="79">
        <f t="shared" si="52"/>
        <v>1040</v>
      </c>
      <c r="AI511" s="79">
        <f t="shared" si="53"/>
        <v>935</v>
      </c>
      <c r="AJ511" s="79">
        <f t="shared" si="54"/>
        <v>780</v>
      </c>
    </row>
    <row r="512" s="31" customFormat="1" ht="15" customHeight="1" spans="1:36">
      <c r="A512" s="81" t="s">
        <v>81</v>
      </c>
      <c r="B512" s="81" t="s">
        <v>1543</v>
      </c>
      <c r="C512" s="81" t="s">
        <v>1544</v>
      </c>
      <c r="D512" s="81" t="s">
        <v>213</v>
      </c>
      <c r="E512" s="81"/>
      <c r="F512" s="81"/>
      <c r="G512" s="81" t="s">
        <v>48</v>
      </c>
      <c r="H512" s="81"/>
      <c r="I512" s="56">
        <v>248</v>
      </c>
      <c r="J512" s="56">
        <v>223</v>
      </c>
      <c r="K512" s="59">
        <v>723.799126637555</v>
      </c>
      <c r="L512" s="59">
        <v>238.224299065421</v>
      </c>
      <c r="M512" s="59">
        <v>325</v>
      </c>
      <c r="N512" s="64">
        <v>240</v>
      </c>
      <c r="O512" s="64">
        <v>215</v>
      </c>
      <c r="P512" s="64">
        <v>180</v>
      </c>
      <c r="Q512" s="44" t="s">
        <v>54</v>
      </c>
      <c r="R512" s="69"/>
      <c r="S512" s="44" t="s">
        <v>446</v>
      </c>
      <c r="T512" s="45" t="s">
        <v>1547</v>
      </c>
      <c r="U512" s="45">
        <v>33120200603</v>
      </c>
      <c r="V512" s="45" t="s">
        <v>1548</v>
      </c>
      <c r="W512" s="43" t="s">
        <v>43</v>
      </c>
      <c r="X512" s="71" t="s">
        <v>43</v>
      </c>
      <c r="Y512" s="71" t="s">
        <v>48</v>
      </c>
      <c r="Z512" s="48" t="s">
        <v>43</v>
      </c>
      <c r="AA512" s="75">
        <v>1615</v>
      </c>
      <c r="AB512" s="75">
        <v>1455</v>
      </c>
      <c r="AC512" s="80">
        <v>1440</v>
      </c>
      <c r="AD512" s="80">
        <v>1380</v>
      </c>
      <c r="AE512" s="80">
        <v>1175</v>
      </c>
      <c r="AF512" s="79">
        <f t="shared" si="50"/>
        <v>11</v>
      </c>
      <c r="AG512" s="79" t="str">
        <f t="shared" si="51"/>
        <v>睾丸鞘膜翻转费</v>
      </c>
      <c r="AH512" s="79">
        <f t="shared" si="52"/>
        <v>1040</v>
      </c>
      <c r="AI512" s="79">
        <f t="shared" si="53"/>
        <v>935</v>
      </c>
      <c r="AJ512" s="79">
        <f t="shared" si="54"/>
        <v>780</v>
      </c>
    </row>
    <row r="513" s="31" customFormat="1" ht="15" customHeight="1" spans="1:36">
      <c r="A513" s="81" t="s">
        <v>81</v>
      </c>
      <c r="B513" s="81" t="s">
        <v>1543</v>
      </c>
      <c r="C513" s="81" t="s">
        <v>1544</v>
      </c>
      <c r="D513" s="81" t="s">
        <v>213</v>
      </c>
      <c r="E513" s="81"/>
      <c r="F513" s="81"/>
      <c r="G513" s="81" t="s">
        <v>48</v>
      </c>
      <c r="H513" s="81"/>
      <c r="I513" s="56">
        <v>248</v>
      </c>
      <c r="J513" s="56">
        <v>223</v>
      </c>
      <c r="K513" s="59">
        <v>723.799126637555</v>
      </c>
      <c r="L513" s="59">
        <v>238.224299065421</v>
      </c>
      <c r="M513" s="59">
        <v>325</v>
      </c>
      <c r="N513" s="64">
        <v>240</v>
      </c>
      <c r="O513" s="64">
        <v>215</v>
      </c>
      <c r="P513" s="64">
        <v>180</v>
      </c>
      <c r="Q513" s="44" t="s">
        <v>54</v>
      </c>
      <c r="R513" s="69"/>
      <c r="S513" s="44" t="s">
        <v>446</v>
      </c>
      <c r="T513" s="45" t="s">
        <v>1549</v>
      </c>
      <c r="U513" s="45">
        <v>33120200701</v>
      </c>
      <c r="V513" s="45" t="s">
        <v>1550</v>
      </c>
      <c r="W513" s="43" t="s">
        <v>43</v>
      </c>
      <c r="X513" s="71" t="s">
        <v>43</v>
      </c>
      <c r="Y513" s="71" t="s">
        <v>48</v>
      </c>
      <c r="Z513" s="48" t="s">
        <v>43</v>
      </c>
      <c r="AA513" s="75">
        <v>1140</v>
      </c>
      <c r="AB513" s="75">
        <v>1025</v>
      </c>
      <c r="AC513" s="80">
        <v>1140</v>
      </c>
      <c r="AD513" s="80">
        <v>1090</v>
      </c>
      <c r="AE513" s="80">
        <v>925</v>
      </c>
      <c r="AF513" s="79">
        <f t="shared" si="50"/>
        <v>11</v>
      </c>
      <c r="AG513" s="79" t="str">
        <f t="shared" si="51"/>
        <v>睾丸鞘膜翻转费</v>
      </c>
      <c r="AH513" s="79">
        <f t="shared" si="52"/>
        <v>1040</v>
      </c>
      <c r="AI513" s="79">
        <f t="shared" si="53"/>
        <v>935</v>
      </c>
      <c r="AJ513" s="79">
        <f t="shared" si="54"/>
        <v>780</v>
      </c>
    </row>
    <row r="514" s="31" customFormat="1" ht="15" customHeight="1" spans="1:36">
      <c r="A514" s="81" t="s">
        <v>81</v>
      </c>
      <c r="B514" s="81" t="s">
        <v>1543</v>
      </c>
      <c r="C514" s="81" t="s">
        <v>1544</v>
      </c>
      <c r="D514" s="81" t="s">
        <v>213</v>
      </c>
      <c r="E514" s="81"/>
      <c r="F514" s="81"/>
      <c r="G514" s="81" t="s">
        <v>48</v>
      </c>
      <c r="H514" s="81"/>
      <c r="I514" s="56">
        <v>248</v>
      </c>
      <c r="J514" s="56">
        <v>223</v>
      </c>
      <c r="K514" s="59">
        <v>723.799126637555</v>
      </c>
      <c r="L514" s="59">
        <v>238.224299065421</v>
      </c>
      <c r="M514" s="59">
        <v>325</v>
      </c>
      <c r="N514" s="64">
        <v>240</v>
      </c>
      <c r="O514" s="64">
        <v>215</v>
      </c>
      <c r="P514" s="64">
        <v>180</v>
      </c>
      <c r="Q514" s="44" t="s">
        <v>54</v>
      </c>
      <c r="R514" s="69"/>
      <c r="S514" s="44" t="s">
        <v>446</v>
      </c>
      <c r="T514" s="45" t="s">
        <v>1551</v>
      </c>
      <c r="U514" s="45">
        <v>33120200703</v>
      </c>
      <c r="V514" s="45" t="s">
        <v>1552</v>
      </c>
      <c r="W514" s="43" t="s">
        <v>43</v>
      </c>
      <c r="X514" s="71" t="s">
        <v>43</v>
      </c>
      <c r="Y514" s="71" t="s">
        <v>48</v>
      </c>
      <c r="Z514" s="48" t="s">
        <v>43</v>
      </c>
      <c r="AA514" s="75">
        <v>1940</v>
      </c>
      <c r="AB514" s="75">
        <v>1745</v>
      </c>
      <c r="AC514" s="80">
        <v>1765</v>
      </c>
      <c r="AD514" s="80">
        <v>1690</v>
      </c>
      <c r="AE514" s="80">
        <v>1435</v>
      </c>
      <c r="AF514" s="79">
        <f t="shared" si="50"/>
        <v>11</v>
      </c>
      <c r="AG514" s="79" t="str">
        <f t="shared" si="51"/>
        <v>睾丸鞘膜翻转费</v>
      </c>
      <c r="AH514" s="79">
        <f t="shared" si="52"/>
        <v>1040</v>
      </c>
      <c r="AI514" s="79">
        <f t="shared" si="53"/>
        <v>935</v>
      </c>
      <c r="AJ514" s="79">
        <f t="shared" si="54"/>
        <v>780</v>
      </c>
    </row>
    <row r="515" s="31" customFormat="1" ht="15" customHeight="1" spans="1:36">
      <c r="A515" s="81" t="s">
        <v>81</v>
      </c>
      <c r="B515" s="81" t="s">
        <v>1543</v>
      </c>
      <c r="C515" s="81" t="s">
        <v>1544</v>
      </c>
      <c r="D515" s="81" t="s">
        <v>213</v>
      </c>
      <c r="E515" s="81"/>
      <c r="F515" s="81"/>
      <c r="G515" s="81" t="s">
        <v>48</v>
      </c>
      <c r="H515" s="81"/>
      <c r="I515" s="56">
        <v>248</v>
      </c>
      <c r="J515" s="56">
        <v>223</v>
      </c>
      <c r="K515" s="59">
        <v>723.799126637555</v>
      </c>
      <c r="L515" s="59">
        <v>238.224299065421</v>
      </c>
      <c r="M515" s="59">
        <v>325</v>
      </c>
      <c r="N515" s="64">
        <v>240</v>
      </c>
      <c r="O515" s="64">
        <v>215</v>
      </c>
      <c r="P515" s="64">
        <v>180</v>
      </c>
      <c r="Q515" s="44" t="s">
        <v>54</v>
      </c>
      <c r="R515" s="69"/>
      <c r="S515" s="44" t="s">
        <v>446</v>
      </c>
      <c r="T515" s="45" t="s">
        <v>1553</v>
      </c>
      <c r="U515" s="45">
        <v>33120200705</v>
      </c>
      <c r="V515" s="45" t="s">
        <v>1554</v>
      </c>
      <c r="W515" s="43" t="s">
        <v>43</v>
      </c>
      <c r="X515" s="71" t="s">
        <v>43</v>
      </c>
      <c r="Y515" s="71" t="s">
        <v>48</v>
      </c>
      <c r="Z515" s="48" t="s">
        <v>43</v>
      </c>
      <c r="AA515" s="75">
        <v>689</v>
      </c>
      <c r="AB515" s="75">
        <v>624</v>
      </c>
      <c r="AC515" s="80">
        <v>685</v>
      </c>
      <c r="AD515" s="80">
        <v>650</v>
      </c>
      <c r="AE515" s="80">
        <v>555</v>
      </c>
      <c r="AF515" s="79">
        <f t="shared" si="50"/>
        <v>11</v>
      </c>
      <c r="AG515" s="79" t="str">
        <f t="shared" si="51"/>
        <v>睾丸鞘膜翻转费</v>
      </c>
      <c r="AH515" s="79">
        <f t="shared" si="52"/>
        <v>1040</v>
      </c>
      <c r="AI515" s="79">
        <f t="shared" si="53"/>
        <v>935</v>
      </c>
      <c r="AJ515" s="79">
        <f t="shared" si="54"/>
        <v>780</v>
      </c>
    </row>
    <row r="516" ht="31" customHeight="1" spans="1:36">
      <c r="A516" s="44">
        <v>77</v>
      </c>
      <c r="B516" s="44" t="s">
        <v>1555</v>
      </c>
      <c r="C516" s="44" t="s">
        <v>1556</v>
      </c>
      <c r="D516" s="44" t="s">
        <v>213</v>
      </c>
      <c r="E516" s="44" t="s">
        <v>1557</v>
      </c>
      <c r="F516" s="44" t="s">
        <v>1558</v>
      </c>
      <c r="G516" s="44" t="s">
        <v>48</v>
      </c>
      <c r="H516" s="44"/>
      <c r="I516" s="56">
        <v>1000</v>
      </c>
      <c r="J516" s="56">
        <v>900</v>
      </c>
      <c r="K516" s="57">
        <v>1000</v>
      </c>
      <c r="L516" s="57">
        <v>960</v>
      </c>
      <c r="M516" s="55"/>
      <c r="N516" s="64">
        <v>950</v>
      </c>
      <c r="O516" s="64">
        <v>900</v>
      </c>
      <c r="P516" s="64">
        <v>770</v>
      </c>
      <c r="Q516" s="44" t="s">
        <v>54</v>
      </c>
      <c r="R516" s="70" t="s">
        <v>76</v>
      </c>
      <c r="S516" s="44" t="s">
        <v>1559</v>
      </c>
      <c r="T516" s="43" t="s">
        <v>1560</v>
      </c>
      <c r="U516" s="71">
        <v>331202009</v>
      </c>
      <c r="V516" s="43" t="s">
        <v>1561</v>
      </c>
      <c r="W516" s="43" t="s">
        <v>43</v>
      </c>
      <c r="X516" s="71" t="s">
        <v>43</v>
      </c>
      <c r="Y516" s="71" t="s">
        <v>40</v>
      </c>
      <c r="Z516" s="48" t="s">
        <v>43</v>
      </c>
      <c r="AA516" s="75">
        <v>1000</v>
      </c>
      <c r="AB516" s="75">
        <v>900</v>
      </c>
      <c r="AC516" s="80">
        <v>1000</v>
      </c>
      <c r="AD516" s="80">
        <v>960</v>
      </c>
      <c r="AE516" s="80">
        <v>816</v>
      </c>
      <c r="AF516" s="79">
        <f t="shared" si="50"/>
        <v>0</v>
      </c>
      <c r="AG516" s="79" t="str">
        <f t="shared" si="51"/>
        <v>睾丸修补费</v>
      </c>
      <c r="AH516" s="79">
        <f t="shared" si="52"/>
        <v>950</v>
      </c>
      <c r="AI516" s="79">
        <f t="shared" si="53"/>
        <v>900</v>
      </c>
      <c r="AJ516" s="79">
        <f t="shared" si="54"/>
        <v>770</v>
      </c>
    </row>
    <row r="517" ht="31" customHeight="1" spans="1:36">
      <c r="A517" s="44">
        <v>77</v>
      </c>
      <c r="B517" s="44" t="s">
        <v>1555</v>
      </c>
      <c r="C517" s="44" t="s">
        <v>1556</v>
      </c>
      <c r="D517" s="44" t="s">
        <v>213</v>
      </c>
      <c r="E517" s="44" t="s">
        <v>1557</v>
      </c>
      <c r="F517" s="44" t="s">
        <v>1558</v>
      </c>
      <c r="G517" s="44" t="s">
        <v>48</v>
      </c>
      <c r="H517" s="44"/>
      <c r="I517" s="56">
        <v>1000</v>
      </c>
      <c r="J517" s="56">
        <v>900</v>
      </c>
      <c r="K517" s="57">
        <v>1000</v>
      </c>
      <c r="L517" s="57">
        <v>960</v>
      </c>
      <c r="M517" s="55"/>
      <c r="N517" s="64">
        <v>950</v>
      </c>
      <c r="O517" s="64">
        <v>900</v>
      </c>
      <c r="P517" s="64">
        <v>770</v>
      </c>
      <c r="Q517" s="44" t="s">
        <v>54</v>
      </c>
      <c r="R517" s="70" t="s">
        <v>76</v>
      </c>
      <c r="S517" s="44" t="s">
        <v>1559</v>
      </c>
      <c r="T517" s="45" t="s">
        <v>1562</v>
      </c>
      <c r="U517" s="71">
        <v>33120200902</v>
      </c>
      <c r="V517" s="43" t="s">
        <v>1563</v>
      </c>
      <c r="W517" s="43" t="s">
        <v>43</v>
      </c>
      <c r="X517" s="71" t="s">
        <v>43</v>
      </c>
      <c r="Y517" s="71" t="s">
        <v>40</v>
      </c>
      <c r="Z517" s="48" t="s">
        <v>43</v>
      </c>
      <c r="AA517" s="75">
        <v>1800</v>
      </c>
      <c r="AB517" s="75">
        <v>1620</v>
      </c>
      <c r="AC517" s="80">
        <v>1625</v>
      </c>
      <c r="AD517" s="80">
        <v>1560</v>
      </c>
      <c r="AE517" s="80">
        <v>1326</v>
      </c>
      <c r="AF517" s="79">
        <f t="shared" si="50"/>
        <v>0</v>
      </c>
      <c r="AG517" s="79" t="str">
        <f t="shared" si="51"/>
        <v>睾丸修补费</v>
      </c>
      <c r="AH517" s="79">
        <f t="shared" si="52"/>
        <v>950</v>
      </c>
      <c r="AI517" s="79">
        <f t="shared" si="53"/>
        <v>900</v>
      </c>
      <c r="AJ517" s="79">
        <f t="shared" si="54"/>
        <v>770</v>
      </c>
    </row>
    <row r="518" ht="25.5" spans="1:36">
      <c r="A518" s="81" t="s">
        <v>81</v>
      </c>
      <c r="B518" s="81" t="s">
        <v>1564</v>
      </c>
      <c r="C518" s="81" t="s">
        <v>1565</v>
      </c>
      <c r="D518" s="81" t="s">
        <v>213</v>
      </c>
      <c r="E518" s="81"/>
      <c r="F518" s="81"/>
      <c r="G518" s="81" t="s">
        <v>48</v>
      </c>
      <c r="H518" s="81"/>
      <c r="I518" s="56">
        <v>300</v>
      </c>
      <c r="J518" s="56">
        <v>270</v>
      </c>
      <c r="K518" s="54"/>
      <c r="L518" s="54"/>
      <c r="M518" s="54"/>
      <c r="N518" s="64">
        <v>285</v>
      </c>
      <c r="O518" s="64">
        <v>270</v>
      </c>
      <c r="P518" s="64">
        <v>230</v>
      </c>
      <c r="Q518" s="44" t="s">
        <v>54</v>
      </c>
      <c r="R518" s="69"/>
      <c r="S518" s="49"/>
      <c r="T518" s="45" t="s">
        <v>1566</v>
      </c>
      <c r="U518" s="45">
        <v>33120200901</v>
      </c>
      <c r="V518" s="45" t="s">
        <v>1567</v>
      </c>
      <c r="W518" s="43" t="s">
        <v>43</v>
      </c>
      <c r="X518" s="71" t="s">
        <v>43</v>
      </c>
      <c r="Y518" s="71" t="s">
        <v>40</v>
      </c>
      <c r="Z518" s="48" t="s">
        <v>43</v>
      </c>
      <c r="AA518" s="75">
        <v>1300</v>
      </c>
      <c r="AB518" s="75">
        <v>1170</v>
      </c>
      <c r="AC518" s="80">
        <v>1300</v>
      </c>
      <c r="AD518" s="80">
        <v>1250</v>
      </c>
      <c r="AE518" s="80">
        <v>1065</v>
      </c>
      <c r="AF518" s="79">
        <f t="shared" ref="AF518:AF581" si="55">IFERROR(FIND("（加收）",C518,1),0)</f>
        <v>9</v>
      </c>
      <c r="AG518" s="79" t="str">
        <f t="shared" ref="AG518:AG581" si="56">IF(AF518&gt;0,LEFT(C518,IFERROR(FIND("-",C518,1),1)-1),C518)</f>
        <v>睾丸修补费</v>
      </c>
      <c r="AH518" s="79">
        <f t="shared" si="52"/>
        <v>1235</v>
      </c>
      <c r="AI518" s="79">
        <f t="shared" si="53"/>
        <v>1170</v>
      </c>
      <c r="AJ518" s="79">
        <f t="shared" si="54"/>
        <v>1000</v>
      </c>
    </row>
    <row r="519" ht="25.5" spans="1:36">
      <c r="A519" s="81" t="s">
        <v>81</v>
      </c>
      <c r="B519" s="81" t="s">
        <v>1564</v>
      </c>
      <c r="C519" s="81" t="s">
        <v>1565</v>
      </c>
      <c r="D519" s="81" t="s">
        <v>213</v>
      </c>
      <c r="E519" s="81"/>
      <c r="F519" s="81"/>
      <c r="G519" s="81" t="s">
        <v>48</v>
      </c>
      <c r="H519" s="81"/>
      <c r="I519" s="56">
        <v>300</v>
      </c>
      <c r="J519" s="56">
        <v>270</v>
      </c>
      <c r="K519" s="54"/>
      <c r="L519" s="54"/>
      <c r="M519" s="54"/>
      <c r="N519" s="64">
        <v>285</v>
      </c>
      <c r="O519" s="64">
        <v>270</v>
      </c>
      <c r="P519" s="64">
        <v>230</v>
      </c>
      <c r="Q519" s="44" t="s">
        <v>54</v>
      </c>
      <c r="R519" s="69"/>
      <c r="S519" s="49"/>
      <c r="T519" s="45" t="s">
        <v>1568</v>
      </c>
      <c r="U519" s="45">
        <v>33120200903</v>
      </c>
      <c r="V519" s="45" t="s">
        <v>1569</v>
      </c>
      <c r="W519" s="43" t="s">
        <v>43</v>
      </c>
      <c r="X519" s="71" t="s">
        <v>43</v>
      </c>
      <c r="Y519" s="71" t="s">
        <v>40</v>
      </c>
      <c r="Z519" s="48" t="s">
        <v>43</v>
      </c>
      <c r="AA519" s="75">
        <v>2100</v>
      </c>
      <c r="AB519" s="75">
        <v>1890</v>
      </c>
      <c r="AC519" s="80">
        <v>1925</v>
      </c>
      <c r="AD519" s="80">
        <v>1850</v>
      </c>
      <c r="AE519" s="80">
        <v>1575</v>
      </c>
      <c r="AF519" s="79">
        <f t="shared" si="55"/>
        <v>9</v>
      </c>
      <c r="AG519" s="79" t="str">
        <f t="shared" si="56"/>
        <v>睾丸修补费</v>
      </c>
      <c r="AH519" s="79">
        <f t="shared" si="52"/>
        <v>1235</v>
      </c>
      <c r="AI519" s="79">
        <f t="shared" si="53"/>
        <v>1170</v>
      </c>
      <c r="AJ519" s="79">
        <f t="shared" si="54"/>
        <v>1000</v>
      </c>
    </row>
    <row r="520" ht="51" spans="1:36">
      <c r="A520" s="44">
        <v>78</v>
      </c>
      <c r="B520" s="44" t="s">
        <v>1570</v>
      </c>
      <c r="C520" s="44" t="s">
        <v>1571</v>
      </c>
      <c r="D520" s="44" t="s">
        <v>213</v>
      </c>
      <c r="E520" s="44" t="s">
        <v>1572</v>
      </c>
      <c r="F520" s="44" t="s">
        <v>1573</v>
      </c>
      <c r="G520" s="44" t="s">
        <v>48</v>
      </c>
      <c r="H520" s="44"/>
      <c r="I520" s="56">
        <v>1191</v>
      </c>
      <c r="J520" s="56">
        <v>1072</v>
      </c>
      <c r="K520" s="59">
        <v>1125.48484848485</v>
      </c>
      <c r="L520" s="59">
        <v>989.798657718121</v>
      </c>
      <c r="M520" s="59">
        <v>795.6</v>
      </c>
      <c r="N520" s="64">
        <v>1125</v>
      </c>
      <c r="O520" s="64">
        <v>1000</v>
      </c>
      <c r="P520" s="64">
        <v>850</v>
      </c>
      <c r="Q520" s="44" t="s">
        <v>54</v>
      </c>
      <c r="R520" s="70" t="s">
        <v>76</v>
      </c>
      <c r="S520" s="44" t="s">
        <v>1531</v>
      </c>
      <c r="T520" s="43" t="s">
        <v>1574</v>
      </c>
      <c r="U520" s="71">
        <v>331202010</v>
      </c>
      <c r="V520" s="43" t="s">
        <v>1575</v>
      </c>
      <c r="W520" s="43" t="s">
        <v>1576</v>
      </c>
      <c r="X520" s="71" t="s">
        <v>43</v>
      </c>
      <c r="Y520" s="71" t="s">
        <v>48</v>
      </c>
      <c r="Z520" s="48" t="s">
        <v>43</v>
      </c>
      <c r="AA520" s="75">
        <v>1000</v>
      </c>
      <c r="AB520" s="75">
        <v>900</v>
      </c>
      <c r="AC520" s="80">
        <v>1000</v>
      </c>
      <c r="AD520" s="80">
        <v>960</v>
      </c>
      <c r="AE520" s="80">
        <v>816</v>
      </c>
      <c r="AF520" s="79">
        <f t="shared" si="55"/>
        <v>0</v>
      </c>
      <c r="AG520" s="79" t="str">
        <f t="shared" si="56"/>
        <v>睾丸扭转复位费</v>
      </c>
      <c r="AH520" s="79">
        <f t="shared" si="52"/>
        <v>1125</v>
      </c>
      <c r="AI520" s="79">
        <f t="shared" si="53"/>
        <v>1000</v>
      </c>
      <c r="AJ520" s="79">
        <f t="shared" si="54"/>
        <v>850</v>
      </c>
    </row>
    <row r="521" ht="51" spans="1:36">
      <c r="A521" s="44">
        <v>78</v>
      </c>
      <c r="B521" s="44" t="s">
        <v>1570</v>
      </c>
      <c r="C521" s="44" t="s">
        <v>1571</v>
      </c>
      <c r="D521" s="44" t="s">
        <v>213</v>
      </c>
      <c r="E521" s="44" t="s">
        <v>1572</v>
      </c>
      <c r="F521" s="44" t="s">
        <v>1573</v>
      </c>
      <c r="G521" s="44" t="s">
        <v>48</v>
      </c>
      <c r="H521" s="44"/>
      <c r="I521" s="56">
        <v>1191</v>
      </c>
      <c r="J521" s="56">
        <v>1072</v>
      </c>
      <c r="K521" s="59">
        <v>1125.48484848485</v>
      </c>
      <c r="L521" s="59">
        <v>989.798657718121</v>
      </c>
      <c r="M521" s="59">
        <v>795.6</v>
      </c>
      <c r="N521" s="64">
        <v>1125</v>
      </c>
      <c r="O521" s="64">
        <v>1000</v>
      </c>
      <c r="P521" s="64">
        <v>850</v>
      </c>
      <c r="Q521" s="44" t="s">
        <v>54</v>
      </c>
      <c r="R521" s="70" t="s">
        <v>76</v>
      </c>
      <c r="S521" s="44" t="s">
        <v>1531</v>
      </c>
      <c r="T521" s="43" t="s">
        <v>1577</v>
      </c>
      <c r="U521" s="71">
        <v>33120201002</v>
      </c>
      <c r="V521" s="43" t="s">
        <v>1578</v>
      </c>
      <c r="W521" s="43" t="s">
        <v>43</v>
      </c>
      <c r="X521" s="71" t="s">
        <v>43</v>
      </c>
      <c r="Y521" s="71" t="s">
        <v>48</v>
      </c>
      <c r="Z521" s="48" t="s">
        <v>43</v>
      </c>
      <c r="AA521" s="75">
        <v>1800</v>
      </c>
      <c r="AB521" s="75">
        <v>1620</v>
      </c>
      <c r="AC521" s="80">
        <v>1625</v>
      </c>
      <c r="AD521" s="80">
        <v>1560</v>
      </c>
      <c r="AE521" s="80">
        <v>1326</v>
      </c>
      <c r="AF521" s="79">
        <f t="shared" si="55"/>
        <v>0</v>
      </c>
      <c r="AG521" s="79" t="str">
        <f t="shared" si="56"/>
        <v>睾丸扭转复位费</v>
      </c>
      <c r="AH521" s="79">
        <f t="shared" si="52"/>
        <v>1125</v>
      </c>
      <c r="AI521" s="79">
        <f t="shared" si="53"/>
        <v>1000</v>
      </c>
      <c r="AJ521" s="79">
        <f t="shared" si="54"/>
        <v>850</v>
      </c>
    </row>
    <row r="522" ht="51" spans="1:36">
      <c r="A522" s="44">
        <v>78</v>
      </c>
      <c r="B522" s="44" t="s">
        <v>1570</v>
      </c>
      <c r="C522" s="44" t="s">
        <v>1571</v>
      </c>
      <c r="D522" s="44" t="s">
        <v>213</v>
      </c>
      <c r="E522" s="44" t="s">
        <v>1572</v>
      </c>
      <c r="F522" s="44" t="s">
        <v>1573</v>
      </c>
      <c r="G522" s="44" t="s">
        <v>48</v>
      </c>
      <c r="H522" s="44"/>
      <c r="I522" s="56">
        <v>1191</v>
      </c>
      <c r="J522" s="56">
        <v>1072</v>
      </c>
      <c r="K522" s="59">
        <v>1125.48484848485</v>
      </c>
      <c r="L522" s="59">
        <v>989.798657718121</v>
      </c>
      <c r="M522" s="59">
        <v>795.6</v>
      </c>
      <c r="N522" s="64">
        <v>1125</v>
      </c>
      <c r="O522" s="64">
        <v>1000</v>
      </c>
      <c r="P522" s="64">
        <v>850</v>
      </c>
      <c r="Q522" s="44" t="s">
        <v>54</v>
      </c>
      <c r="R522" s="70" t="s">
        <v>76</v>
      </c>
      <c r="S522" s="44" t="s">
        <v>1531</v>
      </c>
      <c r="T522" s="43" t="s">
        <v>1579</v>
      </c>
      <c r="U522" s="71">
        <v>331202008</v>
      </c>
      <c r="V522" s="43" t="s">
        <v>1580</v>
      </c>
      <c r="W522" s="43" t="s">
        <v>1581</v>
      </c>
      <c r="X522" s="71" t="s">
        <v>43</v>
      </c>
      <c r="Y522" s="71" t="s">
        <v>48</v>
      </c>
      <c r="Z522" s="48" t="s">
        <v>43</v>
      </c>
      <c r="AA522" s="75">
        <v>875</v>
      </c>
      <c r="AB522" s="75">
        <v>790</v>
      </c>
      <c r="AC522" s="80">
        <v>875</v>
      </c>
      <c r="AD522" s="80">
        <v>840</v>
      </c>
      <c r="AE522" s="80">
        <v>714</v>
      </c>
      <c r="AF522" s="79">
        <f t="shared" si="55"/>
        <v>0</v>
      </c>
      <c r="AG522" s="79" t="str">
        <f t="shared" si="56"/>
        <v>睾丸扭转复位费</v>
      </c>
      <c r="AH522" s="79">
        <f t="shared" si="52"/>
        <v>1125</v>
      </c>
      <c r="AI522" s="79">
        <f t="shared" si="53"/>
        <v>1000</v>
      </c>
      <c r="AJ522" s="79">
        <f t="shared" si="54"/>
        <v>850</v>
      </c>
    </row>
    <row r="523" ht="51" spans="1:36">
      <c r="A523" s="44">
        <v>78</v>
      </c>
      <c r="B523" s="44" t="s">
        <v>1570</v>
      </c>
      <c r="C523" s="44" t="s">
        <v>1571</v>
      </c>
      <c r="D523" s="44" t="s">
        <v>213</v>
      </c>
      <c r="E523" s="44" t="s">
        <v>1572</v>
      </c>
      <c r="F523" s="44" t="s">
        <v>1573</v>
      </c>
      <c r="G523" s="44" t="s">
        <v>48</v>
      </c>
      <c r="H523" s="44"/>
      <c r="I523" s="56">
        <v>1191</v>
      </c>
      <c r="J523" s="56">
        <v>1072</v>
      </c>
      <c r="K523" s="59">
        <v>1125.48484848485</v>
      </c>
      <c r="L523" s="59">
        <v>989.798657718121</v>
      </c>
      <c r="M523" s="59">
        <v>795.6</v>
      </c>
      <c r="N523" s="64">
        <v>1125</v>
      </c>
      <c r="O523" s="64">
        <v>1000</v>
      </c>
      <c r="P523" s="64">
        <v>850</v>
      </c>
      <c r="Q523" s="44" t="s">
        <v>54</v>
      </c>
      <c r="R523" s="70" t="s">
        <v>76</v>
      </c>
      <c r="S523" s="44" t="s">
        <v>1531</v>
      </c>
      <c r="T523" s="43" t="s">
        <v>1582</v>
      </c>
      <c r="U523" s="71">
        <v>33120200802</v>
      </c>
      <c r="V523" s="43" t="s">
        <v>1583</v>
      </c>
      <c r="W523" s="43" t="s">
        <v>43</v>
      </c>
      <c r="X523" s="71" t="s">
        <v>43</v>
      </c>
      <c r="Y523" s="71" t="s">
        <v>48</v>
      </c>
      <c r="Z523" s="48" t="s">
        <v>43</v>
      </c>
      <c r="AA523" s="75">
        <v>1675</v>
      </c>
      <c r="AB523" s="75">
        <v>1510</v>
      </c>
      <c r="AC523" s="80">
        <v>1500</v>
      </c>
      <c r="AD523" s="80">
        <v>1440</v>
      </c>
      <c r="AE523" s="80">
        <v>1224</v>
      </c>
      <c r="AF523" s="79">
        <f t="shared" si="55"/>
        <v>0</v>
      </c>
      <c r="AG523" s="79" t="str">
        <f t="shared" si="56"/>
        <v>睾丸扭转复位费</v>
      </c>
      <c r="AH523" s="79">
        <f t="shared" si="52"/>
        <v>1125</v>
      </c>
      <c r="AI523" s="79">
        <f t="shared" si="53"/>
        <v>1000</v>
      </c>
      <c r="AJ523" s="79">
        <f t="shared" si="54"/>
        <v>850</v>
      </c>
    </row>
    <row r="524" ht="51" spans="1:36">
      <c r="A524" s="44">
        <v>78</v>
      </c>
      <c r="B524" s="44" t="s">
        <v>1570</v>
      </c>
      <c r="C524" s="44" t="s">
        <v>1571</v>
      </c>
      <c r="D524" s="44" t="s">
        <v>213</v>
      </c>
      <c r="E524" s="44" t="s">
        <v>1572</v>
      </c>
      <c r="F524" s="44" t="s">
        <v>1573</v>
      </c>
      <c r="G524" s="44" t="s">
        <v>48</v>
      </c>
      <c r="H524" s="44"/>
      <c r="I524" s="56">
        <v>1191</v>
      </c>
      <c r="J524" s="56">
        <v>1072</v>
      </c>
      <c r="K524" s="59">
        <v>1125.48484848485</v>
      </c>
      <c r="L524" s="59">
        <v>989.798657718121</v>
      </c>
      <c r="M524" s="59">
        <v>795.6</v>
      </c>
      <c r="N524" s="64">
        <v>1125</v>
      </c>
      <c r="O524" s="64">
        <v>1000</v>
      </c>
      <c r="P524" s="64">
        <v>850</v>
      </c>
      <c r="Q524" s="44" t="s">
        <v>54</v>
      </c>
      <c r="R524" s="70" t="s">
        <v>76</v>
      </c>
      <c r="S524" s="44" t="s">
        <v>1531</v>
      </c>
      <c r="T524" s="43" t="s">
        <v>1584</v>
      </c>
      <c r="U524" s="71">
        <v>331202014</v>
      </c>
      <c r="V524" s="43" t="s">
        <v>1585</v>
      </c>
      <c r="W524" s="43" t="s">
        <v>1586</v>
      </c>
      <c r="X524" s="71" t="s">
        <v>43</v>
      </c>
      <c r="Y524" s="71" t="s">
        <v>48</v>
      </c>
      <c r="Z524" s="48" t="s">
        <v>43</v>
      </c>
      <c r="AA524" s="75">
        <v>2880</v>
      </c>
      <c r="AB524" s="75">
        <v>2590</v>
      </c>
      <c r="AC524" s="80">
        <v>2530</v>
      </c>
      <c r="AD524" s="80">
        <v>2280</v>
      </c>
      <c r="AE524" s="80">
        <v>1940</v>
      </c>
      <c r="AF524" s="79">
        <f t="shared" si="55"/>
        <v>0</v>
      </c>
      <c r="AG524" s="79" t="str">
        <f t="shared" si="56"/>
        <v>睾丸扭转复位费</v>
      </c>
      <c r="AH524" s="79">
        <f t="shared" si="52"/>
        <v>1125</v>
      </c>
      <c r="AI524" s="79">
        <f t="shared" si="53"/>
        <v>1000</v>
      </c>
      <c r="AJ524" s="79">
        <f t="shared" si="54"/>
        <v>850</v>
      </c>
    </row>
    <row r="525" ht="25.5" spans="1:36">
      <c r="A525" s="81" t="s">
        <v>81</v>
      </c>
      <c r="B525" s="114" t="s">
        <v>1587</v>
      </c>
      <c r="C525" s="81" t="s">
        <v>1588</v>
      </c>
      <c r="D525" s="81" t="s">
        <v>213</v>
      </c>
      <c r="E525" s="81"/>
      <c r="F525" s="81"/>
      <c r="G525" s="81" t="s">
        <v>48</v>
      </c>
      <c r="H525" s="81"/>
      <c r="I525" s="56">
        <v>357</v>
      </c>
      <c r="J525" s="56">
        <v>322</v>
      </c>
      <c r="K525" s="59">
        <v>627.679045092838</v>
      </c>
      <c r="L525" s="59">
        <v>325</v>
      </c>
      <c r="M525" s="84"/>
      <c r="N525" s="64">
        <v>340</v>
      </c>
      <c r="O525" s="64">
        <v>300</v>
      </c>
      <c r="P525" s="64">
        <v>255</v>
      </c>
      <c r="Q525" s="44" t="s">
        <v>54</v>
      </c>
      <c r="R525" s="69"/>
      <c r="S525" s="49"/>
      <c r="T525" s="45" t="s">
        <v>1589</v>
      </c>
      <c r="U525" s="45">
        <v>33120201001</v>
      </c>
      <c r="V525" s="45" t="s">
        <v>1590</v>
      </c>
      <c r="W525" s="43" t="s">
        <v>43</v>
      </c>
      <c r="X525" s="71" t="s">
        <v>43</v>
      </c>
      <c r="Y525" s="71" t="s">
        <v>48</v>
      </c>
      <c r="Z525" s="48" t="s">
        <v>43</v>
      </c>
      <c r="AA525" s="75">
        <v>1300</v>
      </c>
      <c r="AB525" s="75">
        <v>1170</v>
      </c>
      <c r="AC525" s="80">
        <v>1300</v>
      </c>
      <c r="AD525" s="80">
        <v>1250</v>
      </c>
      <c r="AE525" s="80">
        <v>1065</v>
      </c>
      <c r="AF525" s="79">
        <f t="shared" si="55"/>
        <v>11</v>
      </c>
      <c r="AG525" s="79" t="str">
        <f t="shared" si="56"/>
        <v>睾丸扭转复位费</v>
      </c>
      <c r="AH525" s="79">
        <f t="shared" si="52"/>
        <v>1465</v>
      </c>
      <c r="AI525" s="79">
        <f t="shared" si="53"/>
        <v>1300</v>
      </c>
      <c r="AJ525" s="79">
        <f t="shared" si="54"/>
        <v>1105</v>
      </c>
    </row>
    <row r="526" ht="25.5" spans="1:36">
      <c r="A526" s="81" t="s">
        <v>81</v>
      </c>
      <c r="B526" s="114" t="s">
        <v>1587</v>
      </c>
      <c r="C526" s="81" t="s">
        <v>1588</v>
      </c>
      <c r="D526" s="81" t="s">
        <v>213</v>
      </c>
      <c r="E526" s="81"/>
      <c r="F526" s="81"/>
      <c r="G526" s="81" t="s">
        <v>48</v>
      </c>
      <c r="H526" s="81"/>
      <c r="I526" s="56">
        <v>357</v>
      </c>
      <c r="J526" s="56">
        <v>322</v>
      </c>
      <c r="K526" s="59">
        <v>627.679045092838</v>
      </c>
      <c r="L526" s="59">
        <v>325</v>
      </c>
      <c r="M526" s="84"/>
      <c r="N526" s="64">
        <v>340</v>
      </c>
      <c r="O526" s="64">
        <v>300</v>
      </c>
      <c r="P526" s="64">
        <v>255</v>
      </c>
      <c r="Q526" s="44" t="s">
        <v>54</v>
      </c>
      <c r="R526" s="69"/>
      <c r="S526" s="49"/>
      <c r="T526" s="45" t="s">
        <v>1591</v>
      </c>
      <c r="U526" s="45">
        <v>33120201003</v>
      </c>
      <c r="V526" s="45" t="s">
        <v>1592</v>
      </c>
      <c r="W526" s="43" t="s">
        <v>43</v>
      </c>
      <c r="X526" s="71" t="s">
        <v>43</v>
      </c>
      <c r="Y526" s="71" t="s">
        <v>48</v>
      </c>
      <c r="Z526" s="48" t="s">
        <v>43</v>
      </c>
      <c r="AA526" s="75">
        <v>2100</v>
      </c>
      <c r="AB526" s="75">
        <v>1890</v>
      </c>
      <c r="AC526" s="80">
        <v>1925</v>
      </c>
      <c r="AD526" s="80">
        <v>1850</v>
      </c>
      <c r="AE526" s="80">
        <v>1575</v>
      </c>
      <c r="AF526" s="79">
        <f t="shared" si="55"/>
        <v>11</v>
      </c>
      <c r="AG526" s="79" t="str">
        <f t="shared" si="56"/>
        <v>睾丸扭转复位费</v>
      </c>
      <c r="AH526" s="79">
        <f t="shared" si="52"/>
        <v>1465</v>
      </c>
      <c r="AI526" s="79">
        <f t="shared" si="53"/>
        <v>1300</v>
      </c>
      <c r="AJ526" s="79">
        <f t="shared" si="54"/>
        <v>1105</v>
      </c>
    </row>
    <row r="527" ht="25.5" spans="1:36">
      <c r="A527" s="81" t="s">
        <v>81</v>
      </c>
      <c r="B527" s="114" t="s">
        <v>1587</v>
      </c>
      <c r="C527" s="81" t="s">
        <v>1588</v>
      </c>
      <c r="D527" s="81" t="s">
        <v>213</v>
      </c>
      <c r="E527" s="81"/>
      <c r="F527" s="81"/>
      <c r="G527" s="81" t="s">
        <v>48</v>
      </c>
      <c r="H527" s="81"/>
      <c r="I527" s="56">
        <v>357</v>
      </c>
      <c r="J527" s="56">
        <v>322</v>
      </c>
      <c r="K527" s="59">
        <v>627.679045092838</v>
      </c>
      <c r="L527" s="59">
        <v>325</v>
      </c>
      <c r="M527" s="84"/>
      <c r="N527" s="64">
        <v>340</v>
      </c>
      <c r="O527" s="64">
        <v>300</v>
      </c>
      <c r="P527" s="64">
        <v>255</v>
      </c>
      <c r="Q527" s="44" t="s">
        <v>54</v>
      </c>
      <c r="R527" s="69"/>
      <c r="S527" s="49"/>
      <c r="T527" s="45" t="s">
        <v>1593</v>
      </c>
      <c r="U527" s="45">
        <v>33120200801</v>
      </c>
      <c r="V527" s="45" t="s">
        <v>1594</v>
      </c>
      <c r="W527" s="43" t="s">
        <v>43</v>
      </c>
      <c r="X527" s="71" t="s">
        <v>43</v>
      </c>
      <c r="Y527" s="71" t="s">
        <v>48</v>
      </c>
      <c r="Z527" s="48" t="s">
        <v>43</v>
      </c>
      <c r="AA527" s="75">
        <v>1140</v>
      </c>
      <c r="AB527" s="75">
        <v>1025</v>
      </c>
      <c r="AC527" s="80">
        <v>1140</v>
      </c>
      <c r="AD527" s="80">
        <v>1090</v>
      </c>
      <c r="AE527" s="80">
        <v>925</v>
      </c>
      <c r="AF527" s="79">
        <f t="shared" si="55"/>
        <v>11</v>
      </c>
      <c r="AG527" s="79" t="str">
        <f t="shared" si="56"/>
        <v>睾丸扭转复位费</v>
      </c>
      <c r="AH527" s="79">
        <f t="shared" si="52"/>
        <v>1465</v>
      </c>
      <c r="AI527" s="79">
        <f t="shared" si="53"/>
        <v>1300</v>
      </c>
      <c r="AJ527" s="79">
        <f t="shared" si="54"/>
        <v>1105</v>
      </c>
    </row>
    <row r="528" ht="25.5" spans="1:36">
      <c r="A528" s="81" t="s">
        <v>81</v>
      </c>
      <c r="B528" s="114" t="s">
        <v>1587</v>
      </c>
      <c r="C528" s="81" t="s">
        <v>1588</v>
      </c>
      <c r="D528" s="81" t="s">
        <v>213</v>
      </c>
      <c r="E528" s="81"/>
      <c r="F528" s="81"/>
      <c r="G528" s="81" t="s">
        <v>48</v>
      </c>
      <c r="H528" s="81"/>
      <c r="I528" s="56">
        <v>357</v>
      </c>
      <c r="J528" s="56">
        <v>322</v>
      </c>
      <c r="K528" s="59">
        <v>627.679045092838</v>
      </c>
      <c r="L528" s="59">
        <v>325</v>
      </c>
      <c r="M528" s="84"/>
      <c r="N528" s="64">
        <v>340</v>
      </c>
      <c r="O528" s="64">
        <v>300</v>
      </c>
      <c r="P528" s="64">
        <v>255</v>
      </c>
      <c r="Q528" s="44" t="s">
        <v>54</v>
      </c>
      <c r="R528" s="69"/>
      <c r="S528" s="49"/>
      <c r="T528" s="45" t="s">
        <v>1595</v>
      </c>
      <c r="U528" s="45">
        <v>33120200803</v>
      </c>
      <c r="V528" s="45" t="s">
        <v>1596</v>
      </c>
      <c r="W528" s="43" t="s">
        <v>43</v>
      </c>
      <c r="X528" s="71" t="s">
        <v>43</v>
      </c>
      <c r="Y528" s="71" t="s">
        <v>48</v>
      </c>
      <c r="Z528" s="48" t="s">
        <v>43</v>
      </c>
      <c r="AA528" s="75">
        <v>1940</v>
      </c>
      <c r="AB528" s="75">
        <v>1745</v>
      </c>
      <c r="AC528" s="80">
        <v>1765</v>
      </c>
      <c r="AD528" s="80">
        <v>1690</v>
      </c>
      <c r="AE528" s="80">
        <v>1435</v>
      </c>
      <c r="AF528" s="79">
        <f t="shared" si="55"/>
        <v>11</v>
      </c>
      <c r="AG528" s="79" t="str">
        <f t="shared" si="56"/>
        <v>睾丸扭转复位费</v>
      </c>
      <c r="AH528" s="79">
        <f t="shared" si="52"/>
        <v>1465</v>
      </c>
      <c r="AI528" s="79">
        <f t="shared" si="53"/>
        <v>1300</v>
      </c>
      <c r="AJ528" s="79">
        <f t="shared" si="54"/>
        <v>1105</v>
      </c>
    </row>
    <row r="529" ht="25.5" spans="1:36">
      <c r="A529" s="81" t="s">
        <v>81</v>
      </c>
      <c r="B529" s="114" t="s">
        <v>1587</v>
      </c>
      <c r="C529" s="81" t="s">
        <v>1588</v>
      </c>
      <c r="D529" s="81" t="s">
        <v>213</v>
      </c>
      <c r="E529" s="81"/>
      <c r="F529" s="81"/>
      <c r="G529" s="81" t="s">
        <v>48</v>
      </c>
      <c r="H529" s="81"/>
      <c r="I529" s="56">
        <v>357</v>
      </c>
      <c r="J529" s="56">
        <v>322</v>
      </c>
      <c r="K529" s="59">
        <v>627.679045092838</v>
      </c>
      <c r="L529" s="59">
        <v>325</v>
      </c>
      <c r="M529" s="84"/>
      <c r="N529" s="64">
        <v>340</v>
      </c>
      <c r="O529" s="64">
        <v>300</v>
      </c>
      <c r="P529" s="64">
        <v>255</v>
      </c>
      <c r="Q529" s="44" t="s">
        <v>54</v>
      </c>
      <c r="R529" s="69"/>
      <c r="S529" s="49"/>
      <c r="T529" s="45" t="s">
        <v>1597</v>
      </c>
      <c r="U529" s="45">
        <v>33120201401</v>
      </c>
      <c r="V529" s="45" t="s">
        <v>1598</v>
      </c>
      <c r="W529" s="43" t="s">
        <v>43</v>
      </c>
      <c r="X529" s="71" t="s">
        <v>43</v>
      </c>
      <c r="Y529" s="71" t="s">
        <v>48</v>
      </c>
      <c r="Z529" s="48" t="s">
        <v>43</v>
      </c>
      <c r="AA529" s="75">
        <v>3745</v>
      </c>
      <c r="AB529" s="75">
        <v>3365</v>
      </c>
      <c r="AC529" s="80">
        <v>4135</v>
      </c>
      <c r="AD529" s="80">
        <v>3760</v>
      </c>
      <c r="AE529" s="80">
        <v>3195</v>
      </c>
      <c r="AF529" s="79">
        <f t="shared" si="55"/>
        <v>11</v>
      </c>
      <c r="AG529" s="79" t="str">
        <f t="shared" si="56"/>
        <v>睾丸扭转复位费</v>
      </c>
      <c r="AH529" s="79">
        <f t="shared" si="52"/>
        <v>1465</v>
      </c>
      <c r="AI529" s="79">
        <f t="shared" si="53"/>
        <v>1300</v>
      </c>
      <c r="AJ529" s="79">
        <f t="shared" si="54"/>
        <v>1105</v>
      </c>
    </row>
    <row r="530" ht="103" customHeight="1" spans="1:36">
      <c r="A530" s="45">
        <v>79</v>
      </c>
      <c r="B530" s="45" t="s">
        <v>1599</v>
      </c>
      <c r="C530" s="45" t="s">
        <v>1600</v>
      </c>
      <c r="D530" s="45" t="s">
        <v>213</v>
      </c>
      <c r="E530" s="49" t="s">
        <v>1601</v>
      </c>
      <c r="F530" s="49" t="s">
        <v>1602</v>
      </c>
      <c r="G530" s="45" t="s">
        <v>40</v>
      </c>
      <c r="H530" s="49" t="s">
        <v>43</v>
      </c>
      <c r="I530" s="53">
        <v>40</v>
      </c>
      <c r="J530" s="53">
        <v>36</v>
      </c>
      <c r="K530" s="55"/>
      <c r="L530" s="55">
        <v>30</v>
      </c>
      <c r="M530" s="55">
        <v>25.5</v>
      </c>
      <c r="N530" s="63">
        <v>36</v>
      </c>
      <c r="O530" s="63">
        <v>33</v>
      </c>
      <c r="P530" s="63">
        <v>28</v>
      </c>
      <c r="Q530" s="45" t="s">
        <v>54</v>
      </c>
      <c r="R530" s="69" t="s">
        <v>416</v>
      </c>
      <c r="S530" s="49" t="s">
        <v>1603</v>
      </c>
      <c r="T530" s="43" t="s">
        <v>1604</v>
      </c>
      <c r="U530" s="71">
        <v>311100018</v>
      </c>
      <c r="V530" s="43" t="s">
        <v>1605</v>
      </c>
      <c r="W530" s="43" t="s">
        <v>43</v>
      </c>
      <c r="X530" s="71" t="s">
        <v>1606</v>
      </c>
      <c r="Y530" s="71" t="s">
        <v>40</v>
      </c>
      <c r="Z530" s="48" t="s">
        <v>464</v>
      </c>
      <c r="AA530" s="75">
        <v>40</v>
      </c>
      <c r="AB530" s="75">
        <v>36</v>
      </c>
      <c r="AC530" s="80">
        <v>33</v>
      </c>
      <c r="AD530" s="80">
        <v>30</v>
      </c>
      <c r="AE530" s="80">
        <v>25.5</v>
      </c>
      <c r="AF530" s="79">
        <f t="shared" si="55"/>
        <v>0</v>
      </c>
      <c r="AG530" s="79" t="str">
        <f t="shared" si="56"/>
        <v>鞘膜积液穿刺费</v>
      </c>
      <c r="AH530" s="79">
        <f t="shared" si="52"/>
        <v>36</v>
      </c>
      <c r="AI530" s="79">
        <f t="shared" si="53"/>
        <v>33</v>
      </c>
      <c r="AJ530" s="79">
        <f t="shared" si="54"/>
        <v>28</v>
      </c>
    </row>
    <row r="531" ht="47" customHeight="1" spans="1:36">
      <c r="A531" s="43" t="s">
        <v>81</v>
      </c>
      <c r="B531" s="43" t="s">
        <v>1607</v>
      </c>
      <c r="C531" s="43" t="s">
        <v>1608</v>
      </c>
      <c r="D531" s="43" t="s">
        <v>213</v>
      </c>
      <c r="E531" s="48" t="s">
        <v>43</v>
      </c>
      <c r="F531" s="48" t="s">
        <v>43</v>
      </c>
      <c r="G531" s="43" t="s">
        <v>40</v>
      </c>
      <c r="H531" s="48" t="s">
        <v>43</v>
      </c>
      <c r="I531" s="53">
        <v>12</v>
      </c>
      <c r="J531" s="53">
        <v>11</v>
      </c>
      <c r="K531" s="54"/>
      <c r="L531" s="54"/>
      <c r="M531" s="54"/>
      <c r="N531" s="63">
        <v>11</v>
      </c>
      <c r="O531" s="63">
        <v>10</v>
      </c>
      <c r="P531" s="63">
        <v>8.5</v>
      </c>
      <c r="Q531" s="45" t="s">
        <v>54</v>
      </c>
      <c r="R531" s="69"/>
      <c r="S531" s="49" t="s">
        <v>446</v>
      </c>
      <c r="T531" s="45" t="s">
        <v>1609</v>
      </c>
      <c r="U531" s="45">
        <v>31110001801</v>
      </c>
      <c r="V531" s="45" t="s">
        <v>1610</v>
      </c>
      <c r="W531" s="43" t="s">
        <v>43</v>
      </c>
      <c r="X531" s="71" t="s">
        <v>43</v>
      </c>
      <c r="Y531" s="71" t="s">
        <v>40</v>
      </c>
      <c r="Z531" s="48" t="s">
        <v>43</v>
      </c>
      <c r="AA531" s="75">
        <v>52</v>
      </c>
      <c r="AB531" s="75">
        <v>47</v>
      </c>
      <c r="AC531" s="80">
        <v>43</v>
      </c>
      <c r="AD531" s="80">
        <v>39</v>
      </c>
      <c r="AE531" s="80">
        <v>33</v>
      </c>
      <c r="AF531" s="79">
        <f t="shared" si="55"/>
        <v>11</v>
      </c>
      <c r="AG531" s="79" t="str">
        <f t="shared" si="56"/>
        <v>鞘膜积液穿刺费</v>
      </c>
      <c r="AH531" s="79">
        <f t="shared" si="52"/>
        <v>47</v>
      </c>
      <c r="AI531" s="79">
        <f t="shared" si="53"/>
        <v>43</v>
      </c>
      <c r="AJ531" s="79">
        <f t="shared" si="54"/>
        <v>36.5</v>
      </c>
    </row>
    <row r="532" ht="30" customHeight="1" spans="1:36">
      <c r="A532" s="44">
        <v>80</v>
      </c>
      <c r="B532" s="44" t="s">
        <v>1611</v>
      </c>
      <c r="C532" s="44" t="s">
        <v>1612</v>
      </c>
      <c r="D532" s="44" t="s">
        <v>213</v>
      </c>
      <c r="E532" s="44" t="s">
        <v>1613</v>
      </c>
      <c r="F532" s="44" t="s">
        <v>1614</v>
      </c>
      <c r="G532" s="44" t="s">
        <v>48</v>
      </c>
      <c r="H532" s="44"/>
      <c r="I532" s="56">
        <v>300</v>
      </c>
      <c r="J532" s="56">
        <v>270</v>
      </c>
      <c r="K532" s="57">
        <v>500</v>
      </c>
      <c r="L532" s="57">
        <v>480</v>
      </c>
      <c r="M532" s="55"/>
      <c r="N532" s="64">
        <v>285</v>
      </c>
      <c r="O532" s="64">
        <v>270</v>
      </c>
      <c r="P532" s="64">
        <v>230</v>
      </c>
      <c r="Q532" s="44" t="s">
        <v>54</v>
      </c>
      <c r="R532" s="70" t="s">
        <v>1615</v>
      </c>
      <c r="S532" s="44" t="s">
        <v>1616</v>
      </c>
      <c r="T532" s="43" t="s">
        <v>1617</v>
      </c>
      <c r="U532" s="71">
        <v>331203008</v>
      </c>
      <c r="V532" s="43" t="s">
        <v>1618</v>
      </c>
      <c r="W532" s="43" t="s">
        <v>43</v>
      </c>
      <c r="X532" s="71" t="s">
        <v>43</v>
      </c>
      <c r="Y532" s="71" t="s">
        <v>40</v>
      </c>
      <c r="Z532" s="48" t="s">
        <v>43</v>
      </c>
      <c r="AA532" s="75">
        <v>500</v>
      </c>
      <c r="AB532" s="75">
        <v>450</v>
      </c>
      <c r="AC532" s="80">
        <v>500</v>
      </c>
      <c r="AD532" s="80">
        <v>480</v>
      </c>
      <c r="AE532" s="80">
        <v>408</v>
      </c>
      <c r="AF532" s="79">
        <f t="shared" si="55"/>
        <v>0</v>
      </c>
      <c r="AG532" s="79" t="str">
        <f t="shared" si="56"/>
        <v>输精管阻断费</v>
      </c>
      <c r="AH532" s="79">
        <f t="shared" si="52"/>
        <v>285</v>
      </c>
      <c r="AI532" s="79">
        <f t="shared" si="53"/>
        <v>270</v>
      </c>
      <c r="AJ532" s="79">
        <f t="shared" si="54"/>
        <v>230</v>
      </c>
    </row>
    <row r="533" ht="30" customHeight="1" spans="1:36">
      <c r="A533" s="44">
        <v>80</v>
      </c>
      <c r="B533" s="44" t="s">
        <v>1611</v>
      </c>
      <c r="C533" s="44" t="s">
        <v>1612</v>
      </c>
      <c r="D533" s="44" t="s">
        <v>213</v>
      </c>
      <c r="E533" s="44" t="s">
        <v>1613</v>
      </c>
      <c r="F533" s="44" t="s">
        <v>1614</v>
      </c>
      <c r="G533" s="44" t="s">
        <v>48</v>
      </c>
      <c r="H533" s="44"/>
      <c r="I533" s="56">
        <v>300</v>
      </c>
      <c r="J533" s="56">
        <v>270</v>
      </c>
      <c r="K533" s="57">
        <v>500</v>
      </c>
      <c r="L533" s="57">
        <v>480</v>
      </c>
      <c r="M533" s="55"/>
      <c r="N533" s="64">
        <v>285</v>
      </c>
      <c r="O533" s="64">
        <v>270</v>
      </c>
      <c r="P533" s="64">
        <v>230</v>
      </c>
      <c r="Q533" s="44" t="s">
        <v>54</v>
      </c>
      <c r="R533" s="70" t="s">
        <v>1615</v>
      </c>
      <c r="S533" s="44" t="s">
        <v>1616</v>
      </c>
      <c r="T533" s="43" t="s">
        <v>1619</v>
      </c>
      <c r="U533" s="71">
        <v>331203009</v>
      </c>
      <c r="V533" s="43" t="s">
        <v>1620</v>
      </c>
      <c r="W533" s="43" t="s">
        <v>43</v>
      </c>
      <c r="X533" s="71" t="s">
        <v>43</v>
      </c>
      <c r="Y533" s="71" t="s">
        <v>40</v>
      </c>
      <c r="Z533" s="48" t="s">
        <v>1621</v>
      </c>
      <c r="AA533" s="75">
        <v>500</v>
      </c>
      <c r="AB533" s="75">
        <v>450</v>
      </c>
      <c r="AC533" s="80">
        <v>500</v>
      </c>
      <c r="AD533" s="80">
        <v>480</v>
      </c>
      <c r="AE533" s="80">
        <v>408</v>
      </c>
      <c r="AF533" s="79">
        <f t="shared" si="55"/>
        <v>0</v>
      </c>
      <c r="AG533" s="79" t="str">
        <f t="shared" si="56"/>
        <v>输精管阻断费</v>
      </c>
      <c r="AH533" s="79">
        <f t="shared" si="52"/>
        <v>285</v>
      </c>
      <c r="AI533" s="79">
        <f t="shared" si="53"/>
        <v>270</v>
      </c>
      <c r="AJ533" s="79">
        <f t="shared" si="54"/>
        <v>230</v>
      </c>
    </row>
    <row r="534" ht="30" customHeight="1" spans="1:36">
      <c r="A534" s="44">
        <v>80</v>
      </c>
      <c r="B534" s="44" t="s">
        <v>1611</v>
      </c>
      <c r="C534" s="44" t="s">
        <v>1612</v>
      </c>
      <c r="D534" s="44" t="s">
        <v>213</v>
      </c>
      <c r="E534" s="44" t="s">
        <v>1613</v>
      </c>
      <c r="F534" s="44" t="s">
        <v>1614</v>
      </c>
      <c r="G534" s="44" t="s">
        <v>48</v>
      </c>
      <c r="H534" s="44"/>
      <c r="I534" s="56">
        <v>300</v>
      </c>
      <c r="J534" s="56">
        <v>270</v>
      </c>
      <c r="K534" s="57">
        <v>500</v>
      </c>
      <c r="L534" s="57">
        <v>480</v>
      </c>
      <c r="M534" s="55"/>
      <c r="N534" s="64">
        <v>285</v>
      </c>
      <c r="O534" s="64">
        <v>270</v>
      </c>
      <c r="P534" s="64">
        <v>230</v>
      </c>
      <c r="Q534" s="44" t="s">
        <v>54</v>
      </c>
      <c r="R534" s="70" t="s">
        <v>1615</v>
      </c>
      <c r="S534" s="44" t="s">
        <v>1616</v>
      </c>
      <c r="T534" s="45" t="s">
        <v>1622</v>
      </c>
      <c r="U534" s="45">
        <v>33120300901</v>
      </c>
      <c r="V534" s="45" t="s">
        <v>1623</v>
      </c>
      <c r="W534" s="43" t="s">
        <v>43</v>
      </c>
      <c r="X534" s="71" t="s">
        <v>43</v>
      </c>
      <c r="Y534" s="71" t="s">
        <v>40</v>
      </c>
      <c r="Z534" s="48" t="s">
        <v>1624</v>
      </c>
      <c r="AA534" s="75">
        <v>600</v>
      </c>
      <c r="AB534" s="75">
        <v>540</v>
      </c>
      <c r="AC534" s="80">
        <v>600</v>
      </c>
      <c r="AD534" s="80">
        <v>576</v>
      </c>
      <c r="AE534" s="80">
        <v>489.6</v>
      </c>
      <c r="AF534" s="79">
        <f t="shared" si="55"/>
        <v>0</v>
      </c>
      <c r="AG534" s="79" t="str">
        <f t="shared" si="56"/>
        <v>输精管阻断费</v>
      </c>
      <c r="AH534" s="79">
        <f t="shared" si="52"/>
        <v>285</v>
      </c>
      <c r="AI534" s="79">
        <f t="shared" si="53"/>
        <v>270</v>
      </c>
      <c r="AJ534" s="79">
        <f t="shared" si="54"/>
        <v>230</v>
      </c>
    </row>
    <row r="535" ht="16" customHeight="1" spans="1:36">
      <c r="A535" s="81" t="s">
        <v>81</v>
      </c>
      <c r="B535" s="81" t="s">
        <v>1625</v>
      </c>
      <c r="C535" s="81" t="s">
        <v>1626</v>
      </c>
      <c r="D535" s="81" t="s">
        <v>213</v>
      </c>
      <c r="E535" s="81"/>
      <c r="F535" s="81"/>
      <c r="G535" s="81" t="s">
        <v>48</v>
      </c>
      <c r="H535" s="81"/>
      <c r="I535" s="56">
        <v>90</v>
      </c>
      <c r="J535" s="56">
        <v>81</v>
      </c>
      <c r="K535" s="54"/>
      <c r="L535" s="54"/>
      <c r="M535" s="54"/>
      <c r="N535" s="64">
        <v>86</v>
      </c>
      <c r="O535" s="64">
        <v>81</v>
      </c>
      <c r="P535" s="64">
        <v>69</v>
      </c>
      <c r="Q535" s="44" t="s">
        <v>54</v>
      </c>
      <c r="R535" s="69"/>
      <c r="S535" s="44" t="s">
        <v>446</v>
      </c>
      <c r="T535" s="45" t="s">
        <v>1627</v>
      </c>
      <c r="U535" s="45">
        <v>33120300801</v>
      </c>
      <c r="V535" s="45" t="s">
        <v>1628</v>
      </c>
      <c r="W535" s="43" t="s">
        <v>43</v>
      </c>
      <c r="X535" s="71" t="s">
        <v>43</v>
      </c>
      <c r="Y535" s="71" t="s">
        <v>40</v>
      </c>
      <c r="Z535" s="48" t="s">
        <v>43</v>
      </c>
      <c r="AA535" s="75">
        <v>650</v>
      </c>
      <c r="AB535" s="75">
        <v>585</v>
      </c>
      <c r="AC535" s="80">
        <v>650</v>
      </c>
      <c r="AD535" s="80">
        <v>625</v>
      </c>
      <c r="AE535" s="80">
        <v>530</v>
      </c>
      <c r="AF535" s="79">
        <f t="shared" si="55"/>
        <v>10</v>
      </c>
      <c r="AG535" s="79" t="str">
        <f t="shared" si="56"/>
        <v>输精管阻断费</v>
      </c>
      <c r="AH535" s="79">
        <f t="shared" si="52"/>
        <v>371</v>
      </c>
      <c r="AI535" s="79">
        <f t="shared" si="53"/>
        <v>351</v>
      </c>
      <c r="AJ535" s="79">
        <f t="shared" si="54"/>
        <v>299</v>
      </c>
    </row>
    <row r="536" ht="16" customHeight="1" spans="1:36">
      <c r="A536" s="81" t="s">
        <v>81</v>
      </c>
      <c r="B536" s="81" t="s">
        <v>1625</v>
      </c>
      <c r="C536" s="81" t="s">
        <v>1626</v>
      </c>
      <c r="D536" s="81" t="s">
        <v>213</v>
      </c>
      <c r="E536" s="81"/>
      <c r="F536" s="81"/>
      <c r="G536" s="81" t="s">
        <v>48</v>
      </c>
      <c r="H536" s="81"/>
      <c r="I536" s="56">
        <v>90</v>
      </c>
      <c r="J536" s="56">
        <v>81</v>
      </c>
      <c r="K536" s="54"/>
      <c r="L536" s="54"/>
      <c r="M536" s="54"/>
      <c r="N536" s="64">
        <v>86</v>
      </c>
      <c r="O536" s="64">
        <v>81</v>
      </c>
      <c r="P536" s="64">
        <v>69</v>
      </c>
      <c r="Q536" s="44" t="s">
        <v>54</v>
      </c>
      <c r="R536" s="69"/>
      <c r="S536" s="44" t="s">
        <v>446</v>
      </c>
      <c r="T536" s="45" t="s">
        <v>1629</v>
      </c>
      <c r="U536" s="45">
        <v>33120300902</v>
      </c>
      <c r="V536" s="45" t="s">
        <v>1630</v>
      </c>
      <c r="W536" s="43" t="s">
        <v>43</v>
      </c>
      <c r="X536" s="71" t="s">
        <v>43</v>
      </c>
      <c r="Y536" s="71" t="s">
        <v>40</v>
      </c>
      <c r="Z536" s="48" t="s">
        <v>43</v>
      </c>
      <c r="AA536" s="75">
        <v>650</v>
      </c>
      <c r="AB536" s="75">
        <v>585</v>
      </c>
      <c r="AC536" s="80">
        <v>650</v>
      </c>
      <c r="AD536" s="80">
        <v>625</v>
      </c>
      <c r="AE536" s="80">
        <v>530</v>
      </c>
      <c r="AF536" s="79">
        <f t="shared" si="55"/>
        <v>10</v>
      </c>
      <c r="AG536" s="79" t="str">
        <f t="shared" si="56"/>
        <v>输精管阻断费</v>
      </c>
      <c r="AH536" s="79">
        <f t="shared" si="52"/>
        <v>371</v>
      </c>
      <c r="AI536" s="79">
        <f t="shared" si="53"/>
        <v>351</v>
      </c>
      <c r="AJ536" s="79">
        <f t="shared" si="54"/>
        <v>299</v>
      </c>
    </row>
    <row r="537" ht="16" customHeight="1" spans="1:36">
      <c r="A537" s="81" t="s">
        <v>81</v>
      </c>
      <c r="B537" s="81" t="s">
        <v>1625</v>
      </c>
      <c r="C537" s="81" t="s">
        <v>1626</v>
      </c>
      <c r="D537" s="81" t="s">
        <v>213</v>
      </c>
      <c r="E537" s="81"/>
      <c r="F537" s="81"/>
      <c r="G537" s="81" t="s">
        <v>48</v>
      </c>
      <c r="H537" s="81"/>
      <c r="I537" s="56">
        <v>90</v>
      </c>
      <c r="J537" s="56">
        <v>81</v>
      </c>
      <c r="K537" s="54"/>
      <c r="L537" s="54"/>
      <c r="M537" s="54"/>
      <c r="N537" s="64">
        <v>86</v>
      </c>
      <c r="O537" s="64">
        <v>81</v>
      </c>
      <c r="P537" s="64">
        <v>69</v>
      </c>
      <c r="Q537" s="44" t="s">
        <v>54</v>
      </c>
      <c r="R537" s="69"/>
      <c r="S537" s="44" t="s">
        <v>446</v>
      </c>
      <c r="T537" s="45" t="s">
        <v>1631</v>
      </c>
      <c r="U537" s="45">
        <v>33120300903</v>
      </c>
      <c r="V537" s="45" t="s">
        <v>1632</v>
      </c>
      <c r="W537" s="43" t="s">
        <v>43</v>
      </c>
      <c r="X537" s="71" t="s">
        <v>43</v>
      </c>
      <c r="Y537" s="71" t="s">
        <v>40</v>
      </c>
      <c r="Z537" s="48" t="s">
        <v>1624</v>
      </c>
      <c r="AA537" s="75">
        <v>780</v>
      </c>
      <c r="AB537" s="75">
        <v>700</v>
      </c>
      <c r="AC537" s="80">
        <v>780</v>
      </c>
      <c r="AD537" s="80">
        <v>750</v>
      </c>
      <c r="AE537" s="80">
        <v>640</v>
      </c>
      <c r="AF537" s="79">
        <f t="shared" si="55"/>
        <v>10</v>
      </c>
      <c r="AG537" s="79" t="str">
        <f t="shared" si="56"/>
        <v>输精管阻断费</v>
      </c>
      <c r="AH537" s="79">
        <f t="shared" ref="AH537:AH600" si="57">IF(AF537&gt;0,_xlfn.MAXIFS(N:N,C:C,AG537),0)+N537</f>
        <v>371</v>
      </c>
      <c r="AI537" s="79">
        <f t="shared" ref="AI537:AI600" si="58">IF(AF537&gt;0,_xlfn.MAXIFS(O:O,C:C,AG537),0)+O537</f>
        <v>351</v>
      </c>
      <c r="AJ537" s="79">
        <f t="shared" ref="AJ537:AJ600" si="59">IF(AF537&gt;0,_xlfn.MAXIFS(P:P,C:C,AG537),0)+P537</f>
        <v>299</v>
      </c>
    </row>
    <row r="538" ht="37" customHeight="1" spans="1:36">
      <c r="A538" s="44">
        <v>81</v>
      </c>
      <c r="B538" s="44" t="s">
        <v>1633</v>
      </c>
      <c r="C538" s="44" t="s">
        <v>1634</v>
      </c>
      <c r="D538" s="44" t="s">
        <v>213</v>
      </c>
      <c r="E538" s="44" t="s">
        <v>1635</v>
      </c>
      <c r="F538" s="44" t="s">
        <v>1636</v>
      </c>
      <c r="G538" s="44" t="s">
        <v>48</v>
      </c>
      <c r="H538" s="44"/>
      <c r="I538" s="56">
        <v>625</v>
      </c>
      <c r="J538" s="56">
        <v>563</v>
      </c>
      <c r="K538" s="57">
        <v>625</v>
      </c>
      <c r="L538" s="57">
        <v>600</v>
      </c>
      <c r="M538" s="57">
        <v>510</v>
      </c>
      <c r="N538" s="64">
        <v>600</v>
      </c>
      <c r="O538" s="64">
        <v>560</v>
      </c>
      <c r="P538" s="64">
        <v>480</v>
      </c>
      <c r="Q538" s="44" t="s">
        <v>54</v>
      </c>
      <c r="R538" s="70" t="s">
        <v>76</v>
      </c>
      <c r="S538" s="44" t="s">
        <v>1637</v>
      </c>
      <c r="T538" s="43" t="s">
        <v>1638</v>
      </c>
      <c r="U538" s="71">
        <v>331203011</v>
      </c>
      <c r="V538" s="43" t="s">
        <v>1639</v>
      </c>
      <c r="W538" s="43" t="s">
        <v>43</v>
      </c>
      <c r="X538" s="71" t="s">
        <v>43</v>
      </c>
      <c r="Y538" s="71" t="s">
        <v>48</v>
      </c>
      <c r="Z538" s="48" t="s">
        <v>43</v>
      </c>
      <c r="AA538" s="75">
        <v>625</v>
      </c>
      <c r="AB538" s="75">
        <v>565</v>
      </c>
      <c r="AC538" s="80">
        <v>625</v>
      </c>
      <c r="AD538" s="80">
        <v>600</v>
      </c>
      <c r="AE538" s="80">
        <v>510</v>
      </c>
      <c r="AF538" s="79">
        <f t="shared" si="55"/>
        <v>0</v>
      </c>
      <c r="AG538" s="79" t="str">
        <f t="shared" si="56"/>
        <v>输精管吻合费</v>
      </c>
      <c r="AH538" s="79">
        <f t="shared" si="57"/>
        <v>600</v>
      </c>
      <c r="AI538" s="79">
        <f t="shared" si="58"/>
        <v>560</v>
      </c>
      <c r="AJ538" s="79">
        <f t="shared" si="59"/>
        <v>480</v>
      </c>
    </row>
    <row r="539" ht="37" customHeight="1" spans="1:36">
      <c r="A539" s="44">
        <v>81</v>
      </c>
      <c r="B539" s="44" t="s">
        <v>1633</v>
      </c>
      <c r="C539" s="44" t="s">
        <v>1634</v>
      </c>
      <c r="D539" s="44" t="s">
        <v>213</v>
      </c>
      <c r="E539" s="44" t="s">
        <v>1635</v>
      </c>
      <c r="F539" s="44" t="s">
        <v>1636</v>
      </c>
      <c r="G539" s="44" t="s">
        <v>48</v>
      </c>
      <c r="H539" s="44"/>
      <c r="I539" s="56">
        <v>625</v>
      </c>
      <c r="J539" s="56">
        <v>563</v>
      </c>
      <c r="K539" s="57">
        <v>625</v>
      </c>
      <c r="L539" s="57">
        <v>600</v>
      </c>
      <c r="M539" s="57">
        <v>510</v>
      </c>
      <c r="N539" s="64">
        <v>600</v>
      </c>
      <c r="O539" s="64">
        <v>560</v>
      </c>
      <c r="P539" s="64">
        <v>480</v>
      </c>
      <c r="Q539" s="44" t="s">
        <v>54</v>
      </c>
      <c r="R539" s="70" t="s">
        <v>76</v>
      </c>
      <c r="S539" s="44" t="s">
        <v>1637</v>
      </c>
      <c r="T539" s="43" t="s">
        <v>1640</v>
      </c>
      <c r="U539" s="71">
        <v>331203010</v>
      </c>
      <c r="V539" s="43" t="s">
        <v>1641</v>
      </c>
      <c r="W539" s="43" t="s">
        <v>43</v>
      </c>
      <c r="X539" s="71" t="s">
        <v>43</v>
      </c>
      <c r="Y539" s="71" t="s">
        <v>40</v>
      </c>
      <c r="Z539" s="48" t="s">
        <v>43</v>
      </c>
      <c r="AA539" s="75">
        <v>625</v>
      </c>
      <c r="AB539" s="75">
        <v>565</v>
      </c>
      <c r="AC539" s="80">
        <v>625</v>
      </c>
      <c r="AD539" s="80">
        <v>600</v>
      </c>
      <c r="AE539" s="80">
        <v>510</v>
      </c>
      <c r="AF539" s="79">
        <f t="shared" si="55"/>
        <v>0</v>
      </c>
      <c r="AG539" s="79" t="str">
        <f t="shared" si="56"/>
        <v>输精管吻合费</v>
      </c>
      <c r="AH539" s="79">
        <f t="shared" si="57"/>
        <v>600</v>
      </c>
      <c r="AI539" s="79">
        <f t="shared" si="58"/>
        <v>560</v>
      </c>
      <c r="AJ539" s="79">
        <f t="shared" si="59"/>
        <v>480</v>
      </c>
    </row>
    <row r="540" ht="31" customHeight="1" spans="1:36">
      <c r="A540" s="43" t="s">
        <v>81</v>
      </c>
      <c r="B540" s="43" t="s">
        <v>1642</v>
      </c>
      <c r="C540" s="43" t="s">
        <v>1643</v>
      </c>
      <c r="D540" s="43" t="s">
        <v>213</v>
      </c>
      <c r="E540" s="48" t="s">
        <v>43</v>
      </c>
      <c r="F540" s="48" t="s">
        <v>43</v>
      </c>
      <c r="G540" s="43" t="s">
        <v>48</v>
      </c>
      <c r="H540" s="48" t="s">
        <v>43</v>
      </c>
      <c r="I540" s="53">
        <v>455</v>
      </c>
      <c r="J540" s="53">
        <v>410</v>
      </c>
      <c r="K540" s="63">
        <v>400</v>
      </c>
      <c r="L540" s="63">
        <v>400</v>
      </c>
      <c r="M540" s="63">
        <v>336</v>
      </c>
      <c r="N540" s="63">
        <v>425</v>
      </c>
      <c r="O540" s="63">
        <v>400</v>
      </c>
      <c r="P540" s="63">
        <v>335</v>
      </c>
      <c r="Q540" s="45" t="s">
        <v>54</v>
      </c>
      <c r="R540" s="69"/>
      <c r="S540" s="49" t="s">
        <v>77</v>
      </c>
      <c r="T540" s="43" t="s">
        <v>1644</v>
      </c>
      <c r="U540" s="71">
        <v>331203002</v>
      </c>
      <c r="V540" s="43" t="s">
        <v>1645</v>
      </c>
      <c r="W540" s="43" t="s">
        <v>43</v>
      </c>
      <c r="X540" s="71" t="s">
        <v>43</v>
      </c>
      <c r="Y540" s="71" t="s">
        <v>48</v>
      </c>
      <c r="Z540" s="48" t="s">
        <v>43</v>
      </c>
      <c r="AA540" s="75">
        <v>1080</v>
      </c>
      <c r="AB540" s="75">
        <v>970</v>
      </c>
      <c r="AC540" s="80">
        <v>1000</v>
      </c>
      <c r="AD540" s="80">
        <v>960</v>
      </c>
      <c r="AE540" s="80">
        <v>816</v>
      </c>
      <c r="AF540" s="79">
        <f t="shared" si="55"/>
        <v>15</v>
      </c>
      <c r="AG540" s="79" t="str">
        <f t="shared" si="56"/>
        <v>输精管吻合费</v>
      </c>
      <c r="AH540" s="79">
        <f t="shared" si="57"/>
        <v>1025</v>
      </c>
      <c r="AI540" s="79">
        <f t="shared" si="58"/>
        <v>960</v>
      </c>
      <c r="AJ540" s="79">
        <f t="shared" si="59"/>
        <v>815</v>
      </c>
    </row>
    <row r="541" ht="18" customHeight="1" spans="1:36">
      <c r="A541" s="81" t="s">
        <v>81</v>
      </c>
      <c r="B541" s="81" t="s">
        <v>1646</v>
      </c>
      <c r="C541" s="81" t="s">
        <v>1647</v>
      </c>
      <c r="D541" s="81" t="s">
        <v>213</v>
      </c>
      <c r="E541" s="81"/>
      <c r="F541" s="81"/>
      <c r="G541" s="81" t="s">
        <v>48</v>
      </c>
      <c r="H541" s="81"/>
      <c r="I541" s="56">
        <v>188</v>
      </c>
      <c r="J541" s="56">
        <v>169</v>
      </c>
      <c r="K541" s="54"/>
      <c r="L541" s="54"/>
      <c r="M541" s="54"/>
      <c r="N541" s="64">
        <v>180</v>
      </c>
      <c r="O541" s="64">
        <v>165</v>
      </c>
      <c r="P541" s="64">
        <v>145</v>
      </c>
      <c r="Q541" s="44" t="s">
        <v>54</v>
      </c>
      <c r="R541" s="69"/>
      <c r="S541" s="44" t="s">
        <v>446</v>
      </c>
      <c r="T541" s="45" t="s">
        <v>1648</v>
      </c>
      <c r="U541" s="45">
        <v>33120301101</v>
      </c>
      <c r="V541" s="45" t="s">
        <v>1649</v>
      </c>
      <c r="W541" s="43" t="s">
        <v>43</v>
      </c>
      <c r="X541" s="71" t="s">
        <v>43</v>
      </c>
      <c r="Y541" s="71" t="s">
        <v>48</v>
      </c>
      <c r="Z541" s="48" t="s">
        <v>43</v>
      </c>
      <c r="AA541" s="75">
        <v>815</v>
      </c>
      <c r="AB541" s="75">
        <v>735</v>
      </c>
      <c r="AC541" s="80">
        <v>815</v>
      </c>
      <c r="AD541" s="80">
        <v>780</v>
      </c>
      <c r="AE541" s="80">
        <v>665</v>
      </c>
      <c r="AF541" s="79">
        <f t="shared" si="55"/>
        <v>10</v>
      </c>
      <c r="AG541" s="79" t="str">
        <f t="shared" si="56"/>
        <v>输精管吻合费</v>
      </c>
      <c r="AH541" s="79">
        <f t="shared" si="57"/>
        <v>780</v>
      </c>
      <c r="AI541" s="79">
        <f t="shared" si="58"/>
        <v>725</v>
      </c>
      <c r="AJ541" s="79">
        <f t="shared" si="59"/>
        <v>625</v>
      </c>
    </row>
    <row r="542" ht="18" customHeight="1" spans="1:36">
      <c r="A542" s="81" t="s">
        <v>81</v>
      </c>
      <c r="B542" s="81" t="s">
        <v>1646</v>
      </c>
      <c r="C542" s="81" t="s">
        <v>1647</v>
      </c>
      <c r="D542" s="81" t="s">
        <v>213</v>
      </c>
      <c r="E542" s="81"/>
      <c r="F542" s="81"/>
      <c r="G542" s="81" t="s">
        <v>48</v>
      </c>
      <c r="H542" s="81"/>
      <c r="I542" s="56">
        <v>188</v>
      </c>
      <c r="J542" s="56">
        <v>169</v>
      </c>
      <c r="K542" s="54"/>
      <c r="L542" s="54"/>
      <c r="M542" s="54"/>
      <c r="N542" s="64">
        <v>180</v>
      </c>
      <c r="O542" s="64">
        <v>165</v>
      </c>
      <c r="P542" s="64">
        <v>145</v>
      </c>
      <c r="Q542" s="44" t="s">
        <v>54</v>
      </c>
      <c r="R542" s="69"/>
      <c r="S542" s="44" t="s">
        <v>446</v>
      </c>
      <c r="T542" s="45" t="s">
        <v>1650</v>
      </c>
      <c r="U542" s="45">
        <v>33120301001</v>
      </c>
      <c r="V542" s="45" t="s">
        <v>1651</v>
      </c>
      <c r="W542" s="43" t="s">
        <v>43</v>
      </c>
      <c r="X542" s="71" t="s">
        <v>43</v>
      </c>
      <c r="Y542" s="71" t="s">
        <v>40</v>
      </c>
      <c r="Z542" s="48" t="s">
        <v>43</v>
      </c>
      <c r="AA542" s="75">
        <v>815</v>
      </c>
      <c r="AB542" s="75">
        <v>735</v>
      </c>
      <c r="AC542" s="80">
        <v>815</v>
      </c>
      <c r="AD542" s="80">
        <v>780</v>
      </c>
      <c r="AE542" s="80">
        <v>665</v>
      </c>
      <c r="AF542" s="79">
        <f t="shared" si="55"/>
        <v>10</v>
      </c>
      <c r="AG542" s="79" t="str">
        <f t="shared" si="56"/>
        <v>输精管吻合费</v>
      </c>
      <c r="AH542" s="79">
        <f t="shared" si="57"/>
        <v>780</v>
      </c>
      <c r="AI542" s="79">
        <f t="shared" si="58"/>
        <v>725</v>
      </c>
      <c r="AJ542" s="79">
        <f t="shared" si="59"/>
        <v>625</v>
      </c>
    </row>
    <row r="543" ht="18" customHeight="1" spans="1:36">
      <c r="A543" s="81" t="s">
        <v>81</v>
      </c>
      <c r="B543" s="81" t="s">
        <v>1646</v>
      </c>
      <c r="C543" s="81" t="s">
        <v>1647</v>
      </c>
      <c r="D543" s="81" t="s">
        <v>213</v>
      </c>
      <c r="E543" s="81"/>
      <c r="F543" s="81"/>
      <c r="G543" s="81" t="s">
        <v>48</v>
      </c>
      <c r="H543" s="81"/>
      <c r="I543" s="56">
        <v>188</v>
      </c>
      <c r="J543" s="56">
        <v>169</v>
      </c>
      <c r="K543" s="54"/>
      <c r="L543" s="54"/>
      <c r="M543" s="54"/>
      <c r="N543" s="64">
        <v>180</v>
      </c>
      <c r="O543" s="64">
        <v>165</v>
      </c>
      <c r="P543" s="64">
        <v>145</v>
      </c>
      <c r="Q543" s="44" t="s">
        <v>54</v>
      </c>
      <c r="R543" s="69"/>
      <c r="S543" s="44" t="s">
        <v>446</v>
      </c>
      <c r="T543" s="45" t="s">
        <v>1652</v>
      </c>
      <c r="U543" s="45">
        <v>33120300201</v>
      </c>
      <c r="V543" s="45" t="s">
        <v>1653</v>
      </c>
      <c r="W543" s="43" t="s">
        <v>43</v>
      </c>
      <c r="X543" s="71" t="s">
        <v>43</v>
      </c>
      <c r="Y543" s="71" t="s">
        <v>48</v>
      </c>
      <c r="Z543" s="48" t="s">
        <v>43</v>
      </c>
      <c r="AA543" s="75">
        <v>1405</v>
      </c>
      <c r="AB543" s="75">
        <v>1260</v>
      </c>
      <c r="AC543" s="80">
        <v>1300</v>
      </c>
      <c r="AD543" s="80">
        <v>1250</v>
      </c>
      <c r="AE543" s="80">
        <v>1065</v>
      </c>
      <c r="AF543" s="79">
        <f t="shared" si="55"/>
        <v>10</v>
      </c>
      <c r="AG543" s="79" t="str">
        <f t="shared" si="56"/>
        <v>输精管吻合费</v>
      </c>
      <c r="AH543" s="79">
        <f t="shared" si="57"/>
        <v>780</v>
      </c>
      <c r="AI543" s="79">
        <f t="shared" si="58"/>
        <v>725</v>
      </c>
      <c r="AJ543" s="79">
        <f t="shared" si="59"/>
        <v>625</v>
      </c>
    </row>
    <row r="544" ht="38.25" spans="1:36">
      <c r="A544" s="44">
        <v>82</v>
      </c>
      <c r="B544" s="44" t="s">
        <v>1654</v>
      </c>
      <c r="C544" s="44" t="s">
        <v>1655</v>
      </c>
      <c r="D544" s="44" t="s">
        <v>213</v>
      </c>
      <c r="E544" s="44" t="s">
        <v>1656</v>
      </c>
      <c r="F544" s="44" t="s">
        <v>1657</v>
      </c>
      <c r="G544" s="44" t="s">
        <v>40</v>
      </c>
      <c r="H544" s="44"/>
      <c r="I544" s="56">
        <v>650</v>
      </c>
      <c r="J544" s="56">
        <v>585</v>
      </c>
      <c r="K544" s="57">
        <v>500</v>
      </c>
      <c r="L544" s="55"/>
      <c r="M544" s="55"/>
      <c r="N544" s="64">
        <v>590</v>
      </c>
      <c r="O544" s="64">
        <v>530</v>
      </c>
      <c r="P544" s="64">
        <v>450</v>
      </c>
      <c r="Q544" s="44" t="s">
        <v>54</v>
      </c>
      <c r="R544" s="70" t="s">
        <v>416</v>
      </c>
      <c r="S544" s="44" t="s">
        <v>1658</v>
      </c>
      <c r="T544" s="43" t="s">
        <v>1659</v>
      </c>
      <c r="U544" s="71">
        <v>331203007</v>
      </c>
      <c r="V544" s="43" t="s">
        <v>1660</v>
      </c>
      <c r="W544" s="43" t="s">
        <v>43</v>
      </c>
      <c r="X544" s="71" t="s">
        <v>1661</v>
      </c>
      <c r="Y544" s="71" t="s">
        <v>40</v>
      </c>
      <c r="Z544" s="48" t="s">
        <v>1621</v>
      </c>
      <c r="AA544" s="75">
        <v>500</v>
      </c>
      <c r="AB544" s="75">
        <v>450</v>
      </c>
      <c r="AC544" s="80">
        <v>500</v>
      </c>
      <c r="AD544" s="80">
        <v>480</v>
      </c>
      <c r="AE544" s="80">
        <v>408</v>
      </c>
      <c r="AF544" s="79">
        <f t="shared" si="55"/>
        <v>0</v>
      </c>
      <c r="AG544" s="79" t="str">
        <f t="shared" si="56"/>
        <v>射精管梗阻治疗费</v>
      </c>
      <c r="AH544" s="79">
        <f t="shared" si="57"/>
        <v>590</v>
      </c>
      <c r="AI544" s="79">
        <f t="shared" si="58"/>
        <v>530</v>
      </c>
      <c r="AJ544" s="79">
        <f t="shared" si="59"/>
        <v>450</v>
      </c>
    </row>
    <row r="545" ht="38.25" spans="1:36">
      <c r="A545" s="44">
        <v>82</v>
      </c>
      <c r="B545" s="44" t="s">
        <v>1654</v>
      </c>
      <c r="C545" s="44" t="s">
        <v>1655</v>
      </c>
      <c r="D545" s="44" t="s">
        <v>213</v>
      </c>
      <c r="E545" s="44" t="s">
        <v>1656</v>
      </c>
      <c r="F545" s="44" t="s">
        <v>1657</v>
      </c>
      <c r="G545" s="44" t="s">
        <v>40</v>
      </c>
      <c r="H545" s="44"/>
      <c r="I545" s="56">
        <v>650</v>
      </c>
      <c r="J545" s="56">
        <v>585</v>
      </c>
      <c r="K545" s="57">
        <v>500</v>
      </c>
      <c r="L545" s="55"/>
      <c r="M545" s="55"/>
      <c r="N545" s="64">
        <v>590</v>
      </c>
      <c r="O545" s="64">
        <v>530</v>
      </c>
      <c r="P545" s="64">
        <v>450</v>
      </c>
      <c r="Q545" s="44" t="s">
        <v>54</v>
      </c>
      <c r="R545" s="70" t="s">
        <v>416</v>
      </c>
      <c r="S545" s="44" t="s">
        <v>1658</v>
      </c>
      <c r="T545" s="45" t="s">
        <v>1662</v>
      </c>
      <c r="U545" s="45">
        <v>33120300701</v>
      </c>
      <c r="V545" s="45" t="s">
        <v>1663</v>
      </c>
      <c r="W545" s="43" t="s">
        <v>43</v>
      </c>
      <c r="X545" s="71" t="s">
        <v>43</v>
      </c>
      <c r="Y545" s="71" t="s">
        <v>40</v>
      </c>
      <c r="Z545" s="48" t="s">
        <v>1624</v>
      </c>
      <c r="AA545" s="75">
        <v>600</v>
      </c>
      <c r="AB545" s="75">
        <v>540</v>
      </c>
      <c r="AC545" s="80">
        <v>600</v>
      </c>
      <c r="AD545" s="80">
        <v>576</v>
      </c>
      <c r="AE545" s="80">
        <v>489.6</v>
      </c>
      <c r="AF545" s="79">
        <f t="shared" si="55"/>
        <v>0</v>
      </c>
      <c r="AG545" s="79" t="str">
        <f t="shared" si="56"/>
        <v>射精管梗阻治疗费</v>
      </c>
      <c r="AH545" s="79">
        <f t="shared" si="57"/>
        <v>590</v>
      </c>
      <c r="AI545" s="79">
        <f t="shared" si="58"/>
        <v>530</v>
      </c>
      <c r="AJ545" s="79">
        <f t="shared" si="59"/>
        <v>450</v>
      </c>
    </row>
    <row r="546" ht="38.25" spans="1:36">
      <c r="A546" s="44">
        <v>82</v>
      </c>
      <c r="B546" s="44" t="s">
        <v>1654</v>
      </c>
      <c r="C546" s="44" t="s">
        <v>1655</v>
      </c>
      <c r="D546" s="44" t="s">
        <v>213</v>
      </c>
      <c r="E546" s="44" t="s">
        <v>1656</v>
      </c>
      <c r="F546" s="44" t="s">
        <v>1657</v>
      </c>
      <c r="G546" s="44" t="s">
        <v>40</v>
      </c>
      <c r="H546" s="44"/>
      <c r="I546" s="56">
        <v>650</v>
      </c>
      <c r="J546" s="56">
        <v>585</v>
      </c>
      <c r="K546" s="57">
        <v>500</v>
      </c>
      <c r="L546" s="55"/>
      <c r="M546" s="55"/>
      <c r="N546" s="64">
        <v>590</v>
      </c>
      <c r="O546" s="64">
        <v>530</v>
      </c>
      <c r="P546" s="64">
        <v>450</v>
      </c>
      <c r="Q546" s="44" t="s">
        <v>54</v>
      </c>
      <c r="R546" s="70" t="s">
        <v>416</v>
      </c>
      <c r="S546" s="44" t="s">
        <v>1658</v>
      </c>
      <c r="T546" s="43" t="s">
        <v>1664</v>
      </c>
      <c r="U546" s="71">
        <v>331203013</v>
      </c>
      <c r="V546" s="43" t="s">
        <v>1665</v>
      </c>
      <c r="W546" s="43" t="s">
        <v>43</v>
      </c>
      <c r="X546" s="71" t="s">
        <v>43</v>
      </c>
      <c r="Y546" s="71" t="s">
        <v>40</v>
      </c>
      <c r="Z546" s="48" t="s">
        <v>43</v>
      </c>
      <c r="AA546" s="75">
        <v>875</v>
      </c>
      <c r="AB546" s="75">
        <v>790</v>
      </c>
      <c r="AC546" s="80">
        <v>875</v>
      </c>
      <c r="AD546" s="80">
        <v>840</v>
      </c>
      <c r="AE546" s="80">
        <v>714</v>
      </c>
      <c r="AF546" s="79">
        <f t="shared" si="55"/>
        <v>0</v>
      </c>
      <c r="AG546" s="79" t="str">
        <f t="shared" si="56"/>
        <v>射精管梗阻治疗费</v>
      </c>
      <c r="AH546" s="79">
        <f t="shared" si="57"/>
        <v>590</v>
      </c>
      <c r="AI546" s="79">
        <f t="shared" si="58"/>
        <v>530</v>
      </c>
      <c r="AJ546" s="79">
        <f t="shared" si="59"/>
        <v>450</v>
      </c>
    </row>
    <row r="547" ht="25.5" spans="1:36">
      <c r="A547" s="81" t="s">
        <v>81</v>
      </c>
      <c r="B547" s="81" t="s">
        <v>1666</v>
      </c>
      <c r="C547" s="81" t="s">
        <v>1667</v>
      </c>
      <c r="D547" s="81" t="s">
        <v>213</v>
      </c>
      <c r="E547" s="81"/>
      <c r="F547" s="81"/>
      <c r="G547" s="81" t="s">
        <v>40</v>
      </c>
      <c r="H547" s="81"/>
      <c r="I547" s="56">
        <v>195</v>
      </c>
      <c r="J547" s="56">
        <v>176</v>
      </c>
      <c r="K547" s="54"/>
      <c r="L547" s="54"/>
      <c r="M547" s="54"/>
      <c r="N547" s="64">
        <v>180</v>
      </c>
      <c r="O547" s="64">
        <v>160</v>
      </c>
      <c r="P547" s="64">
        <v>135</v>
      </c>
      <c r="Q547" s="44" t="s">
        <v>54</v>
      </c>
      <c r="R547" s="69"/>
      <c r="S547" s="49"/>
      <c r="T547" s="45" t="s">
        <v>1668</v>
      </c>
      <c r="U547" s="45">
        <v>33120300702</v>
      </c>
      <c r="V547" s="45" t="s">
        <v>1669</v>
      </c>
      <c r="W547" s="43" t="s">
        <v>43</v>
      </c>
      <c r="X547" s="71" t="s">
        <v>43</v>
      </c>
      <c r="Y547" s="71" t="s">
        <v>40</v>
      </c>
      <c r="Z547" s="48" t="s">
        <v>43</v>
      </c>
      <c r="AA547" s="75">
        <v>650</v>
      </c>
      <c r="AB547" s="75">
        <v>585</v>
      </c>
      <c r="AC547" s="80">
        <v>650</v>
      </c>
      <c r="AD547" s="80">
        <v>625</v>
      </c>
      <c r="AE547" s="80">
        <v>530</v>
      </c>
      <c r="AF547" s="79">
        <f t="shared" si="55"/>
        <v>12</v>
      </c>
      <c r="AG547" s="79" t="str">
        <f t="shared" si="56"/>
        <v>射精管梗阻治疗费</v>
      </c>
      <c r="AH547" s="79">
        <f t="shared" si="57"/>
        <v>770</v>
      </c>
      <c r="AI547" s="79">
        <f t="shared" si="58"/>
        <v>690</v>
      </c>
      <c r="AJ547" s="79">
        <f t="shared" si="59"/>
        <v>585</v>
      </c>
    </row>
    <row r="548" ht="25.5" spans="1:36">
      <c r="A548" s="81" t="s">
        <v>81</v>
      </c>
      <c r="B548" s="81" t="s">
        <v>1666</v>
      </c>
      <c r="C548" s="81" t="s">
        <v>1667</v>
      </c>
      <c r="D548" s="81" t="s">
        <v>213</v>
      </c>
      <c r="E548" s="81"/>
      <c r="F548" s="81"/>
      <c r="G548" s="81" t="s">
        <v>40</v>
      </c>
      <c r="H548" s="81"/>
      <c r="I548" s="56">
        <v>195</v>
      </c>
      <c r="J548" s="56">
        <v>176</v>
      </c>
      <c r="K548" s="54"/>
      <c r="L548" s="54"/>
      <c r="M548" s="54"/>
      <c r="N548" s="64">
        <v>180</v>
      </c>
      <c r="O548" s="64">
        <v>160</v>
      </c>
      <c r="P548" s="64">
        <v>135</v>
      </c>
      <c r="Q548" s="44" t="s">
        <v>54</v>
      </c>
      <c r="R548" s="69"/>
      <c r="S548" s="49"/>
      <c r="T548" s="45" t="s">
        <v>1670</v>
      </c>
      <c r="U548" s="45">
        <v>33120300703</v>
      </c>
      <c r="V548" s="45" t="s">
        <v>1671</v>
      </c>
      <c r="W548" s="43" t="s">
        <v>43</v>
      </c>
      <c r="X548" s="71" t="s">
        <v>43</v>
      </c>
      <c r="Y548" s="71" t="s">
        <v>40</v>
      </c>
      <c r="Z548" s="48" t="s">
        <v>1624</v>
      </c>
      <c r="AA548" s="75">
        <v>780</v>
      </c>
      <c r="AB548" s="75">
        <v>700</v>
      </c>
      <c r="AC548" s="80">
        <v>780</v>
      </c>
      <c r="AD548" s="80">
        <v>750</v>
      </c>
      <c r="AE548" s="80">
        <v>640</v>
      </c>
      <c r="AF548" s="79">
        <f t="shared" si="55"/>
        <v>12</v>
      </c>
      <c r="AG548" s="79" t="str">
        <f t="shared" si="56"/>
        <v>射精管梗阻治疗费</v>
      </c>
      <c r="AH548" s="79">
        <f t="shared" si="57"/>
        <v>770</v>
      </c>
      <c r="AI548" s="79">
        <f t="shared" si="58"/>
        <v>690</v>
      </c>
      <c r="AJ548" s="79">
        <f t="shared" si="59"/>
        <v>585</v>
      </c>
    </row>
    <row r="549" ht="25.5" spans="1:36">
      <c r="A549" s="81" t="s">
        <v>81</v>
      </c>
      <c r="B549" s="81" t="s">
        <v>1666</v>
      </c>
      <c r="C549" s="81" t="s">
        <v>1667</v>
      </c>
      <c r="D549" s="81" t="s">
        <v>213</v>
      </c>
      <c r="E549" s="81"/>
      <c r="F549" s="81"/>
      <c r="G549" s="81" t="s">
        <v>40</v>
      </c>
      <c r="H549" s="81"/>
      <c r="I549" s="56">
        <v>195</v>
      </c>
      <c r="J549" s="56">
        <v>176</v>
      </c>
      <c r="K549" s="54"/>
      <c r="L549" s="54"/>
      <c r="M549" s="54"/>
      <c r="N549" s="64">
        <v>180</v>
      </c>
      <c r="O549" s="64">
        <v>160</v>
      </c>
      <c r="P549" s="64">
        <v>135</v>
      </c>
      <c r="Q549" s="44" t="s">
        <v>54</v>
      </c>
      <c r="R549" s="69"/>
      <c r="S549" s="49"/>
      <c r="T549" s="45" t="s">
        <v>1672</v>
      </c>
      <c r="U549" s="45">
        <v>33120301301</v>
      </c>
      <c r="V549" s="45" t="s">
        <v>1673</v>
      </c>
      <c r="W549" s="43" t="s">
        <v>43</v>
      </c>
      <c r="X549" s="71" t="s">
        <v>43</v>
      </c>
      <c r="Y549" s="71" t="s">
        <v>40</v>
      </c>
      <c r="Z549" s="48" t="s">
        <v>43</v>
      </c>
      <c r="AA549" s="75">
        <v>1140</v>
      </c>
      <c r="AB549" s="75">
        <v>1025</v>
      </c>
      <c r="AC549" s="80">
        <v>1140</v>
      </c>
      <c r="AD549" s="80">
        <v>1090</v>
      </c>
      <c r="AE549" s="80">
        <v>925</v>
      </c>
      <c r="AF549" s="79">
        <f t="shared" si="55"/>
        <v>12</v>
      </c>
      <c r="AG549" s="79" t="str">
        <f t="shared" si="56"/>
        <v>射精管梗阻治疗费</v>
      </c>
      <c r="AH549" s="79">
        <f t="shared" si="57"/>
        <v>770</v>
      </c>
      <c r="AI549" s="79">
        <f t="shared" si="58"/>
        <v>690</v>
      </c>
      <c r="AJ549" s="79">
        <f t="shared" si="59"/>
        <v>585</v>
      </c>
    </row>
    <row r="550" ht="38.25" spans="1:36">
      <c r="A550" s="44">
        <v>83</v>
      </c>
      <c r="B550" s="44" t="s">
        <v>1674</v>
      </c>
      <c r="C550" s="44" t="s">
        <v>1675</v>
      </c>
      <c r="D550" s="44" t="s">
        <v>213</v>
      </c>
      <c r="E550" s="44" t="s">
        <v>1676</v>
      </c>
      <c r="F550" s="44" t="s">
        <v>1677</v>
      </c>
      <c r="G550" s="44" t="s">
        <v>40</v>
      </c>
      <c r="H550" s="44"/>
      <c r="I550" s="56">
        <v>500</v>
      </c>
      <c r="J550" s="56">
        <v>450</v>
      </c>
      <c r="K550" s="57">
        <v>500</v>
      </c>
      <c r="L550" s="55"/>
      <c r="M550" s="55"/>
      <c r="N550" s="64">
        <v>475</v>
      </c>
      <c r="O550" s="64">
        <v>450</v>
      </c>
      <c r="P550" s="64">
        <v>385</v>
      </c>
      <c r="Q550" s="44" t="s">
        <v>54</v>
      </c>
      <c r="R550" s="70" t="s">
        <v>76</v>
      </c>
      <c r="S550" s="44" t="s">
        <v>1658</v>
      </c>
      <c r="T550" s="43" t="s">
        <v>1659</v>
      </c>
      <c r="U550" s="71">
        <v>331203007</v>
      </c>
      <c r="V550" s="43" t="s">
        <v>1660</v>
      </c>
      <c r="W550" s="43" t="s">
        <v>43</v>
      </c>
      <c r="X550" s="71" t="s">
        <v>1661</v>
      </c>
      <c r="Y550" s="71" t="s">
        <v>40</v>
      </c>
      <c r="Z550" s="48" t="s">
        <v>1621</v>
      </c>
      <c r="AA550" s="75">
        <v>500</v>
      </c>
      <c r="AB550" s="75">
        <v>450</v>
      </c>
      <c r="AC550" s="80">
        <v>500</v>
      </c>
      <c r="AD550" s="80">
        <v>480</v>
      </c>
      <c r="AE550" s="80">
        <v>408</v>
      </c>
      <c r="AF550" s="79">
        <f t="shared" si="55"/>
        <v>0</v>
      </c>
      <c r="AG550" s="79" t="str">
        <f t="shared" si="56"/>
        <v>精囊冲洗费</v>
      </c>
      <c r="AH550" s="79">
        <f t="shared" si="57"/>
        <v>475</v>
      </c>
      <c r="AI550" s="79">
        <f t="shared" si="58"/>
        <v>450</v>
      </c>
      <c r="AJ550" s="79">
        <f t="shared" si="59"/>
        <v>385</v>
      </c>
    </row>
    <row r="551" ht="38.25" spans="1:36">
      <c r="A551" s="44">
        <v>83</v>
      </c>
      <c r="B551" s="44" t="s">
        <v>1674</v>
      </c>
      <c r="C551" s="44" t="s">
        <v>1675</v>
      </c>
      <c r="D551" s="44" t="s">
        <v>213</v>
      </c>
      <c r="E551" s="44" t="s">
        <v>1676</v>
      </c>
      <c r="F551" s="44" t="s">
        <v>1677</v>
      </c>
      <c r="G551" s="44" t="s">
        <v>40</v>
      </c>
      <c r="H551" s="44"/>
      <c r="I551" s="56">
        <v>500</v>
      </c>
      <c r="J551" s="56">
        <v>450</v>
      </c>
      <c r="K551" s="57">
        <v>500</v>
      </c>
      <c r="L551" s="55"/>
      <c r="M551" s="55"/>
      <c r="N551" s="64">
        <v>475</v>
      </c>
      <c r="O551" s="64">
        <v>450</v>
      </c>
      <c r="P551" s="64">
        <v>385</v>
      </c>
      <c r="Q551" s="44" t="s">
        <v>54</v>
      </c>
      <c r="R551" s="70" t="s">
        <v>76</v>
      </c>
      <c r="S551" s="44" t="s">
        <v>1658</v>
      </c>
      <c r="T551" s="45" t="s">
        <v>1662</v>
      </c>
      <c r="U551" s="45">
        <v>33120300701</v>
      </c>
      <c r="V551" s="45" t="s">
        <v>1663</v>
      </c>
      <c r="W551" s="43" t="s">
        <v>43</v>
      </c>
      <c r="X551" s="71" t="s">
        <v>43</v>
      </c>
      <c r="Y551" s="71" t="s">
        <v>40</v>
      </c>
      <c r="Z551" s="48" t="s">
        <v>1624</v>
      </c>
      <c r="AA551" s="75">
        <v>600</v>
      </c>
      <c r="AB551" s="75">
        <v>540</v>
      </c>
      <c r="AC551" s="80">
        <v>600</v>
      </c>
      <c r="AD551" s="80">
        <v>576</v>
      </c>
      <c r="AE551" s="80">
        <v>489.6</v>
      </c>
      <c r="AF551" s="79">
        <f t="shared" si="55"/>
        <v>0</v>
      </c>
      <c r="AG551" s="79" t="str">
        <f t="shared" si="56"/>
        <v>精囊冲洗费</v>
      </c>
      <c r="AH551" s="79">
        <f t="shared" si="57"/>
        <v>475</v>
      </c>
      <c r="AI551" s="79">
        <f t="shared" si="58"/>
        <v>450</v>
      </c>
      <c r="AJ551" s="79">
        <f t="shared" si="59"/>
        <v>385</v>
      </c>
    </row>
    <row r="552" ht="30" customHeight="1" spans="1:36">
      <c r="A552" s="81" t="s">
        <v>81</v>
      </c>
      <c r="B552" s="81" t="s">
        <v>1678</v>
      </c>
      <c r="C552" s="81" t="s">
        <v>1679</v>
      </c>
      <c r="D552" s="81" t="s">
        <v>213</v>
      </c>
      <c r="E552" s="81"/>
      <c r="F552" s="81"/>
      <c r="G552" s="81" t="s">
        <v>40</v>
      </c>
      <c r="H552" s="81"/>
      <c r="I552" s="56">
        <v>150</v>
      </c>
      <c r="J552" s="56">
        <v>135</v>
      </c>
      <c r="K552" s="54"/>
      <c r="L552" s="54"/>
      <c r="M552" s="54"/>
      <c r="N552" s="64">
        <v>140</v>
      </c>
      <c r="O552" s="64">
        <v>135</v>
      </c>
      <c r="P552" s="64">
        <v>115</v>
      </c>
      <c r="Q552" s="44" t="s">
        <v>54</v>
      </c>
      <c r="R552" s="69"/>
      <c r="S552" s="44" t="s">
        <v>446</v>
      </c>
      <c r="T552" s="45" t="s">
        <v>1668</v>
      </c>
      <c r="U552" s="45">
        <v>33120300702</v>
      </c>
      <c r="V552" s="45" t="s">
        <v>1669</v>
      </c>
      <c r="W552" s="43" t="s">
        <v>43</v>
      </c>
      <c r="X552" s="71" t="s">
        <v>43</v>
      </c>
      <c r="Y552" s="71" t="s">
        <v>40</v>
      </c>
      <c r="Z552" s="48" t="s">
        <v>43</v>
      </c>
      <c r="AA552" s="75">
        <v>650</v>
      </c>
      <c r="AB552" s="75">
        <v>585</v>
      </c>
      <c r="AC552" s="80">
        <v>650</v>
      </c>
      <c r="AD552" s="80">
        <v>625</v>
      </c>
      <c r="AE552" s="80">
        <v>530</v>
      </c>
      <c r="AF552" s="79">
        <f t="shared" si="55"/>
        <v>9</v>
      </c>
      <c r="AG552" s="79" t="str">
        <f t="shared" si="56"/>
        <v>精囊冲洗费</v>
      </c>
      <c r="AH552" s="79">
        <f t="shared" si="57"/>
        <v>615</v>
      </c>
      <c r="AI552" s="79">
        <f t="shared" si="58"/>
        <v>585</v>
      </c>
      <c r="AJ552" s="79">
        <f t="shared" si="59"/>
        <v>500</v>
      </c>
    </row>
    <row r="553" ht="30" customHeight="1" spans="1:36">
      <c r="A553" s="81" t="s">
        <v>81</v>
      </c>
      <c r="B553" s="81" t="s">
        <v>1678</v>
      </c>
      <c r="C553" s="81" t="s">
        <v>1679</v>
      </c>
      <c r="D553" s="81" t="s">
        <v>213</v>
      </c>
      <c r="E553" s="81"/>
      <c r="F553" s="81"/>
      <c r="G553" s="81" t="s">
        <v>40</v>
      </c>
      <c r="H553" s="81"/>
      <c r="I553" s="56">
        <v>150</v>
      </c>
      <c r="J553" s="56">
        <v>135</v>
      </c>
      <c r="K553" s="54"/>
      <c r="L553" s="54"/>
      <c r="M553" s="54"/>
      <c r="N553" s="64">
        <v>140</v>
      </c>
      <c r="O553" s="64">
        <v>135</v>
      </c>
      <c r="P553" s="64">
        <v>115</v>
      </c>
      <c r="Q553" s="44" t="s">
        <v>54</v>
      </c>
      <c r="R553" s="69"/>
      <c r="S553" s="44" t="s">
        <v>446</v>
      </c>
      <c r="T553" s="45" t="s">
        <v>1670</v>
      </c>
      <c r="U553" s="45">
        <v>33120300703</v>
      </c>
      <c r="V553" s="45" t="s">
        <v>1671</v>
      </c>
      <c r="W553" s="43" t="s">
        <v>43</v>
      </c>
      <c r="X553" s="71" t="s">
        <v>43</v>
      </c>
      <c r="Y553" s="71" t="s">
        <v>40</v>
      </c>
      <c r="Z553" s="48" t="s">
        <v>1624</v>
      </c>
      <c r="AA553" s="75">
        <v>780</v>
      </c>
      <c r="AB553" s="75">
        <v>700</v>
      </c>
      <c r="AC553" s="80">
        <v>780</v>
      </c>
      <c r="AD553" s="80">
        <v>750</v>
      </c>
      <c r="AE553" s="80">
        <v>640</v>
      </c>
      <c r="AF553" s="79">
        <f t="shared" si="55"/>
        <v>9</v>
      </c>
      <c r="AG553" s="79" t="str">
        <f t="shared" si="56"/>
        <v>精囊冲洗费</v>
      </c>
      <c r="AH553" s="79">
        <f t="shared" si="57"/>
        <v>615</v>
      </c>
      <c r="AI553" s="79">
        <f t="shared" si="58"/>
        <v>585</v>
      </c>
      <c r="AJ553" s="79">
        <f t="shared" si="59"/>
        <v>500</v>
      </c>
    </row>
    <row r="554" ht="30" customHeight="1" spans="1:36">
      <c r="A554" s="47">
        <v>84</v>
      </c>
      <c r="B554" s="47" t="s">
        <v>1680</v>
      </c>
      <c r="C554" s="47" t="s">
        <v>1681</v>
      </c>
      <c r="D554" s="47" t="s">
        <v>213</v>
      </c>
      <c r="E554" s="47" t="s">
        <v>1682</v>
      </c>
      <c r="F554" s="47" t="s">
        <v>1683</v>
      </c>
      <c r="G554" s="47" t="s">
        <v>40</v>
      </c>
      <c r="H554" s="47"/>
      <c r="I554" s="56">
        <v>2078</v>
      </c>
      <c r="J554" s="56">
        <v>1870</v>
      </c>
      <c r="K554" s="58"/>
      <c r="L554" s="83">
        <v>2120</v>
      </c>
      <c r="M554" s="58"/>
      <c r="N554" s="64">
        <v>1950</v>
      </c>
      <c r="O554" s="64">
        <v>1850</v>
      </c>
      <c r="P554" s="64">
        <v>1550</v>
      </c>
      <c r="Q554" s="44" t="s">
        <v>54</v>
      </c>
      <c r="R554" s="70" t="s">
        <v>67</v>
      </c>
      <c r="S554" s="44" t="s">
        <v>1658</v>
      </c>
      <c r="T554" s="43" t="s">
        <v>1684</v>
      </c>
      <c r="U554" s="71">
        <v>331201009</v>
      </c>
      <c r="V554" s="43" t="s">
        <v>1685</v>
      </c>
      <c r="W554" s="43" t="s">
        <v>43</v>
      </c>
      <c r="X554" s="71" t="s">
        <v>43</v>
      </c>
      <c r="Y554" s="71" t="s">
        <v>40</v>
      </c>
      <c r="Z554" s="48" t="s">
        <v>43</v>
      </c>
      <c r="AA554" s="75">
        <v>1920</v>
      </c>
      <c r="AB554" s="75">
        <v>1730</v>
      </c>
      <c r="AC554" s="80">
        <v>1690</v>
      </c>
      <c r="AD554" s="80">
        <v>1520</v>
      </c>
      <c r="AE554" s="80">
        <v>1290</v>
      </c>
      <c r="AF554" s="79">
        <f t="shared" si="55"/>
        <v>0</v>
      </c>
      <c r="AG554" s="79" t="str">
        <f t="shared" si="56"/>
        <v>精囊肿物切除费</v>
      </c>
      <c r="AH554" s="79">
        <f t="shared" si="57"/>
        <v>1950</v>
      </c>
      <c r="AI554" s="79">
        <f t="shared" si="58"/>
        <v>1850</v>
      </c>
      <c r="AJ554" s="79">
        <f t="shared" si="59"/>
        <v>1550</v>
      </c>
    </row>
    <row r="555" ht="30" customHeight="1" spans="1:36">
      <c r="A555" s="47">
        <v>84</v>
      </c>
      <c r="B555" s="47" t="s">
        <v>1680</v>
      </c>
      <c r="C555" s="47" t="s">
        <v>1681</v>
      </c>
      <c r="D555" s="47" t="s">
        <v>213</v>
      </c>
      <c r="E555" s="47" t="s">
        <v>1682</v>
      </c>
      <c r="F555" s="47" t="s">
        <v>1683</v>
      </c>
      <c r="G555" s="47" t="s">
        <v>40</v>
      </c>
      <c r="H555" s="47"/>
      <c r="I555" s="56">
        <v>2078</v>
      </c>
      <c r="J555" s="56">
        <v>1870</v>
      </c>
      <c r="K555" s="58"/>
      <c r="L555" s="83">
        <v>2120</v>
      </c>
      <c r="M555" s="58"/>
      <c r="N555" s="64">
        <v>1950</v>
      </c>
      <c r="O555" s="64">
        <v>1850</v>
      </c>
      <c r="P555" s="64">
        <v>1550</v>
      </c>
      <c r="Q555" s="44" t="s">
        <v>54</v>
      </c>
      <c r="R555" s="70" t="s">
        <v>67</v>
      </c>
      <c r="S555" s="44" t="s">
        <v>1658</v>
      </c>
      <c r="T555" s="45" t="s">
        <v>1686</v>
      </c>
      <c r="U555" s="71">
        <v>33120100902</v>
      </c>
      <c r="V555" s="43" t="s">
        <v>1687</v>
      </c>
      <c r="W555" s="43" t="s">
        <v>43</v>
      </c>
      <c r="X555" s="71" t="s">
        <v>43</v>
      </c>
      <c r="Y555" s="71" t="s">
        <v>40</v>
      </c>
      <c r="Z555" s="48" t="s">
        <v>43</v>
      </c>
      <c r="AA555" s="75">
        <v>2720</v>
      </c>
      <c r="AB555" s="75">
        <v>2450</v>
      </c>
      <c r="AC555" s="80">
        <v>2315</v>
      </c>
      <c r="AD555" s="80">
        <v>2120</v>
      </c>
      <c r="AE555" s="80">
        <v>1300</v>
      </c>
      <c r="AF555" s="79">
        <f t="shared" si="55"/>
        <v>0</v>
      </c>
      <c r="AG555" s="79" t="str">
        <f t="shared" si="56"/>
        <v>精囊肿物切除费</v>
      </c>
      <c r="AH555" s="79">
        <f t="shared" si="57"/>
        <v>1950</v>
      </c>
      <c r="AI555" s="79">
        <f t="shared" si="58"/>
        <v>1850</v>
      </c>
      <c r="AJ555" s="79">
        <f t="shared" si="59"/>
        <v>1550</v>
      </c>
    </row>
    <row r="556" ht="35" customHeight="1" spans="1:36">
      <c r="A556" s="81" t="s">
        <v>81</v>
      </c>
      <c r="B556" s="81" t="s">
        <v>1690</v>
      </c>
      <c r="C556" s="81" t="s">
        <v>1691</v>
      </c>
      <c r="D556" s="81" t="s">
        <v>213</v>
      </c>
      <c r="E556" s="81"/>
      <c r="F556" s="81"/>
      <c r="G556" s="81" t="s">
        <v>40</v>
      </c>
      <c r="H556" s="81"/>
      <c r="I556" s="56">
        <v>623</v>
      </c>
      <c r="J556" s="56">
        <v>561</v>
      </c>
      <c r="K556" s="54"/>
      <c r="L556" s="54"/>
      <c r="M556" s="54"/>
      <c r="N556" s="64">
        <v>585</v>
      </c>
      <c r="O556" s="64">
        <v>555</v>
      </c>
      <c r="P556" s="64">
        <v>465</v>
      </c>
      <c r="Q556" s="44" t="s">
        <v>54</v>
      </c>
      <c r="R556" s="69"/>
      <c r="S556" s="44" t="s">
        <v>446</v>
      </c>
      <c r="T556" s="45" t="s">
        <v>1692</v>
      </c>
      <c r="U556" s="45">
        <v>33120100901</v>
      </c>
      <c r="V556" s="45" t="s">
        <v>1693</v>
      </c>
      <c r="W556" s="43" t="s">
        <v>43</v>
      </c>
      <c r="X556" s="71" t="s">
        <v>43</v>
      </c>
      <c r="Y556" s="71" t="s">
        <v>40</v>
      </c>
      <c r="Z556" s="48" t="s">
        <v>43</v>
      </c>
      <c r="AA556" s="75">
        <v>2495</v>
      </c>
      <c r="AB556" s="75">
        <v>2250</v>
      </c>
      <c r="AC556" s="80">
        <v>2195</v>
      </c>
      <c r="AD556" s="80">
        <v>1975</v>
      </c>
      <c r="AE556" s="80">
        <v>1680</v>
      </c>
      <c r="AF556" s="79">
        <f t="shared" si="55"/>
        <v>11</v>
      </c>
      <c r="AG556" s="79" t="str">
        <f t="shared" si="56"/>
        <v>精囊肿物切除费</v>
      </c>
      <c r="AH556" s="79">
        <f t="shared" si="57"/>
        <v>2535</v>
      </c>
      <c r="AI556" s="79">
        <f t="shared" si="58"/>
        <v>2405</v>
      </c>
      <c r="AJ556" s="79">
        <f t="shared" si="59"/>
        <v>2015</v>
      </c>
    </row>
    <row r="557" ht="35" customHeight="1" spans="1:36">
      <c r="A557" s="81" t="s">
        <v>81</v>
      </c>
      <c r="B557" s="81" t="s">
        <v>1690</v>
      </c>
      <c r="C557" s="81" t="s">
        <v>1691</v>
      </c>
      <c r="D557" s="81" t="s">
        <v>213</v>
      </c>
      <c r="E557" s="81"/>
      <c r="F557" s="81"/>
      <c r="G557" s="81" t="s">
        <v>40</v>
      </c>
      <c r="H557" s="81"/>
      <c r="I557" s="56">
        <v>623</v>
      </c>
      <c r="J557" s="56">
        <v>561</v>
      </c>
      <c r="K557" s="54"/>
      <c r="L557" s="54"/>
      <c r="M557" s="54"/>
      <c r="N557" s="64">
        <v>585</v>
      </c>
      <c r="O557" s="64">
        <v>555</v>
      </c>
      <c r="P557" s="64">
        <v>465</v>
      </c>
      <c r="Q557" s="44" t="s">
        <v>54</v>
      </c>
      <c r="R557" s="69"/>
      <c r="S557" s="44" t="s">
        <v>446</v>
      </c>
      <c r="T557" s="45" t="s">
        <v>1694</v>
      </c>
      <c r="U557" s="45">
        <v>33120100903</v>
      </c>
      <c r="V557" s="45" t="s">
        <v>1695</v>
      </c>
      <c r="W557" s="43" t="s">
        <v>43</v>
      </c>
      <c r="X557" s="71" t="s">
        <v>43</v>
      </c>
      <c r="Y557" s="71" t="s">
        <v>40</v>
      </c>
      <c r="Z557" s="48" t="s">
        <v>43</v>
      </c>
      <c r="AA557" s="75">
        <v>3295</v>
      </c>
      <c r="AB557" s="75">
        <v>2970</v>
      </c>
      <c r="AC557" s="80">
        <v>2820</v>
      </c>
      <c r="AD557" s="80">
        <v>2575</v>
      </c>
      <c r="AE557" s="80">
        <v>2190</v>
      </c>
      <c r="AF557" s="79">
        <f t="shared" si="55"/>
        <v>11</v>
      </c>
      <c r="AG557" s="79" t="str">
        <f t="shared" si="56"/>
        <v>精囊肿物切除费</v>
      </c>
      <c r="AH557" s="79">
        <f t="shared" si="57"/>
        <v>2535</v>
      </c>
      <c r="AI557" s="79">
        <f t="shared" si="58"/>
        <v>2405</v>
      </c>
      <c r="AJ557" s="79">
        <f t="shared" si="59"/>
        <v>2015</v>
      </c>
    </row>
    <row r="558" ht="51" spans="1:36">
      <c r="A558" s="44">
        <v>85</v>
      </c>
      <c r="B558" s="44" t="s">
        <v>1696</v>
      </c>
      <c r="C558" s="44" t="s">
        <v>1697</v>
      </c>
      <c r="D558" s="44" t="s">
        <v>213</v>
      </c>
      <c r="E558" s="44" t="s">
        <v>1698</v>
      </c>
      <c r="F558" s="44" t="s">
        <v>1699</v>
      </c>
      <c r="G558" s="44" t="s">
        <v>48</v>
      </c>
      <c r="H558" s="44"/>
      <c r="I558" s="56">
        <v>996</v>
      </c>
      <c r="J558" s="56">
        <v>896</v>
      </c>
      <c r="K558" s="59">
        <v>868.821292775665</v>
      </c>
      <c r="L558" s="59">
        <v>875.555555555556</v>
      </c>
      <c r="M558" s="59">
        <v>782</v>
      </c>
      <c r="N558" s="64">
        <v>900</v>
      </c>
      <c r="O558" s="64">
        <v>860</v>
      </c>
      <c r="P558" s="64">
        <v>750</v>
      </c>
      <c r="Q558" s="44" t="s">
        <v>54</v>
      </c>
      <c r="R558" s="70" t="s">
        <v>67</v>
      </c>
      <c r="S558" s="44" t="s">
        <v>880</v>
      </c>
      <c r="T558" s="43" t="s">
        <v>1700</v>
      </c>
      <c r="U558" s="71">
        <v>331203006</v>
      </c>
      <c r="V558" s="43" t="s">
        <v>1701</v>
      </c>
      <c r="W558" s="43" t="s">
        <v>43</v>
      </c>
      <c r="X558" s="71" t="s">
        <v>43</v>
      </c>
      <c r="Y558" s="71" t="s">
        <v>48</v>
      </c>
      <c r="Z558" s="48" t="s">
        <v>1702</v>
      </c>
      <c r="AA558" s="75">
        <v>970</v>
      </c>
      <c r="AB558" s="75">
        <v>880</v>
      </c>
      <c r="AC558" s="80">
        <v>750</v>
      </c>
      <c r="AD558" s="80">
        <v>720</v>
      </c>
      <c r="AE558" s="80">
        <v>612</v>
      </c>
      <c r="AF558" s="79">
        <f t="shared" si="55"/>
        <v>0</v>
      </c>
      <c r="AG558" s="79" t="str">
        <f t="shared" si="56"/>
        <v>精索静脉曲张结扎费</v>
      </c>
      <c r="AH558" s="79">
        <f t="shared" si="57"/>
        <v>900</v>
      </c>
      <c r="AI558" s="79">
        <f t="shared" si="58"/>
        <v>860</v>
      </c>
      <c r="AJ558" s="79">
        <f t="shared" si="59"/>
        <v>750</v>
      </c>
    </row>
    <row r="559" ht="51" spans="1:36">
      <c r="A559" s="44">
        <v>85</v>
      </c>
      <c r="B559" s="44" t="s">
        <v>1696</v>
      </c>
      <c r="C559" s="44" t="s">
        <v>1697</v>
      </c>
      <c r="D559" s="44" t="s">
        <v>213</v>
      </c>
      <c r="E559" s="44" t="s">
        <v>1698</v>
      </c>
      <c r="F559" s="44" t="s">
        <v>1699</v>
      </c>
      <c r="G559" s="44" t="s">
        <v>48</v>
      </c>
      <c r="H559" s="44"/>
      <c r="I559" s="56">
        <v>996</v>
      </c>
      <c r="J559" s="56">
        <v>896</v>
      </c>
      <c r="K559" s="59">
        <v>868.821292775665</v>
      </c>
      <c r="L559" s="59">
        <v>875.555555555556</v>
      </c>
      <c r="M559" s="59">
        <v>782</v>
      </c>
      <c r="N559" s="64">
        <v>900</v>
      </c>
      <c r="O559" s="64">
        <v>860</v>
      </c>
      <c r="P559" s="64">
        <v>750</v>
      </c>
      <c r="Q559" s="44" t="s">
        <v>54</v>
      </c>
      <c r="R559" s="70" t="s">
        <v>67</v>
      </c>
      <c r="S559" s="44" t="s">
        <v>880</v>
      </c>
      <c r="T559" s="43" t="s">
        <v>1703</v>
      </c>
      <c r="U559" s="71">
        <v>33120300601</v>
      </c>
      <c r="V559" s="43" t="s">
        <v>1704</v>
      </c>
      <c r="W559" s="43" t="s">
        <v>43</v>
      </c>
      <c r="X559" s="71" t="s">
        <v>43</v>
      </c>
      <c r="Y559" s="71" t="s">
        <v>48</v>
      </c>
      <c r="Z559" s="48" t="s">
        <v>1705</v>
      </c>
      <c r="AA559" s="75">
        <v>1290</v>
      </c>
      <c r="AB559" s="75">
        <v>1160</v>
      </c>
      <c r="AC559" s="80">
        <v>1000</v>
      </c>
      <c r="AD559" s="80">
        <v>960</v>
      </c>
      <c r="AE559" s="80">
        <v>816</v>
      </c>
      <c r="AF559" s="79">
        <f t="shared" si="55"/>
        <v>0</v>
      </c>
      <c r="AG559" s="79" t="str">
        <f t="shared" si="56"/>
        <v>精索静脉曲张结扎费</v>
      </c>
      <c r="AH559" s="79">
        <f t="shared" si="57"/>
        <v>900</v>
      </c>
      <c r="AI559" s="79">
        <f t="shared" si="58"/>
        <v>860</v>
      </c>
      <c r="AJ559" s="79">
        <f t="shared" si="59"/>
        <v>750</v>
      </c>
    </row>
    <row r="560" ht="51" spans="1:36">
      <c r="A560" s="44">
        <v>85</v>
      </c>
      <c r="B560" s="44" t="s">
        <v>1696</v>
      </c>
      <c r="C560" s="44" t="s">
        <v>1697</v>
      </c>
      <c r="D560" s="44" t="s">
        <v>213</v>
      </c>
      <c r="E560" s="44" t="s">
        <v>1698</v>
      </c>
      <c r="F560" s="44" t="s">
        <v>1699</v>
      </c>
      <c r="G560" s="44" t="s">
        <v>48</v>
      </c>
      <c r="H560" s="44"/>
      <c r="I560" s="56">
        <v>996</v>
      </c>
      <c r="J560" s="56">
        <v>896</v>
      </c>
      <c r="K560" s="59">
        <v>868.821292775665</v>
      </c>
      <c r="L560" s="59">
        <v>875.555555555556</v>
      </c>
      <c r="M560" s="59">
        <v>782</v>
      </c>
      <c r="N560" s="64">
        <v>900</v>
      </c>
      <c r="O560" s="64">
        <v>860</v>
      </c>
      <c r="P560" s="64">
        <v>750</v>
      </c>
      <c r="Q560" s="44" t="s">
        <v>54</v>
      </c>
      <c r="R560" s="70" t="s">
        <v>67</v>
      </c>
      <c r="S560" s="44" t="s">
        <v>880</v>
      </c>
      <c r="T560" s="43" t="s">
        <v>1706</v>
      </c>
      <c r="U560" s="71">
        <v>33120300604</v>
      </c>
      <c r="V560" s="43" t="s">
        <v>1707</v>
      </c>
      <c r="W560" s="43" t="s">
        <v>43</v>
      </c>
      <c r="X560" s="71" t="s">
        <v>43</v>
      </c>
      <c r="Y560" s="71" t="s">
        <v>48</v>
      </c>
      <c r="Z560" s="48" t="s">
        <v>43</v>
      </c>
      <c r="AA560" s="75">
        <v>1930</v>
      </c>
      <c r="AB560" s="75">
        <v>1740</v>
      </c>
      <c r="AC560" s="80">
        <v>1375</v>
      </c>
      <c r="AD560" s="80">
        <v>1320</v>
      </c>
      <c r="AE560" s="80">
        <v>1122</v>
      </c>
      <c r="AF560" s="79">
        <f t="shared" si="55"/>
        <v>0</v>
      </c>
      <c r="AG560" s="79" t="str">
        <f t="shared" si="56"/>
        <v>精索静脉曲张结扎费</v>
      </c>
      <c r="AH560" s="79">
        <f t="shared" si="57"/>
        <v>900</v>
      </c>
      <c r="AI560" s="79">
        <f t="shared" si="58"/>
        <v>860</v>
      </c>
      <c r="AJ560" s="79">
        <f t="shared" si="59"/>
        <v>750</v>
      </c>
    </row>
    <row r="561" s="32" customFormat="1" ht="51" spans="1:36">
      <c r="A561" s="44">
        <v>85</v>
      </c>
      <c r="B561" s="44" t="s">
        <v>1696</v>
      </c>
      <c r="C561" s="44" t="s">
        <v>1697</v>
      </c>
      <c r="D561" s="44" t="s">
        <v>213</v>
      </c>
      <c r="E561" s="44" t="s">
        <v>1698</v>
      </c>
      <c r="F561" s="44" t="s">
        <v>1699</v>
      </c>
      <c r="G561" s="44" t="s">
        <v>48</v>
      </c>
      <c r="H561" s="44"/>
      <c r="I561" s="56">
        <v>996</v>
      </c>
      <c r="J561" s="56">
        <v>896</v>
      </c>
      <c r="K561" s="59">
        <v>868.821292775665</v>
      </c>
      <c r="L561" s="59">
        <v>875.555555555556</v>
      </c>
      <c r="M561" s="59">
        <v>782</v>
      </c>
      <c r="N561" s="64">
        <v>900</v>
      </c>
      <c r="O561" s="64">
        <v>860</v>
      </c>
      <c r="P561" s="64">
        <v>750</v>
      </c>
      <c r="Q561" s="44" t="s">
        <v>54</v>
      </c>
      <c r="R561" s="70" t="s">
        <v>67</v>
      </c>
      <c r="S561" s="44" t="s">
        <v>880</v>
      </c>
      <c r="T561" s="43" t="s">
        <v>1708</v>
      </c>
      <c r="U561" s="43">
        <v>33120300606</v>
      </c>
      <c r="V561" s="43" t="s">
        <v>1709</v>
      </c>
      <c r="W561" s="43" t="s">
        <v>43</v>
      </c>
      <c r="X561" s="71" t="s">
        <v>43</v>
      </c>
      <c r="Y561" s="71" t="s">
        <v>48</v>
      </c>
      <c r="Z561" s="48" t="s">
        <v>1705</v>
      </c>
      <c r="AA561" s="75">
        <v>2250</v>
      </c>
      <c r="AB561" s="75">
        <v>2030</v>
      </c>
      <c r="AC561" s="80">
        <v>1625</v>
      </c>
      <c r="AD561" s="80">
        <v>1560</v>
      </c>
      <c r="AE561" s="80">
        <v>1326</v>
      </c>
      <c r="AF561" s="79">
        <f t="shared" si="55"/>
        <v>0</v>
      </c>
      <c r="AG561" s="79" t="str">
        <f t="shared" si="56"/>
        <v>精索静脉曲张结扎费</v>
      </c>
      <c r="AH561" s="79">
        <f t="shared" si="57"/>
        <v>900</v>
      </c>
      <c r="AI561" s="79">
        <f t="shared" si="58"/>
        <v>860</v>
      </c>
      <c r="AJ561" s="79">
        <f t="shared" si="59"/>
        <v>750</v>
      </c>
    </row>
    <row r="562" ht="51" spans="1:36">
      <c r="A562" s="44">
        <v>85</v>
      </c>
      <c r="B562" s="44" t="s">
        <v>1696</v>
      </c>
      <c r="C562" s="44" t="s">
        <v>1697</v>
      </c>
      <c r="D562" s="44" t="s">
        <v>213</v>
      </c>
      <c r="E562" s="44" t="s">
        <v>1698</v>
      </c>
      <c r="F562" s="44" t="s">
        <v>1699</v>
      </c>
      <c r="G562" s="44" t="s">
        <v>48</v>
      </c>
      <c r="H562" s="44"/>
      <c r="I562" s="56">
        <v>996</v>
      </c>
      <c r="J562" s="56">
        <v>896</v>
      </c>
      <c r="K562" s="59">
        <v>868.821292775665</v>
      </c>
      <c r="L562" s="59">
        <v>875.555555555556</v>
      </c>
      <c r="M562" s="59">
        <v>782</v>
      </c>
      <c r="N562" s="64">
        <v>900</v>
      </c>
      <c r="O562" s="64">
        <v>860</v>
      </c>
      <c r="P562" s="64">
        <v>750</v>
      </c>
      <c r="Q562" s="44" t="s">
        <v>54</v>
      </c>
      <c r="R562" s="70" t="s">
        <v>67</v>
      </c>
      <c r="S562" s="44" t="s">
        <v>880</v>
      </c>
      <c r="T562" s="43" t="s">
        <v>1710</v>
      </c>
      <c r="U562" s="71">
        <v>331203003</v>
      </c>
      <c r="V562" s="43" t="s">
        <v>1711</v>
      </c>
      <c r="W562" s="43" t="s">
        <v>43</v>
      </c>
      <c r="X562" s="71" t="s">
        <v>43</v>
      </c>
      <c r="Y562" s="71" t="s">
        <v>40</v>
      </c>
      <c r="Z562" s="48" t="s">
        <v>43</v>
      </c>
      <c r="AA562" s="75">
        <v>1080</v>
      </c>
      <c r="AB562" s="75">
        <v>970</v>
      </c>
      <c r="AC562" s="80">
        <v>1000</v>
      </c>
      <c r="AD562" s="80">
        <v>960</v>
      </c>
      <c r="AE562" s="80">
        <v>816</v>
      </c>
      <c r="AF562" s="79">
        <f t="shared" si="55"/>
        <v>0</v>
      </c>
      <c r="AG562" s="79" t="str">
        <f t="shared" si="56"/>
        <v>精索静脉曲张结扎费</v>
      </c>
      <c r="AH562" s="79">
        <f t="shared" si="57"/>
        <v>900</v>
      </c>
      <c r="AI562" s="79">
        <f t="shared" si="58"/>
        <v>860</v>
      </c>
      <c r="AJ562" s="79">
        <f t="shared" si="59"/>
        <v>750</v>
      </c>
    </row>
    <row r="563" ht="34" customHeight="1" spans="1:36">
      <c r="A563" s="44" t="s">
        <v>81</v>
      </c>
      <c r="B563" s="44" t="s">
        <v>1712</v>
      </c>
      <c r="C563" s="44" t="s">
        <v>1713</v>
      </c>
      <c r="D563" s="44" t="s">
        <v>213</v>
      </c>
      <c r="E563" s="44"/>
      <c r="F563" s="44"/>
      <c r="G563" s="44" t="s">
        <v>48</v>
      </c>
      <c r="H563" s="44"/>
      <c r="I563" s="56">
        <v>996</v>
      </c>
      <c r="J563" s="56">
        <v>896</v>
      </c>
      <c r="K563" s="57">
        <v>875</v>
      </c>
      <c r="L563" s="55"/>
      <c r="M563" s="55"/>
      <c r="N563" s="64">
        <v>900</v>
      </c>
      <c r="O563" s="64">
        <v>860</v>
      </c>
      <c r="P563" s="64">
        <v>750</v>
      </c>
      <c r="Q563" s="44" t="s">
        <v>54</v>
      </c>
      <c r="R563" s="69"/>
      <c r="S563" s="44" t="s">
        <v>84</v>
      </c>
      <c r="T563" s="43" t="s">
        <v>1714</v>
      </c>
      <c r="U563" s="71">
        <v>331203004</v>
      </c>
      <c r="V563" s="43" t="s">
        <v>1715</v>
      </c>
      <c r="W563" s="43" t="s">
        <v>43</v>
      </c>
      <c r="X563" s="71" t="s">
        <v>43</v>
      </c>
      <c r="Y563" s="71" t="s">
        <v>40</v>
      </c>
      <c r="Z563" s="48" t="s">
        <v>43</v>
      </c>
      <c r="AA563" s="75">
        <v>945</v>
      </c>
      <c r="AB563" s="75">
        <v>850</v>
      </c>
      <c r="AC563" s="80">
        <v>875</v>
      </c>
      <c r="AD563" s="80">
        <v>840</v>
      </c>
      <c r="AE563" s="80">
        <v>714</v>
      </c>
      <c r="AF563" s="79">
        <f t="shared" si="55"/>
        <v>0</v>
      </c>
      <c r="AG563" s="79" t="str">
        <f t="shared" si="56"/>
        <v>精索静脉曲张结扎费-精索静脉瘤切除（扩展）</v>
      </c>
      <c r="AH563" s="79">
        <f t="shared" si="57"/>
        <v>900</v>
      </c>
      <c r="AI563" s="79">
        <f t="shared" si="58"/>
        <v>860</v>
      </c>
      <c r="AJ563" s="79">
        <f t="shared" si="59"/>
        <v>750</v>
      </c>
    </row>
    <row r="564" ht="34" customHeight="1" spans="1:36">
      <c r="A564" s="44" t="s">
        <v>81</v>
      </c>
      <c r="B564" s="44" t="s">
        <v>1712</v>
      </c>
      <c r="C564" s="44" t="s">
        <v>1713</v>
      </c>
      <c r="D564" s="44" t="s">
        <v>213</v>
      </c>
      <c r="E564" s="44"/>
      <c r="F564" s="44"/>
      <c r="G564" s="44" t="s">
        <v>48</v>
      </c>
      <c r="H564" s="44"/>
      <c r="I564" s="56">
        <v>996</v>
      </c>
      <c r="J564" s="56">
        <v>896</v>
      </c>
      <c r="K564" s="57">
        <v>875</v>
      </c>
      <c r="L564" s="55"/>
      <c r="M564" s="55"/>
      <c r="N564" s="64">
        <v>900</v>
      </c>
      <c r="O564" s="64">
        <v>860</v>
      </c>
      <c r="P564" s="64">
        <v>750</v>
      </c>
      <c r="Q564" s="44" t="s">
        <v>54</v>
      </c>
      <c r="R564" s="69"/>
      <c r="S564" s="44" t="s">
        <v>84</v>
      </c>
      <c r="T564" s="45" t="s">
        <v>1716</v>
      </c>
      <c r="U564" s="45">
        <v>33120300401</v>
      </c>
      <c r="V564" s="45" t="s">
        <v>1717</v>
      </c>
      <c r="W564" s="43" t="s">
        <v>43</v>
      </c>
      <c r="X564" s="71" t="s">
        <v>43</v>
      </c>
      <c r="Y564" s="71" t="s">
        <v>40</v>
      </c>
      <c r="Z564" s="48" t="s">
        <v>43</v>
      </c>
      <c r="AA564" s="75">
        <v>1230</v>
      </c>
      <c r="AB564" s="75">
        <v>1105</v>
      </c>
      <c r="AC564" s="80">
        <v>1140</v>
      </c>
      <c r="AD564" s="80">
        <v>1090</v>
      </c>
      <c r="AE564" s="80">
        <v>925</v>
      </c>
      <c r="AF564" s="79">
        <f t="shared" si="55"/>
        <v>0</v>
      </c>
      <c r="AG564" s="79" t="str">
        <f t="shared" si="56"/>
        <v>精索静脉曲张结扎费-精索静脉瘤切除（扩展）</v>
      </c>
      <c r="AH564" s="79">
        <f t="shared" si="57"/>
        <v>900</v>
      </c>
      <c r="AI564" s="79">
        <f t="shared" si="58"/>
        <v>860</v>
      </c>
      <c r="AJ564" s="79">
        <f t="shared" si="59"/>
        <v>750</v>
      </c>
    </row>
    <row r="565" ht="23" customHeight="1" spans="1:36">
      <c r="A565" s="81" t="s">
        <v>81</v>
      </c>
      <c r="B565" s="81" t="s">
        <v>1718</v>
      </c>
      <c r="C565" s="81" t="s">
        <v>1719</v>
      </c>
      <c r="D565" s="81" t="s">
        <v>213</v>
      </c>
      <c r="E565" s="81"/>
      <c r="F565" s="81"/>
      <c r="G565" s="81" t="s">
        <v>48</v>
      </c>
      <c r="H565" s="81"/>
      <c r="I565" s="56">
        <v>299</v>
      </c>
      <c r="J565" s="56">
        <v>269</v>
      </c>
      <c r="K565" s="54"/>
      <c r="L565" s="54"/>
      <c r="M565" s="54"/>
      <c r="N565" s="64">
        <v>270</v>
      </c>
      <c r="O565" s="64">
        <v>260</v>
      </c>
      <c r="P565" s="64">
        <v>225</v>
      </c>
      <c r="Q565" s="44" t="s">
        <v>54</v>
      </c>
      <c r="R565" s="69"/>
      <c r="S565" s="49"/>
      <c r="T565" s="43" t="s">
        <v>1720</v>
      </c>
      <c r="U565" s="43">
        <v>33120300602</v>
      </c>
      <c r="V565" s="43" t="s">
        <v>1721</v>
      </c>
      <c r="W565" s="43" t="s">
        <v>43</v>
      </c>
      <c r="X565" s="71" t="s">
        <v>43</v>
      </c>
      <c r="Y565" s="71" t="s">
        <v>48</v>
      </c>
      <c r="Z565" s="48" t="s">
        <v>43</v>
      </c>
      <c r="AA565" s="75">
        <v>1260</v>
      </c>
      <c r="AB565" s="75">
        <v>1140</v>
      </c>
      <c r="AC565" s="80">
        <v>975</v>
      </c>
      <c r="AD565" s="80">
        <v>935</v>
      </c>
      <c r="AE565" s="80">
        <v>795</v>
      </c>
      <c r="AF565" s="79">
        <f t="shared" si="55"/>
        <v>13</v>
      </c>
      <c r="AG565" s="79" t="str">
        <f t="shared" si="56"/>
        <v>精索静脉曲张结扎费</v>
      </c>
      <c r="AH565" s="79">
        <f t="shared" si="57"/>
        <v>1170</v>
      </c>
      <c r="AI565" s="79">
        <f t="shared" si="58"/>
        <v>1120</v>
      </c>
      <c r="AJ565" s="79">
        <f t="shared" si="59"/>
        <v>975</v>
      </c>
    </row>
    <row r="566" ht="23" customHeight="1" spans="1:36">
      <c r="A566" s="81" t="s">
        <v>81</v>
      </c>
      <c r="B566" s="81" t="s">
        <v>1718</v>
      </c>
      <c r="C566" s="81" t="s">
        <v>1719</v>
      </c>
      <c r="D566" s="81" t="s">
        <v>213</v>
      </c>
      <c r="E566" s="81"/>
      <c r="F566" s="81"/>
      <c r="G566" s="81" t="s">
        <v>48</v>
      </c>
      <c r="H566" s="81"/>
      <c r="I566" s="56">
        <v>299</v>
      </c>
      <c r="J566" s="56">
        <v>269</v>
      </c>
      <c r="K566" s="54"/>
      <c r="L566" s="54"/>
      <c r="M566" s="54"/>
      <c r="N566" s="64">
        <v>270</v>
      </c>
      <c r="O566" s="64">
        <v>260</v>
      </c>
      <c r="P566" s="64">
        <v>225</v>
      </c>
      <c r="Q566" s="44" t="s">
        <v>54</v>
      </c>
      <c r="R566" s="69"/>
      <c r="S566" s="49"/>
      <c r="T566" s="43" t="s">
        <v>1722</v>
      </c>
      <c r="U566" s="43">
        <v>33120300603</v>
      </c>
      <c r="V566" s="43" t="s">
        <v>1723</v>
      </c>
      <c r="W566" s="43" t="s">
        <v>43</v>
      </c>
      <c r="X566" s="71" t="s">
        <v>43</v>
      </c>
      <c r="Y566" s="71" t="s">
        <v>48</v>
      </c>
      <c r="Z566" s="48" t="s">
        <v>1705</v>
      </c>
      <c r="AA566" s="75">
        <v>1680</v>
      </c>
      <c r="AB566" s="75">
        <v>1510</v>
      </c>
      <c r="AC566" s="80">
        <v>1300</v>
      </c>
      <c r="AD566" s="80">
        <v>1250</v>
      </c>
      <c r="AE566" s="80">
        <v>1065</v>
      </c>
      <c r="AF566" s="79">
        <f t="shared" si="55"/>
        <v>13</v>
      </c>
      <c r="AG566" s="79" t="str">
        <f t="shared" si="56"/>
        <v>精索静脉曲张结扎费</v>
      </c>
      <c r="AH566" s="79">
        <f t="shared" si="57"/>
        <v>1170</v>
      </c>
      <c r="AI566" s="79">
        <f t="shared" si="58"/>
        <v>1120</v>
      </c>
      <c r="AJ566" s="79">
        <f t="shared" si="59"/>
        <v>975</v>
      </c>
    </row>
    <row r="567" ht="23" customHeight="1" spans="1:36">
      <c r="A567" s="81" t="s">
        <v>81</v>
      </c>
      <c r="B567" s="81" t="s">
        <v>1718</v>
      </c>
      <c r="C567" s="81" t="s">
        <v>1719</v>
      </c>
      <c r="D567" s="81" t="s">
        <v>213</v>
      </c>
      <c r="E567" s="81"/>
      <c r="F567" s="81"/>
      <c r="G567" s="81" t="s">
        <v>48</v>
      </c>
      <c r="H567" s="81"/>
      <c r="I567" s="56">
        <v>299</v>
      </c>
      <c r="J567" s="56">
        <v>269</v>
      </c>
      <c r="K567" s="54"/>
      <c r="L567" s="54"/>
      <c r="M567" s="54"/>
      <c r="N567" s="64">
        <v>270</v>
      </c>
      <c r="O567" s="64">
        <v>260</v>
      </c>
      <c r="P567" s="64">
        <v>225</v>
      </c>
      <c r="Q567" s="44" t="s">
        <v>54</v>
      </c>
      <c r="R567" s="69"/>
      <c r="S567" s="49"/>
      <c r="T567" s="43" t="s">
        <v>1724</v>
      </c>
      <c r="U567" s="43">
        <v>33120300605</v>
      </c>
      <c r="V567" s="43" t="s">
        <v>1725</v>
      </c>
      <c r="W567" s="43" t="s">
        <v>43</v>
      </c>
      <c r="X567" s="71" t="s">
        <v>43</v>
      </c>
      <c r="Y567" s="71" t="s">
        <v>48</v>
      </c>
      <c r="Z567" s="48" t="s">
        <v>43</v>
      </c>
      <c r="AA567" s="75">
        <v>2220</v>
      </c>
      <c r="AB567" s="75">
        <v>2000</v>
      </c>
      <c r="AC567" s="80">
        <v>1600</v>
      </c>
      <c r="AD567" s="80">
        <v>1535</v>
      </c>
      <c r="AE567" s="80">
        <v>1305</v>
      </c>
      <c r="AF567" s="79">
        <f t="shared" si="55"/>
        <v>13</v>
      </c>
      <c r="AG567" s="79" t="str">
        <f t="shared" si="56"/>
        <v>精索静脉曲张结扎费</v>
      </c>
      <c r="AH567" s="79">
        <f t="shared" si="57"/>
        <v>1170</v>
      </c>
      <c r="AI567" s="79">
        <f t="shared" si="58"/>
        <v>1120</v>
      </c>
      <c r="AJ567" s="79">
        <f t="shared" si="59"/>
        <v>975</v>
      </c>
    </row>
    <row r="568" ht="23" customHeight="1" spans="1:36">
      <c r="A568" s="81" t="s">
        <v>81</v>
      </c>
      <c r="B568" s="81" t="s">
        <v>1718</v>
      </c>
      <c r="C568" s="81" t="s">
        <v>1719</v>
      </c>
      <c r="D568" s="81" t="s">
        <v>213</v>
      </c>
      <c r="E568" s="81"/>
      <c r="F568" s="81"/>
      <c r="G568" s="81" t="s">
        <v>48</v>
      </c>
      <c r="H568" s="81"/>
      <c r="I568" s="56">
        <v>299</v>
      </c>
      <c r="J568" s="56">
        <v>269</v>
      </c>
      <c r="K568" s="54"/>
      <c r="L568" s="54"/>
      <c r="M568" s="54"/>
      <c r="N568" s="64">
        <v>270</v>
      </c>
      <c r="O568" s="64">
        <v>260</v>
      </c>
      <c r="P568" s="64">
        <v>225</v>
      </c>
      <c r="Q568" s="44" t="s">
        <v>54</v>
      </c>
      <c r="R568" s="69"/>
      <c r="S568" s="49"/>
      <c r="T568" s="43" t="s">
        <v>1726</v>
      </c>
      <c r="U568" s="43">
        <v>33120300607</v>
      </c>
      <c r="V568" s="43" t="s">
        <v>1727</v>
      </c>
      <c r="W568" s="43" t="s">
        <v>43</v>
      </c>
      <c r="X568" s="71" t="s">
        <v>43</v>
      </c>
      <c r="Y568" s="71" t="s">
        <v>48</v>
      </c>
      <c r="Z568" s="48" t="s">
        <v>1705</v>
      </c>
      <c r="AA568" s="75">
        <v>2640</v>
      </c>
      <c r="AB568" s="75">
        <v>2370</v>
      </c>
      <c r="AC568" s="80">
        <v>1925</v>
      </c>
      <c r="AD568" s="80">
        <v>1850</v>
      </c>
      <c r="AE568" s="80">
        <v>1575</v>
      </c>
      <c r="AF568" s="79">
        <f t="shared" si="55"/>
        <v>13</v>
      </c>
      <c r="AG568" s="79" t="str">
        <f t="shared" si="56"/>
        <v>精索静脉曲张结扎费</v>
      </c>
      <c r="AH568" s="79">
        <f t="shared" si="57"/>
        <v>1170</v>
      </c>
      <c r="AI568" s="79">
        <f t="shared" si="58"/>
        <v>1120</v>
      </c>
      <c r="AJ568" s="79">
        <f t="shared" si="59"/>
        <v>975</v>
      </c>
    </row>
    <row r="569" ht="23" customHeight="1" spans="1:36">
      <c r="A569" s="81" t="s">
        <v>81</v>
      </c>
      <c r="B569" s="81" t="s">
        <v>1718</v>
      </c>
      <c r="C569" s="81" t="s">
        <v>1719</v>
      </c>
      <c r="D569" s="81" t="s">
        <v>213</v>
      </c>
      <c r="E569" s="81"/>
      <c r="F569" s="81"/>
      <c r="G569" s="81" t="s">
        <v>48</v>
      </c>
      <c r="H569" s="81"/>
      <c r="I569" s="56">
        <v>299</v>
      </c>
      <c r="J569" s="56">
        <v>269</v>
      </c>
      <c r="K569" s="54"/>
      <c r="L569" s="54"/>
      <c r="M569" s="54"/>
      <c r="N569" s="64">
        <v>270</v>
      </c>
      <c r="O569" s="64">
        <v>260</v>
      </c>
      <c r="P569" s="64">
        <v>225</v>
      </c>
      <c r="Q569" s="44" t="s">
        <v>54</v>
      </c>
      <c r="R569" s="69"/>
      <c r="S569" s="49"/>
      <c r="T569" s="45" t="s">
        <v>1728</v>
      </c>
      <c r="U569" s="45">
        <v>33120300301</v>
      </c>
      <c r="V569" s="45" t="s">
        <v>1729</v>
      </c>
      <c r="W569" s="43" t="s">
        <v>43</v>
      </c>
      <c r="X569" s="71" t="s">
        <v>43</v>
      </c>
      <c r="Y569" s="71" t="s">
        <v>40</v>
      </c>
      <c r="Z569" s="48" t="s">
        <v>43</v>
      </c>
      <c r="AA569" s="75">
        <v>1405</v>
      </c>
      <c r="AB569" s="75">
        <v>1260</v>
      </c>
      <c r="AC569" s="80">
        <v>1300</v>
      </c>
      <c r="AD569" s="80">
        <v>1250</v>
      </c>
      <c r="AE569" s="80">
        <v>1065</v>
      </c>
      <c r="AF569" s="79">
        <f t="shared" si="55"/>
        <v>13</v>
      </c>
      <c r="AG569" s="79" t="str">
        <f t="shared" si="56"/>
        <v>精索静脉曲张结扎费</v>
      </c>
      <c r="AH569" s="79">
        <f t="shared" si="57"/>
        <v>1170</v>
      </c>
      <c r="AI569" s="79">
        <f t="shared" si="58"/>
        <v>1120</v>
      </c>
      <c r="AJ569" s="79">
        <f t="shared" si="59"/>
        <v>975</v>
      </c>
    </row>
    <row r="570" ht="95" customHeight="1" spans="1:36">
      <c r="A570" s="45">
        <v>86</v>
      </c>
      <c r="B570" s="45" t="s">
        <v>1730</v>
      </c>
      <c r="C570" s="45" t="s">
        <v>1731</v>
      </c>
      <c r="D570" s="45" t="s">
        <v>213</v>
      </c>
      <c r="E570" s="49" t="s">
        <v>1732</v>
      </c>
      <c r="F570" s="49" t="s">
        <v>1733</v>
      </c>
      <c r="G570" s="45" t="s">
        <v>40</v>
      </c>
      <c r="H570" s="49" t="s">
        <v>43</v>
      </c>
      <c r="I570" s="53">
        <v>875</v>
      </c>
      <c r="J570" s="53">
        <v>788</v>
      </c>
      <c r="K570" s="55">
        <v>875</v>
      </c>
      <c r="L570" s="55">
        <v>840</v>
      </c>
      <c r="M570" s="55">
        <v>714</v>
      </c>
      <c r="N570" s="63">
        <v>830</v>
      </c>
      <c r="O570" s="63">
        <v>760</v>
      </c>
      <c r="P570" s="63">
        <v>650</v>
      </c>
      <c r="Q570" s="45" t="s">
        <v>54</v>
      </c>
      <c r="R570" s="69" t="s">
        <v>76</v>
      </c>
      <c r="S570" s="49" t="s">
        <v>1734</v>
      </c>
      <c r="T570" s="43" t="s">
        <v>1735</v>
      </c>
      <c r="U570" s="71">
        <v>331203005</v>
      </c>
      <c r="V570" s="43" t="s">
        <v>1736</v>
      </c>
      <c r="W570" s="43" t="s">
        <v>43</v>
      </c>
      <c r="X570" s="71" t="s">
        <v>43</v>
      </c>
      <c r="Y570" s="71" t="s">
        <v>40</v>
      </c>
      <c r="Z570" s="48" t="s">
        <v>43</v>
      </c>
      <c r="AA570" s="75">
        <v>875</v>
      </c>
      <c r="AB570" s="75">
        <v>790</v>
      </c>
      <c r="AC570" s="80">
        <v>875</v>
      </c>
      <c r="AD570" s="80">
        <v>840</v>
      </c>
      <c r="AE570" s="80">
        <v>714</v>
      </c>
      <c r="AF570" s="79">
        <f t="shared" si="55"/>
        <v>0</v>
      </c>
      <c r="AG570" s="79" t="str">
        <f t="shared" si="56"/>
        <v>精索静脉曲张栓塞费</v>
      </c>
      <c r="AH570" s="79">
        <f t="shared" si="57"/>
        <v>830</v>
      </c>
      <c r="AI570" s="79">
        <f t="shared" si="58"/>
        <v>760</v>
      </c>
      <c r="AJ570" s="79">
        <f t="shared" si="59"/>
        <v>650</v>
      </c>
    </row>
    <row r="571" ht="35" customHeight="1" spans="1:36">
      <c r="A571" s="43" t="s">
        <v>81</v>
      </c>
      <c r="B571" s="43" t="s">
        <v>1737</v>
      </c>
      <c r="C571" s="43" t="s">
        <v>1738</v>
      </c>
      <c r="D571" s="43" t="s">
        <v>213</v>
      </c>
      <c r="E571" s="48" t="s">
        <v>43</v>
      </c>
      <c r="F571" s="48" t="s">
        <v>43</v>
      </c>
      <c r="G571" s="43" t="s">
        <v>40</v>
      </c>
      <c r="H571" s="48" t="s">
        <v>43</v>
      </c>
      <c r="I571" s="53">
        <v>263</v>
      </c>
      <c r="J571" s="53">
        <v>237</v>
      </c>
      <c r="K571" s="54"/>
      <c r="L571" s="54"/>
      <c r="M571" s="54"/>
      <c r="N571" s="63">
        <v>250</v>
      </c>
      <c r="O571" s="63">
        <v>230</v>
      </c>
      <c r="P571" s="63">
        <v>195</v>
      </c>
      <c r="Q571" s="45" t="s">
        <v>54</v>
      </c>
      <c r="R571" s="69"/>
      <c r="S571" s="49" t="s">
        <v>446</v>
      </c>
      <c r="T571" s="45" t="s">
        <v>1739</v>
      </c>
      <c r="U571" s="45">
        <v>33120300501</v>
      </c>
      <c r="V571" s="45" t="s">
        <v>1740</v>
      </c>
      <c r="W571" s="43" t="s">
        <v>43</v>
      </c>
      <c r="X571" s="71" t="s">
        <v>43</v>
      </c>
      <c r="Y571" s="71" t="s">
        <v>40</v>
      </c>
      <c r="Z571" s="48" t="s">
        <v>43</v>
      </c>
      <c r="AA571" s="75">
        <v>1140</v>
      </c>
      <c r="AB571" s="75">
        <v>1025</v>
      </c>
      <c r="AC571" s="80">
        <v>1140</v>
      </c>
      <c r="AD571" s="80">
        <v>1090</v>
      </c>
      <c r="AE571" s="80">
        <v>925</v>
      </c>
      <c r="AF571" s="79">
        <f t="shared" si="55"/>
        <v>13</v>
      </c>
      <c r="AG571" s="79" t="str">
        <f t="shared" si="56"/>
        <v>精索静脉曲张栓塞费</v>
      </c>
      <c r="AH571" s="79">
        <f t="shared" si="57"/>
        <v>1080</v>
      </c>
      <c r="AI571" s="79">
        <f t="shared" si="58"/>
        <v>990</v>
      </c>
      <c r="AJ571" s="79">
        <f t="shared" si="59"/>
        <v>845</v>
      </c>
    </row>
    <row r="572" ht="45" customHeight="1" spans="1:36">
      <c r="A572" s="46">
        <v>87</v>
      </c>
      <c r="B572" s="46" t="s">
        <v>1741</v>
      </c>
      <c r="C572" s="46" t="s">
        <v>1742</v>
      </c>
      <c r="D572" s="46" t="s">
        <v>127</v>
      </c>
      <c r="E572" s="50" t="s">
        <v>1743</v>
      </c>
      <c r="F572" s="50" t="s">
        <v>1744</v>
      </c>
      <c r="G572" s="46" t="s">
        <v>40</v>
      </c>
      <c r="H572" s="50" t="s">
        <v>43</v>
      </c>
      <c r="I572" s="53">
        <v>22</v>
      </c>
      <c r="J572" s="53">
        <v>20</v>
      </c>
      <c r="K572" s="58">
        <v>22</v>
      </c>
      <c r="L572" s="58">
        <v>20</v>
      </c>
      <c r="M572" s="58">
        <v>17</v>
      </c>
      <c r="N572" s="63">
        <v>22</v>
      </c>
      <c r="O572" s="63">
        <v>20</v>
      </c>
      <c r="P572" s="63">
        <v>17</v>
      </c>
      <c r="Q572" s="45" t="s">
        <v>54</v>
      </c>
      <c r="R572" s="69" t="s">
        <v>55</v>
      </c>
      <c r="S572" s="49" t="s">
        <v>1745</v>
      </c>
      <c r="T572" s="43" t="s">
        <v>1746</v>
      </c>
      <c r="U572" s="71">
        <v>311100015</v>
      </c>
      <c r="V572" s="43" t="s">
        <v>1747</v>
      </c>
      <c r="W572" s="43" t="s">
        <v>43</v>
      </c>
      <c r="X572" s="71" t="s">
        <v>43</v>
      </c>
      <c r="Y572" s="71" t="s">
        <v>40</v>
      </c>
      <c r="Z572" s="48" t="s">
        <v>43</v>
      </c>
      <c r="AA572" s="75">
        <v>22</v>
      </c>
      <c r="AB572" s="75">
        <v>20</v>
      </c>
      <c r="AC572" s="80">
        <v>22</v>
      </c>
      <c r="AD572" s="80">
        <v>20</v>
      </c>
      <c r="AE572" s="80">
        <v>17</v>
      </c>
      <c r="AF572" s="79">
        <f t="shared" si="55"/>
        <v>0</v>
      </c>
      <c r="AG572" s="79" t="str">
        <f t="shared" si="56"/>
        <v>前列腺按摩费</v>
      </c>
      <c r="AH572" s="79">
        <f t="shared" si="57"/>
        <v>22</v>
      </c>
      <c r="AI572" s="79">
        <f t="shared" si="58"/>
        <v>20</v>
      </c>
      <c r="AJ572" s="79">
        <f t="shared" si="59"/>
        <v>17</v>
      </c>
    </row>
    <row r="573" ht="45" customHeight="1" spans="1:36">
      <c r="A573" s="45">
        <v>88</v>
      </c>
      <c r="B573" s="45" t="s">
        <v>1748</v>
      </c>
      <c r="C573" s="45" t="s">
        <v>1749</v>
      </c>
      <c r="D573" s="45" t="s">
        <v>127</v>
      </c>
      <c r="E573" s="49" t="s">
        <v>1750</v>
      </c>
      <c r="F573" s="49" t="s">
        <v>1751</v>
      </c>
      <c r="G573" s="45" t="s">
        <v>40</v>
      </c>
      <c r="H573" s="49" t="s">
        <v>43</v>
      </c>
      <c r="I573" s="53">
        <v>33</v>
      </c>
      <c r="J573" s="53">
        <v>30</v>
      </c>
      <c r="K573" s="55">
        <v>33</v>
      </c>
      <c r="L573" s="55">
        <v>30</v>
      </c>
      <c r="M573" s="55">
        <v>25.5</v>
      </c>
      <c r="N573" s="63">
        <v>33</v>
      </c>
      <c r="O573" s="63">
        <v>30</v>
      </c>
      <c r="P573" s="63">
        <v>26</v>
      </c>
      <c r="Q573" s="45" t="s">
        <v>54</v>
      </c>
      <c r="R573" s="69" t="s">
        <v>55</v>
      </c>
      <c r="S573" s="49" t="s">
        <v>1752</v>
      </c>
      <c r="T573" s="43" t="s">
        <v>1753</v>
      </c>
      <c r="U573" s="71">
        <v>311100016</v>
      </c>
      <c r="V573" s="43" t="s">
        <v>1754</v>
      </c>
      <c r="W573" s="43" t="s">
        <v>43</v>
      </c>
      <c r="X573" s="71" t="s">
        <v>43</v>
      </c>
      <c r="Y573" s="71" t="s">
        <v>40</v>
      </c>
      <c r="Z573" s="48" t="s">
        <v>43</v>
      </c>
      <c r="AA573" s="75">
        <v>33</v>
      </c>
      <c r="AB573" s="75">
        <v>30</v>
      </c>
      <c r="AC573" s="80">
        <v>33</v>
      </c>
      <c r="AD573" s="80">
        <v>30</v>
      </c>
      <c r="AE573" s="80">
        <v>25.5</v>
      </c>
      <c r="AF573" s="79">
        <f t="shared" si="55"/>
        <v>0</v>
      </c>
      <c r="AG573" s="79" t="str">
        <f t="shared" si="56"/>
        <v>前列腺注射费</v>
      </c>
      <c r="AH573" s="79">
        <f t="shared" si="57"/>
        <v>33</v>
      </c>
      <c r="AI573" s="79">
        <f t="shared" si="58"/>
        <v>30</v>
      </c>
      <c r="AJ573" s="79">
        <f t="shared" si="59"/>
        <v>26</v>
      </c>
    </row>
    <row r="574" ht="24" customHeight="1" spans="1:36">
      <c r="A574" s="44">
        <v>89</v>
      </c>
      <c r="B574" s="44" t="s">
        <v>1755</v>
      </c>
      <c r="C574" s="44" t="s">
        <v>1756</v>
      </c>
      <c r="D574" s="44" t="s">
        <v>213</v>
      </c>
      <c r="E574" s="44" t="s">
        <v>1757</v>
      </c>
      <c r="F574" s="44" t="s">
        <v>1758</v>
      </c>
      <c r="G574" s="44" t="s">
        <v>40</v>
      </c>
      <c r="H574" s="44"/>
      <c r="I574" s="56">
        <v>3038</v>
      </c>
      <c r="J574" s="56">
        <v>2734</v>
      </c>
      <c r="K574" s="57">
        <v>2530</v>
      </c>
      <c r="L574" s="57">
        <v>2430</v>
      </c>
      <c r="M574" s="57" t="e">
        <v>#DIV/0!</v>
      </c>
      <c r="N574" s="64">
        <v>2680</v>
      </c>
      <c r="O574" s="64">
        <v>2430</v>
      </c>
      <c r="P574" s="64">
        <v>2070</v>
      </c>
      <c r="Q574" s="44" t="s">
        <v>54</v>
      </c>
      <c r="R574" s="70" t="s">
        <v>67</v>
      </c>
      <c r="S574" s="44" t="s">
        <v>1759</v>
      </c>
      <c r="T574" s="43" t="s">
        <v>1760</v>
      </c>
      <c r="U574" s="71">
        <v>331201002</v>
      </c>
      <c r="V574" s="43" t="s">
        <v>1761</v>
      </c>
      <c r="W574" s="43" t="s">
        <v>43</v>
      </c>
      <c r="X574" s="71" t="s">
        <v>43</v>
      </c>
      <c r="Y574" s="71" t="s">
        <v>40</v>
      </c>
      <c r="Z574" s="48" t="s">
        <v>43</v>
      </c>
      <c r="AA574" s="75">
        <v>2880</v>
      </c>
      <c r="AB574" s="75">
        <v>2590</v>
      </c>
      <c r="AC574" s="80">
        <v>2530</v>
      </c>
      <c r="AD574" s="80">
        <v>2280</v>
      </c>
      <c r="AE574" s="80">
        <v>1940</v>
      </c>
      <c r="AF574" s="79">
        <f t="shared" si="55"/>
        <v>0</v>
      </c>
      <c r="AG574" s="79" t="str">
        <f t="shared" si="56"/>
        <v>前列腺部分切除费</v>
      </c>
      <c r="AH574" s="79">
        <f t="shared" si="57"/>
        <v>2680</v>
      </c>
      <c r="AI574" s="79">
        <f t="shared" si="58"/>
        <v>2430</v>
      </c>
      <c r="AJ574" s="79">
        <f t="shared" si="59"/>
        <v>2070</v>
      </c>
    </row>
    <row r="575" ht="24" customHeight="1" spans="1:36">
      <c r="A575" s="44">
        <v>89</v>
      </c>
      <c r="B575" s="44" t="s">
        <v>1755</v>
      </c>
      <c r="C575" s="44" t="s">
        <v>1756</v>
      </c>
      <c r="D575" s="44" t="s">
        <v>213</v>
      </c>
      <c r="E575" s="44" t="s">
        <v>1757</v>
      </c>
      <c r="F575" s="44" t="s">
        <v>1758</v>
      </c>
      <c r="G575" s="44" t="s">
        <v>40</v>
      </c>
      <c r="H575" s="44"/>
      <c r="I575" s="56">
        <v>3038</v>
      </c>
      <c r="J575" s="56">
        <v>2734</v>
      </c>
      <c r="K575" s="57">
        <v>2530</v>
      </c>
      <c r="L575" s="57">
        <v>2430</v>
      </c>
      <c r="M575" s="57" t="e">
        <v>#DIV/0!</v>
      </c>
      <c r="N575" s="64">
        <v>2680</v>
      </c>
      <c r="O575" s="64">
        <v>2430</v>
      </c>
      <c r="P575" s="64">
        <v>2070</v>
      </c>
      <c r="Q575" s="44" t="s">
        <v>54</v>
      </c>
      <c r="R575" s="70" t="s">
        <v>67</v>
      </c>
      <c r="S575" s="44" t="s">
        <v>1759</v>
      </c>
      <c r="T575" s="43" t="s">
        <v>1762</v>
      </c>
      <c r="U575" s="71">
        <v>331201003</v>
      </c>
      <c r="V575" s="43" t="s">
        <v>1763</v>
      </c>
      <c r="W575" s="43" t="s">
        <v>43</v>
      </c>
      <c r="X575" s="71" t="s">
        <v>43</v>
      </c>
      <c r="Y575" s="71" t="s">
        <v>40</v>
      </c>
      <c r="Z575" s="48" t="s">
        <v>43</v>
      </c>
      <c r="AA575" s="75">
        <v>2880</v>
      </c>
      <c r="AB575" s="75">
        <v>2590</v>
      </c>
      <c r="AC575" s="80">
        <v>2530</v>
      </c>
      <c r="AD575" s="80">
        <v>2280</v>
      </c>
      <c r="AE575" s="80">
        <v>1940</v>
      </c>
      <c r="AF575" s="79">
        <f t="shared" si="55"/>
        <v>0</v>
      </c>
      <c r="AG575" s="79" t="str">
        <f t="shared" si="56"/>
        <v>前列腺部分切除费</v>
      </c>
      <c r="AH575" s="79">
        <f t="shared" si="57"/>
        <v>2680</v>
      </c>
      <c r="AI575" s="79">
        <f t="shared" si="58"/>
        <v>2430</v>
      </c>
      <c r="AJ575" s="79">
        <f t="shared" si="59"/>
        <v>2070</v>
      </c>
    </row>
    <row r="576" ht="24" customHeight="1" spans="1:36">
      <c r="A576" s="44">
        <v>89</v>
      </c>
      <c r="B576" s="44" t="s">
        <v>1755</v>
      </c>
      <c r="C576" s="44" t="s">
        <v>1756</v>
      </c>
      <c r="D576" s="44" t="s">
        <v>213</v>
      </c>
      <c r="E576" s="44" t="s">
        <v>1757</v>
      </c>
      <c r="F576" s="44" t="s">
        <v>1758</v>
      </c>
      <c r="G576" s="44" t="s">
        <v>40</v>
      </c>
      <c r="H576" s="44"/>
      <c r="I576" s="56">
        <v>3038</v>
      </c>
      <c r="J576" s="56">
        <v>2734</v>
      </c>
      <c r="K576" s="57">
        <v>2530</v>
      </c>
      <c r="L576" s="57">
        <v>2430</v>
      </c>
      <c r="M576" s="57" t="e">
        <v>#DIV/0!</v>
      </c>
      <c r="N576" s="64">
        <v>2680</v>
      </c>
      <c r="O576" s="64">
        <v>2430</v>
      </c>
      <c r="P576" s="64">
        <v>2070</v>
      </c>
      <c r="Q576" s="44" t="s">
        <v>54</v>
      </c>
      <c r="R576" s="70" t="s">
        <v>67</v>
      </c>
      <c r="S576" s="44" t="s">
        <v>1759</v>
      </c>
      <c r="T576" s="45" t="s">
        <v>1764</v>
      </c>
      <c r="U576" s="71">
        <v>33120100302</v>
      </c>
      <c r="V576" s="43" t="s">
        <v>1765</v>
      </c>
      <c r="W576" s="43" t="s">
        <v>43</v>
      </c>
      <c r="X576" s="71" t="s">
        <v>43</v>
      </c>
      <c r="Y576" s="71" t="s">
        <v>40</v>
      </c>
      <c r="Z576" s="48" t="s">
        <v>43</v>
      </c>
      <c r="AA576" s="75">
        <v>3680</v>
      </c>
      <c r="AB576" s="75">
        <v>3310</v>
      </c>
      <c r="AC576" s="80">
        <v>3155</v>
      </c>
      <c r="AD576" s="80">
        <v>2880</v>
      </c>
      <c r="AE576" s="80">
        <v>2450</v>
      </c>
      <c r="AF576" s="79">
        <f t="shared" si="55"/>
        <v>0</v>
      </c>
      <c r="AG576" s="79" t="str">
        <f t="shared" si="56"/>
        <v>前列腺部分切除费</v>
      </c>
      <c r="AH576" s="79">
        <f t="shared" si="57"/>
        <v>2680</v>
      </c>
      <c r="AI576" s="79">
        <f t="shared" si="58"/>
        <v>2430</v>
      </c>
      <c r="AJ576" s="79">
        <f t="shared" si="59"/>
        <v>2070</v>
      </c>
    </row>
    <row r="577" ht="24" customHeight="1" spans="1:36">
      <c r="A577" s="81" t="s">
        <v>81</v>
      </c>
      <c r="B577" s="81" t="s">
        <v>1766</v>
      </c>
      <c r="C577" s="81" t="s">
        <v>1767</v>
      </c>
      <c r="D577" s="81" t="s">
        <v>213</v>
      </c>
      <c r="E577" s="81"/>
      <c r="F577" s="81"/>
      <c r="G577" s="81" t="s">
        <v>40</v>
      </c>
      <c r="H577" s="81"/>
      <c r="I577" s="56">
        <v>911</v>
      </c>
      <c r="J577" s="56">
        <v>820</v>
      </c>
      <c r="K577" s="54"/>
      <c r="L577" s="54"/>
      <c r="M577" s="54"/>
      <c r="N577" s="64">
        <v>805</v>
      </c>
      <c r="O577" s="64">
        <v>730</v>
      </c>
      <c r="P577" s="64">
        <v>620</v>
      </c>
      <c r="Q577" s="44" t="s">
        <v>54</v>
      </c>
      <c r="R577" s="69"/>
      <c r="S577" s="44" t="s">
        <v>446</v>
      </c>
      <c r="T577" s="45" t="s">
        <v>1768</v>
      </c>
      <c r="U577" s="45">
        <v>33120100201</v>
      </c>
      <c r="V577" s="45" t="s">
        <v>1769</v>
      </c>
      <c r="W577" s="43" t="s">
        <v>43</v>
      </c>
      <c r="X577" s="71" t="s">
        <v>43</v>
      </c>
      <c r="Y577" s="71" t="s">
        <v>40</v>
      </c>
      <c r="Z577" s="48" t="s">
        <v>43</v>
      </c>
      <c r="AA577" s="75">
        <v>3745</v>
      </c>
      <c r="AB577" s="75">
        <v>3365</v>
      </c>
      <c r="AC577" s="80">
        <v>3290</v>
      </c>
      <c r="AD577" s="80">
        <v>2965</v>
      </c>
      <c r="AE577" s="80">
        <v>2520</v>
      </c>
      <c r="AF577" s="79">
        <f t="shared" si="55"/>
        <v>12</v>
      </c>
      <c r="AG577" s="79" t="str">
        <f t="shared" si="56"/>
        <v>前列腺部分切除费</v>
      </c>
      <c r="AH577" s="79">
        <f t="shared" si="57"/>
        <v>3485</v>
      </c>
      <c r="AI577" s="79">
        <f t="shared" si="58"/>
        <v>3160</v>
      </c>
      <c r="AJ577" s="79">
        <f t="shared" si="59"/>
        <v>2690</v>
      </c>
    </row>
    <row r="578" ht="24" customHeight="1" spans="1:36">
      <c r="A578" s="81" t="s">
        <v>81</v>
      </c>
      <c r="B578" s="81" t="s">
        <v>1766</v>
      </c>
      <c r="C578" s="81" t="s">
        <v>1767</v>
      </c>
      <c r="D578" s="81" t="s">
        <v>213</v>
      </c>
      <c r="E578" s="81"/>
      <c r="F578" s="81"/>
      <c r="G578" s="81" t="s">
        <v>40</v>
      </c>
      <c r="H578" s="81"/>
      <c r="I578" s="56">
        <v>911</v>
      </c>
      <c r="J578" s="56">
        <v>820</v>
      </c>
      <c r="K578" s="54"/>
      <c r="L578" s="54"/>
      <c r="M578" s="54"/>
      <c r="N578" s="64">
        <v>805</v>
      </c>
      <c r="O578" s="64">
        <v>730</v>
      </c>
      <c r="P578" s="64">
        <v>620</v>
      </c>
      <c r="Q578" s="44" t="s">
        <v>54</v>
      </c>
      <c r="R578" s="69"/>
      <c r="S578" s="44" t="s">
        <v>446</v>
      </c>
      <c r="T578" s="45" t="s">
        <v>1770</v>
      </c>
      <c r="U578" s="45">
        <v>33120100301</v>
      </c>
      <c r="V578" s="45" t="s">
        <v>1771</v>
      </c>
      <c r="W578" s="43" t="s">
        <v>43</v>
      </c>
      <c r="X578" s="71" t="s">
        <v>43</v>
      </c>
      <c r="Y578" s="71" t="s">
        <v>40</v>
      </c>
      <c r="Z578" s="48" t="s">
        <v>43</v>
      </c>
      <c r="AA578" s="75">
        <v>3745</v>
      </c>
      <c r="AB578" s="75">
        <v>3365</v>
      </c>
      <c r="AC578" s="80">
        <v>3290</v>
      </c>
      <c r="AD578" s="80">
        <v>2965</v>
      </c>
      <c r="AE578" s="80">
        <v>2520</v>
      </c>
      <c r="AF578" s="79">
        <f t="shared" si="55"/>
        <v>12</v>
      </c>
      <c r="AG578" s="79" t="str">
        <f t="shared" si="56"/>
        <v>前列腺部分切除费</v>
      </c>
      <c r="AH578" s="79">
        <f t="shared" si="57"/>
        <v>3485</v>
      </c>
      <c r="AI578" s="79">
        <f t="shared" si="58"/>
        <v>3160</v>
      </c>
      <c r="AJ578" s="79">
        <f t="shared" si="59"/>
        <v>2690</v>
      </c>
    </row>
    <row r="579" ht="24" customHeight="1" spans="1:36">
      <c r="A579" s="81" t="s">
        <v>81</v>
      </c>
      <c r="B579" s="81" t="s">
        <v>1766</v>
      </c>
      <c r="C579" s="81" t="s">
        <v>1767</v>
      </c>
      <c r="D579" s="81" t="s">
        <v>213</v>
      </c>
      <c r="E579" s="81"/>
      <c r="F579" s="81"/>
      <c r="G579" s="81" t="s">
        <v>40</v>
      </c>
      <c r="H579" s="81"/>
      <c r="I579" s="56">
        <v>911</v>
      </c>
      <c r="J579" s="56">
        <v>820</v>
      </c>
      <c r="K579" s="54"/>
      <c r="L579" s="54"/>
      <c r="M579" s="54"/>
      <c r="N579" s="64">
        <v>805</v>
      </c>
      <c r="O579" s="64">
        <v>730</v>
      </c>
      <c r="P579" s="64">
        <v>620</v>
      </c>
      <c r="Q579" s="44" t="s">
        <v>54</v>
      </c>
      <c r="R579" s="69"/>
      <c r="S579" s="44" t="s">
        <v>446</v>
      </c>
      <c r="T579" s="45" t="s">
        <v>1772</v>
      </c>
      <c r="U579" s="45">
        <v>33120100303</v>
      </c>
      <c r="V579" s="45" t="s">
        <v>1773</v>
      </c>
      <c r="W579" s="43" t="s">
        <v>43</v>
      </c>
      <c r="X579" s="71" t="s">
        <v>43</v>
      </c>
      <c r="Y579" s="71" t="s">
        <v>40</v>
      </c>
      <c r="Z579" s="48" t="s">
        <v>43</v>
      </c>
      <c r="AA579" s="75">
        <v>4545</v>
      </c>
      <c r="AB579" s="75">
        <v>4085</v>
      </c>
      <c r="AC579" s="80">
        <v>3915</v>
      </c>
      <c r="AD579" s="80">
        <v>3565</v>
      </c>
      <c r="AE579" s="80">
        <v>3030</v>
      </c>
      <c r="AF579" s="79">
        <f t="shared" si="55"/>
        <v>12</v>
      </c>
      <c r="AG579" s="79" t="str">
        <f t="shared" si="56"/>
        <v>前列腺部分切除费</v>
      </c>
      <c r="AH579" s="79">
        <f t="shared" si="57"/>
        <v>3485</v>
      </c>
      <c r="AI579" s="79">
        <f t="shared" si="58"/>
        <v>3160</v>
      </c>
      <c r="AJ579" s="79">
        <f t="shared" si="59"/>
        <v>2690</v>
      </c>
    </row>
    <row r="580" ht="30" customHeight="1" spans="1:36">
      <c r="A580" s="47">
        <v>90</v>
      </c>
      <c r="B580" s="47" t="s">
        <v>1774</v>
      </c>
      <c r="C580" s="47" t="s">
        <v>1775</v>
      </c>
      <c r="D580" s="47" t="s">
        <v>213</v>
      </c>
      <c r="E580" s="47" t="s">
        <v>1776</v>
      </c>
      <c r="F580" s="47" t="s">
        <v>1777</v>
      </c>
      <c r="G580" s="47" t="s">
        <v>40</v>
      </c>
      <c r="H580" s="47"/>
      <c r="I580" s="56">
        <v>4779</v>
      </c>
      <c r="J580" s="56">
        <v>4301</v>
      </c>
      <c r="K580" s="83">
        <v>4127.5</v>
      </c>
      <c r="L580" s="83">
        <v>3775</v>
      </c>
      <c r="M580" s="83">
        <v>3210</v>
      </c>
      <c r="N580" s="64">
        <v>4300</v>
      </c>
      <c r="O580" s="64">
        <v>3900</v>
      </c>
      <c r="P580" s="64">
        <v>3300</v>
      </c>
      <c r="Q580" s="44" t="s">
        <v>54</v>
      </c>
      <c r="R580" s="70" t="s">
        <v>416</v>
      </c>
      <c r="S580" s="44" t="s">
        <v>2084</v>
      </c>
      <c r="T580" s="43" t="s">
        <v>1779</v>
      </c>
      <c r="U580" s="71">
        <v>331201001</v>
      </c>
      <c r="V580" s="43" t="s">
        <v>1780</v>
      </c>
      <c r="W580" s="43" t="s">
        <v>1781</v>
      </c>
      <c r="X580" s="71" t="s">
        <v>43</v>
      </c>
      <c r="Y580" s="71" t="s">
        <v>40</v>
      </c>
      <c r="Z580" s="48" t="s">
        <v>43</v>
      </c>
      <c r="AA580" s="75">
        <v>5280</v>
      </c>
      <c r="AB580" s="75">
        <v>4750</v>
      </c>
      <c r="AC580" s="80">
        <v>4540</v>
      </c>
      <c r="AD580" s="80">
        <v>4090</v>
      </c>
      <c r="AE580" s="80">
        <v>3480</v>
      </c>
      <c r="AF580" s="79">
        <f t="shared" si="55"/>
        <v>0</v>
      </c>
      <c r="AG580" s="79" t="str">
        <f t="shared" si="56"/>
        <v>前列腺全切费</v>
      </c>
      <c r="AH580" s="79">
        <f t="shared" si="57"/>
        <v>4300</v>
      </c>
      <c r="AI580" s="79">
        <f t="shared" si="58"/>
        <v>3900</v>
      </c>
      <c r="AJ580" s="79">
        <f t="shared" si="59"/>
        <v>3300</v>
      </c>
    </row>
    <row r="581" ht="30" customHeight="1" spans="1:36">
      <c r="A581" s="47">
        <v>90</v>
      </c>
      <c r="B581" s="47" t="s">
        <v>1774</v>
      </c>
      <c r="C581" s="47" t="s">
        <v>1775</v>
      </c>
      <c r="D581" s="47" t="s">
        <v>213</v>
      </c>
      <c r="E581" s="47" t="s">
        <v>1776</v>
      </c>
      <c r="F581" s="47" t="s">
        <v>1777</v>
      </c>
      <c r="G581" s="47" t="s">
        <v>40</v>
      </c>
      <c r="H581" s="47"/>
      <c r="I581" s="56">
        <v>4779</v>
      </c>
      <c r="J581" s="56">
        <v>4301</v>
      </c>
      <c r="K581" s="83">
        <v>4127.5</v>
      </c>
      <c r="L581" s="83">
        <v>3775</v>
      </c>
      <c r="M581" s="83">
        <v>3210</v>
      </c>
      <c r="N581" s="64">
        <v>4300</v>
      </c>
      <c r="O581" s="64">
        <v>3900</v>
      </c>
      <c r="P581" s="64">
        <v>3300</v>
      </c>
      <c r="Q581" s="44" t="s">
        <v>54</v>
      </c>
      <c r="R581" s="70" t="s">
        <v>416</v>
      </c>
      <c r="S581" s="44" t="s">
        <v>2084</v>
      </c>
      <c r="T581" s="43" t="s">
        <v>1782</v>
      </c>
      <c r="U581" s="71">
        <v>33120100102</v>
      </c>
      <c r="V581" s="43" t="s">
        <v>1783</v>
      </c>
      <c r="W581" s="43" t="s">
        <v>43</v>
      </c>
      <c r="X581" s="71" t="s">
        <v>43</v>
      </c>
      <c r="Y581" s="71" t="s">
        <v>40</v>
      </c>
      <c r="Z581" s="48" t="s">
        <v>43</v>
      </c>
      <c r="AA581" s="75">
        <v>6080</v>
      </c>
      <c r="AB581" s="75">
        <v>5470</v>
      </c>
      <c r="AC581" s="80">
        <v>5165</v>
      </c>
      <c r="AD581" s="80">
        <v>4690</v>
      </c>
      <c r="AE581" s="80">
        <v>3990</v>
      </c>
      <c r="AF581" s="79">
        <f t="shared" si="55"/>
        <v>0</v>
      </c>
      <c r="AG581" s="79" t="str">
        <f t="shared" si="56"/>
        <v>前列腺全切费</v>
      </c>
      <c r="AH581" s="79">
        <f t="shared" si="57"/>
        <v>4300</v>
      </c>
      <c r="AI581" s="79">
        <f t="shared" si="58"/>
        <v>3900</v>
      </c>
      <c r="AJ581" s="79">
        <f t="shared" si="59"/>
        <v>3300</v>
      </c>
    </row>
    <row r="582" ht="30" customHeight="1" spans="1:36">
      <c r="A582" s="47">
        <v>90</v>
      </c>
      <c r="B582" s="47" t="s">
        <v>1774</v>
      </c>
      <c r="C582" s="47" t="s">
        <v>1775</v>
      </c>
      <c r="D582" s="47" t="s">
        <v>213</v>
      </c>
      <c r="E582" s="47" t="s">
        <v>1776</v>
      </c>
      <c r="F582" s="47" t="s">
        <v>1777</v>
      </c>
      <c r="G582" s="47" t="s">
        <v>40</v>
      </c>
      <c r="H582" s="47"/>
      <c r="I582" s="56">
        <v>4779</v>
      </c>
      <c r="J582" s="56">
        <v>4301</v>
      </c>
      <c r="K582" s="83">
        <v>4127.5</v>
      </c>
      <c r="L582" s="83">
        <v>3775</v>
      </c>
      <c r="M582" s="83">
        <v>3210</v>
      </c>
      <c r="N582" s="64">
        <v>4300</v>
      </c>
      <c r="O582" s="64">
        <v>3900</v>
      </c>
      <c r="P582" s="64">
        <v>3300</v>
      </c>
      <c r="Q582" s="44" t="s">
        <v>54</v>
      </c>
      <c r="R582" s="70" t="s">
        <v>416</v>
      </c>
      <c r="S582" s="44" t="s">
        <v>2084</v>
      </c>
      <c r="T582" s="95" t="s">
        <v>1784</v>
      </c>
      <c r="U582" s="95">
        <v>330900006</v>
      </c>
      <c r="V582" s="95" t="s">
        <v>1785</v>
      </c>
      <c r="W582" s="96" t="s">
        <v>1786</v>
      </c>
      <c r="X582" s="97"/>
      <c r="Y582" s="97"/>
      <c r="Z582" s="98"/>
      <c r="AA582" s="99"/>
      <c r="AB582" s="99"/>
      <c r="AC582" s="99">
        <v>2075</v>
      </c>
      <c r="AD582" s="99">
        <v>1830</v>
      </c>
      <c r="AE582" s="99">
        <v>1560</v>
      </c>
      <c r="AF582" s="79">
        <f t="shared" ref="AF582:AF645" si="60">IFERROR(FIND("（加收）",C582,1),0)</f>
        <v>0</v>
      </c>
      <c r="AG582" s="79" t="str">
        <f t="shared" ref="AG582:AG645" si="61">IF(AF582&gt;0,LEFT(C582,IFERROR(FIND("-",C582,1),1)-1),C582)</f>
        <v>前列腺全切费</v>
      </c>
      <c r="AH582" s="79">
        <f t="shared" si="57"/>
        <v>4300</v>
      </c>
      <c r="AI582" s="79">
        <f t="shared" si="58"/>
        <v>3900</v>
      </c>
      <c r="AJ582" s="79">
        <f t="shared" si="59"/>
        <v>3300</v>
      </c>
    </row>
    <row r="583" ht="22" customHeight="1" spans="1:36">
      <c r="A583" s="81" t="s">
        <v>81</v>
      </c>
      <c r="B583" s="114" t="s">
        <v>1790</v>
      </c>
      <c r="C583" s="81" t="s">
        <v>1791</v>
      </c>
      <c r="D583" s="81" t="s">
        <v>213</v>
      </c>
      <c r="E583" s="81"/>
      <c r="F583" s="81"/>
      <c r="G583" s="81" t="s">
        <v>40</v>
      </c>
      <c r="H583" s="81"/>
      <c r="I583" s="56">
        <v>1434</v>
      </c>
      <c r="J583" s="56">
        <v>1290</v>
      </c>
      <c r="K583" s="54"/>
      <c r="L583" s="54"/>
      <c r="M583" s="54"/>
      <c r="N583" s="64">
        <v>1290</v>
      </c>
      <c r="O583" s="64">
        <v>1170</v>
      </c>
      <c r="P583" s="64">
        <v>990</v>
      </c>
      <c r="Q583" s="44" t="s">
        <v>54</v>
      </c>
      <c r="R583" s="69"/>
      <c r="S583" s="44" t="s">
        <v>446</v>
      </c>
      <c r="T583" s="45" t="s">
        <v>1792</v>
      </c>
      <c r="U583" s="45">
        <v>33120100101</v>
      </c>
      <c r="V583" s="45" t="s">
        <v>1793</v>
      </c>
      <c r="W583" s="43" t="s">
        <v>43</v>
      </c>
      <c r="X583" s="71" t="s">
        <v>43</v>
      </c>
      <c r="Y583" s="71" t="s">
        <v>40</v>
      </c>
      <c r="Z583" s="48" t="s">
        <v>43</v>
      </c>
      <c r="AA583" s="75">
        <v>6865</v>
      </c>
      <c r="AB583" s="75">
        <v>6175</v>
      </c>
      <c r="AC583" s="80">
        <v>5900</v>
      </c>
      <c r="AD583" s="80">
        <v>5315</v>
      </c>
      <c r="AE583" s="80">
        <v>4520</v>
      </c>
      <c r="AF583" s="79">
        <f t="shared" si="60"/>
        <v>10</v>
      </c>
      <c r="AG583" s="79" t="str">
        <f t="shared" si="61"/>
        <v>前列腺全切费</v>
      </c>
      <c r="AH583" s="79">
        <f t="shared" si="57"/>
        <v>5590</v>
      </c>
      <c r="AI583" s="79">
        <f t="shared" si="58"/>
        <v>5070</v>
      </c>
      <c r="AJ583" s="79">
        <f t="shared" si="59"/>
        <v>4290</v>
      </c>
    </row>
    <row r="584" ht="22" customHeight="1" spans="1:36">
      <c r="A584" s="81" t="s">
        <v>81</v>
      </c>
      <c r="B584" s="114" t="s">
        <v>1790</v>
      </c>
      <c r="C584" s="81" t="s">
        <v>1791</v>
      </c>
      <c r="D584" s="81" t="s">
        <v>213</v>
      </c>
      <c r="E584" s="81"/>
      <c r="F584" s="81"/>
      <c r="G584" s="81" t="s">
        <v>40</v>
      </c>
      <c r="H584" s="81"/>
      <c r="I584" s="56">
        <v>1434</v>
      </c>
      <c r="J584" s="56">
        <v>1290</v>
      </c>
      <c r="K584" s="54"/>
      <c r="L584" s="54"/>
      <c r="M584" s="54"/>
      <c r="N584" s="64">
        <v>1290</v>
      </c>
      <c r="O584" s="64">
        <v>1170</v>
      </c>
      <c r="P584" s="64">
        <v>990</v>
      </c>
      <c r="Q584" s="44" t="s">
        <v>54</v>
      </c>
      <c r="R584" s="69"/>
      <c r="S584" s="44" t="s">
        <v>446</v>
      </c>
      <c r="T584" s="45" t="s">
        <v>1794</v>
      </c>
      <c r="U584" s="45">
        <v>33120100103</v>
      </c>
      <c r="V584" s="45" t="s">
        <v>1795</v>
      </c>
      <c r="W584" s="43" t="s">
        <v>43</v>
      </c>
      <c r="X584" s="71" t="s">
        <v>43</v>
      </c>
      <c r="Y584" s="71" t="s">
        <v>40</v>
      </c>
      <c r="Z584" s="48" t="s">
        <v>43</v>
      </c>
      <c r="AA584" s="75">
        <v>7665</v>
      </c>
      <c r="AB584" s="75">
        <v>6895</v>
      </c>
      <c r="AC584" s="80">
        <v>6525</v>
      </c>
      <c r="AD584" s="80">
        <v>5915</v>
      </c>
      <c r="AE584" s="80">
        <v>5030</v>
      </c>
      <c r="AF584" s="79">
        <f t="shared" si="60"/>
        <v>10</v>
      </c>
      <c r="AG584" s="79" t="str">
        <f t="shared" si="61"/>
        <v>前列腺全切费</v>
      </c>
      <c r="AH584" s="79">
        <f t="shared" si="57"/>
        <v>5590</v>
      </c>
      <c r="AI584" s="79">
        <f t="shared" si="58"/>
        <v>5070</v>
      </c>
      <c r="AJ584" s="79">
        <f t="shared" si="59"/>
        <v>4290</v>
      </c>
    </row>
    <row r="585" ht="32" customHeight="1" spans="1:36">
      <c r="A585" s="47">
        <v>91</v>
      </c>
      <c r="B585" s="47" t="s">
        <v>1796</v>
      </c>
      <c r="C585" s="47" t="s">
        <v>1797</v>
      </c>
      <c r="D585" s="47" t="s">
        <v>213</v>
      </c>
      <c r="E585" s="47" t="s">
        <v>1798</v>
      </c>
      <c r="F585" s="47" t="s">
        <v>1799</v>
      </c>
      <c r="G585" s="47" t="s">
        <v>40</v>
      </c>
      <c r="H585" s="47"/>
      <c r="I585" s="56">
        <v>1540</v>
      </c>
      <c r="J585" s="56">
        <v>1386</v>
      </c>
      <c r="K585" s="58"/>
      <c r="L585" s="58"/>
      <c r="M585" s="58"/>
      <c r="N585" s="64">
        <v>1400</v>
      </c>
      <c r="O585" s="64">
        <v>1260</v>
      </c>
      <c r="P585" s="64">
        <v>1070</v>
      </c>
      <c r="Q585" s="44" t="s">
        <v>54</v>
      </c>
      <c r="R585" s="70" t="s">
        <v>67</v>
      </c>
      <c r="S585" s="44" t="s">
        <v>566</v>
      </c>
      <c r="T585" s="43" t="s">
        <v>1800</v>
      </c>
      <c r="U585" s="71">
        <v>331201005</v>
      </c>
      <c r="V585" s="43" t="s">
        <v>1801</v>
      </c>
      <c r="W585" s="43" t="s">
        <v>43</v>
      </c>
      <c r="X585" s="71" t="s">
        <v>43</v>
      </c>
      <c r="Y585" s="71" t="s">
        <v>40</v>
      </c>
      <c r="Z585" s="48" t="s">
        <v>1802</v>
      </c>
      <c r="AA585" s="75">
        <v>1540</v>
      </c>
      <c r="AB585" s="75">
        <v>1380</v>
      </c>
      <c r="AC585" s="80">
        <v>1350</v>
      </c>
      <c r="AD585" s="80">
        <v>1220</v>
      </c>
      <c r="AE585" s="80">
        <v>1040</v>
      </c>
      <c r="AF585" s="79">
        <f t="shared" si="60"/>
        <v>0</v>
      </c>
      <c r="AG585" s="79" t="str">
        <f t="shared" si="61"/>
        <v>前列腺囊肿引流费</v>
      </c>
      <c r="AH585" s="79">
        <f t="shared" si="57"/>
        <v>1400</v>
      </c>
      <c r="AI585" s="79">
        <f t="shared" si="58"/>
        <v>1260</v>
      </c>
      <c r="AJ585" s="79">
        <f t="shared" si="59"/>
        <v>1070</v>
      </c>
    </row>
    <row r="586" ht="32" customHeight="1" spans="1:36">
      <c r="A586" s="47">
        <v>91</v>
      </c>
      <c r="B586" s="47" t="s">
        <v>1796</v>
      </c>
      <c r="C586" s="47" t="s">
        <v>1797</v>
      </c>
      <c r="D586" s="47" t="s">
        <v>213</v>
      </c>
      <c r="E586" s="47" t="s">
        <v>1798</v>
      </c>
      <c r="F586" s="47" t="s">
        <v>1799</v>
      </c>
      <c r="G586" s="47" t="s">
        <v>40</v>
      </c>
      <c r="H586" s="47"/>
      <c r="I586" s="56">
        <v>1540</v>
      </c>
      <c r="J586" s="56">
        <v>1386</v>
      </c>
      <c r="K586" s="58"/>
      <c r="L586" s="58"/>
      <c r="M586" s="58"/>
      <c r="N586" s="64">
        <v>1400</v>
      </c>
      <c r="O586" s="64">
        <v>1260</v>
      </c>
      <c r="P586" s="64">
        <v>1070</v>
      </c>
      <c r="Q586" s="44" t="s">
        <v>54</v>
      </c>
      <c r="R586" s="70" t="s">
        <v>67</v>
      </c>
      <c r="S586" s="44" t="s">
        <v>566</v>
      </c>
      <c r="T586" s="45" t="s">
        <v>1803</v>
      </c>
      <c r="U586" s="45">
        <v>33120100501</v>
      </c>
      <c r="V586" s="45" t="s">
        <v>1804</v>
      </c>
      <c r="W586" s="43" t="s">
        <v>43</v>
      </c>
      <c r="X586" s="71" t="s">
        <v>43</v>
      </c>
      <c r="Y586" s="71" t="s">
        <v>40</v>
      </c>
      <c r="Z586" s="48" t="s">
        <v>325</v>
      </c>
      <c r="AA586" s="75">
        <v>2500</v>
      </c>
      <c r="AB586" s="75">
        <v>2250</v>
      </c>
      <c r="AC586" s="80">
        <v>2020</v>
      </c>
      <c r="AD586" s="80">
        <v>1820</v>
      </c>
      <c r="AE586" s="80">
        <v>1550</v>
      </c>
      <c r="AF586" s="79">
        <f t="shared" si="60"/>
        <v>0</v>
      </c>
      <c r="AG586" s="79" t="str">
        <f t="shared" si="61"/>
        <v>前列腺囊肿引流费</v>
      </c>
      <c r="AH586" s="79">
        <f t="shared" si="57"/>
        <v>1400</v>
      </c>
      <c r="AI586" s="79">
        <f t="shared" si="58"/>
        <v>1260</v>
      </c>
      <c r="AJ586" s="79">
        <f t="shared" si="59"/>
        <v>1070</v>
      </c>
    </row>
    <row r="587" ht="32" customHeight="1" spans="1:36">
      <c r="A587" s="47">
        <v>91</v>
      </c>
      <c r="B587" s="47" t="s">
        <v>1796</v>
      </c>
      <c r="C587" s="47" t="s">
        <v>1797</v>
      </c>
      <c r="D587" s="47" t="s">
        <v>213</v>
      </c>
      <c r="E587" s="47" t="s">
        <v>1798</v>
      </c>
      <c r="F587" s="47" t="s">
        <v>1799</v>
      </c>
      <c r="G587" s="47" t="s">
        <v>40</v>
      </c>
      <c r="H587" s="47"/>
      <c r="I587" s="56">
        <v>1540</v>
      </c>
      <c r="J587" s="56">
        <v>1386</v>
      </c>
      <c r="K587" s="58"/>
      <c r="L587" s="58"/>
      <c r="M587" s="58"/>
      <c r="N587" s="64">
        <v>1400</v>
      </c>
      <c r="O587" s="64">
        <v>1260</v>
      </c>
      <c r="P587" s="64">
        <v>1070</v>
      </c>
      <c r="Q587" s="44" t="s">
        <v>54</v>
      </c>
      <c r="R587" s="70" t="s">
        <v>67</v>
      </c>
      <c r="S587" s="44" t="s">
        <v>566</v>
      </c>
      <c r="T587" s="45" t="s">
        <v>1805</v>
      </c>
      <c r="U587" s="45">
        <v>33120100504</v>
      </c>
      <c r="V587" s="45" t="s">
        <v>1806</v>
      </c>
      <c r="W587" s="43" t="s">
        <v>43</v>
      </c>
      <c r="X587" s="71" t="s">
        <v>43</v>
      </c>
      <c r="Y587" s="71" t="s">
        <v>40</v>
      </c>
      <c r="Z587" s="48" t="s">
        <v>43</v>
      </c>
      <c r="AA587" s="75">
        <v>1790</v>
      </c>
      <c r="AB587" s="75">
        <v>1605</v>
      </c>
      <c r="AC587" s="80">
        <v>1600</v>
      </c>
      <c r="AD587" s="80">
        <v>1445</v>
      </c>
      <c r="AE587" s="80">
        <v>1230</v>
      </c>
      <c r="AF587" s="79">
        <f t="shared" si="60"/>
        <v>0</v>
      </c>
      <c r="AG587" s="79" t="str">
        <f t="shared" si="61"/>
        <v>前列腺囊肿引流费</v>
      </c>
      <c r="AH587" s="79">
        <f t="shared" si="57"/>
        <v>1400</v>
      </c>
      <c r="AI587" s="79">
        <f t="shared" si="58"/>
        <v>1260</v>
      </c>
      <c r="AJ587" s="79">
        <f t="shared" si="59"/>
        <v>1070</v>
      </c>
    </row>
    <row r="588" ht="32" customHeight="1" spans="1:36">
      <c r="A588" s="47">
        <v>91</v>
      </c>
      <c r="B588" s="47" t="s">
        <v>1796</v>
      </c>
      <c r="C588" s="47" t="s">
        <v>1797</v>
      </c>
      <c r="D588" s="47" t="s">
        <v>213</v>
      </c>
      <c r="E588" s="47" t="s">
        <v>1798</v>
      </c>
      <c r="F588" s="47" t="s">
        <v>1799</v>
      </c>
      <c r="G588" s="47" t="s">
        <v>40</v>
      </c>
      <c r="H588" s="47"/>
      <c r="I588" s="56">
        <v>1540</v>
      </c>
      <c r="J588" s="56">
        <v>1386</v>
      </c>
      <c r="K588" s="58"/>
      <c r="L588" s="58"/>
      <c r="M588" s="58"/>
      <c r="N588" s="64">
        <v>1400</v>
      </c>
      <c r="O588" s="64">
        <v>1260</v>
      </c>
      <c r="P588" s="64">
        <v>1070</v>
      </c>
      <c r="Q588" s="44" t="s">
        <v>54</v>
      </c>
      <c r="R588" s="70" t="s">
        <v>67</v>
      </c>
      <c r="S588" s="44" t="s">
        <v>566</v>
      </c>
      <c r="T588" s="45" t="s">
        <v>1807</v>
      </c>
      <c r="U588" s="45">
        <v>33120100505</v>
      </c>
      <c r="V588" s="45" t="s">
        <v>1808</v>
      </c>
      <c r="W588" s="43" t="s">
        <v>43</v>
      </c>
      <c r="X588" s="71" t="s">
        <v>43</v>
      </c>
      <c r="Y588" s="71" t="s">
        <v>40</v>
      </c>
      <c r="Z588" s="48" t="s">
        <v>325</v>
      </c>
      <c r="AA588" s="75">
        <v>2750</v>
      </c>
      <c r="AB588" s="75">
        <v>2475</v>
      </c>
      <c r="AC588" s="80">
        <v>2270</v>
      </c>
      <c r="AD588" s="80">
        <v>2045</v>
      </c>
      <c r="AE588" s="80">
        <v>1740</v>
      </c>
      <c r="AF588" s="79">
        <f t="shared" si="60"/>
        <v>0</v>
      </c>
      <c r="AG588" s="79" t="str">
        <f t="shared" si="61"/>
        <v>前列腺囊肿引流费</v>
      </c>
      <c r="AH588" s="79">
        <f t="shared" si="57"/>
        <v>1400</v>
      </c>
      <c r="AI588" s="79">
        <f t="shared" si="58"/>
        <v>1260</v>
      </c>
      <c r="AJ588" s="79">
        <f t="shared" si="59"/>
        <v>1070</v>
      </c>
    </row>
    <row r="589" ht="20" customHeight="1" spans="1:36">
      <c r="A589" s="81" t="s">
        <v>81</v>
      </c>
      <c r="B589" s="81" t="s">
        <v>1809</v>
      </c>
      <c r="C589" s="81" t="s">
        <v>1810</v>
      </c>
      <c r="D589" s="81" t="s">
        <v>213</v>
      </c>
      <c r="E589" s="81"/>
      <c r="F589" s="81"/>
      <c r="G589" s="81" t="s">
        <v>40</v>
      </c>
      <c r="H589" s="81"/>
      <c r="I589" s="56">
        <v>392</v>
      </c>
      <c r="J589" s="56">
        <v>353</v>
      </c>
      <c r="K589" s="54"/>
      <c r="L589" s="54"/>
      <c r="M589" s="54"/>
      <c r="N589" s="64">
        <v>360</v>
      </c>
      <c r="O589" s="64">
        <v>325</v>
      </c>
      <c r="P589" s="64">
        <v>275</v>
      </c>
      <c r="Q589" s="44" t="s">
        <v>54</v>
      </c>
      <c r="R589" s="69"/>
      <c r="S589" s="44" t="s">
        <v>566</v>
      </c>
      <c r="T589" s="43" t="s">
        <v>1811</v>
      </c>
      <c r="U589" s="71">
        <v>331201004</v>
      </c>
      <c r="V589" s="43" t="s">
        <v>1812</v>
      </c>
      <c r="W589" s="43" t="s">
        <v>43</v>
      </c>
      <c r="X589" s="71" t="s">
        <v>43</v>
      </c>
      <c r="Y589" s="71" t="s">
        <v>40</v>
      </c>
      <c r="Z589" s="48" t="s">
        <v>1802</v>
      </c>
      <c r="AA589" s="75">
        <v>1540</v>
      </c>
      <c r="AB589" s="75">
        <v>1380</v>
      </c>
      <c r="AC589" s="80">
        <v>1350</v>
      </c>
      <c r="AD589" s="80">
        <v>1220</v>
      </c>
      <c r="AE589" s="80">
        <v>1040</v>
      </c>
      <c r="AF589" s="79">
        <f t="shared" si="60"/>
        <v>17</v>
      </c>
      <c r="AG589" s="79" t="str">
        <f t="shared" si="61"/>
        <v>前列腺囊肿引流费</v>
      </c>
      <c r="AH589" s="79">
        <f t="shared" si="57"/>
        <v>1760</v>
      </c>
      <c r="AI589" s="79">
        <f t="shared" si="58"/>
        <v>1585</v>
      </c>
      <c r="AJ589" s="79">
        <f t="shared" si="59"/>
        <v>1345</v>
      </c>
    </row>
    <row r="590" ht="20" customHeight="1" spans="1:36">
      <c r="A590" s="81" t="s">
        <v>81</v>
      </c>
      <c r="B590" s="81" t="s">
        <v>1809</v>
      </c>
      <c r="C590" s="81" t="s">
        <v>1810</v>
      </c>
      <c r="D590" s="81" t="s">
        <v>213</v>
      </c>
      <c r="E590" s="81"/>
      <c r="F590" s="81"/>
      <c r="G590" s="81" t="s">
        <v>40</v>
      </c>
      <c r="H590" s="81"/>
      <c r="I590" s="56">
        <v>392</v>
      </c>
      <c r="J590" s="56">
        <v>353</v>
      </c>
      <c r="K590" s="54"/>
      <c r="L590" s="54"/>
      <c r="M590" s="54"/>
      <c r="N590" s="64">
        <v>360</v>
      </c>
      <c r="O590" s="64">
        <v>325</v>
      </c>
      <c r="P590" s="64">
        <v>275</v>
      </c>
      <c r="Q590" s="44" t="s">
        <v>54</v>
      </c>
      <c r="R590" s="69"/>
      <c r="S590" s="44" t="s">
        <v>566</v>
      </c>
      <c r="T590" s="45" t="s">
        <v>1813</v>
      </c>
      <c r="U590" s="45">
        <v>33120100401</v>
      </c>
      <c r="V590" s="45" t="s">
        <v>1814</v>
      </c>
      <c r="W590" s="43" t="s">
        <v>43</v>
      </c>
      <c r="X590" s="71" t="s">
        <v>43</v>
      </c>
      <c r="Y590" s="71" t="s">
        <v>40</v>
      </c>
      <c r="Z590" s="48" t="s">
        <v>325</v>
      </c>
      <c r="AA590" s="75">
        <v>2500</v>
      </c>
      <c r="AB590" s="75">
        <v>2250</v>
      </c>
      <c r="AC590" s="80">
        <v>2020</v>
      </c>
      <c r="AD590" s="80">
        <v>1820</v>
      </c>
      <c r="AE590" s="80">
        <v>1550</v>
      </c>
      <c r="AF590" s="79">
        <f t="shared" si="60"/>
        <v>17</v>
      </c>
      <c r="AG590" s="79" t="str">
        <f t="shared" si="61"/>
        <v>前列腺囊肿引流费</v>
      </c>
      <c r="AH590" s="79">
        <f t="shared" si="57"/>
        <v>1760</v>
      </c>
      <c r="AI590" s="79">
        <f t="shared" si="58"/>
        <v>1585</v>
      </c>
      <c r="AJ590" s="79">
        <f t="shared" si="59"/>
        <v>1345</v>
      </c>
    </row>
    <row r="591" ht="20" customHeight="1" spans="1:36">
      <c r="A591" s="81" t="s">
        <v>81</v>
      </c>
      <c r="B591" s="81" t="s">
        <v>1809</v>
      </c>
      <c r="C591" s="81" t="s">
        <v>1810</v>
      </c>
      <c r="D591" s="81" t="s">
        <v>213</v>
      </c>
      <c r="E591" s="81"/>
      <c r="F591" s="81"/>
      <c r="G591" s="81" t="s">
        <v>40</v>
      </c>
      <c r="H591" s="81"/>
      <c r="I591" s="56">
        <v>392</v>
      </c>
      <c r="J591" s="56">
        <v>353</v>
      </c>
      <c r="K591" s="54"/>
      <c r="L591" s="54"/>
      <c r="M591" s="54"/>
      <c r="N591" s="64">
        <v>360</v>
      </c>
      <c r="O591" s="64">
        <v>325</v>
      </c>
      <c r="P591" s="64">
        <v>275</v>
      </c>
      <c r="Q591" s="44" t="s">
        <v>54</v>
      </c>
      <c r="R591" s="69"/>
      <c r="S591" s="44" t="s">
        <v>566</v>
      </c>
      <c r="T591" s="45" t="s">
        <v>1815</v>
      </c>
      <c r="U591" s="45">
        <v>33120100402</v>
      </c>
      <c r="V591" s="45" t="s">
        <v>1816</v>
      </c>
      <c r="W591" s="43" t="s">
        <v>43</v>
      </c>
      <c r="X591" s="71" t="s">
        <v>43</v>
      </c>
      <c r="Y591" s="71" t="s">
        <v>40</v>
      </c>
      <c r="Z591" s="48" t="s">
        <v>43</v>
      </c>
      <c r="AA591" s="75">
        <v>2000</v>
      </c>
      <c r="AB591" s="75">
        <v>1795</v>
      </c>
      <c r="AC591" s="80">
        <v>1755</v>
      </c>
      <c r="AD591" s="80">
        <v>1585</v>
      </c>
      <c r="AE591" s="80">
        <v>1345</v>
      </c>
      <c r="AF591" s="79">
        <f t="shared" si="60"/>
        <v>17</v>
      </c>
      <c r="AG591" s="79" t="str">
        <f t="shared" si="61"/>
        <v>前列腺囊肿引流费</v>
      </c>
      <c r="AH591" s="79">
        <f t="shared" si="57"/>
        <v>1760</v>
      </c>
      <c r="AI591" s="79">
        <f t="shared" si="58"/>
        <v>1585</v>
      </c>
      <c r="AJ591" s="79">
        <f t="shared" si="59"/>
        <v>1345</v>
      </c>
    </row>
    <row r="592" ht="20" customHeight="1" spans="1:36">
      <c r="A592" s="81" t="s">
        <v>81</v>
      </c>
      <c r="B592" s="81" t="s">
        <v>1809</v>
      </c>
      <c r="C592" s="81" t="s">
        <v>1810</v>
      </c>
      <c r="D592" s="81" t="s">
        <v>213</v>
      </c>
      <c r="E592" s="81"/>
      <c r="F592" s="81"/>
      <c r="G592" s="81" t="s">
        <v>40</v>
      </c>
      <c r="H592" s="81"/>
      <c r="I592" s="56">
        <v>392</v>
      </c>
      <c r="J592" s="56">
        <v>353</v>
      </c>
      <c r="K592" s="54"/>
      <c r="L592" s="54"/>
      <c r="M592" s="54"/>
      <c r="N592" s="64">
        <v>360</v>
      </c>
      <c r="O592" s="64">
        <v>325</v>
      </c>
      <c r="P592" s="64">
        <v>275</v>
      </c>
      <c r="Q592" s="44" t="s">
        <v>54</v>
      </c>
      <c r="R592" s="69"/>
      <c r="S592" s="44" t="s">
        <v>566</v>
      </c>
      <c r="T592" s="45" t="s">
        <v>1817</v>
      </c>
      <c r="U592" s="45">
        <v>33120100403</v>
      </c>
      <c r="V592" s="45" t="s">
        <v>1818</v>
      </c>
      <c r="W592" s="43" t="s">
        <v>43</v>
      </c>
      <c r="X592" s="71" t="s">
        <v>43</v>
      </c>
      <c r="Y592" s="71" t="s">
        <v>40</v>
      </c>
      <c r="Z592" s="48" t="s">
        <v>325</v>
      </c>
      <c r="AA592" s="75">
        <v>3250</v>
      </c>
      <c r="AB592" s="75">
        <v>2925</v>
      </c>
      <c r="AC592" s="80">
        <v>2625</v>
      </c>
      <c r="AD592" s="80">
        <v>2365</v>
      </c>
      <c r="AE592" s="80">
        <v>2010</v>
      </c>
      <c r="AF592" s="79">
        <f t="shared" si="60"/>
        <v>17</v>
      </c>
      <c r="AG592" s="79" t="str">
        <f t="shared" si="61"/>
        <v>前列腺囊肿引流费</v>
      </c>
      <c r="AH592" s="79">
        <f t="shared" si="57"/>
        <v>1760</v>
      </c>
      <c r="AI592" s="79">
        <f t="shared" si="58"/>
        <v>1585</v>
      </c>
      <c r="AJ592" s="79">
        <f t="shared" si="59"/>
        <v>1345</v>
      </c>
    </row>
    <row r="593" ht="20" customHeight="1" spans="1:36">
      <c r="A593" s="81" t="s">
        <v>81</v>
      </c>
      <c r="B593" s="81" t="s">
        <v>1809</v>
      </c>
      <c r="C593" s="81" t="s">
        <v>1810</v>
      </c>
      <c r="D593" s="81" t="s">
        <v>213</v>
      </c>
      <c r="E593" s="81"/>
      <c r="F593" s="81"/>
      <c r="G593" s="81" t="s">
        <v>40</v>
      </c>
      <c r="H593" s="81"/>
      <c r="I593" s="56">
        <v>392</v>
      </c>
      <c r="J593" s="56">
        <v>353</v>
      </c>
      <c r="K593" s="54"/>
      <c r="L593" s="54"/>
      <c r="M593" s="54"/>
      <c r="N593" s="64">
        <v>360</v>
      </c>
      <c r="O593" s="64">
        <v>325</v>
      </c>
      <c r="P593" s="64">
        <v>275</v>
      </c>
      <c r="Q593" s="44" t="s">
        <v>54</v>
      </c>
      <c r="R593" s="69"/>
      <c r="S593" s="44" t="s">
        <v>566</v>
      </c>
      <c r="T593" s="45" t="s">
        <v>1819</v>
      </c>
      <c r="U593" s="45">
        <v>33120100404</v>
      </c>
      <c r="V593" s="45" t="s">
        <v>1820</v>
      </c>
      <c r="W593" s="43" t="s">
        <v>43</v>
      </c>
      <c r="X593" s="71" t="s">
        <v>43</v>
      </c>
      <c r="Y593" s="71" t="s">
        <v>40</v>
      </c>
      <c r="Z593" s="48" t="s">
        <v>43</v>
      </c>
      <c r="AA593" s="75">
        <v>2340</v>
      </c>
      <c r="AB593" s="75">
        <v>2100</v>
      </c>
      <c r="AC593" s="80">
        <v>1975</v>
      </c>
      <c r="AD593" s="80">
        <v>1820</v>
      </c>
      <c r="AE593" s="80">
        <v>1550</v>
      </c>
      <c r="AF593" s="79">
        <f t="shared" si="60"/>
        <v>17</v>
      </c>
      <c r="AG593" s="79" t="str">
        <f t="shared" si="61"/>
        <v>前列腺囊肿引流费</v>
      </c>
      <c r="AH593" s="79">
        <f t="shared" si="57"/>
        <v>1760</v>
      </c>
      <c r="AI593" s="79">
        <f t="shared" si="58"/>
        <v>1585</v>
      </c>
      <c r="AJ593" s="79">
        <f t="shared" si="59"/>
        <v>1345</v>
      </c>
    </row>
    <row r="594" ht="20" customHeight="1" spans="1:36">
      <c r="A594" s="81" t="s">
        <v>81</v>
      </c>
      <c r="B594" s="81" t="s">
        <v>1809</v>
      </c>
      <c r="C594" s="81" t="s">
        <v>1810</v>
      </c>
      <c r="D594" s="81" t="s">
        <v>213</v>
      </c>
      <c r="E594" s="81"/>
      <c r="F594" s="81"/>
      <c r="G594" s="81" t="s">
        <v>40</v>
      </c>
      <c r="H594" s="81"/>
      <c r="I594" s="56">
        <v>392</v>
      </c>
      <c r="J594" s="56">
        <v>353</v>
      </c>
      <c r="K594" s="54"/>
      <c r="L594" s="54"/>
      <c r="M594" s="54"/>
      <c r="N594" s="64">
        <v>360</v>
      </c>
      <c r="O594" s="64">
        <v>325</v>
      </c>
      <c r="P594" s="64">
        <v>275</v>
      </c>
      <c r="Q594" s="44" t="s">
        <v>54</v>
      </c>
      <c r="R594" s="69"/>
      <c r="S594" s="44" t="s">
        <v>566</v>
      </c>
      <c r="T594" s="45" t="s">
        <v>1821</v>
      </c>
      <c r="U594" s="45">
        <v>33120100405</v>
      </c>
      <c r="V594" s="45" t="s">
        <v>1822</v>
      </c>
      <c r="W594" s="43" t="s">
        <v>43</v>
      </c>
      <c r="X594" s="71" t="s">
        <v>43</v>
      </c>
      <c r="Y594" s="71" t="s">
        <v>40</v>
      </c>
      <c r="Z594" s="48" t="s">
        <v>325</v>
      </c>
      <c r="AA594" s="75">
        <v>3300</v>
      </c>
      <c r="AB594" s="75">
        <v>2970</v>
      </c>
      <c r="AC594" s="80">
        <v>2645</v>
      </c>
      <c r="AD594" s="80">
        <v>2420</v>
      </c>
      <c r="AE594" s="80">
        <v>2060</v>
      </c>
      <c r="AF594" s="79">
        <f t="shared" si="60"/>
        <v>17</v>
      </c>
      <c r="AG594" s="79" t="str">
        <f t="shared" si="61"/>
        <v>前列腺囊肿引流费</v>
      </c>
      <c r="AH594" s="79">
        <f t="shared" si="57"/>
        <v>1760</v>
      </c>
      <c r="AI594" s="79">
        <f t="shared" si="58"/>
        <v>1585</v>
      </c>
      <c r="AJ594" s="79">
        <f t="shared" si="59"/>
        <v>1345</v>
      </c>
    </row>
    <row r="595" ht="20" customHeight="1" spans="1:36">
      <c r="A595" s="81" t="s">
        <v>81</v>
      </c>
      <c r="B595" s="81" t="s">
        <v>1809</v>
      </c>
      <c r="C595" s="81" t="s">
        <v>1810</v>
      </c>
      <c r="D595" s="81" t="s">
        <v>213</v>
      </c>
      <c r="E595" s="81"/>
      <c r="F595" s="81"/>
      <c r="G595" s="81" t="s">
        <v>40</v>
      </c>
      <c r="H595" s="81"/>
      <c r="I595" s="56">
        <v>392</v>
      </c>
      <c r="J595" s="56">
        <v>353</v>
      </c>
      <c r="K595" s="54"/>
      <c r="L595" s="54"/>
      <c r="M595" s="54"/>
      <c r="N595" s="64">
        <v>360</v>
      </c>
      <c r="O595" s="64">
        <v>325</v>
      </c>
      <c r="P595" s="64">
        <v>275</v>
      </c>
      <c r="Q595" s="44" t="s">
        <v>54</v>
      </c>
      <c r="R595" s="69"/>
      <c r="S595" s="44" t="s">
        <v>566</v>
      </c>
      <c r="T595" s="45" t="s">
        <v>1823</v>
      </c>
      <c r="U595" s="45">
        <v>33120100406</v>
      </c>
      <c r="V595" s="45" t="s">
        <v>1824</v>
      </c>
      <c r="W595" s="43" t="s">
        <v>43</v>
      </c>
      <c r="X595" s="71" t="s">
        <v>43</v>
      </c>
      <c r="Y595" s="71" t="s">
        <v>40</v>
      </c>
      <c r="Z595" s="48" t="s">
        <v>43</v>
      </c>
      <c r="AA595" s="75">
        <v>2800</v>
      </c>
      <c r="AB595" s="75">
        <v>2515</v>
      </c>
      <c r="AC595" s="80">
        <v>2380</v>
      </c>
      <c r="AD595" s="80">
        <v>2185</v>
      </c>
      <c r="AE595" s="80">
        <v>1855</v>
      </c>
      <c r="AF595" s="79">
        <f t="shared" si="60"/>
        <v>17</v>
      </c>
      <c r="AG595" s="79" t="str">
        <f t="shared" si="61"/>
        <v>前列腺囊肿引流费</v>
      </c>
      <c r="AH595" s="79">
        <f t="shared" si="57"/>
        <v>1760</v>
      </c>
      <c r="AI595" s="79">
        <f t="shared" si="58"/>
        <v>1585</v>
      </c>
      <c r="AJ595" s="79">
        <f t="shared" si="59"/>
        <v>1345</v>
      </c>
    </row>
    <row r="596" ht="20" customHeight="1" spans="1:36">
      <c r="A596" s="81" t="s">
        <v>81</v>
      </c>
      <c r="B596" s="81" t="s">
        <v>1809</v>
      </c>
      <c r="C596" s="81" t="s">
        <v>1810</v>
      </c>
      <c r="D596" s="81" t="s">
        <v>213</v>
      </c>
      <c r="E596" s="81"/>
      <c r="F596" s="81"/>
      <c r="G596" s="81" t="s">
        <v>40</v>
      </c>
      <c r="H596" s="81"/>
      <c r="I596" s="56">
        <v>392</v>
      </c>
      <c r="J596" s="56">
        <v>353</v>
      </c>
      <c r="K596" s="54"/>
      <c r="L596" s="54"/>
      <c r="M596" s="54"/>
      <c r="N596" s="64">
        <v>360</v>
      </c>
      <c r="O596" s="64">
        <v>325</v>
      </c>
      <c r="P596" s="64">
        <v>275</v>
      </c>
      <c r="Q596" s="44" t="s">
        <v>54</v>
      </c>
      <c r="R596" s="69"/>
      <c r="S596" s="44" t="s">
        <v>566</v>
      </c>
      <c r="T596" s="45" t="s">
        <v>1825</v>
      </c>
      <c r="U596" s="45">
        <v>33120100407</v>
      </c>
      <c r="V596" s="45" t="s">
        <v>1826</v>
      </c>
      <c r="W596" s="43" t="s">
        <v>43</v>
      </c>
      <c r="X596" s="71" t="s">
        <v>43</v>
      </c>
      <c r="Y596" s="71" t="s">
        <v>40</v>
      </c>
      <c r="Z596" s="48" t="s">
        <v>325</v>
      </c>
      <c r="AA596" s="75">
        <v>4050</v>
      </c>
      <c r="AB596" s="75">
        <v>3645</v>
      </c>
      <c r="AC596" s="80">
        <v>3250</v>
      </c>
      <c r="AD596" s="80">
        <v>2965</v>
      </c>
      <c r="AE596" s="80">
        <v>2520</v>
      </c>
      <c r="AF596" s="79">
        <f t="shared" si="60"/>
        <v>17</v>
      </c>
      <c r="AG596" s="79" t="str">
        <f t="shared" si="61"/>
        <v>前列腺囊肿引流费</v>
      </c>
      <c r="AH596" s="79">
        <f t="shared" si="57"/>
        <v>1760</v>
      </c>
      <c r="AI596" s="79">
        <f t="shared" si="58"/>
        <v>1585</v>
      </c>
      <c r="AJ596" s="79">
        <f t="shared" si="59"/>
        <v>1345</v>
      </c>
    </row>
    <row r="597" ht="20" customHeight="1" spans="1:36">
      <c r="A597" s="81" t="s">
        <v>81</v>
      </c>
      <c r="B597" s="81" t="s">
        <v>1827</v>
      </c>
      <c r="C597" s="81" t="s">
        <v>1828</v>
      </c>
      <c r="D597" s="81" t="s">
        <v>213</v>
      </c>
      <c r="E597" s="81"/>
      <c r="F597" s="81"/>
      <c r="G597" s="81" t="s">
        <v>40</v>
      </c>
      <c r="H597" s="81"/>
      <c r="I597" s="56">
        <v>462</v>
      </c>
      <c r="J597" s="56">
        <v>416</v>
      </c>
      <c r="K597" s="54"/>
      <c r="L597" s="54"/>
      <c r="M597" s="54"/>
      <c r="N597" s="64">
        <v>420</v>
      </c>
      <c r="O597" s="64">
        <v>380</v>
      </c>
      <c r="P597" s="64">
        <v>320</v>
      </c>
      <c r="Q597" s="44" t="s">
        <v>54</v>
      </c>
      <c r="R597" s="69"/>
      <c r="S597" s="49"/>
      <c r="T597" s="45" t="s">
        <v>1829</v>
      </c>
      <c r="U597" s="45">
        <v>33120100502</v>
      </c>
      <c r="V597" s="45" t="s">
        <v>1830</v>
      </c>
      <c r="W597" s="43" t="s">
        <v>43</v>
      </c>
      <c r="X597" s="71" t="s">
        <v>43</v>
      </c>
      <c r="Y597" s="71" t="s">
        <v>40</v>
      </c>
      <c r="Z597" s="48" t="s">
        <v>43</v>
      </c>
      <c r="AA597" s="75">
        <v>2000</v>
      </c>
      <c r="AB597" s="75">
        <v>1795</v>
      </c>
      <c r="AC597" s="80">
        <v>1755</v>
      </c>
      <c r="AD597" s="80">
        <v>1585</v>
      </c>
      <c r="AE597" s="80">
        <v>1345</v>
      </c>
      <c r="AF597" s="79">
        <f t="shared" si="60"/>
        <v>12</v>
      </c>
      <c r="AG597" s="79" t="str">
        <f t="shared" si="61"/>
        <v>前列腺囊肿引流费</v>
      </c>
      <c r="AH597" s="79">
        <f t="shared" si="57"/>
        <v>1820</v>
      </c>
      <c r="AI597" s="79">
        <f t="shared" si="58"/>
        <v>1640</v>
      </c>
      <c r="AJ597" s="79">
        <f t="shared" si="59"/>
        <v>1390</v>
      </c>
    </row>
    <row r="598" ht="20" customHeight="1" spans="1:36">
      <c r="A598" s="81" t="s">
        <v>81</v>
      </c>
      <c r="B598" s="81" t="s">
        <v>1827</v>
      </c>
      <c r="C598" s="81" t="s">
        <v>1828</v>
      </c>
      <c r="D598" s="81" t="s">
        <v>213</v>
      </c>
      <c r="E598" s="81"/>
      <c r="F598" s="81"/>
      <c r="G598" s="81" t="s">
        <v>40</v>
      </c>
      <c r="H598" s="81"/>
      <c r="I598" s="56">
        <v>462</v>
      </c>
      <c r="J598" s="56">
        <v>416</v>
      </c>
      <c r="K598" s="54"/>
      <c r="L598" s="54"/>
      <c r="M598" s="54"/>
      <c r="N598" s="64">
        <v>420</v>
      </c>
      <c r="O598" s="64">
        <v>380</v>
      </c>
      <c r="P598" s="64">
        <v>320</v>
      </c>
      <c r="Q598" s="44" t="s">
        <v>54</v>
      </c>
      <c r="R598" s="69"/>
      <c r="S598" s="49"/>
      <c r="T598" s="45" t="s">
        <v>1831</v>
      </c>
      <c r="U598" s="45">
        <v>33120100503</v>
      </c>
      <c r="V598" s="45" t="s">
        <v>1832</v>
      </c>
      <c r="W598" s="43" t="s">
        <v>43</v>
      </c>
      <c r="X598" s="71" t="s">
        <v>43</v>
      </c>
      <c r="Y598" s="71" t="s">
        <v>40</v>
      </c>
      <c r="Z598" s="48" t="s">
        <v>325</v>
      </c>
      <c r="AA598" s="75">
        <v>3250</v>
      </c>
      <c r="AB598" s="75">
        <v>2925</v>
      </c>
      <c r="AC598" s="80">
        <v>2625</v>
      </c>
      <c r="AD598" s="80">
        <v>2365</v>
      </c>
      <c r="AE598" s="80">
        <v>2010</v>
      </c>
      <c r="AF598" s="79">
        <f t="shared" si="60"/>
        <v>12</v>
      </c>
      <c r="AG598" s="79" t="str">
        <f t="shared" si="61"/>
        <v>前列腺囊肿引流费</v>
      </c>
      <c r="AH598" s="79">
        <f t="shared" si="57"/>
        <v>1820</v>
      </c>
      <c r="AI598" s="79">
        <f t="shared" si="58"/>
        <v>1640</v>
      </c>
      <c r="AJ598" s="79">
        <f t="shared" si="59"/>
        <v>1390</v>
      </c>
    </row>
    <row r="599" ht="20" customHeight="1" spans="1:36">
      <c r="A599" s="81" t="s">
        <v>81</v>
      </c>
      <c r="B599" s="81" t="s">
        <v>1827</v>
      </c>
      <c r="C599" s="81" t="s">
        <v>1828</v>
      </c>
      <c r="D599" s="81" t="s">
        <v>213</v>
      </c>
      <c r="E599" s="81"/>
      <c r="F599" s="81"/>
      <c r="G599" s="81" t="s">
        <v>40</v>
      </c>
      <c r="H599" s="81"/>
      <c r="I599" s="56">
        <v>462</v>
      </c>
      <c r="J599" s="56">
        <v>416</v>
      </c>
      <c r="K599" s="54"/>
      <c r="L599" s="54"/>
      <c r="M599" s="54"/>
      <c r="N599" s="64">
        <v>420</v>
      </c>
      <c r="O599" s="64">
        <v>380</v>
      </c>
      <c r="P599" s="64">
        <v>320</v>
      </c>
      <c r="Q599" s="44" t="s">
        <v>54</v>
      </c>
      <c r="R599" s="69"/>
      <c r="S599" s="49"/>
      <c r="T599" s="45" t="s">
        <v>1833</v>
      </c>
      <c r="U599" s="45">
        <v>33120100506</v>
      </c>
      <c r="V599" s="45" t="s">
        <v>1834</v>
      </c>
      <c r="W599" s="43" t="s">
        <v>43</v>
      </c>
      <c r="X599" s="71" t="s">
        <v>43</v>
      </c>
      <c r="Y599" s="71" t="s">
        <v>40</v>
      </c>
      <c r="Z599" s="48" t="s">
        <v>43</v>
      </c>
      <c r="AA599" s="75">
        <v>2250</v>
      </c>
      <c r="AB599" s="75">
        <v>2020</v>
      </c>
      <c r="AC599" s="80">
        <v>2005</v>
      </c>
      <c r="AD599" s="80">
        <v>1810</v>
      </c>
      <c r="AE599" s="80">
        <v>1535</v>
      </c>
      <c r="AF599" s="79">
        <f t="shared" si="60"/>
        <v>12</v>
      </c>
      <c r="AG599" s="79" t="str">
        <f t="shared" si="61"/>
        <v>前列腺囊肿引流费</v>
      </c>
      <c r="AH599" s="79">
        <f t="shared" si="57"/>
        <v>1820</v>
      </c>
      <c r="AI599" s="79">
        <f t="shared" si="58"/>
        <v>1640</v>
      </c>
      <c r="AJ599" s="79">
        <f t="shared" si="59"/>
        <v>1390</v>
      </c>
    </row>
    <row r="600" ht="20" customHeight="1" spans="1:36">
      <c r="A600" s="81" t="s">
        <v>81</v>
      </c>
      <c r="B600" s="81" t="s">
        <v>1827</v>
      </c>
      <c r="C600" s="81" t="s">
        <v>1828</v>
      </c>
      <c r="D600" s="81" t="s">
        <v>213</v>
      </c>
      <c r="E600" s="81"/>
      <c r="F600" s="81"/>
      <c r="G600" s="81" t="s">
        <v>40</v>
      </c>
      <c r="H600" s="81"/>
      <c r="I600" s="56">
        <v>462</v>
      </c>
      <c r="J600" s="56">
        <v>416</v>
      </c>
      <c r="K600" s="54"/>
      <c r="L600" s="54"/>
      <c r="M600" s="54"/>
      <c r="N600" s="64">
        <v>420</v>
      </c>
      <c r="O600" s="64">
        <v>380</v>
      </c>
      <c r="P600" s="64">
        <v>320</v>
      </c>
      <c r="Q600" s="44" t="s">
        <v>54</v>
      </c>
      <c r="R600" s="69"/>
      <c r="S600" s="49"/>
      <c r="T600" s="45" t="s">
        <v>1835</v>
      </c>
      <c r="U600" s="45">
        <v>33120100507</v>
      </c>
      <c r="V600" s="45" t="s">
        <v>1836</v>
      </c>
      <c r="W600" s="43" t="s">
        <v>43</v>
      </c>
      <c r="X600" s="71" t="s">
        <v>43</v>
      </c>
      <c r="Y600" s="71" t="s">
        <v>40</v>
      </c>
      <c r="Z600" s="48" t="s">
        <v>325</v>
      </c>
      <c r="AA600" s="75">
        <v>3500</v>
      </c>
      <c r="AB600" s="75">
        <v>3150</v>
      </c>
      <c r="AC600" s="80">
        <v>2875</v>
      </c>
      <c r="AD600" s="80">
        <v>2590</v>
      </c>
      <c r="AE600" s="80">
        <v>2200</v>
      </c>
      <c r="AF600" s="79">
        <f t="shared" si="60"/>
        <v>12</v>
      </c>
      <c r="AG600" s="79" t="str">
        <f t="shared" si="61"/>
        <v>前列腺囊肿引流费</v>
      </c>
      <c r="AH600" s="79">
        <f t="shared" si="57"/>
        <v>1820</v>
      </c>
      <c r="AI600" s="79">
        <f t="shared" si="58"/>
        <v>1640</v>
      </c>
      <c r="AJ600" s="79">
        <f t="shared" si="59"/>
        <v>1390</v>
      </c>
    </row>
    <row r="601" ht="66" customHeight="1" spans="1:36">
      <c r="A601" s="46">
        <v>92</v>
      </c>
      <c r="B601" s="46" t="s">
        <v>1837</v>
      </c>
      <c r="C601" s="46" t="s">
        <v>1838</v>
      </c>
      <c r="D601" s="46" t="s">
        <v>213</v>
      </c>
      <c r="E601" s="50" t="s">
        <v>1839</v>
      </c>
      <c r="F601" s="50" t="s">
        <v>1840</v>
      </c>
      <c r="G601" s="46" t="s">
        <v>40</v>
      </c>
      <c r="H601" s="50" t="s">
        <v>43</v>
      </c>
      <c r="I601" s="53">
        <v>625</v>
      </c>
      <c r="J601" s="53">
        <v>563</v>
      </c>
      <c r="K601" s="58">
        <v>625</v>
      </c>
      <c r="L601" s="58">
        <v>600</v>
      </c>
      <c r="M601" s="58">
        <v>510</v>
      </c>
      <c r="N601" s="63">
        <v>600</v>
      </c>
      <c r="O601" s="63">
        <v>560</v>
      </c>
      <c r="P601" s="63">
        <v>480</v>
      </c>
      <c r="Q601" s="45" t="s">
        <v>54</v>
      </c>
      <c r="R601" s="69" t="s">
        <v>76</v>
      </c>
      <c r="S601" s="49" t="s">
        <v>1637</v>
      </c>
      <c r="T601" s="43" t="s">
        <v>1841</v>
      </c>
      <c r="U601" s="71">
        <v>331202004</v>
      </c>
      <c r="V601" s="81" t="s">
        <v>1842</v>
      </c>
      <c r="W601" s="43" t="s">
        <v>43</v>
      </c>
      <c r="X601" s="71" t="s">
        <v>43</v>
      </c>
      <c r="Y601" s="71" t="s">
        <v>40</v>
      </c>
      <c r="Z601" s="48" t="s">
        <v>43</v>
      </c>
      <c r="AA601" s="75">
        <v>625</v>
      </c>
      <c r="AB601" s="75">
        <v>565</v>
      </c>
      <c r="AC601" s="80">
        <v>625</v>
      </c>
      <c r="AD601" s="80">
        <v>600</v>
      </c>
      <c r="AE601" s="80">
        <v>510</v>
      </c>
      <c r="AF601" s="79">
        <f t="shared" si="60"/>
        <v>0</v>
      </c>
      <c r="AG601" s="79" t="str">
        <f t="shared" si="61"/>
        <v>阴囊肿物切除费</v>
      </c>
      <c r="AH601" s="79">
        <f t="shared" ref="AH601:AH658" si="62">IF(AF601&gt;0,_xlfn.MAXIFS(N:N,C:C,AG601),0)+N601</f>
        <v>600</v>
      </c>
      <c r="AI601" s="79">
        <f t="shared" ref="AI601:AI658" si="63">IF(AF601&gt;0,_xlfn.MAXIFS(O:O,C:C,AG601),0)+O601</f>
        <v>560</v>
      </c>
      <c r="AJ601" s="79">
        <f t="shared" ref="AJ601:AJ658" si="64">IF(AF601&gt;0,_xlfn.MAXIFS(P:P,C:C,AG601),0)+P601</f>
        <v>480</v>
      </c>
    </row>
    <row r="602" ht="47" customHeight="1" spans="1:36">
      <c r="A602" s="43" t="s">
        <v>81</v>
      </c>
      <c r="B602" s="43" t="s">
        <v>1845</v>
      </c>
      <c r="C602" s="43" t="s">
        <v>1846</v>
      </c>
      <c r="D602" s="43" t="s">
        <v>213</v>
      </c>
      <c r="E602" s="48" t="s">
        <v>43</v>
      </c>
      <c r="F602" s="48" t="s">
        <v>43</v>
      </c>
      <c r="G602" s="43" t="s">
        <v>40</v>
      </c>
      <c r="H602" s="48" t="s">
        <v>43</v>
      </c>
      <c r="I602" s="53">
        <v>188</v>
      </c>
      <c r="J602" s="53">
        <v>169</v>
      </c>
      <c r="K602" s="54">
        <v>215</v>
      </c>
      <c r="L602" s="54">
        <v>220</v>
      </c>
      <c r="M602" s="54">
        <v>185</v>
      </c>
      <c r="N602" s="63">
        <v>180</v>
      </c>
      <c r="O602" s="63">
        <v>165</v>
      </c>
      <c r="P602" s="63">
        <v>145</v>
      </c>
      <c r="Q602" s="45" t="s">
        <v>54</v>
      </c>
      <c r="R602" s="69"/>
      <c r="S602" s="49" t="s">
        <v>446</v>
      </c>
      <c r="T602" s="45" t="s">
        <v>1847</v>
      </c>
      <c r="U602" s="45">
        <v>33120200401</v>
      </c>
      <c r="V602" s="45" t="s">
        <v>1848</v>
      </c>
      <c r="W602" s="43" t="s">
        <v>43</v>
      </c>
      <c r="X602" s="71" t="s">
        <v>43</v>
      </c>
      <c r="Y602" s="71" t="s">
        <v>40</v>
      </c>
      <c r="Z602" s="48" t="s">
        <v>43</v>
      </c>
      <c r="AA602" s="75">
        <v>815</v>
      </c>
      <c r="AB602" s="75">
        <v>735</v>
      </c>
      <c r="AC602" s="80">
        <v>815</v>
      </c>
      <c r="AD602" s="80">
        <v>780</v>
      </c>
      <c r="AE602" s="80">
        <v>665</v>
      </c>
      <c r="AF602" s="79">
        <f t="shared" si="60"/>
        <v>11</v>
      </c>
      <c r="AG602" s="79" t="str">
        <f t="shared" si="61"/>
        <v>阴囊肿物切除费</v>
      </c>
      <c r="AH602" s="79">
        <f t="shared" si="62"/>
        <v>780</v>
      </c>
      <c r="AI602" s="79">
        <f t="shared" si="63"/>
        <v>725</v>
      </c>
      <c r="AJ602" s="79">
        <f t="shared" si="64"/>
        <v>625</v>
      </c>
    </row>
    <row r="603" ht="33" customHeight="1" spans="1:36">
      <c r="A603" s="47">
        <v>93</v>
      </c>
      <c r="B603" s="47" t="s">
        <v>1849</v>
      </c>
      <c r="C603" s="47" t="s">
        <v>1850</v>
      </c>
      <c r="D603" s="47" t="s">
        <v>213</v>
      </c>
      <c r="E603" s="47" t="s">
        <v>1851</v>
      </c>
      <c r="F603" s="47" t="s">
        <v>1852</v>
      </c>
      <c r="G603" s="47" t="s">
        <v>40</v>
      </c>
      <c r="H603" s="47"/>
      <c r="I603" s="56">
        <v>250</v>
      </c>
      <c r="J603" s="56">
        <v>225</v>
      </c>
      <c r="K603" s="83">
        <v>250</v>
      </c>
      <c r="L603" s="83">
        <v>240</v>
      </c>
      <c r="M603" s="83">
        <v>204</v>
      </c>
      <c r="N603" s="64">
        <v>250</v>
      </c>
      <c r="O603" s="64">
        <v>225</v>
      </c>
      <c r="P603" s="64">
        <v>190</v>
      </c>
      <c r="Q603" s="44" t="s">
        <v>54</v>
      </c>
      <c r="R603" s="70" t="s">
        <v>67</v>
      </c>
      <c r="S603" s="44" t="s">
        <v>77</v>
      </c>
      <c r="T603" s="43" t="s">
        <v>1853</v>
      </c>
      <c r="U603" s="71">
        <v>331202001</v>
      </c>
      <c r="V603" s="43" t="s">
        <v>1854</v>
      </c>
      <c r="W603" s="43" t="s">
        <v>43</v>
      </c>
      <c r="X603" s="71" t="s">
        <v>43</v>
      </c>
      <c r="Y603" s="71" t="s">
        <v>40</v>
      </c>
      <c r="Z603" s="48" t="s">
        <v>43</v>
      </c>
      <c r="AA603" s="75">
        <v>250</v>
      </c>
      <c r="AB603" s="75">
        <v>225</v>
      </c>
      <c r="AC603" s="80">
        <v>250</v>
      </c>
      <c r="AD603" s="80">
        <v>240</v>
      </c>
      <c r="AE603" s="80">
        <v>204</v>
      </c>
      <c r="AF603" s="79">
        <f t="shared" si="60"/>
        <v>0</v>
      </c>
      <c r="AG603" s="79" t="str">
        <f t="shared" si="61"/>
        <v>阴囊病变清创引流费</v>
      </c>
      <c r="AH603" s="79">
        <f t="shared" si="62"/>
        <v>250</v>
      </c>
      <c r="AI603" s="79">
        <f t="shared" si="63"/>
        <v>225</v>
      </c>
      <c r="AJ603" s="79">
        <f t="shared" si="64"/>
        <v>190</v>
      </c>
    </row>
    <row r="604" ht="33" customHeight="1" spans="1:36">
      <c r="A604" s="47">
        <v>93</v>
      </c>
      <c r="B604" s="47" t="s">
        <v>1849</v>
      </c>
      <c r="C604" s="47" t="s">
        <v>1850</v>
      </c>
      <c r="D604" s="47" t="s">
        <v>213</v>
      </c>
      <c r="E604" s="47" t="s">
        <v>1851</v>
      </c>
      <c r="F604" s="47" t="s">
        <v>1852</v>
      </c>
      <c r="G604" s="47" t="s">
        <v>40</v>
      </c>
      <c r="H604" s="47"/>
      <c r="I604" s="56">
        <v>250</v>
      </c>
      <c r="J604" s="56">
        <v>225</v>
      </c>
      <c r="K604" s="83">
        <v>250</v>
      </c>
      <c r="L604" s="83">
        <v>240</v>
      </c>
      <c r="M604" s="83">
        <v>204</v>
      </c>
      <c r="N604" s="64">
        <v>250</v>
      </c>
      <c r="O604" s="64">
        <v>225</v>
      </c>
      <c r="P604" s="64">
        <v>190</v>
      </c>
      <c r="Q604" s="44" t="s">
        <v>54</v>
      </c>
      <c r="R604" s="70" t="s">
        <v>67</v>
      </c>
      <c r="S604" s="44" t="s">
        <v>77</v>
      </c>
      <c r="T604" s="43" t="s">
        <v>1855</v>
      </c>
      <c r="U604" s="71">
        <v>331202002</v>
      </c>
      <c r="V604" s="43" t="s">
        <v>1856</v>
      </c>
      <c r="W604" s="43" t="s">
        <v>1857</v>
      </c>
      <c r="X604" s="71" t="s">
        <v>43</v>
      </c>
      <c r="Y604" s="71" t="s">
        <v>40</v>
      </c>
      <c r="Z604" s="48" t="s">
        <v>43</v>
      </c>
      <c r="AA604" s="75">
        <v>250</v>
      </c>
      <c r="AB604" s="75">
        <v>225</v>
      </c>
      <c r="AC604" s="80">
        <v>250</v>
      </c>
      <c r="AD604" s="80">
        <v>240</v>
      </c>
      <c r="AE604" s="80">
        <v>204</v>
      </c>
      <c r="AF604" s="79">
        <f t="shared" si="60"/>
        <v>0</v>
      </c>
      <c r="AG604" s="79" t="str">
        <f t="shared" si="61"/>
        <v>阴囊病变清创引流费</v>
      </c>
      <c r="AH604" s="79">
        <f t="shared" si="62"/>
        <v>250</v>
      </c>
      <c r="AI604" s="79">
        <f t="shared" si="63"/>
        <v>225</v>
      </c>
      <c r="AJ604" s="79">
        <f t="shared" si="64"/>
        <v>190</v>
      </c>
    </row>
    <row r="605" ht="22" customHeight="1" spans="1:36">
      <c r="A605" s="81" t="s">
        <v>81</v>
      </c>
      <c r="B605" s="81" t="s">
        <v>1858</v>
      </c>
      <c r="C605" s="81" t="s">
        <v>1859</v>
      </c>
      <c r="D605" s="81" t="s">
        <v>213</v>
      </c>
      <c r="E605" s="81"/>
      <c r="F605" s="81"/>
      <c r="G605" s="81" t="s">
        <v>40</v>
      </c>
      <c r="H605" s="81"/>
      <c r="I605" s="56">
        <v>75</v>
      </c>
      <c r="J605" s="56">
        <v>68</v>
      </c>
      <c r="K605" s="54"/>
      <c r="L605" s="54"/>
      <c r="M605" s="54"/>
      <c r="N605" s="64">
        <v>75</v>
      </c>
      <c r="O605" s="64">
        <v>68</v>
      </c>
      <c r="P605" s="64">
        <v>57</v>
      </c>
      <c r="Q605" s="44" t="s">
        <v>54</v>
      </c>
      <c r="R605" s="69"/>
      <c r="S605" s="44" t="s">
        <v>446</v>
      </c>
      <c r="T605" s="45" t="s">
        <v>1860</v>
      </c>
      <c r="U605" s="45">
        <v>33120200101</v>
      </c>
      <c r="V605" s="45" t="s">
        <v>1861</v>
      </c>
      <c r="W605" s="43" t="s">
        <v>43</v>
      </c>
      <c r="X605" s="71" t="s">
        <v>43</v>
      </c>
      <c r="Y605" s="71" t="s">
        <v>40</v>
      </c>
      <c r="Z605" s="48" t="s">
        <v>43</v>
      </c>
      <c r="AA605" s="75">
        <v>325</v>
      </c>
      <c r="AB605" s="75">
        <v>295</v>
      </c>
      <c r="AC605" s="80">
        <v>325</v>
      </c>
      <c r="AD605" s="80">
        <v>310</v>
      </c>
      <c r="AE605" s="80">
        <v>265</v>
      </c>
      <c r="AF605" s="79">
        <f t="shared" si="60"/>
        <v>13</v>
      </c>
      <c r="AG605" s="79" t="str">
        <f t="shared" si="61"/>
        <v>阴囊病变清创引流费</v>
      </c>
      <c r="AH605" s="79">
        <f t="shared" si="62"/>
        <v>325</v>
      </c>
      <c r="AI605" s="79">
        <f t="shared" si="63"/>
        <v>293</v>
      </c>
      <c r="AJ605" s="79">
        <f t="shared" si="64"/>
        <v>247</v>
      </c>
    </row>
    <row r="606" ht="22" customHeight="1" spans="1:36">
      <c r="A606" s="81" t="s">
        <v>81</v>
      </c>
      <c r="B606" s="81" t="s">
        <v>1858</v>
      </c>
      <c r="C606" s="81" t="s">
        <v>1859</v>
      </c>
      <c r="D606" s="81" t="s">
        <v>213</v>
      </c>
      <c r="E606" s="81"/>
      <c r="F606" s="81"/>
      <c r="G606" s="81" t="s">
        <v>40</v>
      </c>
      <c r="H606" s="81"/>
      <c r="I606" s="56">
        <v>75</v>
      </c>
      <c r="J606" s="56">
        <v>68</v>
      </c>
      <c r="K606" s="54"/>
      <c r="L606" s="54"/>
      <c r="M606" s="54"/>
      <c r="N606" s="64">
        <v>75</v>
      </c>
      <c r="O606" s="64">
        <v>68</v>
      </c>
      <c r="P606" s="64">
        <v>57</v>
      </c>
      <c r="Q606" s="44" t="s">
        <v>54</v>
      </c>
      <c r="R606" s="69"/>
      <c r="S606" s="44" t="s">
        <v>446</v>
      </c>
      <c r="T606" s="45" t="s">
        <v>1862</v>
      </c>
      <c r="U606" s="45">
        <v>33120200201</v>
      </c>
      <c r="V606" s="45" t="s">
        <v>1863</v>
      </c>
      <c r="W606" s="43" t="s">
        <v>43</v>
      </c>
      <c r="X606" s="71" t="s">
        <v>43</v>
      </c>
      <c r="Y606" s="71" t="s">
        <v>40</v>
      </c>
      <c r="Z606" s="48" t="s">
        <v>43</v>
      </c>
      <c r="AA606" s="75">
        <v>325</v>
      </c>
      <c r="AB606" s="75">
        <v>295</v>
      </c>
      <c r="AC606" s="80">
        <v>325</v>
      </c>
      <c r="AD606" s="80">
        <v>310</v>
      </c>
      <c r="AE606" s="80">
        <v>265</v>
      </c>
      <c r="AF606" s="79">
        <f t="shared" si="60"/>
        <v>13</v>
      </c>
      <c r="AG606" s="79" t="str">
        <f t="shared" si="61"/>
        <v>阴囊病变清创引流费</v>
      </c>
      <c r="AH606" s="79">
        <f t="shared" si="62"/>
        <v>325</v>
      </c>
      <c r="AI606" s="79">
        <f t="shared" si="63"/>
        <v>293</v>
      </c>
      <c r="AJ606" s="79">
        <f t="shared" si="64"/>
        <v>247</v>
      </c>
    </row>
    <row r="607" ht="47" customHeight="1" spans="1:36">
      <c r="A607" s="46">
        <v>94</v>
      </c>
      <c r="B607" s="46" t="s">
        <v>1864</v>
      </c>
      <c r="C607" s="46" t="s">
        <v>1865</v>
      </c>
      <c r="D607" s="46" t="s">
        <v>127</v>
      </c>
      <c r="E607" s="50" t="s">
        <v>1866</v>
      </c>
      <c r="F607" s="50" t="s">
        <v>1867</v>
      </c>
      <c r="G607" s="46" t="s">
        <v>40</v>
      </c>
      <c r="H607" s="50" t="s">
        <v>43</v>
      </c>
      <c r="I607" s="53">
        <v>22</v>
      </c>
      <c r="J607" s="53">
        <v>20</v>
      </c>
      <c r="K607" s="58">
        <v>22</v>
      </c>
      <c r="L607" s="58">
        <v>20</v>
      </c>
      <c r="M607" s="58">
        <v>17</v>
      </c>
      <c r="N607" s="63">
        <v>22</v>
      </c>
      <c r="O607" s="63">
        <v>20</v>
      </c>
      <c r="P607" s="63">
        <v>17</v>
      </c>
      <c r="Q607" s="45" t="s">
        <v>42</v>
      </c>
      <c r="R607" s="69" t="s">
        <v>55</v>
      </c>
      <c r="S607" s="49" t="s">
        <v>1745</v>
      </c>
      <c r="T607" s="43" t="s">
        <v>1868</v>
      </c>
      <c r="U607" s="71">
        <v>311100009</v>
      </c>
      <c r="V607" s="43" t="s">
        <v>1869</v>
      </c>
      <c r="W607" s="43" t="s">
        <v>43</v>
      </c>
      <c r="X607" s="71" t="s">
        <v>43</v>
      </c>
      <c r="Y607" s="71" t="s">
        <v>40</v>
      </c>
      <c r="Z607" s="48" t="s">
        <v>43</v>
      </c>
      <c r="AA607" s="75">
        <v>22</v>
      </c>
      <c r="AB607" s="75">
        <v>20</v>
      </c>
      <c r="AC607" s="80">
        <v>22</v>
      </c>
      <c r="AD607" s="80">
        <v>20</v>
      </c>
      <c r="AE607" s="80">
        <v>17</v>
      </c>
      <c r="AF607" s="79">
        <f t="shared" si="60"/>
        <v>0</v>
      </c>
      <c r="AG607" s="79" t="str">
        <f t="shared" si="61"/>
        <v>阴茎海绵体药物注射费</v>
      </c>
      <c r="AH607" s="79">
        <f t="shared" si="62"/>
        <v>22</v>
      </c>
      <c r="AI607" s="79">
        <f t="shared" si="63"/>
        <v>20</v>
      </c>
      <c r="AJ607" s="79">
        <f t="shared" si="64"/>
        <v>17</v>
      </c>
    </row>
    <row r="608" ht="47" customHeight="1" spans="1:36">
      <c r="A608" s="46">
        <v>95</v>
      </c>
      <c r="B608" s="46" t="s">
        <v>1870</v>
      </c>
      <c r="C608" s="46" t="s">
        <v>1871</v>
      </c>
      <c r="D608" s="46" t="s">
        <v>127</v>
      </c>
      <c r="E608" s="50" t="s">
        <v>1872</v>
      </c>
      <c r="F608" s="50" t="s">
        <v>1873</v>
      </c>
      <c r="G608" s="46" t="s">
        <v>40</v>
      </c>
      <c r="H608" s="50" t="s">
        <v>43</v>
      </c>
      <c r="I608" s="53">
        <v>198</v>
      </c>
      <c r="J608" s="53">
        <v>180</v>
      </c>
      <c r="K608" s="58">
        <v>198</v>
      </c>
      <c r="L608" s="58">
        <v>180</v>
      </c>
      <c r="M608" s="58">
        <v>153</v>
      </c>
      <c r="N608" s="63">
        <v>190</v>
      </c>
      <c r="O608" s="63">
        <v>175</v>
      </c>
      <c r="P608" s="63">
        <v>150</v>
      </c>
      <c r="Q608" s="45" t="s">
        <v>42</v>
      </c>
      <c r="R608" s="69" t="s">
        <v>76</v>
      </c>
      <c r="S608" s="49" t="s">
        <v>1734</v>
      </c>
      <c r="T608" s="43" t="s">
        <v>1874</v>
      </c>
      <c r="U608" s="71">
        <v>311100012</v>
      </c>
      <c r="V608" s="43" t="s">
        <v>1875</v>
      </c>
      <c r="W608" s="43" t="s">
        <v>43</v>
      </c>
      <c r="X608" s="71" t="s">
        <v>43</v>
      </c>
      <c r="Y608" s="71" t="s">
        <v>40</v>
      </c>
      <c r="Z608" s="48" t="s">
        <v>43</v>
      </c>
      <c r="AA608" s="75">
        <v>198</v>
      </c>
      <c r="AB608" s="75">
        <v>180</v>
      </c>
      <c r="AC608" s="80">
        <v>198</v>
      </c>
      <c r="AD608" s="80">
        <v>180</v>
      </c>
      <c r="AE608" s="80">
        <v>153</v>
      </c>
      <c r="AF608" s="79">
        <f t="shared" si="60"/>
        <v>0</v>
      </c>
      <c r="AG608" s="79" t="str">
        <f t="shared" si="61"/>
        <v>阴茎海绵体灌流治疗费</v>
      </c>
      <c r="AH608" s="79">
        <f t="shared" si="62"/>
        <v>190</v>
      </c>
      <c r="AI608" s="79">
        <f t="shared" si="63"/>
        <v>175</v>
      </c>
      <c r="AJ608" s="79">
        <f t="shared" si="64"/>
        <v>150</v>
      </c>
    </row>
    <row r="609" ht="36" customHeight="1" spans="1:36">
      <c r="A609" s="44">
        <v>96</v>
      </c>
      <c r="B609" s="44" t="s">
        <v>1876</v>
      </c>
      <c r="C609" s="44" t="s">
        <v>1877</v>
      </c>
      <c r="D609" s="44" t="s">
        <v>213</v>
      </c>
      <c r="E609" s="44" t="s">
        <v>1878</v>
      </c>
      <c r="F609" s="44" t="s">
        <v>1879</v>
      </c>
      <c r="G609" s="44" t="s">
        <v>40</v>
      </c>
      <c r="H609" s="44"/>
      <c r="I609" s="56">
        <v>911</v>
      </c>
      <c r="J609" s="56">
        <v>820</v>
      </c>
      <c r="K609" s="59">
        <v>889.240506329114</v>
      </c>
      <c r="L609" s="59">
        <v>816</v>
      </c>
      <c r="M609" s="59" t="e">
        <v>#DIV/0!</v>
      </c>
      <c r="N609" s="64">
        <v>890</v>
      </c>
      <c r="O609" s="64">
        <v>816</v>
      </c>
      <c r="P609" s="64">
        <v>695</v>
      </c>
      <c r="Q609" s="44" t="s">
        <v>54</v>
      </c>
      <c r="R609" s="70" t="s">
        <v>273</v>
      </c>
      <c r="S609" s="44" t="s">
        <v>274</v>
      </c>
      <c r="T609" s="43" t="s">
        <v>1880</v>
      </c>
      <c r="U609" s="71">
        <v>331204007</v>
      </c>
      <c r="V609" s="43" t="s">
        <v>1881</v>
      </c>
      <c r="W609" s="43" t="s">
        <v>1882</v>
      </c>
      <c r="X609" s="71" t="s">
        <v>43</v>
      </c>
      <c r="Y609" s="71" t="s">
        <v>40</v>
      </c>
      <c r="Z609" s="48" t="s">
        <v>43</v>
      </c>
      <c r="AA609" s="75">
        <v>1080</v>
      </c>
      <c r="AB609" s="75">
        <v>970</v>
      </c>
      <c r="AC609" s="80">
        <v>1000</v>
      </c>
      <c r="AD609" s="80">
        <v>960</v>
      </c>
      <c r="AE609" s="80">
        <v>816</v>
      </c>
      <c r="AF609" s="79">
        <f t="shared" si="60"/>
        <v>0</v>
      </c>
      <c r="AG609" s="79" t="str">
        <f t="shared" si="61"/>
        <v>阴茎部分切除费</v>
      </c>
      <c r="AH609" s="79">
        <f t="shared" si="62"/>
        <v>890</v>
      </c>
      <c r="AI609" s="79">
        <f t="shared" si="63"/>
        <v>816</v>
      </c>
      <c r="AJ609" s="79">
        <f t="shared" si="64"/>
        <v>695</v>
      </c>
    </row>
    <row r="610" ht="36" customHeight="1" spans="1:36">
      <c r="A610" s="44">
        <v>96</v>
      </c>
      <c r="B610" s="44" t="s">
        <v>1876</v>
      </c>
      <c r="C610" s="44" t="s">
        <v>1877</v>
      </c>
      <c r="D610" s="44" t="s">
        <v>213</v>
      </c>
      <c r="E610" s="44" t="s">
        <v>1878</v>
      </c>
      <c r="F610" s="44" t="s">
        <v>1879</v>
      </c>
      <c r="G610" s="44" t="s">
        <v>40</v>
      </c>
      <c r="H610" s="44"/>
      <c r="I610" s="56">
        <v>911</v>
      </c>
      <c r="J610" s="56">
        <v>820</v>
      </c>
      <c r="K610" s="59">
        <v>889.240506329114</v>
      </c>
      <c r="L610" s="59">
        <v>816</v>
      </c>
      <c r="M610" s="59" t="e">
        <v>#DIV/0!</v>
      </c>
      <c r="N610" s="64">
        <v>890</v>
      </c>
      <c r="O610" s="64">
        <v>816</v>
      </c>
      <c r="P610" s="64">
        <v>695</v>
      </c>
      <c r="Q610" s="44" t="s">
        <v>54</v>
      </c>
      <c r="R610" s="70" t="s">
        <v>273</v>
      </c>
      <c r="S610" s="44" t="s">
        <v>274</v>
      </c>
      <c r="T610" s="43" t="s">
        <v>1883</v>
      </c>
      <c r="U610" s="71">
        <v>331204006</v>
      </c>
      <c r="V610" s="43" t="s">
        <v>1884</v>
      </c>
      <c r="W610" s="43" t="s">
        <v>1885</v>
      </c>
      <c r="X610" s="71" t="s">
        <v>43</v>
      </c>
      <c r="Y610" s="71" t="s">
        <v>40</v>
      </c>
      <c r="Z610" s="48" t="s">
        <v>43</v>
      </c>
      <c r="AA610" s="75">
        <v>750</v>
      </c>
      <c r="AB610" s="75">
        <v>675</v>
      </c>
      <c r="AC610" s="80">
        <v>750</v>
      </c>
      <c r="AD610" s="80">
        <v>720</v>
      </c>
      <c r="AE610" s="80">
        <v>612</v>
      </c>
      <c r="AF610" s="79">
        <f t="shared" si="60"/>
        <v>0</v>
      </c>
      <c r="AG610" s="79" t="str">
        <f t="shared" si="61"/>
        <v>阴茎部分切除费</v>
      </c>
      <c r="AH610" s="79">
        <f t="shared" si="62"/>
        <v>890</v>
      </c>
      <c r="AI610" s="79">
        <f t="shared" si="63"/>
        <v>816</v>
      </c>
      <c r="AJ610" s="79">
        <f t="shared" si="64"/>
        <v>695</v>
      </c>
    </row>
    <row r="611" ht="21" customHeight="1" spans="1:36">
      <c r="A611" s="81" t="s">
        <v>81</v>
      </c>
      <c r="B611" s="81" t="s">
        <v>1886</v>
      </c>
      <c r="C611" s="81" t="s">
        <v>1887</v>
      </c>
      <c r="D611" s="81" t="s">
        <v>213</v>
      </c>
      <c r="E611" s="81"/>
      <c r="F611" s="81"/>
      <c r="G611" s="81" t="s">
        <v>40</v>
      </c>
      <c r="H611" s="81"/>
      <c r="I611" s="56">
        <v>273</v>
      </c>
      <c r="J611" s="56">
        <v>246</v>
      </c>
      <c r="K611" s="54"/>
      <c r="L611" s="54"/>
      <c r="M611" s="54"/>
      <c r="N611" s="64">
        <v>265</v>
      </c>
      <c r="O611" s="64">
        <v>245</v>
      </c>
      <c r="P611" s="64">
        <v>210</v>
      </c>
      <c r="Q611" s="44" t="s">
        <v>54</v>
      </c>
      <c r="R611" s="69"/>
      <c r="S611" s="49"/>
      <c r="T611" s="45" t="s">
        <v>1888</v>
      </c>
      <c r="U611" s="45">
        <v>33120400701</v>
      </c>
      <c r="V611" s="45" t="s">
        <v>1889</v>
      </c>
      <c r="W611" s="43" t="s">
        <v>43</v>
      </c>
      <c r="X611" s="71" t="s">
        <v>43</v>
      </c>
      <c r="Y611" s="71" t="s">
        <v>40</v>
      </c>
      <c r="Z611" s="48" t="s">
        <v>43</v>
      </c>
      <c r="AA611" s="75">
        <v>1405</v>
      </c>
      <c r="AB611" s="75">
        <v>1260</v>
      </c>
      <c r="AC611" s="80">
        <v>1300</v>
      </c>
      <c r="AD611" s="80">
        <v>1250</v>
      </c>
      <c r="AE611" s="80">
        <v>1065</v>
      </c>
      <c r="AF611" s="79">
        <f t="shared" si="60"/>
        <v>11</v>
      </c>
      <c r="AG611" s="79" t="str">
        <f t="shared" si="61"/>
        <v>阴茎部分切除费</v>
      </c>
      <c r="AH611" s="79">
        <f t="shared" si="62"/>
        <v>1155</v>
      </c>
      <c r="AI611" s="79">
        <f t="shared" si="63"/>
        <v>1061</v>
      </c>
      <c r="AJ611" s="79">
        <f t="shared" si="64"/>
        <v>905</v>
      </c>
    </row>
    <row r="612" ht="21" customHeight="1" spans="1:36">
      <c r="A612" s="81" t="s">
        <v>81</v>
      </c>
      <c r="B612" s="81" t="s">
        <v>1886</v>
      </c>
      <c r="C612" s="81" t="s">
        <v>1887</v>
      </c>
      <c r="D612" s="81" t="s">
        <v>213</v>
      </c>
      <c r="E612" s="81"/>
      <c r="F612" s="81"/>
      <c r="G612" s="81" t="s">
        <v>40</v>
      </c>
      <c r="H612" s="81"/>
      <c r="I612" s="56">
        <v>273</v>
      </c>
      <c r="J612" s="56">
        <v>246</v>
      </c>
      <c r="K612" s="54"/>
      <c r="L612" s="54"/>
      <c r="M612" s="54"/>
      <c r="N612" s="64">
        <v>265</v>
      </c>
      <c r="O612" s="64">
        <v>245</v>
      </c>
      <c r="P612" s="64">
        <v>210</v>
      </c>
      <c r="Q612" s="44" t="s">
        <v>54</v>
      </c>
      <c r="R612" s="69"/>
      <c r="S612" s="49"/>
      <c r="T612" s="45" t="s">
        <v>1890</v>
      </c>
      <c r="U612" s="45">
        <v>33120400601</v>
      </c>
      <c r="V612" s="45" t="s">
        <v>1891</v>
      </c>
      <c r="W612" s="43" t="s">
        <v>43</v>
      </c>
      <c r="X612" s="71" t="s">
        <v>43</v>
      </c>
      <c r="Y612" s="71" t="s">
        <v>40</v>
      </c>
      <c r="Z612" s="48" t="s">
        <v>43</v>
      </c>
      <c r="AA612" s="75">
        <v>975</v>
      </c>
      <c r="AB612" s="75">
        <v>880</v>
      </c>
      <c r="AC612" s="80">
        <v>975</v>
      </c>
      <c r="AD612" s="80">
        <v>935</v>
      </c>
      <c r="AE612" s="80">
        <v>795</v>
      </c>
      <c r="AF612" s="79">
        <f t="shared" si="60"/>
        <v>11</v>
      </c>
      <c r="AG612" s="79" t="str">
        <f t="shared" si="61"/>
        <v>阴茎部分切除费</v>
      </c>
      <c r="AH612" s="79">
        <f t="shared" si="62"/>
        <v>1155</v>
      </c>
      <c r="AI612" s="79">
        <f t="shared" si="63"/>
        <v>1061</v>
      </c>
      <c r="AJ612" s="79">
        <f t="shared" si="64"/>
        <v>905</v>
      </c>
    </row>
    <row r="613" ht="85" customHeight="1" spans="1:36">
      <c r="A613" s="45">
        <v>97</v>
      </c>
      <c r="B613" s="45" t="s">
        <v>1892</v>
      </c>
      <c r="C613" s="45" t="s">
        <v>1893</v>
      </c>
      <c r="D613" s="45" t="s">
        <v>213</v>
      </c>
      <c r="E613" s="49" t="s">
        <v>1894</v>
      </c>
      <c r="F613" s="49" t="s">
        <v>1895</v>
      </c>
      <c r="G613" s="45" t="s">
        <v>40</v>
      </c>
      <c r="H613" s="49" t="s">
        <v>43</v>
      </c>
      <c r="I613" s="53">
        <v>1670</v>
      </c>
      <c r="J613" s="53">
        <v>1503</v>
      </c>
      <c r="K613" s="55"/>
      <c r="L613" s="55">
        <v>1200</v>
      </c>
      <c r="M613" s="55"/>
      <c r="N613" s="63">
        <v>1500</v>
      </c>
      <c r="O613" s="63">
        <v>1350</v>
      </c>
      <c r="P613" s="63">
        <v>1150</v>
      </c>
      <c r="Q613" s="45" t="s">
        <v>54</v>
      </c>
      <c r="R613" s="69" t="s">
        <v>851</v>
      </c>
      <c r="S613" s="49" t="s">
        <v>1896</v>
      </c>
      <c r="T613" s="43" t="s">
        <v>1897</v>
      </c>
      <c r="U613" s="71">
        <v>331204008</v>
      </c>
      <c r="V613" s="43" t="s">
        <v>1898</v>
      </c>
      <c r="W613" s="43" t="s">
        <v>1882</v>
      </c>
      <c r="X613" s="71" t="s">
        <v>43</v>
      </c>
      <c r="Y613" s="71" t="s">
        <v>40</v>
      </c>
      <c r="Z613" s="48" t="s">
        <v>43</v>
      </c>
      <c r="AA613" s="75">
        <v>1350</v>
      </c>
      <c r="AB613" s="75">
        <v>1215</v>
      </c>
      <c r="AC613" s="80">
        <v>1250</v>
      </c>
      <c r="AD613" s="80">
        <v>1200</v>
      </c>
      <c r="AE613" s="80">
        <v>1020</v>
      </c>
      <c r="AF613" s="79">
        <f t="shared" si="60"/>
        <v>0</v>
      </c>
      <c r="AG613" s="79" t="str">
        <f t="shared" si="61"/>
        <v>阴茎全切费</v>
      </c>
      <c r="AH613" s="79">
        <f t="shared" si="62"/>
        <v>1500</v>
      </c>
      <c r="AI613" s="79">
        <f t="shared" si="63"/>
        <v>1350</v>
      </c>
      <c r="AJ613" s="79">
        <f t="shared" si="64"/>
        <v>1150</v>
      </c>
    </row>
    <row r="614" ht="20" customHeight="1" spans="1:36">
      <c r="A614" s="81" t="s">
        <v>81</v>
      </c>
      <c r="B614" s="81" t="s">
        <v>1899</v>
      </c>
      <c r="C614" s="81" t="s">
        <v>1900</v>
      </c>
      <c r="D614" s="81" t="s">
        <v>213</v>
      </c>
      <c r="E614" s="81"/>
      <c r="F614" s="81"/>
      <c r="G614" s="81" t="s">
        <v>40</v>
      </c>
      <c r="H614" s="81"/>
      <c r="I614" s="56">
        <v>1530</v>
      </c>
      <c r="J614" s="56">
        <v>1377</v>
      </c>
      <c r="K614" s="54"/>
      <c r="L614" s="54"/>
      <c r="M614" s="54"/>
      <c r="N614" s="64">
        <v>1375</v>
      </c>
      <c r="O614" s="64">
        <v>1235</v>
      </c>
      <c r="P614" s="64">
        <v>1055</v>
      </c>
      <c r="Q614" s="44" t="s">
        <v>54</v>
      </c>
      <c r="R614" s="69"/>
      <c r="S614" s="44" t="s">
        <v>1901</v>
      </c>
      <c r="T614" s="45" t="s">
        <v>1902</v>
      </c>
      <c r="U614" s="45">
        <v>331204009</v>
      </c>
      <c r="V614" s="45" t="s">
        <v>1903</v>
      </c>
      <c r="W614" s="43" t="s">
        <v>43</v>
      </c>
      <c r="X614" s="71" t="s">
        <v>43</v>
      </c>
      <c r="Y614" s="71" t="s">
        <v>40</v>
      </c>
      <c r="Z614" s="48" t="s">
        <v>1904</v>
      </c>
      <c r="AA614" s="75">
        <v>2880</v>
      </c>
      <c r="AB614" s="75">
        <v>2590</v>
      </c>
      <c r="AC614" s="80">
        <v>2530</v>
      </c>
      <c r="AD614" s="80">
        <v>2280</v>
      </c>
      <c r="AE614" s="80">
        <v>1940</v>
      </c>
      <c r="AF614" s="79">
        <f t="shared" si="60"/>
        <v>13</v>
      </c>
      <c r="AG614" s="79" t="str">
        <f t="shared" si="61"/>
        <v>阴茎全切费</v>
      </c>
      <c r="AH614" s="79">
        <f t="shared" si="62"/>
        <v>2875</v>
      </c>
      <c r="AI614" s="79">
        <f t="shared" si="63"/>
        <v>2585</v>
      </c>
      <c r="AJ614" s="79">
        <f t="shared" si="64"/>
        <v>2205</v>
      </c>
    </row>
    <row r="615" ht="20" customHeight="1" spans="1:36">
      <c r="A615" s="81" t="s">
        <v>81</v>
      </c>
      <c r="B615" s="81" t="s">
        <v>1899</v>
      </c>
      <c r="C615" s="81" t="s">
        <v>1900</v>
      </c>
      <c r="D615" s="81" t="s">
        <v>213</v>
      </c>
      <c r="E615" s="81"/>
      <c r="F615" s="81"/>
      <c r="G615" s="81" t="s">
        <v>40</v>
      </c>
      <c r="H615" s="81"/>
      <c r="I615" s="56">
        <v>1530</v>
      </c>
      <c r="J615" s="56">
        <v>1377</v>
      </c>
      <c r="K615" s="54"/>
      <c r="L615" s="54"/>
      <c r="M615" s="54"/>
      <c r="N615" s="64">
        <v>1375</v>
      </c>
      <c r="O615" s="64">
        <v>1235</v>
      </c>
      <c r="P615" s="64">
        <v>1055</v>
      </c>
      <c r="Q615" s="44" t="s">
        <v>54</v>
      </c>
      <c r="R615" s="69"/>
      <c r="S615" s="44" t="s">
        <v>1901</v>
      </c>
      <c r="T615" s="45" t="s">
        <v>1905</v>
      </c>
      <c r="U615" s="45">
        <v>33120400901</v>
      </c>
      <c r="V615" s="45" t="s">
        <v>1906</v>
      </c>
      <c r="W615" s="43" t="s">
        <v>43</v>
      </c>
      <c r="X615" s="71" t="s">
        <v>43</v>
      </c>
      <c r="Y615" s="71" t="s">
        <v>40</v>
      </c>
      <c r="Z615" s="48" t="s">
        <v>1907</v>
      </c>
      <c r="AA615" s="75">
        <v>3200</v>
      </c>
      <c r="AB615" s="75">
        <v>2880</v>
      </c>
      <c r="AC615" s="80">
        <v>2820</v>
      </c>
      <c r="AD615" s="80">
        <v>2540</v>
      </c>
      <c r="AE615" s="80">
        <v>2160</v>
      </c>
      <c r="AF615" s="79">
        <f t="shared" si="60"/>
        <v>13</v>
      </c>
      <c r="AG615" s="79" t="str">
        <f t="shared" si="61"/>
        <v>阴茎全切费</v>
      </c>
      <c r="AH615" s="79">
        <f t="shared" si="62"/>
        <v>2875</v>
      </c>
      <c r="AI615" s="79">
        <f t="shared" si="63"/>
        <v>2585</v>
      </c>
      <c r="AJ615" s="79">
        <f t="shared" si="64"/>
        <v>2205</v>
      </c>
    </row>
    <row r="616" ht="20" customHeight="1" spans="1:36">
      <c r="A616" s="81" t="s">
        <v>81</v>
      </c>
      <c r="B616" s="81" t="s">
        <v>1899</v>
      </c>
      <c r="C616" s="81" t="s">
        <v>1900</v>
      </c>
      <c r="D616" s="81" t="s">
        <v>213</v>
      </c>
      <c r="E616" s="81"/>
      <c r="F616" s="81"/>
      <c r="G616" s="81" t="s">
        <v>40</v>
      </c>
      <c r="H616" s="81"/>
      <c r="I616" s="56">
        <v>1530</v>
      </c>
      <c r="J616" s="56">
        <v>1377</v>
      </c>
      <c r="K616" s="54"/>
      <c r="L616" s="54"/>
      <c r="M616" s="54"/>
      <c r="N616" s="64">
        <v>1375</v>
      </c>
      <c r="O616" s="64">
        <v>1235</v>
      </c>
      <c r="P616" s="64">
        <v>1055</v>
      </c>
      <c r="Q616" s="44" t="s">
        <v>54</v>
      </c>
      <c r="R616" s="69"/>
      <c r="S616" s="44" t="s">
        <v>1901</v>
      </c>
      <c r="T616" s="45" t="s">
        <v>1908</v>
      </c>
      <c r="U616" s="45">
        <v>33120400902</v>
      </c>
      <c r="V616" s="45" t="s">
        <v>1909</v>
      </c>
      <c r="W616" s="43" t="s">
        <v>43</v>
      </c>
      <c r="X616" s="71" t="s">
        <v>43</v>
      </c>
      <c r="Y616" s="71" t="s">
        <v>40</v>
      </c>
      <c r="Z616" s="48" t="s">
        <v>43</v>
      </c>
      <c r="AA616" s="75">
        <v>3745</v>
      </c>
      <c r="AB616" s="75">
        <v>3365</v>
      </c>
      <c r="AC616" s="80">
        <v>3290</v>
      </c>
      <c r="AD616" s="80">
        <v>2965</v>
      </c>
      <c r="AE616" s="80">
        <v>2520</v>
      </c>
      <c r="AF616" s="79">
        <f t="shared" si="60"/>
        <v>13</v>
      </c>
      <c r="AG616" s="79" t="str">
        <f t="shared" si="61"/>
        <v>阴茎全切费</v>
      </c>
      <c r="AH616" s="79">
        <f t="shared" si="62"/>
        <v>2875</v>
      </c>
      <c r="AI616" s="79">
        <f t="shared" si="63"/>
        <v>2585</v>
      </c>
      <c r="AJ616" s="79">
        <f t="shared" si="64"/>
        <v>2205</v>
      </c>
    </row>
    <row r="617" ht="20" customHeight="1" spans="1:36">
      <c r="A617" s="81" t="s">
        <v>81</v>
      </c>
      <c r="B617" s="81" t="s">
        <v>1899</v>
      </c>
      <c r="C617" s="81" t="s">
        <v>1900</v>
      </c>
      <c r="D617" s="81" t="s">
        <v>213</v>
      </c>
      <c r="E617" s="81"/>
      <c r="F617" s="81"/>
      <c r="G617" s="81" t="s">
        <v>40</v>
      </c>
      <c r="H617" s="81"/>
      <c r="I617" s="56">
        <v>1530</v>
      </c>
      <c r="J617" s="56">
        <v>1377</v>
      </c>
      <c r="K617" s="54"/>
      <c r="L617" s="54"/>
      <c r="M617" s="54"/>
      <c r="N617" s="64">
        <v>1375</v>
      </c>
      <c r="O617" s="64">
        <v>1235</v>
      </c>
      <c r="P617" s="64">
        <v>1055</v>
      </c>
      <c r="Q617" s="44" t="s">
        <v>54</v>
      </c>
      <c r="R617" s="69"/>
      <c r="S617" s="44" t="s">
        <v>1901</v>
      </c>
      <c r="T617" s="45" t="s">
        <v>1910</v>
      </c>
      <c r="U617" s="45">
        <v>33120400903</v>
      </c>
      <c r="V617" s="45" t="s">
        <v>1911</v>
      </c>
      <c r="W617" s="43" t="s">
        <v>43</v>
      </c>
      <c r="X617" s="71" t="s">
        <v>43</v>
      </c>
      <c r="Y617" s="71" t="s">
        <v>40</v>
      </c>
      <c r="Z617" s="48" t="s">
        <v>1907</v>
      </c>
      <c r="AA617" s="75">
        <v>4160</v>
      </c>
      <c r="AB617" s="75">
        <v>3745</v>
      </c>
      <c r="AC617" s="80">
        <v>3665</v>
      </c>
      <c r="AD617" s="80">
        <v>3300</v>
      </c>
      <c r="AE617" s="80">
        <v>2805</v>
      </c>
      <c r="AF617" s="79">
        <f t="shared" si="60"/>
        <v>13</v>
      </c>
      <c r="AG617" s="79" t="str">
        <f t="shared" si="61"/>
        <v>阴茎全切费</v>
      </c>
      <c r="AH617" s="79">
        <f t="shared" si="62"/>
        <v>2875</v>
      </c>
      <c r="AI617" s="79">
        <f t="shared" si="63"/>
        <v>2585</v>
      </c>
      <c r="AJ617" s="79">
        <f t="shared" si="64"/>
        <v>2205</v>
      </c>
    </row>
    <row r="618" ht="38" customHeight="1" spans="1:36">
      <c r="A618" s="43" t="s">
        <v>81</v>
      </c>
      <c r="B618" s="43" t="s">
        <v>1912</v>
      </c>
      <c r="C618" s="43" t="s">
        <v>1913</v>
      </c>
      <c r="D618" s="43" t="s">
        <v>213</v>
      </c>
      <c r="E618" s="48" t="s">
        <v>43</v>
      </c>
      <c r="F618" s="48" t="s">
        <v>43</v>
      </c>
      <c r="G618" s="43" t="s">
        <v>40</v>
      </c>
      <c r="H618" s="48" t="s">
        <v>43</v>
      </c>
      <c r="I618" s="53">
        <v>501</v>
      </c>
      <c r="J618" s="53">
        <v>451</v>
      </c>
      <c r="K618" s="54"/>
      <c r="L618" s="54"/>
      <c r="M618" s="54"/>
      <c r="N618" s="63">
        <v>450</v>
      </c>
      <c r="O618" s="63">
        <v>405</v>
      </c>
      <c r="P618" s="63">
        <v>345</v>
      </c>
      <c r="Q618" s="45" t="s">
        <v>54</v>
      </c>
      <c r="R618" s="69"/>
      <c r="S618" s="49" t="s">
        <v>446</v>
      </c>
      <c r="T618" s="45" t="s">
        <v>1914</v>
      </c>
      <c r="U618" s="45">
        <v>33120400801</v>
      </c>
      <c r="V618" s="45" t="s">
        <v>1915</v>
      </c>
      <c r="W618" s="43" t="s">
        <v>43</v>
      </c>
      <c r="X618" s="71" t="s">
        <v>43</v>
      </c>
      <c r="Y618" s="71" t="s">
        <v>40</v>
      </c>
      <c r="Z618" s="48" t="s">
        <v>43</v>
      </c>
      <c r="AA618" s="75">
        <v>1755</v>
      </c>
      <c r="AB618" s="75">
        <v>1580</v>
      </c>
      <c r="AC618" s="80">
        <v>1625</v>
      </c>
      <c r="AD618" s="80">
        <v>1560</v>
      </c>
      <c r="AE618" s="80">
        <v>1325</v>
      </c>
      <c r="AF618" s="79">
        <f t="shared" si="60"/>
        <v>9</v>
      </c>
      <c r="AG618" s="79" t="str">
        <f t="shared" si="61"/>
        <v>阴茎全切费</v>
      </c>
      <c r="AH618" s="79">
        <f t="shared" si="62"/>
        <v>1950</v>
      </c>
      <c r="AI618" s="79">
        <f t="shared" si="63"/>
        <v>1755</v>
      </c>
      <c r="AJ618" s="79">
        <f t="shared" si="64"/>
        <v>1495</v>
      </c>
    </row>
    <row r="619" ht="98" customHeight="1" spans="1:36">
      <c r="A619" s="45">
        <v>98</v>
      </c>
      <c r="B619" s="45" t="s">
        <v>1916</v>
      </c>
      <c r="C619" s="45" t="s">
        <v>1917</v>
      </c>
      <c r="D619" s="45" t="s">
        <v>213</v>
      </c>
      <c r="E619" s="49" t="s">
        <v>1918</v>
      </c>
      <c r="F619" s="49" t="s">
        <v>1919</v>
      </c>
      <c r="G619" s="45" t="s">
        <v>40</v>
      </c>
      <c r="H619" s="49" t="s">
        <v>1920</v>
      </c>
      <c r="I619" s="53">
        <v>1350</v>
      </c>
      <c r="J619" s="53">
        <v>1215</v>
      </c>
      <c r="K619" s="55">
        <v>1250</v>
      </c>
      <c r="L619" s="55">
        <v>1200</v>
      </c>
      <c r="M619" s="55">
        <v>1020</v>
      </c>
      <c r="N619" s="63">
        <v>1250</v>
      </c>
      <c r="O619" s="63">
        <v>1200</v>
      </c>
      <c r="P619" s="63">
        <v>1020</v>
      </c>
      <c r="Q619" s="45" t="s">
        <v>42</v>
      </c>
      <c r="R619" s="69" t="s">
        <v>55</v>
      </c>
      <c r="S619" s="49" t="s">
        <v>55</v>
      </c>
      <c r="T619" s="43" t="s">
        <v>1921</v>
      </c>
      <c r="U619" s="71">
        <v>331204012</v>
      </c>
      <c r="V619" s="43" t="s">
        <v>1922</v>
      </c>
      <c r="W619" s="43" t="s">
        <v>43</v>
      </c>
      <c r="X619" s="71" t="s">
        <v>43</v>
      </c>
      <c r="Y619" s="71" t="s">
        <v>40</v>
      </c>
      <c r="Z619" s="48" t="s">
        <v>43</v>
      </c>
      <c r="AA619" s="75">
        <v>1350</v>
      </c>
      <c r="AB619" s="75">
        <v>1215</v>
      </c>
      <c r="AC619" s="80">
        <v>1250</v>
      </c>
      <c r="AD619" s="80">
        <v>1200</v>
      </c>
      <c r="AE619" s="80">
        <v>1020</v>
      </c>
      <c r="AF619" s="79">
        <f t="shared" si="60"/>
        <v>0</v>
      </c>
      <c r="AG619" s="79" t="str">
        <f t="shared" si="61"/>
        <v>阴茎假体置入费</v>
      </c>
      <c r="AH619" s="79">
        <f t="shared" si="62"/>
        <v>1250</v>
      </c>
      <c r="AI619" s="79">
        <f t="shared" si="63"/>
        <v>1200</v>
      </c>
      <c r="AJ619" s="79">
        <f t="shared" si="64"/>
        <v>1020</v>
      </c>
    </row>
    <row r="620" ht="40" customHeight="1" spans="1:36">
      <c r="A620" s="43" t="s">
        <v>81</v>
      </c>
      <c r="B620" s="43" t="s">
        <v>1923</v>
      </c>
      <c r="C620" s="43" t="s">
        <v>1924</v>
      </c>
      <c r="D620" s="43" t="s">
        <v>213</v>
      </c>
      <c r="E620" s="48" t="s">
        <v>43</v>
      </c>
      <c r="F620" s="48" t="s">
        <v>43</v>
      </c>
      <c r="G620" s="43" t="s">
        <v>40</v>
      </c>
      <c r="H620" s="48" t="s">
        <v>43</v>
      </c>
      <c r="I620" s="53">
        <v>405</v>
      </c>
      <c r="J620" s="53">
        <v>365</v>
      </c>
      <c r="K620" s="54"/>
      <c r="L620" s="54"/>
      <c r="M620" s="54"/>
      <c r="N620" s="63">
        <v>375</v>
      </c>
      <c r="O620" s="63">
        <v>360</v>
      </c>
      <c r="P620" s="63">
        <v>305</v>
      </c>
      <c r="Q620" s="45" t="s">
        <v>42</v>
      </c>
      <c r="R620" s="69"/>
      <c r="S620" s="49" t="s">
        <v>446</v>
      </c>
      <c r="T620" s="45" t="s">
        <v>1925</v>
      </c>
      <c r="U620" s="45">
        <v>33120401201</v>
      </c>
      <c r="V620" s="45" t="s">
        <v>1926</v>
      </c>
      <c r="W620" s="43" t="s">
        <v>43</v>
      </c>
      <c r="X620" s="71" t="s">
        <v>43</v>
      </c>
      <c r="Y620" s="71" t="s">
        <v>40</v>
      </c>
      <c r="Z620" s="48" t="s">
        <v>43</v>
      </c>
      <c r="AA620" s="75">
        <v>1755</v>
      </c>
      <c r="AB620" s="75">
        <v>1580</v>
      </c>
      <c r="AC620" s="80">
        <v>1625</v>
      </c>
      <c r="AD620" s="80">
        <v>1560</v>
      </c>
      <c r="AE620" s="80">
        <v>1325</v>
      </c>
      <c r="AF620" s="79">
        <f t="shared" si="60"/>
        <v>11</v>
      </c>
      <c r="AG620" s="79" t="str">
        <f t="shared" si="61"/>
        <v>阴茎假体置入费</v>
      </c>
      <c r="AH620" s="79">
        <f t="shared" si="62"/>
        <v>1625</v>
      </c>
      <c r="AI620" s="79">
        <f t="shared" si="63"/>
        <v>1560</v>
      </c>
      <c r="AJ620" s="79">
        <f t="shared" si="64"/>
        <v>1325</v>
      </c>
    </row>
    <row r="621" ht="35" customHeight="1" spans="1:36">
      <c r="A621" s="47">
        <v>101</v>
      </c>
      <c r="B621" s="47" t="s">
        <v>1942</v>
      </c>
      <c r="C621" s="47" t="s">
        <v>1943</v>
      </c>
      <c r="D621" s="47" t="s">
        <v>213</v>
      </c>
      <c r="E621" s="47" t="s">
        <v>1944</v>
      </c>
      <c r="F621" s="47" t="s">
        <v>1945</v>
      </c>
      <c r="G621" s="47" t="s">
        <v>40</v>
      </c>
      <c r="H621" s="47"/>
      <c r="I621" s="56">
        <v>2880</v>
      </c>
      <c r="J621" s="56">
        <v>2592</v>
      </c>
      <c r="K621" s="58"/>
      <c r="L621" s="58"/>
      <c r="M621" s="58"/>
      <c r="N621" s="64">
        <v>2600</v>
      </c>
      <c r="O621" s="64">
        <v>2350</v>
      </c>
      <c r="P621" s="64">
        <v>2000</v>
      </c>
      <c r="Q621" s="44" t="s">
        <v>42</v>
      </c>
      <c r="R621" s="70" t="s">
        <v>67</v>
      </c>
      <c r="S621" s="44" t="s">
        <v>566</v>
      </c>
      <c r="T621" s="43" t="s">
        <v>1946</v>
      </c>
      <c r="U621" s="71">
        <v>331204005</v>
      </c>
      <c r="V621" s="43" t="s">
        <v>1947</v>
      </c>
      <c r="W621" s="43" t="s">
        <v>43</v>
      </c>
      <c r="X621" s="71" t="s">
        <v>43</v>
      </c>
      <c r="Y621" s="71" t="s">
        <v>40</v>
      </c>
      <c r="Z621" s="48" t="s">
        <v>43</v>
      </c>
      <c r="AA621" s="75">
        <v>2880</v>
      </c>
      <c r="AB621" s="75">
        <v>2590</v>
      </c>
      <c r="AC621" s="80">
        <v>2530</v>
      </c>
      <c r="AD621" s="80">
        <v>2280</v>
      </c>
      <c r="AE621" s="80">
        <v>1940</v>
      </c>
      <c r="AF621" s="79">
        <f t="shared" si="60"/>
        <v>0</v>
      </c>
      <c r="AG621" s="79" t="str">
        <f t="shared" si="61"/>
        <v>阴茎再植费</v>
      </c>
      <c r="AH621" s="79">
        <f t="shared" si="62"/>
        <v>2600</v>
      </c>
      <c r="AI621" s="79">
        <f t="shared" si="63"/>
        <v>2350</v>
      </c>
      <c r="AJ621" s="79">
        <f t="shared" si="64"/>
        <v>2000</v>
      </c>
    </row>
    <row r="622" ht="35" customHeight="1" spans="1:36">
      <c r="A622" s="47">
        <v>101</v>
      </c>
      <c r="B622" s="47" t="s">
        <v>1942</v>
      </c>
      <c r="C622" s="47" t="s">
        <v>1943</v>
      </c>
      <c r="D622" s="47" t="s">
        <v>213</v>
      </c>
      <c r="E622" s="47" t="s">
        <v>1944</v>
      </c>
      <c r="F622" s="47" t="s">
        <v>1945</v>
      </c>
      <c r="G622" s="47" t="s">
        <v>40</v>
      </c>
      <c r="H622" s="47"/>
      <c r="I622" s="56">
        <v>2880</v>
      </c>
      <c r="J622" s="56">
        <v>2592</v>
      </c>
      <c r="K622" s="58"/>
      <c r="L622" s="58"/>
      <c r="M622" s="58"/>
      <c r="N622" s="64">
        <v>2600</v>
      </c>
      <c r="O622" s="64">
        <v>2350</v>
      </c>
      <c r="P622" s="64">
        <v>2000</v>
      </c>
      <c r="Q622" s="44" t="s">
        <v>42</v>
      </c>
      <c r="R622" s="70" t="s">
        <v>67</v>
      </c>
      <c r="S622" s="44" t="s">
        <v>566</v>
      </c>
      <c r="T622" s="43" t="s">
        <v>1948</v>
      </c>
      <c r="U622" s="71">
        <v>331204011</v>
      </c>
      <c r="V622" s="43" t="s">
        <v>1949</v>
      </c>
      <c r="W622" s="43" t="s">
        <v>1950</v>
      </c>
      <c r="X622" s="71" t="s">
        <v>43</v>
      </c>
      <c r="Y622" s="71" t="s">
        <v>40</v>
      </c>
      <c r="Z622" s="48" t="s">
        <v>43</v>
      </c>
      <c r="AA622" s="75">
        <v>3460</v>
      </c>
      <c r="AB622" s="75">
        <v>3110</v>
      </c>
      <c r="AC622" s="80">
        <v>3040</v>
      </c>
      <c r="AD622" s="80">
        <v>2740</v>
      </c>
      <c r="AE622" s="80">
        <v>2330</v>
      </c>
      <c r="AF622" s="79">
        <f t="shared" si="60"/>
        <v>0</v>
      </c>
      <c r="AG622" s="79" t="str">
        <f t="shared" si="61"/>
        <v>阴茎再植费</v>
      </c>
      <c r="AH622" s="79">
        <f t="shared" si="62"/>
        <v>2600</v>
      </c>
      <c r="AI622" s="79">
        <f t="shared" si="63"/>
        <v>2350</v>
      </c>
      <c r="AJ622" s="79">
        <f t="shared" si="64"/>
        <v>2000</v>
      </c>
    </row>
    <row r="623" ht="26" customHeight="1" spans="1:36">
      <c r="A623" s="81" t="s">
        <v>81</v>
      </c>
      <c r="B623" s="81" t="s">
        <v>1953</v>
      </c>
      <c r="C623" s="81" t="s">
        <v>1954</v>
      </c>
      <c r="D623" s="81" t="s">
        <v>213</v>
      </c>
      <c r="E623" s="81"/>
      <c r="F623" s="81"/>
      <c r="G623" s="81" t="s">
        <v>40</v>
      </c>
      <c r="H623" s="81"/>
      <c r="I623" s="56">
        <v>864</v>
      </c>
      <c r="J623" s="56">
        <v>778</v>
      </c>
      <c r="K623" s="54"/>
      <c r="L623" s="54"/>
      <c r="M623" s="54"/>
      <c r="N623" s="64">
        <v>780</v>
      </c>
      <c r="O623" s="64">
        <v>705</v>
      </c>
      <c r="P623" s="64">
        <v>600</v>
      </c>
      <c r="Q623" s="44" t="s">
        <v>42</v>
      </c>
      <c r="R623" s="69"/>
      <c r="S623" s="44" t="s">
        <v>446</v>
      </c>
      <c r="T623" s="45" t="s">
        <v>1955</v>
      </c>
      <c r="U623" s="45">
        <v>33120400501</v>
      </c>
      <c r="V623" s="45" t="s">
        <v>1956</v>
      </c>
      <c r="W623" s="43" t="s">
        <v>43</v>
      </c>
      <c r="X623" s="71" t="s">
        <v>43</v>
      </c>
      <c r="Y623" s="71" t="s">
        <v>40</v>
      </c>
      <c r="Z623" s="48" t="s">
        <v>43</v>
      </c>
      <c r="AA623" s="75">
        <v>3745</v>
      </c>
      <c r="AB623" s="75">
        <v>3365</v>
      </c>
      <c r="AC623" s="80">
        <v>3290</v>
      </c>
      <c r="AD623" s="80">
        <v>2965</v>
      </c>
      <c r="AE623" s="80">
        <v>2520</v>
      </c>
      <c r="AF623" s="79">
        <f t="shared" si="60"/>
        <v>9</v>
      </c>
      <c r="AG623" s="79" t="str">
        <f t="shared" si="61"/>
        <v>阴茎再植费</v>
      </c>
      <c r="AH623" s="79">
        <f t="shared" si="62"/>
        <v>3380</v>
      </c>
      <c r="AI623" s="79">
        <f t="shared" si="63"/>
        <v>3055</v>
      </c>
      <c r="AJ623" s="79">
        <f t="shared" si="64"/>
        <v>2600</v>
      </c>
    </row>
    <row r="624" ht="26" customHeight="1" spans="1:36">
      <c r="A624" s="81" t="s">
        <v>81</v>
      </c>
      <c r="B624" s="81" t="s">
        <v>1953</v>
      </c>
      <c r="C624" s="81" t="s">
        <v>1954</v>
      </c>
      <c r="D624" s="81" t="s">
        <v>213</v>
      </c>
      <c r="E624" s="81"/>
      <c r="F624" s="81"/>
      <c r="G624" s="81" t="s">
        <v>40</v>
      </c>
      <c r="H624" s="81"/>
      <c r="I624" s="56">
        <v>864</v>
      </c>
      <c r="J624" s="56">
        <v>778</v>
      </c>
      <c r="K624" s="54"/>
      <c r="L624" s="54"/>
      <c r="M624" s="54"/>
      <c r="N624" s="64">
        <v>780</v>
      </c>
      <c r="O624" s="64">
        <v>705</v>
      </c>
      <c r="P624" s="64">
        <v>600</v>
      </c>
      <c r="Q624" s="44" t="s">
        <v>42</v>
      </c>
      <c r="R624" s="69"/>
      <c r="S624" s="44" t="s">
        <v>446</v>
      </c>
      <c r="T624" s="45" t="s">
        <v>1957</v>
      </c>
      <c r="U624" s="45">
        <v>33120401101</v>
      </c>
      <c r="V624" s="45" t="s">
        <v>1958</v>
      </c>
      <c r="W624" s="43" t="s">
        <v>43</v>
      </c>
      <c r="X624" s="71" t="s">
        <v>43</v>
      </c>
      <c r="Y624" s="71" t="s">
        <v>40</v>
      </c>
      <c r="Z624" s="48" t="s">
        <v>43</v>
      </c>
      <c r="AA624" s="75">
        <v>4500</v>
      </c>
      <c r="AB624" s="75">
        <v>4045</v>
      </c>
      <c r="AC624" s="80">
        <v>3950</v>
      </c>
      <c r="AD624" s="80">
        <v>3560</v>
      </c>
      <c r="AE624" s="80">
        <v>3025</v>
      </c>
      <c r="AF624" s="79">
        <f t="shared" si="60"/>
        <v>9</v>
      </c>
      <c r="AG624" s="79" t="str">
        <f t="shared" si="61"/>
        <v>阴茎再植费</v>
      </c>
      <c r="AH624" s="79">
        <f t="shared" si="62"/>
        <v>3380</v>
      </c>
      <c r="AI624" s="79">
        <f t="shared" si="63"/>
        <v>3055</v>
      </c>
      <c r="AJ624" s="79">
        <f t="shared" si="64"/>
        <v>2600</v>
      </c>
    </row>
    <row r="625" ht="19" customHeight="1" spans="1:36">
      <c r="A625" s="44">
        <v>102</v>
      </c>
      <c r="B625" s="44" t="s">
        <v>1959</v>
      </c>
      <c r="C625" s="44" t="s">
        <v>1960</v>
      </c>
      <c r="D625" s="44" t="s">
        <v>213</v>
      </c>
      <c r="E625" s="44" t="s">
        <v>1961</v>
      </c>
      <c r="F625" s="44" t="s">
        <v>1962</v>
      </c>
      <c r="G625" s="44" t="s">
        <v>40</v>
      </c>
      <c r="H625" s="44"/>
      <c r="I625" s="56">
        <v>1937</v>
      </c>
      <c r="J625" s="56">
        <v>1743</v>
      </c>
      <c r="K625" s="59">
        <v>1691.81621621622</v>
      </c>
      <c r="L625" s="59">
        <v>1532.49211356467</v>
      </c>
      <c r="M625" s="59">
        <v>1290</v>
      </c>
      <c r="N625" s="64">
        <v>1710</v>
      </c>
      <c r="O625" s="64">
        <v>1539</v>
      </c>
      <c r="P625" s="64">
        <v>1290</v>
      </c>
      <c r="Q625" s="44" t="s">
        <v>42</v>
      </c>
      <c r="R625" s="70" t="s">
        <v>416</v>
      </c>
      <c r="S625" s="44" t="s">
        <v>1963</v>
      </c>
      <c r="T625" s="43" t="s">
        <v>1964</v>
      </c>
      <c r="U625" s="71">
        <v>331204014</v>
      </c>
      <c r="V625" s="43" t="s">
        <v>1965</v>
      </c>
      <c r="W625" s="43" t="s">
        <v>1966</v>
      </c>
      <c r="X625" s="71" t="s">
        <v>43</v>
      </c>
      <c r="Y625" s="71" t="s">
        <v>40</v>
      </c>
      <c r="Z625" s="48" t="s">
        <v>43</v>
      </c>
      <c r="AA625" s="75">
        <v>1920</v>
      </c>
      <c r="AB625" s="75">
        <v>1730</v>
      </c>
      <c r="AC625" s="80">
        <v>1690</v>
      </c>
      <c r="AD625" s="80">
        <v>1520</v>
      </c>
      <c r="AE625" s="80">
        <v>1290</v>
      </c>
      <c r="AF625" s="79">
        <f t="shared" si="60"/>
        <v>0</v>
      </c>
      <c r="AG625" s="79" t="str">
        <f t="shared" si="61"/>
        <v>阴茎畸型整形费</v>
      </c>
      <c r="AH625" s="79">
        <f t="shared" si="62"/>
        <v>1710</v>
      </c>
      <c r="AI625" s="79">
        <f t="shared" si="63"/>
        <v>1539</v>
      </c>
      <c r="AJ625" s="79">
        <f t="shared" si="64"/>
        <v>1290</v>
      </c>
    </row>
    <row r="626" s="31" customFormat="1" ht="19" customHeight="1" spans="1:36">
      <c r="A626" s="44">
        <v>102</v>
      </c>
      <c r="B626" s="44" t="s">
        <v>1959</v>
      </c>
      <c r="C626" s="44" t="s">
        <v>1960</v>
      </c>
      <c r="D626" s="44" t="s">
        <v>213</v>
      </c>
      <c r="E626" s="44" t="s">
        <v>1961</v>
      </c>
      <c r="F626" s="44" t="s">
        <v>1962</v>
      </c>
      <c r="G626" s="44" t="s">
        <v>40</v>
      </c>
      <c r="H626" s="44"/>
      <c r="I626" s="56">
        <v>1937</v>
      </c>
      <c r="J626" s="56">
        <v>1743</v>
      </c>
      <c r="K626" s="59">
        <v>1691.81621621622</v>
      </c>
      <c r="L626" s="59">
        <v>1532.49211356467</v>
      </c>
      <c r="M626" s="59">
        <v>1290</v>
      </c>
      <c r="N626" s="64">
        <v>1710</v>
      </c>
      <c r="O626" s="64">
        <v>1539</v>
      </c>
      <c r="P626" s="64">
        <v>1290</v>
      </c>
      <c r="Q626" s="44" t="s">
        <v>42</v>
      </c>
      <c r="R626" s="70" t="s">
        <v>416</v>
      </c>
      <c r="S626" s="44" t="s">
        <v>1963</v>
      </c>
      <c r="T626" s="43" t="s">
        <v>1967</v>
      </c>
      <c r="U626" s="71">
        <v>331204013</v>
      </c>
      <c r="V626" s="43" t="s">
        <v>1968</v>
      </c>
      <c r="W626" s="43" t="s">
        <v>1969</v>
      </c>
      <c r="X626" s="71" t="s">
        <v>43</v>
      </c>
      <c r="Y626" s="71" t="s">
        <v>40</v>
      </c>
      <c r="Z626" s="48" t="s">
        <v>43</v>
      </c>
      <c r="AA626" s="75">
        <v>1920</v>
      </c>
      <c r="AB626" s="75">
        <v>1730</v>
      </c>
      <c r="AC626" s="80">
        <v>1690</v>
      </c>
      <c r="AD626" s="80">
        <v>1520</v>
      </c>
      <c r="AE626" s="80">
        <v>1290</v>
      </c>
      <c r="AF626" s="79">
        <f t="shared" si="60"/>
        <v>0</v>
      </c>
      <c r="AG626" s="79" t="str">
        <f t="shared" si="61"/>
        <v>阴茎畸型整形费</v>
      </c>
      <c r="AH626" s="79">
        <f t="shared" si="62"/>
        <v>1710</v>
      </c>
      <c r="AI626" s="79">
        <f t="shared" si="63"/>
        <v>1539</v>
      </c>
      <c r="AJ626" s="79">
        <f t="shared" si="64"/>
        <v>1290</v>
      </c>
    </row>
    <row r="627" s="31" customFormat="1" ht="19" customHeight="1" spans="1:36">
      <c r="A627" s="44">
        <v>102</v>
      </c>
      <c r="B627" s="44" t="s">
        <v>1959</v>
      </c>
      <c r="C627" s="44" t="s">
        <v>1960</v>
      </c>
      <c r="D627" s="44" t="s">
        <v>213</v>
      </c>
      <c r="E627" s="44" t="s">
        <v>1961</v>
      </c>
      <c r="F627" s="44" t="s">
        <v>1962</v>
      </c>
      <c r="G627" s="44" t="s">
        <v>40</v>
      </c>
      <c r="H627" s="44"/>
      <c r="I627" s="56">
        <v>1937</v>
      </c>
      <c r="J627" s="56">
        <v>1743</v>
      </c>
      <c r="K627" s="59">
        <v>1691.81621621622</v>
      </c>
      <c r="L627" s="59">
        <v>1532.49211356467</v>
      </c>
      <c r="M627" s="59">
        <v>1290</v>
      </c>
      <c r="N627" s="64">
        <v>1710</v>
      </c>
      <c r="O627" s="64">
        <v>1539</v>
      </c>
      <c r="P627" s="64">
        <v>1290</v>
      </c>
      <c r="Q627" s="44" t="s">
        <v>42</v>
      </c>
      <c r="R627" s="70" t="s">
        <v>416</v>
      </c>
      <c r="S627" s="44" t="s">
        <v>1963</v>
      </c>
      <c r="T627" s="43" t="s">
        <v>1970</v>
      </c>
      <c r="U627" s="71">
        <v>331204015</v>
      </c>
      <c r="V627" s="43" t="s">
        <v>1971</v>
      </c>
      <c r="W627" s="43" t="s">
        <v>43</v>
      </c>
      <c r="X627" s="71" t="s">
        <v>43</v>
      </c>
      <c r="Y627" s="71" t="s">
        <v>40</v>
      </c>
      <c r="Z627" s="48" t="s">
        <v>1972</v>
      </c>
      <c r="AA627" s="75">
        <v>2880</v>
      </c>
      <c r="AB627" s="75">
        <v>2590</v>
      </c>
      <c r="AC627" s="80">
        <v>2530</v>
      </c>
      <c r="AD627" s="80">
        <v>2280</v>
      </c>
      <c r="AE627" s="80">
        <v>1940</v>
      </c>
      <c r="AF627" s="79">
        <f t="shared" si="60"/>
        <v>0</v>
      </c>
      <c r="AG627" s="79" t="str">
        <f t="shared" si="61"/>
        <v>阴茎畸型整形费</v>
      </c>
      <c r="AH627" s="79">
        <f t="shared" si="62"/>
        <v>1710</v>
      </c>
      <c r="AI627" s="79">
        <f t="shared" si="63"/>
        <v>1539</v>
      </c>
      <c r="AJ627" s="79">
        <f t="shared" si="64"/>
        <v>1290</v>
      </c>
    </row>
    <row r="628" s="31" customFormat="1" ht="19" customHeight="1" spans="1:36">
      <c r="A628" s="44">
        <v>102</v>
      </c>
      <c r="B628" s="44" t="s">
        <v>1959</v>
      </c>
      <c r="C628" s="44" t="s">
        <v>1960</v>
      </c>
      <c r="D628" s="44" t="s">
        <v>213</v>
      </c>
      <c r="E628" s="44" t="s">
        <v>1961</v>
      </c>
      <c r="F628" s="44" t="s">
        <v>1962</v>
      </c>
      <c r="G628" s="44" t="s">
        <v>40</v>
      </c>
      <c r="H628" s="44"/>
      <c r="I628" s="56">
        <v>1937</v>
      </c>
      <c r="J628" s="56">
        <v>1743</v>
      </c>
      <c r="K628" s="59">
        <v>1691.81621621622</v>
      </c>
      <c r="L628" s="59">
        <v>1532.49211356467</v>
      </c>
      <c r="M628" s="59">
        <v>1290</v>
      </c>
      <c r="N628" s="64">
        <v>1710</v>
      </c>
      <c r="O628" s="64">
        <v>1539</v>
      </c>
      <c r="P628" s="64">
        <v>1290</v>
      </c>
      <c r="Q628" s="44" t="s">
        <v>42</v>
      </c>
      <c r="R628" s="70" t="s">
        <v>416</v>
      </c>
      <c r="S628" s="44" t="s">
        <v>1963</v>
      </c>
      <c r="T628" s="43" t="s">
        <v>1973</v>
      </c>
      <c r="U628" s="71">
        <v>33120401501</v>
      </c>
      <c r="V628" s="43" t="s">
        <v>1974</v>
      </c>
      <c r="W628" s="43" t="s">
        <v>43</v>
      </c>
      <c r="X628" s="71" t="s">
        <v>43</v>
      </c>
      <c r="Y628" s="71" t="s">
        <v>40</v>
      </c>
      <c r="Z628" s="48" t="s">
        <v>1975</v>
      </c>
      <c r="AA628" s="75">
        <v>3600</v>
      </c>
      <c r="AB628" s="75">
        <v>3240</v>
      </c>
      <c r="AC628" s="80">
        <v>3180</v>
      </c>
      <c r="AD628" s="80">
        <v>2865</v>
      </c>
      <c r="AE628" s="80">
        <v>2440</v>
      </c>
      <c r="AF628" s="79">
        <f t="shared" si="60"/>
        <v>0</v>
      </c>
      <c r="AG628" s="79" t="str">
        <f t="shared" si="61"/>
        <v>阴茎畸型整形费</v>
      </c>
      <c r="AH628" s="79">
        <f t="shared" si="62"/>
        <v>1710</v>
      </c>
      <c r="AI628" s="79">
        <f t="shared" si="63"/>
        <v>1539</v>
      </c>
      <c r="AJ628" s="79">
        <f t="shared" si="64"/>
        <v>1290</v>
      </c>
    </row>
    <row r="629" s="33" customFormat="1" ht="19" customHeight="1" spans="1:36">
      <c r="A629" s="44">
        <v>102</v>
      </c>
      <c r="B629" s="44" t="s">
        <v>1959</v>
      </c>
      <c r="C629" s="44" t="s">
        <v>1960</v>
      </c>
      <c r="D629" s="44" t="s">
        <v>213</v>
      </c>
      <c r="E629" s="44" t="s">
        <v>1961</v>
      </c>
      <c r="F629" s="44" t="s">
        <v>1962</v>
      </c>
      <c r="G629" s="44" t="s">
        <v>40</v>
      </c>
      <c r="H629" s="44"/>
      <c r="I629" s="56">
        <v>1937</v>
      </c>
      <c r="J629" s="56">
        <v>1743</v>
      </c>
      <c r="K629" s="59">
        <v>1691.81621621622</v>
      </c>
      <c r="L629" s="59">
        <v>1532.49211356467</v>
      </c>
      <c r="M629" s="59">
        <v>1290</v>
      </c>
      <c r="N629" s="64">
        <v>1710</v>
      </c>
      <c r="O629" s="64">
        <v>1539</v>
      </c>
      <c r="P629" s="64">
        <v>1290</v>
      </c>
      <c r="Q629" s="44" t="s">
        <v>42</v>
      </c>
      <c r="R629" s="70" t="s">
        <v>416</v>
      </c>
      <c r="S629" s="44" t="s">
        <v>1963</v>
      </c>
      <c r="T629" s="45" t="s">
        <v>1976</v>
      </c>
      <c r="U629" s="45">
        <v>331204010</v>
      </c>
      <c r="V629" s="43" t="s">
        <v>1977</v>
      </c>
      <c r="W629" s="43" t="s">
        <v>1978</v>
      </c>
      <c r="X629" s="71" t="s">
        <v>43</v>
      </c>
      <c r="Y629" s="71" t="s">
        <v>40</v>
      </c>
      <c r="Z629" s="48" t="s">
        <v>43</v>
      </c>
      <c r="AA629" s="75">
        <v>3460</v>
      </c>
      <c r="AB629" s="75">
        <v>3110</v>
      </c>
      <c r="AC629" s="80">
        <v>3040</v>
      </c>
      <c r="AD629" s="80">
        <v>2740</v>
      </c>
      <c r="AE629" s="80">
        <v>2330</v>
      </c>
      <c r="AF629" s="79">
        <f t="shared" si="60"/>
        <v>0</v>
      </c>
      <c r="AG629" s="79" t="str">
        <f t="shared" si="61"/>
        <v>阴茎畸型整形费</v>
      </c>
      <c r="AH629" s="79">
        <f t="shared" si="62"/>
        <v>1710</v>
      </c>
      <c r="AI629" s="79">
        <f t="shared" si="63"/>
        <v>1539</v>
      </c>
      <c r="AJ629" s="79">
        <f t="shared" si="64"/>
        <v>1290</v>
      </c>
    </row>
    <row r="630" s="33" customFormat="1" ht="19" customHeight="1" spans="1:36">
      <c r="A630" s="44">
        <v>102</v>
      </c>
      <c r="B630" s="44" t="s">
        <v>1959</v>
      </c>
      <c r="C630" s="44" t="s">
        <v>1960</v>
      </c>
      <c r="D630" s="44" t="s">
        <v>213</v>
      </c>
      <c r="E630" s="44" t="s">
        <v>1961</v>
      </c>
      <c r="F630" s="44" t="s">
        <v>1962</v>
      </c>
      <c r="G630" s="44" t="s">
        <v>40</v>
      </c>
      <c r="H630" s="44"/>
      <c r="I630" s="56">
        <v>1937</v>
      </c>
      <c r="J630" s="56">
        <v>1743</v>
      </c>
      <c r="K630" s="59">
        <v>1691.81621621622</v>
      </c>
      <c r="L630" s="59">
        <v>1532.49211356467</v>
      </c>
      <c r="M630" s="59">
        <v>1290</v>
      </c>
      <c r="N630" s="64">
        <v>1710</v>
      </c>
      <c r="O630" s="64">
        <v>1539</v>
      </c>
      <c r="P630" s="64">
        <v>1290</v>
      </c>
      <c r="Q630" s="44" t="s">
        <v>42</v>
      </c>
      <c r="R630" s="70" t="s">
        <v>416</v>
      </c>
      <c r="S630" s="44" t="s">
        <v>1963</v>
      </c>
      <c r="T630" s="45" t="s">
        <v>1979</v>
      </c>
      <c r="U630" s="45">
        <v>331204017</v>
      </c>
      <c r="V630" s="45" t="s">
        <v>1980</v>
      </c>
      <c r="W630" s="43" t="s">
        <v>43</v>
      </c>
      <c r="X630" s="71" t="s">
        <v>43</v>
      </c>
      <c r="Y630" s="71" t="s">
        <v>40</v>
      </c>
      <c r="Z630" s="48" t="s">
        <v>43</v>
      </c>
      <c r="AA630" s="75">
        <v>2880</v>
      </c>
      <c r="AB630" s="75">
        <v>2590</v>
      </c>
      <c r="AC630" s="80">
        <v>2530</v>
      </c>
      <c r="AD630" s="80">
        <v>2280</v>
      </c>
      <c r="AE630" s="80">
        <v>1940</v>
      </c>
      <c r="AF630" s="79">
        <f t="shared" si="60"/>
        <v>0</v>
      </c>
      <c r="AG630" s="79" t="str">
        <f t="shared" si="61"/>
        <v>阴茎畸型整形费</v>
      </c>
      <c r="AH630" s="79">
        <f t="shared" si="62"/>
        <v>1710</v>
      </c>
      <c r="AI630" s="79">
        <f t="shared" si="63"/>
        <v>1539</v>
      </c>
      <c r="AJ630" s="79">
        <f t="shared" si="64"/>
        <v>1290</v>
      </c>
    </row>
    <row r="631" s="33" customFormat="1" ht="19" customHeight="1" spans="1:36">
      <c r="A631" s="44">
        <v>102</v>
      </c>
      <c r="B631" s="44" t="s">
        <v>1959</v>
      </c>
      <c r="C631" s="44" t="s">
        <v>1960</v>
      </c>
      <c r="D631" s="44" t="s">
        <v>213</v>
      </c>
      <c r="E631" s="44" t="s">
        <v>1961</v>
      </c>
      <c r="F631" s="44" t="s">
        <v>1962</v>
      </c>
      <c r="G631" s="44" t="s">
        <v>40</v>
      </c>
      <c r="H631" s="44"/>
      <c r="I631" s="56">
        <v>1937</v>
      </c>
      <c r="J631" s="56">
        <v>1743</v>
      </c>
      <c r="K631" s="59">
        <v>1691.81621621622</v>
      </c>
      <c r="L631" s="59">
        <v>1532.49211356467</v>
      </c>
      <c r="M631" s="59">
        <v>1290</v>
      </c>
      <c r="N631" s="64">
        <v>1710</v>
      </c>
      <c r="O631" s="64">
        <v>1539</v>
      </c>
      <c r="P631" s="64">
        <v>1290</v>
      </c>
      <c r="Q631" s="44" t="s">
        <v>42</v>
      </c>
      <c r="R631" s="70" t="s">
        <v>416</v>
      </c>
      <c r="S631" s="44" t="s">
        <v>1963</v>
      </c>
      <c r="T631" s="45" t="s">
        <v>1981</v>
      </c>
      <c r="U631" s="45">
        <v>331204019</v>
      </c>
      <c r="V631" s="45" t="s">
        <v>1982</v>
      </c>
      <c r="W631" s="43" t="s">
        <v>1983</v>
      </c>
      <c r="X631" s="71" t="s">
        <v>43</v>
      </c>
      <c r="Y631" s="71" t="s">
        <v>40</v>
      </c>
      <c r="Z631" s="48" t="s">
        <v>43</v>
      </c>
      <c r="AA631" s="75">
        <v>1220</v>
      </c>
      <c r="AB631" s="75">
        <v>1090</v>
      </c>
      <c r="AC631" s="80">
        <v>1125</v>
      </c>
      <c r="AD631" s="80">
        <v>1080</v>
      </c>
      <c r="AE631" s="80">
        <v>918</v>
      </c>
      <c r="AF631" s="79">
        <f t="shared" si="60"/>
        <v>0</v>
      </c>
      <c r="AG631" s="79" t="str">
        <f t="shared" si="61"/>
        <v>阴茎畸型整形费</v>
      </c>
      <c r="AH631" s="79">
        <f t="shared" si="62"/>
        <v>1710</v>
      </c>
      <c r="AI631" s="79">
        <f t="shared" si="63"/>
        <v>1539</v>
      </c>
      <c r="AJ631" s="79">
        <f t="shared" si="64"/>
        <v>1290</v>
      </c>
    </row>
    <row r="632" s="33" customFormat="1" ht="19" customHeight="1" spans="1:36">
      <c r="A632" s="81" t="s">
        <v>81</v>
      </c>
      <c r="B632" s="114" t="s">
        <v>1984</v>
      </c>
      <c r="C632" s="81" t="s">
        <v>1985</v>
      </c>
      <c r="D632" s="81" t="s">
        <v>213</v>
      </c>
      <c r="E632" s="81"/>
      <c r="F632" s="81"/>
      <c r="G632" s="81" t="s">
        <v>40</v>
      </c>
      <c r="H632" s="81"/>
      <c r="I632" s="56">
        <v>581</v>
      </c>
      <c r="J632" s="56">
        <v>523</v>
      </c>
      <c r="K632" s="57">
        <v>485</v>
      </c>
      <c r="L632" s="57">
        <v>436</v>
      </c>
      <c r="M632" s="84"/>
      <c r="N632" s="64">
        <v>515</v>
      </c>
      <c r="O632" s="64">
        <v>460</v>
      </c>
      <c r="P632" s="64">
        <v>385</v>
      </c>
      <c r="Q632" s="44" t="s">
        <v>42</v>
      </c>
      <c r="R632" s="69"/>
      <c r="S632" s="44" t="s">
        <v>446</v>
      </c>
      <c r="T632" s="45" t="s">
        <v>1986</v>
      </c>
      <c r="U632" s="45">
        <v>33120401401</v>
      </c>
      <c r="V632" s="43" t="s">
        <v>1987</v>
      </c>
      <c r="W632" s="43" t="s">
        <v>43</v>
      </c>
      <c r="X632" s="71" t="s">
        <v>43</v>
      </c>
      <c r="Y632" s="71" t="s">
        <v>40</v>
      </c>
      <c r="Z632" s="48" t="s">
        <v>43</v>
      </c>
      <c r="AA632" s="75">
        <v>2495</v>
      </c>
      <c r="AB632" s="75">
        <v>2250</v>
      </c>
      <c r="AC632" s="80">
        <v>2195</v>
      </c>
      <c r="AD632" s="80">
        <v>1975</v>
      </c>
      <c r="AE632" s="80">
        <v>1680</v>
      </c>
      <c r="AF632" s="79">
        <f t="shared" si="60"/>
        <v>11</v>
      </c>
      <c r="AG632" s="79" t="str">
        <f t="shared" si="61"/>
        <v>阴茎畸型整形费</v>
      </c>
      <c r="AH632" s="79">
        <f t="shared" si="62"/>
        <v>2225</v>
      </c>
      <c r="AI632" s="79">
        <f t="shared" si="63"/>
        <v>1999</v>
      </c>
      <c r="AJ632" s="79">
        <f t="shared" si="64"/>
        <v>1675</v>
      </c>
    </row>
    <row r="633" s="33" customFormat="1" ht="19" customHeight="1" spans="1:36">
      <c r="A633" s="81" t="s">
        <v>81</v>
      </c>
      <c r="B633" s="114" t="s">
        <v>1984</v>
      </c>
      <c r="C633" s="81" t="s">
        <v>1985</v>
      </c>
      <c r="D633" s="81" t="s">
        <v>213</v>
      </c>
      <c r="E633" s="81"/>
      <c r="F633" s="81"/>
      <c r="G633" s="81" t="s">
        <v>40</v>
      </c>
      <c r="H633" s="81"/>
      <c r="I633" s="56">
        <v>581</v>
      </c>
      <c r="J633" s="56">
        <v>523</v>
      </c>
      <c r="K633" s="57">
        <v>485</v>
      </c>
      <c r="L633" s="57">
        <v>436</v>
      </c>
      <c r="M633" s="84"/>
      <c r="N633" s="64">
        <v>515</v>
      </c>
      <c r="O633" s="64">
        <v>460</v>
      </c>
      <c r="P633" s="64">
        <v>385</v>
      </c>
      <c r="Q633" s="44" t="s">
        <v>42</v>
      </c>
      <c r="R633" s="69"/>
      <c r="S633" s="44" t="s">
        <v>446</v>
      </c>
      <c r="T633" s="45" t="s">
        <v>1988</v>
      </c>
      <c r="U633" s="45">
        <v>33120401301</v>
      </c>
      <c r="V633" s="43" t="s">
        <v>1989</v>
      </c>
      <c r="W633" s="43" t="s">
        <v>43</v>
      </c>
      <c r="X633" s="71" t="s">
        <v>43</v>
      </c>
      <c r="Y633" s="71" t="s">
        <v>40</v>
      </c>
      <c r="Z633" s="48" t="s">
        <v>43</v>
      </c>
      <c r="AA633" s="75">
        <v>2495</v>
      </c>
      <c r="AB633" s="75">
        <v>2250</v>
      </c>
      <c r="AC633" s="80">
        <v>2195</v>
      </c>
      <c r="AD633" s="80">
        <v>1975</v>
      </c>
      <c r="AE633" s="80">
        <v>1680</v>
      </c>
      <c r="AF633" s="79">
        <f t="shared" si="60"/>
        <v>11</v>
      </c>
      <c r="AG633" s="79" t="str">
        <f t="shared" si="61"/>
        <v>阴茎畸型整形费</v>
      </c>
      <c r="AH633" s="79">
        <f t="shared" si="62"/>
        <v>2225</v>
      </c>
      <c r="AI633" s="79">
        <f t="shared" si="63"/>
        <v>1999</v>
      </c>
      <c r="AJ633" s="79">
        <f t="shared" si="64"/>
        <v>1675</v>
      </c>
    </row>
    <row r="634" s="33" customFormat="1" ht="19" customHeight="1" spans="1:36">
      <c r="A634" s="81" t="s">
        <v>81</v>
      </c>
      <c r="B634" s="114" t="s">
        <v>1984</v>
      </c>
      <c r="C634" s="81" t="s">
        <v>1985</v>
      </c>
      <c r="D634" s="81" t="s">
        <v>213</v>
      </c>
      <c r="E634" s="81"/>
      <c r="F634" s="81"/>
      <c r="G634" s="81" t="s">
        <v>40</v>
      </c>
      <c r="H634" s="81"/>
      <c r="I634" s="56">
        <v>581</v>
      </c>
      <c r="J634" s="56">
        <v>523</v>
      </c>
      <c r="K634" s="57">
        <v>485</v>
      </c>
      <c r="L634" s="57">
        <v>436</v>
      </c>
      <c r="M634" s="84"/>
      <c r="N634" s="64">
        <v>515</v>
      </c>
      <c r="O634" s="64">
        <v>460</v>
      </c>
      <c r="P634" s="64">
        <v>385</v>
      </c>
      <c r="Q634" s="44" t="s">
        <v>42</v>
      </c>
      <c r="R634" s="69"/>
      <c r="S634" s="44" t="s">
        <v>446</v>
      </c>
      <c r="T634" s="45" t="s">
        <v>1990</v>
      </c>
      <c r="U634" s="45">
        <v>33120401502</v>
      </c>
      <c r="V634" s="45" t="s">
        <v>1991</v>
      </c>
      <c r="W634" s="43" t="s">
        <v>43</v>
      </c>
      <c r="X634" s="71" t="s">
        <v>43</v>
      </c>
      <c r="Y634" s="71" t="s">
        <v>40</v>
      </c>
      <c r="Z634" s="48" t="s">
        <v>43</v>
      </c>
      <c r="AA634" s="75">
        <v>3745</v>
      </c>
      <c r="AB634" s="75">
        <v>3365</v>
      </c>
      <c r="AC634" s="80">
        <v>3290</v>
      </c>
      <c r="AD634" s="80">
        <v>2965</v>
      </c>
      <c r="AE634" s="80">
        <v>2520</v>
      </c>
      <c r="AF634" s="79">
        <f t="shared" si="60"/>
        <v>11</v>
      </c>
      <c r="AG634" s="79" t="str">
        <f t="shared" si="61"/>
        <v>阴茎畸型整形费</v>
      </c>
      <c r="AH634" s="79">
        <f t="shared" si="62"/>
        <v>2225</v>
      </c>
      <c r="AI634" s="79">
        <f t="shared" si="63"/>
        <v>1999</v>
      </c>
      <c r="AJ634" s="79">
        <f t="shared" si="64"/>
        <v>1675</v>
      </c>
    </row>
    <row r="635" s="33" customFormat="1" ht="19" customHeight="1" spans="1:36">
      <c r="A635" s="81" t="s">
        <v>81</v>
      </c>
      <c r="B635" s="114" t="s">
        <v>1984</v>
      </c>
      <c r="C635" s="81" t="s">
        <v>1985</v>
      </c>
      <c r="D635" s="81" t="s">
        <v>213</v>
      </c>
      <c r="E635" s="81"/>
      <c r="F635" s="81"/>
      <c r="G635" s="81" t="s">
        <v>40</v>
      </c>
      <c r="H635" s="81"/>
      <c r="I635" s="56">
        <v>581</v>
      </c>
      <c r="J635" s="56">
        <v>523</v>
      </c>
      <c r="K635" s="57">
        <v>485</v>
      </c>
      <c r="L635" s="57">
        <v>436</v>
      </c>
      <c r="M635" s="84"/>
      <c r="N635" s="64">
        <v>515</v>
      </c>
      <c r="O635" s="64">
        <v>460</v>
      </c>
      <c r="P635" s="64">
        <v>385</v>
      </c>
      <c r="Q635" s="44" t="s">
        <v>42</v>
      </c>
      <c r="R635" s="69"/>
      <c r="S635" s="44" t="s">
        <v>446</v>
      </c>
      <c r="T635" s="45" t="s">
        <v>1992</v>
      </c>
      <c r="U635" s="45">
        <v>33120401503</v>
      </c>
      <c r="V635" s="45" t="s">
        <v>1993</v>
      </c>
      <c r="W635" s="43" t="s">
        <v>43</v>
      </c>
      <c r="X635" s="71" t="s">
        <v>43</v>
      </c>
      <c r="Y635" s="71" t="s">
        <v>40</v>
      </c>
      <c r="Z635" s="48" t="s">
        <v>1975</v>
      </c>
      <c r="AA635" s="75">
        <v>4680</v>
      </c>
      <c r="AB635" s="75">
        <v>4210</v>
      </c>
      <c r="AC635" s="80">
        <v>4135</v>
      </c>
      <c r="AD635" s="80">
        <v>3725</v>
      </c>
      <c r="AE635" s="80">
        <v>3165</v>
      </c>
      <c r="AF635" s="79">
        <f t="shared" si="60"/>
        <v>11</v>
      </c>
      <c r="AG635" s="79" t="str">
        <f t="shared" si="61"/>
        <v>阴茎畸型整形费</v>
      </c>
      <c r="AH635" s="79">
        <f t="shared" si="62"/>
        <v>2225</v>
      </c>
      <c r="AI635" s="79">
        <f t="shared" si="63"/>
        <v>1999</v>
      </c>
      <c r="AJ635" s="79">
        <f t="shared" si="64"/>
        <v>1675</v>
      </c>
    </row>
    <row r="636" s="33" customFormat="1" ht="19" customHeight="1" spans="1:36">
      <c r="A636" s="81" t="s">
        <v>81</v>
      </c>
      <c r="B636" s="114" t="s">
        <v>1984</v>
      </c>
      <c r="C636" s="81" t="s">
        <v>1985</v>
      </c>
      <c r="D636" s="81" t="s">
        <v>213</v>
      </c>
      <c r="E636" s="81"/>
      <c r="F636" s="81"/>
      <c r="G636" s="81" t="s">
        <v>40</v>
      </c>
      <c r="H636" s="81"/>
      <c r="I636" s="56">
        <v>581</v>
      </c>
      <c r="J636" s="56">
        <v>523</v>
      </c>
      <c r="K636" s="57">
        <v>485</v>
      </c>
      <c r="L636" s="57">
        <v>436</v>
      </c>
      <c r="M636" s="84"/>
      <c r="N636" s="64">
        <v>515</v>
      </c>
      <c r="O636" s="64">
        <v>460</v>
      </c>
      <c r="P636" s="64">
        <v>385</v>
      </c>
      <c r="Q636" s="44" t="s">
        <v>42</v>
      </c>
      <c r="R636" s="69"/>
      <c r="S636" s="44" t="s">
        <v>446</v>
      </c>
      <c r="T636" s="45" t="s">
        <v>1994</v>
      </c>
      <c r="U636" s="45">
        <v>33120401001</v>
      </c>
      <c r="V636" s="43" t="s">
        <v>1995</v>
      </c>
      <c r="W636" s="43" t="s">
        <v>43</v>
      </c>
      <c r="X636" s="71" t="s">
        <v>43</v>
      </c>
      <c r="Y636" s="71" t="s">
        <v>40</v>
      </c>
      <c r="Z636" s="48" t="s">
        <v>43</v>
      </c>
      <c r="AA636" s="75">
        <v>4500</v>
      </c>
      <c r="AB636" s="75">
        <v>4045</v>
      </c>
      <c r="AC636" s="80">
        <v>3950</v>
      </c>
      <c r="AD636" s="80">
        <v>3560</v>
      </c>
      <c r="AE636" s="80">
        <v>3025</v>
      </c>
      <c r="AF636" s="79">
        <f t="shared" si="60"/>
        <v>11</v>
      </c>
      <c r="AG636" s="79" t="str">
        <f t="shared" si="61"/>
        <v>阴茎畸型整形费</v>
      </c>
      <c r="AH636" s="79">
        <f t="shared" si="62"/>
        <v>2225</v>
      </c>
      <c r="AI636" s="79">
        <f t="shared" si="63"/>
        <v>1999</v>
      </c>
      <c r="AJ636" s="79">
        <f t="shared" si="64"/>
        <v>1675</v>
      </c>
    </row>
    <row r="637" s="33" customFormat="1" ht="19" customHeight="1" spans="1:36">
      <c r="A637" s="81" t="s">
        <v>81</v>
      </c>
      <c r="B637" s="114" t="s">
        <v>1984</v>
      </c>
      <c r="C637" s="81" t="s">
        <v>1985</v>
      </c>
      <c r="D637" s="81" t="s">
        <v>213</v>
      </c>
      <c r="E637" s="81"/>
      <c r="F637" s="81"/>
      <c r="G637" s="81" t="s">
        <v>40</v>
      </c>
      <c r="H637" s="81"/>
      <c r="I637" s="56">
        <v>581</v>
      </c>
      <c r="J637" s="56">
        <v>523</v>
      </c>
      <c r="K637" s="57">
        <v>485</v>
      </c>
      <c r="L637" s="57">
        <v>436</v>
      </c>
      <c r="M637" s="84"/>
      <c r="N637" s="64">
        <v>515</v>
      </c>
      <c r="O637" s="64">
        <v>460</v>
      </c>
      <c r="P637" s="64">
        <v>385</v>
      </c>
      <c r="Q637" s="44" t="s">
        <v>42</v>
      </c>
      <c r="R637" s="69"/>
      <c r="S637" s="44" t="s">
        <v>446</v>
      </c>
      <c r="T637" s="45" t="s">
        <v>1996</v>
      </c>
      <c r="U637" s="45">
        <v>33120401701</v>
      </c>
      <c r="V637" s="45" t="s">
        <v>1997</v>
      </c>
      <c r="W637" s="43" t="s">
        <v>43</v>
      </c>
      <c r="X637" s="71" t="s">
        <v>43</v>
      </c>
      <c r="Y637" s="71" t="s">
        <v>40</v>
      </c>
      <c r="Z637" s="48" t="s">
        <v>43</v>
      </c>
      <c r="AA637" s="75">
        <v>3745</v>
      </c>
      <c r="AB637" s="75">
        <v>3365</v>
      </c>
      <c r="AC637" s="80">
        <v>3290</v>
      </c>
      <c r="AD637" s="80">
        <v>2965</v>
      </c>
      <c r="AE637" s="80">
        <v>2520</v>
      </c>
      <c r="AF637" s="79">
        <f t="shared" si="60"/>
        <v>11</v>
      </c>
      <c r="AG637" s="79" t="str">
        <f t="shared" si="61"/>
        <v>阴茎畸型整形费</v>
      </c>
      <c r="AH637" s="79">
        <f t="shared" si="62"/>
        <v>2225</v>
      </c>
      <c r="AI637" s="79">
        <f t="shared" si="63"/>
        <v>1999</v>
      </c>
      <c r="AJ637" s="79">
        <f t="shared" si="64"/>
        <v>1675</v>
      </c>
    </row>
    <row r="638" s="33" customFormat="1" ht="19" customHeight="1" spans="1:36">
      <c r="A638" s="81" t="s">
        <v>81</v>
      </c>
      <c r="B638" s="114" t="s">
        <v>1984</v>
      </c>
      <c r="C638" s="81" t="s">
        <v>1985</v>
      </c>
      <c r="D638" s="81" t="s">
        <v>213</v>
      </c>
      <c r="E638" s="81"/>
      <c r="F638" s="81"/>
      <c r="G638" s="81" t="s">
        <v>40</v>
      </c>
      <c r="H638" s="81"/>
      <c r="I638" s="56">
        <v>581</v>
      </c>
      <c r="J638" s="56">
        <v>523</v>
      </c>
      <c r="K638" s="57">
        <v>485</v>
      </c>
      <c r="L638" s="57">
        <v>436</v>
      </c>
      <c r="M638" s="84"/>
      <c r="N638" s="64">
        <v>515</v>
      </c>
      <c r="O638" s="64">
        <v>460</v>
      </c>
      <c r="P638" s="64">
        <v>385</v>
      </c>
      <c r="Q638" s="44" t="s">
        <v>42</v>
      </c>
      <c r="R638" s="69"/>
      <c r="S638" s="44" t="s">
        <v>446</v>
      </c>
      <c r="T638" s="45" t="s">
        <v>1998</v>
      </c>
      <c r="U638" s="45">
        <v>33120401901</v>
      </c>
      <c r="V638" s="45" t="s">
        <v>1999</v>
      </c>
      <c r="W638" s="43" t="s">
        <v>43</v>
      </c>
      <c r="X638" s="71" t="s">
        <v>43</v>
      </c>
      <c r="Y638" s="71" t="s">
        <v>40</v>
      </c>
      <c r="Z638" s="48" t="s">
        <v>43</v>
      </c>
      <c r="AA638" s="75">
        <v>1585</v>
      </c>
      <c r="AB638" s="75">
        <v>1415</v>
      </c>
      <c r="AC638" s="80">
        <v>1465</v>
      </c>
      <c r="AD638" s="80">
        <v>1405</v>
      </c>
      <c r="AE638" s="80">
        <v>1195</v>
      </c>
      <c r="AF638" s="79">
        <f t="shared" si="60"/>
        <v>11</v>
      </c>
      <c r="AG638" s="79" t="str">
        <f t="shared" si="61"/>
        <v>阴茎畸型整形费</v>
      </c>
      <c r="AH638" s="79">
        <f t="shared" si="62"/>
        <v>2225</v>
      </c>
      <c r="AI638" s="79">
        <f t="shared" si="63"/>
        <v>1999</v>
      </c>
      <c r="AJ638" s="79">
        <f t="shared" si="64"/>
        <v>1675</v>
      </c>
    </row>
    <row r="639" s="33" customFormat="1" ht="32" customHeight="1" spans="1:36">
      <c r="A639" s="44">
        <v>103</v>
      </c>
      <c r="B639" s="44" t="s">
        <v>2000</v>
      </c>
      <c r="C639" s="44" t="s">
        <v>2001</v>
      </c>
      <c r="D639" s="44" t="s">
        <v>213</v>
      </c>
      <c r="E639" s="44" t="s">
        <v>2002</v>
      </c>
      <c r="F639" s="44" t="s">
        <v>2003</v>
      </c>
      <c r="G639" s="44" t="s">
        <v>40</v>
      </c>
      <c r="H639" s="44"/>
      <c r="I639" s="56">
        <v>1220</v>
      </c>
      <c r="J639" s="56">
        <v>1098</v>
      </c>
      <c r="K639" s="55"/>
      <c r="L639" s="55"/>
      <c r="M639" s="55"/>
      <c r="N639" s="64">
        <v>1100</v>
      </c>
      <c r="O639" s="64">
        <v>990</v>
      </c>
      <c r="P639" s="64">
        <v>840</v>
      </c>
      <c r="Q639" s="44" t="s">
        <v>42</v>
      </c>
      <c r="R639" s="70" t="s">
        <v>67</v>
      </c>
      <c r="S639" s="44" t="s">
        <v>566</v>
      </c>
      <c r="T639" s="43" t="s">
        <v>2004</v>
      </c>
      <c r="U639" s="71">
        <v>331204018</v>
      </c>
      <c r="V639" s="43" t="s">
        <v>2005</v>
      </c>
      <c r="W639" s="43" t="s">
        <v>43</v>
      </c>
      <c r="X639" s="71" t="s">
        <v>43</v>
      </c>
      <c r="Y639" s="71" t="s">
        <v>40</v>
      </c>
      <c r="Z639" s="48" t="s">
        <v>43</v>
      </c>
      <c r="AA639" s="75">
        <v>1080</v>
      </c>
      <c r="AB639" s="75">
        <v>970</v>
      </c>
      <c r="AC639" s="80">
        <v>1000</v>
      </c>
      <c r="AD639" s="80">
        <v>960</v>
      </c>
      <c r="AE639" s="80">
        <v>816</v>
      </c>
      <c r="AF639" s="79">
        <f t="shared" si="60"/>
        <v>0</v>
      </c>
      <c r="AG639" s="79" t="str">
        <f t="shared" si="61"/>
        <v>尿道阴茎海绵体分流费</v>
      </c>
      <c r="AH639" s="79">
        <f t="shared" si="62"/>
        <v>1100</v>
      </c>
      <c r="AI639" s="79">
        <f t="shared" si="63"/>
        <v>990</v>
      </c>
      <c r="AJ639" s="79">
        <f t="shared" si="64"/>
        <v>840</v>
      </c>
    </row>
    <row r="640" s="33" customFormat="1" ht="32" customHeight="1" spans="1:36">
      <c r="A640" s="44">
        <v>103</v>
      </c>
      <c r="B640" s="44" t="s">
        <v>2000</v>
      </c>
      <c r="C640" s="44" t="s">
        <v>2001</v>
      </c>
      <c r="D640" s="44" t="s">
        <v>213</v>
      </c>
      <c r="E640" s="44" t="s">
        <v>2002</v>
      </c>
      <c r="F640" s="44" t="s">
        <v>2003</v>
      </c>
      <c r="G640" s="44" t="s">
        <v>40</v>
      </c>
      <c r="H640" s="44"/>
      <c r="I640" s="56">
        <v>1220</v>
      </c>
      <c r="J640" s="56">
        <v>1098</v>
      </c>
      <c r="K640" s="55"/>
      <c r="L640" s="55"/>
      <c r="M640" s="55"/>
      <c r="N640" s="64">
        <v>1100</v>
      </c>
      <c r="O640" s="64">
        <v>990</v>
      </c>
      <c r="P640" s="64">
        <v>840</v>
      </c>
      <c r="Q640" s="44" t="s">
        <v>42</v>
      </c>
      <c r="R640" s="70" t="s">
        <v>67</v>
      </c>
      <c r="S640" s="44" t="s">
        <v>566</v>
      </c>
      <c r="T640" s="43" t="s">
        <v>2006</v>
      </c>
      <c r="U640" s="71">
        <v>331204016</v>
      </c>
      <c r="V640" s="43" t="s">
        <v>2007</v>
      </c>
      <c r="W640" s="43" t="s">
        <v>43</v>
      </c>
      <c r="X640" s="71" t="s">
        <v>43</v>
      </c>
      <c r="Y640" s="71" t="s">
        <v>40</v>
      </c>
      <c r="Z640" s="48" t="s">
        <v>43</v>
      </c>
      <c r="AA640" s="75">
        <v>1220</v>
      </c>
      <c r="AB640" s="75">
        <v>1090</v>
      </c>
      <c r="AC640" s="80">
        <v>1125</v>
      </c>
      <c r="AD640" s="80">
        <v>1080</v>
      </c>
      <c r="AE640" s="80">
        <v>918</v>
      </c>
      <c r="AF640" s="79">
        <f t="shared" si="60"/>
        <v>0</v>
      </c>
      <c r="AG640" s="79" t="str">
        <f t="shared" si="61"/>
        <v>尿道阴茎海绵体分流费</v>
      </c>
      <c r="AH640" s="79">
        <f t="shared" si="62"/>
        <v>1100</v>
      </c>
      <c r="AI640" s="79">
        <f t="shared" si="63"/>
        <v>990</v>
      </c>
      <c r="AJ640" s="79">
        <f t="shared" si="64"/>
        <v>840</v>
      </c>
    </row>
    <row r="641" s="30" customFormat="1" ht="18" customHeight="1" spans="1:36">
      <c r="A641" s="81" t="s">
        <v>81</v>
      </c>
      <c r="B641" s="81" t="s">
        <v>2008</v>
      </c>
      <c r="C641" s="81" t="s">
        <v>2009</v>
      </c>
      <c r="D641" s="81" t="s">
        <v>213</v>
      </c>
      <c r="E641" s="81"/>
      <c r="F641" s="81"/>
      <c r="G641" s="81" t="s">
        <v>40</v>
      </c>
      <c r="H641" s="81"/>
      <c r="I641" s="56">
        <v>366</v>
      </c>
      <c r="J641" s="56">
        <v>329</v>
      </c>
      <c r="K641" s="54"/>
      <c r="L641" s="54"/>
      <c r="M641" s="54"/>
      <c r="N641" s="64">
        <v>330</v>
      </c>
      <c r="O641" s="64">
        <v>295</v>
      </c>
      <c r="P641" s="64">
        <v>250</v>
      </c>
      <c r="Q641" s="44" t="s">
        <v>42</v>
      </c>
      <c r="R641" s="69"/>
      <c r="S641" s="44" t="s">
        <v>446</v>
      </c>
      <c r="T641" s="45" t="s">
        <v>2010</v>
      </c>
      <c r="U641" s="45">
        <v>33120401801</v>
      </c>
      <c r="V641" s="45" t="s">
        <v>2011</v>
      </c>
      <c r="W641" s="43" t="s">
        <v>43</v>
      </c>
      <c r="X641" s="71" t="s">
        <v>43</v>
      </c>
      <c r="Y641" s="71" t="s">
        <v>40</v>
      </c>
      <c r="Z641" s="48" t="s">
        <v>43</v>
      </c>
      <c r="AA641" s="75">
        <v>1405</v>
      </c>
      <c r="AB641" s="75">
        <v>1260</v>
      </c>
      <c r="AC641" s="80">
        <v>1300</v>
      </c>
      <c r="AD641" s="80">
        <v>1250</v>
      </c>
      <c r="AE641" s="80">
        <v>1065</v>
      </c>
      <c r="AF641" s="79">
        <f t="shared" si="60"/>
        <v>14</v>
      </c>
      <c r="AG641" s="79" t="str">
        <f t="shared" si="61"/>
        <v>尿道阴茎海绵体分流费</v>
      </c>
      <c r="AH641" s="79">
        <f t="shared" si="62"/>
        <v>1430</v>
      </c>
      <c r="AI641" s="79">
        <f t="shared" si="63"/>
        <v>1285</v>
      </c>
      <c r="AJ641" s="79">
        <f t="shared" si="64"/>
        <v>1090</v>
      </c>
    </row>
    <row r="642" s="30" customFormat="1" ht="18" customHeight="1" spans="1:36">
      <c r="A642" s="81" t="s">
        <v>81</v>
      </c>
      <c r="B642" s="81" t="s">
        <v>2008</v>
      </c>
      <c r="C642" s="81" t="s">
        <v>2009</v>
      </c>
      <c r="D642" s="81" t="s">
        <v>213</v>
      </c>
      <c r="E642" s="81"/>
      <c r="F642" s="81"/>
      <c r="G642" s="81" t="s">
        <v>40</v>
      </c>
      <c r="H642" s="81"/>
      <c r="I642" s="56">
        <v>366</v>
      </c>
      <c r="J642" s="56">
        <v>329</v>
      </c>
      <c r="K642" s="54"/>
      <c r="L642" s="54"/>
      <c r="M642" s="54"/>
      <c r="N642" s="64">
        <v>330</v>
      </c>
      <c r="O642" s="64">
        <v>295</v>
      </c>
      <c r="P642" s="64">
        <v>250</v>
      </c>
      <c r="Q642" s="44" t="s">
        <v>42</v>
      </c>
      <c r="R642" s="69"/>
      <c r="S642" s="44" t="s">
        <v>446</v>
      </c>
      <c r="T642" s="45" t="s">
        <v>2012</v>
      </c>
      <c r="U642" s="45">
        <v>33120401601</v>
      </c>
      <c r="V642" s="45" t="s">
        <v>2013</v>
      </c>
      <c r="W642" s="43" t="s">
        <v>43</v>
      </c>
      <c r="X642" s="71" t="s">
        <v>43</v>
      </c>
      <c r="Y642" s="71" t="s">
        <v>40</v>
      </c>
      <c r="Z642" s="48" t="s">
        <v>43</v>
      </c>
      <c r="AA642" s="75">
        <v>1585</v>
      </c>
      <c r="AB642" s="75">
        <v>1415</v>
      </c>
      <c r="AC642" s="80">
        <v>1465</v>
      </c>
      <c r="AD642" s="80">
        <v>1405</v>
      </c>
      <c r="AE642" s="80">
        <v>1195</v>
      </c>
      <c r="AF642" s="79">
        <f t="shared" si="60"/>
        <v>14</v>
      </c>
      <c r="AG642" s="79" t="str">
        <f t="shared" si="61"/>
        <v>尿道阴茎海绵体分流费</v>
      </c>
      <c r="AH642" s="79">
        <f t="shared" si="62"/>
        <v>1430</v>
      </c>
      <c r="AI642" s="79">
        <f t="shared" si="63"/>
        <v>1285</v>
      </c>
      <c r="AJ642" s="79">
        <f t="shared" si="64"/>
        <v>1090</v>
      </c>
    </row>
    <row r="643" s="30" customFormat="1" ht="62" customHeight="1" spans="1:36">
      <c r="A643" s="45">
        <v>104</v>
      </c>
      <c r="B643" s="45" t="s">
        <v>2014</v>
      </c>
      <c r="C643" s="45" t="s">
        <v>2015</v>
      </c>
      <c r="D643" s="45" t="s">
        <v>213</v>
      </c>
      <c r="E643" s="49" t="s">
        <v>2016</v>
      </c>
      <c r="F643" s="49" t="s">
        <v>2017</v>
      </c>
      <c r="G643" s="45" t="s">
        <v>40</v>
      </c>
      <c r="H643" s="49" t="s">
        <v>43</v>
      </c>
      <c r="I643" s="53">
        <v>380</v>
      </c>
      <c r="J643" s="53">
        <v>342</v>
      </c>
      <c r="K643" s="55"/>
      <c r="L643" s="55"/>
      <c r="M643" s="55"/>
      <c r="N643" s="63">
        <v>345</v>
      </c>
      <c r="O643" s="63">
        <v>310</v>
      </c>
      <c r="P643" s="63">
        <v>265</v>
      </c>
      <c r="Q643" s="45" t="s">
        <v>54</v>
      </c>
      <c r="R643" s="69" t="s">
        <v>99</v>
      </c>
      <c r="S643" s="49" t="s">
        <v>2085</v>
      </c>
      <c r="T643" s="45" t="s">
        <v>2019</v>
      </c>
      <c r="U643" s="45">
        <v>331204004</v>
      </c>
      <c r="V643" s="45" t="s">
        <v>2020</v>
      </c>
      <c r="W643" s="43" t="s">
        <v>43</v>
      </c>
      <c r="X643" s="71" t="s">
        <v>43</v>
      </c>
      <c r="Y643" s="71" t="s">
        <v>40</v>
      </c>
      <c r="Z643" s="48" t="s">
        <v>43</v>
      </c>
      <c r="AA643" s="75">
        <v>250</v>
      </c>
      <c r="AB643" s="75">
        <v>225</v>
      </c>
      <c r="AC643" s="80">
        <v>250</v>
      </c>
      <c r="AD643" s="80">
        <v>240</v>
      </c>
      <c r="AE643" s="80">
        <v>204</v>
      </c>
      <c r="AF643" s="79">
        <f t="shared" si="60"/>
        <v>0</v>
      </c>
      <c r="AG643" s="79" t="str">
        <f t="shared" si="61"/>
        <v>阴茎损伤修补费</v>
      </c>
      <c r="AH643" s="79">
        <f t="shared" si="62"/>
        <v>345</v>
      </c>
      <c r="AI643" s="79">
        <f t="shared" si="63"/>
        <v>310</v>
      </c>
      <c r="AJ643" s="79">
        <f t="shared" si="64"/>
        <v>265</v>
      </c>
    </row>
    <row r="644" s="30" customFormat="1" ht="34" customHeight="1" spans="1:36">
      <c r="A644" s="43" t="s">
        <v>81</v>
      </c>
      <c r="B644" s="43" t="s">
        <v>2021</v>
      </c>
      <c r="C644" s="43" t="s">
        <v>2022</v>
      </c>
      <c r="D644" s="43" t="s">
        <v>213</v>
      </c>
      <c r="E644" s="48" t="s">
        <v>43</v>
      </c>
      <c r="F644" s="48" t="s">
        <v>43</v>
      </c>
      <c r="G644" s="43" t="s">
        <v>40</v>
      </c>
      <c r="H644" s="48" t="s">
        <v>43</v>
      </c>
      <c r="I644" s="53">
        <v>114</v>
      </c>
      <c r="J644" s="53">
        <v>103</v>
      </c>
      <c r="K644" s="54"/>
      <c r="L644" s="54"/>
      <c r="M644" s="54"/>
      <c r="N644" s="63">
        <v>105</v>
      </c>
      <c r="O644" s="63">
        <v>93</v>
      </c>
      <c r="P644" s="63">
        <v>80</v>
      </c>
      <c r="Q644" s="45" t="s">
        <v>54</v>
      </c>
      <c r="R644" s="69"/>
      <c r="S644" s="49" t="s">
        <v>446</v>
      </c>
      <c r="T644" s="45" t="s">
        <v>2023</v>
      </c>
      <c r="U644" s="45">
        <v>33120400401</v>
      </c>
      <c r="V644" s="45" t="s">
        <v>2024</v>
      </c>
      <c r="W644" s="43" t="s">
        <v>43</v>
      </c>
      <c r="X644" s="71" t="s">
        <v>43</v>
      </c>
      <c r="Y644" s="71" t="s">
        <v>40</v>
      </c>
      <c r="Z644" s="48" t="s">
        <v>43</v>
      </c>
      <c r="AA644" s="75">
        <v>325</v>
      </c>
      <c r="AB644" s="75">
        <v>295</v>
      </c>
      <c r="AC644" s="80">
        <v>325</v>
      </c>
      <c r="AD644" s="80">
        <v>310</v>
      </c>
      <c r="AE644" s="80">
        <v>265</v>
      </c>
      <c r="AF644" s="79">
        <f t="shared" si="60"/>
        <v>11</v>
      </c>
      <c r="AG644" s="79" t="str">
        <f t="shared" si="61"/>
        <v>阴茎损伤修补费</v>
      </c>
      <c r="AH644" s="79">
        <f t="shared" si="62"/>
        <v>450</v>
      </c>
      <c r="AI644" s="79">
        <f t="shared" si="63"/>
        <v>403</v>
      </c>
      <c r="AJ644" s="79">
        <f t="shared" si="64"/>
        <v>345</v>
      </c>
    </row>
    <row r="645" ht="33" customHeight="1" spans="1:36">
      <c r="A645" s="44">
        <v>105</v>
      </c>
      <c r="B645" s="44" t="s">
        <v>2025</v>
      </c>
      <c r="C645" s="44" t="s">
        <v>2026</v>
      </c>
      <c r="D645" s="44" t="s">
        <v>127</v>
      </c>
      <c r="E645" s="44" t="s">
        <v>2027</v>
      </c>
      <c r="F645" s="44" t="s">
        <v>2028</v>
      </c>
      <c r="G645" s="44" t="s">
        <v>40</v>
      </c>
      <c r="H645" s="44"/>
      <c r="I645" s="56">
        <v>55</v>
      </c>
      <c r="J645" s="56">
        <v>50</v>
      </c>
      <c r="K645" s="57">
        <v>55</v>
      </c>
      <c r="L645" s="57">
        <v>50</v>
      </c>
      <c r="M645" s="57">
        <v>42.5</v>
      </c>
      <c r="N645" s="64">
        <v>55</v>
      </c>
      <c r="O645" s="64">
        <v>50</v>
      </c>
      <c r="P645" s="64">
        <v>43</v>
      </c>
      <c r="Q645" s="44" t="s">
        <v>54</v>
      </c>
      <c r="R645" s="70" t="s">
        <v>55</v>
      </c>
      <c r="S645" s="44" t="s">
        <v>2030</v>
      </c>
      <c r="T645" s="43" t="s">
        <v>2031</v>
      </c>
      <c r="U645" s="71">
        <v>311100001</v>
      </c>
      <c r="V645" s="43" t="s">
        <v>2032</v>
      </c>
      <c r="W645" s="43" t="s">
        <v>43</v>
      </c>
      <c r="X645" s="71" t="s">
        <v>288</v>
      </c>
      <c r="Y645" s="71" t="s">
        <v>40</v>
      </c>
      <c r="Z645" s="48" t="s">
        <v>43</v>
      </c>
      <c r="AA645" s="75">
        <v>55</v>
      </c>
      <c r="AB645" s="75">
        <v>50</v>
      </c>
      <c r="AC645" s="80">
        <v>55</v>
      </c>
      <c r="AD645" s="80">
        <v>50</v>
      </c>
      <c r="AE645" s="80">
        <v>42.5</v>
      </c>
      <c r="AF645" s="79">
        <f t="shared" si="60"/>
        <v>0</v>
      </c>
      <c r="AG645" s="79" t="str">
        <f t="shared" si="61"/>
        <v>包皮手法复位费</v>
      </c>
      <c r="AH645" s="79">
        <f t="shared" si="62"/>
        <v>55</v>
      </c>
      <c r="AI645" s="79">
        <f t="shared" si="63"/>
        <v>50</v>
      </c>
      <c r="AJ645" s="79">
        <f t="shared" si="64"/>
        <v>43</v>
      </c>
    </row>
    <row r="646" ht="33" customHeight="1" spans="1:36">
      <c r="A646" s="44">
        <v>105</v>
      </c>
      <c r="B646" s="44" t="s">
        <v>2025</v>
      </c>
      <c r="C646" s="44" t="s">
        <v>2026</v>
      </c>
      <c r="D646" s="44" t="s">
        <v>127</v>
      </c>
      <c r="E646" s="44" t="s">
        <v>2027</v>
      </c>
      <c r="F646" s="44" t="s">
        <v>2028</v>
      </c>
      <c r="G646" s="44" t="s">
        <v>40</v>
      </c>
      <c r="H646" s="44"/>
      <c r="I646" s="56">
        <v>55</v>
      </c>
      <c r="J646" s="56">
        <v>50</v>
      </c>
      <c r="K646" s="57">
        <v>55</v>
      </c>
      <c r="L646" s="57">
        <v>50</v>
      </c>
      <c r="M646" s="57">
        <v>42.5</v>
      </c>
      <c r="N646" s="64">
        <v>55</v>
      </c>
      <c r="O646" s="64">
        <v>50</v>
      </c>
      <c r="P646" s="64">
        <v>43</v>
      </c>
      <c r="Q646" s="44" t="s">
        <v>54</v>
      </c>
      <c r="R646" s="70" t="s">
        <v>55</v>
      </c>
      <c r="S646" s="44" t="s">
        <v>2030</v>
      </c>
      <c r="T646" s="43" t="s">
        <v>2033</v>
      </c>
      <c r="U646" s="71">
        <v>311100002</v>
      </c>
      <c r="V646" s="43" t="s">
        <v>2034</v>
      </c>
      <c r="W646" s="43" t="s">
        <v>43</v>
      </c>
      <c r="X646" s="71" t="s">
        <v>43</v>
      </c>
      <c r="Y646" s="71" t="s">
        <v>40</v>
      </c>
      <c r="Z646" s="48" t="s">
        <v>43</v>
      </c>
      <c r="AA646" s="75">
        <v>55</v>
      </c>
      <c r="AB646" s="75">
        <v>50</v>
      </c>
      <c r="AC646" s="80">
        <v>55</v>
      </c>
      <c r="AD646" s="80">
        <v>50</v>
      </c>
      <c r="AE646" s="80">
        <v>42.5</v>
      </c>
      <c r="AF646" s="79">
        <f>IFERROR(FIND("（加收）",C646,1),0)</f>
        <v>0</v>
      </c>
      <c r="AG646" s="79" t="str">
        <f>IF(AF646&gt;0,LEFT(C646,IFERROR(FIND("-",C646,1),1)-1),C646)</f>
        <v>包皮手法复位费</v>
      </c>
      <c r="AH646" s="79">
        <f t="shared" si="62"/>
        <v>55</v>
      </c>
      <c r="AI646" s="79">
        <f t="shared" si="63"/>
        <v>50</v>
      </c>
      <c r="AJ646" s="79">
        <f t="shared" si="64"/>
        <v>43</v>
      </c>
    </row>
    <row r="647" ht="44" customHeight="1" spans="1:36">
      <c r="A647" s="44">
        <v>106</v>
      </c>
      <c r="B647" s="44" t="s">
        <v>2035</v>
      </c>
      <c r="C647" s="44" t="s">
        <v>2036</v>
      </c>
      <c r="D647" s="44" t="s">
        <v>213</v>
      </c>
      <c r="E647" s="44" t="s">
        <v>2037</v>
      </c>
      <c r="F647" s="44" t="s">
        <v>2038</v>
      </c>
      <c r="G647" s="44" t="s">
        <v>40</v>
      </c>
      <c r="H647" s="44"/>
      <c r="I647" s="56">
        <v>250</v>
      </c>
      <c r="J647" s="56">
        <v>225</v>
      </c>
      <c r="K647" s="57">
        <v>250</v>
      </c>
      <c r="L647" s="57">
        <v>240</v>
      </c>
      <c r="M647" s="57">
        <v>204</v>
      </c>
      <c r="N647" s="64">
        <v>250</v>
      </c>
      <c r="O647" s="64">
        <v>225</v>
      </c>
      <c r="P647" s="64">
        <v>190</v>
      </c>
      <c r="Q647" s="44" t="s">
        <v>54</v>
      </c>
      <c r="R647" s="70" t="s">
        <v>76</v>
      </c>
      <c r="S647" s="44" t="s">
        <v>77</v>
      </c>
      <c r="T647" s="43" t="s">
        <v>2039</v>
      </c>
      <c r="U647" s="71">
        <v>331204001</v>
      </c>
      <c r="V647" s="43" t="s">
        <v>2040</v>
      </c>
      <c r="W647" s="43" t="s">
        <v>2041</v>
      </c>
      <c r="X647" s="71" t="s">
        <v>43</v>
      </c>
      <c r="Y647" s="71" t="s">
        <v>40</v>
      </c>
      <c r="Z647" s="48" t="s">
        <v>43</v>
      </c>
      <c r="AA647" s="75">
        <v>250</v>
      </c>
      <c r="AB647" s="75">
        <v>225</v>
      </c>
      <c r="AC647" s="80">
        <v>250</v>
      </c>
      <c r="AD647" s="80">
        <v>240</v>
      </c>
      <c r="AE647" s="80">
        <v>204</v>
      </c>
      <c r="AF647" s="79">
        <f>IFERROR(FIND("（加收）",C647,1),0)</f>
        <v>0</v>
      </c>
      <c r="AG647" s="79" t="str">
        <f>IF(AF647&gt;0,LEFT(C647,IFERROR(FIND("-",C647,1),1)-1),C647)</f>
        <v>包皮整复费</v>
      </c>
      <c r="AH647" s="79">
        <f t="shared" si="62"/>
        <v>250</v>
      </c>
      <c r="AI647" s="79">
        <f t="shared" si="63"/>
        <v>225</v>
      </c>
      <c r="AJ647" s="79">
        <f t="shared" si="64"/>
        <v>190</v>
      </c>
    </row>
    <row r="648" ht="44" customHeight="1" spans="1:36">
      <c r="A648" s="44">
        <v>106</v>
      </c>
      <c r="B648" s="44" t="s">
        <v>2035</v>
      </c>
      <c r="C648" s="44" t="s">
        <v>2036</v>
      </c>
      <c r="D648" s="44" t="s">
        <v>213</v>
      </c>
      <c r="E648" s="44" t="s">
        <v>2037</v>
      </c>
      <c r="F648" s="44" t="s">
        <v>2038</v>
      </c>
      <c r="G648" s="44" t="s">
        <v>40</v>
      </c>
      <c r="H648" s="44"/>
      <c r="I648" s="56">
        <v>250</v>
      </c>
      <c r="J648" s="56">
        <v>225</v>
      </c>
      <c r="K648" s="57">
        <v>250</v>
      </c>
      <c r="L648" s="57">
        <v>240</v>
      </c>
      <c r="M648" s="57">
        <v>204</v>
      </c>
      <c r="N648" s="64">
        <v>250</v>
      </c>
      <c r="O648" s="64">
        <v>225</v>
      </c>
      <c r="P648" s="64">
        <v>190</v>
      </c>
      <c r="Q648" s="44" t="s">
        <v>54</v>
      </c>
      <c r="R648" s="70" t="s">
        <v>76</v>
      </c>
      <c r="S648" s="44" t="s">
        <v>77</v>
      </c>
      <c r="T648" s="43" t="s">
        <v>2042</v>
      </c>
      <c r="U648" s="71">
        <v>33120400101</v>
      </c>
      <c r="V648" s="43" t="s">
        <v>2043</v>
      </c>
      <c r="W648" s="43" t="s">
        <v>43</v>
      </c>
      <c r="X648" s="71" t="s">
        <v>43</v>
      </c>
      <c r="Y648" s="71" t="s">
        <v>40</v>
      </c>
      <c r="Z648" s="48" t="s">
        <v>2044</v>
      </c>
      <c r="AA648" s="75">
        <v>250</v>
      </c>
      <c r="AB648" s="75">
        <v>225</v>
      </c>
      <c r="AC648" s="80">
        <v>250</v>
      </c>
      <c r="AD648" s="80">
        <v>240</v>
      </c>
      <c r="AE648" s="80">
        <v>204</v>
      </c>
      <c r="AF648" s="79">
        <f>IFERROR(FIND("（加收）",C648,1),0)</f>
        <v>0</v>
      </c>
      <c r="AG648" s="79" t="str">
        <f>IF(AF648&gt;0,LEFT(C648,IFERROR(FIND("-",C648,1),1)-1),C648)</f>
        <v>包皮整复费</v>
      </c>
      <c r="AH648" s="79">
        <f t="shared" si="62"/>
        <v>250</v>
      </c>
      <c r="AI648" s="79">
        <f t="shared" si="63"/>
        <v>225</v>
      </c>
      <c r="AJ648" s="79">
        <f t="shared" si="64"/>
        <v>190</v>
      </c>
    </row>
    <row r="649" ht="23" customHeight="1" spans="1:36">
      <c r="A649" s="81" t="s">
        <v>81</v>
      </c>
      <c r="B649" s="81" t="s">
        <v>2045</v>
      </c>
      <c r="C649" s="81" t="s">
        <v>2046</v>
      </c>
      <c r="D649" s="81" t="s">
        <v>213</v>
      </c>
      <c r="E649" s="81"/>
      <c r="F649" s="81"/>
      <c r="G649" s="81" t="s">
        <v>40</v>
      </c>
      <c r="H649" s="81"/>
      <c r="I649" s="56">
        <v>75</v>
      </c>
      <c r="J649" s="56">
        <v>68</v>
      </c>
      <c r="K649" s="54"/>
      <c r="L649" s="82">
        <v>85</v>
      </c>
      <c r="M649" s="82">
        <v>75</v>
      </c>
      <c r="N649" s="64">
        <v>75</v>
      </c>
      <c r="O649" s="64">
        <v>68</v>
      </c>
      <c r="P649" s="64">
        <v>57</v>
      </c>
      <c r="Q649" s="44" t="s">
        <v>54</v>
      </c>
      <c r="R649" s="69"/>
      <c r="S649" s="44" t="s">
        <v>446</v>
      </c>
      <c r="T649" s="45" t="s">
        <v>2047</v>
      </c>
      <c r="U649" s="45">
        <v>33120400102</v>
      </c>
      <c r="V649" s="45" t="s">
        <v>2048</v>
      </c>
      <c r="W649" s="43" t="s">
        <v>43</v>
      </c>
      <c r="X649" s="71" t="s">
        <v>43</v>
      </c>
      <c r="Y649" s="71" t="s">
        <v>40</v>
      </c>
      <c r="Z649" s="48" t="s">
        <v>43</v>
      </c>
      <c r="AA649" s="75">
        <v>325</v>
      </c>
      <c r="AB649" s="75">
        <v>295</v>
      </c>
      <c r="AC649" s="80">
        <v>325</v>
      </c>
      <c r="AD649" s="80">
        <v>310</v>
      </c>
      <c r="AE649" s="80">
        <v>265</v>
      </c>
      <c r="AF649" s="79">
        <f>IFERROR(FIND("（加收）",C649,1),0)</f>
        <v>9</v>
      </c>
      <c r="AG649" s="79" t="str">
        <f>IF(AF649&gt;0,LEFT(C649,IFERROR(FIND("-",C649,1),1)-1),C649)</f>
        <v>包皮整复费</v>
      </c>
      <c r="AH649" s="79">
        <f t="shared" si="62"/>
        <v>325</v>
      </c>
      <c r="AI649" s="79">
        <f t="shared" si="63"/>
        <v>293</v>
      </c>
      <c r="AJ649" s="79">
        <f t="shared" si="64"/>
        <v>247</v>
      </c>
    </row>
    <row r="650" ht="23" customHeight="1" spans="1:36">
      <c r="A650" s="81" t="s">
        <v>81</v>
      </c>
      <c r="B650" s="81" t="s">
        <v>2045</v>
      </c>
      <c r="C650" s="81" t="s">
        <v>2046</v>
      </c>
      <c r="D650" s="81" t="s">
        <v>213</v>
      </c>
      <c r="E650" s="81"/>
      <c r="F650" s="81"/>
      <c r="G650" s="81" t="s">
        <v>40</v>
      </c>
      <c r="H650" s="81"/>
      <c r="I650" s="56">
        <v>75</v>
      </c>
      <c r="J650" s="56">
        <v>68</v>
      </c>
      <c r="K650" s="54"/>
      <c r="L650" s="82">
        <v>85</v>
      </c>
      <c r="M650" s="82">
        <v>75</v>
      </c>
      <c r="N650" s="64">
        <v>75</v>
      </c>
      <c r="O650" s="64">
        <v>68</v>
      </c>
      <c r="P650" s="64">
        <v>57</v>
      </c>
      <c r="Q650" s="44" t="s">
        <v>54</v>
      </c>
      <c r="R650" s="69"/>
      <c r="S650" s="44" t="s">
        <v>446</v>
      </c>
      <c r="T650" s="45" t="s">
        <v>2049</v>
      </c>
      <c r="U650" s="45">
        <v>33120400103</v>
      </c>
      <c r="V650" s="45" t="s">
        <v>2050</v>
      </c>
      <c r="W650" s="43" t="s">
        <v>43</v>
      </c>
      <c r="X650" s="71" t="s">
        <v>43</v>
      </c>
      <c r="Y650" s="71" t="s">
        <v>40</v>
      </c>
      <c r="Z650" s="48" t="s">
        <v>2044</v>
      </c>
      <c r="AA650" s="75">
        <v>325</v>
      </c>
      <c r="AB650" s="75">
        <v>295</v>
      </c>
      <c r="AC650" s="80">
        <v>325</v>
      </c>
      <c r="AD650" s="80">
        <v>310</v>
      </c>
      <c r="AE650" s="80">
        <v>265</v>
      </c>
      <c r="AF650" s="79">
        <f>IFERROR(FIND("（加收）",C650,1),0)</f>
        <v>9</v>
      </c>
      <c r="AG650" s="79" t="str">
        <f>IF(AF650&gt;0,LEFT(C650,IFERROR(FIND("-",C650,1),1)-1),C650)</f>
        <v>包皮整复费</v>
      </c>
      <c r="AH650" s="79">
        <f t="shared" si="62"/>
        <v>325</v>
      </c>
      <c r="AI650" s="79">
        <f t="shared" si="63"/>
        <v>293</v>
      </c>
      <c r="AJ650" s="79">
        <f t="shared" si="64"/>
        <v>247</v>
      </c>
    </row>
    <row r="651" ht="34" customHeight="1" spans="1:36">
      <c r="A651" s="44">
        <v>107</v>
      </c>
      <c r="B651" s="44" t="s">
        <v>2051</v>
      </c>
      <c r="C651" s="44" t="s">
        <v>2052</v>
      </c>
      <c r="D651" s="44" t="s">
        <v>213</v>
      </c>
      <c r="E651" s="44" t="s">
        <v>2053</v>
      </c>
      <c r="F651" s="44" t="s">
        <v>2054</v>
      </c>
      <c r="G651" s="44" t="s">
        <v>40</v>
      </c>
      <c r="H651" s="44"/>
      <c r="I651" s="56">
        <v>252</v>
      </c>
      <c r="J651" s="56">
        <v>227</v>
      </c>
      <c r="K651" s="57">
        <v>250</v>
      </c>
      <c r="L651" s="59">
        <v>240.090239133704</v>
      </c>
      <c r="M651" s="59">
        <v>204.054721030043</v>
      </c>
      <c r="N651" s="64">
        <v>250</v>
      </c>
      <c r="O651" s="64">
        <v>225</v>
      </c>
      <c r="P651" s="64">
        <v>190</v>
      </c>
      <c r="Q651" s="44" t="s">
        <v>54</v>
      </c>
      <c r="R651" s="70" t="s">
        <v>76</v>
      </c>
      <c r="S651" s="44" t="s">
        <v>2055</v>
      </c>
      <c r="T651" s="43" t="s">
        <v>2056</v>
      </c>
      <c r="U651" s="71">
        <v>331204002</v>
      </c>
      <c r="V651" s="43" t="s">
        <v>2057</v>
      </c>
      <c r="W651" s="43" t="s">
        <v>43</v>
      </c>
      <c r="X651" s="71" t="s">
        <v>43</v>
      </c>
      <c r="Y651" s="71" t="s">
        <v>40</v>
      </c>
      <c r="Z651" s="48" t="s">
        <v>43</v>
      </c>
      <c r="AA651" s="75">
        <v>250</v>
      </c>
      <c r="AB651" s="75">
        <v>225</v>
      </c>
      <c r="AC651" s="80">
        <v>250</v>
      </c>
      <c r="AD651" s="80">
        <v>240</v>
      </c>
      <c r="AE651" s="80">
        <v>204</v>
      </c>
      <c r="AF651" s="79">
        <f>IFERROR(FIND("（加收）",C651,1),0)</f>
        <v>0</v>
      </c>
      <c r="AG651" s="79" t="str">
        <f>IF(AF651&gt;0,LEFT(C651,IFERROR(FIND("-",C651,1),1)-1),C651)</f>
        <v>包皮切除费</v>
      </c>
      <c r="AH651" s="79">
        <f t="shared" si="62"/>
        <v>250</v>
      </c>
      <c r="AI651" s="79">
        <f t="shared" si="63"/>
        <v>225</v>
      </c>
      <c r="AJ651" s="79">
        <f t="shared" si="64"/>
        <v>190</v>
      </c>
    </row>
    <row r="652" ht="34" customHeight="1" spans="1:36">
      <c r="A652" s="44">
        <v>107</v>
      </c>
      <c r="B652" s="44" t="s">
        <v>2051</v>
      </c>
      <c r="C652" s="44" t="s">
        <v>2052</v>
      </c>
      <c r="D652" s="44" t="s">
        <v>213</v>
      </c>
      <c r="E652" s="44" t="s">
        <v>2053</v>
      </c>
      <c r="F652" s="44" t="s">
        <v>2054</v>
      </c>
      <c r="G652" s="44" t="s">
        <v>40</v>
      </c>
      <c r="H652" s="44"/>
      <c r="I652" s="56">
        <v>252</v>
      </c>
      <c r="J652" s="56">
        <v>227</v>
      </c>
      <c r="K652" s="57">
        <v>250</v>
      </c>
      <c r="L652" s="59">
        <v>240.090239133704</v>
      </c>
      <c r="M652" s="59">
        <v>204.054721030043</v>
      </c>
      <c r="N652" s="64">
        <v>250</v>
      </c>
      <c r="O652" s="64">
        <v>225</v>
      </c>
      <c r="P652" s="64">
        <v>190</v>
      </c>
      <c r="Q652" s="44" t="s">
        <v>54</v>
      </c>
      <c r="R652" s="70" t="s">
        <v>76</v>
      </c>
      <c r="S652" s="44" t="s">
        <v>2055</v>
      </c>
      <c r="T652" s="43" t="s">
        <v>2058</v>
      </c>
      <c r="U652" s="71">
        <v>331204003</v>
      </c>
      <c r="V652" s="43" t="s">
        <v>2059</v>
      </c>
      <c r="W652" s="43" t="s">
        <v>43</v>
      </c>
      <c r="X652" s="71" t="s">
        <v>43</v>
      </c>
      <c r="Y652" s="71" t="s">
        <v>40</v>
      </c>
      <c r="Z652" s="48" t="s">
        <v>43</v>
      </c>
      <c r="AA652" s="75">
        <v>625</v>
      </c>
      <c r="AB652" s="75">
        <v>565</v>
      </c>
      <c r="AC652" s="80">
        <v>625</v>
      </c>
      <c r="AD652" s="80">
        <v>600</v>
      </c>
      <c r="AE652" s="80">
        <v>510</v>
      </c>
      <c r="AF652" s="79">
        <f>IFERROR(FIND("（加收）",C652,1),0)</f>
        <v>0</v>
      </c>
      <c r="AG652" s="79" t="str">
        <f>IF(AF652&gt;0,LEFT(C652,IFERROR(FIND("-",C652,1),1)-1),C652)</f>
        <v>包皮切除费</v>
      </c>
      <c r="AH652" s="79">
        <f t="shared" si="62"/>
        <v>250</v>
      </c>
      <c r="AI652" s="79">
        <f t="shared" si="63"/>
        <v>225</v>
      </c>
      <c r="AJ652" s="79">
        <f t="shared" si="64"/>
        <v>190</v>
      </c>
    </row>
    <row r="653" ht="26" customHeight="1" spans="1:36">
      <c r="A653" s="47" t="s">
        <v>81</v>
      </c>
      <c r="B653" s="47" t="s">
        <v>2060</v>
      </c>
      <c r="C653" s="47" t="s">
        <v>2061</v>
      </c>
      <c r="D653" s="47" t="s">
        <v>213</v>
      </c>
      <c r="E653" s="47"/>
      <c r="F653" s="47"/>
      <c r="G653" s="47" t="s">
        <v>40</v>
      </c>
      <c r="H653" s="47"/>
      <c r="I653" s="56">
        <v>76</v>
      </c>
      <c r="J653" s="56">
        <v>68</v>
      </c>
      <c r="K653" s="57">
        <v>75</v>
      </c>
      <c r="L653" s="57">
        <v>85</v>
      </c>
      <c r="M653" s="57">
        <v>75</v>
      </c>
      <c r="N653" s="64">
        <v>75</v>
      </c>
      <c r="O653" s="64">
        <v>68</v>
      </c>
      <c r="P653" s="64">
        <v>57</v>
      </c>
      <c r="Q653" s="44" t="s">
        <v>54</v>
      </c>
      <c r="R653" s="69"/>
      <c r="S653" s="44" t="s">
        <v>446</v>
      </c>
      <c r="T653" s="45" t="s">
        <v>2062</v>
      </c>
      <c r="U653" s="45">
        <v>33120400201</v>
      </c>
      <c r="V653" s="45" t="s">
        <v>2063</v>
      </c>
      <c r="W653" s="43" t="s">
        <v>43</v>
      </c>
      <c r="X653" s="71" t="s">
        <v>43</v>
      </c>
      <c r="Y653" s="71" t="s">
        <v>40</v>
      </c>
      <c r="Z653" s="48" t="s">
        <v>43</v>
      </c>
      <c r="AA653" s="75">
        <v>325</v>
      </c>
      <c r="AB653" s="75">
        <v>295</v>
      </c>
      <c r="AC653" s="80">
        <v>325</v>
      </c>
      <c r="AD653" s="80">
        <v>310</v>
      </c>
      <c r="AE653" s="80">
        <v>265</v>
      </c>
      <c r="AF653" s="79">
        <f>IFERROR(FIND("（加收）",C653,1),0)</f>
        <v>9</v>
      </c>
      <c r="AG653" s="79" t="str">
        <f>IF(AF653&gt;0,LEFT(C653,IFERROR(FIND("-",C653,1),1)-1),C653)</f>
        <v>包皮切除费</v>
      </c>
      <c r="AH653" s="79">
        <f t="shared" si="62"/>
        <v>325</v>
      </c>
      <c r="AI653" s="79">
        <f t="shared" si="63"/>
        <v>293</v>
      </c>
      <c r="AJ653" s="79">
        <f t="shared" si="64"/>
        <v>247</v>
      </c>
    </row>
    <row r="654" ht="26" customHeight="1" spans="1:36">
      <c r="A654" s="47" t="s">
        <v>81</v>
      </c>
      <c r="B654" s="47" t="s">
        <v>2060</v>
      </c>
      <c r="C654" s="47" t="s">
        <v>2061</v>
      </c>
      <c r="D654" s="47" t="s">
        <v>213</v>
      </c>
      <c r="E654" s="47"/>
      <c r="F654" s="47"/>
      <c r="G654" s="47" t="s">
        <v>40</v>
      </c>
      <c r="H654" s="47"/>
      <c r="I654" s="56">
        <v>76</v>
      </c>
      <c r="J654" s="56">
        <v>68</v>
      </c>
      <c r="K654" s="57">
        <v>75</v>
      </c>
      <c r="L654" s="57">
        <v>85</v>
      </c>
      <c r="M654" s="57">
        <v>75</v>
      </c>
      <c r="N654" s="64">
        <v>75</v>
      </c>
      <c r="O654" s="64">
        <v>68</v>
      </c>
      <c r="P654" s="64">
        <v>57</v>
      </c>
      <c r="Q654" s="44" t="s">
        <v>54</v>
      </c>
      <c r="R654" s="69"/>
      <c r="S654" s="44" t="s">
        <v>446</v>
      </c>
      <c r="T654" s="45" t="s">
        <v>2064</v>
      </c>
      <c r="U654" s="45">
        <v>33120400301</v>
      </c>
      <c r="V654" s="45" t="s">
        <v>2065</v>
      </c>
      <c r="W654" s="43" t="s">
        <v>43</v>
      </c>
      <c r="X654" s="71" t="s">
        <v>43</v>
      </c>
      <c r="Y654" s="71" t="s">
        <v>40</v>
      </c>
      <c r="Z654" s="48" t="s">
        <v>43</v>
      </c>
      <c r="AA654" s="75">
        <v>815</v>
      </c>
      <c r="AB654" s="75">
        <v>735</v>
      </c>
      <c r="AC654" s="80">
        <v>815</v>
      </c>
      <c r="AD654" s="80">
        <v>780</v>
      </c>
      <c r="AE654" s="80">
        <v>665</v>
      </c>
      <c r="AF654" s="79">
        <f>IFERROR(FIND("（加收）",C654,1),0)</f>
        <v>9</v>
      </c>
      <c r="AG654" s="79" t="str">
        <f>IF(AF654&gt;0,LEFT(C654,IFERROR(FIND("-",C654,1),1)-1),C654)</f>
        <v>包皮切除费</v>
      </c>
      <c r="AH654" s="79">
        <f t="shared" si="62"/>
        <v>325</v>
      </c>
      <c r="AI654" s="79">
        <f t="shared" si="63"/>
        <v>293</v>
      </c>
      <c r="AJ654" s="79">
        <f t="shared" si="64"/>
        <v>247</v>
      </c>
    </row>
    <row r="655" ht="36" customHeight="1" spans="1:36">
      <c r="A655" s="47">
        <v>108</v>
      </c>
      <c r="B655" s="47" t="s">
        <v>2066</v>
      </c>
      <c r="C655" s="47" t="s">
        <v>2067</v>
      </c>
      <c r="D655" s="47" t="s">
        <v>213</v>
      </c>
      <c r="E655" s="47" t="s">
        <v>2068</v>
      </c>
      <c r="F655" s="47" t="s">
        <v>1777</v>
      </c>
      <c r="G655" s="47" t="s">
        <v>40</v>
      </c>
      <c r="H655" s="47"/>
      <c r="I655" s="56">
        <v>4664</v>
      </c>
      <c r="J655" s="56">
        <v>4198</v>
      </c>
      <c r="K655" s="59">
        <v>3837.87545787546</v>
      </c>
      <c r="L655" s="59">
        <v>3387.36842105263</v>
      </c>
      <c r="M655" s="84"/>
      <c r="N655" s="64">
        <v>4200</v>
      </c>
      <c r="O655" s="64">
        <v>3750</v>
      </c>
      <c r="P655" s="64">
        <v>3180</v>
      </c>
      <c r="Q655" s="44" t="s">
        <v>54</v>
      </c>
      <c r="R655" s="70" t="s">
        <v>416</v>
      </c>
      <c r="S655" s="44" t="s">
        <v>2069</v>
      </c>
      <c r="T655" s="43" t="s">
        <v>2070</v>
      </c>
      <c r="U655" s="71">
        <v>331008015</v>
      </c>
      <c r="V655" s="43" t="s">
        <v>2071</v>
      </c>
      <c r="W655" s="43" t="s">
        <v>2072</v>
      </c>
      <c r="X655" s="71" t="s">
        <v>43</v>
      </c>
      <c r="Y655" s="71" t="s">
        <v>40</v>
      </c>
      <c r="Z655" s="48"/>
      <c r="AA655" s="75">
        <v>4030</v>
      </c>
      <c r="AB655" s="75">
        <v>3630</v>
      </c>
      <c r="AC655" s="80">
        <v>3380</v>
      </c>
      <c r="AD655" s="80">
        <v>3040</v>
      </c>
      <c r="AE655" s="80">
        <v>2580</v>
      </c>
      <c r="AF655" s="79">
        <f>IFERROR(FIND("（加收）",C655,1),0)</f>
        <v>0</v>
      </c>
      <c r="AG655" s="79" t="str">
        <f>IF(AF655&gt;0,LEFT(C655,IFERROR(FIND("-",C655,1),1)-1),C655)</f>
        <v>腹膜后肿物切除费</v>
      </c>
      <c r="AH655" s="79">
        <f t="shared" si="62"/>
        <v>4200</v>
      </c>
      <c r="AI655" s="79">
        <f t="shared" si="63"/>
        <v>3750</v>
      </c>
      <c r="AJ655" s="79">
        <f t="shared" si="64"/>
        <v>3180</v>
      </c>
    </row>
    <row r="656" ht="36" customHeight="1" spans="1:36">
      <c r="A656" s="47">
        <v>108</v>
      </c>
      <c r="B656" s="47" t="s">
        <v>2066</v>
      </c>
      <c r="C656" s="47" t="s">
        <v>2067</v>
      </c>
      <c r="D656" s="47" t="s">
        <v>213</v>
      </c>
      <c r="E656" s="47" t="s">
        <v>2068</v>
      </c>
      <c r="F656" s="47" t="s">
        <v>1777</v>
      </c>
      <c r="G656" s="47" t="s">
        <v>40</v>
      </c>
      <c r="H656" s="47"/>
      <c r="I656" s="56">
        <v>4664</v>
      </c>
      <c r="J656" s="56">
        <v>4198</v>
      </c>
      <c r="K656" s="59">
        <v>3837.87545787546</v>
      </c>
      <c r="L656" s="59">
        <v>3387.36842105263</v>
      </c>
      <c r="M656" s="84"/>
      <c r="N656" s="64">
        <v>4200</v>
      </c>
      <c r="O656" s="64">
        <v>3750</v>
      </c>
      <c r="P656" s="64">
        <v>3180</v>
      </c>
      <c r="Q656" s="44" t="s">
        <v>54</v>
      </c>
      <c r="R656" s="70" t="s">
        <v>416</v>
      </c>
      <c r="S656" s="44" t="s">
        <v>2069</v>
      </c>
      <c r="T656" s="45" t="s">
        <v>2073</v>
      </c>
      <c r="U656" s="45">
        <v>33100801502</v>
      </c>
      <c r="V656" s="45" t="s">
        <v>2074</v>
      </c>
      <c r="W656" s="43" t="s">
        <v>43</v>
      </c>
      <c r="X656" s="71" t="s">
        <v>43</v>
      </c>
      <c r="Y656" s="71" t="s">
        <v>40</v>
      </c>
      <c r="Z656" s="48"/>
      <c r="AA656" s="75">
        <v>4870</v>
      </c>
      <c r="AB656" s="75">
        <v>4390</v>
      </c>
      <c r="AC656" s="80">
        <v>4005</v>
      </c>
      <c r="AD656" s="80">
        <v>3640</v>
      </c>
      <c r="AE656" s="80">
        <v>3090</v>
      </c>
      <c r="AF656" s="79">
        <f>IFERROR(FIND("（加收）",C656,1),0)</f>
        <v>0</v>
      </c>
      <c r="AG656" s="79" t="str">
        <f>IF(AF656&gt;0,LEFT(C656,IFERROR(FIND("-",C656,1),1)-1),C656)</f>
        <v>腹膜后肿物切除费</v>
      </c>
      <c r="AH656" s="79">
        <f t="shared" si="62"/>
        <v>4200</v>
      </c>
      <c r="AI656" s="79">
        <f t="shared" si="63"/>
        <v>3750</v>
      </c>
      <c r="AJ656" s="79">
        <f t="shared" si="64"/>
        <v>3180</v>
      </c>
    </row>
    <row r="657" ht="26" customHeight="1" spans="1:36">
      <c r="A657" s="47" t="s">
        <v>81</v>
      </c>
      <c r="B657" s="47" t="s">
        <v>2077</v>
      </c>
      <c r="C657" s="47" t="s">
        <v>2078</v>
      </c>
      <c r="D657" s="47" t="s">
        <v>213</v>
      </c>
      <c r="E657" s="47"/>
      <c r="F657" s="47"/>
      <c r="G657" s="47" t="s">
        <v>40</v>
      </c>
      <c r="H657" s="47"/>
      <c r="I657" s="56">
        <v>1399</v>
      </c>
      <c r="J657" s="56">
        <v>1259</v>
      </c>
      <c r="K657" s="58"/>
      <c r="L657" s="58"/>
      <c r="M657" s="58"/>
      <c r="N657" s="64">
        <v>1260</v>
      </c>
      <c r="O657" s="64">
        <v>1125</v>
      </c>
      <c r="P657" s="64">
        <v>955</v>
      </c>
      <c r="Q657" s="44" t="s">
        <v>54</v>
      </c>
      <c r="R657" s="69"/>
      <c r="S657" s="44" t="s">
        <v>446</v>
      </c>
      <c r="T657" s="45" t="s">
        <v>2079</v>
      </c>
      <c r="U657" s="45">
        <v>33100801501</v>
      </c>
      <c r="V657" s="45" t="s">
        <v>2080</v>
      </c>
      <c r="W657" s="43" t="s">
        <v>43</v>
      </c>
      <c r="X657" s="71" t="s">
        <v>43</v>
      </c>
      <c r="Y657" s="71" t="s">
        <v>40</v>
      </c>
      <c r="Z657" s="48" t="s">
        <v>43</v>
      </c>
      <c r="AA657" s="75">
        <v>5240</v>
      </c>
      <c r="AB657" s="75">
        <v>4720</v>
      </c>
      <c r="AC657" s="80">
        <v>4395</v>
      </c>
      <c r="AD657" s="80">
        <v>3950</v>
      </c>
      <c r="AE657" s="80">
        <v>3360</v>
      </c>
      <c r="AF657" s="79">
        <f>IFERROR(FIND("（加收）",C657,1),0)</f>
        <v>12</v>
      </c>
      <c r="AG657" s="79" t="str">
        <f>IF(AF657&gt;0,LEFT(C657,IFERROR(FIND("-",C657,1),1)-1),C657)</f>
        <v>腹膜后肿物切除费</v>
      </c>
      <c r="AH657" s="79">
        <f t="shared" si="62"/>
        <v>5460</v>
      </c>
      <c r="AI657" s="79">
        <f t="shared" si="63"/>
        <v>4875</v>
      </c>
      <c r="AJ657" s="79">
        <f t="shared" si="64"/>
        <v>4135</v>
      </c>
    </row>
    <row r="658" ht="26" customHeight="1" spans="1:36">
      <c r="A658" s="47" t="s">
        <v>81</v>
      </c>
      <c r="B658" s="47" t="s">
        <v>2077</v>
      </c>
      <c r="C658" s="47" t="s">
        <v>2078</v>
      </c>
      <c r="D658" s="47" t="s">
        <v>213</v>
      </c>
      <c r="E658" s="47"/>
      <c r="F658" s="47"/>
      <c r="G658" s="47" t="s">
        <v>40</v>
      </c>
      <c r="H658" s="47"/>
      <c r="I658" s="56">
        <v>1399</v>
      </c>
      <c r="J658" s="56">
        <v>1259</v>
      </c>
      <c r="K658" s="58"/>
      <c r="L658" s="58"/>
      <c r="M658" s="58"/>
      <c r="N658" s="64">
        <v>1260</v>
      </c>
      <c r="O658" s="64">
        <v>1125</v>
      </c>
      <c r="P658" s="64">
        <v>955</v>
      </c>
      <c r="Q658" s="44" t="s">
        <v>54</v>
      </c>
      <c r="R658" s="69"/>
      <c r="S658" s="44" t="s">
        <v>446</v>
      </c>
      <c r="T658" s="45" t="s">
        <v>2081</v>
      </c>
      <c r="U658" s="45">
        <v>33100801503</v>
      </c>
      <c r="V658" s="45" t="s">
        <v>2082</v>
      </c>
      <c r="W658" s="43" t="s">
        <v>43</v>
      </c>
      <c r="X658" s="71" t="s">
        <v>43</v>
      </c>
      <c r="Y658" s="71" t="s">
        <v>40</v>
      </c>
      <c r="Z658" s="48" t="s">
        <v>43</v>
      </c>
      <c r="AA658" s="75">
        <v>6080</v>
      </c>
      <c r="AB658" s="75">
        <v>5480</v>
      </c>
      <c r="AC658" s="80">
        <v>5020</v>
      </c>
      <c r="AD658" s="80">
        <v>4550</v>
      </c>
      <c r="AE658" s="80">
        <v>3870</v>
      </c>
      <c r="AF658" s="79">
        <f>IFERROR(FIND("（加收）",C658,1),0)</f>
        <v>12</v>
      </c>
      <c r="AG658" s="79" t="str">
        <f>IF(AF658&gt;0,LEFT(C658,IFERROR(FIND("-",C658,1),1)-1),C658)</f>
        <v>腹膜后肿物切除费</v>
      </c>
      <c r="AH658" s="79">
        <f t="shared" si="62"/>
        <v>5460</v>
      </c>
      <c r="AI658" s="79">
        <f t="shared" si="63"/>
        <v>4875</v>
      </c>
      <c r="AJ658" s="79">
        <f t="shared" si="64"/>
        <v>4135</v>
      </c>
    </row>
  </sheetData>
  <autoFilter ref="A4:AE658">
    <extLst/>
  </autoFilter>
  <printOptions horizontalCentered="1"/>
  <pageMargins left="0.393055555555556" right="0.393055555555556" top="0.590277777777778" bottom="0.590277777777778" header="0.5" footer="0.5"/>
  <pageSetup paperSize="8" scale="41" fitToHeight="0" orientation="landscape" horizontalDpi="600"/>
  <headerFooter/>
  <rowBreaks count="1" manualBreakCount="1">
    <brk id="419" max="30" man="1"/>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75"/>
  <sheetViews>
    <sheetView topLeftCell="F554" workbookViewId="0">
      <selection activeCell="W1" sqref="W1:W575"/>
    </sheetView>
  </sheetViews>
  <sheetFormatPr defaultColWidth="8.88888888888889" defaultRowHeight="15.75"/>
  <cols>
    <col min="1" max="3" width="8"/>
    <col min="4" max="4" width="17.6666666666667" customWidth="1"/>
    <col min="5" max="5" width="27" customWidth="1"/>
    <col min="6" max="6" width="25.1111111111111" customWidth="1"/>
    <col min="7" max="7" width="35.3333333333333" customWidth="1"/>
    <col min="8" max="13" width="8"/>
    <col min="14" max="16" width="11.2222222222222"/>
    <col min="17" max="19" width="8"/>
    <col min="20" max="20" width="8.22222222222222"/>
    <col min="21" max="22" width="8"/>
    <col min="23" max="23" width="11.5555555555556" customWidth="1"/>
    <col min="24" max="16384" width="8"/>
  </cols>
  <sheetData>
    <row r="1" ht="38.25" spans="1:23">
      <c r="A1" s="18" t="s">
        <v>2086</v>
      </c>
      <c r="B1" s="18" t="s">
        <v>2087</v>
      </c>
      <c r="C1" s="18" t="s">
        <v>2088</v>
      </c>
      <c r="D1" s="19" t="s">
        <v>2089</v>
      </c>
      <c r="E1" s="18" t="s">
        <v>2090</v>
      </c>
      <c r="F1" s="19" t="s">
        <v>2091</v>
      </c>
      <c r="G1" s="18" t="s">
        <v>2092</v>
      </c>
      <c r="H1" s="18" t="s">
        <v>2093</v>
      </c>
      <c r="I1" s="18" t="s">
        <v>2094</v>
      </c>
      <c r="J1" s="18" t="s">
        <v>2095</v>
      </c>
      <c r="K1" s="18" t="s">
        <v>2096</v>
      </c>
      <c r="L1" s="18" t="s">
        <v>2097</v>
      </c>
      <c r="M1" s="18" t="s">
        <v>2098</v>
      </c>
      <c r="N1" s="18" t="s">
        <v>2099</v>
      </c>
      <c r="O1" s="18" t="s">
        <v>2100</v>
      </c>
      <c r="P1" s="18" t="s">
        <v>2101</v>
      </c>
      <c r="Q1" s="18" t="s">
        <v>2102</v>
      </c>
      <c r="R1" s="18" t="s">
        <v>2103</v>
      </c>
      <c r="S1" s="18" t="s">
        <v>2104</v>
      </c>
      <c r="T1" s="18" t="s">
        <v>2105</v>
      </c>
      <c r="U1" s="18" t="s">
        <v>2106</v>
      </c>
      <c r="V1" s="18" t="s">
        <v>2107</v>
      </c>
      <c r="W1" s="25"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row r="2" spans="1:23">
      <c r="A2">
        <v>3094</v>
      </c>
      <c r="B2" t="s">
        <v>2108</v>
      </c>
      <c r="C2">
        <v>1</v>
      </c>
      <c r="D2" s="20" t="s">
        <v>2109</v>
      </c>
      <c r="E2" t="s">
        <v>57</v>
      </c>
      <c r="F2" t="s">
        <v>57</v>
      </c>
      <c r="G2" t="s">
        <v>58</v>
      </c>
      <c r="H2" t="s">
        <v>2108</v>
      </c>
      <c r="I2" t="s">
        <v>2108</v>
      </c>
      <c r="J2">
        <v>165</v>
      </c>
      <c r="K2">
        <v>150</v>
      </c>
      <c r="L2">
        <v>127.5</v>
      </c>
      <c r="M2" t="s">
        <v>2108</v>
      </c>
      <c r="N2">
        <v>165</v>
      </c>
      <c r="O2">
        <v>150</v>
      </c>
      <c r="P2">
        <v>128</v>
      </c>
      <c r="Q2" t="s">
        <v>40</v>
      </c>
      <c r="R2">
        <v>27</v>
      </c>
      <c r="S2">
        <v>1</v>
      </c>
      <c r="T2" t="s">
        <v>2110</v>
      </c>
      <c r="U2" t="s">
        <v>2111</v>
      </c>
      <c r="V2">
        <v>0</v>
      </c>
      <c r="W2" s="26" t="str">
        <f>"("&amp;A2&amp;","&amp;B2&amp;","&amp;C2&amp;",'"&amp;D2&amp;"','"&amp;E2&amp;"','"&amp;F2&amp;"','"&amp;G2&amp;"',"&amp;H2&amp;","&amp;I2&amp;","&amp;J2&amp;","&amp;K2&amp;","&amp;L2&amp;","&amp;M2&amp;","&amp;N2&amp;","&amp;O2&amp;","&amp;P2&amp;",'"&amp;Q2&amp;"',"&amp;R2&amp;","&amp;S2&amp;",'"&amp;T2&amp;"','"&amp;U2&amp;"',"&amp;V2&amp;"),"</f>
        <v>(3094,null,1,'2026-04-28 00:00:00','003110000390000-311000039','003110000390000-311000039','尿流动力学检测',null,null,165,150,127.5,null,165,150,128,'次',27,1,'normal','main',0),</v>
      </c>
    </row>
    <row r="3" spans="1:23">
      <c r="A3">
        <v>3095</v>
      </c>
      <c r="B3" t="s">
        <v>2108</v>
      </c>
      <c r="C3">
        <v>1</v>
      </c>
      <c r="D3" s="20" t="s">
        <v>2109</v>
      </c>
      <c r="E3" t="s">
        <v>61</v>
      </c>
      <c r="F3" t="s">
        <v>61</v>
      </c>
      <c r="G3" t="s">
        <v>62</v>
      </c>
      <c r="H3" t="s">
        <v>2108</v>
      </c>
      <c r="I3" t="s">
        <v>2108</v>
      </c>
      <c r="J3">
        <v>66</v>
      </c>
      <c r="K3">
        <v>60</v>
      </c>
      <c r="L3">
        <v>51</v>
      </c>
      <c r="M3" t="s">
        <v>2108</v>
      </c>
      <c r="N3">
        <v>66</v>
      </c>
      <c r="O3">
        <v>59</v>
      </c>
      <c r="P3">
        <v>51</v>
      </c>
      <c r="Q3" t="s">
        <v>40</v>
      </c>
      <c r="R3">
        <v>27</v>
      </c>
      <c r="S3">
        <v>1</v>
      </c>
      <c r="T3" t="s">
        <v>2110</v>
      </c>
      <c r="U3" t="s">
        <v>2111</v>
      </c>
      <c r="V3">
        <v>0</v>
      </c>
      <c r="W3" s="26" t="str">
        <f t="shared" ref="W3:W66" si="0">"("&amp;A3&amp;","&amp;B3&amp;","&amp;C3&amp;",'"&amp;D3&amp;"','"&amp;E3&amp;"','"&amp;F3&amp;"','"&amp;G3&amp;"',"&amp;H3&amp;","&amp;I3&amp;","&amp;J3&amp;","&amp;K3&amp;","&amp;L3&amp;","&amp;M3&amp;","&amp;N3&amp;","&amp;O3&amp;","&amp;P3&amp;",'"&amp;Q3&amp;"',"&amp;R3&amp;","&amp;S3&amp;",'"&amp;T3&amp;"','"&amp;U3&amp;"',"&amp;V3&amp;"),"</f>
        <v>(3095,null,1,'2026-04-28 00:00:00','003110000380000-311000038','003110000380000-311000038','尿流率检测',null,null,66,60,51,null,66,59,51,'次',27,1,'normal','main',0),</v>
      </c>
    </row>
    <row r="4" spans="1:23">
      <c r="A4">
        <v>3096</v>
      </c>
      <c r="B4" t="s">
        <v>2108</v>
      </c>
      <c r="C4">
        <v>1</v>
      </c>
      <c r="D4" s="20" t="s">
        <v>2109</v>
      </c>
      <c r="E4" t="s">
        <v>69</v>
      </c>
      <c r="F4" t="s">
        <v>69</v>
      </c>
      <c r="G4" t="s">
        <v>70</v>
      </c>
      <c r="H4" t="s">
        <v>2108</v>
      </c>
      <c r="I4" t="s">
        <v>2108</v>
      </c>
      <c r="J4">
        <v>660</v>
      </c>
      <c r="K4">
        <v>600</v>
      </c>
      <c r="L4">
        <v>510</v>
      </c>
      <c r="M4" t="s">
        <v>2108</v>
      </c>
      <c r="N4">
        <v>660</v>
      </c>
      <c r="O4">
        <v>595</v>
      </c>
      <c r="P4">
        <v>510</v>
      </c>
      <c r="Q4" t="s">
        <v>48</v>
      </c>
      <c r="R4">
        <v>27</v>
      </c>
      <c r="S4">
        <v>1</v>
      </c>
      <c r="T4" t="s">
        <v>2110</v>
      </c>
      <c r="U4" t="s">
        <v>2111</v>
      </c>
      <c r="V4">
        <v>0</v>
      </c>
      <c r="W4" s="26" t="str">
        <f t="shared" si="0"/>
        <v>(3096,null,1,'2026-04-28 00:00:00','003110000180000-311000018','003110000180000-311000018','经皮肾盂镜检查',null,null,660,600,510,null,660,595,510,'单侧',27,1,'normal','main',0),</v>
      </c>
    </row>
    <row r="5" spans="1:23">
      <c r="A5">
        <v>3097</v>
      </c>
      <c r="B5" t="s">
        <v>2108</v>
      </c>
      <c r="C5">
        <v>1</v>
      </c>
      <c r="D5" s="20" t="s">
        <v>2109</v>
      </c>
      <c r="E5" t="s">
        <v>78</v>
      </c>
      <c r="F5" t="s">
        <v>78</v>
      </c>
      <c r="G5" t="s">
        <v>79</v>
      </c>
      <c r="H5" t="s">
        <v>2108</v>
      </c>
      <c r="I5" t="s">
        <v>2108</v>
      </c>
      <c r="J5">
        <v>495</v>
      </c>
      <c r="K5">
        <v>450</v>
      </c>
      <c r="L5">
        <v>382.5</v>
      </c>
      <c r="M5" t="s">
        <v>2108</v>
      </c>
      <c r="N5">
        <v>495</v>
      </c>
      <c r="O5">
        <v>445</v>
      </c>
      <c r="P5">
        <v>380</v>
      </c>
      <c r="Q5" t="s">
        <v>48</v>
      </c>
      <c r="R5">
        <v>27</v>
      </c>
      <c r="S5">
        <v>1</v>
      </c>
      <c r="T5" t="s">
        <v>2110</v>
      </c>
      <c r="U5" t="s">
        <v>2111</v>
      </c>
      <c r="V5">
        <v>0</v>
      </c>
      <c r="W5" s="26" t="str">
        <f t="shared" si="0"/>
        <v>(3097,null,1,'2026-04-28 00:00:00','003110000200000-311000020','003110000200000-311000020','经尿道输尿管镜检查',null,null,495,450,382.5,null,495,445,380,'单侧',27,1,'normal','main',0),</v>
      </c>
    </row>
    <row r="6" spans="1:23">
      <c r="A6">
        <v>3098</v>
      </c>
      <c r="B6" t="s">
        <v>2108</v>
      </c>
      <c r="C6">
        <v>1</v>
      </c>
      <c r="D6" s="20" t="s">
        <v>2109</v>
      </c>
      <c r="E6" t="s">
        <v>85</v>
      </c>
      <c r="F6" t="s">
        <v>85</v>
      </c>
      <c r="G6" t="s">
        <v>86</v>
      </c>
      <c r="H6" t="s">
        <v>2108</v>
      </c>
      <c r="I6" t="s">
        <v>2108</v>
      </c>
      <c r="J6">
        <v>720</v>
      </c>
      <c r="K6">
        <v>648</v>
      </c>
      <c r="L6">
        <v>550.8</v>
      </c>
      <c r="M6" t="s">
        <v>2108</v>
      </c>
      <c r="N6">
        <v>495</v>
      </c>
      <c r="O6">
        <v>445</v>
      </c>
      <c r="P6">
        <v>380</v>
      </c>
      <c r="Q6" t="s">
        <v>88</v>
      </c>
      <c r="R6">
        <v>27</v>
      </c>
      <c r="S6">
        <v>1</v>
      </c>
      <c r="T6" t="s">
        <v>2110</v>
      </c>
      <c r="U6" t="s">
        <v>2111</v>
      </c>
      <c r="V6">
        <v>0</v>
      </c>
      <c r="W6" s="26" t="str">
        <f t="shared" si="0"/>
        <v>(3098,null,1,'2026-04-28 00:00:00','353111000290000-311100020','353111000290000-311100020','经尿道精囊镜检查',null,null,720,648,550.8,null,495,445,380,'侧',27,1,'normal','main',0),</v>
      </c>
    </row>
    <row r="7" spans="1:23">
      <c r="A7">
        <v>3099</v>
      </c>
      <c r="B7" t="s">
        <v>2108</v>
      </c>
      <c r="C7">
        <v>1</v>
      </c>
      <c r="D7" s="20" t="s">
        <v>2109</v>
      </c>
      <c r="E7" t="s">
        <v>92</v>
      </c>
      <c r="F7" t="s">
        <v>92</v>
      </c>
      <c r="G7" t="s">
        <v>93</v>
      </c>
      <c r="H7" t="s">
        <v>2108</v>
      </c>
      <c r="I7" t="s">
        <v>2108</v>
      </c>
      <c r="J7">
        <v>132</v>
      </c>
      <c r="K7">
        <v>120</v>
      </c>
      <c r="L7">
        <v>102</v>
      </c>
      <c r="M7" t="s">
        <v>2108</v>
      </c>
      <c r="N7">
        <v>132</v>
      </c>
      <c r="O7">
        <v>120</v>
      </c>
      <c r="P7">
        <v>102</v>
      </c>
      <c r="Q7" t="s">
        <v>40</v>
      </c>
      <c r="R7">
        <v>27</v>
      </c>
      <c r="S7">
        <v>1</v>
      </c>
      <c r="T7" t="s">
        <v>2110</v>
      </c>
      <c r="U7" t="s">
        <v>2111</v>
      </c>
      <c r="V7">
        <v>0</v>
      </c>
      <c r="W7" s="26" t="str">
        <f t="shared" si="0"/>
        <v>(3099,null,1,'2026-04-28 00:00:00','003110000340000-311000034','003110000340000-311000034','膀胱镜尿道镜检查',null,null,132,120,102,null,132,120,102,'次',27,1,'normal','main',0),</v>
      </c>
    </row>
    <row r="8" spans="1:23">
      <c r="A8">
        <v>3100</v>
      </c>
      <c r="B8" t="s">
        <v>2108</v>
      </c>
      <c r="C8">
        <v>1</v>
      </c>
      <c r="D8" s="20" t="s">
        <v>2109</v>
      </c>
      <c r="E8" t="s">
        <v>105</v>
      </c>
      <c r="F8" t="s">
        <v>105</v>
      </c>
      <c r="G8" t="s">
        <v>106</v>
      </c>
      <c r="H8" t="s">
        <v>2108</v>
      </c>
      <c r="I8" t="s">
        <v>2108</v>
      </c>
      <c r="J8">
        <v>99</v>
      </c>
      <c r="K8">
        <v>89</v>
      </c>
      <c r="L8">
        <v>77</v>
      </c>
      <c r="M8" t="s">
        <v>2108</v>
      </c>
      <c r="N8">
        <v>99</v>
      </c>
      <c r="O8">
        <v>89</v>
      </c>
      <c r="P8">
        <v>77</v>
      </c>
      <c r="Q8" t="s">
        <v>40</v>
      </c>
      <c r="R8">
        <v>27</v>
      </c>
      <c r="S8">
        <v>1</v>
      </c>
      <c r="T8" t="s">
        <v>2110</v>
      </c>
      <c r="U8" t="s">
        <v>2111</v>
      </c>
      <c r="V8">
        <v>0</v>
      </c>
      <c r="W8" s="26" t="str">
        <f t="shared" si="0"/>
        <v>(3100,null,1,'2026-04-28 00:00:00','003111000030000-311100003','003111000030000-311100003','夜间阴茎胀大试验',null,null,99,89,77,null,99,89,77,'次',27,1,'normal','main',0),</v>
      </c>
    </row>
    <row r="9" spans="1:23">
      <c r="A9">
        <v>3101</v>
      </c>
      <c r="B9" t="s">
        <v>2108</v>
      </c>
      <c r="C9">
        <v>1</v>
      </c>
      <c r="D9" s="20" t="s">
        <v>2109</v>
      </c>
      <c r="E9" t="s">
        <v>113</v>
      </c>
      <c r="F9" t="s">
        <v>113</v>
      </c>
      <c r="G9" t="s">
        <v>114</v>
      </c>
      <c r="H9" t="s">
        <v>2108</v>
      </c>
      <c r="I9" t="s">
        <v>2108</v>
      </c>
      <c r="J9">
        <v>88</v>
      </c>
      <c r="K9">
        <v>80</v>
      </c>
      <c r="L9">
        <v>68</v>
      </c>
      <c r="M9" t="s">
        <v>2108</v>
      </c>
      <c r="N9">
        <v>77</v>
      </c>
      <c r="O9">
        <v>69</v>
      </c>
      <c r="P9">
        <v>60</v>
      </c>
      <c r="Q9" t="s">
        <v>40</v>
      </c>
      <c r="R9">
        <v>27</v>
      </c>
      <c r="S9">
        <v>1</v>
      </c>
      <c r="T9" t="s">
        <v>2110</v>
      </c>
      <c r="U9" t="s">
        <v>2111</v>
      </c>
      <c r="V9">
        <v>0</v>
      </c>
      <c r="W9" s="26" t="str">
        <f t="shared" si="0"/>
        <v>(3101,null,1,'2026-04-28 00:00:00','003111000040000-311100004','003111000040000-311100004','阴茎超声血流图检查',null,null,88,80,68,null,77,69,60,'次',27,1,'normal','main',0),</v>
      </c>
    </row>
    <row r="10" spans="1:23">
      <c r="A10">
        <v>3102</v>
      </c>
      <c r="B10" t="s">
        <v>2108</v>
      </c>
      <c r="C10">
        <v>1</v>
      </c>
      <c r="D10" s="20" t="s">
        <v>2109</v>
      </c>
      <c r="E10" t="s">
        <v>115</v>
      </c>
      <c r="F10" t="s">
        <v>115</v>
      </c>
      <c r="G10" t="s">
        <v>116</v>
      </c>
      <c r="H10" t="s">
        <v>2108</v>
      </c>
      <c r="I10" t="s">
        <v>2108</v>
      </c>
      <c r="J10">
        <v>44</v>
      </c>
      <c r="K10">
        <v>40</v>
      </c>
      <c r="L10">
        <v>34</v>
      </c>
      <c r="M10" t="s">
        <v>2108</v>
      </c>
      <c r="N10">
        <v>77</v>
      </c>
      <c r="O10">
        <v>69</v>
      </c>
      <c r="P10">
        <v>60</v>
      </c>
      <c r="Q10" t="s">
        <v>40</v>
      </c>
      <c r="R10">
        <v>27</v>
      </c>
      <c r="S10">
        <v>1</v>
      </c>
      <c r="T10" t="s">
        <v>2110</v>
      </c>
      <c r="U10" t="s">
        <v>2111</v>
      </c>
      <c r="V10">
        <v>0</v>
      </c>
      <c r="W10" s="26" t="str">
        <f t="shared" si="0"/>
        <v>(3102,null,1,'2026-04-28 00:00:00','003111000110000-311100011','003111000110000-311100011','阴茎动脉测压术',null,null,44,40,34,null,77,69,60,'次',27,1,'normal','main',0),</v>
      </c>
    </row>
    <row r="11" spans="1:23">
      <c r="A11">
        <v>3103</v>
      </c>
      <c r="B11" t="s">
        <v>2108</v>
      </c>
      <c r="C11">
        <v>1</v>
      </c>
      <c r="D11" s="20" t="s">
        <v>2109</v>
      </c>
      <c r="E11" t="s">
        <v>122</v>
      </c>
      <c r="F11" t="s">
        <v>122</v>
      </c>
      <c r="G11" t="s">
        <v>123</v>
      </c>
      <c r="H11" t="s">
        <v>2108</v>
      </c>
      <c r="I11" t="s">
        <v>2108</v>
      </c>
      <c r="J11">
        <v>110</v>
      </c>
      <c r="K11">
        <v>100</v>
      </c>
      <c r="L11">
        <v>85</v>
      </c>
      <c r="M11" t="s">
        <v>2108</v>
      </c>
      <c r="N11">
        <v>110</v>
      </c>
      <c r="O11">
        <v>99</v>
      </c>
      <c r="P11">
        <v>85</v>
      </c>
      <c r="Q11" t="s">
        <v>40</v>
      </c>
      <c r="R11">
        <v>27</v>
      </c>
      <c r="S11">
        <v>1</v>
      </c>
      <c r="T11" t="s">
        <v>2110</v>
      </c>
      <c r="U11" t="s">
        <v>2111</v>
      </c>
      <c r="V11">
        <v>0</v>
      </c>
      <c r="W11" s="26" t="str">
        <f t="shared" si="0"/>
        <v>(3103,null,1,'2026-04-28 00:00:00','003111000050000-311100005','003111000050000-311100005','阴茎勃起神经检查',null,null,110,100,85,null,110,99,85,'次',27,1,'normal','main',0),</v>
      </c>
    </row>
    <row r="12" spans="1:23">
      <c r="A12">
        <v>3104</v>
      </c>
      <c r="B12" t="s">
        <v>2108</v>
      </c>
      <c r="C12">
        <v>1</v>
      </c>
      <c r="D12" s="20" t="s">
        <v>2109</v>
      </c>
      <c r="E12" t="s">
        <v>155</v>
      </c>
      <c r="F12" t="s">
        <v>155</v>
      </c>
      <c r="G12" t="s">
        <v>156</v>
      </c>
      <c r="H12" t="s">
        <v>2108</v>
      </c>
      <c r="I12" t="s">
        <v>2108</v>
      </c>
      <c r="J12">
        <v>1500</v>
      </c>
      <c r="K12">
        <v>1350</v>
      </c>
      <c r="L12">
        <v>1145</v>
      </c>
      <c r="M12" t="s">
        <v>2108</v>
      </c>
      <c r="N12" s="14">
        <v>2250</v>
      </c>
      <c r="O12" s="14">
        <v>2050</v>
      </c>
      <c r="P12" s="14">
        <v>1740</v>
      </c>
      <c r="Q12" t="s">
        <v>40</v>
      </c>
      <c r="R12">
        <v>27</v>
      </c>
      <c r="S12">
        <v>1</v>
      </c>
      <c r="T12" t="s">
        <v>2110</v>
      </c>
      <c r="U12" t="s">
        <v>2111</v>
      </c>
      <c r="V12">
        <v>0</v>
      </c>
      <c r="W12" s="26" t="str">
        <f t="shared" si="0"/>
        <v>(3104,null,1,'2026-04-28 00:00:00','003109050230000-310905023','003109050230000-310905023','人工肝治疗',null,null,1500,1350,1145,null,2250,2050,1740,'次',27,1,'normal','main',0),</v>
      </c>
    </row>
    <row r="13" spans="1:23">
      <c r="A13">
        <v>3105</v>
      </c>
      <c r="B13" t="s">
        <v>2108</v>
      </c>
      <c r="C13">
        <v>1</v>
      </c>
      <c r="D13" s="20" t="s">
        <v>2109</v>
      </c>
      <c r="E13" s="116" t="s">
        <v>149</v>
      </c>
      <c r="F13" s="116" t="s">
        <v>149</v>
      </c>
      <c r="G13" t="s">
        <v>150</v>
      </c>
      <c r="H13" t="s">
        <v>2108</v>
      </c>
      <c r="I13" t="s">
        <v>2108</v>
      </c>
      <c r="J13">
        <v>2450</v>
      </c>
      <c r="K13">
        <v>2325</v>
      </c>
      <c r="L13">
        <v>2000</v>
      </c>
      <c r="M13" t="s">
        <v>2108</v>
      </c>
      <c r="N13" s="14">
        <v>3200</v>
      </c>
      <c r="O13" s="14">
        <v>3025</v>
      </c>
      <c r="P13" s="14">
        <v>2595</v>
      </c>
      <c r="R13">
        <v>27</v>
      </c>
      <c r="S13">
        <v>1</v>
      </c>
      <c r="T13" t="s">
        <v>2110</v>
      </c>
      <c r="U13" t="s">
        <v>2111</v>
      </c>
      <c r="V13">
        <v>0</v>
      </c>
      <c r="W13" s="26" t="str">
        <f t="shared" si="0"/>
        <v>(3105,null,1,'2026-04-28 00:00:00','013110000060000','013110000060000','血浆置换费',null,null,2450,2325,2000,null,3200,3025,2595,'',27,1,'normal','main',0),</v>
      </c>
    </row>
    <row r="14" spans="1:23">
      <c r="A14">
        <v>3106</v>
      </c>
      <c r="B14" t="s">
        <v>2108</v>
      </c>
      <c r="C14">
        <v>1</v>
      </c>
      <c r="D14" s="20" t="s">
        <v>2109</v>
      </c>
      <c r="E14" t="s">
        <v>206</v>
      </c>
      <c r="F14" t="s">
        <v>206</v>
      </c>
      <c r="G14" t="s">
        <v>207</v>
      </c>
      <c r="H14" t="s">
        <v>2108</v>
      </c>
      <c r="I14" t="s">
        <v>2108</v>
      </c>
      <c r="J14">
        <v>40</v>
      </c>
      <c r="K14">
        <v>40</v>
      </c>
      <c r="L14">
        <v>34</v>
      </c>
      <c r="M14" t="s">
        <v>2108</v>
      </c>
      <c r="N14">
        <v>42</v>
      </c>
      <c r="O14">
        <v>40</v>
      </c>
      <c r="P14">
        <v>34</v>
      </c>
      <c r="Q14" t="s">
        <v>40</v>
      </c>
      <c r="R14">
        <v>27</v>
      </c>
      <c r="S14">
        <v>1</v>
      </c>
      <c r="T14" t="s">
        <v>2110</v>
      </c>
      <c r="U14" t="s">
        <v>2111</v>
      </c>
      <c r="V14">
        <v>0</v>
      </c>
      <c r="W14" s="26" t="str">
        <f t="shared" si="0"/>
        <v>(3106,null,1,'2026-04-28 00:00:00','013110000150000','013110000150000','腹膜平衡试验费',null,null,40,40,34,null,42,40,34,'次',27,1,'normal','main',0),</v>
      </c>
    </row>
    <row r="15" spans="1:23">
      <c r="A15">
        <v>3107</v>
      </c>
      <c r="B15" t="s">
        <v>2108</v>
      </c>
      <c r="C15">
        <v>1</v>
      </c>
      <c r="D15" s="20" t="s">
        <v>2109</v>
      </c>
      <c r="E15" t="s">
        <v>211</v>
      </c>
      <c r="F15" t="s">
        <v>211</v>
      </c>
      <c r="G15" s="14" t="s">
        <v>212</v>
      </c>
      <c r="H15" t="s">
        <v>2108</v>
      </c>
      <c r="I15" t="s">
        <v>2108</v>
      </c>
      <c r="J15">
        <v>400</v>
      </c>
      <c r="K15">
        <v>400</v>
      </c>
      <c r="L15">
        <v>340</v>
      </c>
      <c r="M15" t="s">
        <v>2108</v>
      </c>
      <c r="N15">
        <v>420</v>
      </c>
      <c r="O15">
        <v>395</v>
      </c>
      <c r="P15">
        <v>340</v>
      </c>
      <c r="Q15" t="s">
        <v>40</v>
      </c>
      <c r="R15">
        <v>27</v>
      </c>
      <c r="S15">
        <v>1</v>
      </c>
      <c r="T15" t="s">
        <v>2110</v>
      </c>
      <c r="U15" t="s">
        <v>2111</v>
      </c>
      <c r="V15">
        <v>0</v>
      </c>
      <c r="W15" s="26" t="str">
        <f t="shared" si="0"/>
        <v>(3107,null,1,'2026-04-28 00:00:00','013311000010000','013311000010000','腹膜透析置管费',null,null,400,400,340,null,420,395,340,'次',27,1,'normal','main',0),</v>
      </c>
    </row>
    <row r="16" spans="1:23">
      <c r="A16">
        <v>3108</v>
      </c>
      <c r="B16" t="s">
        <v>2108</v>
      </c>
      <c r="C16">
        <v>1</v>
      </c>
      <c r="D16" s="20" t="s">
        <v>2109</v>
      </c>
      <c r="E16" t="s">
        <v>2112</v>
      </c>
      <c r="F16" t="s">
        <v>2112</v>
      </c>
      <c r="G16" s="14" t="s">
        <v>212</v>
      </c>
      <c r="H16" t="s">
        <v>2108</v>
      </c>
      <c r="I16" t="s">
        <v>2108</v>
      </c>
      <c r="J16">
        <v>400</v>
      </c>
      <c r="K16">
        <v>400</v>
      </c>
      <c r="L16">
        <v>340</v>
      </c>
      <c r="M16" t="s">
        <v>2108</v>
      </c>
      <c r="N16" s="14">
        <v>420</v>
      </c>
      <c r="O16">
        <v>395</v>
      </c>
      <c r="P16">
        <v>340</v>
      </c>
      <c r="Q16" t="s">
        <v>40</v>
      </c>
      <c r="R16">
        <v>27</v>
      </c>
      <c r="S16">
        <v>1</v>
      </c>
      <c r="T16" t="s">
        <v>2110</v>
      </c>
      <c r="U16" t="s">
        <v>2111</v>
      </c>
      <c r="V16">
        <v>0</v>
      </c>
      <c r="W16" s="26" t="str">
        <f t="shared" si="0"/>
        <v>(3108,null,1,'2026-04-28 00:00:00','003110000010000-311000001','003110000010000-311000001','腹膜透析置管费',null,null,400,400,340,null,420,395,340,'次',27,1,'normal','main',0),</v>
      </c>
    </row>
    <row r="17" spans="1:23">
      <c r="A17">
        <v>3109</v>
      </c>
      <c r="B17" t="s">
        <v>2108</v>
      </c>
      <c r="C17">
        <v>1</v>
      </c>
      <c r="D17" s="20" t="s">
        <v>2109</v>
      </c>
      <c r="E17" s="117" t="s">
        <v>204</v>
      </c>
      <c r="F17" s="117" t="s">
        <v>204</v>
      </c>
      <c r="G17" s="22" t="s">
        <v>220</v>
      </c>
      <c r="H17" t="s">
        <v>2108</v>
      </c>
      <c r="I17" t="s">
        <v>2108</v>
      </c>
      <c r="J17">
        <v>420</v>
      </c>
      <c r="K17">
        <v>420</v>
      </c>
      <c r="L17">
        <v>360</v>
      </c>
      <c r="M17" t="s">
        <v>2108</v>
      </c>
      <c r="N17">
        <v>420</v>
      </c>
      <c r="O17">
        <v>395</v>
      </c>
      <c r="P17">
        <v>340</v>
      </c>
      <c r="Q17" t="s">
        <v>40</v>
      </c>
      <c r="R17">
        <v>27</v>
      </c>
      <c r="S17">
        <v>1</v>
      </c>
      <c r="T17" t="s">
        <v>2110</v>
      </c>
      <c r="U17" t="s">
        <v>2111</v>
      </c>
      <c r="V17">
        <v>0</v>
      </c>
      <c r="W17" s="26" t="str">
        <f t="shared" si="0"/>
        <v>(3109,null,1,'2026-04-28 00:00:00','013311000020000','013311000020000','腹膜透析换管费',null,null,420,420,360,null,420,395,340,'次',27,1,'normal','main',0),</v>
      </c>
    </row>
    <row r="18" spans="1:23">
      <c r="A18">
        <v>3110</v>
      </c>
      <c r="B18" t="s">
        <v>2108</v>
      </c>
      <c r="C18">
        <v>1</v>
      </c>
      <c r="D18" s="20" t="s">
        <v>2109</v>
      </c>
      <c r="E18" s="116" t="s">
        <v>241</v>
      </c>
      <c r="F18" s="116" t="s">
        <v>241</v>
      </c>
      <c r="G18" t="s">
        <v>242</v>
      </c>
      <c r="H18" t="s">
        <v>2108</v>
      </c>
      <c r="I18" t="s">
        <v>2108</v>
      </c>
      <c r="J18">
        <v>400</v>
      </c>
      <c r="K18">
        <v>400</v>
      </c>
      <c r="L18">
        <v>340</v>
      </c>
      <c r="M18" t="s">
        <v>2108</v>
      </c>
      <c r="N18" s="14">
        <v>420</v>
      </c>
      <c r="O18" s="14">
        <v>395</v>
      </c>
      <c r="P18" s="14">
        <v>340</v>
      </c>
      <c r="Q18" t="s">
        <v>40</v>
      </c>
      <c r="R18">
        <v>27</v>
      </c>
      <c r="S18">
        <v>1</v>
      </c>
      <c r="T18" t="s">
        <v>2110</v>
      </c>
      <c r="U18" t="s">
        <v>2111</v>
      </c>
      <c r="V18">
        <v>0</v>
      </c>
      <c r="W18" s="26" t="str">
        <f t="shared" si="0"/>
        <v>(3110,null,1,'2026-04-28 00:00:00','013110000170000','013110000170000','腹膜透析导管取出费',null,null,400,400,340,null,420,395,340,'次',27,1,'normal','main',0),</v>
      </c>
    </row>
    <row r="19" spans="1:23">
      <c r="A19">
        <v>3111</v>
      </c>
      <c r="B19" t="s">
        <v>2108</v>
      </c>
      <c r="C19">
        <v>1</v>
      </c>
      <c r="D19" s="20" t="s">
        <v>2109</v>
      </c>
      <c r="E19" t="s">
        <v>2113</v>
      </c>
      <c r="F19" t="s">
        <v>2113</v>
      </c>
      <c r="G19" t="s">
        <v>242</v>
      </c>
      <c r="H19" t="s">
        <v>2108</v>
      </c>
      <c r="I19" t="s">
        <v>2108</v>
      </c>
      <c r="J19">
        <v>400</v>
      </c>
      <c r="K19">
        <v>400</v>
      </c>
      <c r="L19">
        <v>340</v>
      </c>
      <c r="M19" t="s">
        <v>2108</v>
      </c>
      <c r="N19" s="14">
        <v>420</v>
      </c>
      <c r="O19" s="14">
        <v>395</v>
      </c>
      <c r="P19" s="14">
        <v>340</v>
      </c>
      <c r="Q19" t="s">
        <v>40</v>
      </c>
      <c r="R19">
        <v>27</v>
      </c>
      <c r="S19">
        <v>1</v>
      </c>
      <c r="T19" t="s">
        <v>2110</v>
      </c>
      <c r="U19" t="s">
        <v>2111</v>
      </c>
      <c r="V19">
        <v>0</v>
      </c>
      <c r="W19" s="26" t="str">
        <f t="shared" si="0"/>
        <v>(3111,null,1,'2026-04-28 00:00:00','003110000010100-31100000101','003110000010100-31100000101','腹膜透析导管取出费',null,null,400,400,340,null,420,395,340,'次',27,1,'normal','main',0),</v>
      </c>
    </row>
    <row r="20" spans="1:23">
      <c r="A20">
        <v>3112</v>
      </c>
      <c r="B20" t="s">
        <v>2108</v>
      </c>
      <c r="C20">
        <v>1</v>
      </c>
      <c r="D20" s="20" t="s">
        <v>2109</v>
      </c>
      <c r="E20" t="s">
        <v>256</v>
      </c>
      <c r="F20" t="s">
        <v>256</v>
      </c>
      <c r="G20" t="s">
        <v>257</v>
      </c>
      <c r="H20" t="s">
        <v>2108</v>
      </c>
      <c r="I20" t="s">
        <v>2108</v>
      </c>
      <c r="J20">
        <v>700</v>
      </c>
      <c r="K20">
        <v>630</v>
      </c>
      <c r="L20">
        <v>535.5</v>
      </c>
      <c r="M20" t="s">
        <v>2108</v>
      </c>
      <c r="N20">
        <v>700</v>
      </c>
      <c r="O20">
        <v>630</v>
      </c>
      <c r="P20">
        <v>535</v>
      </c>
      <c r="Q20" t="s">
        <v>40</v>
      </c>
      <c r="R20">
        <v>27</v>
      </c>
      <c r="S20">
        <v>1</v>
      </c>
      <c r="T20" t="s">
        <v>2110</v>
      </c>
      <c r="U20" t="s">
        <v>2111</v>
      </c>
      <c r="V20">
        <v>0</v>
      </c>
      <c r="W20" s="26" t="str">
        <f t="shared" si="0"/>
        <v>(3112,null,1,'2026-04-28 00:00:00','003110000400000-311000040','003110000400000-311000040','体外冲击波碎石',null,null,700,630,535.5,null,700,630,535,'次',27,1,'normal','main',0),</v>
      </c>
    </row>
    <row r="21" spans="1:23">
      <c r="A21">
        <v>3113</v>
      </c>
      <c r="B21" t="s">
        <v>2108</v>
      </c>
      <c r="C21">
        <v>1</v>
      </c>
      <c r="D21" s="20" t="s">
        <v>2109</v>
      </c>
      <c r="E21" t="s">
        <v>261</v>
      </c>
      <c r="F21" t="s">
        <v>261</v>
      </c>
      <c r="G21" t="s">
        <v>262</v>
      </c>
      <c r="H21" t="s">
        <v>2108</v>
      </c>
      <c r="I21" t="s">
        <v>2108</v>
      </c>
      <c r="J21">
        <v>350</v>
      </c>
      <c r="K21">
        <v>315</v>
      </c>
      <c r="L21">
        <v>267.8</v>
      </c>
      <c r="M21" t="s">
        <v>2108</v>
      </c>
      <c r="N21">
        <v>350</v>
      </c>
      <c r="O21">
        <v>315</v>
      </c>
      <c r="P21">
        <v>268</v>
      </c>
      <c r="Q21" t="s">
        <v>40</v>
      </c>
      <c r="R21">
        <v>27</v>
      </c>
      <c r="S21">
        <v>1</v>
      </c>
      <c r="T21" t="s">
        <v>2110</v>
      </c>
      <c r="U21" t="s">
        <v>2111</v>
      </c>
      <c r="V21">
        <v>0</v>
      </c>
      <c r="W21" s="26" t="str">
        <f t="shared" si="0"/>
        <v>(3113,null,1,'2026-04-28 00:00:00','003110000400000-31100004003','003110000400000-31100004003','体外冲击波碎石（第二次）',null,null,350,315,267.8,null,350,315,268,'次',27,1,'normal','main',0),</v>
      </c>
    </row>
    <row r="22" spans="1:23">
      <c r="A22">
        <v>3114</v>
      </c>
      <c r="B22" t="s">
        <v>2108</v>
      </c>
      <c r="C22">
        <v>1</v>
      </c>
      <c r="D22" s="20" t="s">
        <v>2109</v>
      </c>
      <c r="E22" t="s">
        <v>265</v>
      </c>
      <c r="F22" t="s">
        <v>265</v>
      </c>
      <c r="G22" t="s">
        <v>266</v>
      </c>
      <c r="H22" t="s">
        <v>2108</v>
      </c>
      <c r="I22" t="s">
        <v>2108</v>
      </c>
      <c r="J22">
        <v>175</v>
      </c>
      <c r="K22">
        <v>157.5</v>
      </c>
      <c r="L22">
        <v>133.9</v>
      </c>
      <c r="M22" t="s">
        <v>2108</v>
      </c>
      <c r="N22">
        <v>175</v>
      </c>
      <c r="O22">
        <v>158</v>
      </c>
      <c r="P22">
        <v>134</v>
      </c>
      <c r="Q22" t="s">
        <v>40</v>
      </c>
      <c r="R22">
        <v>27</v>
      </c>
      <c r="S22">
        <v>1</v>
      </c>
      <c r="T22" t="s">
        <v>2110</v>
      </c>
      <c r="U22" t="s">
        <v>2111</v>
      </c>
      <c r="V22">
        <v>0</v>
      </c>
      <c r="W22" s="26" t="str">
        <f t="shared" si="0"/>
        <v>(3114,null,1,'2026-04-28 00:00:00','003110000400000-31100004006','003110000400000-31100004006','体外冲击波碎石（第三次）',null,null,175,157.5,133.9,null,175,158,134,'次',27,1,'normal','main',0),</v>
      </c>
    </row>
    <row r="23" spans="1:23">
      <c r="A23">
        <v>3115</v>
      </c>
      <c r="B23" t="s">
        <v>2108</v>
      </c>
      <c r="C23">
        <v>1</v>
      </c>
      <c r="D23" s="20" t="s">
        <v>2109</v>
      </c>
      <c r="E23" t="s">
        <v>275</v>
      </c>
      <c r="F23" t="s">
        <v>275</v>
      </c>
      <c r="G23" t="s">
        <v>276</v>
      </c>
      <c r="H23" t="s">
        <v>2108</v>
      </c>
      <c r="I23" t="s">
        <v>2108</v>
      </c>
      <c r="J23">
        <v>880</v>
      </c>
      <c r="K23">
        <v>800</v>
      </c>
      <c r="L23">
        <v>680</v>
      </c>
      <c r="M23" t="s">
        <v>2108</v>
      </c>
      <c r="N23">
        <v>815</v>
      </c>
      <c r="O23">
        <v>740</v>
      </c>
      <c r="P23">
        <v>640</v>
      </c>
      <c r="Q23" t="s">
        <v>40</v>
      </c>
      <c r="R23">
        <v>27</v>
      </c>
      <c r="S23">
        <v>1</v>
      </c>
      <c r="T23" t="s">
        <v>2110</v>
      </c>
      <c r="U23" t="s">
        <v>2111</v>
      </c>
      <c r="V23">
        <v>0</v>
      </c>
      <c r="W23" s="26" t="str">
        <f t="shared" si="0"/>
        <v>(3115,null,1,'2026-04-28 00:00:00','003110000190200-31100001901','003110000190200-31100001901','经皮肾盂镜取石术（取异物）',null,null,880,800,680,null,815,740,640,'次',27,1,'normal','main',0),</v>
      </c>
    </row>
    <row r="24" spans="1:23">
      <c r="A24">
        <v>3116</v>
      </c>
      <c r="B24" t="s">
        <v>2108</v>
      </c>
      <c r="C24">
        <v>1</v>
      </c>
      <c r="D24" s="20" t="s">
        <v>2109</v>
      </c>
      <c r="E24" t="s">
        <v>278</v>
      </c>
      <c r="F24" t="s">
        <v>278</v>
      </c>
      <c r="G24" t="s">
        <v>279</v>
      </c>
      <c r="H24" t="s">
        <v>2108</v>
      </c>
      <c r="I24" t="s">
        <v>2108</v>
      </c>
      <c r="J24">
        <v>1250</v>
      </c>
      <c r="K24">
        <v>1200</v>
      </c>
      <c r="L24">
        <v>1020</v>
      </c>
      <c r="M24" t="s">
        <v>2108</v>
      </c>
      <c r="N24">
        <v>815</v>
      </c>
      <c r="O24">
        <v>740</v>
      </c>
      <c r="P24">
        <v>640</v>
      </c>
      <c r="Q24" t="s">
        <v>40</v>
      </c>
      <c r="R24">
        <v>27</v>
      </c>
      <c r="S24">
        <v>1</v>
      </c>
      <c r="T24" t="s">
        <v>2110</v>
      </c>
      <c r="U24" t="s">
        <v>2111</v>
      </c>
      <c r="V24">
        <v>0</v>
      </c>
      <c r="W24" s="26" t="str">
        <f t="shared" si="0"/>
        <v>(3116,null,1,'2026-04-28 00:00:00','003311030270000-331103027','003311030270000-331103027','经尿道膀胱碎石取石术',null,null,1250,1200,1020,null,815,740,640,'次',27,1,'normal','main',0),</v>
      </c>
    </row>
    <row r="25" spans="1:23">
      <c r="A25">
        <v>3117</v>
      </c>
      <c r="B25" t="s">
        <v>2108</v>
      </c>
      <c r="C25">
        <v>1</v>
      </c>
      <c r="D25" s="20" t="s">
        <v>2109</v>
      </c>
      <c r="E25" t="s">
        <v>281</v>
      </c>
      <c r="F25" t="s">
        <v>281</v>
      </c>
      <c r="G25" t="s">
        <v>282</v>
      </c>
      <c r="H25" t="s">
        <v>2108</v>
      </c>
      <c r="I25" t="s">
        <v>2108</v>
      </c>
      <c r="J25">
        <v>1625</v>
      </c>
      <c r="K25">
        <v>1560</v>
      </c>
      <c r="L25">
        <v>1325</v>
      </c>
      <c r="M25" t="s">
        <v>2108</v>
      </c>
      <c r="N25">
        <v>815</v>
      </c>
      <c r="O25">
        <v>740</v>
      </c>
      <c r="P25">
        <v>640</v>
      </c>
      <c r="Q25" t="s">
        <v>40</v>
      </c>
      <c r="R25">
        <v>27</v>
      </c>
      <c r="S25">
        <v>1</v>
      </c>
      <c r="T25" t="s">
        <v>2110</v>
      </c>
      <c r="U25" t="s">
        <v>2111</v>
      </c>
      <c r="V25">
        <v>0</v>
      </c>
      <c r="W25" s="26" t="str">
        <f t="shared" si="0"/>
        <v>(3117,null,1,'2026-04-28 00:00:00','003311030270000-33110302701','003311030270000-33110302701','小儿经尿道膀胱碎石取石术',null,null,1625,1560,1325,null,815,740,640,'次',27,1,'normal','main',0),</v>
      </c>
    </row>
    <row r="26" spans="1:23">
      <c r="A26">
        <v>3118</v>
      </c>
      <c r="B26" t="s">
        <v>2108</v>
      </c>
      <c r="C26">
        <v>1</v>
      </c>
      <c r="D26" s="21" t="s">
        <v>2109</v>
      </c>
      <c r="E26" t="s">
        <v>283</v>
      </c>
      <c r="F26" t="s">
        <v>283</v>
      </c>
      <c r="G26" t="s">
        <v>284</v>
      </c>
      <c r="H26" t="s">
        <v>2108</v>
      </c>
      <c r="I26" t="s">
        <v>2108</v>
      </c>
      <c r="J26">
        <v>220</v>
      </c>
      <c r="K26">
        <v>200</v>
      </c>
      <c r="L26">
        <v>170</v>
      </c>
      <c r="M26" t="s">
        <v>2108</v>
      </c>
      <c r="N26">
        <v>815</v>
      </c>
      <c r="O26">
        <v>740</v>
      </c>
      <c r="P26">
        <v>640</v>
      </c>
      <c r="Q26" t="s">
        <v>40</v>
      </c>
      <c r="R26">
        <v>27</v>
      </c>
      <c r="S26">
        <v>1</v>
      </c>
      <c r="T26" t="s">
        <v>2110</v>
      </c>
      <c r="U26" t="s">
        <v>2111</v>
      </c>
      <c r="V26">
        <v>0</v>
      </c>
      <c r="W26" s="26" t="str">
        <f t="shared" si="0"/>
        <v>(3118,null,1,'2026-04-28 00:00:00','003110000370000-311000037','003110000370000-311000037','经尿道治疗尿失禁',null,null,220,200,170,null,815,740,640,'次',27,1,'normal','main',0),</v>
      </c>
    </row>
    <row r="27" spans="1:23">
      <c r="A27">
        <v>3119</v>
      </c>
      <c r="B27" t="s">
        <v>2108</v>
      </c>
      <c r="C27">
        <v>1</v>
      </c>
      <c r="D27" s="21" t="s">
        <v>2109</v>
      </c>
      <c r="E27" t="s">
        <v>286</v>
      </c>
      <c r="F27" t="s">
        <v>286</v>
      </c>
      <c r="G27" t="s">
        <v>287</v>
      </c>
      <c r="H27" t="s">
        <v>2108</v>
      </c>
      <c r="I27" t="s">
        <v>2108</v>
      </c>
      <c r="J27">
        <v>250</v>
      </c>
      <c r="K27">
        <v>240</v>
      </c>
      <c r="L27">
        <v>204</v>
      </c>
      <c r="M27" t="s">
        <v>2108</v>
      </c>
      <c r="N27">
        <v>815</v>
      </c>
      <c r="O27">
        <v>740</v>
      </c>
      <c r="P27">
        <v>640</v>
      </c>
      <c r="Q27" t="s">
        <v>40</v>
      </c>
      <c r="R27">
        <v>27</v>
      </c>
      <c r="S27">
        <v>1</v>
      </c>
      <c r="T27" t="s">
        <v>2110</v>
      </c>
      <c r="U27" t="s">
        <v>2111</v>
      </c>
      <c r="V27">
        <v>0</v>
      </c>
      <c r="W27" s="26" t="str">
        <f t="shared" si="0"/>
        <v>(3119,null,1,'2026-04-28 00:00:00','003312010070000-331201007','003312010070000-331201007','经尿道前列腺气囊扩张术',null,null,250,240,204,null,815,740,640,'次',27,1,'normal','main',0),</v>
      </c>
    </row>
    <row r="28" spans="1:23">
      <c r="A28">
        <v>3120</v>
      </c>
      <c r="B28" t="s">
        <v>2108</v>
      </c>
      <c r="C28">
        <v>1</v>
      </c>
      <c r="D28" s="21" t="s">
        <v>2109</v>
      </c>
      <c r="E28" t="s">
        <v>289</v>
      </c>
      <c r="F28" t="s">
        <v>289</v>
      </c>
      <c r="G28" t="s">
        <v>290</v>
      </c>
      <c r="H28" t="s">
        <v>2108</v>
      </c>
      <c r="I28" t="s">
        <v>2108</v>
      </c>
      <c r="J28">
        <v>325</v>
      </c>
      <c r="K28">
        <v>310</v>
      </c>
      <c r="L28">
        <v>265</v>
      </c>
      <c r="M28" t="s">
        <v>2108</v>
      </c>
      <c r="N28">
        <v>815</v>
      </c>
      <c r="O28">
        <v>740</v>
      </c>
      <c r="P28">
        <v>640</v>
      </c>
      <c r="Q28" t="s">
        <v>40</v>
      </c>
      <c r="R28">
        <v>27</v>
      </c>
      <c r="S28">
        <v>1</v>
      </c>
      <c r="T28" t="s">
        <v>2110</v>
      </c>
      <c r="U28" t="s">
        <v>2111</v>
      </c>
      <c r="V28">
        <v>0</v>
      </c>
      <c r="W28" s="26" t="str">
        <f t="shared" si="0"/>
        <v>(3120,null,1,'2026-04-28 00:00:00','003312010070000-33120100701','003312010070000-33120100701','小儿经尿道前列腺气囊扩张术',null,null,325,310,265,null,815,740,640,'次',27,1,'normal','main',0),</v>
      </c>
    </row>
    <row r="29" spans="1:23">
      <c r="A29">
        <v>3121</v>
      </c>
      <c r="B29" t="s">
        <v>2108</v>
      </c>
      <c r="C29">
        <v>1</v>
      </c>
      <c r="D29" s="21" t="s">
        <v>2109</v>
      </c>
      <c r="E29" t="s">
        <v>291</v>
      </c>
      <c r="F29" t="s">
        <v>291</v>
      </c>
      <c r="G29" t="s">
        <v>292</v>
      </c>
      <c r="H29" t="s">
        <v>2108</v>
      </c>
      <c r="I29" t="s">
        <v>2108</v>
      </c>
      <c r="J29">
        <v>500</v>
      </c>
      <c r="K29">
        <v>465</v>
      </c>
      <c r="L29">
        <v>394</v>
      </c>
      <c r="M29" t="s">
        <v>2108</v>
      </c>
      <c r="N29">
        <v>815</v>
      </c>
      <c r="O29">
        <v>740</v>
      </c>
      <c r="P29">
        <v>640</v>
      </c>
      <c r="Q29" t="s">
        <v>40</v>
      </c>
      <c r="R29">
        <v>27</v>
      </c>
      <c r="S29">
        <v>1</v>
      </c>
      <c r="T29" t="s">
        <v>2110</v>
      </c>
      <c r="U29" t="s">
        <v>2111</v>
      </c>
      <c r="V29">
        <v>0</v>
      </c>
      <c r="W29" s="26" t="str">
        <f t="shared" si="0"/>
        <v>(3121,null,1,'2026-04-28 00:00:00','003312010070000-33120100702','003312010070000-33120100702','经膀胱镜经尿道前列腺气囊扩张术',null,null,500,465,394,null,815,740,640,'次',27,1,'normal','main',0),</v>
      </c>
    </row>
    <row r="30" spans="1:23">
      <c r="A30">
        <v>3122</v>
      </c>
      <c r="B30" t="s">
        <v>2108</v>
      </c>
      <c r="C30">
        <v>1</v>
      </c>
      <c r="D30" s="21" t="s">
        <v>2109</v>
      </c>
      <c r="E30" t="s">
        <v>293</v>
      </c>
      <c r="F30" t="s">
        <v>293</v>
      </c>
      <c r="G30" t="s">
        <v>294</v>
      </c>
      <c r="H30" t="s">
        <v>2108</v>
      </c>
      <c r="I30" t="s">
        <v>2108</v>
      </c>
      <c r="J30">
        <v>575</v>
      </c>
      <c r="K30">
        <v>535</v>
      </c>
      <c r="L30">
        <v>455</v>
      </c>
      <c r="M30" t="s">
        <v>2108</v>
      </c>
      <c r="N30">
        <v>815</v>
      </c>
      <c r="O30">
        <v>740</v>
      </c>
      <c r="P30">
        <v>640</v>
      </c>
      <c r="Q30" t="s">
        <v>40</v>
      </c>
      <c r="R30">
        <v>27</v>
      </c>
      <c r="S30">
        <v>1</v>
      </c>
      <c r="T30" t="s">
        <v>2110</v>
      </c>
      <c r="U30" t="s">
        <v>2111</v>
      </c>
      <c r="V30">
        <v>0</v>
      </c>
      <c r="W30" s="26" t="str">
        <f t="shared" si="0"/>
        <v>(3122,null,1,'2026-04-28 00:00:00','003312010070000-33120100703','003312010070000-33120100703','小儿经膀胱镜经尿道前列腺气囊扩张术',null,null,575,535,455,null,815,740,640,'次',27,1,'normal','main',0),</v>
      </c>
    </row>
    <row r="31" spans="1:23">
      <c r="A31">
        <v>3123</v>
      </c>
      <c r="B31" t="s">
        <v>2108</v>
      </c>
      <c r="C31">
        <v>1</v>
      </c>
      <c r="D31" s="21" t="s">
        <v>2109</v>
      </c>
      <c r="E31" t="s">
        <v>295</v>
      </c>
      <c r="F31" t="s">
        <v>295</v>
      </c>
      <c r="G31" t="s">
        <v>296</v>
      </c>
      <c r="H31" t="s">
        <v>2108</v>
      </c>
      <c r="I31" t="s">
        <v>2108</v>
      </c>
      <c r="J31">
        <v>900</v>
      </c>
      <c r="K31">
        <v>810</v>
      </c>
      <c r="L31">
        <v>688.5</v>
      </c>
      <c r="M31" t="s">
        <v>2108</v>
      </c>
      <c r="N31">
        <v>815</v>
      </c>
      <c r="O31">
        <v>740</v>
      </c>
      <c r="P31">
        <v>640</v>
      </c>
      <c r="Q31" t="s">
        <v>88</v>
      </c>
      <c r="R31">
        <v>27</v>
      </c>
      <c r="S31">
        <v>1</v>
      </c>
      <c r="T31" t="s">
        <v>2110</v>
      </c>
      <c r="U31" t="s">
        <v>2111</v>
      </c>
      <c r="V31">
        <v>0</v>
      </c>
      <c r="W31" s="26" t="str">
        <f t="shared" si="0"/>
        <v>(3123,null,1,'2026-04-28 00:00:00','353312030140000-331203014','353312030140000-331203014','经精囊镜射精管疏通冲洗术',null,null,900,810,688.5,null,815,740,640,'侧',27,1,'normal','main',0),</v>
      </c>
    </row>
    <row r="32" spans="1:23">
      <c r="A32">
        <v>3124</v>
      </c>
      <c r="B32" t="s">
        <v>2108</v>
      </c>
      <c r="C32">
        <v>1</v>
      </c>
      <c r="D32" s="21" t="s">
        <v>2109</v>
      </c>
      <c r="E32" t="s">
        <v>304</v>
      </c>
      <c r="F32" t="s">
        <v>304</v>
      </c>
      <c r="G32" s="23" t="s">
        <v>305</v>
      </c>
      <c r="H32" t="s">
        <v>2108</v>
      </c>
      <c r="I32" t="s">
        <v>2108</v>
      </c>
      <c r="J32">
        <v>990</v>
      </c>
      <c r="K32">
        <v>900</v>
      </c>
      <c r="L32">
        <v>765</v>
      </c>
      <c r="M32" t="s">
        <v>2108</v>
      </c>
      <c r="N32" s="14">
        <v>2370</v>
      </c>
      <c r="O32" s="14">
        <v>2145</v>
      </c>
      <c r="P32" s="14">
        <v>1850</v>
      </c>
      <c r="Q32" t="s">
        <v>40</v>
      </c>
      <c r="R32">
        <v>27</v>
      </c>
      <c r="S32">
        <v>1</v>
      </c>
      <c r="T32" t="s">
        <v>2110</v>
      </c>
      <c r="U32" t="s">
        <v>2111</v>
      </c>
      <c r="V32">
        <v>0</v>
      </c>
      <c r="W32" s="26" t="str">
        <f t="shared" si="0"/>
        <v>(3124,null,1,'2026-04-28 00:00:00','003110000260000-311000026','003110000260000-311000026','经输尿管镜碎石取石术',null,null,990,900,765,null,2370,2145,1850,'次',27,1,'normal','main',0),</v>
      </c>
    </row>
    <row r="33" spans="1:23">
      <c r="A33">
        <v>3125</v>
      </c>
      <c r="B33" t="s">
        <v>2108</v>
      </c>
      <c r="C33">
        <v>1</v>
      </c>
      <c r="D33" s="21" t="s">
        <v>2109</v>
      </c>
      <c r="E33" t="s">
        <v>308</v>
      </c>
      <c r="F33" t="s">
        <v>308</v>
      </c>
      <c r="G33" s="23" t="s">
        <v>309</v>
      </c>
      <c r="H33" t="s">
        <v>2108</v>
      </c>
      <c r="I33" t="s">
        <v>2108</v>
      </c>
      <c r="J33">
        <v>1100</v>
      </c>
      <c r="K33">
        <v>1000</v>
      </c>
      <c r="L33">
        <v>850</v>
      </c>
      <c r="M33" t="s">
        <v>2108</v>
      </c>
      <c r="N33" s="14">
        <v>2370</v>
      </c>
      <c r="O33" s="14">
        <v>2145</v>
      </c>
      <c r="P33" s="14">
        <v>1850</v>
      </c>
      <c r="Q33" t="s">
        <v>40</v>
      </c>
      <c r="R33">
        <v>27</v>
      </c>
      <c r="S33">
        <v>1</v>
      </c>
      <c r="T33" t="s">
        <v>2110</v>
      </c>
      <c r="U33" t="s">
        <v>2111</v>
      </c>
      <c r="V33">
        <v>0</v>
      </c>
      <c r="W33" s="26" t="str">
        <f t="shared" si="0"/>
        <v>(3125,null,1,'2026-04-28 00:00:00','003110000260000-31100002601','003110000260000-31100002601','经输尿管镜碎石取石术（弹道法）',null,null,1100,1000,850,null,2370,2145,1850,'次',27,1,'normal','main',0),</v>
      </c>
    </row>
    <row r="34" spans="1:23">
      <c r="A34">
        <v>3126</v>
      </c>
      <c r="B34" t="s">
        <v>2108</v>
      </c>
      <c r="C34">
        <v>1</v>
      </c>
      <c r="D34" s="21" t="s">
        <v>2109</v>
      </c>
      <c r="E34" t="s">
        <v>311</v>
      </c>
      <c r="F34" t="s">
        <v>311</v>
      </c>
      <c r="G34" s="23" t="s">
        <v>312</v>
      </c>
      <c r="H34" t="s">
        <v>2108</v>
      </c>
      <c r="I34" t="s">
        <v>2108</v>
      </c>
      <c r="J34">
        <v>1760</v>
      </c>
      <c r="K34">
        <v>1600</v>
      </c>
      <c r="L34">
        <v>1360</v>
      </c>
      <c r="M34" t="s">
        <v>2108</v>
      </c>
      <c r="N34" s="14">
        <v>2370</v>
      </c>
      <c r="O34" s="14">
        <v>2145</v>
      </c>
      <c r="P34" s="14">
        <v>1850</v>
      </c>
      <c r="Q34" t="s">
        <v>40</v>
      </c>
      <c r="R34">
        <v>27</v>
      </c>
      <c r="S34">
        <v>1</v>
      </c>
      <c r="T34" t="s">
        <v>2110</v>
      </c>
      <c r="U34" t="s">
        <v>2111</v>
      </c>
      <c r="V34">
        <v>0</v>
      </c>
      <c r="W34" s="26" t="str">
        <f t="shared" si="0"/>
        <v>(3126,null,1,'2026-04-28 00:00:00','003110000260000-31100002602','003110000260000-31100002602','经输尿管镜碎石取石术（激光法）',null,null,1760,1600,1360,null,2370,2145,1850,'次',27,1,'normal','main',0),</v>
      </c>
    </row>
    <row r="35" spans="1:23">
      <c r="A35">
        <v>3127</v>
      </c>
      <c r="B35" t="s">
        <v>2108</v>
      </c>
      <c r="C35">
        <v>1</v>
      </c>
      <c r="D35" s="21" t="s">
        <v>2109</v>
      </c>
      <c r="E35" t="s">
        <v>314</v>
      </c>
      <c r="F35" t="s">
        <v>314</v>
      </c>
      <c r="G35" s="23" t="s">
        <v>315</v>
      </c>
      <c r="H35" t="s">
        <v>2108</v>
      </c>
      <c r="I35" t="s">
        <v>2108</v>
      </c>
      <c r="J35">
        <v>176</v>
      </c>
      <c r="K35">
        <v>160</v>
      </c>
      <c r="L35">
        <v>136</v>
      </c>
      <c r="M35" t="s">
        <v>2108</v>
      </c>
      <c r="N35" s="15">
        <v>2370</v>
      </c>
      <c r="O35" s="15">
        <v>2145</v>
      </c>
      <c r="P35" s="15">
        <v>1850</v>
      </c>
      <c r="Q35" t="s">
        <v>40</v>
      </c>
      <c r="R35">
        <v>27</v>
      </c>
      <c r="S35">
        <v>1</v>
      </c>
      <c r="T35" t="s">
        <v>2110</v>
      </c>
      <c r="U35" t="s">
        <v>2111</v>
      </c>
      <c r="V35">
        <v>0</v>
      </c>
      <c r="W35" s="26" t="str">
        <f t="shared" si="0"/>
        <v>(3127,null,1,'2026-04-28 00:00:00','003110000350000-311000035','003110000350000-311000035','经膀胱镜尿道镜特殊治疗',null,null,176,160,136,null,2370,2145,1850,'次',27,1,'normal','main',0),</v>
      </c>
    </row>
    <row r="36" spans="1:23">
      <c r="A36">
        <v>3128</v>
      </c>
      <c r="B36" t="s">
        <v>2108</v>
      </c>
      <c r="C36">
        <v>1</v>
      </c>
      <c r="D36" s="21" t="s">
        <v>2109</v>
      </c>
      <c r="E36" t="s">
        <v>317</v>
      </c>
      <c r="F36" t="s">
        <v>317</v>
      </c>
      <c r="G36" s="23" t="s">
        <v>318</v>
      </c>
      <c r="H36" t="s">
        <v>2108</v>
      </c>
      <c r="I36" t="s">
        <v>2108</v>
      </c>
      <c r="J36">
        <v>231</v>
      </c>
      <c r="K36">
        <v>210</v>
      </c>
      <c r="L36">
        <v>178.5</v>
      </c>
      <c r="M36" t="s">
        <v>2108</v>
      </c>
      <c r="N36" s="15">
        <v>2370</v>
      </c>
      <c r="O36" s="15">
        <v>2145</v>
      </c>
      <c r="P36" s="15">
        <v>1850</v>
      </c>
      <c r="Q36" t="s">
        <v>40</v>
      </c>
      <c r="R36">
        <v>27</v>
      </c>
      <c r="S36">
        <v>1</v>
      </c>
      <c r="T36" t="s">
        <v>2110</v>
      </c>
      <c r="U36" t="s">
        <v>2111</v>
      </c>
      <c r="V36">
        <v>0</v>
      </c>
      <c r="W36" s="26" t="str">
        <f t="shared" si="0"/>
        <v>(3128,null,1,'2026-04-28 00:00:00','003110000350000-31100003501','003110000350000-31100003501','经膀胱镜尿道镜特殊治疗（激光法）',null,null,231,210,178.5,null,2370,2145,1850,'次',27,1,'normal','main',0),</v>
      </c>
    </row>
    <row r="37" spans="1:23">
      <c r="A37">
        <v>3129</v>
      </c>
      <c r="B37" t="s">
        <v>2108</v>
      </c>
      <c r="C37">
        <v>1</v>
      </c>
      <c r="D37" s="21" t="s">
        <v>2109</v>
      </c>
      <c r="E37" t="s">
        <v>319</v>
      </c>
      <c r="F37" t="s">
        <v>319</v>
      </c>
      <c r="G37" s="23" t="s">
        <v>320</v>
      </c>
      <c r="H37" t="s">
        <v>2108</v>
      </c>
      <c r="I37" t="s">
        <v>2108</v>
      </c>
      <c r="J37">
        <v>2530</v>
      </c>
      <c r="K37">
        <v>2280</v>
      </c>
      <c r="L37">
        <v>1940</v>
      </c>
      <c r="M37" t="s">
        <v>2108</v>
      </c>
      <c r="N37" s="24">
        <v>1875</v>
      </c>
      <c r="O37" s="24">
        <v>1700</v>
      </c>
      <c r="P37" s="24">
        <v>1470</v>
      </c>
      <c r="Q37" t="s">
        <v>40</v>
      </c>
      <c r="R37">
        <v>27</v>
      </c>
      <c r="S37">
        <v>1</v>
      </c>
      <c r="T37" t="s">
        <v>2110</v>
      </c>
      <c r="U37" t="s">
        <v>2111</v>
      </c>
      <c r="V37">
        <v>0</v>
      </c>
      <c r="W37" s="26" t="str">
        <f t="shared" si="0"/>
        <v>(3129,null,1,'2026-04-28 00:00:00','003311030260000-331103026','003311030260000-331103026','经尿道膀胱肿瘤特殊治疗',null,null,2530,2280,1940,null,1875,1700,1470,'次',27,1,'normal','main',0),</v>
      </c>
    </row>
    <row r="38" spans="1:23">
      <c r="A38">
        <v>3130</v>
      </c>
      <c r="B38" t="s">
        <v>2108</v>
      </c>
      <c r="C38">
        <v>1</v>
      </c>
      <c r="D38" s="21" t="s">
        <v>2109</v>
      </c>
      <c r="E38" t="s">
        <v>323</v>
      </c>
      <c r="F38" t="s">
        <v>323</v>
      </c>
      <c r="G38" s="23" t="s">
        <v>324</v>
      </c>
      <c r="H38" t="s">
        <v>2108</v>
      </c>
      <c r="I38" t="s">
        <v>2108</v>
      </c>
      <c r="J38">
        <v>2590</v>
      </c>
      <c r="K38">
        <v>2330</v>
      </c>
      <c r="L38">
        <v>1980</v>
      </c>
      <c r="M38" t="s">
        <v>2108</v>
      </c>
      <c r="N38">
        <v>1875</v>
      </c>
      <c r="O38">
        <v>1700</v>
      </c>
      <c r="P38">
        <v>1470</v>
      </c>
      <c r="Q38" t="s">
        <v>40</v>
      </c>
      <c r="R38">
        <v>27</v>
      </c>
      <c r="S38">
        <v>1</v>
      </c>
      <c r="T38" t="s">
        <v>2110</v>
      </c>
      <c r="U38" t="s">
        <v>2111</v>
      </c>
      <c r="V38">
        <v>0</v>
      </c>
      <c r="W38" s="26" t="str">
        <f t="shared" si="0"/>
        <v>(3130,null,1,'2026-04-28 00:00:00','003311030260000-33110302601','003311030260000-33110302601','经尿道膀胱肿瘤特殊治疗（电切法）',null,null,2590,2330,1980,null,1875,1700,1470,'次',27,1,'normal','main',0),</v>
      </c>
    </row>
    <row r="39" spans="1:23">
      <c r="A39">
        <v>3131</v>
      </c>
      <c r="B39" t="s">
        <v>2108</v>
      </c>
      <c r="C39">
        <v>1</v>
      </c>
      <c r="D39" s="21" t="s">
        <v>2109</v>
      </c>
      <c r="E39" t="s">
        <v>326</v>
      </c>
      <c r="F39" t="s">
        <v>326</v>
      </c>
      <c r="G39" s="23" t="s">
        <v>327</v>
      </c>
      <c r="H39" t="s">
        <v>2108</v>
      </c>
      <c r="I39" t="s">
        <v>2108</v>
      </c>
      <c r="J39">
        <v>3290</v>
      </c>
      <c r="K39">
        <v>2965</v>
      </c>
      <c r="L39">
        <v>2520</v>
      </c>
      <c r="M39" t="s">
        <v>2108</v>
      </c>
      <c r="N39">
        <v>1875</v>
      </c>
      <c r="O39">
        <v>1700</v>
      </c>
      <c r="P39">
        <v>1470</v>
      </c>
      <c r="Q39" t="s">
        <v>40</v>
      </c>
      <c r="R39">
        <v>27</v>
      </c>
      <c r="S39">
        <v>1</v>
      </c>
      <c r="T39" t="s">
        <v>2110</v>
      </c>
      <c r="U39" t="s">
        <v>2111</v>
      </c>
      <c r="V39">
        <v>0</v>
      </c>
      <c r="W39" s="26" t="str">
        <f t="shared" si="0"/>
        <v>(3131,null,1,'2026-04-28 00:00:00','003311030260000-33110302602','003311030260000-33110302602','小儿经尿道膀胱肿瘤特殊治疗',null,null,3290,2965,2520,null,1875,1700,1470,'次',27,1,'normal','main',0),</v>
      </c>
    </row>
    <row r="40" spans="1:23">
      <c r="A40">
        <v>3132</v>
      </c>
      <c r="B40" t="s">
        <v>2108</v>
      </c>
      <c r="C40">
        <v>1</v>
      </c>
      <c r="D40" s="21" t="s">
        <v>2109</v>
      </c>
      <c r="E40" t="s">
        <v>328</v>
      </c>
      <c r="F40" t="s">
        <v>328</v>
      </c>
      <c r="G40" s="23" t="s">
        <v>329</v>
      </c>
      <c r="H40" t="s">
        <v>2108</v>
      </c>
      <c r="I40" t="s">
        <v>2108</v>
      </c>
      <c r="J40">
        <v>3365</v>
      </c>
      <c r="K40">
        <v>3030</v>
      </c>
      <c r="L40">
        <v>2575</v>
      </c>
      <c r="M40" t="s">
        <v>2108</v>
      </c>
      <c r="N40">
        <v>1875</v>
      </c>
      <c r="O40">
        <v>1700</v>
      </c>
      <c r="P40">
        <v>1470</v>
      </c>
      <c r="Q40" t="s">
        <v>40</v>
      </c>
      <c r="R40">
        <v>27</v>
      </c>
      <c r="S40">
        <v>1</v>
      </c>
      <c r="T40" t="s">
        <v>2110</v>
      </c>
      <c r="U40" t="s">
        <v>2111</v>
      </c>
      <c r="V40">
        <v>0</v>
      </c>
      <c r="W40" s="26" t="str">
        <f t="shared" si="0"/>
        <v>(3132,null,1,'2026-04-28 00:00:00','003311030260000-33110302603','003311030260000-33110302603','小儿经尿道膀胱肿瘤特殊治疗（电切法）',null,null,3365,3030,2575,null,1875,1700,1470,'次',27,1,'normal','main',0),</v>
      </c>
    </row>
    <row r="41" spans="1:23">
      <c r="A41">
        <v>3133</v>
      </c>
      <c r="B41" t="s">
        <v>2108</v>
      </c>
      <c r="C41">
        <v>1</v>
      </c>
      <c r="D41" s="21" t="s">
        <v>2109</v>
      </c>
      <c r="E41" t="s">
        <v>330</v>
      </c>
      <c r="F41" t="s">
        <v>330</v>
      </c>
      <c r="G41" s="23" t="s">
        <v>331</v>
      </c>
      <c r="H41" t="s">
        <v>2108</v>
      </c>
      <c r="I41" t="s">
        <v>2108</v>
      </c>
      <c r="J41">
        <v>2780</v>
      </c>
      <c r="K41">
        <v>2505</v>
      </c>
      <c r="L41">
        <v>2130</v>
      </c>
      <c r="M41" t="s">
        <v>2108</v>
      </c>
      <c r="N41" s="14">
        <v>2007</v>
      </c>
      <c r="O41" s="14">
        <v>1820</v>
      </c>
      <c r="P41" s="14">
        <v>1572</v>
      </c>
      <c r="Q41" t="s">
        <v>40</v>
      </c>
      <c r="R41">
        <v>27</v>
      </c>
      <c r="S41">
        <v>1</v>
      </c>
      <c r="T41" t="s">
        <v>2110</v>
      </c>
      <c r="U41" t="s">
        <v>2111</v>
      </c>
      <c r="V41">
        <v>0</v>
      </c>
      <c r="W41" s="26" t="str">
        <f t="shared" si="0"/>
        <v>(3133,null,1,'2026-04-28 00:00:00','003311030260000-33110302604','003311030260000-33110302604','经膀胱镜下经尿道膀胱肿瘤特殊治疗',null,null,2780,2505,2130,null,2007,1820,1572,'次',27,1,'normal','main',0),</v>
      </c>
    </row>
    <row r="42" spans="1:23">
      <c r="A42">
        <v>3134</v>
      </c>
      <c r="B42" t="s">
        <v>2108</v>
      </c>
      <c r="C42">
        <v>1</v>
      </c>
      <c r="D42" s="21" t="s">
        <v>2109</v>
      </c>
      <c r="E42" t="s">
        <v>333</v>
      </c>
      <c r="F42" t="s">
        <v>333</v>
      </c>
      <c r="G42" s="23" t="s">
        <v>334</v>
      </c>
      <c r="H42" t="s">
        <v>2108</v>
      </c>
      <c r="I42" t="s">
        <v>2108</v>
      </c>
      <c r="J42">
        <v>2840</v>
      </c>
      <c r="K42">
        <v>2555</v>
      </c>
      <c r="L42">
        <v>2170</v>
      </c>
      <c r="M42" t="s">
        <v>2108</v>
      </c>
      <c r="N42" s="14">
        <v>2007</v>
      </c>
      <c r="O42" s="14">
        <v>1820</v>
      </c>
      <c r="P42" s="14">
        <v>1572</v>
      </c>
      <c r="Q42" t="s">
        <v>40</v>
      </c>
      <c r="R42">
        <v>27</v>
      </c>
      <c r="S42">
        <v>1</v>
      </c>
      <c r="T42" t="s">
        <v>2110</v>
      </c>
      <c r="U42" t="s">
        <v>2111</v>
      </c>
      <c r="V42">
        <v>0</v>
      </c>
      <c r="W42" s="26" t="str">
        <f t="shared" si="0"/>
        <v>(3134,null,1,'2026-04-28 00:00:00','003311030260000-33110302605','003311030260000-33110302605','经膀胱镜下经尿道膀胱肿瘤特殊治疗（电切法）',null,null,2840,2555,2170,null,2007,1820,1572,'次',27,1,'normal','main',0),</v>
      </c>
    </row>
    <row r="43" spans="1:23">
      <c r="A43">
        <v>3135</v>
      </c>
      <c r="B43" t="s">
        <v>2108</v>
      </c>
      <c r="C43">
        <v>1</v>
      </c>
      <c r="D43" s="21" t="s">
        <v>2109</v>
      </c>
      <c r="E43" t="s">
        <v>335</v>
      </c>
      <c r="F43" t="s">
        <v>335</v>
      </c>
      <c r="G43" s="23" t="s">
        <v>336</v>
      </c>
      <c r="H43" t="s">
        <v>2108</v>
      </c>
      <c r="I43" t="s">
        <v>2108</v>
      </c>
      <c r="J43">
        <v>3540</v>
      </c>
      <c r="K43">
        <v>3190</v>
      </c>
      <c r="L43">
        <v>2710</v>
      </c>
      <c r="M43" t="s">
        <v>2108</v>
      </c>
      <c r="N43" s="14">
        <v>2007</v>
      </c>
      <c r="O43" s="14">
        <v>1820</v>
      </c>
      <c r="P43" s="14">
        <v>1572</v>
      </c>
      <c r="Q43" t="s">
        <v>40</v>
      </c>
      <c r="R43">
        <v>27</v>
      </c>
      <c r="S43">
        <v>1</v>
      </c>
      <c r="T43" t="s">
        <v>2110</v>
      </c>
      <c r="U43" t="s">
        <v>2111</v>
      </c>
      <c r="V43">
        <v>0</v>
      </c>
      <c r="W43" s="26" t="str">
        <f t="shared" si="0"/>
        <v>(3135,null,1,'2026-04-28 00:00:00','003311030260000-33110302606','003311030260000-33110302606','小儿经膀胱镜下经尿道膀胱肿瘤特殊治疗',null,null,3540,3190,2710,null,2007,1820,1572,'次',27,1,'normal','main',0),</v>
      </c>
    </row>
    <row r="44" spans="1:23">
      <c r="A44">
        <v>3136</v>
      </c>
      <c r="B44" t="s">
        <v>2108</v>
      </c>
      <c r="C44">
        <v>1</v>
      </c>
      <c r="D44" s="21" t="s">
        <v>2109</v>
      </c>
      <c r="E44" t="s">
        <v>337</v>
      </c>
      <c r="F44" t="s">
        <v>337</v>
      </c>
      <c r="G44" s="23" t="s">
        <v>338</v>
      </c>
      <c r="H44" t="s">
        <v>2108</v>
      </c>
      <c r="I44" t="s">
        <v>2108</v>
      </c>
      <c r="J44">
        <v>3615</v>
      </c>
      <c r="K44">
        <v>3255</v>
      </c>
      <c r="L44">
        <v>2765</v>
      </c>
      <c r="M44" t="s">
        <v>2108</v>
      </c>
      <c r="N44" s="14">
        <v>2007</v>
      </c>
      <c r="O44" s="14">
        <v>1820</v>
      </c>
      <c r="P44" s="14">
        <v>1572</v>
      </c>
      <c r="Q44" t="s">
        <v>40</v>
      </c>
      <c r="R44">
        <v>27</v>
      </c>
      <c r="S44">
        <v>1</v>
      </c>
      <c r="T44" t="s">
        <v>2110</v>
      </c>
      <c r="U44" t="s">
        <v>2111</v>
      </c>
      <c r="V44">
        <v>0</v>
      </c>
      <c r="W44" s="26" t="str">
        <f t="shared" si="0"/>
        <v>(3136,null,1,'2026-04-28 00:00:00','003311030260000-33110302607','003311030260000-33110302607','小儿经膀胱镜下经尿道膀胱肿瘤特殊治疗（电切法）',null,null,3615,3255,2765,null,2007,1820,1572,'次',27,1,'normal','main',0),</v>
      </c>
    </row>
    <row r="45" spans="1:23">
      <c r="A45">
        <v>3137</v>
      </c>
      <c r="B45" t="s">
        <v>2108</v>
      </c>
      <c r="C45">
        <v>1</v>
      </c>
      <c r="D45" s="21" t="s">
        <v>2109</v>
      </c>
      <c r="E45" t="s">
        <v>339</v>
      </c>
      <c r="F45" t="s">
        <v>339</v>
      </c>
      <c r="G45" s="23" t="s">
        <v>340</v>
      </c>
      <c r="H45" t="s">
        <v>2108</v>
      </c>
      <c r="I45" t="s">
        <v>2108</v>
      </c>
      <c r="J45">
        <v>1500</v>
      </c>
      <c r="K45">
        <v>1425</v>
      </c>
      <c r="L45">
        <v>1210</v>
      </c>
      <c r="M45" t="s">
        <v>2108</v>
      </c>
      <c r="N45" s="14">
        <v>2007</v>
      </c>
      <c r="O45" s="14">
        <v>1820</v>
      </c>
      <c r="P45" s="14">
        <v>1572</v>
      </c>
      <c r="Q45" t="s">
        <v>40</v>
      </c>
      <c r="R45">
        <v>27</v>
      </c>
      <c r="S45">
        <v>1</v>
      </c>
      <c r="T45" t="s">
        <v>2110</v>
      </c>
      <c r="U45" t="s">
        <v>2111</v>
      </c>
      <c r="V45">
        <v>0</v>
      </c>
      <c r="W45" s="26" t="str">
        <f t="shared" si="0"/>
        <v>(3137,null,1,'2026-04-28 00:00:00','003311030270000-33110302702','003311030270000-33110302702','膀胱镜下经尿道膀胱碎石取石术',null,null,1500,1425,1210,null,2007,1820,1572,'次',27,1,'normal','main',0),</v>
      </c>
    </row>
    <row r="46" spans="1:23">
      <c r="A46">
        <v>3138</v>
      </c>
      <c r="B46" t="s">
        <v>2108</v>
      </c>
      <c r="C46">
        <v>1</v>
      </c>
      <c r="D46" s="21" t="s">
        <v>2109</v>
      </c>
      <c r="E46" t="s">
        <v>341</v>
      </c>
      <c r="F46" t="s">
        <v>341</v>
      </c>
      <c r="G46" s="23" t="s">
        <v>342</v>
      </c>
      <c r="H46" t="s">
        <v>2108</v>
      </c>
      <c r="I46" t="s">
        <v>2108</v>
      </c>
      <c r="J46">
        <v>1875</v>
      </c>
      <c r="K46">
        <v>1785</v>
      </c>
      <c r="L46">
        <v>1515</v>
      </c>
      <c r="M46" t="s">
        <v>2108</v>
      </c>
      <c r="N46" s="14">
        <v>2007</v>
      </c>
      <c r="O46" s="14">
        <v>1820</v>
      </c>
      <c r="P46" s="14">
        <v>1572</v>
      </c>
      <c r="Q46" t="s">
        <v>40</v>
      </c>
      <c r="R46">
        <v>27</v>
      </c>
      <c r="S46">
        <v>1</v>
      </c>
      <c r="T46" t="s">
        <v>2110</v>
      </c>
      <c r="U46" t="s">
        <v>2111</v>
      </c>
      <c r="V46">
        <v>0</v>
      </c>
      <c r="W46" s="26" t="str">
        <f t="shared" si="0"/>
        <v>(3138,null,1,'2026-04-28 00:00:00','003311030270000-33110302703','003311030270000-33110302703','小儿膀胱镜下经尿道膀胱碎石取石术',null,null,1875,1785,1515,null,2007,1820,1572,'次',27,1,'normal','main',0),</v>
      </c>
    </row>
    <row r="47" spans="1:23">
      <c r="A47">
        <v>3139</v>
      </c>
      <c r="B47" t="s">
        <v>2108</v>
      </c>
      <c r="C47">
        <v>1</v>
      </c>
      <c r="D47" s="21" t="s">
        <v>2109</v>
      </c>
      <c r="E47" t="s">
        <v>343</v>
      </c>
      <c r="F47" t="s">
        <v>343</v>
      </c>
      <c r="G47" s="23" t="s">
        <v>344</v>
      </c>
      <c r="H47" t="s">
        <v>2108</v>
      </c>
      <c r="I47" t="s">
        <v>2108</v>
      </c>
      <c r="J47">
        <v>2530</v>
      </c>
      <c r="K47">
        <v>2280</v>
      </c>
      <c r="L47">
        <v>1940</v>
      </c>
      <c r="M47" t="s">
        <v>2108</v>
      </c>
      <c r="N47" s="24">
        <v>1875</v>
      </c>
      <c r="O47" s="24">
        <v>1700</v>
      </c>
      <c r="P47" s="24">
        <v>1470</v>
      </c>
      <c r="Q47" t="s">
        <v>40</v>
      </c>
      <c r="R47">
        <v>27</v>
      </c>
      <c r="S47">
        <v>1</v>
      </c>
      <c r="T47" t="s">
        <v>2110</v>
      </c>
      <c r="U47" t="s">
        <v>2111</v>
      </c>
      <c r="V47">
        <v>0</v>
      </c>
      <c r="W47" s="26" t="str">
        <f t="shared" si="0"/>
        <v>(3139,null,1,'2026-04-28 00:00:00','003312010060000-331201006','003312010060000-331201006','经尿道前列腺电切术',null,null,2530,2280,1940,null,1875,1700,1470,'次',27,1,'normal','main',0),</v>
      </c>
    </row>
    <row r="48" spans="1:23">
      <c r="A48">
        <v>3140</v>
      </c>
      <c r="B48" t="s">
        <v>2108</v>
      </c>
      <c r="C48">
        <v>1</v>
      </c>
      <c r="D48" s="21" t="s">
        <v>2109</v>
      </c>
      <c r="E48" t="s">
        <v>346</v>
      </c>
      <c r="F48" t="s">
        <v>346</v>
      </c>
      <c r="G48" s="23" t="s">
        <v>347</v>
      </c>
      <c r="H48" t="s">
        <v>2108</v>
      </c>
      <c r="I48" t="s">
        <v>2108</v>
      </c>
      <c r="J48">
        <v>3635</v>
      </c>
      <c r="K48">
        <v>3270</v>
      </c>
      <c r="L48">
        <v>2780</v>
      </c>
      <c r="M48" t="s">
        <v>2108</v>
      </c>
      <c r="N48">
        <v>1875</v>
      </c>
      <c r="O48">
        <v>1700</v>
      </c>
      <c r="P48">
        <v>1470</v>
      </c>
      <c r="Q48" t="s">
        <v>40</v>
      </c>
      <c r="R48">
        <v>27</v>
      </c>
      <c r="S48">
        <v>1</v>
      </c>
      <c r="T48" t="s">
        <v>2110</v>
      </c>
      <c r="U48" t="s">
        <v>2111</v>
      </c>
      <c r="V48">
        <v>0</v>
      </c>
      <c r="W48" s="26" t="str">
        <f t="shared" si="0"/>
        <v>(3140,null,1,'2026-04-28 00:00:00','003312010060000-33120100601','003312010060000-33120100601','经尿道前列腺电切术（电切法）',null,null,3635,3270,2780,null,1875,1700,1470,'次',27,1,'normal','main',0),</v>
      </c>
    </row>
    <row r="49" spans="1:23">
      <c r="A49">
        <v>3141</v>
      </c>
      <c r="B49" t="s">
        <v>2108</v>
      </c>
      <c r="C49">
        <v>1</v>
      </c>
      <c r="D49" s="21" t="s">
        <v>2109</v>
      </c>
      <c r="E49" t="s">
        <v>348</v>
      </c>
      <c r="F49" t="s">
        <v>348</v>
      </c>
      <c r="G49" s="23" t="s">
        <v>349</v>
      </c>
      <c r="H49" t="s">
        <v>2108</v>
      </c>
      <c r="I49" t="s">
        <v>2108</v>
      </c>
      <c r="J49">
        <v>3310</v>
      </c>
      <c r="K49">
        <v>2980</v>
      </c>
      <c r="L49">
        <v>2530</v>
      </c>
      <c r="M49" t="s">
        <v>2108</v>
      </c>
      <c r="N49">
        <v>1875</v>
      </c>
      <c r="O49">
        <v>1700</v>
      </c>
      <c r="P49">
        <v>1470</v>
      </c>
      <c r="Q49" t="s">
        <v>40</v>
      </c>
      <c r="R49">
        <v>27</v>
      </c>
      <c r="S49">
        <v>1</v>
      </c>
      <c r="T49" t="s">
        <v>2110</v>
      </c>
      <c r="U49" t="s">
        <v>2111</v>
      </c>
      <c r="V49">
        <v>0</v>
      </c>
      <c r="W49" s="26" t="str">
        <f t="shared" si="0"/>
        <v>(3141,null,1,'2026-04-28 00:00:00','003312010060000-33120100602','003312010060000-33120100602','经尿道前列腺电切术（等离子法）',null,null,3310,2980,2530,null,1875,1700,1470,'次',27,1,'normal','main',0),</v>
      </c>
    </row>
    <row r="50" spans="1:23">
      <c r="A50">
        <v>3142</v>
      </c>
      <c r="B50" t="s">
        <v>2108</v>
      </c>
      <c r="C50">
        <v>1</v>
      </c>
      <c r="D50" s="21" t="s">
        <v>2109</v>
      </c>
      <c r="E50" t="s">
        <v>351</v>
      </c>
      <c r="F50" t="s">
        <v>351</v>
      </c>
      <c r="G50" s="23" t="s">
        <v>352</v>
      </c>
      <c r="H50" t="s">
        <v>2108</v>
      </c>
      <c r="I50" t="s">
        <v>2108</v>
      </c>
      <c r="J50">
        <v>3290</v>
      </c>
      <c r="K50">
        <v>2965</v>
      </c>
      <c r="L50">
        <v>2520</v>
      </c>
      <c r="M50" t="s">
        <v>2108</v>
      </c>
      <c r="N50">
        <v>1875</v>
      </c>
      <c r="O50">
        <v>1700</v>
      </c>
      <c r="P50">
        <v>1470</v>
      </c>
      <c r="Q50" t="s">
        <v>40</v>
      </c>
      <c r="R50">
        <v>27</v>
      </c>
      <c r="S50">
        <v>1</v>
      </c>
      <c r="T50" t="s">
        <v>2110</v>
      </c>
      <c r="U50" t="s">
        <v>2111</v>
      </c>
      <c r="V50">
        <v>0</v>
      </c>
      <c r="W50" s="26" t="str">
        <f t="shared" si="0"/>
        <v>(3142,null,1,'2026-04-28 00:00:00','003312010060000-33120100603','003312010060000-33120100603','小儿经尿道前列腺电切术',null,null,3290,2965,2520,null,1875,1700,1470,'次',27,1,'normal','main',0),</v>
      </c>
    </row>
    <row r="51" spans="1:23">
      <c r="A51">
        <v>3143</v>
      </c>
      <c r="B51" t="s">
        <v>2108</v>
      </c>
      <c r="C51">
        <v>1</v>
      </c>
      <c r="D51" s="21" t="s">
        <v>2109</v>
      </c>
      <c r="E51" t="s">
        <v>353</v>
      </c>
      <c r="F51" t="s">
        <v>353</v>
      </c>
      <c r="G51" s="23" t="s">
        <v>354</v>
      </c>
      <c r="H51" t="s">
        <v>2108</v>
      </c>
      <c r="I51" t="s">
        <v>2108</v>
      </c>
      <c r="J51">
        <v>4725</v>
      </c>
      <c r="K51">
        <v>4250</v>
      </c>
      <c r="L51">
        <v>3615</v>
      </c>
      <c r="M51" t="s">
        <v>2108</v>
      </c>
      <c r="N51">
        <v>1875</v>
      </c>
      <c r="O51">
        <v>1700</v>
      </c>
      <c r="P51">
        <v>1470</v>
      </c>
      <c r="Q51" t="s">
        <v>40</v>
      </c>
      <c r="R51">
        <v>27</v>
      </c>
      <c r="S51">
        <v>1</v>
      </c>
      <c r="T51" t="s">
        <v>2110</v>
      </c>
      <c r="U51" t="s">
        <v>2111</v>
      </c>
      <c r="V51">
        <v>0</v>
      </c>
      <c r="W51" s="26" t="str">
        <f t="shared" si="0"/>
        <v>(3143,null,1,'2026-04-28 00:00:00','003312010060000-33120100604','003312010060000-33120100604','小儿经尿道前列腺电切术（电切法）',null,null,4725,4250,3615,null,1875,1700,1470,'次',27,1,'normal','main',0),</v>
      </c>
    </row>
    <row r="52" spans="1:23">
      <c r="A52">
        <v>3144</v>
      </c>
      <c r="B52" t="s">
        <v>2108</v>
      </c>
      <c r="C52">
        <v>1</v>
      </c>
      <c r="D52" s="21" t="s">
        <v>2109</v>
      </c>
      <c r="E52" t="s">
        <v>355</v>
      </c>
      <c r="F52" t="s">
        <v>355</v>
      </c>
      <c r="G52" s="23" t="s">
        <v>356</v>
      </c>
      <c r="H52" t="s">
        <v>2108</v>
      </c>
      <c r="I52" t="s">
        <v>2108</v>
      </c>
      <c r="J52">
        <v>4305</v>
      </c>
      <c r="K52">
        <v>3875</v>
      </c>
      <c r="L52">
        <v>3295</v>
      </c>
      <c r="M52" t="s">
        <v>2108</v>
      </c>
      <c r="N52">
        <v>1875</v>
      </c>
      <c r="O52">
        <v>1700</v>
      </c>
      <c r="P52">
        <v>1470</v>
      </c>
      <c r="Q52" t="s">
        <v>40</v>
      </c>
      <c r="R52">
        <v>27</v>
      </c>
      <c r="S52">
        <v>1</v>
      </c>
      <c r="T52" t="s">
        <v>2110</v>
      </c>
      <c r="U52" t="s">
        <v>2111</v>
      </c>
      <c r="V52">
        <v>0</v>
      </c>
      <c r="W52" s="26" t="str">
        <f t="shared" si="0"/>
        <v>(3144,null,1,'2026-04-28 00:00:00','003312010060000-33120100605','003312010060000-33120100605','小儿经尿道前列腺电切术（等离子法）',null,null,4305,3875,3295,null,1875,1700,1470,'次',27,1,'normal','main',0),</v>
      </c>
    </row>
    <row r="53" spans="1:23">
      <c r="A53">
        <v>3145</v>
      </c>
      <c r="B53" t="s">
        <v>2108</v>
      </c>
      <c r="C53">
        <v>1</v>
      </c>
      <c r="D53" s="21" t="s">
        <v>2109</v>
      </c>
      <c r="E53" t="s">
        <v>357</v>
      </c>
      <c r="F53" t="s">
        <v>357</v>
      </c>
      <c r="G53" s="23" t="s">
        <v>358</v>
      </c>
      <c r="H53" t="s">
        <v>2108</v>
      </c>
      <c r="I53" t="s">
        <v>2108</v>
      </c>
      <c r="J53">
        <v>2780</v>
      </c>
      <c r="K53">
        <v>2505</v>
      </c>
      <c r="L53">
        <v>2130</v>
      </c>
      <c r="M53" t="s">
        <v>2108</v>
      </c>
      <c r="N53" s="14">
        <v>2007</v>
      </c>
      <c r="O53" s="14">
        <v>1820</v>
      </c>
      <c r="P53" s="14">
        <v>1572</v>
      </c>
      <c r="Q53" t="s">
        <v>40</v>
      </c>
      <c r="R53">
        <v>27</v>
      </c>
      <c r="S53">
        <v>1</v>
      </c>
      <c r="T53" t="s">
        <v>2110</v>
      </c>
      <c r="U53" t="s">
        <v>2111</v>
      </c>
      <c r="V53">
        <v>0</v>
      </c>
      <c r="W53" s="26" t="str">
        <f t="shared" si="0"/>
        <v>(3145,null,1,'2026-04-28 00:00:00','003312010060000-33120100606','003312010060000-33120100606','经膀胱镜经尿道前列腺电切术',null,null,2780,2505,2130,null,2007,1820,1572,'次',27,1,'normal','main',0),</v>
      </c>
    </row>
    <row r="54" spans="1:23">
      <c r="A54">
        <v>3146</v>
      </c>
      <c r="B54" t="s">
        <v>2108</v>
      </c>
      <c r="C54">
        <v>1</v>
      </c>
      <c r="D54" s="21" t="s">
        <v>2109</v>
      </c>
      <c r="E54" t="s">
        <v>359</v>
      </c>
      <c r="F54" t="s">
        <v>359</v>
      </c>
      <c r="G54" s="23" t="s">
        <v>360</v>
      </c>
      <c r="H54" t="s">
        <v>2108</v>
      </c>
      <c r="I54" t="s">
        <v>2108</v>
      </c>
      <c r="J54">
        <v>3270</v>
      </c>
      <c r="K54">
        <v>2945</v>
      </c>
      <c r="L54">
        <v>2500</v>
      </c>
      <c r="M54" t="s">
        <v>2108</v>
      </c>
      <c r="N54" s="14">
        <v>2007</v>
      </c>
      <c r="O54" s="14">
        <v>1820</v>
      </c>
      <c r="P54" s="14">
        <v>1572</v>
      </c>
      <c r="Q54" t="s">
        <v>40</v>
      </c>
      <c r="R54">
        <v>27</v>
      </c>
      <c r="S54">
        <v>1</v>
      </c>
      <c r="T54" t="s">
        <v>2110</v>
      </c>
      <c r="U54" t="s">
        <v>2111</v>
      </c>
      <c r="V54">
        <v>0</v>
      </c>
      <c r="W54" s="26" t="str">
        <f t="shared" si="0"/>
        <v>(3146,null,1,'2026-04-28 00:00:00','003312010060000-33120100607','003312010060000-33120100607','经膀胱镜经尿道前列腺电切术（电切法）',null,null,3270,2945,2500,null,2007,1820,1572,'次',27,1,'normal','main',0),</v>
      </c>
    </row>
    <row r="55" spans="1:23">
      <c r="A55">
        <v>3147</v>
      </c>
      <c r="B55" t="s">
        <v>2108</v>
      </c>
      <c r="C55">
        <v>1</v>
      </c>
      <c r="D55" s="21" t="s">
        <v>2109</v>
      </c>
      <c r="E55" t="s">
        <v>361</v>
      </c>
      <c r="F55" t="s">
        <v>361</v>
      </c>
      <c r="G55" s="23" t="s">
        <v>362</v>
      </c>
      <c r="H55" t="s">
        <v>2108</v>
      </c>
      <c r="I55" t="s">
        <v>2108</v>
      </c>
      <c r="J55">
        <v>3560</v>
      </c>
      <c r="K55">
        <v>3205</v>
      </c>
      <c r="L55">
        <v>2720</v>
      </c>
      <c r="M55" t="s">
        <v>2108</v>
      </c>
      <c r="N55" s="14">
        <v>2007</v>
      </c>
      <c r="O55" s="14">
        <v>1820</v>
      </c>
      <c r="P55" s="14">
        <v>1572</v>
      </c>
      <c r="Q55" t="s">
        <v>40</v>
      </c>
      <c r="R55">
        <v>27</v>
      </c>
      <c r="S55">
        <v>1</v>
      </c>
      <c r="T55" t="s">
        <v>2110</v>
      </c>
      <c r="U55" t="s">
        <v>2111</v>
      </c>
      <c r="V55">
        <v>0</v>
      </c>
      <c r="W55" s="26" t="str">
        <f t="shared" si="0"/>
        <v>(3147,null,1,'2026-04-28 00:00:00','003312010060000-33120100608','003312010060000-33120100608','经膀胱镜经尿道前列腺电切术（等离子法）',null,null,3560,3205,2720,null,2007,1820,1572,'次',27,1,'normal','main',0),</v>
      </c>
    </row>
    <row r="56" spans="1:23">
      <c r="A56">
        <v>3148</v>
      </c>
      <c r="B56" t="s">
        <v>2108</v>
      </c>
      <c r="C56">
        <v>1</v>
      </c>
      <c r="D56" s="21" t="s">
        <v>2109</v>
      </c>
      <c r="E56" t="s">
        <v>363</v>
      </c>
      <c r="F56" t="s">
        <v>363</v>
      </c>
      <c r="G56" s="23" t="s">
        <v>364</v>
      </c>
      <c r="H56" t="s">
        <v>2108</v>
      </c>
      <c r="I56" t="s">
        <v>2108</v>
      </c>
      <c r="J56">
        <v>3540</v>
      </c>
      <c r="K56">
        <v>3190</v>
      </c>
      <c r="L56">
        <v>2710</v>
      </c>
      <c r="M56" t="s">
        <v>2108</v>
      </c>
      <c r="N56" s="14">
        <v>2007</v>
      </c>
      <c r="O56" s="14">
        <v>1820</v>
      </c>
      <c r="P56" s="14">
        <v>1572</v>
      </c>
      <c r="Q56" t="s">
        <v>40</v>
      </c>
      <c r="R56">
        <v>27</v>
      </c>
      <c r="S56">
        <v>1</v>
      </c>
      <c r="T56" t="s">
        <v>2110</v>
      </c>
      <c r="U56" t="s">
        <v>2111</v>
      </c>
      <c r="V56">
        <v>0</v>
      </c>
      <c r="W56" s="26" t="str">
        <f t="shared" si="0"/>
        <v>(3148,null,1,'2026-04-28 00:00:00','003312010060000-33120100609','003312010060000-33120100609','小儿经膀胱镜经尿道前列腺电切术',null,null,3540,3190,2710,null,2007,1820,1572,'次',27,1,'normal','main',0),</v>
      </c>
    </row>
    <row r="57" spans="1:23">
      <c r="A57">
        <v>3149</v>
      </c>
      <c r="B57" t="s">
        <v>2108</v>
      </c>
      <c r="C57">
        <v>1</v>
      </c>
      <c r="D57" s="21" t="s">
        <v>2109</v>
      </c>
      <c r="E57" t="s">
        <v>365</v>
      </c>
      <c r="F57" t="s">
        <v>365</v>
      </c>
      <c r="G57" s="23" t="s">
        <v>366</v>
      </c>
      <c r="H57" t="s">
        <v>2108</v>
      </c>
      <c r="I57" t="s">
        <v>2108</v>
      </c>
      <c r="J57">
        <v>4175</v>
      </c>
      <c r="K57">
        <v>3760</v>
      </c>
      <c r="L57">
        <v>3195</v>
      </c>
      <c r="M57" t="s">
        <v>2108</v>
      </c>
      <c r="N57" s="14">
        <v>2007</v>
      </c>
      <c r="O57" s="14">
        <v>1820</v>
      </c>
      <c r="P57" s="14">
        <v>1572</v>
      </c>
      <c r="Q57" t="s">
        <v>40</v>
      </c>
      <c r="R57">
        <v>27</v>
      </c>
      <c r="S57">
        <v>1</v>
      </c>
      <c r="T57" t="s">
        <v>2110</v>
      </c>
      <c r="U57" t="s">
        <v>2111</v>
      </c>
      <c r="V57">
        <v>0</v>
      </c>
      <c r="W57" s="26" t="str">
        <f t="shared" si="0"/>
        <v>(3149,null,1,'2026-04-28 00:00:00','003312010060000-33120100610','003312010060000-33120100610','小儿经膀胱镜经尿道前列腺电切术（电切法）',null,null,4175,3760,3195,null,2007,1820,1572,'次',27,1,'normal','main',0),</v>
      </c>
    </row>
    <row r="58" spans="1:23">
      <c r="A58">
        <v>3150</v>
      </c>
      <c r="B58" t="s">
        <v>2108</v>
      </c>
      <c r="C58">
        <v>1</v>
      </c>
      <c r="D58" s="21" t="s">
        <v>2109</v>
      </c>
      <c r="E58" t="s">
        <v>367</v>
      </c>
      <c r="F58" t="s">
        <v>367</v>
      </c>
      <c r="G58" s="23" t="s">
        <v>368</v>
      </c>
      <c r="H58" t="s">
        <v>2108</v>
      </c>
      <c r="I58" t="s">
        <v>2108</v>
      </c>
      <c r="J58">
        <v>4555</v>
      </c>
      <c r="K58">
        <v>4100</v>
      </c>
      <c r="L58">
        <v>3485</v>
      </c>
      <c r="M58" t="s">
        <v>2108</v>
      </c>
      <c r="N58" s="14">
        <v>2007</v>
      </c>
      <c r="O58" s="14">
        <v>1820</v>
      </c>
      <c r="P58" s="14">
        <v>1572</v>
      </c>
      <c r="Q58" t="s">
        <v>40</v>
      </c>
      <c r="R58">
        <v>27</v>
      </c>
      <c r="S58">
        <v>1</v>
      </c>
      <c r="T58" t="s">
        <v>2110</v>
      </c>
      <c r="U58" t="s">
        <v>2111</v>
      </c>
      <c r="V58">
        <v>0</v>
      </c>
      <c r="W58" s="26" t="str">
        <f t="shared" si="0"/>
        <v>(3150,null,1,'2026-04-28 00:00:00','003312010060000-33120100611','003312010060000-33120100611','小儿经膀胱镜经尿道前列腺电切术（等离子法）',null,null,4555,4100,3485,null,2007,1820,1572,'次',27,1,'normal','main',0),</v>
      </c>
    </row>
    <row r="59" spans="1:23">
      <c r="A59">
        <v>3151</v>
      </c>
      <c r="B59" t="s">
        <v>2108</v>
      </c>
      <c r="C59">
        <v>1</v>
      </c>
      <c r="D59" s="21" t="s">
        <v>2109</v>
      </c>
      <c r="E59" t="s">
        <v>369</v>
      </c>
      <c r="F59" t="s">
        <v>369</v>
      </c>
      <c r="G59" s="23" t="s">
        <v>370</v>
      </c>
      <c r="H59" t="s">
        <v>2108</v>
      </c>
      <c r="I59" t="s">
        <v>2108</v>
      </c>
      <c r="J59">
        <v>4500</v>
      </c>
      <c r="K59">
        <v>4500</v>
      </c>
      <c r="L59">
        <v>3825</v>
      </c>
      <c r="M59" t="s">
        <v>2108</v>
      </c>
      <c r="N59" s="24">
        <v>1875</v>
      </c>
      <c r="O59" s="24">
        <v>1700</v>
      </c>
      <c r="P59" s="24">
        <v>1470</v>
      </c>
      <c r="Q59" t="s">
        <v>40</v>
      </c>
      <c r="R59">
        <v>27</v>
      </c>
      <c r="S59">
        <v>1</v>
      </c>
      <c r="T59" t="s">
        <v>2110</v>
      </c>
      <c r="U59" t="s">
        <v>2111</v>
      </c>
      <c r="V59">
        <v>0</v>
      </c>
      <c r="W59" s="26" t="str">
        <f t="shared" si="0"/>
        <v>(3151,null,1,'2026-04-28 00:00:00','003312010060000-331201010','003312010060000-331201010','经尿道前列腺激光切除术',null,null,4500,4500,3825,null,1875,1700,1470,'次',27,1,'normal','main',0),</v>
      </c>
    </row>
    <row r="60" spans="1:23">
      <c r="A60">
        <v>3152</v>
      </c>
      <c r="B60" t="s">
        <v>2108</v>
      </c>
      <c r="C60">
        <v>1</v>
      </c>
      <c r="D60" s="21" t="s">
        <v>2109</v>
      </c>
      <c r="E60" t="s">
        <v>372</v>
      </c>
      <c r="F60" t="s">
        <v>372</v>
      </c>
      <c r="G60" s="23" t="s">
        <v>373</v>
      </c>
      <c r="H60" t="s">
        <v>2108</v>
      </c>
      <c r="I60" t="s">
        <v>2108</v>
      </c>
      <c r="J60">
        <v>2070</v>
      </c>
      <c r="K60">
        <v>1863</v>
      </c>
      <c r="L60">
        <v>1583.6</v>
      </c>
      <c r="M60" t="s">
        <v>2108</v>
      </c>
      <c r="N60" s="14">
        <v>2370</v>
      </c>
      <c r="O60" s="14">
        <v>2145</v>
      </c>
      <c r="P60" s="14">
        <v>1850</v>
      </c>
      <c r="Q60" t="s">
        <v>88</v>
      </c>
      <c r="R60">
        <v>27</v>
      </c>
      <c r="S60">
        <v>1</v>
      </c>
      <c r="T60" t="s">
        <v>2110</v>
      </c>
      <c r="U60" t="s">
        <v>2111</v>
      </c>
      <c r="V60">
        <v>0</v>
      </c>
      <c r="W60" s="26" t="str">
        <f t="shared" si="0"/>
        <v>(3152,null,1,'2026-04-28 00:00:00','353312030150100-331203015','353312030150100-331203015','经精囊镜碎石取石术（激光法）',null,null,2070,1863,1583.6,null,2370,2145,1850,'侧',27,1,'normal','main',0),</v>
      </c>
    </row>
    <row r="61" spans="1:23">
      <c r="A61">
        <v>3153</v>
      </c>
      <c r="B61" t="s">
        <v>2108</v>
      </c>
      <c r="C61">
        <v>1</v>
      </c>
      <c r="D61" s="21" t="s">
        <v>2109</v>
      </c>
      <c r="E61" t="s">
        <v>376</v>
      </c>
      <c r="F61" t="s">
        <v>376</v>
      </c>
      <c r="G61" s="23" t="s">
        <v>377</v>
      </c>
      <c r="H61" t="s">
        <v>2108</v>
      </c>
      <c r="I61" t="s">
        <v>2108</v>
      </c>
      <c r="J61">
        <v>1440</v>
      </c>
      <c r="K61">
        <v>1296</v>
      </c>
      <c r="L61">
        <v>1101.6</v>
      </c>
      <c r="M61" t="s">
        <v>2108</v>
      </c>
      <c r="N61" s="14">
        <v>2370</v>
      </c>
      <c r="O61" s="14">
        <v>2145</v>
      </c>
      <c r="P61" s="14">
        <v>1850</v>
      </c>
      <c r="Q61" t="s">
        <v>88</v>
      </c>
      <c r="R61">
        <v>27</v>
      </c>
      <c r="S61">
        <v>1</v>
      </c>
      <c r="T61" t="s">
        <v>2110</v>
      </c>
      <c r="U61" t="s">
        <v>2111</v>
      </c>
      <c r="V61">
        <v>0</v>
      </c>
      <c r="W61" s="26" t="str">
        <f t="shared" si="0"/>
        <v>(3153,null,1,'2026-04-28 00:00:00','353312030150200-331203016','353312030150200-331203016','经精囊镜碎石取石术（弹道法）',null,null,1440,1296,1101.6,null,2370,2145,1850,'侧',27,1,'normal','main',0),</v>
      </c>
    </row>
    <row r="62" spans="1:23">
      <c r="A62">
        <v>3154</v>
      </c>
      <c r="B62" t="s">
        <v>2108</v>
      </c>
      <c r="C62">
        <v>1</v>
      </c>
      <c r="D62" s="21" t="s">
        <v>2109</v>
      </c>
      <c r="E62" t="s">
        <v>379</v>
      </c>
      <c r="F62" t="s">
        <v>379</v>
      </c>
      <c r="G62" s="23" t="s">
        <v>380</v>
      </c>
      <c r="H62" t="s">
        <v>2108</v>
      </c>
      <c r="I62" t="s">
        <v>2108</v>
      </c>
      <c r="J62">
        <v>1260</v>
      </c>
      <c r="K62">
        <v>1134</v>
      </c>
      <c r="L62">
        <v>963.9</v>
      </c>
      <c r="M62" t="s">
        <v>2108</v>
      </c>
      <c r="N62" s="14">
        <v>2370</v>
      </c>
      <c r="O62" s="14">
        <v>2145</v>
      </c>
      <c r="P62" s="14">
        <v>1850</v>
      </c>
      <c r="Q62" t="s">
        <v>88</v>
      </c>
      <c r="R62">
        <v>27</v>
      </c>
      <c r="S62">
        <v>1</v>
      </c>
      <c r="T62" t="s">
        <v>2110</v>
      </c>
      <c r="U62" t="s">
        <v>2111</v>
      </c>
      <c r="V62">
        <v>0</v>
      </c>
      <c r="W62" s="26" t="str">
        <f t="shared" si="0"/>
        <v>(3154,null,1,'2026-04-28 00:00:00','353312030150300-331203017','353312030150300-331203017','经精囊镜碎石取石术（直接法）',null,null,1260,1134,963.9,null,2370,2145,1850,'侧',27,1,'normal','main',0),</v>
      </c>
    </row>
    <row r="63" spans="1:23">
      <c r="A63">
        <v>3155</v>
      </c>
      <c r="B63" t="s">
        <v>2108</v>
      </c>
      <c r="C63">
        <v>1</v>
      </c>
      <c r="D63" s="21" t="s">
        <v>2109</v>
      </c>
      <c r="E63" t="s">
        <v>383</v>
      </c>
      <c r="F63" t="s">
        <v>383</v>
      </c>
      <c r="G63" s="23" t="s">
        <v>384</v>
      </c>
      <c r="H63" t="s">
        <v>2108</v>
      </c>
      <c r="I63" t="s">
        <v>2108</v>
      </c>
      <c r="J63">
        <v>2070</v>
      </c>
      <c r="K63">
        <v>1863</v>
      </c>
      <c r="L63">
        <v>1583.6</v>
      </c>
      <c r="M63" t="s">
        <v>2108</v>
      </c>
      <c r="N63" s="14">
        <v>2370</v>
      </c>
      <c r="O63" s="14">
        <v>2145</v>
      </c>
      <c r="P63" s="14">
        <v>1850</v>
      </c>
      <c r="Q63" t="s">
        <v>88</v>
      </c>
      <c r="R63">
        <v>27</v>
      </c>
      <c r="S63">
        <v>1</v>
      </c>
      <c r="T63" t="s">
        <v>2110</v>
      </c>
      <c r="U63" t="s">
        <v>2111</v>
      </c>
      <c r="V63">
        <v>0</v>
      </c>
      <c r="W63" s="26" t="str">
        <f t="shared" si="0"/>
        <v>(3155,null,1,'2026-04-28 00:00:00','353312040150000-331204020','353312040150000-331204020','经精囊镜肿物切除术',null,null,2070,1863,1583.6,null,2370,2145,1850,'侧',27,1,'normal','main',0),</v>
      </c>
    </row>
    <row r="64" spans="1:23">
      <c r="A64">
        <v>3156</v>
      </c>
      <c r="B64" t="s">
        <v>2108</v>
      </c>
      <c r="C64">
        <v>1</v>
      </c>
      <c r="D64" s="21" t="s">
        <v>2109</v>
      </c>
      <c r="E64" t="s">
        <v>386</v>
      </c>
      <c r="F64" t="s">
        <v>386</v>
      </c>
      <c r="G64" s="23" t="s">
        <v>387</v>
      </c>
      <c r="H64" t="s">
        <v>2108</v>
      </c>
      <c r="I64" t="s">
        <v>2108</v>
      </c>
      <c r="J64">
        <v>2690</v>
      </c>
      <c r="K64">
        <v>2420</v>
      </c>
      <c r="L64">
        <v>2055</v>
      </c>
      <c r="M64" t="s">
        <v>2108</v>
      </c>
      <c r="N64" s="14">
        <v>2370</v>
      </c>
      <c r="O64" s="14">
        <v>2145</v>
      </c>
      <c r="P64" s="14">
        <v>1850</v>
      </c>
      <c r="Q64" t="s">
        <v>88</v>
      </c>
      <c r="R64">
        <v>27</v>
      </c>
      <c r="S64">
        <v>1</v>
      </c>
      <c r="T64" t="s">
        <v>2110</v>
      </c>
      <c r="U64" t="s">
        <v>2111</v>
      </c>
      <c r="V64">
        <v>0</v>
      </c>
      <c r="W64" s="26" t="str">
        <f t="shared" si="0"/>
        <v>(3156,null,1,'2026-04-28 00:00:00','353312040150000-33120402001','353312040150000-33120402001','小儿经精囊镜肿物切除术',null,null,2690,2420,2055,null,2370,2145,1850,'侧',27,1,'normal','main',0),</v>
      </c>
    </row>
    <row r="65" spans="1:23">
      <c r="A65">
        <v>3157</v>
      </c>
      <c r="B65" t="s">
        <v>2108</v>
      </c>
      <c r="C65">
        <v>1</v>
      </c>
      <c r="D65" s="21" t="s">
        <v>2109</v>
      </c>
      <c r="E65" t="s">
        <v>388</v>
      </c>
      <c r="F65" t="s">
        <v>388</v>
      </c>
      <c r="G65" s="23" t="s">
        <v>390</v>
      </c>
      <c r="H65" t="s">
        <v>2108</v>
      </c>
      <c r="I65" t="s">
        <v>2108</v>
      </c>
      <c r="J65">
        <v>0</v>
      </c>
      <c r="K65">
        <v>0</v>
      </c>
      <c r="L65">
        <v>0</v>
      </c>
      <c r="M65" t="s">
        <v>2108</v>
      </c>
      <c r="N65" s="14">
        <v>2535</v>
      </c>
      <c r="O65" s="14">
        <v>2295</v>
      </c>
      <c r="P65" s="14">
        <v>1980</v>
      </c>
      <c r="Q65" t="s">
        <v>40</v>
      </c>
      <c r="R65">
        <v>27</v>
      </c>
      <c r="S65">
        <v>1</v>
      </c>
      <c r="T65" t="s">
        <v>2110</v>
      </c>
      <c r="U65" t="s">
        <v>2111</v>
      </c>
      <c r="V65">
        <v>0</v>
      </c>
      <c r="W65" s="26" t="str">
        <f t="shared" si="0"/>
        <v>(3157,null,1,'2026-04-28 00:00:00','353110000440000-A331203018','353110000440000-A331203018','经皮肾镜碎石取石术',null,null,0,0,0,null,2535,2295,1980,'次',27,1,'normal','main',0),</v>
      </c>
    </row>
    <row r="66" spans="1:23">
      <c r="A66">
        <v>3158</v>
      </c>
      <c r="B66" t="s">
        <v>2108</v>
      </c>
      <c r="C66">
        <v>1</v>
      </c>
      <c r="D66" s="21" t="s">
        <v>2109</v>
      </c>
      <c r="E66" t="s">
        <v>396</v>
      </c>
      <c r="F66" t="s">
        <v>396</v>
      </c>
      <c r="G66" s="23" t="s">
        <v>398</v>
      </c>
      <c r="H66" t="s">
        <v>2108</v>
      </c>
      <c r="I66" t="s">
        <v>2108</v>
      </c>
      <c r="J66">
        <v>0</v>
      </c>
      <c r="K66">
        <v>0</v>
      </c>
      <c r="L66">
        <v>0</v>
      </c>
      <c r="M66" t="s">
        <v>2108</v>
      </c>
      <c r="N66" s="14">
        <v>0</v>
      </c>
      <c r="O66" s="14">
        <v>0</v>
      </c>
      <c r="P66" s="14">
        <v>0</v>
      </c>
      <c r="Q66" t="s">
        <v>40</v>
      </c>
      <c r="R66">
        <v>27</v>
      </c>
      <c r="S66">
        <v>1</v>
      </c>
      <c r="T66" t="s">
        <v>2110</v>
      </c>
      <c r="U66" t="s">
        <v>2111</v>
      </c>
      <c r="V66">
        <v>0</v>
      </c>
      <c r="W66" s="26" t="str">
        <f t="shared" si="0"/>
        <v>(3158,null,1,'2026-04-28 00:00:00','353110000440000-A33120301801','353110000440000-A33120301801','经皮肾镜碎石取石术（两种及以上方法加收20%）',null,null,0,0,0,null,0,0,0,'次',27,1,'normal','main',0),</v>
      </c>
    </row>
    <row r="67" spans="1:23">
      <c r="A67">
        <v>3159</v>
      </c>
      <c r="B67" t="s">
        <v>2108</v>
      </c>
      <c r="C67">
        <v>1</v>
      </c>
      <c r="D67" s="21" t="s">
        <v>2109</v>
      </c>
      <c r="E67" t="s">
        <v>403</v>
      </c>
      <c r="F67" t="s">
        <v>403</v>
      </c>
      <c r="G67" t="s">
        <v>404</v>
      </c>
      <c r="H67" t="s">
        <v>2108</v>
      </c>
      <c r="I67" t="s">
        <v>2108</v>
      </c>
      <c r="J67">
        <v>1125</v>
      </c>
      <c r="K67">
        <v>1080</v>
      </c>
      <c r="L67">
        <v>918</v>
      </c>
      <c r="M67" t="s">
        <v>2108</v>
      </c>
      <c r="N67" s="24">
        <v>1125</v>
      </c>
      <c r="O67" s="24">
        <v>1080</v>
      </c>
      <c r="P67" s="24">
        <v>918</v>
      </c>
      <c r="Q67" t="s">
        <v>40</v>
      </c>
      <c r="R67">
        <v>27</v>
      </c>
      <c r="S67">
        <v>1</v>
      </c>
      <c r="T67" t="s">
        <v>2110</v>
      </c>
      <c r="U67" t="s">
        <v>2111</v>
      </c>
      <c r="V67">
        <v>0</v>
      </c>
      <c r="W67" s="26" t="str">
        <f t="shared" ref="W67:W130" si="1">"("&amp;A67&amp;","&amp;B67&amp;","&amp;C67&amp;",'"&amp;D67&amp;"','"&amp;E67&amp;"','"&amp;F67&amp;"','"&amp;G67&amp;"',"&amp;H67&amp;","&amp;I67&amp;","&amp;J67&amp;","&amp;K67&amp;","&amp;L67&amp;","&amp;M67&amp;","&amp;N67&amp;","&amp;O67&amp;","&amp;P67&amp;",'"&amp;Q67&amp;"',"&amp;R67&amp;","&amp;S67&amp;",'"&amp;T67&amp;"','"&amp;U67&amp;"',"&amp;V67&amp;"),"</f>
        <v>(3159,null,1,'2026-04-28 00:00:00','003311040050000-331104005','003311040050000-331104005','尿道切开取石术',null,null,1125,1080,918,null,1125,1080,918,'次',27,1,'normal','main',0),</v>
      </c>
    </row>
    <row r="68" spans="1:23">
      <c r="A68">
        <v>3160</v>
      </c>
      <c r="B68" t="s">
        <v>2108</v>
      </c>
      <c r="C68">
        <v>1</v>
      </c>
      <c r="D68" s="21" t="s">
        <v>2109</v>
      </c>
      <c r="E68" t="s">
        <v>418</v>
      </c>
      <c r="F68" t="s">
        <v>418</v>
      </c>
      <c r="G68" t="s">
        <v>419</v>
      </c>
      <c r="H68" t="s">
        <v>2108</v>
      </c>
      <c r="I68" t="s">
        <v>2108</v>
      </c>
      <c r="J68">
        <v>1000</v>
      </c>
      <c r="K68">
        <v>960</v>
      </c>
      <c r="L68">
        <v>816</v>
      </c>
      <c r="M68" t="s">
        <v>2108</v>
      </c>
      <c r="N68">
        <v>1250</v>
      </c>
      <c r="O68">
        <v>1200</v>
      </c>
      <c r="P68">
        <v>1020</v>
      </c>
      <c r="Q68" t="s">
        <v>40</v>
      </c>
      <c r="R68">
        <v>27</v>
      </c>
      <c r="S68">
        <v>1</v>
      </c>
      <c r="T68" t="s">
        <v>2110</v>
      </c>
      <c r="U68" t="s">
        <v>2111</v>
      </c>
      <c r="V68">
        <v>0</v>
      </c>
      <c r="W68" s="26" t="str">
        <f t="shared" si="1"/>
        <v>(3160,null,1,'2026-04-28 00:00:00','003311030010000-331103001','003311030010000-331103001','膀胱切开取石术',null,null,1000,960,816,null,1250,1200,1020,'次',27,1,'normal','main',0),</v>
      </c>
    </row>
    <row r="69" spans="1:23">
      <c r="A69">
        <v>3161</v>
      </c>
      <c r="B69" t="s">
        <v>2108</v>
      </c>
      <c r="C69">
        <v>1</v>
      </c>
      <c r="D69" s="21" t="s">
        <v>2109</v>
      </c>
      <c r="E69" t="s">
        <v>420</v>
      </c>
      <c r="F69" t="s">
        <v>420</v>
      </c>
      <c r="G69" t="s">
        <v>421</v>
      </c>
      <c r="H69" t="s">
        <v>2108</v>
      </c>
      <c r="I69" t="s">
        <v>2108</v>
      </c>
      <c r="J69">
        <v>1625</v>
      </c>
      <c r="K69">
        <v>1560</v>
      </c>
      <c r="L69">
        <v>1326</v>
      </c>
      <c r="M69" t="s">
        <v>2108</v>
      </c>
      <c r="N69">
        <v>1250</v>
      </c>
      <c r="O69">
        <v>1200</v>
      </c>
      <c r="P69">
        <v>1020</v>
      </c>
      <c r="Q69" t="s">
        <v>40</v>
      </c>
      <c r="R69">
        <v>27</v>
      </c>
      <c r="S69">
        <v>1</v>
      </c>
      <c r="T69" t="s">
        <v>2110</v>
      </c>
      <c r="U69" t="s">
        <v>2111</v>
      </c>
      <c r="V69">
        <v>0</v>
      </c>
      <c r="W69" s="26" t="str">
        <f t="shared" si="1"/>
        <v>(3161,null,1,'2026-04-28 00:00:00','003311030010000-33110300102','003311030010000-33110300102','经腹腔镜膀胱切开取石术',null,null,1625,1560,1326,null,1250,1200,1020,'次',27,1,'normal','main',0),</v>
      </c>
    </row>
    <row r="70" spans="1:23">
      <c r="A70">
        <v>3162</v>
      </c>
      <c r="B70" t="s">
        <v>2108</v>
      </c>
      <c r="C70">
        <v>1</v>
      </c>
      <c r="D70" s="21" t="s">
        <v>2109</v>
      </c>
      <c r="E70" t="s">
        <v>422</v>
      </c>
      <c r="F70" t="s">
        <v>422</v>
      </c>
      <c r="G70" t="s">
        <v>423</v>
      </c>
      <c r="H70" t="s">
        <v>2108</v>
      </c>
      <c r="I70" t="s">
        <v>2108</v>
      </c>
      <c r="J70">
        <v>1375</v>
      </c>
      <c r="K70">
        <v>1305</v>
      </c>
      <c r="L70">
        <v>1108</v>
      </c>
      <c r="M70" t="s">
        <v>2108</v>
      </c>
      <c r="N70">
        <v>1250</v>
      </c>
      <c r="O70">
        <v>1200</v>
      </c>
      <c r="P70">
        <v>1020</v>
      </c>
      <c r="Q70" t="s">
        <v>40</v>
      </c>
      <c r="R70">
        <v>27</v>
      </c>
      <c r="S70">
        <v>1</v>
      </c>
      <c r="T70" t="s">
        <v>2110</v>
      </c>
      <c r="U70" t="s">
        <v>2111</v>
      </c>
      <c r="V70">
        <v>0</v>
      </c>
      <c r="W70" s="26" t="str">
        <f t="shared" si="1"/>
        <v>(3162,null,1,'2026-04-28 00:00:00','003311040050000-33110400502','003311040050000-33110400502','经膀胱镜尿道切开取石术',null,null,1375,1305,1108,null,1250,1200,1020,'次',27,1,'normal','main',0),</v>
      </c>
    </row>
    <row r="71" spans="1:23">
      <c r="A71">
        <v>3163</v>
      </c>
      <c r="B71" t="s">
        <v>2108</v>
      </c>
      <c r="C71">
        <v>1</v>
      </c>
      <c r="D71" s="21" t="s">
        <v>2109</v>
      </c>
      <c r="E71" t="s">
        <v>427</v>
      </c>
      <c r="F71" t="s">
        <v>427</v>
      </c>
      <c r="G71" t="s">
        <v>428</v>
      </c>
      <c r="H71" t="s">
        <v>2108</v>
      </c>
      <c r="I71" t="s">
        <v>2108</v>
      </c>
      <c r="J71">
        <v>2530</v>
      </c>
      <c r="K71">
        <v>2280</v>
      </c>
      <c r="L71">
        <v>1940</v>
      </c>
      <c r="M71" t="s">
        <v>2108</v>
      </c>
      <c r="N71">
        <v>2420</v>
      </c>
      <c r="O71">
        <v>2320</v>
      </c>
      <c r="P71">
        <v>1970</v>
      </c>
      <c r="Q71" t="s">
        <v>40</v>
      </c>
      <c r="R71">
        <v>27</v>
      </c>
      <c r="S71">
        <v>1</v>
      </c>
      <c r="T71" t="s">
        <v>2110</v>
      </c>
      <c r="U71" t="s">
        <v>2111</v>
      </c>
      <c r="V71">
        <v>0</v>
      </c>
      <c r="W71" s="26" t="str">
        <f t="shared" si="1"/>
        <v>(3163,null,1,'2026-04-28 00:00:00','003311010160000-331101016','003311010160000-331101016','肾切开取石术',null,null,2530,2280,1940,null,2420,2320,1970,'次',27,1,'normal','main',0),</v>
      </c>
    </row>
    <row r="72" spans="1:23">
      <c r="A72">
        <v>3164</v>
      </c>
      <c r="B72" t="s">
        <v>2108</v>
      </c>
      <c r="C72">
        <v>1</v>
      </c>
      <c r="D72" s="21" t="s">
        <v>2109</v>
      </c>
      <c r="E72" t="s">
        <v>430</v>
      </c>
      <c r="F72" t="s">
        <v>430</v>
      </c>
      <c r="G72" t="s">
        <v>431</v>
      </c>
      <c r="H72" t="s">
        <v>2108</v>
      </c>
      <c r="I72" t="s">
        <v>2108</v>
      </c>
      <c r="J72">
        <v>3290</v>
      </c>
      <c r="K72">
        <v>2965</v>
      </c>
      <c r="L72">
        <v>2520</v>
      </c>
      <c r="M72" t="s">
        <v>2108</v>
      </c>
      <c r="N72">
        <v>2420</v>
      </c>
      <c r="O72">
        <v>2320</v>
      </c>
      <c r="P72">
        <v>1970</v>
      </c>
      <c r="Q72" t="s">
        <v>40</v>
      </c>
      <c r="R72">
        <v>27</v>
      </c>
      <c r="S72">
        <v>1</v>
      </c>
      <c r="T72" t="s">
        <v>2110</v>
      </c>
      <c r="U72" t="s">
        <v>2111</v>
      </c>
      <c r="V72">
        <v>0</v>
      </c>
      <c r="W72" s="26" t="str">
        <f t="shared" si="1"/>
        <v>(3164,null,1,'2026-04-28 00:00:00','003311010160000-33110101601','003311010160000-33110101601','小儿肾切开取石术',null,null,3290,2965,2520,null,2420,2320,1970,'次',27,1,'normal','main',0),</v>
      </c>
    </row>
    <row r="73" spans="1:23">
      <c r="A73">
        <v>3165</v>
      </c>
      <c r="B73" t="s">
        <v>2108</v>
      </c>
      <c r="C73">
        <v>1</v>
      </c>
      <c r="D73" s="21" t="s">
        <v>2109</v>
      </c>
      <c r="E73" t="s">
        <v>432</v>
      </c>
      <c r="F73" t="s">
        <v>432</v>
      </c>
      <c r="G73" t="s">
        <v>433</v>
      </c>
      <c r="H73" t="s">
        <v>2108</v>
      </c>
      <c r="I73" t="s">
        <v>2108</v>
      </c>
      <c r="J73">
        <v>3155</v>
      </c>
      <c r="K73">
        <v>2880</v>
      </c>
      <c r="L73">
        <v>2450</v>
      </c>
      <c r="M73" t="s">
        <v>2108</v>
      </c>
      <c r="N73">
        <v>2420</v>
      </c>
      <c r="O73">
        <v>2320</v>
      </c>
      <c r="P73">
        <v>1970</v>
      </c>
      <c r="Q73" t="s">
        <v>40</v>
      </c>
      <c r="R73">
        <v>27</v>
      </c>
      <c r="S73">
        <v>1</v>
      </c>
      <c r="T73" t="s">
        <v>2110</v>
      </c>
      <c r="U73" t="s">
        <v>2111</v>
      </c>
      <c r="V73">
        <v>0</v>
      </c>
      <c r="W73" s="26" t="str">
        <f t="shared" si="1"/>
        <v>(3165,null,1,'2026-04-28 00:00:00','003311010160000-33110101602','003311010160000-33110101602','经腹腔镜肾切开取石术',null,null,3155,2880,2450,null,2420,2320,1970,'次',27,1,'normal','main',0),</v>
      </c>
    </row>
    <row r="74" spans="1:23">
      <c r="A74">
        <v>3166</v>
      </c>
      <c r="B74" t="s">
        <v>2108</v>
      </c>
      <c r="C74">
        <v>1</v>
      </c>
      <c r="D74" s="21" t="s">
        <v>2109</v>
      </c>
      <c r="E74" t="s">
        <v>434</v>
      </c>
      <c r="F74" t="s">
        <v>434</v>
      </c>
      <c r="G74" t="s">
        <v>435</v>
      </c>
      <c r="H74" t="s">
        <v>2108</v>
      </c>
      <c r="I74" t="s">
        <v>2108</v>
      </c>
      <c r="J74">
        <v>3915</v>
      </c>
      <c r="K74">
        <v>3565</v>
      </c>
      <c r="L74">
        <v>3030</v>
      </c>
      <c r="M74" t="s">
        <v>2108</v>
      </c>
      <c r="N74">
        <v>2420</v>
      </c>
      <c r="O74">
        <v>2320</v>
      </c>
      <c r="P74">
        <v>1970</v>
      </c>
      <c r="Q74" t="s">
        <v>40</v>
      </c>
      <c r="R74">
        <v>27</v>
      </c>
      <c r="S74">
        <v>1</v>
      </c>
      <c r="T74" t="s">
        <v>2110</v>
      </c>
      <c r="U74" t="s">
        <v>2111</v>
      </c>
      <c r="V74">
        <v>0</v>
      </c>
      <c r="W74" s="26" t="str">
        <f t="shared" si="1"/>
        <v>(3166,null,1,'2026-04-28 00:00:00','003311010160000-33110101603','003311010160000-33110101603','小儿经腹腔镜肾切开取石术',null,null,3915,3565,3030,null,2420,2320,1970,'次',27,1,'normal','main',0),</v>
      </c>
    </row>
    <row r="75" spans="1:23">
      <c r="A75">
        <v>3167</v>
      </c>
      <c r="B75" t="s">
        <v>2108</v>
      </c>
      <c r="C75">
        <v>1</v>
      </c>
      <c r="D75" s="21" t="s">
        <v>2109</v>
      </c>
      <c r="E75" t="s">
        <v>436</v>
      </c>
      <c r="F75" t="s">
        <v>436</v>
      </c>
      <c r="G75" t="s">
        <v>437</v>
      </c>
      <c r="H75" t="s">
        <v>2108</v>
      </c>
      <c r="I75" t="s">
        <v>2108</v>
      </c>
      <c r="J75">
        <v>1690</v>
      </c>
      <c r="K75">
        <v>1520</v>
      </c>
      <c r="L75">
        <v>1290</v>
      </c>
      <c r="M75" t="s">
        <v>2108</v>
      </c>
      <c r="N75">
        <v>2420</v>
      </c>
      <c r="O75">
        <v>2320</v>
      </c>
      <c r="P75">
        <v>1970</v>
      </c>
      <c r="Q75" t="s">
        <v>40</v>
      </c>
      <c r="R75">
        <v>27</v>
      </c>
      <c r="S75">
        <v>1</v>
      </c>
      <c r="T75" t="s">
        <v>2110</v>
      </c>
      <c r="U75" t="s">
        <v>2111</v>
      </c>
      <c r="V75">
        <v>0</v>
      </c>
      <c r="W75" s="26" t="str">
        <f t="shared" si="1"/>
        <v>(3167,null,1,'2026-04-28 00:00:00','003311020070000-331102007','003311020070000-331102007','输尿管切开取石术',null,null,1690,1520,1290,null,2420,2320,1970,'次',27,1,'normal','main',0),</v>
      </c>
    </row>
    <row r="76" spans="1:23">
      <c r="A76">
        <v>3168</v>
      </c>
      <c r="B76" t="s">
        <v>2108</v>
      </c>
      <c r="C76">
        <v>1</v>
      </c>
      <c r="D76" s="21" t="s">
        <v>2109</v>
      </c>
      <c r="E76" t="s">
        <v>438</v>
      </c>
      <c r="F76" t="s">
        <v>438</v>
      </c>
      <c r="G76" t="s">
        <v>439</v>
      </c>
      <c r="H76" t="s">
        <v>2108</v>
      </c>
      <c r="I76" t="s">
        <v>2108</v>
      </c>
      <c r="J76">
        <v>2195</v>
      </c>
      <c r="K76">
        <v>1975</v>
      </c>
      <c r="L76">
        <v>1680</v>
      </c>
      <c r="M76" t="s">
        <v>2108</v>
      </c>
      <c r="N76">
        <v>2420</v>
      </c>
      <c r="O76">
        <v>2320</v>
      </c>
      <c r="P76">
        <v>1970</v>
      </c>
      <c r="Q76" t="s">
        <v>40</v>
      </c>
      <c r="R76">
        <v>27</v>
      </c>
      <c r="S76">
        <v>1</v>
      </c>
      <c r="T76" t="s">
        <v>2110</v>
      </c>
      <c r="U76" t="s">
        <v>2111</v>
      </c>
      <c r="V76">
        <v>0</v>
      </c>
      <c r="W76" s="26" t="str">
        <f t="shared" si="1"/>
        <v>(3168,null,1,'2026-04-28 00:00:00','003311020070000-33110200701','003311020070000-33110200701','小儿输尿管切开取石术',null,null,2195,1975,1680,null,2420,2320,1970,'次',27,1,'normal','main',0),</v>
      </c>
    </row>
    <row r="77" spans="1:23">
      <c r="A77">
        <v>3169</v>
      </c>
      <c r="B77" t="s">
        <v>2108</v>
      </c>
      <c r="C77">
        <v>1</v>
      </c>
      <c r="D77" s="21" t="s">
        <v>2109</v>
      </c>
      <c r="E77" t="s">
        <v>440</v>
      </c>
      <c r="F77" t="s">
        <v>440</v>
      </c>
      <c r="G77" t="s">
        <v>441</v>
      </c>
      <c r="H77" t="s">
        <v>2108</v>
      </c>
      <c r="I77" t="s">
        <v>2108</v>
      </c>
      <c r="J77">
        <v>2315</v>
      </c>
      <c r="K77">
        <v>2120</v>
      </c>
      <c r="L77">
        <v>1300</v>
      </c>
      <c r="M77" t="s">
        <v>2108</v>
      </c>
      <c r="N77">
        <v>2420</v>
      </c>
      <c r="O77">
        <v>2320</v>
      </c>
      <c r="P77">
        <v>1970</v>
      </c>
      <c r="Q77" t="s">
        <v>40</v>
      </c>
      <c r="R77">
        <v>27</v>
      </c>
      <c r="S77">
        <v>1</v>
      </c>
      <c r="T77" t="s">
        <v>2110</v>
      </c>
      <c r="U77" t="s">
        <v>2111</v>
      </c>
      <c r="V77">
        <v>0</v>
      </c>
      <c r="W77" s="26" t="str">
        <f t="shared" si="1"/>
        <v>(3169,null,1,'2026-04-28 00:00:00','003311020070001-33110200702','003311020070001-33110200702','经腹腔镜输尿管切开取石术',null,null,2315,2120,1300,null,2420,2320,1970,'次',27,1,'normal','main',0),</v>
      </c>
    </row>
    <row r="78" spans="1:23">
      <c r="A78">
        <v>3170</v>
      </c>
      <c r="B78" t="s">
        <v>2108</v>
      </c>
      <c r="C78">
        <v>1</v>
      </c>
      <c r="D78" s="21" t="s">
        <v>2109</v>
      </c>
      <c r="E78" t="s">
        <v>442</v>
      </c>
      <c r="F78" t="s">
        <v>442</v>
      </c>
      <c r="G78" t="s">
        <v>443</v>
      </c>
      <c r="H78" t="s">
        <v>2108</v>
      </c>
      <c r="I78" t="s">
        <v>2108</v>
      </c>
      <c r="J78">
        <v>2820</v>
      </c>
      <c r="K78">
        <v>2575</v>
      </c>
      <c r="L78">
        <v>2190</v>
      </c>
      <c r="M78" t="s">
        <v>2108</v>
      </c>
      <c r="N78">
        <v>2420</v>
      </c>
      <c r="O78">
        <v>2320</v>
      </c>
      <c r="P78">
        <v>1970</v>
      </c>
      <c r="Q78" t="s">
        <v>40</v>
      </c>
      <c r="R78">
        <v>27</v>
      </c>
      <c r="S78">
        <v>1</v>
      </c>
      <c r="T78" t="s">
        <v>2110</v>
      </c>
      <c r="U78" t="s">
        <v>2111</v>
      </c>
      <c r="V78">
        <v>0</v>
      </c>
      <c r="W78" s="26" t="str">
        <f t="shared" si="1"/>
        <v>(3170,null,1,'2026-04-28 00:00:00','003311020070001-33110200703','003311020070001-33110200703','小儿经腹腔镜输尿管切开取石术',null,null,2820,2575,2190,null,2420,2320,1970,'次',27,1,'normal','main',0),</v>
      </c>
    </row>
    <row r="79" spans="1:23">
      <c r="A79">
        <v>3171</v>
      </c>
      <c r="B79" t="s">
        <v>2108</v>
      </c>
      <c r="C79">
        <v>1</v>
      </c>
      <c r="D79" s="21" t="s">
        <v>2109</v>
      </c>
      <c r="E79" t="s">
        <v>447</v>
      </c>
      <c r="F79" t="s">
        <v>447</v>
      </c>
      <c r="G79" t="s">
        <v>448</v>
      </c>
      <c r="H79" t="s">
        <v>2108</v>
      </c>
      <c r="I79" t="s">
        <v>2108</v>
      </c>
      <c r="J79">
        <v>1300</v>
      </c>
      <c r="K79">
        <v>1250</v>
      </c>
      <c r="L79">
        <v>1065</v>
      </c>
      <c r="M79" t="s">
        <v>2108</v>
      </c>
      <c r="N79">
        <v>1625</v>
      </c>
      <c r="O79">
        <v>1560</v>
      </c>
      <c r="P79">
        <v>1325</v>
      </c>
      <c r="Q79" t="s">
        <v>40</v>
      </c>
      <c r="R79">
        <v>27</v>
      </c>
      <c r="S79">
        <v>1</v>
      </c>
      <c r="T79" t="s">
        <v>2110</v>
      </c>
      <c r="U79" t="s">
        <v>2111</v>
      </c>
      <c r="V79">
        <v>0</v>
      </c>
      <c r="W79" s="26" t="str">
        <f t="shared" si="1"/>
        <v>(3171,null,1,'2026-04-28 00:00:00','003311030010000-33110300101','003311030010000-33110300101','小儿膀胱切开取石术',null,null,1300,1250,1065,null,1625,1560,1325,'次',27,1,'normal','main',0),</v>
      </c>
    </row>
    <row r="80" spans="1:23">
      <c r="A80">
        <v>3172</v>
      </c>
      <c r="B80" t="s">
        <v>2108</v>
      </c>
      <c r="C80">
        <v>1</v>
      </c>
      <c r="D80" s="21" t="s">
        <v>2109</v>
      </c>
      <c r="E80" t="s">
        <v>449</v>
      </c>
      <c r="F80" t="s">
        <v>449</v>
      </c>
      <c r="G80" t="s">
        <v>450</v>
      </c>
      <c r="H80" t="s">
        <v>2108</v>
      </c>
      <c r="I80" t="s">
        <v>2108</v>
      </c>
      <c r="J80">
        <v>1925</v>
      </c>
      <c r="K80">
        <v>1850</v>
      </c>
      <c r="L80">
        <v>1575</v>
      </c>
      <c r="M80" t="s">
        <v>2108</v>
      </c>
      <c r="N80">
        <v>1625</v>
      </c>
      <c r="O80">
        <v>1560</v>
      </c>
      <c r="P80">
        <v>1325</v>
      </c>
      <c r="Q80" t="s">
        <v>40</v>
      </c>
      <c r="R80">
        <v>27</v>
      </c>
      <c r="S80">
        <v>1</v>
      </c>
      <c r="T80" t="s">
        <v>2110</v>
      </c>
      <c r="U80" t="s">
        <v>2111</v>
      </c>
      <c r="V80">
        <v>0</v>
      </c>
      <c r="W80" s="26" t="str">
        <f t="shared" si="1"/>
        <v>(3172,null,1,'2026-04-28 00:00:00','003311030010000-33110300103','003311030010000-33110300103','小儿经腹腔镜膀胱切开取石术',null,null,1925,1850,1575,null,1625,1560,1325,'次',27,1,'normal','main',0),</v>
      </c>
    </row>
    <row r="81" spans="1:23">
      <c r="A81">
        <v>3173</v>
      </c>
      <c r="B81" t="s">
        <v>2108</v>
      </c>
      <c r="C81">
        <v>1</v>
      </c>
      <c r="D81" s="21" t="s">
        <v>2109</v>
      </c>
      <c r="E81" t="s">
        <v>451</v>
      </c>
      <c r="F81" t="s">
        <v>451</v>
      </c>
      <c r="G81" t="s">
        <v>452</v>
      </c>
      <c r="H81" t="s">
        <v>2108</v>
      </c>
      <c r="I81" t="s">
        <v>2108</v>
      </c>
      <c r="J81">
        <v>1465</v>
      </c>
      <c r="K81">
        <v>1405</v>
      </c>
      <c r="L81">
        <v>1195</v>
      </c>
      <c r="M81" t="s">
        <v>2108</v>
      </c>
      <c r="N81">
        <v>1625</v>
      </c>
      <c r="O81">
        <v>1560</v>
      </c>
      <c r="P81">
        <v>1325</v>
      </c>
      <c r="Q81" t="s">
        <v>40</v>
      </c>
      <c r="R81">
        <v>27</v>
      </c>
      <c r="S81">
        <v>1</v>
      </c>
      <c r="T81" t="s">
        <v>2110</v>
      </c>
      <c r="U81" t="s">
        <v>2111</v>
      </c>
      <c r="V81">
        <v>0</v>
      </c>
      <c r="W81" s="26" t="str">
        <f t="shared" si="1"/>
        <v>(3173,null,1,'2026-04-28 00:00:00','003311040050000-33110400501','003311040050000-33110400501','小儿尿道切开取石术',null,null,1465,1405,1195,null,1625,1560,1325,'次',27,1,'normal','main',0),</v>
      </c>
    </row>
    <row r="82" spans="1:23">
      <c r="A82">
        <v>3174</v>
      </c>
      <c r="B82" t="s">
        <v>2108</v>
      </c>
      <c r="C82">
        <v>1</v>
      </c>
      <c r="D82" s="21" t="s">
        <v>2109</v>
      </c>
      <c r="E82" t="s">
        <v>453</v>
      </c>
      <c r="F82" t="s">
        <v>453</v>
      </c>
      <c r="G82" t="s">
        <v>454</v>
      </c>
      <c r="H82" t="s">
        <v>2108</v>
      </c>
      <c r="I82" t="s">
        <v>2108</v>
      </c>
      <c r="J82">
        <v>1715</v>
      </c>
      <c r="K82">
        <v>1630</v>
      </c>
      <c r="L82">
        <v>1385</v>
      </c>
      <c r="M82" t="s">
        <v>2108</v>
      </c>
      <c r="N82">
        <v>1625</v>
      </c>
      <c r="O82">
        <v>1560</v>
      </c>
      <c r="P82">
        <v>1325</v>
      </c>
      <c r="Q82" t="s">
        <v>40</v>
      </c>
      <c r="R82">
        <v>27</v>
      </c>
      <c r="S82">
        <v>1</v>
      </c>
      <c r="T82" t="s">
        <v>2110</v>
      </c>
      <c r="U82" t="s">
        <v>2111</v>
      </c>
      <c r="V82">
        <v>0</v>
      </c>
      <c r="W82" s="26" t="str">
        <f t="shared" si="1"/>
        <v>(3174,null,1,'2026-04-28 00:00:00','003311040050000-33110400503','003311040050000-33110400503','小儿经膀胱镜尿道切开取石术',null,null,1715,1630,1385,null,1625,1560,1325,'次',27,1,'normal','main',0),</v>
      </c>
    </row>
    <row r="83" spans="1:23">
      <c r="A83">
        <v>3175</v>
      </c>
      <c r="B83" t="s">
        <v>2108</v>
      </c>
      <c r="C83">
        <v>1</v>
      </c>
      <c r="D83" s="21" t="s">
        <v>2109</v>
      </c>
      <c r="E83" t="s">
        <v>460</v>
      </c>
      <c r="F83" t="s">
        <v>460</v>
      </c>
      <c r="G83" t="s">
        <v>461</v>
      </c>
      <c r="H83" t="s">
        <v>2108</v>
      </c>
      <c r="I83" t="s">
        <v>2108</v>
      </c>
      <c r="J83">
        <v>440</v>
      </c>
      <c r="K83">
        <v>400</v>
      </c>
      <c r="L83">
        <v>340</v>
      </c>
      <c r="M83" t="s">
        <v>2108</v>
      </c>
      <c r="N83">
        <v>355</v>
      </c>
      <c r="O83">
        <v>320</v>
      </c>
      <c r="P83">
        <v>285</v>
      </c>
      <c r="Q83" t="s">
        <v>40</v>
      </c>
      <c r="R83">
        <v>27</v>
      </c>
      <c r="S83">
        <v>1</v>
      </c>
      <c r="T83" t="s">
        <v>2110</v>
      </c>
      <c r="U83" t="s">
        <v>2111</v>
      </c>
      <c r="V83">
        <v>0</v>
      </c>
      <c r="W83" s="26" t="str">
        <f t="shared" si="1"/>
        <v>(3175,null,1,'2026-04-28 00:00:00','003110000220000-311000022','003110000220000-311000022','经皮输尿管内管置入术',null,null,440,400,340,null,355,320,285,'次',27,1,'normal','main',0),</v>
      </c>
    </row>
    <row r="84" spans="1:23">
      <c r="A84">
        <v>3176</v>
      </c>
      <c r="B84" t="s">
        <v>2108</v>
      </c>
      <c r="C84">
        <v>1</v>
      </c>
      <c r="D84" s="21" t="s">
        <v>2109</v>
      </c>
      <c r="E84" t="s">
        <v>462</v>
      </c>
      <c r="F84" t="s">
        <v>462</v>
      </c>
      <c r="G84" t="s">
        <v>463</v>
      </c>
      <c r="H84" t="s">
        <v>2108</v>
      </c>
      <c r="I84" t="s">
        <v>2108</v>
      </c>
      <c r="J84">
        <v>225</v>
      </c>
      <c r="K84">
        <v>205</v>
      </c>
      <c r="L84">
        <v>175</v>
      </c>
      <c r="M84" t="s">
        <v>2108</v>
      </c>
      <c r="N84">
        <v>355</v>
      </c>
      <c r="O84">
        <v>320</v>
      </c>
      <c r="P84">
        <v>285</v>
      </c>
      <c r="Q84" t="s">
        <v>40</v>
      </c>
      <c r="R84">
        <v>27</v>
      </c>
      <c r="S84">
        <v>1</v>
      </c>
      <c r="T84" t="s">
        <v>2110</v>
      </c>
      <c r="U84" t="s">
        <v>2111</v>
      </c>
      <c r="V84">
        <v>0</v>
      </c>
      <c r="W84" s="26" t="str">
        <f t="shared" si="1"/>
        <v>(3176,null,1,'2026-04-28 00:00:00','003110000330000-311000033','003110000330000-311000033','膀胱穿刺造瘘术',null,null,225,205,175,null,355,320,285,'次',27,1,'normal','main',0),</v>
      </c>
    </row>
    <row r="85" spans="1:23">
      <c r="A85">
        <v>3177</v>
      </c>
      <c r="B85" t="s">
        <v>2108</v>
      </c>
      <c r="C85">
        <v>1</v>
      </c>
      <c r="D85" s="21" t="s">
        <v>2109</v>
      </c>
      <c r="E85" t="s">
        <v>465</v>
      </c>
      <c r="F85" t="s">
        <v>465</v>
      </c>
      <c r="G85" t="s">
        <v>466</v>
      </c>
      <c r="H85" t="s">
        <v>2108</v>
      </c>
      <c r="I85" t="s">
        <v>2108</v>
      </c>
      <c r="J85">
        <v>1000</v>
      </c>
      <c r="K85">
        <v>960</v>
      </c>
      <c r="L85">
        <v>816</v>
      </c>
      <c r="M85" t="s">
        <v>2108</v>
      </c>
      <c r="N85">
        <v>355</v>
      </c>
      <c r="O85">
        <v>320</v>
      </c>
      <c r="P85">
        <v>285</v>
      </c>
      <c r="Q85" t="s">
        <v>40</v>
      </c>
      <c r="R85">
        <v>27</v>
      </c>
      <c r="S85">
        <v>1</v>
      </c>
      <c r="T85" t="s">
        <v>2110</v>
      </c>
      <c r="U85" t="s">
        <v>2111</v>
      </c>
      <c r="V85">
        <v>0</v>
      </c>
      <c r="W85" s="26" t="str">
        <f t="shared" si="1"/>
        <v>(3177,null,1,'2026-04-28 00:00:00','003311030050000-331103005','003311030050000-331103005','膀胱造瘘术',null,null,1000,960,816,null,355,320,285,'次',27,1,'normal','main',0),</v>
      </c>
    </row>
    <row r="86" spans="1:23">
      <c r="A86">
        <v>3178</v>
      </c>
      <c r="B86" t="s">
        <v>2108</v>
      </c>
      <c r="C86">
        <v>1</v>
      </c>
      <c r="D86" s="21" t="s">
        <v>2109</v>
      </c>
      <c r="E86" t="s">
        <v>467</v>
      </c>
      <c r="F86" t="s">
        <v>467</v>
      </c>
      <c r="G86" t="s">
        <v>468</v>
      </c>
      <c r="H86" t="s">
        <v>2108</v>
      </c>
      <c r="I86" t="s">
        <v>2108</v>
      </c>
      <c r="J86">
        <v>875</v>
      </c>
      <c r="K86">
        <v>840</v>
      </c>
      <c r="L86">
        <v>714</v>
      </c>
      <c r="M86" t="s">
        <v>2108</v>
      </c>
      <c r="N86">
        <v>355</v>
      </c>
      <c r="O86">
        <v>320</v>
      </c>
      <c r="P86">
        <v>285</v>
      </c>
      <c r="Q86" t="s">
        <v>40</v>
      </c>
      <c r="R86">
        <v>27</v>
      </c>
      <c r="S86">
        <v>1</v>
      </c>
      <c r="T86" t="s">
        <v>2110</v>
      </c>
      <c r="U86" t="s">
        <v>2111</v>
      </c>
      <c r="V86">
        <v>0</v>
      </c>
      <c r="W86" s="26" t="str">
        <f t="shared" si="1"/>
        <v>(3178,null,1,'2026-04-28 00:00:00','003311040170000-331104017','003311040170000-331104017','尿道会阴造口术',null,null,875,840,714,null,355,320,285,'次',27,1,'normal','main',0),</v>
      </c>
    </row>
    <row r="87" spans="1:23">
      <c r="A87">
        <v>3179</v>
      </c>
      <c r="B87" t="s">
        <v>2108</v>
      </c>
      <c r="C87">
        <v>1</v>
      </c>
      <c r="D87" s="21" t="s">
        <v>2109</v>
      </c>
      <c r="E87" t="s">
        <v>472</v>
      </c>
      <c r="F87" t="s">
        <v>472</v>
      </c>
      <c r="G87" t="s">
        <v>473</v>
      </c>
      <c r="H87" t="s">
        <v>2108</v>
      </c>
      <c r="I87" t="s">
        <v>2108</v>
      </c>
      <c r="J87">
        <v>1500</v>
      </c>
      <c r="K87">
        <v>1440</v>
      </c>
      <c r="L87">
        <v>1224</v>
      </c>
      <c r="M87" t="s">
        <v>2108</v>
      </c>
      <c r="N87">
        <v>1500</v>
      </c>
      <c r="O87">
        <v>1440</v>
      </c>
      <c r="P87">
        <v>1285</v>
      </c>
      <c r="Q87" t="s">
        <v>40</v>
      </c>
      <c r="R87">
        <v>27</v>
      </c>
      <c r="S87">
        <v>1</v>
      </c>
      <c r="T87" t="s">
        <v>2110</v>
      </c>
      <c r="U87" t="s">
        <v>2111</v>
      </c>
      <c r="V87">
        <v>0</v>
      </c>
      <c r="W87" s="26" t="str">
        <f t="shared" si="1"/>
        <v>(3179,null,1,'2026-04-28 00:00:00','003311010130000-331101013','003311010130000-331101013','肾实质切开造瘘术',null,null,1500,1440,1224,null,1500,1440,1285,'次',27,1,'normal','main',0),</v>
      </c>
    </row>
    <row r="88" spans="1:23">
      <c r="A88">
        <v>3180</v>
      </c>
      <c r="B88" t="s">
        <v>2108</v>
      </c>
      <c r="C88">
        <v>1</v>
      </c>
      <c r="D88" s="21" t="s">
        <v>2109</v>
      </c>
      <c r="E88" t="s">
        <v>474</v>
      </c>
      <c r="F88" t="s">
        <v>474</v>
      </c>
      <c r="G88" t="s">
        <v>475</v>
      </c>
      <c r="H88" t="s">
        <v>2108</v>
      </c>
      <c r="I88" t="s">
        <v>2108</v>
      </c>
      <c r="J88">
        <v>1950</v>
      </c>
      <c r="K88">
        <v>1870</v>
      </c>
      <c r="L88">
        <v>1590</v>
      </c>
      <c r="M88" t="s">
        <v>2108</v>
      </c>
      <c r="N88">
        <v>1500</v>
      </c>
      <c r="O88">
        <v>1440</v>
      </c>
      <c r="P88">
        <v>1285</v>
      </c>
      <c r="Q88" t="s">
        <v>40</v>
      </c>
      <c r="R88">
        <v>27</v>
      </c>
      <c r="S88">
        <v>1</v>
      </c>
      <c r="T88" t="s">
        <v>2110</v>
      </c>
      <c r="U88" t="s">
        <v>2111</v>
      </c>
      <c r="V88">
        <v>0</v>
      </c>
      <c r="W88" s="26" t="str">
        <f t="shared" si="1"/>
        <v>(3180,null,1,'2026-04-28 00:00:00','003311010130000-33110101301','003311010130000-33110101301','小儿肾实质切开造瘘术',null,null,1950,1870,1590,null,1500,1440,1285,'次',27,1,'normal','main',0),</v>
      </c>
    </row>
    <row r="89" spans="1:23">
      <c r="A89">
        <v>3181</v>
      </c>
      <c r="B89" t="s">
        <v>2108</v>
      </c>
      <c r="C89">
        <v>1</v>
      </c>
      <c r="D89" s="21" t="s">
        <v>2109</v>
      </c>
      <c r="E89" t="s">
        <v>476</v>
      </c>
      <c r="F89" t="s">
        <v>476</v>
      </c>
      <c r="G89" t="s">
        <v>477</v>
      </c>
      <c r="H89" t="s">
        <v>2108</v>
      </c>
      <c r="I89" t="s">
        <v>2108</v>
      </c>
      <c r="J89">
        <v>2125</v>
      </c>
      <c r="K89">
        <v>2040</v>
      </c>
      <c r="L89">
        <v>1734</v>
      </c>
      <c r="M89" t="s">
        <v>2108</v>
      </c>
      <c r="N89">
        <v>1500</v>
      </c>
      <c r="O89">
        <v>1440</v>
      </c>
      <c r="P89">
        <v>1285</v>
      </c>
      <c r="Q89" t="s">
        <v>40</v>
      </c>
      <c r="R89">
        <v>27</v>
      </c>
      <c r="S89">
        <v>1</v>
      </c>
      <c r="T89" t="s">
        <v>2110</v>
      </c>
      <c r="U89" t="s">
        <v>2111</v>
      </c>
      <c r="V89">
        <v>0</v>
      </c>
      <c r="W89" s="26" t="str">
        <f t="shared" si="1"/>
        <v>(3181,null,1,'2026-04-28 00:00:00','003311010130000-33110101302','003311010130000-33110101302','经腹腔镜肾实质切开造瘘术',null,null,2125,2040,1734,null,1500,1440,1285,'次',27,1,'normal','main',0),</v>
      </c>
    </row>
    <row r="90" spans="1:23">
      <c r="A90">
        <v>3182</v>
      </c>
      <c r="B90" t="s">
        <v>2108</v>
      </c>
      <c r="C90">
        <v>1</v>
      </c>
      <c r="D90" s="21" t="s">
        <v>2109</v>
      </c>
      <c r="E90" t="s">
        <v>478</v>
      </c>
      <c r="F90" t="s">
        <v>478</v>
      </c>
      <c r="G90" t="s">
        <v>479</v>
      </c>
      <c r="H90" t="s">
        <v>2108</v>
      </c>
      <c r="I90" t="s">
        <v>2108</v>
      </c>
      <c r="J90">
        <v>2575</v>
      </c>
      <c r="K90">
        <v>2470</v>
      </c>
      <c r="L90">
        <v>2100</v>
      </c>
      <c r="M90" t="s">
        <v>2108</v>
      </c>
      <c r="N90">
        <v>1500</v>
      </c>
      <c r="O90">
        <v>1440</v>
      </c>
      <c r="P90">
        <v>1285</v>
      </c>
      <c r="Q90" t="s">
        <v>40</v>
      </c>
      <c r="R90">
        <v>27</v>
      </c>
      <c r="S90">
        <v>1</v>
      </c>
      <c r="T90" t="s">
        <v>2110</v>
      </c>
      <c r="U90" t="s">
        <v>2111</v>
      </c>
      <c r="V90">
        <v>0</v>
      </c>
      <c r="W90" s="26" t="str">
        <f t="shared" si="1"/>
        <v>(3182,null,1,'2026-04-28 00:00:00','003311010130000-33110101303','003311010130000-33110101303','小儿经腹腔镜肾实质切开造瘘术',null,null,2575,2470,2100,null,1500,1440,1285,'次',27,1,'normal','main',0),</v>
      </c>
    </row>
    <row r="91" spans="1:23">
      <c r="A91">
        <v>3183</v>
      </c>
      <c r="B91" t="s">
        <v>2108</v>
      </c>
      <c r="C91">
        <v>1</v>
      </c>
      <c r="D91" s="21" t="s">
        <v>2109</v>
      </c>
      <c r="E91" t="s">
        <v>482</v>
      </c>
      <c r="F91" t="s">
        <v>482</v>
      </c>
      <c r="G91" t="s">
        <v>483</v>
      </c>
      <c r="H91" t="s">
        <v>2108</v>
      </c>
      <c r="I91" t="s">
        <v>2108</v>
      </c>
      <c r="J91">
        <v>295</v>
      </c>
      <c r="K91">
        <v>265</v>
      </c>
      <c r="L91">
        <v>230</v>
      </c>
      <c r="M91" t="s">
        <v>2108</v>
      </c>
      <c r="N91">
        <v>460</v>
      </c>
      <c r="O91">
        <v>416</v>
      </c>
      <c r="P91">
        <v>371</v>
      </c>
      <c r="Q91" t="s">
        <v>40</v>
      </c>
      <c r="R91">
        <v>27</v>
      </c>
      <c r="S91">
        <v>1</v>
      </c>
      <c r="T91" t="s">
        <v>2110</v>
      </c>
      <c r="U91" t="s">
        <v>2111</v>
      </c>
      <c r="V91">
        <v>0</v>
      </c>
      <c r="W91" s="26" t="str">
        <f t="shared" si="1"/>
        <v>(3183,null,1,'2026-04-28 00:00:00','003110000330000-31100003301','003110000330000-31100003301','小儿膀胱穿刺造瘘术',null,null,295,265,230,null,460,416,371,'次',27,1,'normal','main',0),</v>
      </c>
    </row>
    <row r="92" spans="1:23">
      <c r="A92">
        <v>3184</v>
      </c>
      <c r="B92" t="s">
        <v>2108</v>
      </c>
      <c r="C92">
        <v>1</v>
      </c>
      <c r="D92" s="21" t="s">
        <v>2109</v>
      </c>
      <c r="E92" t="s">
        <v>484</v>
      </c>
      <c r="F92" t="s">
        <v>484</v>
      </c>
      <c r="G92" t="s">
        <v>485</v>
      </c>
      <c r="H92" t="s">
        <v>2108</v>
      </c>
      <c r="I92" t="s">
        <v>2108</v>
      </c>
      <c r="J92">
        <v>1300</v>
      </c>
      <c r="K92">
        <v>1250</v>
      </c>
      <c r="L92">
        <v>1065</v>
      </c>
      <c r="M92" t="s">
        <v>2108</v>
      </c>
      <c r="N92">
        <v>460</v>
      </c>
      <c r="O92">
        <v>416</v>
      </c>
      <c r="P92">
        <v>371</v>
      </c>
      <c r="Q92" t="s">
        <v>40</v>
      </c>
      <c r="R92">
        <v>27</v>
      </c>
      <c r="S92">
        <v>1</v>
      </c>
      <c r="T92" t="s">
        <v>2110</v>
      </c>
      <c r="U92" t="s">
        <v>2111</v>
      </c>
      <c r="V92">
        <v>0</v>
      </c>
      <c r="W92" s="26" t="str">
        <f t="shared" si="1"/>
        <v>(3184,null,1,'2026-04-28 00:00:00','003311030050000-33110300501','003311030050000-33110300501','小儿膀胱造瘘术',null,null,1300,1250,1065,null,460,416,371,'次',27,1,'normal','main',0),</v>
      </c>
    </row>
    <row r="93" spans="1:23">
      <c r="A93">
        <v>3185</v>
      </c>
      <c r="B93" t="s">
        <v>2108</v>
      </c>
      <c r="C93">
        <v>1</v>
      </c>
      <c r="D93" s="21" t="s">
        <v>2109</v>
      </c>
      <c r="E93" t="s">
        <v>486</v>
      </c>
      <c r="F93" t="s">
        <v>486</v>
      </c>
      <c r="G93" t="s">
        <v>487</v>
      </c>
      <c r="H93" t="s">
        <v>2108</v>
      </c>
      <c r="I93" t="s">
        <v>2108</v>
      </c>
      <c r="J93">
        <v>1140</v>
      </c>
      <c r="K93">
        <v>1090</v>
      </c>
      <c r="L93">
        <v>925</v>
      </c>
      <c r="M93" t="s">
        <v>2108</v>
      </c>
      <c r="N93">
        <v>460</v>
      </c>
      <c r="O93">
        <v>416</v>
      </c>
      <c r="P93">
        <v>371</v>
      </c>
      <c r="Q93" t="s">
        <v>40</v>
      </c>
      <c r="R93">
        <v>27</v>
      </c>
      <c r="S93">
        <v>1</v>
      </c>
      <c r="T93" t="s">
        <v>2110</v>
      </c>
      <c r="U93" t="s">
        <v>2111</v>
      </c>
      <c r="V93">
        <v>0</v>
      </c>
      <c r="W93" s="26" t="str">
        <f t="shared" si="1"/>
        <v>(3185,null,1,'2026-04-28 00:00:00','003311040170000-33110401701','003311040170000-33110401701','小儿尿道会阴造口术',null,null,1140,1090,925,null,460,416,371,'次',27,1,'normal','main',0),</v>
      </c>
    </row>
    <row r="94" spans="1:23">
      <c r="A94">
        <v>3186</v>
      </c>
      <c r="B94" t="s">
        <v>2108</v>
      </c>
      <c r="C94">
        <v>1</v>
      </c>
      <c r="D94" s="21" t="s">
        <v>2109</v>
      </c>
      <c r="E94" t="s">
        <v>493</v>
      </c>
      <c r="F94" t="s">
        <v>493</v>
      </c>
      <c r="G94" t="s">
        <v>494</v>
      </c>
      <c r="H94" t="s">
        <v>2108</v>
      </c>
      <c r="I94" t="s">
        <v>2108</v>
      </c>
      <c r="J94">
        <v>2530</v>
      </c>
      <c r="K94">
        <v>2280</v>
      </c>
      <c r="L94">
        <v>1940</v>
      </c>
      <c r="M94" t="s">
        <v>2108</v>
      </c>
      <c r="N94">
        <v>1360</v>
      </c>
      <c r="O94">
        <v>1225</v>
      </c>
      <c r="P94">
        <v>1050</v>
      </c>
      <c r="Q94" t="s">
        <v>40</v>
      </c>
      <c r="R94">
        <v>27</v>
      </c>
      <c r="S94">
        <v>1</v>
      </c>
      <c r="T94" t="s">
        <v>2110</v>
      </c>
      <c r="U94" t="s">
        <v>2111</v>
      </c>
      <c r="V94">
        <v>0</v>
      </c>
      <c r="W94" s="26" t="str">
        <f t="shared" si="1"/>
        <v>(3186,null,1,'2026-04-28 00:00:00','003311040150000-331104015','003311040150000-331104015','尿道直肠瘘修补术',null,null,2530,2280,1940,null,1360,1225,1050,'次',27,1,'normal','main',0),</v>
      </c>
    </row>
    <row r="95" spans="1:23">
      <c r="A95">
        <v>3187</v>
      </c>
      <c r="B95" t="s">
        <v>2108</v>
      </c>
      <c r="C95">
        <v>1</v>
      </c>
      <c r="D95" s="21" t="s">
        <v>2109</v>
      </c>
      <c r="E95" t="s">
        <v>495</v>
      </c>
      <c r="F95" t="s">
        <v>495</v>
      </c>
      <c r="G95" t="s">
        <v>496</v>
      </c>
      <c r="H95" t="s">
        <v>2108</v>
      </c>
      <c r="I95" t="s">
        <v>2108</v>
      </c>
      <c r="J95">
        <v>2780</v>
      </c>
      <c r="K95">
        <v>2505</v>
      </c>
      <c r="L95">
        <v>2130</v>
      </c>
      <c r="M95" t="s">
        <v>2108</v>
      </c>
      <c r="N95">
        <v>1360</v>
      </c>
      <c r="O95">
        <v>1225</v>
      </c>
      <c r="P95">
        <v>1050</v>
      </c>
      <c r="Q95" t="s">
        <v>40</v>
      </c>
      <c r="R95">
        <v>27</v>
      </c>
      <c r="S95">
        <v>1</v>
      </c>
      <c r="T95" t="s">
        <v>2110</v>
      </c>
      <c r="U95" t="s">
        <v>2111</v>
      </c>
      <c r="V95">
        <v>0</v>
      </c>
      <c r="W95" s="26" t="str">
        <f t="shared" si="1"/>
        <v>(3187,null,1,'2026-04-28 00:00:00','003311040150000-33110401502','003311040150000-33110401502','经膀胱镜尿道直肠瘘修补术',null,null,2780,2505,2130,null,1360,1225,1050,'次',27,1,'normal','main',0),</v>
      </c>
    </row>
    <row r="96" spans="1:23">
      <c r="A96">
        <v>3188</v>
      </c>
      <c r="B96" t="s">
        <v>2108</v>
      </c>
      <c r="C96">
        <v>1</v>
      </c>
      <c r="D96" s="21" t="s">
        <v>2109</v>
      </c>
      <c r="E96" t="s">
        <v>497</v>
      </c>
      <c r="F96" t="s">
        <v>497</v>
      </c>
      <c r="G96" t="s">
        <v>498</v>
      </c>
      <c r="H96" t="s">
        <v>2108</v>
      </c>
      <c r="I96" t="s">
        <v>2108</v>
      </c>
      <c r="J96">
        <v>1250</v>
      </c>
      <c r="K96">
        <v>1200</v>
      </c>
      <c r="L96">
        <v>1020</v>
      </c>
      <c r="M96" t="s">
        <v>2108</v>
      </c>
      <c r="N96">
        <v>1360</v>
      </c>
      <c r="O96">
        <v>1225</v>
      </c>
      <c r="P96">
        <v>1050</v>
      </c>
      <c r="Q96" t="s">
        <v>40</v>
      </c>
      <c r="R96">
        <v>27</v>
      </c>
      <c r="S96">
        <v>1</v>
      </c>
      <c r="T96" t="s">
        <v>2110</v>
      </c>
      <c r="U96" t="s">
        <v>2111</v>
      </c>
      <c r="V96">
        <v>0</v>
      </c>
      <c r="W96" s="26" t="str">
        <f t="shared" si="1"/>
        <v>(3188,null,1,'2026-04-28 00:00:00','003311040180000-331104018','003311040180000-331104018','尿道瘘修补术',null,null,1250,1200,1020,null,1360,1225,1050,'次',27,1,'normal','main',0),</v>
      </c>
    </row>
    <row r="97" spans="1:23">
      <c r="A97">
        <v>3189</v>
      </c>
      <c r="B97" t="s">
        <v>2108</v>
      </c>
      <c r="C97">
        <v>1</v>
      </c>
      <c r="D97" s="21" t="s">
        <v>2109</v>
      </c>
      <c r="E97" t="s">
        <v>504</v>
      </c>
      <c r="F97" t="s">
        <v>504</v>
      </c>
      <c r="G97" t="s">
        <v>505</v>
      </c>
      <c r="H97" t="s">
        <v>2108</v>
      </c>
      <c r="I97" t="s">
        <v>2108</v>
      </c>
      <c r="J97">
        <v>3290</v>
      </c>
      <c r="K97">
        <v>2965</v>
      </c>
      <c r="L97">
        <v>2520</v>
      </c>
      <c r="M97" t="s">
        <v>2108</v>
      </c>
      <c r="N97">
        <v>1770</v>
      </c>
      <c r="O97">
        <v>1590</v>
      </c>
      <c r="P97">
        <v>1365</v>
      </c>
      <c r="Q97" t="s">
        <v>40</v>
      </c>
      <c r="R97">
        <v>27</v>
      </c>
      <c r="S97">
        <v>1</v>
      </c>
      <c r="T97" t="s">
        <v>2110</v>
      </c>
      <c r="U97" t="s">
        <v>2111</v>
      </c>
      <c r="V97">
        <v>0</v>
      </c>
      <c r="W97" s="26" t="str">
        <f t="shared" si="1"/>
        <v>(3189,null,1,'2026-04-28 00:00:00','003311040150000-33110401501','003311040150000-33110401501','小儿尿道直肠瘘修补术',null,null,3290,2965,2520,null,1770,1590,1365,'次',27,1,'normal','main',0),</v>
      </c>
    </row>
    <row r="98" spans="1:23">
      <c r="A98">
        <v>3190</v>
      </c>
      <c r="B98" t="s">
        <v>2108</v>
      </c>
      <c r="C98">
        <v>1</v>
      </c>
      <c r="D98" s="21" t="s">
        <v>2109</v>
      </c>
      <c r="E98" t="s">
        <v>506</v>
      </c>
      <c r="F98" t="s">
        <v>506</v>
      </c>
      <c r="G98" t="s">
        <v>507</v>
      </c>
      <c r="H98" t="s">
        <v>2108</v>
      </c>
      <c r="I98" t="s">
        <v>2108</v>
      </c>
      <c r="J98">
        <v>3540</v>
      </c>
      <c r="K98">
        <v>3190</v>
      </c>
      <c r="L98">
        <v>2710</v>
      </c>
      <c r="M98" t="s">
        <v>2108</v>
      </c>
      <c r="N98">
        <v>1770</v>
      </c>
      <c r="O98">
        <v>1590</v>
      </c>
      <c r="P98">
        <v>1365</v>
      </c>
      <c r="Q98" t="s">
        <v>40</v>
      </c>
      <c r="R98">
        <v>27</v>
      </c>
      <c r="S98">
        <v>1</v>
      </c>
      <c r="T98" t="s">
        <v>2110</v>
      </c>
      <c r="U98" t="s">
        <v>2111</v>
      </c>
      <c r="V98">
        <v>0</v>
      </c>
      <c r="W98" s="26" t="str">
        <f t="shared" si="1"/>
        <v>(3190,null,1,'2026-04-28 00:00:00','003311040150000-33110401503','003311040150000-33110401503','小儿经膀胱镜尿道直肠瘘修补术',null,null,3540,3190,2710,null,1770,1590,1365,'次',27,1,'normal','main',0),</v>
      </c>
    </row>
    <row r="99" spans="1:23">
      <c r="A99">
        <v>3191</v>
      </c>
      <c r="B99" t="s">
        <v>2108</v>
      </c>
      <c r="C99">
        <v>1</v>
      </c>
      <c r="D99" s="21" t="s">
        <v>2109</v>
      </c>
      <c r="E99" t="s">
        <v>508</v>
      </c>
      <c r="F99" t="s">
        <v>508</v>
      </c>
      <c r="G99" t="s">
        <v>509</v>
      </c>
      <c r="H99" t="s">
        <v>2108</v>
      </c>
      <c r="I99" t="s">
        <v>2108</v>
      </c>
      <c r="J99">
        <v>1625</v>
      </c>
      <c r="K99">
        <v>1560</v>
      </c>
      <c r="L99">
        <v>1325</v>
      </c>
      <c r="M99" t="s">
        <v>2108</v>
      </c>
      <c r="N99">
        <v>1770</v>
      </c>
      <c r="O99">
        <v>1590</v>
      </c>
      <c r="P99">
        <v>1365</v>
      </c>
      <c r="Q99" t="s">
        <v>40</v>
      </c>
      <c r="R99">
        <v>27</v>
      </c>
      <c r="S99">
        <v>1</v>
      </c>
      <c r="T99" t="s">
        <v>2110</v>
      </c>
      <c r="U99" t="s">
        <v>2111</v>
      </c>
      <c r="V99">
        <v>0</v>
      </c>
      <c r="W99" s="26" t="str">
        <f t="shared" si="1"/>
        <v>(3191,null,1,'2026-04-28 00:00:00','003311040180000-33110401801','003311040180000-33110401801','小儿尿道瘘修补术',null,null,1625,1560,1325,null,1770,1590,1365,'次',27,1,'normal','main',0),</v>
      </c>
    </row>
    <row r="100" spans="1:23">
      <c r="A100">
        <v>3192</v>
      </c>
      <c r="B100" t="s">
        <v>2108</v>
      </c>
      <c r="C100">
        <v>1</v>
      </c>
      <c r="D100" s="21" t="s">
        <v>2109</v>
      </c>
      <c r="E100" t="s">
        <v>515</v>
      </c>
      <c r="F100" t="s">
        <v>515</v>
      </c>
      <c r="G100" t="s">
        <v>516</v>
      </c>
      <c r="H100" t="s">
        <v>2108</v>
      </c>
      <c r="I100" t="s">
        <v>2108</v>
      </c>
      <c r="J100">
        <v>145</v>
      </c>
      <c r="K100">
        <v>130</v>
      </c>
      <c r="L100">
        <v>110</v>
      </c>
      <c r="M100" t="s">
        <v>2108</v>
      </c>
      <c r="N100">
        <v>175</v>
      </c>
      <c r="O100">
        <v>160</v>
      </c>
      <c r="P100">
        <v>135</v>
      </c>
      <c r="Q100" t="s">
        <v>48</v>
      </c>
      <c r="R100">
        <v>27</v>
      </c>
      <c r="S100">
        <v>1</v>
      </c>
      <c r="T100" t="s">
        <v>2110</v>
      </c>
      <c r="U100" t="s">
        <v>2111</v>
      </c>
      <c r="V100">
        <v>0</v>
      </c>
      <c r="W100" s="26" t="str">
        <f t="shared" si="1"/>
        <v>(3192,null,1,'2026-04-28 00:00:00','003110000150000-311000015','003110000150000-311000015','肾穿刺术',null,null,145,130,110,null,175,160,135,'单侧',27,1,'normal','main',0),</v>
      </c>
    </row>
    <row r="101" spans="1:23">
      <c r="A101">
        <v>3193</v>
      </c>
      <c r="B101" t="s">
        <v>2108</v>
      </c>
      <c r="C101">
        <v>1</v>
      </c>
      <c r="D101" s="21" t="s">
        <v>2109</v>
      </c>
      <c r="E101" t="s">
        <v>521</v>
      </c>
      <c r="F101" t="s">
        <v>521</v>
      </c>
      <c r="G101" t="s">
        <v>522</v>
      </c>
      <c r="H101" t="s">
        <v>2108</v>
      </c>
      <c r="I101" t="s">
        <v>2108</v>
      </c>
      <c r="J101">
        <v>220</v>
      </c>
      <c r="K101">
        <v>200</v>
      </c>
      <c r="L101">
        <v>170</v>
      </c>
      <c r="M101" t="s">
        <v>2108</v>
      </c>
      <c r="N101">
        <v>235</v>
      </c>
      <c r="O101">
        <v>215</v>
      </c>
      <c r="P101">
        <v>182</v>
      </c>
      <c r="Q101" t="s">
        <v>40</v>
      </c>
      <c r="R101">
        <v>27</v>
      </c>
      <c r="S101">
        <v>1</v>
      </c>
      <c r="T101" t="s">
        <v>2110</v>
      </c>
      <c r="U101" t="s">
        <v>2111</v>
      </c>
      <c r="V101">
        <v>0</v>
      </c>
      <c r="W101" s="26" t="str">
        <f t="shared" si="1"/>
        <v>(3193,null,1,'2026-04-28 00:00:00','003110000170000-311000017','003110000170000-311000017','肾周脓肿引流术',null,null,220,200,170,null,235,215,182,'次',27,1,'normal','main',0),</v>
      </c>
    </row>
    <row r="102" spans="1:23">
      <c r="A102">
        <v>3194</v>
      </c>
      <c r="B102" t="s">
        <v>2108</v>
      </c>
      <c r="C102">
        <v>1</v>
      </c>
      <c r="D102" s="21" t="s">
        <v>2109</v>
      </c>
      <c r="E102" t="s">
        <v>525</v>
      </c>
      <c r="F102" t="s">
        <v>525</v>
      </c>
      <c r="G102" t="s">
        <v>526</v>
      </c>
      <c r="H102" t="s">
        <v>2108</v>
      </c>
      <c r="I102" t="s">
        <v>2108</v>
      </c>
      <c r="J102">
        <v>880</v>
      </c>
      <c r="K102">
        <v>800</v>
      </c>
      <c r="L102">
        <v>680</v>
      </c>
      <c r="M102" t="s">
        <v>2108</v>
      </c>
      <c r="N102">
        <v>235</v>
      </c>
      <c r="O102">
        <v>215</v>
      </c>
      <c r="P102">
        <v>182</v>
      </c>
      <c r="Q102" t="s">
        <v>40</v>
      </c>
      <c r="R102">
        <v>27</v>
      </c>
      <c r="S102">
        <v>1</v>
      </c>
      <c r="T102" t="s">
        <v>2110</v>
      </c>
      <c r="U102" t="s">
        <v>2111</v>
      </c>
      <c r="V102">
        <v>0</v>
      </c>
      <c r="W102" s="26" t="str">
        <f t="shared" si="1"/>
        <v>(3194,null,1,'2026-04-28 00:00:00','003110000170000-31100001701','003110000170000-31100001701','肾周脓肿引流术（切开引流）',null,null,880,800,680,null,235,215,182,'次',27,1,'normal','main',0),</v>
      </c>
    </row>
    <row r="103" spans="1:23">
      <c r="A103">
        <v>3195</v>
      </c>
      <c r="B103" t="s">
        <v>2108</v>
      </c>
      <c r="C103">
        <v>1</v>
      </c>
      <c r="D103" s="21" t="s">
        <v>2109</v>
      </c>
      <c r="E103" t="s">
        <v>528</v>
      </c>
      <c r="F103" t="s">
        <v>528</v>
      </c>
      <c r="G103" t="s">
        <v>529</v>
      </c>
      <c r="H103" t="s">
        <v>2108</v>
      </c>
      <c r="I103" t="s">
        <v>2108</v>
      </c>
      <c r="J103">
        <v>220</v>
      </c>
      <c r="K103">
        <v>200</v>
      </c>
      <c r="L103">
        <v>170</v>
      </c>
      <c r="M103" t="s">
        <v>2108</v>
      </c>
      <c r="N103">
        <v>235</v>
      </c>
      <c r="O103">
        <v>215</v>
      </c>
      <c r="P103">
        <v>182</v>
      </c>
      <c r="Q103" t="s">
        <v>40</v>
      </c>
      <c r="R103">
        <v>27</v>
      </c>
      <c r="S103">
        <v>1</v>
      </c>
      <c r="T103" t="s">
        <v>2110</v>
      </c>
      <c r="U103" t="s">
        <v>2111</v>
      </c>
      <c r="V103">
        <v>0</v>
      </c>
      <c r="W103" s="26" t="str">
        <f t="shared" si="1"/>
        <v>(3195,null,1,'2026-04-28 00:00:00','003110000170100-31100001702','003110000170100-31100001702','肾周脓肿引流术（积液引流）',null,null,220,200,170,null,235,215,182,'次',27,1,'normal','main',0),</v>
      </c>
    </row>
    <row r="104" spans="1:23">
      <c r="A104">
        <v>3196</v>
      </c>
      <c r="B104" t="s">
        <v>2108</v>
      </c>
      <c r="C104">
        <v>1</v>
      </c>
      <c r="D104" s="21" t="s">
        <v>2109</v>
      </c>
      <c r="E104" t="s">
        <v>533</v>
      </c>
      <c r="F104" t="s">
        <v>533</v>
      </c>
      <c r="G104" t="s">
        <v>534</v>
      </c>
      <c r="H104" t="s">
        <v>2108</v>
      </c>
      <c r="I104" t="s">
        <v>2108</v>
      </c>
      <c r="J104">
        <v>0</v>
      </c>
      <c r="K104">
        <v>0</v>
      </c>
      <c r="L104">
        <v>0</v>
      </c>
      <c r="M104" t="s">
        <v>2108</v>
      </c>
      <c r="N104">
        <v>175</v>
      </c>
      <c r="O104">
        <v>160</v>
      </c>
      <c r="P104">
        <v>135</v>
      </c>
      <c r="Q104" t="s">
        <v>40</v>
      </c>
      <c r="R104">
        <v>27</v>
      </c>
      <c r="S104">
        <v>1</v>
      </c>
      <c r="T104" t="s">
        <v>2110</v>
      </c>
      <c r="U104" t="s">
        <v>2111</v>
      </c>
      <c r="V104">
        <v>0</v>
      </c>
      <c r="W104" s="26" t="str">
        <f t="shared" si="1"/>
        <v>(3196,null,1,'2026-04-28 00:00:00','003110000160000-311000016','003110000160000-311000016','肾封闭术',null,null,0,0,0,null,175,160,135,'次',27,1,'normal','main',0),</v>
      </c>
    </row>
    <row r="105" spans="1:23">
      <c r="A105">
        <v>3197</v>
      </c>
      <c r="B105" t="s">
        <v>2108</v>
      </c>
      <c r="C105">
        <v>1</v>
      </c>
      <c r="D105" s="21" t="s">
        <v>2109</v>
      </c>
      <c r="E105" t="s">
        <v>537</v>
      </c>
      <c r="F105" t="s">
        <v>537</v>
      </c>
      <c r="G105" t="s">
        <v>538</v>
      </c>
      <c r="H105" t="s">
        <v>2108</v>
      </c>
      <c r="I105" t="s">
        <v>2108</v>
      </c>
      <c r="J105">
        <v>190</v>
      </c>
      <c r="K105">
        <v>170</v>
      </c>
      <c r="L105">
        <v>145</v>
      </c>
      <c r="M105" t="s">
        <v>2108</v>
      </c>
      <c r="N105">
        <v>228</v>
      </c>
      <c r="O105">
        <v>208</v>
      </c>
      <c r="P105">
        <v>176</v>
      </c>
      <c r="Q105" t="s">
        <v>48</v>
      </c>
      <c r="R105">
        <v>27</v>
      </c>
      <c r="S105">
        <v>1</v>
      </c>
      <c r="T105" t="s">
        <v>2110</v>
      </c>
      <c r="U105" t="s">
        <v>2111</v>
      </c>
      <c r="V105">
        <v>0</v>
      </c>
      <c r="W105" s="26" t="str">
        <f t="shared" si="1"/>
        <v>(3197,null,1,'2026-04-28 00:00:00','003110000150000-31100001501','003110000150000-31100001501','小儿肾穿刺术',null,null,190,170,145,null,228,208,176,'单侧',27,1,'normal','main',0),</v>
      </c>
    </row>
    <row r="106" spans="1:23">
      <c r="A106">
        <v>3198</v>
      </c>
      <c r="B106" t="s">
        <v>2108</v>
      </c>
      <c r="C106">
        <v>1</v>
      </c>
      <c r="D106" s="21" t="s">
        <v>2109</v>
      </c>
      <c r="E106" t="s">
        <v>543</v>
      </c>
      <c r="F106" t="s">
        <v>543</v>
      </c>
      <c r="G106" t="s">
        <v>544</v>
      </c>
      <c r="H106" t="s">
        <v>2108</v>
      </c>
      <c r="I106" t="s">
        <v>2108</v>
      </c>
      <c r="J106">
        <v>2530</v>
      </c>
      <c r="K106">
        <v>2280</v>
      </c>
      <c r="L106">
        <v>1940</v>
      </c>
      <c r="M106" t="s">
        <v>2108</v>
      </c>
      <c r="N106">
        <v>3155</v>
      </c>
      <c r="O106">
        <v>2880</v>
      </c>
      <c r="P106">
        <v>2450</v>
      </c>
      <c r="Q106" t="s">
        <v>40</v>
      </c>
      <c r="R106">
        <v>27</v>
      </c>
      <c r="S106">
        <v>1</v>
      </c>
      <c r="T106" t="s">
        <v>2110</v>
      </c>
      <c r="U106" t="s">
        <v>2111</v>
      </c>
      <c r="V106">
        <v>0</v>
      </c>
      <c r="W106" s="26" t="str">
        <f t="shared" si="1"/>
        <v>(3198,null,1,'2026-04-28 00:00:00','003311010050000-331101005','003311010050000-331101005','肾周围淋巴管剥脱术',null,null,2530,2280,1940,null,3155,2880,2450,'次',27,1,'normal','main',0),</v>
      </c>
    </row>
    <row r="107" spans="1:23">
      <c r="A107">
        <v>3199</v>
      </c>
      <c r="B107" t="s">
        <v>2108</v>
      </c>
      <c r="C107">
        <v>1</v>
      </c>
      <c r="D107" s="21" t="s">
        <v>2109</v>
      </c>
      <c r="E107" t="s">
        <v>545</v>
      </c>
      <c r="F107" t="s">
        <v>545</v>
      </c>
      <c r="G107" t="s">
        <v>546</v>
      </c>
      <c r="H107" t="s">
        <v>2108</v>
      </c>
      <c r="I107" t="s">
        <v>2108</v>
      </c>
      <c r="J107">
        <v>3155</v>
      </c>
      <c r="K107">
        <v>2880</v>
      </c>
      <c r="L107">
        <v>2450</v>
      </c>
      <c r="M107" t="s">
        <v>2108</v>
      </c>
      <c r="N107">
        <v>3155</v>
      </c>
      <c r="O107">
        <v>2880</v>
      </c>
      <c r="P107">
        <v>2450</v>
      </c>
      <c r="Q107" t="s">
        <v>40</v>
      </c>
      <c r="R107">
        <v>27</v>
      </c>
      <c r="S107">
        <v>1</v>
      </c>
      <c r="T107" t="s">
        <v>2110</v>
      </c>
      <c r="U107" t="s">
        <v>2111</v>
      </c>
      <c r="V107">
        <v>0</v>
      </c>
      <c r="W107" s="26" t="str">
        <f t="shared" si="1"/>
        <v>(3199,null,1,'2026-04-28 00:00:00','003311010050000-33110100502','003311010050000-33110100502','经腹腔镜肾周围淋巴管剥脱术',null,null,3155,2880,2450,null,3155,2880,2450,'次',27,1,'normal','main',0),</v>
      </c>
    </row>
    <row r="108" spans="1:23">
      <c r="A108">
        <v>3200</v>
      </c>
      <c r="B108" t="s">
        <v>2108</v>
      </c>
      <c r="C108">
        <v>1</v>
      </c>
      <c r="D108" s="21" t="s">
        <v>2109</v>
      </c>
      <c r="E108" t="s">
        <v>547</v>
      </c>
      <c r="F108" t="s">
        <v>547</v>
      </c>
      <c r="G108" t="s">
        <v>548</v>
      </c>
      <c r="H108" t="s">
        <v>2108</v>
      </c>
      <c r="I108" t="s">
        <v>2108</v>
      </c>
      <c r="J108">
        <v>2190</v>
      </c>
      <c r="K108">
        <v>1970</v>
      </c>
      <c r="L108">
        <v>1670</v>
      </c>
      <c r="M108" t="s">
        <v>2108</v>
      </c>
      <c r="N108" s="14">
        <v>0</v>
      </c>
      <c r="O108" s="14">
        <v>0</v>
      </c>
      <c r="P108" s="14">
        <v>0</v>
      </c>
      <c r="Q108" t="s">
        <v>40</v>
      </c>
      <c r="R108">
        <v>27</v>
      </c>
      <c r="S108">
        <v>1</v>
      </c>
      <c r="T108" t="s">
        <v>2110</v>
      </c>
      <c r="U108" t="s">
        <v>2111</v>
      </c>
      <c r="V108">
        <v>0</v>
      </c>
      <c r="W108" s="26" t="str">
        <f t="shared" si="1"/>
        <v>(3200,null,1,'2026-04-28 00:00:00','003311010060000-331101006','003311010060000-331101006','肾周围粘连分解术',null,null,2190,1970,1670,null,0,0,0,'次',27,1,'normal','main',0),</v>
      </c>
    </row>
    <row r="109" spans="1:23">
      <c r="A109">
        <v>3201</v>
      </c>
      <c r="B109" t="s">
        <v>2108</v>
      </c>
      <c r="C109">
        <v>1</v>
      </c>
      <c r="D109" s="21" t="s">
        <v>2109</v>
      </c>
      <c r="E109" t="s">
        <v>550</v>
      </c>
      <c r="F109" t="s">
        <v>550</v>
      </c>
      <c r="G109" t="s">
        <v>551</v>
      </c>
      <c r="H109" t="s">
        <v>2108</v>
      </c>
      <c r="I109" t="s">
        <v>2108</v>
      </c>
      <c r="J109">
        <v>2815</v>
      </c>
      <c r="K109">
        <v>2570</v>
      </c>
      <c r="L109">
        <v>2180</v>
      </c>
      <c r="M109" t="s">
        <v>2108</v>
      </c>
      <c r="N109" s="14">
        <v>0</v>
      </c>
      <c r="O109" s="14">
        <v>0</v>
      </c>
      <c r="P109" s="14">
        <v>0</v>
      </c>
      <c r="Q109" t="s">
        <v>40</v>
      </c>
      <c r="R109">
        <v>27</v>
      </c>
      <c r="S109">
        <v>1</v>
      </c>
      <c r="T109" t="s">
        <v>2110</v>
      </c>
      <c r="U109" t="s">
        <v>2111</v>
      </c>
      <c r="V109">
        <v>0</v>
      </c>
      <c r="W109" s="26" t="str">
        <f t="shared" si="1"/>
        <v>(3201,null,1,'2026-04-28 00:00:00','003311010060000-33110100602','003311010060000-33110100602','经腹腔镜肾周围粘连分解术',null,null,2815,2570,2180,null,0,0,0,'次',27,1,'normal','main',0),</v>
      </c>
    </row>
    <row r="110" spans="1:23">
      <c r="A110">
        <v>3202</v>
      </c>
      <c r="B110" t="s">
        <v>2108</v>
      </c>
      <c r="C110">
        <v>1</v>
      </c>
      <c r="D110" s="21" t="s">
        <v>2109</v>
      </c>
      <c r="E110" t="s">
        <v>554</v>
      </c>
      <c r="F110" t="s">
        <v>554</v>
      </c>
      <c r="G110" t="s">
        <v>555</v>
      </c>
      <c r="H110" t="s">
        <v>2108</v>
      </c>
      <c r="I110" t="s">
        <v>2108</v>
      </c>
      <c r="J110">
        <v>3290</v>
      </c>
      <c r="K110">
        <v>2965</v>
      </c>
      <c r="L110">
        <v>2520</v>
      </c>
      <c r="M110" t="s">
        <v>2108</v>
      </c>
      <c r="N110" s="24">
        <v>4100</v>
      </c>
      <c r="O110" s="24">
        <v>3745</v>
      </c>
      <c r="P110" s="24">
        <v>3185</v>
      </c>
      <c r="Q110" t="s">
        <v>40</v>
      </c>
      <c r="R110">
        <v>27</v>
      </c>
      <c r="S110">
        <v>1</v>
      </c>
      <c r="T110" t="s">
        <v>2110</v>
      </c>
      <c r="U110" t="s">
        <v>2111</v>
      </c>
      <c r="V110">
        <v>0</v>
      </c>
      <c r="W110" s="26" t="str">
        <f t="shared" si="1"/>
        <v>(3202,null,1,'2026-04-28 00:00:00','003311010050000-33110100501','003311010050000-33110100501','小儿肾周围淋巴管剥脱术',null,null,3290,2965,2520,null,4100,3745,3185,'次',27,1,'normal','main',0),</v>
      </c>
    </row>
    <row r="111" spans="1:23">
      <c r="A111">
        <v>3203</v>
      </c>
      <c r="B111" t="s">
        <v>2108</v>
      </c>
      <c r="C111">
        <v>1</v>
      </c>
      <c r="D111" s="21" t="s">
        <v>2109</v>
      </c>
      <c r="E111" t="s">
        <v>556</v>
      </c>
      <c r="F111" t="s">
        <v>556</v>
      </c>
      <c r="G111" t="s">
        <v>557</v>
      </c>
      <c r="H111" t="s">
        <v>2108</v>
      </c>
      <c r="I111" t="s">
        <v>2108</v>
      </c>
      <c r="J111">
        <v>3915</v>
      </c>
      <c r="K111">
        <v>3565</v>
      </c>
      <c r="L111">
        <v>3030</v>
      </c>
      <c r="M111" t="s">
        <v>2108</v>
      </c>
      <c r="N111" s="24">
        <v>4100</v>
      </c>
      <c r="O111" s="24">
        <v>3745</v>
      </c>
      <c r="P111" s="24">
        <v>3185</v>
      </c>
      <c r="Q111" t="s">
        <v>40</v>
      </c>
      <c r="R111">
        <v>27</v>
      </c>
      <c r="S111">
        <v>1</v>
      </c>
      <c r="T111" t="s">
        <v>2110</v>
      </c>
      <c r="U111" t="s">
        <v>2111</v>
      </c>
      <c r="V111">
        <v>0</v>
      </c>
      <c r="W111" s="26" t="str">
        <f t="shared" si="1"/>
        <v>(3203,null,1,'2026-04-28 00:00:00','003311010050000-33110100503','003311010050000-33110100503','小儿经腹腔镜肾周围淋巴管剥脱术',null,null,3915,3565,3030,null,4100,3745,3185,'次',27,1,'normal','main',0),</v>
      </c>
    </row>
    <row r="112" spans="1:23">
      <c r="A112">
        <v>3204</v>
      </c>
      <c r="B112" t="s">
        <v>2108</v>
      </c>
      <c r="C112">
        <v>1</v>
      </c>
      <c r="D112" s="21" t="s">
        <v>2109</v>
      </c>
      <c r="E112" t="s">
        <v>558</v>
      </c>
      <c r="F112" t="s">
        <v>558</v>
      </c>
      <c r="G112" t="s">
        <v>559</v>
      </c>
      <c r="H112" t="s">
        <v>2108</v>
      </c>
      <c r="I112" t="s">
        <v>2108</v>
      </c>
      <c r="J112">
        <v>2845</v>
      </c>
      <c r="K112">
        <v>2560</v>
      </c>
      <c r="L112">
        <v>2175</v>
      </c>
      <c r="M112" t="s">
        <v>2108</v>
      </c>
      <c r="N112">
        <v>0</v>
      </c>
      <c r="O112">
        <v>0</v>
      </c>
      <c r="P112">
        <v>0</v>
      </c>
      <c r="Q112" t="s">
        <v>40</v>
      </c>
      <c r="R112">
        <v>27</v>
      </c>
      <c r="S112">
        <v>1</v>
      </c>
      <c r="T112" t="s">
        <v>2110</v>
      </c>
      <c r="U112" t="s">
        <v>2111</v>
      </c>
      <c r="V112">
        <v>0</v>
      </c>
      <c r="W112" s="26" t="str">
        <f t="shared" si="1"/>
        <v>(3204,null,1,'2026-04-28 00:00:00','003311010060000-33110100601','003311010060000-33110100601','小儿肾周围粘连分解术',null,null,2845,2560,2175,null,0,0,0,'次',27,1,'normal','main',0),</v>
      </c>
    </row>
    <row r="113" spans="1:23">
      <c r="A113">
        <v>3205</v>
      </c>
      <c r="B113" t="s">
        <v>2108</v>
      </c>
      <c r="C113">
        <v>1</v>
      </c>
      <c r="D113" s="21" t="s">
        <v>2109</v>
      </c>
      <c r="E113" t="s">
        <v>560</v>
      </c>
      <c r="F113" t="s">
        <v>560</v>
      </c>
      <c r="G113" t="s">
        <v>561</v>
      </c>
      <c r="H113" t="s">
        <v>2108</v>
      </c>
      <c r="I113" t="s">
        <v>2108</v>
      </c>
      <c r="J113">
        <v>3470</v>
      </c>
      <c r="K113">
        <v>3160</v>
      </c>
      <c r="L113">
        <v>2685</v>
      </c>
      <c r="M113" t="s">
        <v>2108</v>
      </c>
      <c r="N113">
        <v>0</v>
      </c>
      <c r="O113">
        <v>0</v>
      </c>
      <c r="P113">
        <v>0</v>
      </c>
      <c r="Q113" t="s">
        <v>40</v>
      </c>
      <c r="R113">
        <v>27</v>
      </c>
      <c r="S113">
        <v>1</v>
      </c>
      <c r="T113" t="s">
        <v>2110</v>
      </c>
      <c r="U113" t="s">
        <v>2111</v>
      </c>
      <c r="V113">
        <v>0</v>
      </c>
      <c r="W113" s="26" t="str">
        <f t="shared" si="1"/>
        <v>(3205,null,1,'2026-04-28 00:00:00','003311010060000-33110100603','003311010060000-33110100603','小儿经腹腔镜肾周围粘连分解术',null,null,3470,3160,2685,null,0,0,0,'次',27,1,'normal','main',0),</v>
      </c>
    </row>
    <row r="114" spans="1:23">
      <c r="A114">
        <v>3206</v>
      </c>
      <c r="B114" t="s">
        <v>2108</v>
      </c>
      <c r="C114">
        <v>1</v>
      </c>
      <c r="D114" s="21" t="s">
        <v>2109</v>
      </c>
      <c r="E114" t="s">
        <v>567</v>
      </c>
      <c r="F114" t="s">
        <v>567</v>
      </c>
      <c r="G114" t="s">
        <v>568</v>
      </c>
      <c r="H114" t="s">
        <v>2108</v>
      </c>
      <c r="I114" t="s">
        <v>2108</v>
      </c>
      <c r="J114">
        <v>1500</v>
      </c>
      <c r="K114">
        <v>1440</v>
      </c>
      <c r="L114">
        <v>1224</v>
      </c>
      <c r="M114" t="s">
        <v>2108</v>
      </c>
      <c r="N114">
        <v>2270</v>
      </c>
      <c r="O114">
        <v>2070</v>
      </c>
      <c r="P114">
        <v>1765</v>
      </c>
      <c r="Q114" t="s">
        <v>40</v>
      </c>
      <c r="R114">
        <v>27</v>
      </c>
      <c r="S114">
        <v>1</v>
      </c>
      <c r="T114" t="s">
        <v>2110</v>
      </c>
      <c r="U114" t="s">
        <v>2111</v>
      </c>
      <c r="V114">
        <v>0</v>
      </c>
      <c r="W114" s="26" t="str">
        <f t="shared" si="1"/>
        <v>(3206,null,1,'2026-04-28 00:00:00','003311010040000-331101004','003311010040000-331101004','肾包膜剥脱术',null,null,1500,1440,1224,null,2270,2070,1765,'次',27,1,'normal','main',0),</v>
      </c>
    </row>
    <row r="115" spans="1:23">
      <c r="A115">
        <v>3207</v>
      </c>
      <c r="B115" t="s">
        <v>2108</v>
      </c>
      <c r="C115">
        <v>1</v>
      </c>
      <c r="D115" s="21" t="s">
        <v>2109</v>
      </c>
      <c r="E115" t="s">
        <v>569</v>
      </c>
      <c r="F115" t="s">
        <v>569</v>
      </c>
      <c r="G115" t="s">
        <v>570</v>
      </c>
      <c r="H115" t="s">
        <v>2108</v>
      </c>
      <c r="I115" t="s">
        <v>2108</v>
      </c>
      <c r="J115">
        <v>2125</v>
      </c>
      <c r="K115">
        <v>2040</v>
      </c>
      <c r="L115">
        <v>1734</v>
      </c>
      <c r="M115" t="s">
        <v>2108</v>
      </c>
      <c r="N115">
        <v>2270</v>
      </c>
      <c r="O115">
        <v>2070</v>
      </c>
      <c r="P115">
        <v>1765</v>
      </c>
      <c r="Q115" t="s">
        <v>40</v>
      </c>
      <c r="R115">
        <v>27</v>
      </c>
      <c r="S115">
        <v>1</v>
      </c>
      <c r="T115" t="s">
        <v>2110</v>
      </c>
      <c r="U115" t="s">
        <v>2111</v>
      </c>
      <c r="V115">
        <v>0</v>
      </c>
      <c r="W115" s="26" t="str">
        <f t="shared" si="1"/>
        <v>(3207,null,1,'2026-04-28 00:00:00','003311010040000-33110100402','003311010040000-33110100402','经腹腔镜肾包膜剥脱术',null,null,2125,2040,1734,null,2270,2070,1765,'次',27,1,'normal','main',0),</v>
      </c>
    </row>
    <row r="116" spans="1:23">
      <c r="A116">
        <v>3208</v>
      </c>
      <c r="B116" t="s">
        <v>2108</v>
      </c>
      <c r="C116">
        <v>1</v>
      </c>
      <c r="D116" s="21" t="s">
        <v>2109</v>
      </c>
      <c r="E116" t="s">
        <v>573</v>
      </c>
      <c r="F116" t="s">
        <v>573</v>
      </c>
      <c r="G116" t="s">
        <v>574</v>
      </c>
      <c r="H116" t="s">
        <v>2108</v>
      </c>
      <c r="I116" t="s">
        <v>2108</v>
      </c>
      <c r="J116">
        <v>1950</v>
      </c>
      <c r="K116">
        <v>1870</v>
      </c>
      <c r="L116">
        <v>1590</v>
      </c>
      <c r="M116" t="s">
        <v>2108</v>
      </c>
      <c r="N116">
        <v>2950</v>
      </c>
      <c r="O116">
        <v>2690</v>
      </c>
      <c r="P116">
        <v>2295</v>
      </c>
      <c r="Q116" t="s">
        <v>40</v>
      </c>
      <c r="R116">
        <v>27</v>
      </c>
      <c r="S116">
        <v>1</v>
      </c>
      <c r="T116" t="s">
        <v>2110</v>
      </c>
      <c r="U116" t="s">
        <v>2111</v>
      </c>
      <c r="V116">
        <v>0</v>
      </c>
      <c r="W116" s="26" t="str">
        <f t="shared" si="1"/>
        <v>(3208,null,1,'2026-04-28 00:00:00','003311010040000-33110100401','003311010040000-33110100401','小儿肾包膜剥脱术',null,null,1950,1870,1590,null,2950,2690,2295,'次',27,1,'normal','main',0),</v>
      </c>
    </row>
    <row r="117" spans="1:23">
      <c r="A117">
        <v>3209</v>
      </c>
      <c r="B117" t="s">
        <v>2108</v>
      </c>
      <c r="C117">
        <v>1</v>
      </c>
      <c r="D117" s="21" t="s">
        <v>2109</v>
      </c>
      <c r="E117" t="s">
        <v>575</v>
      </c>
      <c r="F117" t="s">
        <v>575</v>
      </c>
      <c r="G117" t="s">
        <v>576</v>
      </c>
      <c r="H117" t="s">
        <v>2108</v>
      </c>
      <c r="I117" t="s">
        <v>2108</v>
      </c>
      <c r="J117">
        <v>2575</v>
      </c>
      <c r="K117">
        <v>2470</v>
      </c>
      <c r="L117">
        <v>2100</v>
      </c>
      <c r="M117" t="s">
        <v>2108</v>
      </c>
      <c r="N117">
        <v>2950</v>
      </c>
      <c r="O117">
        <v>2690</v>
      </c>
      <c r="P117">
        <v>2295</v>
      </c>
      <c r="Q117" t="s">
        <v>40</v>
      </c>
      <c r="R117">
        <v>27</v>
      </c>
      <c r="S117">
        <v>1</v>
      </c>
      <c r="T117" t="s">
        <v>2110</v>
      </c>
      <c r="U117" t="s">
        <v>2111</v>
      </c>
      <c r="V117">
        <v>0</v>
      </c>
      <c r="W117" s="26" t="str">
        <f t="shared" si="1"/>
        <v>(3209,null,1,'2026-04-28 00:00:00','003311010040000-33110100403','003311010040000-33110100403','小儿经腹腔镜肾包膜剥脱术',null,null,2575,2470,2100,null,2950,2690,2295,'次',27,1,'normal','main',0),</v>
      </c>
    </row>
    <row r="118" spans="1:23">
      <c r="A118">
        <v>3210</v>
      </c>
      <c r="B118" t="s">
        <v>2108</v>
      </c>
      <c r="C118">
        <v>1</v>
      </c>
      <c r="D118" s="21" t="s">
        <v>2109</v>
      </c>
      <c r="E118" t="s">
        <v>581</v>
      </c>
      <c r="F118" t="s">
        <v>581</v>
      </c>
      <c r="G118" t="s">
        <v>582</v>
      </c>
      <c r="H118" t="s">
        <v>2108</v>
      </c>
      <c r="I118" t="s">
        <v>2108</v>
      </c>
      <c r="J118">
        <v>2700</v>
      </c>
      <c r="K118">
        <v>2430</v>
      </c>
      <c r="L118">
        <v>2070</v>
      </c>
      <c r="M118" t="s">
        <v>2108</v>
      </c>
      <c r="N118">
        <v>2770</v>
      </c>
      <c r="O118">
        <v>2500</v>
      </c>
      <c r="P118">
        <v>2150</v>
      </c>
      <c r="Q118" t="s">
        <v>40</v>
      </c>
      <c r="R118">
        <v>27</v>
      </c>
      <c r="S118">
        <v>1</v>
      </c>
      <c r="T118" t="s">
        <v>2110</v>
      </c>
      <c r="U118" t="s">
        <v>2111</v>
      </c>
      <c r="V118">
        <v>0</v>
      </c>
      <c r="W118" s="26" t="str">
        <f t="shared" si="1"/>
        <v>(3210,null,1,'2026-04-28 00:00:00','003311010120000-331101012','003311010120000-331101012','融合肾分解术',null,null,2700,2430,2070,null,2770,2500,2150,'次',27,1,'normal','main',0),</v>
      </c>
    </row>
    <row r="119" spans="1:23">
      <c r="A119">
        <v>3211</v>
      </c>
      <c r="B119" t="s">
        <v>2108</v>
      </c>
      <c r="C119">
        <v>1</v>
      </c>
      <c r="D119" s="21" t="s">
        <v>2109</v>
      </c>
      <c r="E119" t="s">
        <v>583</v>
      </c>
      <c r="F119" t="s">
        <v>583</v>
      </c>
      <c r="G119" t="s">
        <v>584</v>
      </c>
      <c r="H119" t="s">
        <v>2108</v>
      </c>
      <c r="I119" t="s">
        <v>2108</v>
      </c>
      <c r="J119">
        <v>3325</v>
      </c>
      <c r="K119">
        <v>3030</v>
      </c>
      <c r="L119">
        <v>2580</v>
      </c>
      <c r="M119" t="s">
        <v>2108</v>
      </c>
      <c r="N119">
        <v>2770</v>
      </c>
      <c r="O119">
        <v>2500</v>
      </c>
      <c r="P119">
        <v>2150</v>
      </c>
      <c r="Q119" t="s">
        <v>40</v>
      </c>
      <c r="R119">
        <v>27</v>
      </c>
      <c r="S119">
        <v>1</v>
      </c>
      <c r="T119" t="s">
        <v>2110</v>
      </c>
      <c r="U119" t="s">
        <v>2111</v>
      </c>
      <c r="V119">
        <v>0</v>
      </c>
      <c r="W119" s="26" t="str">
        <f t="shared" si="1"/>
        <v>(3211,null,1,'2026-04-28 00:00:00','003311010120000-33110101202','003311010120000-33110101202','经腹腔镜融合肾分解术',null,null,3325,3030,2580,null,2770,2500,2150,'次',27,1,'normal','main',0),</v>
      </c>
    </row>
    <row r="120" spans="1:23">
      <c r="A120">
        <v>3212</v>
      </c>
      <c r="B120" t="s">
        <v>2108</v>
      </c>
      <c r="C120">
        <v>1</v>
      </c>
      <c r="D120" s="21" t="s">
        <v>2109</v>
      </c>
      <c r="E120" t="s">
        <v>587</v>
      </c>
      <c r="F120" t="s">
        <v>587</v>
      </c>
      <c r="G120" t="s">
        <v>588</v>
      </c>
      <c r="H120" t="s">
        <v>2108</v>
      </c>
      <c r="I120" t="s">
        <v>2108</v>
      </c>
      <c r="J120">
        <v>3510</v>
      </c>
      <c r="K120">
        <v>3160</v>
      </c>
      <c r="L120">
        <v>2685</v>
      </c>
      <c r="M120" t="s">
        <v>2108</v>
      </c>
      <c r="N120">
        <v>3600</v>
      </c>
      <c r="O120">
        <v>3250</v>
      </c>
      <c r="P120">
        <v>2795</v>
      </c>
      <c r="Q120" t="s">
        <v>40</v>
      </c>
      <c r="R120">
        <v>27</v>
      </c>
      <c r="S120">
        <v>1</v>
      </c>
      <c r="T120" t="s">
        <v>2110</v>
      </c>
      <c r="U120" t="s">
        <v>2111</v>
      </c>
      <c r="V120">
        <v>0</v>
      </c>
      <c r="W120" s="26" t="str">
        <f t="shared" si="1"/>
        <v>(3212,null,1,'2026-04-28 00:00:00','003311010120000-33110101201','003311010120000-33110101201','小儿融合肾分解术',null,null,3510,3160,2685,null,3600,3250,2795,'次',27,1,'normal','main',0),</v>
      </c>
    </row>
    <row r="121" spans="1:23">
      <c r="A121">
        <v>3213</v>
      </c>
      <c r="B121" t="s">
        <v>2108</v>
      </c>
      <c r="C121">
        <v>1</v>
      </c>
      <c r="D121" s="21" t="s">
        <v>2109</v>
      </c>
      <c r="E121" t="s">
        <v>589</v>
      </c>
      <c r="F121" t="s">
        <v>589</v>
      </c>
      <c r="G121" t="s">
        <v>590</v>
      </c>
      <c r="H121" t="s">
        <v>2108</v>
      </c>
      <c r="I121" t="s">
        <v>2108</v>
      </c>
      <c r="J121">
        <v>4135</v>
      </c>
      <c r="K121">
        <v>3760</v>
      </c>
      <c r="L121">
        <v>3195</v>
      </c>
      <c r="M121" t="s">
        <v>2108</v>
      </c>
      <c r="N121">
        <v>3600</v>
      </c>
      <c r="O121">
        <v>3250</v>
      </c>
      <c r="P121">
        <v>2795</v>
      </c>
      <c r="Q121" t="s">
        <v>40</v>
      </c>
      <c r="R121">
        <v>27</v>
      </c>
      <c r="S121">
        <v>1</v>
      </c>
      <c r="T121" t="s">
        <v>2110</v>
      </c>
      <c r="U121" t="s">
        <v>2111</v>
      </c>
      <c r="V121">
        <v>0</v>
      </c>
      <c r="W121" s="26" t="str">
        <f t="shared" si="1"/>
        <v>(3213,null,1,'2026-04-28 00:00:00','003311010120000-33110101203','003311010120000-33110101203','小儿经腹腔镜融合肾分解术',null,null,4135,3760,3195,null,3600,3250,2795,'次',27,1,'normal','main',0),</v>
      </c>
    </row>
    <row r="122" spans="1:23">
      <c r="A122">
        <v>3214</v>
      </c>
      <c r="B122" t="s">
        <v>2108</v>
      </c>
      <c r="C122">
        <v>1</v>
      </c>
      <c r="D122" s="21" t="s">
        <v>2109</v>
      </c>
      <c r="E122" t="s">
        <v>595</v>
      </c>
      <c r="F122" t="s">
        <v>595</v>
      </c>
      <c r="G122" t="s">
        <v>596</v>
      </c>
      <c r="H122" t="s">
        <v>2108</v>
      </c>
      <c r="I122" t="s">
        <v>2108</v>
      </c>
      <c r="J122">
        <v>2360</v>
      </c>
      <c r="K122">
        <v>2120</v>
      </c>
      <c r="L122">
        <v>1800</v>
      </c>
      <c r="M122" t="s">
        <v>2108</v>
      </c>
      <c r="N122">
        <v>2450</v>
      </c>
      <c r="O122">
        <v>2200</v>
      </c>
      <c r="P122">
        <v>1870</v>
      </c>
      <c r="Q122" t="s">
        <v>40</v>
      </c>
      <c r="R122">
        <v>27</v>
      </c>
      <c r="S122">
        <v>1</v>
      </c>
      <c r="T122" t="s">
        <v>2110</v>
      </c>
      <c r="U122" t="s">
        <v>2111</v>
      </c>
      <c r="V122">
        <v>0</v>
      </c>
      <c r="W122" s="26" t="str">
        <f t="shared" si="1"/>
        <v>(3214,null,1,'2026-04-28 00:00:00','003311010010000-331101001','003311010010000-331101001','肾破裂修补术',null,null,2360,2120,1800,null,2450,2200,1870,'次',27,1,'normal','main',0),</v>
      </c>
    </row>
    <row r="123" spans="1:23">
      <c r="A123">
        <v>3215</v>
      </c>
      <c r="B123" t="s">
        <v>2108</v>
      </c>
      <c r="C123">
        <v>1</v>
      </c>
      <c r="D123" s="21" t="s">
        <v>2109</v>
      </c>
      <c r="E123" t="s">
        <v>597</v>
      </c>
      <c r="F123" t="s">
        <v>597</v>
      </c>
      <c r="G123" t="s">
        <v>598</v>
      </c>
      <c r="H123" t="s">
        <v>2108</v>
      </c>
      <c r="I123" t="s">
        <v>2108</v>
      </c>
      <c r="J123">
        <v>2985</v>
      </c>
      <c r="K123">
        <v>2720</v>
      </c>
      <c r="L123">
        <v>2310</v>
      </c>
      <c r="M123" t="s">
        <v>2108</v>
      </c>
      <c r="N123">
        <v>2450</v>
      </c>
      <c r="O123">
        <v>2200</v>
      </c>
      <c r="P123">
        <v>1870</v>
      </c>
      <c r="Q123" t="s">
        <v>40</v>
      </c>
      <c r="R123">
        <v>27</v>
      </c>
      <c r="S123">
        <v>1</v>
      </c>
      <c r="T123" t="s">
        <v>2110</v>
      </c>
      <c r="U123" t="s">
        <v>2111</v>
      </c>
      <c r="V123">
        <v>0</v>
      </c>
      <c r="W123" s="26" t="str">
        <f t="shared" si="1"/>
        <v>(3215,null,1,'2026-04-28 00:00:00','003311010010000-33110100102','003311010010000-33110100102','经腹腔镜肾破裂修补术',null,null,2985,2720,2310,null,2450,2200,1870,'次',27,1,'normal','main',0),</v>
      </c>
    </row>
    <row r="124" spans="1:23">
      <c r="A124">
        <v>3216</v>
      </c>
      <c r="B124" t="s">
        <v>2108</v>
      </c>
      <c r="C124">
        <v>1</v>
      </c>
      <c r="D124" s="21" t="s">
        <v>2109</v>
      </c>
      <c r="E124" t="s">
        <v>601</v>
      </c>
      <c r="F124" t="s">
        <v>601</v>
      </c>
      <c r="G124" t="s">
        <v>602</v>
      </c>
      <c r="H124" t="s">
        <v>2108</v>
      </c>
      <c r="I124" t="s">
        <v>2108</v>
      </c>
      <c r="J124">
        <v>3070</v>
      </c>
      <c r="K124">
        <v>2755</v>
      </c>
      <c r="L124">
        <v>2340</v>
      </c>
      <c r="M124" t="s">
        <v>2108</v>
      </c>
      <c r="N124">
        <v>3185</v>
      </c>
      <c r="O124">
        <v>2860</v>
      </c>
      <c r="P124">
        <v>2430</v>
      </c>
      <c r="Q124" t="s">
        <v>40</v>
      </c>
      <c r="R124">
        <v>27</v>
      </c>
      <c r="S124">
        <v>1</v>
      </c>
      <c r="T124" t="s">
        <v>2110</v>
      </c>
      <c r="U124" t="s">
        <v>2111</v>
      </c>
      <c r="V124">
        <v>0</v>
      </c>
      <c r="W124" s="26" t="str">
        <f t="shared" si="1"/>
        <v>(3216,null,1,'2026-04-28 00:00:00','003311010010000-33110100101','003311010010000-33110100101','小儿肾破裂修补术',null,null,3070,2755,2340,null,3185,2860,2430,'次',27,1,'normal','main',0),</v>
      </c>
    </row>
    <row r="125" spans="1:23">
      <c r="A125">
        <v>3217</v>
      </c>
      <c r="B125" t="s">
        <v>2108</v>
      </c>
      <c r="C125">
        <v>1</v>
      </c>
      <c r="D125" s="21" t="s">
        <v>2109</v>
      </c>
      <c r="E125" t="s">
        <v>603</v>
      </c>
      <c r="F125" t="s">
        <v>603</v>
      </c>
      <c r="G125" t="s">
        <v>604</v>
      </c>
      <c r="H125" t="s">
        <v>2108</v>
      </c>
      <c r="I125" t="s">
        <v>2108</v>
      </c>
      <c r="J125">
        <v>3695</v>
      </c>
      <c r="K125">
        <v>3355</v>
      </c>
      <c r="L125">
        <v>2850</v>
      </c>
      <c r="M125" t="s">
        <v>2108</v>
      </c>
      <c r="N125">
        <v>3185</v>
      </c>
      <c r="O125">
        <v>2860</v>
      </c>
      <c r="P125">
        <v>2430</v>
      </c>
      <c r="Q125" t="s">
        <v>40</v>
      </c>
      <c r="R125">
        <v>27</v>
      </c>
      <c r="S125">
        <v>1</v>
      </c>
      <c r="T125" t="s">
        <v>2110</v>
      </c>
      <c r="U125" t="s">
        <v>2111</v>
      </c>
      <c r="V125">
        <v>0</v>
      </c>
      <c r="W125" s="26" t="str">
        <f t="shared" si="1"/>
        <v>(3217,null,1,'2026-04-28 00:00:00','003311010010000-33110100103','003311010010000-33110100103','小儿经腹腔镜肾破裂修补术',null,null,3695,3355,2850,null,3185,2860,2430,'次',27,1,'normal','main',0),</v>
      </c>
    </row>
    <row r="126" spans="1:23">
      <c r="A126">
        <v>3218</v>
      </c>
      <c r="B126" t="s">
        <v>2108</v>
      </c>
      <c r="C126">
        <v>1</v>
      </c>
      <c r="D126" s="21" t="s">
        <v>2109</v>
      </c>
      <c r="E126" t="s">
        <v>609</v>
      </c>
      <c r="F126" t="s">
        <v>609</v>
      </c>
      <c r="G126" t="s">
        <v>610</v>
      </c>
      <c r="H126" t="s">
        <v>2108</v>
      </c>
      <c r="I126" t="s">
        <v>2108</v>
      </c>
      <c r="J126">
        <v>1500</v>
      </c>
      <c r="K126">
        <v>1440</v>
      </c>
      <c r="L126">
        <v>1224</v>
      </c>
      <c r="M126" t="s">
        <v>2108</v>
      </c>
      <c r="N126">
        <v>2000</v>
      </c>
      <c r="O126">
        <v>1850</v>
      </c>
      <c r="P126">
        <v>1580</v>
      </c>
      <c r="Q126" t="s">
        <v>40</v>
      </c>
      <c r="R126">
        <v>27</v>
      </c>
      <c r="S126">
        <v>1</v>
      </c>
      <c r="T126" t="s">
        <v>2110</v>
      </c>
      <c r="U126" t="s">
        <v>2111</v>
      </c>
      <c r="V126">
        <v>0</v>
      </c>
      <c r="W126" s="26" t="str">
        <f t="shared" si="1"/>
        <v>(3218,null,1,'2026-04-28 00:00:00','003311010140000-331101014','003311010140000-331101014','肾囊肿切除术',null,null,1500,1440,1224,null,2000,1850,1580,'次',27,1,'normal','main',0),</v>
      </c>
    </row>
    <row r="127" spans="1:23">
      <c r="A127">
        <v>3219</v>
      </c>
      <c r="B127" t="s">
        <v>2108</v>
      </c>
      <c r="C127">
        <v>1</v>
      </c>
      <c r="D127" s="21" t="s">
        <v>2109</v>
      </c>
      <c r="E127" t="s">
        <v>612</v>
      </c>
      <c r="F127" t="s">
        <v>612</v>
      </c>
      <c r="G127" t="s">
        <v>613</v>
      </c>
      <c r="H127" t="s">
        <v>2108</v>
      </c>
      <c r="I127" t="s">
        <v>2108</v>
      </c>
      <c r="J127">
        <v>2125</v>
      </c>
      <c r="K127">
        <v>2040</v>
      </c>
      <c r="L127">
        <v>1734</v>
      </c>
      <c r="M127" t="s">
        <v>2108</v>
      </c>
      <c r="N127" s="15">
        <v>2600</v>
      </c>
      <c r="O127" s="15">
        <v>2375</v>
      </c>
      <c r="P127" s="15">
        <v>1580</v>
      </c>
      <c r="Q127" t="s">
        <v>40</v>
      </c>
      <c r="R127">
        <v>27</v>
      </c>
      <c r="S127">
        <v>1</v>
      </c>
      <c r="T127" t="s">
        <v>2110</v>
      </c>
      <c r="U127" t="s">
        <v>2111</v>
      </c>
      <c r="V127">
        <v>0</v>
      </c>
      <c r="W127" s="26" t="str">
        <f t="shared" si="1"/>
        <v>(3219,null,1,'2026-04-28 00:00:00','003311010140001-33110101402','003311010140001-33110101402','经腹腔镜肾囊肿切除术',null,null,2125,2040,1734,null,2600,2375,1580,'次',27,1,'normal','main',0),</v>
      </c>
    </row>
    <row r="128" spans="1:23">
      <c r="A128">
        <v>3220</v>
      </c>
      <c r="B128" t="s">
        <v>2108</v>
      </c>
      <c r="C128">
        <v>1</v>
      </c>
      <c r="D128" s="21" t="s">
        <v>2109</v>
      </c>
      <c r="E128" t="s">
        <v>614</v>
      </c>
      <c r="F128" t="s">
        <v>614</v>
      </c>
      <c r="G128" t="s">
        <v>615</v>
      </c>
      <c r="H128" t="s">
        <v>2108</v>
      </c>
      <c r="I128" t="s">
        <v>2108</v>
      </c>
      <c r="J128">
        <v>2360</v>
      </c>
      <c r="K128">
        <v>2120</v>
      </c>
      <c r="L128">
        <v>1800</v>
      </c>
      <c r="M128" t="s">
        <v>2108</v>
      </c>
      <c r="N128">
        <v>2000</v>
      </c>
      <c r="O128">
        <v>1850</v>
      </c>
      <c r="P128">
        <v>1580</v>
      </c>
      <c r="Q128" t="s">
        <v>48</v>
      </c>
      <c r="R128">
        <v>27</v>
      </c>
      <c r="S128">
        <v>1</v>
      </c>
      <c r="T128" t="s">
        <v>2110</v>
      </c>
      <c r="U128" t="s">
        <v>2111</v>
      </c>
      <c r="V128">
        <v>0</v>
      </c>
      <c r="W128" s="26" t="str">
        <f t="shared" si="1"/>
        <v>(3220,null,1,'2026-04-28 00:00:00','003311010150000-331101015','003311010150000-331101015','多囊肾去顶减压术',null,null,2360,2120,1800,null,2000,1850,1580,'单侧',27,1,'normal','main',0),</v>
      </c>
    </row>
    <row r="129" spans="1:23">
      <c r="A129">
        <v>3221</v>
      </c>
      <c r="B129" t="s">
        <v>2108</v>
      </c>
      <c r="C129">
        <v>1</v>
      </c>
      <c r="D129" s="21" t="s">
        <v>2109</v>
      </c>
      <c r="E129" t="s">
        <v>616</v>
      </c>
      <c r="F129" t="s">
        <v>616</v>
      </c>
      <c r="G129" t="s">
        <v>617</v>
      </c>
      <c r="H129" t="s">
        <v>2108</v>
      </c>
      <c r="I129" t="s">
        <v>2108</v>
      </c>
      <c r="J129">
        <v>2985</v>
      </c>
      <c r="K129">
        <v>2720</v>
      </c>
      <c r="L129">
        <v>2310</v>
      </c>
      <c r="M129" t="s">
        <v>2108</v>
      </c>
      <c r="N129">
        <v>2000</v>
      </c>
      <c r="O129">
        <v>1850</v>
      </c>
      <c r="P129">
        <v>1580</v>
      </c>
      <c r="Q129" t="s">
        <v>48</v>
      </c>
      <c r="R129">
        <v>27</v>
      </c>
      <c r="S129">
        <v>1</v>
      </c>
      <c r="T129" t="s">
        <v>2110</v>
      </c>
      <c r="U129" t="s">
        <v>2111</v>
      </c>
      <c r="V129">
        <v>0</v>
      </c>
      <c r="W129" s="26" t="str">
        <f t="shared" si="1"/>
        <v>(3221,null,1,'2026-04-28 00:00:00','003311010150000-33110101502','003311010150000-33110101502','经腹腔镜多囊肾去顶减压术',null,null,2985,2720,2310,null,2000,1850,1580,'单侧',27,1,'normal','main',0),</v>
      </c>
    </row>
    <row r="130" spans="1:23">
      <c r="A130">
        <v>3222</v>
      </c>
      <c r="B130" t="s">
        <v>2108</v>
      </c>
      <c r="C130">
        <v>1</v>
      </c>
      <c r="D130" s="21" t="s">
        <v>2109</v>
      </c>
      <c r="E130" t="s">
        <v>620</v>
      </c>
      <c r="F130" t="s">
        <v>620</v>
      </c>
      <c r="G130" t="s">
        <v>621</v>
      </c>
      <c r="H130" t="s">
        <v>2108</v>
      </c>
      <c r="I130" t="s">
        <v>2108</v>
      </c>
      <c r="J130">
        <v>1950</v>
      </c>
      <c r="K130">
        <v>1870</v>
      </c>
      <c r="L130">
        <v>1590</v>
      </c>
      <c r="M130" t="s">
        <v>2108</v>
      </c>
      <c r="N130">
        <v>2600</v>
      </c>
      <c r="O130">
        <v>2405</v>
      </c>
      <c r="P130">
        <v>2055</v>
      </c>
      <c r="Q130" t="s">
        <v>40</v>
      </c>
      <c r="R130">
        <v>27</v>
      </c>
      <c r="S130">
        <v>1</v>
      </c>
      <c r="T130" t="s">
        <v>2110</v>
      </c>
      <c r="U130" t="s">
        <v>2111</v>
      </c>
      <c r="V130">
        <v>0</v>
      </c>
      <c r="W130" s="26" t="str">
        <f t="shared" si="1"/>
        <v>(3222,null,1,'2026-04-28 00:00:00','003311010140000-33110101401','003311010140000-33110101401','小儿肾囊肿切除术',null,null,1950,1870,1590,null,2600,2405,2055,'次',27,1,'normal','main',0),</v>
      </c>
    </row>
    <row r="131" spans="1:23">
      <c r="A131">
        <v>3223</v>
      </c>
      <c r="B131" t="s">
        <v>2108</v>
      </c>
      <c r="C131">
        <v>1</v>
      </c>
      <c r="D131" s="21" t="s">
        <v>2109</v>
      </c>
      <c r="E131" t="s">
        <v>622</v>
      </c>
      <c r="F131" t="s">
        <v>622</v>
      </c>
      <c r="G131" t="s">
        <v>623</v>
      </c>
      <c r="H131" t="s">
        <v>2108</v>
      </c>
      <c r="I131" t="s">
        <v>2108</v>
      </c>
      <c r="J131">
        <v>2575</v>
      </c>
      <c r="K131">
        <v>2470</v>
      </c>
      <c r="L131">
        <v>2100</v>
      </c>
      <c r="M131" t="s">
        <v>2108</v>
      </c>
      <c r="N131">
        <v>2600</v>
      </c>
      <c r="O131">
        <v>2405</v>
      </c>
      <c r="P131">
        <v>2055</v>
      </c>
      <c r="Q131" t="s">
        <v>40</v>
      </c>
      <c r="R131">
        <v>27</v>
      </c>
      <c r="S131">
        <v>1</v>
      </c>
      <c r="T131" t="s">
        <v>2110</v>
      </c>
      <c r="U131" t="s">
        <v>2111</v>
      </c>
      <c r="V131">
        <v>0</v>
      </c>
      <c r="W131" s="26" t="str">
        <f t="shared" ref="W131:W194" si="2">"("&amp;A131&amp;","&amp;B131&amp;","&amp;C131&amp;",'"&amp;D131&amp;"','"&amp;E131&amp;"','"&amp;F131&amp;"','"&amp;G131&amp;"',"&amp;H131&amp;","&amp;I131&amp;","&amp;J131&amp;","&amp;K131&amp;","&amp;L131&amp;","&amp;M131&amp;","&amp;N131&amp;","&amp;O131&amp;","&amp;P131&amp;",'"&amp;Q131&amp;"',"&amp;R131&amp;","&amp;S131&amp;",'"&amp;T131&amp;"','"&amp;U131&amp;"',"&amp;V131&amp;"),"</f>
        <v>(3223,null,1,'2026-04-28 00:00:00','003311010140001-33110101403','003311010140001-33110101403','小儿经腹腔镜肾囊肿切除术',null,null,2575,2470,2100,null,2600,2405,2055,'次',27,1,'normal','main',0),</v>
      </c>
    </row>
    <row r="132" spans="1:23">
      <c r="A132">
        <v>3224</v>
      </c>
      <c r="B132" t="s">
        <v>2108</v>
      </c>
      <c r="C132">
        <v>1</v>
      </c>
      <c r="D132" s="21" t="s">
        <v>2109</v>
      </c>
      <c r="E132" t="s">
        <v>624</v>
      </c>
      <c r="F132" t="s">
        <v>624</v>
      </c>
      <c r="G132" t="s">
        <v>625</v>
      </c>
      <c r="H132" t="s">
        <v>2108</v>
      </c>
      <c r="I132" t="s">
        <v>2108</v>
      </c>
      <c r="J132">
        <v>3070</v>
      </c>
      <c r="K132">
        <v>2755</v>
      </c>
      <c r="L132">
        <v>2340</v>
      </c>
      <c r="M132" t="s">
        <v>2108</v>
      </c>
      <c r="N132">
        <v>2600</v>
      </c>
      <c r="O132">
        <v>2405</v>
      </c>
      <c r="P132">
        <v>2055</v>
      </c>
      <c r="Q132" t="s">
        <v>48</v>
      </c>
      <c r="R132">
        <v>27</v>
      </c>
      <c r="S132">
        <v>1</v>
      </c>
      <c r="T132" t="s">
        <v>2110</v>
      </c>
      <c r="U132" t="s">
        <v>2111</v>
      </c>
      <c r="V132">
        <v>0</v>
      </c>
      <c r="W132" s="26" t="str">
        <f t="shared" si="2"/>
        <v>(3224,null,1,'2026-04-28 00:00:00','003311010150000-33110101501','003311010150000-33110101501','小儿多囊肾去顶减压术',null,null,3070,2755,2340,null,2600,2405,2055,'单侧',27,1,'normal','main',0),</v>
      </c>
    </row>
    <row r="133" spans="1:23">
      <c r="A133">
        <v>3225</v>
      </c>
      <c r="B133" t="s">
        <v>2108</v>
      </c>
      <c r="C133">
        <v>1</v>
      </c>
      <c r="D133" s="21" t="s">
        <v>2109</v>
      </c>
      <c r="E133" t="s">
        <v>626</v>
      </c>
      <c r="F133" t="s">
        <v>626</v>
      </c>
      <c r="G133" t="s">
        <v>627</v>
      </c>
      <c r="H133" t="s">
        <v>2108</v>
      </c>
      <c r="I133" t="s">
        <v>2108</v>
      </c>
      <c r="J133">
        <v>3695</v>
      </c>
      <c r="K133">
        <v>3355</v>
      </c>
      <c r="L133">
        <v>2850</v>
      </c>
      <c r="M133" t="s">
        <v>2108</v>
      </c>
      <c r="N133">
        <v>2600</v>
      </c>
      <c r="O133">
        <v>2405</v>
      </c>
      <c r="P133">
        <v>2055</v>
      </c>
      <c r="Q133" t="s">
        <v>48</v>
      </c>
      <c r="R133">
        <v>27</v>
      </c>
      <c r="S133">
        <v>1</v>
      </c>
      <c r="T133" t="s">
        <v>2110</v>
      </c>
      <c r="U133" t="s">
        <v>2111</v>
      </c>
      <c r="V133">
        <v>0</v>
      </c>
      <c r="W133" s="26" t="str">
        <f t="shared" si="2"/>
        <v>(3225,null,1,'2026-04-28 00:00:00','003311010150000-33110101503','003311010150000-33110101503','小儿经腹腔镜多囊肾去顶减压术',null,null,3695,3355,2850,null,2600,2405,2055,'单侧',27,1,'normal','main',0),</v>
      </c>
    </row>
    <row r="134" spans="1:23">
      <c r="A134">
        <v>3226</v>
      </c>
      <c r="B134" t="s">
        <v>2108</v>
      </c>
      <c r="C134">
        <v>1</v>
      </c>
      <c r="D134" s="21" t="s">
        <v>2109</v>
      </c>
      <c r="E134" t="s">
        <v>633</v>
      </c>
      <c r="F134" t="s">
        <v>633</v>
      </c>
      <c r="G134" t="s">
        <v>634</v>
      </c>
      <c r="H134" t="s">
        <v>2108</v>
      </c>
      <c r="I134" t="s">
        <v>2108</v>
      </c>
      <c r="J134">
        <v>3290</v>
      </c>
      <c r="K134">
        <v>2960</v>
      </c>
      <c r="L134">
        <v>2365</v>
      </c>
      <c r="M134" t="s">
        <v>2108</v>
      </c>
      <c r="N134">
        <v>3200</v>
      </c>
      <c r="O134">
        <v>2900</v>
      </c>
      <c r="P134">
        <v>2500</v>
      </c>
      <c r="Q134" t="s">
        <v>40</v>
      </c>
      <c r="R134">
        <v>27</v>
      </c>
      <c r="S134">
        <v>1</v>
      </c>
      <c r="T134" t="s">
        <v>2110</v>
      </c>
      <c r="U134" t="s">
        <v>2111</v>
      </c>
      <c r="V134">
        <v>0</v>
      </c>
      <c r="W134" s="26" t="str">
        <f t="shared" si="2"/>
        <v>(3226,null,1,'2026-04-28 00:00:00','003311010090000-331101009','003311010090000-331101009','肾部分切除术',null,null,3290,2960,2365,null,3200,2900,2500,'次',27,1,'normal','main',0),</v>
      </c>
    </row>
    <row r="135" spans="1:23">
      <c r="A135">
        <v>3227</v>
      </c>
      <c r="B135" t="s">
        <v>2108</v>
      </c>
      <c r="C135">
        <v>1</v>
      </c>
      <c r="D135" s="21" t="s">
        <v>2109</v>
      </c>
      <c r="E135" t="s">
        <v>635</v>
      </c>
      <c r="F135" t="s">
        <v>635</v>
      </c>
      <c r="G135" t="s">
        <v>636</v>
      </c>
      <c r="H135" t="s">
        <v>2108</v>
      </c>
      <c r="I135" t="s">
        <v>2108</v>
      </c>
      <c r="J135">
        <v>3915</v>
      </c>
      <c r="K135">
        <v>3560</v>
      </c>
      <c r="L135">
        <v>2875</v>
      </c>
      <c r="M135" t="s">
        <v>2108</v>
      </c>
      <c r="N135">
        <v>3200</v>
      </c>
      <c r="O135">
        <v>2900</v>
      </c>
      <c r="P135">
        <v>2500</v>
      </c>
      <c r="Q135" t="s">
        <v>40</v>
      </c>
      <c r="R135">
        <v>27</v>
      </c>
      <c r="S135">
        <v>1</v>
      </c>
      <c r="T135" t="s">
        <v>2110</v>
      </c>
      <c r="U135" t="s">
        <v>2111</v>
      </c>
      <c r="V135">
        <v>0</v>
      </c>
      <c r="W135" s="26" t="str">
        <f t="shared" si="2"/>
        <v>(3227,null,1,'2026-04-28 00:00:00','003311010090000-33110100902','003311010090000-33110100902','经腹腔镜肾部分切除术',null,null,3915,3560,2875,null,3200,2900,2500,'次',27,1,'normal','main',0),</v>
      </c>
    </row>
    <row r="136" spans="1:23">
      <c r="A136">
        <v>3228</v>
      </c>
      <c r="B136" t="s">
        <v>2108</v>
      </c>
      <c r="C136">
        <v>1</v>
      </c>
      <c r="D136" s="21" t="s">
        <v>2109</v>
      </c>
      <c r="E136" t="s">
        <v>637</v>
      </c>
      <c r="F136" t="s">
        <v>637</v>
      </c>
      <c r="G136" t="s">
        <v>638</v>
      </c>
      <c r="H136" t="s">
        <v>2108</v>
      </c>
      <c r="I136" t="s">
        <v>2108</v>
      </c>
      <c r="J136">
        <v>3040</v>
      </c>
      <c r="K136">
        <v>2740</v>
      </c>
      <c r="L136">
        <v>2330</v>
      </c>
      <c r="M136" t="s">
        <v>2108</v>
      </c>
      <c r="N136">
        <v>3200</v>
      </c>
      <c r="O136">
        <v>2900</v>
      </c>
      <c r="P136">
        <v>2500</v>
      </c>
      <c r="Q136" t="s">
        <v>40</v>
      </c>
      <c r="R136">
        <v>27</v>
      </c>
      <c r="S136">
        <v>1</v>
      </c>
      <c r="T136" t="s">
        <v>2110</v>
      </c>
      <c r="U136" t="s">
        <v>2111</v>
      </c>
      <c r="V136">
        <v>0</v>
      </c>
      <c r="W136" s="26" t="str">
        <f t="shared" si="2"/>
        <v>(3228,null,1,'2026-04-28 00:00:00','003311010070000-331101007','003311010070000-331101007','肾肿瘤剔除术',null,null,3040,2740,2330,null,3200,2900,2500,'次',27,1,'normal','main',0),</v>
      </c>
    </row>
    <row r="137" spans="1:23">
      <c r="A137">
        <v>3229</v>
      </c>
      <c r="B137" t="s">
        <v>2108</v>
      </c>
      <c r="C137">
        <v>1</v>
      </c>
      <c r="D137" s="21" t="s">
        <v>2109</v>
      </c>
      <c r="E137" t="s">
        <v>639</v>
      </c>
      <c r="F137" t="s">
        <v>639</v>
      </c>
      <c r="G137" t="s">
        <v>640</v>
      </c>
      <c r="H137" t="s">
        <v>2108</v>
      </c>
      <c r="I137" t="s">
        <v>2108</v>
      </c>
      <c r="J137">
        <v>3665</v>
      </c>
      <c r="K137">
        <v>3340</v>
      </c>
      <c r="L137">
        <v>2840</v>
      </c>
      <c r="M137" t="s">
        <v>2108</v>
      </c>
      <c r="N137">
        <v>3200</v>
      </c>
      <c r="O137">
        <v>2900</v>
      </c>
      <c r="P137">
        <v>2500</v>
      </c>
      <c r="Q137" t="s">
        <v>40</v>
      </c>
      <c r="R137">
        <v>27</v>
      </c>
      <c r="S137">
        <v>1</v>
      </c>
      <c r="T137" t="s">
        <v>2110</v>
      </c>
      <c r="U137" t="s">
        <v>2111</v>
      </c>
      <c r="V137">
        <v>0</v>
      </c>
      <c r="W137" s="26" t="str">
        <f t="shared" si="2"/>
        <v>(3229,null,1,'2026-04-28 00:00:00','003311010070000-33110100702','003311010070000-33110100702','经腹腔镜肾肿瘤剔除术',null,null,3665,3340,2840,null,3200,2900,2500,'次',27,1,'normal','main',0),</v>
      </c>
    </row>
    <row r="138" spans="1:23">
      <c r="A138">
        <v>3230</v>
      </c>
      <c r="B138" t="s">
        <v>2108</v>
      </c>
      <c r="C138">
        <v>1</v>
      </c>
      <c r="D138" s="21" t="s">
        <v>2109</v>
      </c>
      <c r="E138" t="s">
        <v>641</v>
      </c>
      <c r="F138" t="s">
        <v>641</v>
      </c>
      <c r="G138" t="s">
        <v>642</v>
      </c>
      <c r="H138" t="s">
        <v>2108</v>
      </c>
      <c r="I138" t="s">
        <v>2108</v>
      </c>
      <c r="J138">
        <v>6240</v>
      </c>
      <c r="K138">
        <v>5620</v>
      </c>
      <c r="L138">
        <v>4780</v>
      </c>
      <c r="M138" t="s">
        <v>2108</v>
      </c>
      <c r="N138" s="14">
        <v>0</v>
      </c>
      <c r="O138" s="14">
        <v>0</v>
      </c>
      <c r="P138" s="14">
        <v>0</v>
      </c>
      <c r="Q138" t="s">
        <v>40</v>
      </c>
      <c r="R138">
        <v>27</v>
      </c>
      <c r="S138">
        <v>1</v>
      </c>
      <c r="T138" t="s">
        <v>2110</v>
      </c>
      <c r="U138" t="s">
        <v>2111</v>
      </c>
      <c r="V138">
        <v>0</v>
      </c>
      <c r="W138" s="26" t="str">
        <f t="shared" si="2"/>
        <v>(3230,null,1,'2026-04-28 00:00:00','003311010250000-331101025','003311010250000-331101025','肾肿瘤腔静脉内瘤栓切取术',null,null,6240,5620,4780,null,0,0,0,'次',27,1,'normal','main',0),</v>
      </c>
    </row>
    <row r="139" spans="1:23">
      <c r="A139">
        <v>3231</v>
      </c>
      <c r="B139" t="s">
        <v>2108</v>
      </c>
      <c r="C139">
        <v>1</v>
      </c>
      <c r="D139" s="21" t="s">
        <v>2109</v>
      </c>
      <c r="E139" t="s">
        <v>644</v>
      </c>
      <c r="F139" t="s">
        <v>644</v>
      </c>
      <c r="G139" t="s">
        <v>645</v>
      </c>
      <c r="H139" t="s">
        <v>2108</v>
      </c>
      <c r="I139" t="s">
        <v>2108</v>
      </c>
      <c r="J139">
        <v>7450</v>
      </c>
      <c r="K139">
        <v>6710</v>
      </c>
      <c r="L139">
        <v>5705</v>
      </c>
      <c r="M139" t="s">
        <v>2108</v>
      </c>
      <c r="N139" s="14">
        <v>0</v>
      </c>
      <c r="O139" s="14">
        <v>0</v>
      </c>
      <c r="P139" s="14">
        <v>0</v>
      </c>
      <c r="Q139" t="s">
        <v>40</v>
      </c>
      <c r="R139">
        <v>27</v>
      </c>
      <c r="S139">
        <v>1</v>
      </c>
      <c r="T139" t="s">
        <v>2110</v>
      </c>
      <c r="U139" t="s">
        <v>2111</v>
      </c>
      <c r="V139">
        <v>0</v>
      </c>
      <c r="W139" s="26" t="str">
        <f t="shared" si="2"/>
        <v>(3231,null,1,'2026-04-28 00:00:00','003311010250001-33110102501','003311010250001-33110102501','肾肿瘤腔静脉内瘤栓切取术-开胸手术',null,null,7450,6710,5705,null,0,0,0,'次',27,1,'normal','main',0),</v>
      </c>
    </row>
    <row r="140" spans="1:23">
      <c r="A140">
        <v>3232</v>
      </c>
      <c r="B140" t="s">
        <v>2108</v>
      </c>
      <c r="C140">
        <v>1</v>
      </c>
      <c r="D140" s="21" t="s">
        <v>2109</v>
      </c>
      <c r="E140" t="s">
        <v>647</v>
      </c>
      <c r="F140" t="s">
        <v>647</v>
      </c>
      <c r="G140" t="s">
        <v>648</v>
      </c>
      <c r="H140" t="s">
        <v>2108</v>
      </c>
      <c r="I140" t="s">
        <v>2108</v>
      </c>
      <c r="J140">
        <v>6865</v>
      </c>
      <c r="K140">
        <v>6220</v>
      </c>
      <c r="L140">
        <v>5290</v>
      </c>
      <c r="M140" t="s">
        <v>2108</v>
      </c>
      <c r="N140" s="14">
        <v>0</v>
      </c>
      <c r="O140" s="14">
        <v>0</v>
      </c>
      <c r="P140" s="14">
        <v>0</v>
      </c>
      <c r="Q140" t="s">
        <v>40</v>
      </c>
      <c r="R140">
        <v>27</v>
      </c>
      <c r="S140">
        <v>1</v>
      </c>
      <c r="T140" t="s">
        <v>2110</v>
      </c>
      <c r="U140" t="s">
        <v>2111</v>
      </c>
      <c r="V140">
        <v>0</v>
      </c>
      <c r="W140" s="26" t="str">
        <f t="shared" si="2"/>
        <v>(3232,null,1,'2026-04-28 00:00:00','003311010250000-33110102504','003311010250000-33110102504','经腹腔镜肾肿瘤腔静脉内瘤栓切取术',null,null,6865,6220,5290,null,0,0,0,'次',27,1,'normal','main',0),</v>
      </c>
    </row>
    <row r="141" spans="1:23">
      <c r="A141">
        <v>3233</v>
      </c>
      <c r="B141" t="s">
        <v>2108</v>
      </c>
      <c r="C141">
        <v>1</v>
      </c>
      <c r="D141" s="21" t="s">
        <v>2109</v>
      </c>
      <c r="E141" t="s">
        <v>649</v>
      </c>
      <c r="F141" t="s">
        <v>649</v>
      </c>
      <c r="G141" t="s">
        <v>650</v>
      </c>
      <c r="H141" t="s">
        <v>2108</v>
      </c>
      <c r="I141" t="s">
        <v>2108</v>
      </c>
      <c r="J141">
        <v>8075</v>
      </c>
      <c r="K141">
        <v>7310</v>
      </c>
      <c r="L141">
        <v>6215</v>
      </c>
      <c r="M141" t="s">
        <v>2108</v>
      </c>
      <c r="N141" s="14">
        <v>0</v>
      </c>
      <c r="O141" s="14">
        <v>0</v>
      </c>
      <c r="P141" s="14">
        <v>0</v>
      </c>
      <c r="Q141" t="s">
        <v>40</v>
      </c>
      <c r="R141">
        <v>27</v>
      </c>
      <c r="S141">
        <v>1</v>
      </c>
      <c r="T141" t="s">
        <v>2110</v>
      </c>
      <c r="U141" t="s">
        <v>2111</v>
      </c>
      <c r="V141">
        <v>0</v>
      </c>
      <c r="W141" s="26" t="str">
        <f t="shared" si="2"/>
        <v>(3233,null,1,'2026-04-28 00:00:00','003311010250001-33110102505','003311010250001-33110102505','经腹腔镜肾肿瘤腔静脉内瘤栓切取术-开胸手术',null,null,8075,7310,6215,null,0,0,0,'次',27,1,'normal','main',0),</v>
      </c>
    </row>
    <row r="142" spans="1:23">
      <c r="A142">
        <v>3234</v>
      </c>
      <c r="B142" t="s">
        <v>2108</v>
      </c>
      <c r="C142">
        <v>1</v>
      </c>
      <c r="D142" s="21" t="s">
        <v>2109</v>
      </c>
      <c r="E142" t="s">
        <v>656</v>
      </c>
      <c r="F142" t="s">
        <v>656</v>
      </c>
      <c r="G142" t="s">
        <v>657</v>
      </c>
      <c r="H142" t="s">
        <v>2108</v>
      </c>
      <c r="I142" t="s">
        <v>2108</v>
      </c>
      <c r="J142">
        <v>4275</v>
      </c>
      <c r="K142">
        <v>3850</v>
      </c>
      <c r="L142">
        <v>3075</v>
      </c>
      <c r="M142" t="s">
        <v>2108</v>
      </c>
      <c r="N142">
        <v>4160</v>
      </c>
      <c r="O142">
        <v>3770</v>
      </c>
      <c r="P142">
        <v>3250</v>
      </c>
      <c r="Q142" t="s">
        <v>40</v>
      </c>
      <c r="R142">
        <v>27</v>
      </c>
      <c r="S142">
        <v>1</v>
      </c>
      <c r="T142" t="s">
        <v>2110</v>
      </c>
      <c r="U142" t="s">
        <v>2111</v>
      </c>
      <c r="V142">
        <v>0</v>
      </c>
      <c r="W142" s="26" t="str">
        <f t="shared" si="2"/>
        <v>(3234,null,1,'2026-04-28 00:00:00','003311010090000-33110100901','003311010090000-33110100901','小儿肾部分切除术',null,null,4275,3850,3075,null,4160,3770,3250,'次',27,1,'normal','main',0),</v>
      </c>
    </row>
    <row r="143" spans="1:23">
      <c r="A143">
        <v>3235</v>
      </c>
      <c r="B143" t="s">
        <v>2108</v>
      </c>
      <c r="C143">
        <v>1</v>
      </c>
      <c r="D143" s="21" t="s">
        <v>2109</v>
      </c>
      <c r="E143" t="s">
        <v>658</v>
      </c>
      <c r="F143" t="s">
        <v>658</v>
      </c>
      <c r="G143" t="s">
        <v>659</v>
      </c>
      <c r="H143" t="s">
        <v>2108</v>
      </c>
      <c r="I143" t="s">
        <v>2108</v>
      </c>
      <c r="J143">
        <v>4900</v>
      </c>
      <c r="K143">
        <v>4450</v>
      </c>
      <c r="L143">
        <v>3585</v>
      </c>
      <c r="M143" t="s">
        <v>2108</v>
      </c>
      <c r="N143">
        <v>4160</v>
      </c>
      <c r="O143">
        <v>3770</v>
      </c>
      <c r="P143">
        <v>3250</v>
      </c>
      <c r="Q143" t="s">
        <v>40</v>
      </c>
      <c r="R143">
        <v>27</v>
      </c>
      <c r="S143">
        <v>1</v>
      </c>
      <c r="T143" t="s">
        <v>2110</v>
      </c>
      <c r="U143" t="s">
        <v>2111</v>
      </c>
      <c r="V143">
        <v>0</v>
      </c>
      <c r="W143" s="26" t="str">
        <f t="shared" si="2"/>
        <v>(3235,null,1,'2026-04-28 00:00:00','003311010090000-33110100903','003311010090000-33110100903','小儿经腹腔镜肾部分切除术',null,null,4900,4450,3585,null,4160,3770,3250,'次',27,1,'normal','main',0),</v>
      </c>
    </row>
    <row r="144" spans="1:23">
      <c r="A144">
        <v>3236</v>
      </c>
      <c r="B144" t="s">
        <v>2108</v>
      </c>
      <c r="C144">
        <v>1</v>
      </c>
      <c r="D144" s="21" t="s">
        <v>2109</v>
      </c>
      <c r="E144" t="s">
        <v>660</v>
      </c>
      <c r="F144" t="s">
        <v>660</v>
      </c>
      <c r="G144" t="s">
        <v>661</v>
      </c>
      <c r="H144" t="s">
        <v>2108</v>
      </c>
      <c r="I144" t="s">
        <v>2108</v>
      </c>
      <c r="J144">
        <v>3950</v>
      </c>
      <c r="K144">
        <v>3560</v>
      </c>
      <c r="L144">
        <v>3025</v>
      </c>
      <c r="M144" t="s">
        <v>2108</v>
      </c>
      <c r="N144">
        <v>4160</v>
      </c>
      <c r="O144">
        <v>3770</v>
      </c>
      <c r="P144">
        <v>3250</v>
      </c>
      <c r="Q144" t="s">
        <v>40</v>
      </c>
      <c r="R144">
        <v>27</v>
      </c>
      <c r="S144">
        <v>1</v>
      </c>
      <c r="T144" t="s">
        <v>2110</v>
      </c>
      <c r="U144" t="s">
        <v>2111</v>
      </c>
      <c r="V144">
        <v>0</v>
      </c>
      <c r="W144" s="26" t="str">
        <f t="shared" si="2"/>
        <v>(3236,null,1,'2026-04-28 00:00:00','003311010070000-33110100701','003311010070000-33110100701','小儿肾肿瘤剔除术',null,null,3950,3560,3025,null,4160,3770,3250,'次',27,1,'normal','main',0),</v>
      </c>
    </row>
    <row r="145" spans="1:23">
      <c r="A145">
        <v>3237</v>
      </c>
      <c r="B145" t="s">
        <v>2108</v>
      </c>
      <c r="C145">
        <v>1</v>
      </c>
      <c r="D145" s="21" t="s">
        <v>2109</v>
      </c>
      <c r="E145" t="s">
        <v>662</v>
      </c>
      <c r="F145" t="s">
        <v>662</v>
      </c>
      <c r="G145" t="s">
        <v>663</v>
      </c>
      <c r="H145" t="s">
        <v>2108</v>
      </c>
      <c r="I145" t="s">
        <v>2108</v>
      </c>
      <c r="J145">
        <v>4575</v>
      </c>
      <c r="K145">
        <v>4160</v>
      </c>
      <c r="L145">
        <v>3535</v>
      </c>
      <c r="M145" t="s">
        <v>2108</v>
      </c>
      <c r="N145">
        <v>4160</v>
      </c>
      <c r="O145">
        <v>3770</v>
      </c>
      <c r="P145">
        <v>3250</v>
      </c>
      <c r="Q145" t="s">
        <v>40</v>
      </c>
      <c r="R145">
        <v>27</v>
      </c>
      <c r="S145">
        <v>1</v>
      </c>
      <c r="T145" t="s">
        <v>2110</v>
      </c>
      <c r="U145" t="s">
        <v>2111</v>
      </c>
      <c r="V145">
        <v>0</v>
      </c>
      <c r="W145" s="26" t="str">
        <f t="shared" si="2"/>
        <v>(3237,null,1,'2026-04-28 00:00:00','003311010070000-33110100703','003311010070000-33110100703','小儿经腹腔镜肾肿瘤剔除术',null,null,4575,4160,3535,null,4160,3770,3250,'次',27,1,'normal','main',0),</v>
      </c>
    </row>
    <row r="146" spans="1:23">
      <c r="A146">
        <v>3238</v>
      </c>
      <c r="B146" t="s">
        <v>2108</v>
      </c>
      <c r="C146">
        <v>1</v>
      </c>
      <c r="D146" s="21" t="s">
        <v>2109</v>
      </c>
      <c r="E146" t="s">
        <v>664</v>
      </c>
      <c r="F146" t="s">
        <v>664</v>
      </c>
      <c r="G146" t="s">
        <v>665</v>
      </c>
      <c r="H146" t="s">
        <v>2108</v>
      </c>
      <c r="I146" t="s">
        <v>2108</v>
      </c>
      <c r="J146">
        <v>8110</v>
      </c>
      <c r="K146">
        <v>7305</v>
      </c>
      <c r="L146">
        <v>6210</v>
      </c>
      <c r="M146" t="s">
        <v>2108</v>
      </c>
      <c r="N146" s="14">
        <v>0</v>
      </c>
      <c r="O146" s="14">
        <v>0</v>
      </c>
      <c r="P146" s="14">
        <v>0</v>
      </c>
      <c r="Q146" t="s">
        <v>40</v>
      </c>
      <c r="R146">
        <v>27</v>
      </c>
      <c r="S146">
        <v>1</v>
      </c>
      <c r="T146" t="s">
        <v>2110</v>
      </c>
      <c r="U146" t="s">
        <v>2111</v>
      </c>
      <c r="V146">
        <v>0</v>
      </c>
      <c r="W146" s="26" t="str">
        <f t="shared" si="2"/>
        <v>(3238,null,1,'2026-04-28 00:00:00','003311010250000-33110102502','003311010250000-33110102502','小儿肾肿瘤腔静脉内瘤栓切取术',null,null,8110,7305,6210,null,0,0,0,'次',27,1,'normal','main',0),</v>
      </c>
    </row>
    <row r="147" spans="1:23">
      <c r="A147">
        <v>3239</v>
      </c>
      <c r="B147" t="s">
        <v>2108</v>
      </c>
      <c r="C147">
        <v>1</v>
      </c>
      <c r="D147" s="21" t="s">
        <v>2109</v>
      </c>
      <c r="E147" t="s">
        <v>666</v>
      </c>
      <c r="F147" t="s">
        <v>666</v>
      </c>
      <c r="G147" t="s">
        <v>667</v>
      </c>
      <c r="H147" t="s">
        <v>2108</v>
      </c>
      <c r="I147" t="s">
        <v>2108</v>
      </c>
      <c r="J147">
        <v>9685</v>
      </c>
      <c r="K147">
        <v>8725</v>
      </c>
      <c r="L147">
        <v>7415</v>
      </c>
      <c r="M147" t="s">
        <v>2108</v>
      </c>
      <c r="N147" s="14">
        <v>0</v>
      </c>
      <c r="O147" s="14">
        <v>0</v>
      </c>
      <c r="P147" s="14">
        <v>0</v>
      </c>
      <c r="Q147" t="s">
        <v>40</v>
      </c>
      <c r="R147">
        <v>27</v>
      </c>
      <c r="S147">
        <v>1</v>
      </c>
      <c r="T147" t="s">
        <v>2110</v>
      </c>
      <c r="U147" t="s">
        <v>2111</v>
      </c>
      <c r="V147">
        <v>0</v>
      </c>
      <c r="W147" s="26" t="str">
        <f t="shared" si="2"/>
        <v>(3239,null,1,'2026-04-28 00:00:00','003311010250001-33110102503','003311010250001-33110102503','小儿肾肿瘤腔静脉内瘤栓切取术-开胸手术',null,null,9685,8725,7415,null,0,0,0,'次',27,1,'normal','main',0),</v>
      </c>
    </row>
    <row r="148" spans="1:23">
      <c r="A148">
        <v>3240</v>
      </c>
      <c r="B148" t="s">
        <v>2108</v>
      </c>
      <c r="C148">
        <v>1</v>
      </c>
      <c r="D148" s="21" t="s">
        <v>2109</v>
      </c>
      <c r="E148" t="s">
        <v>668</v>
      </c>
      <c r="F148" t="s">
        <v>668</v>
      </c>
      <c r="G148" t="s">
        <v>669</v>
      </c>
      <c r="H148" t="s">
        <v>2108</v>
      </c>
      <c r="I148" t="s">
        <v>2108</v>
      </c>
      <c r="J148">
        <v>8735</v>
      </c>
      <c r="K148">
        <v>7905</v>
      </c>
      <c r="L148">
        <v>6720</v>
      </c>
      <c r="M148" t="s">
        <v>2108</v>
      </c>
      <c r="N148" s="14">
        <v>0</v>
      </c>
      <c r="O148" s="14">
        <v>0</v>
      </c>
      <c r="P148" s="14">
        <v>0</v>
      </c>
      <c r="Q148" t="s">
        <v>40</v>
      </c>
      <c r="R148">
        <v>27</v>
      </c>
      <c r="S148">
        <v>1</v>
      </c>
      <c r="T148" t="s">
        <v>2110</v>
      </c>
      <c r="U148" t="s">
        <v>2111</v>
      </c>
      <c r="V148">
        <v>0</v>
      </c>
      <c r="W148" s="26" t="str">
        <f t="shared" si="2"/>
        <v>(3240,null,1,'2026-04-28 00:00:00','003311010250000-33110102506','003311010250000-33110102506','小儿经腹腔镜肾肿瘤腔静脉内瘤栓切取术',null,null,8735,7905,6720,null,0,0,0,'次',27,1,'normal','main',0),</v>
      </c>
    </row>
    <row r="149" spans="1:23">
      <c r="A149">
        <v>3241</v>
      </c>
      <c r="B149" t="s">
        <v>2108</v>
      </c>
      <c r="C149">
        <v>1</v>
      </c>
      <c r="D149" s="21" t="s">
        <v>2109</v>
      </c>
      <c r="E149" t="s">
        <v>670</v>
      </c>
      <c r="F149" t="s">
        <v>670</v>
      </c>
      <c r="G149" t="s">
        <v>671</v>
      </c>
      <c r="H149" t="s">
        <v>2108</v>
      </c>
      <c r="I149" t="s">
        <v>2108</v>
      </c>
      <c r="J149">
        <v>10310</v>
      </c>
      <c r="K149">
        <v>9325</v>
      </c>
      <c r="L149">
        <v>7925</v>
      </c>
      <c r="M149" t="s">
        <v>2108</v>
      </c>
      <c r="N149" s="14">
        <v>0</v>
      </c>
      <c r="O149" s="14">
        <v>0</v>
      </c>
      <c r="P149" s="14">
        <v>0</v>
      </c>
      <c r="Q149" t="s">
        <v>40</v>
      </c>
      <c r="R149">
        <v>27</v>
      </c>
      <c r="S149">
        <v>1</v>
      </c>
      <c r="T149" t="s">
        <v>2110</v>
      </c>
      <c r="U149" t="s">
        <v>2111</v>
      </c>
      <c r="V149">
        <v>0</v>
      </c>
      <c r="W149" s="26" t="str">
        <f t="shared" si="2"/>
        <v>(3241,null,1,'2026-04-28 00:00:00','003311010250001-33110102507','003311010250001-33110102507','小儿经腹腔镜肾肿瘤腔静脉内瘤栓切取术-开胸手术',null,null,10310,9325,7925,null,0,0,0,'次',27,1,'normal','main',0),</v>
      </c>
    </row>
    <row r="150" spans="1:23">
      <c r="A150">
        <v>3242</v>
      </c>
      <c r="B150" t="s">
        <v>2108</v>
      </c>
      <c r="C150">
        <v>1</v>
      </c>
      <c r="D150" s="21" t="s">
        <v>2109</v>
      </c>
      <c r="E150" t="s">
        <v>677</v>
      </c>
      <c r="F150" t="s">
        <v>677</v>
      </c>
      <c r="G150" t="s">
        <v>678</v>
      </c>
      <c r="H150" t="s">
        <v>2108</v>
      </c>
      <c r="I150" t="s">
        <v>2108</v>
      </c>
      <c r="J150">
        <v>880</v>
      </c>
      <c r="K150">
        <v>800</v>
      </c>
      <c r="L150">
        <v>680</v>
      </c>
      <c r="M150" t="s">
        <v>2108</v>
      </c>
      <c r="N150">
        <v>3100</v>
      </c>
      <c r="O150">
        <v>2800</v>
      </c>
      <c r="P150">
        <v>2400</v>
      </c>
      <c r="Q150" t="s">
        <v>40</v>
      </c>
      <c r="R150">
        <v>27</v>
      </c>
      <c r="S150">
        <v>1</v>
      </c>
      <c r="T150" t="s">
        <v>2110</v>
      </c>
      <c r="U150" t="s">
        <v>2111</v>
      </c>
      <c r="V150">
        <v>0</v>
      </c>
      <c r="W150" s="26" t="str">
        <f t="shared" si="2"/>
        <v>(3242,null,1,'2026-04-28 00:00:00','003110000230000-311000023','003110000230000-311000023','经输尿管镜肿瘤切除术',null,null,880,800,680,null,3100,2800,2400,'次',27,1,'normal','main',0),</v>
      </c>
    </row>
    <row r="151" spans="1:23">
      <c r="A151">
        <v>3243</v>
      </c>
      <c r="B151" t="s">
        <v>2108</v>
      </c>
      <c r="C151">
        <v>1</v>
      </c>
      <c r="D151" s="21" t="s">
        <v>2109</v>
      </c>
      <c r="E151" t="s">
        <v>680</v>
      </c>
      <c r="F151" t="s">
        <v>680</v>
      </c>
      <c r="G151" t="s">
        <v>681</v>
      </c>
      <c r="H151" t="s">
        <v>2108</v>
      </c>
      <c r="I151" t="s">
        <v>2108</v>
      </c>
      <c r="J151">
        <v>1100</v>
      </c>
      <c r="K151">
        <v>1000</v>
      </c>
      <c r="L151">
        <v>850</v>
      </c>
      <c r="M151" t="s">
        <v>2108</v>
      </c>
      <c r="N151">
        <v>3100</v>
      </c>
      <c r="O151">
        <v>2800</v>
      </c>
      <c r="P151">
        <v>2400</v>
      </c>
      <c r="Q151" t="s">
        <v>40</v>
      </c>
      <c r="R151">
        <v>27</v>
      </c>
      <c r="S151">
        <v>1</v>
      </c>
      <c r="T151" t="s">
        <v>2110</v>
      </c>
      <c r="U151" t="s">
        <v>2111</v>
      </c>
      <c r="V151">
        <v>0</v>
      </c>
      <c r="W151" s="26" t="str">
        <f t="shared" si="2"/>
        <v>(3243,null,1,'2026-04-28 00:00:00','003110000230000-31100002301','003110000230000-31100002301','经输尿管镜肿瘤切除术（激光法、液电法）',null,null,1100,1000,850,null,3100,2800,2400,'次',27,1,'normal','main',0),</v>
      </c>
    </row>
    <row r="152" spans="1:23">
      <c r="A152">
        <v>3244</v>
      </c>
      <c r="B152" t="s">
        <v>2108</v>
      </c>
      <c r="C152">
        <v>1</v>
      </c>
      <c r="D152" s="21" t="s">
        <v>2109</v>
      </c>
      <c r="E152" t="s">
        <v>683</v>
      </c>
      <c r="F152" t="s">
        <v>683</v>
      </c>
      <c r="G152" t="s">
        <v>684</v>
      </c>
      <c r="H152" t="s">
        <v>2108</v>
      </c>
      <c r="I152" t="s">
        <v>2108</v>
      </c>
      <c r="J152">
        <v>4740</v>
      </c>
      <c r="K152">
        <v>4270</v>
      </c>
      <c r="L152">
        <v>3630</v>
      </c>
      <c r="M152" t="s">
        <v>2108</v>
      </c>
      <c r="N152">
        <v>3100</v>
      </c>
      <c r="O152">
        <v>2800</v>
      </c>
      <c r="P152">
        <v>2400</v>
      </c>
      <c r="Q152" t="s">
        <v>40</v>
      </c>
      <c r="R152">
        <v>27</v>
      </c>
      <c r="S152">
        <v>1</v>
      </c>
      <c r="T152" t="s">
        <v>2110</v>
      </c>
      <c r="U152" t="s">
        <v>2111</v>
      </c>
      <c r="V152">
        <v>0</v>
      </c>
      <c r="W152" s="26" t="str">
        <f t="shared" si="2"/>
        <v>(3244,null,1,'2026-04-28 00:00:00','003311010100000-331101010','003311010100000-331101010','根治性肾切除术',null,null,4740,4270,3630,null,3100,2800,2400,'次',27,1,'normal','main',0),</v>
      </c>
    </row>
    <row r="153" spans="1:23">
      <c r="A153">
        <v>3245</v>
      </c>
      <c r="B153" t="s">
        <v>2108</v>
      </c>
      <c r="C153">
        <v>1</v>
      </c>
      <c r="D153" s="21" t="s">
        <v>2109</v>
      </c>
      <c r="E153" t="s">
        <v>686</v>
      </c>
      <c r="F153" t="s">
        <v>686</v>
      </c>
      <c r="G153" t="s">
        <v>687</v>
      </c>
      <c r="H153" t="s">
        <v>2108</v>
      </c>
      <c r="I153" t="s">
        <v>2108</v>
      </c>
      <c r="J153">
        <v>5365</v>
      </c>
      <c r="K153">
        <v>4870</v>
      </c>
      <c r="L153">
        <v>4140</v>
      </c>
      <c r="M153" t="s">
        <v>2108</v>
      </c>
      <c r="N153">
        <v>3100</v>
      </c>
      <c r="O153">
        <v>2800</v>
      </c>
      <c r="P153">
        <v>2400</v>
      </c>
      <c r="Q153" t="s">
        <v>40</v>
      </c>
      <c r="R153">
        <v>27</v>
      </c>
      <c r="S153">
        <v>1</v>
      </c>
      <c r="T153" t="s">
        <v>2110</v>
      </c>
      <c r="U153" t="s">
        <v>2111</v>
      </c>
      <c r="V153">
        <v>0</v>
      </c>
      <c r="W153" s="26" t="str">
        <f t="shared" si="2"/>
        <v>(3245,null,1,'2026-04-28 00:00:00','003311010100000-33110101002','003311010100000-33110101002','经腹腔镜根治性肾切除术',null,null,5365,4870,4140,null,3100,2800,2400,'次',27,1,'normal','main',0),</v>
      </c>
    </row>
    <row r="154" spans="1:23">
      <c r="A154">
        <v>3246</v>
      </c>
      <c r="B154" t="s">
        <v>2108</v>
      </c>
      <c r="C154">
        <v>1</v>
      </c>
      <c r="D154" s="21" t="s">
        <v>2109</v>
      </c>
      <c r="E154" t="s">
        <v>688</v>
      </c>
      <c r="F154" t="s">
        <v>688</v>
      </c>
      <c r="G154" t="s">
        <v>689</v>
      </c>
      <c r="H154" t="s">
        <v>2108</v>
      </c>
      <c r="I154" t="s">
        <v>2108</v>
      </c>
      <c r="J154">
        <v>2530</v>
      </c>
      <c r="K154">
        <v>2280</v>
      </c>
      <c r="L154">
        <v>1940</v>
      </c>
      <c r="M154" t="s">
        <v>2108</v>
      </c>
      <c r="N154">
        <v>3100</v>
      </c>
      <c r="O154">
        <v>2800</v>
      </c>
      <c r="P154">
        <v>2400</v>
      </c>
      <c r="Q154" t="s">
        <v>40</v>
      </c>
      <c r="R154">
        <v>27</v>
      </c>
      <c r="S154">
        <v>1</v>
      </c>
      <c r="T154" t="s">
        <v>2110</v>
      </c>
      <c r="U154" t="s">
        <v>2111</v>
      </c>
      <c r="V154">
        <v>0</v>
      </c>
      <c r="W154" s="26" t="str">
        <f t="shared" si="2"/>
        <v>(3246,null,1,'2026-04-28 00:00:00','003311010080000-331101008','003311010080000-331101008','肾切除术',null,null,2530,2280,1940,null,3100,2800,2400,'次',27,1,'normal','main',0),</v>
      </c>
    </row>
    <row r="155" spans="1:23">
      <c r="A155">
        <v>3247</v>
      </c>
      <c r="B155" t="s">
        <v>2108</v>
      </c>
      <c r="C155">
        <v>1</v>
      </c>
      <c r="D155" s="21" t="s">
        <v>2109</v>
      </c>
      <c r="E155" t="s">
        <v>691</v>
      </c>
      <c r="F155" t="s">
        <v>691</v>
      </c>
      <c r="G155" t="s">
        <v>692</v>
      </c>
      <c r="H155" t="s">
        <v>2108</v>
      </c>
      <c r="I155" t="s">
        <v>2108</v>
      </c>
      <c r="J155">
        <v>3155</v>
      </c>
      <c r="K155">
        <v>2880</v>
      </c>
      <c r="L155">
        <v>2450</v>
      </c>
      <c r="M155" t="s">
        <v>2108</v>
      </c>
      <c r="N155">
        <v>3100</v>
      </c>
      <c r="O155">
        <v>2800</v>
      </c>
      <c r="P155">
        <v>2400</v>
      </c>
      <c r="Q155" t="s">
        <v>40</v>
      </c>
      <c r="R155">
        <v>27</v>
      </c>
      <c r="S155">
        <v>1</v>
      </c>
      <c r="T155" t="s">
        <v>2110</v>
      </c>
      <c r="U155" t="s">
        <v>2111</v>
      </c>
      <c r="V155">
        <v>0</v>
      </c>
      <c r="W155" s="26" t="str">
        <f t="shared" si="2"/>
        <v>(3247,null,1,'2026-04-28 00:00:00','003311010080001-33110100802','003311010080001-33110100802','经腹腔镜肾切除术',null,null,3155,2880,2450,null,3100,2800,2400,'次',27,1,'normal','main',0),</v>
      </c>
    </row>
    <row r="156" spans="1:23">
      <c r="A156">
        <v>3248</v>
      </c>
      <c r="B156" t="s">
        <v>2108</v>
      </c>
      <c r="C156">
        <v>1</v>
      </c>
      <c r="D156" s="21" t="s">
        <v>2109</v>
      </c>
      <c r="E156" t="s">
        <v>695</v>
      </c>
      <c r="F156" t="s">
        <v>695</v>
      </c>
      <c r="G156" t="s">
        <v>696</v>
      </c>
      <c r="H156" t="s">
        <v>2108</v>
      </c>
      <c r="I156" t="s">
        <v>2108</v>
      </c>
      <c r="J156">
        <v>6160</v>
      </c>
      <c r="K156">
        <v>5550</v>
      </c>
      <c r="L156">
        <v>4720</v>
      </c>
      <c r="M156" t="s">
        <v>2108</v>
      </c>
      <c r="N156">
        <v>4030</v>
      </c>
      <c r="O156">
        <v>3640</v>
      </c>
      <c r="P156">
        <v>3120</v>
      </c>
      <c r="Q156" t="s">
        <v>40</v>
      </c>
      <c r="R156">
        <v>27</v>
      </c>
      <c r="S156">
        <v>1</v>
      </c>
      <c r="T156" t="s">
        <v>2110</v>
      </c>
      <c r="U156" t="s">
        <v>2111</v>
      </c>
      <c r="V156">
        <v>0</v>
      </c>
      <c r="W156" s="26" t="str">
        <f t="shared" si="2"/>
        <v>(3248,null,1,'2026-04-28 00:00:00','003311010100000-33110101001','003311010100000-33110101001','小儿根治性肾切除术',null,null,6160,5550,4720,null,4030,3640,3120,'次',27,1,'normal','main',0),</v>
      </c>
    </row>
    <row r="157" spans="1:23">
      <c r="A157">
        <v>3249</v>
      </c>
      <c r="B157" t="s">
        <v>2108</v>
      </c>
      <c r="C157">
        <v>1</v>
      </c>
      <c r="D157" s="21" t="s">
        <v>2109</v>
      </c>
      <c r="E157" t="s">
        <v>697</v>
      </c>
      <c r="F157" t="s">
        <v>697</v>
      </c>
      <c r="G157" t="s">
        <v>698</v>
      </c>
      <c r="H157" t="s">
        <v>2108</v>
      </c>
      <c r="I157" t="s">
        <v>2108</v>
      </c>
      <c r="J157">
        <v>6785</v>
      </c>
      <c r="K157">
        <v>6150</v>
      </c>
      <c r="L157">
        <v>5230</v>
      </c>
      <c r="M157" t="s">
        <v>2108</v>
      </c>
      <c r="N157">
        <v>4030</v>
      </c>
      <c r="O157">
        <v>3640</v>
      </c>
      <c r="P157">
        <v>3120</v>
      </c>
      <c r="Q157" t="s">
        <v>40</v>
      </c>
      <c r="R157">
        <v>27</v>
      </c>
      <c r="S157">
        <v>1</v>
      </c>
      <c r="T157" t="s">
        <v>2110</v>
      </c>
      <c r="U157" t="s">
        <v>2111</v>
      </c>
      <c r="V157">
        <v>0</v>
      </c>
      <c r="W157" s="26" t="str">
        <f t="shared" si="2"/>
        <v>(3249,null,1,'2026-04-28 00:00:00','003311010100000-33110101003','003311010100000-33110101003','小儿经腹腔镜根治性肾切除术',null,null,6785,6150,5230,null,4030,3640,3120,'次',27,1,'normal','main',0),</v>
      </c>
    </row>
    <row r="158" spans="1:23">
      <c r="A158">
        <v>3250</v>
      </c>
      <c r="B158" t="s">
        <v>2108</v>
      </c>
      <c r="C158">
        <v>1</v>
      </c>
      <c r="D158" s="21" t="s">
        <v>2109</v>
      </c>
      <c r="E158" t="s">
        <v>699</v>
      </c>
      <c r="F158" t="s">
        <v>699</v>
      </c>
      <c r="G158" t="s">
        <v>700</v>
      </c>
      <c r="H158" t="s">
        <v>2108</v>
      </c>
      <c r="I158" t="s">
        <v>2108</v>
      </c>
      <c r="J158">
        <v>3290</v>
      </c>
      <c r="K158">
        <v>2965</v>
      </c>
      <c r="L158">
        <v>2520</v>
      </c>
      <c r="M158" t="s">
        <v>2108</v>
      </c>
      <c r="N158" s="24">
        <v>4030</v>
      </c>
      <c r="O158" s="24">
        <v>3640</v>
      </c>
      <c r="P158" s="24">
        <v>3120</v>
      </c>
      <c r="Q158" t="s">
        <v>40</v>
      </c>
      <c r="R158">
        <v>27</v>
      </c>
      <c r="S158">
        <v>1</v>
      </c>
      <c r="T158" t="s">
        <v>2110</v>
      </c>
      <c r="U158" t="s">
        <v>2111</v>
      </c>
      <c r="V158">
        <v>0</v>
      </c>
      <c r="W158" s="26" t="str">
        <f t="shared" si="2"/>
        <v>(3250,null,1,'2026-04-28 00:00:00','003311010080000-33110100801','003311010080000-33110100801','小儿肾切除术',null,null,3290,2965,2520,null,4030,3640,3120,'次',27,1,'normal','main',0),</v>
      </c>
    </row>
    <row r="159" spans="1:23">
      <c r="A159">
        <v>3251</v>
      </c>
      <c r="B159" t="s">
        <v>2108</v>
      </c>
      <c r="C159">
        <v>1</v>
      </c>
      <c r="D159" s="21" t="s">
        <v>2109</v>
      </c>
      <c r="E159" t="s">
        <v>701</v>
      </c>
      <c r="F159" t="s">
        <v>701</v>
      </c>
      <c r="G159" t="s">
        <v>702</v>
      </c>
      <c r="H159" t="s">
        <v>2108</v>
      </c>
      <c r="I159" t="s">
        <v>2108</v>
      </c>
      <c r="J159">
        <v>3915</v>
      </c>
      <c r="K159">
        <v>3565</v>
      </c>
      <c r="L159">
        <v>3030</v>
      </c>
      <c r="M159" t="s">
        <v>2108</v>
      </c>
      <c r="N159" s="24">
        <v>4030</v>
      </c>
      <c r="O159" s="24">
        <v>3640</v>
      </c>
      <c r="P159" s="24">
        <v>3120</v>
      </c>
      <c r="Q159" t="s">
        <v>40</v>
      </c>
      <c r="R159">
        <v>27</v>
      </c>
      <c r="S159">
        <v>1</v>
      </c>
      <c r="T159" t="s">
        <v>2110</v>
      </c>
      <c r="U159" t="s">
        <v>2111</v>
      </c>
      <c r="V159">
        <v>0</v>
      </c>
      <c r="W159" s="26" t="str">
        <f t="shared" si="2"/>
        <v>(3251,null,1,'2026-04-28 00:00:00','003311010080001-33110100803','003311010080001-33110100803','小儿经腹腔镜肾切除术',null,null,3915,3565,3030,null,4030,3640,3120,'次',27,1,'normal','main',0),</v>
      </c>
    </row>
    <row r="160" spans="1:23">
      <c r="A160">
        <v>3252</v>
      </c>
      <c r="B160" t="s">
        <v>2108</v>
      </c>
      <c r="C160">
        <v>1</v>
      </c>
      <c r="D160" s="21" t="s">
        <v>2109</v>
      </c>
      <c r="E160" t="s">
        <v>708</v>
      </c>
      <c r="F160" t="s">
        <v>708</v>
      </c>
      <c r="G160" t="s">
        <v>709</v>
      </c>
      <c r="H160" t="s">
        <v>2108</v>
      </c>
      <c r="I160" t="s">
        <v>2108</v>
      </c>
      <c r="J160">
        <v>3090</v>
      </c>
      <c r="K160">
        <v>2780</v>
      </c>
      <c r="L160">
        <v>2360</v>
      </c>
      <c r="M160" t="s">
        <v>2108</v>
      </c>
      <c r="N160" s="24">
        <v>3780</v>
      </c>
      <c r="O160" s="24">
        <v>3430</v>
      </c>
      <c r="P160" s="24">
        <v>2930</v>
      </c>
      <c r="Q160" t="s">
        <v>48</v>
      </c>
      <c r="R160">
        <v>27</v>
      </c>
      <c r="S160">
        <v>1</v>
      </c>
      <c r="T160" t="s">
        <v>2110</v>
      </c>
      <c r="U160" t="s">
        <v>2111</v>
      </c>
      <c r="V160">
        <v>0</v>
      </c>
      <c r="W160" s="26" t="str">
        <f t="shared" si="2"/>
        <v>(3252,null,1,'2026-04-28 00:00:00','003303000210000-330300021','003303000210000-330300021','肾上腺切除术',null,null,3090,2780,2360,null,3780,3430,2930,'单侧',27,1,'normal','main',0),</v>
      </c>
    </row>
    <row r="161" spans="1:23">
      <c r="A161">
        <v>3253</v>
      </c>
      <c r="B161" t="s">
        <v>2108</v>
      </c>
      <c r="C161">
        <v>1</v>
      </c>
      <c r="D161" s="21" t="s">
        <v>2109</v>
      </c>
      <c r="E161" t="s">
        <v>711</v>
      </c>
      <c r="F161" t="s">
        <v>711</v>
      </c>
      <c r="G161" t="s">
        <v>712</v>
      </c>
      <c r="H161" t="s">
        <v>2108</v>
      </c>
      <c r="I161" t="s">
        <v>2108</v>
      </c>
      <c r="J161">
        <v>3715</v>
      </c>
      <c r="K161">
        <v>3380</v>
      </c>
      <c r="L161">
        <v>2870</v>
      </c>
      <c r="M161" t="s">
        <v>2108</v>
      </c>
      <c r="N161" s="24">
        <v>3780</v>
      </c>
      <c r="O161" s="24">
        <v>3430</v>
      </c>
      <c r="P161" s="24">
        <v>2930</v>
      </c>
      <c r="Q161" t="s">
        <v>48</v>
      </c>
      <c r="R161">
        <v>27</v>
      </c>
      <c r="S161">
        <v>1</v>
      </c>
      <c r="T161" t="s">
        <v>2110</v>
      </c>
      <c r="U161" t="s">
        <v>2111</v>
      </c>
      <c r="V161">
        <v>0</v>
      </c>
      <c r="W161" s="26" t="str">
        <f t="shared" si="2"/>
        <v>(3253,null,1,'2026-04-28 00:00:00','003303000210002-33030002102','003303000210002-33030002102','经腹腔镜肾上腺切除术',null,null,3715,3380,2870,null,3780,3430,2930,'单侧',27,1,'normal','main',0),</v>
      </c>
    </row>
    <row r="162" spans="1:23">
      <c r="A162">
        <v>3254</v>
      </c>
      <c r="B162" t="s">
        <v>2108</v>
      </c>
      <c r="C162">
        <v>1</v>
      </c>
      <c r="D162" s="21" t="s">
        <v>2109</v>
      </c>
      <c r="E162" t="s">
        <v>716</v>
      </c>
      <c r="F162" t="s">
        <v>716</v>
      </c>
      <c r="G162" t="s">
        <v>717</v>
      </c>
      <c r="H162" t="s">
        <v>2108</v>
      </c>
      <c r="I162" t="s">
        <v>2108</v>
      </c>
      <c r="J162">
        <v>4130</v>
      </c>
      <c r="K162">
        <v>3720</v>
      </c>
      <c r="L162">
        <v>3160</v>
      </c>
      <c r="M162" t="s">
        <v>2108</v>
      </c>
      <c r="N162" s="24">
        <v>4755</v>
      </c>
      <c r="O162" s="24">
        <v>4320</v>
      </c>
      <c r="P162" s="24">
        <v>3680</v>
      </c>
      <c r="Q162" t="s">
        <v>48</v>
      </c>
      <c r="R162">
        <v>27</v>
      </c>
      <c r="S162">
        <v>1</v>
      </c>
      <c r="T162" t="s">
        <v>2110</v>
      </c>
      <c r="U162" t="s">
        <v>2111</v>
      </c>
      <c r="V162">
        <v>0</v>
      </c>
      <c r="W162" s="26" t="str">
        <f t="shared" si="2"/>
        <v>(3254,null,1,'2026-04-28 00:00:00','003303000220000-330300022','003303000220000-330300022','肾上腺嗜铬细胞瘤切除术',null,null,4130,3720,3160,null,4755,4320,3680,'单侧',27,1,'normal','main',0),</v>
      </c>
    </row>
    <row r="163" spans="1:23">
      <c r="A163">
        <v>3255</v>
      </c>
      <c r="B163" t="s">
        <v>2108</v>
      </c>
      <c r="C163">
        <v>1</v>
      </c>
      <c r="D163" s="21" t="s">
        <v>2109</v>
      </c>
      <c r="E163" t="s">
        <v>718</v>
      </c>
      <c r="F163" t="s">
        <v>718</v>
      </c>
      <c r="G163" t="s">
        <v>719</v>
      </c>
      <c r="H163" t="s">
        <v>2108</v>
      </c>
      <c r="I163" t="s">
        <v>2108</v>
      </c>
      <c r="J163">
        <v>4755</v>
      </c>
      <c r="K163">
        <v>4320</v>
      </c>
      <c r="L163">
        <v>3670</v>
      </c>
      <c r="M163" t="s">
        <v>2108</v>
      </c>
      <c r="N163" s="24">
        <v>4755</v>
      </c>
      <c r="O163" s="24">
        <v>4320</v>
      </c>
      <c r="P163" s="24">
        <v>3680</v>
      </c>
      <c r="Q163" t="s">
        <v>48</v>
      </c>
      <c r="R163">
        <v>27</v>
      </c>
      <c r="S163">
        <v>1</v>
      </c>
      <c r="T163" t="s">
        <v>2110</v>
      </c>
      <c r="U163" t="s">
        <v>2111</v>
      </c>
      <c r="V163">
        <v>0</v>
      </c>
      <c r="W163" s="26" t="str">
        <f t="shared" si="2"/>
        <v>(3255,null,1,'2026-04-28 00:00:00','003303000220000-33030002202','003303000220000-33030002202','经腹腔镜肾上腺嗜铬细胞瘤切除术',null,null,4755,4320,3670,null,4755,4320,3680,'单侧',27,1,'normal','main',0),</v>
      </c>
    </row>
    <row r="164" spans="1:23">
      <c r="A164">
        <v>3256</v>
      </c>
      <c r="B164" t="s">
        <v>2108</v>
      </c>
      <c r="C164">
        <v>1</v>
      </c>
      <c r="D164" s="21" t="s">
        <v>2109</v>
      </c>
      <c r="E164" t="s">
        <v>722</v>
      </c>
      <c r="F164" t="s">
        <v>722</v>
      </c>
      <c r="G164" t="s">
        <v>723</v>
      </c>
      <c r="H164" t="s">
        <v>2108</v>
      </c>
      <c r="I164" t="s">
        <v>2108</v>
      </c>
      <c r="J164">
        <v>4015</v>
      </c>
      <c r="K164">
        <v>3615</v>
      </c>
      <c r="L164">
        <v>3075</v>
      </c>
      <c r="M164" t="s">
        <v>2108</v>
      </c>
      <c r="N164">
        <v>4915</v>
      </c>
      <c r="O164">
        <v>4460</v>
      </c>
      <c r="P164">
        <v>3810</v>
      </c>
      <c r="Q164" t="s">
        <v>48</v>
      </c>
      <c r="R164">
        <v>27</v>
      </c>
      <c r="S164">
        <v>1</v>
      </c>
      <c r="T164" t="s">
        <v>2110</v>
      </c>
      <c r="U164" t="s">
        <v>2111</v>
      </c>
      <c r="V164">
        <v>0</v>
      </c>
      <c r="W164" s="26" t="str">
        <f t="shared" si="2"/>
        <v>(3256,null,1,'2026-04-28 00:00:00','003303000210000-33030002101','003303000210000-33030002101','小儿肾上腺切除术',null,null,4015,3615,3075,null,4915,4460,3810,'单侧',27,1,'normal','main',0),</v>
      </c>
    </row>
    <row r="165" spans="1:23">
      <c r="A165">
        <v>3257</v>
      </c>
      <c r="B165" t="s">
        <v>2108</v>
      </c>
      <c r="C165">
        <v>1</v>
      </c>
      <c r="D165" s="21" t="s">
        <v>2109</v>
      </c>
      <c r="E165" t="s">
        <v>724</v>
      </c>
      <c r="F165" t="s">
        <v>724</v>
      </c>
      <c r="G165" t="s">
        <v>725</v>
      </c>
      <c r="H165" t="s">
        <v>2108</v>
      </c>
      <c r="I165" t="s">
        <v>2108</v>
      </c>
      <c r="J165">
        <v>4640</v>
      </c>
      <c r="K165">
        <v>4215</v>
      </c>
      <c r="L165">
        <v>3585</v>
      </c>
      <c r="M165" t="s">
        <v>2108</v>
      </c>
      <c r="N165">
        <v>4915</v>
      </c>
      <c r="O165">
        <v>4460</v>
      </c>
      <c r="P165">
        <v>3810</v>
      </c>
      <c r="Q165" t="s">
        <v>48</v>
      </c>
      <c r="R165">
        <v>27</v>
      </c>
      <c r="S165">
        <v>1</v>
      </c>
      <c r="T165" t="s">
        <v>2110</v>
      </c>
      <c r="U165" t="s">
        <v>2111</v>
      </c>
      <c r="V165">
        <v>0</v>
      </c>
      <c r="W165" s="26" t="str">
        <f t="shared" si="2"/>
        <v>(3257,null,1,'2026-04-28 00:00:00','003303000210002-33030002103','003303000210002-33030002103','小儿经腹腔镜肾上腺切除术',null,null,4640,4215,3585,null,4915,4460,3810,'单侧',27,1,'normal','main',0),</v>
      </c>
    </row>
    <row r="166" spans="1:23">
      <c r="A166">
        <v>3258</v>
      </c>
      <c r="B166" t="s">
        <v>2108</v>
      </c>
      <c r="C166">
        <v>1</v>
      </c>
      <c r="D166" s="21" t="s">
        <v>2109</v>
      </c>
      <c r="E166" t="s">
        <v>726</v>
      </c>
      <c r="F166" t="s">
        <v>726</v>
      </c>
      <c r="G166" t="s">
        <v>727</v>
      </c>
      <c r="H166" t="s">
        <v>2108</v>
      </c>
      <c r="I166" t="s">
        <v>2108</v>
      </c>
      <c r="J166">
        <v>5370</v>
      </c>
      <c r="K166">
        <v>4835</v>
      </c>
      <c r="L166">
        <v>4110</v>
      </c>
      <c r="M166" t="s">
        <v>2108</v>
      </c>
      <c r="N166">
        <v>4915</v>
      </c>
      <c r="O166">
        <v>4460</v>
      </c>
      <c r="P166">
        <v>3810</v>
      </c>
      <c r="Q166" t="s">
        <v>48</v>
      </c>
      <c r="R166">
        <v>27</v>
      </c>
      <c r="S166">
        <v>1</v>
      </c>
      <c r="T166" t="s">
        <v>2110</v>
      </c>
      <c r="U166" t="s">
        <v>2111</v>
      </c>
      <c r="V166">
        <v>0</v>
      </c>
      <c r="W166" s="26" t="str">
        <f t="shared" si="2"/>
        <v>(3258,null,1,'2026-04-28 00:00:00','003303000220000-33030002201','003303000220000-33030002201','小儿肾上腺嗜铬细胞瘤切除术',null,null,5370,4835,4110,null,4915,4460,3810,'单侧',27,1,'normal','main',0),</v>
      </c>
    </row>
    <row r="167" spans="1:23">
      <c r="A167">
        <v>3259</v>
      </c>
      <c r="B167" t="s">
        <v>2108</v>
      </c>
      <c r="C167">
        <v>1</v>
      </c>
      <c r="D167" s="21" t="s">
        <v>2109</v>
      </c>
      <c r="E167" t="s">
        <v>728</v>
      </c>
      <c r="F167" t="s">
        <v>728</v>
      </c>
      <c r="G167" t="s">
        <v>729</v>
      </c>
      <c r="H167" t="s">
        <v>2108</v>
      </c>
      <c r="I167" t="s">
        <v>2108</v>
      </c>
      <c r="J167">
        <v>5995</v>
      </c>
      <c r="K167">
        <v>5435</v>
      </c>
      <c r="L167">
        <v>4620</v>
      </c>
      <c r="M167" t="s">
        <v>2108</v>
      </c>
      <c r="N167">
        <v>4915</v>
      </c>
      <c r="O167">
        <v>4460</v>
      </c>
      <c r="P167">
        <v>3810</v>
      </c>
      <c r="Q167" t="s">
        <v>48</v>
      </c>
      <c r="R167">
        <v>27</v>
      </c>
      <c r="S167">
        <v>1</v>
      </c>
      <c r="T167" t="s">
        <v>2110</v>
      </c>
      <c r="U167" t="s">
        <v>2111</v>
      </c>
      <c r="V167">
        <v>0</v>
      </c>
      <c r="W167" s="26" t="str">
        <f t="shared" si="2"/>
        <v>(3259,null,1,'2026-04-28 00:00:00','003303000220000-33030002203','003303000220000-33030002203','小儿经腹腔镜肾上腺嗜铬细胞瘤切除术',null,null,5995,5435,4620,null,4915,4460,3810,'单侧',27,1,'normal','main',0),</v>
      </c>
    </row>
    <row r="168" spans="1:23">
      <c r="A168">
        <v>3260</v>
      </c>
      <c r="B168" t="s">
        <v>2108</v>
      </c>
      <c r="C168">
        <v>1</v>
      </c>
      <c r="D168" s="21" t="s">
        <v>2109</v>
      </c>
      <c r="E168" t="s">
        <v>743</v>
      </c>
      <c r="F168" t="s">
        <v>743</v>
      </c>
      <c r="G168" t="s">
        <v>744</v>
      </c>
      <c r="H168" t="s">
        <v>2108</v>
      </c>
      <c r="I168" t="s">
        <v>2108</v>
      </c>
      <c r="J168">
        <v>4740</v>
      </c>
      <c r="K168">
        <v>4270</v>
      </c>
      <c r="L168">
        <v>3630</v>
      </c>
      <c r="M168" t="s">
        <v>2108</v>
      </c>
      <c r="N168">
        <v>5000</v>
      </c>
      <c r="O168">
        <v>4500</v>
      </c>
      <c r="P168">
        <v>3850</v>
      </c>
      <c r="Q168" t="s">
        <v>40</v>
      </c>
      <c r="R168">
        <v>27</v>
      </c>
      <c r="S168">
        <v>1</v>
      </c>
      <c r="T168" t="s">
        <v>2110</v>
      </c>
      <c r="U168" t="s">
        <v>2111</v>
      </c>
      <c r="V168">
        <v>0</v>
      </c>
      <c r="W168" s="26" t="str">
        <f t="shared" si="2"/>
        <v>(3260,null,1,'2026-04-28 00:00:00','003303000250000-330300025','003303000250000-330300025','肾上腺移植术',null,null,4740,4270,3630,null,5000,4500,3850,'次',27,1,'normal','main',0),</v>
      </c>
    </row>
    <row r="169" spans="1:23">
      <c r="A169">
        <v>3261</v>
      </c>
      <c r="B169" t="s">
        <v>2108</v>
      </c>
      <c r="C169">
        <v>1</v>
      </c>
      <c r="D169" s="21" t="s">
        <v>2109</v>
      </c>
      <c r="E169" t="s">
        <v>748</v>
      </c>
      <c r="F169" t="s">
        <v>748</v>
      </c>
      <c r="G169" t="s">
        <v>749</v>
      </c>
      <c r="H169" t="s">
        <v>2108</v>
      </c>
      <c r="I169" t="s">
        <v>2108</v>
      </c>
      <c r="J169">
        <v>6160</v>
      </c>
      <c r="K169">
        <v>5550</v>
      </c>
      <c r="L169">
        <v>4720</v>
      </c>
      <c r="M169" t="s">
        <v>2108</v>
      </c>
      <c r="N169">
        <v>6500</v>
      </c>
      <c r="O169">
        <v>5850</v>
      </c>
      <c r="P169">
        <v>5005</v>
      </c>
      <c r="Q169" t="s">
        <v>40</v>
      </c>
      <c r="R169">
        <v>27</v>
      </c>
      <c r="S169">
        <v>1</v>
      </c>
      <c r="T169" t="s">
        <v>2110</v>
      </c>
      <c r="U169" t="s">
        <v>2111</v>
      </c>
      <c r="V169">
        <v>0</v>
      </c>
      <c r="W169" s="26" t="str">
        <f t="shared" si="2"/>
        <v>(3261,null,1,'2026-04-28 00:00:00','003303000250000-33030002501','003303000250000-33030002501','小儿肾上腺移植术',null,null,6160,5550,4720,null,6500,5850,5005,'次',27,1,'normal','main',0),</v>
      </c>
    </row>
    <row r="170" spans="1:23">
      <c r="A170">
        <v>3262</v>
      </c>
      <c r="B170" t="s">
        <v>2108</v>
      </c>
      <c r="C170">
        <v>1</v>
      </c>
      <c r="D170" s="21" t="s">
        <v>2109</v>
      </c>
      <c r="E170" t="s">
        <v>757</v>
      </c>
      <c r="F170" t="s">
        <v>757</v>
      </c>
      <c r="G170" t="s">
        <v>758</v>
      </c>
      <c r="H170" t="s">
        <v>2108</v>
      </c>
      <c r="I170" t="s">
        <v>2108</v>
      </c>
      <c r="J170">
        <v>2375</v>
      </c>
      <c r="K170">
        <v>2140</v>
      </c>
      <c r="L170">
        <v>1710</v>
      </c>
      <c r="M170" t="s">
        <v>2108</v>
      </c>
      <c r="N170" s="24">
        <v>2900</v>
      </c>
      <c r="O170" s="24">
        <v>2600</v>
      </c>
      <c r="P170" s="24">
        <v>2250</v>
      </c>
      <c r="Q170" t="s">
        <v>40</v>
      </c>
      <c r="R170">
        <v>27</v>
      </c>
      <c r="S170">
        <v>1</v>
      </c>
      <c r="T170" t="s">
        <v>2110</v>
      </c>
      <c r="U170" t="s">
        <v>2111</v>
      </c>
      <c r="V170">
        <v>0</v>
      </c>
      <c r="W170" s="26" t="str">
        <f t="shared" si="2"/>
        <v>(3262,null,1,'2026-04-28 00:00:00','003311020090000-331102009','003311020090000-331102009','输尿管狭窄段切除再吻合术',null,null,2375,2140,1710,null,2900,2600,2250,'次',27,1,'normal','main',0),</v>
      </c>
    </row>
    <row r="171" spans="1:23">
      <c r="A171">
        <v>3263</v>
      </c>
      <c r="B171" t="s">
        <v>2108</v>
      </c>
      <c r="C171">
        <v>1</v>
      </c>
      <c r="D171" s="21" t="s">
        <v>2109</v>
      </c>
      <c r="E171" t="s">
        <v>759</v>
      </c>
      <c r="F171" t="s">
        <v>759</v>
      </c>
      <c r="G171" t="s">
        <v>760</v>
      </c>
      <c r="H171" t="s">
        <v>2108</v>
      </c>
      <c r="I171" t="s">
        <v>2108</v>
      </c>
      <c r="J171">
        <v>3000</v>
      </c>
      <c r="K171">
        <v>2740</v>
      </c>
      <c r="L171">
        <v>2220</v>
      </c>
      <c r="M171" t="s">
        <v>2108</v>
      </c>
      <c r="N171" s="24">
        <v>2900</v>
      </c>
      <c r="O171" s="24">
        <v>2600</v>
      </c>
      <c r="P171" s="24">
        <v>2250</v>
      </c>
      <c r="Q171" t="s">
        <v>40</v>
      </c>
      <c r="R171">
        <v>27</v>
      </c>
      <c r="S171">
        <v>1</v>
      </c>
      <c r="T171" t="s">
        <v>2110</v>
      </c>
      <c r="U171" t="s">
        <v>2111</v>
      </c>
      <c r="V171">
        <v>0</v>
      </c>
      <c r="W171" s="26" t="str">
        <f t="shared" si="2"/>
        <v>(3263,null,1,'2026-04-28 00:00:00','003311020090000-33110200902','003311020090000-33110200902','经腹腔镜输尿管狭窄段切除再吻合术',null,null,3000,2740,2220,null,2900,2600,2250,'次',27,1,'normal','main',0),</v>
      </c>
    </row>
    <row r="172" spans="1:23">
      <c r="A172">
        <v>3264</v>
      </c>
      <c r="B172" t="s">
        <v>2108</v>
      </c>
      <c r="C172">
        <v>1</v>
      </c>
      <c r="D172" s="21" t="s">
        <v>2109</v>
      </c>
      <c r="E172" t="s">
        <v>761</v>
      </c>
      <c r="F172" t="s">
        <v>761</v>
      </c>
      <c r="G172" t="s">
        <v>762</v>
      </c>
      <c r="H172" t="s">
        <v>2108</v>
      </c>
      <c r="I172" t="s">
        <v>2108</v>
      </c>
      <c r="J172">
        <v>1860</v>
      </c>
      <c r="K172">
        <v>1670</v>
      </c>
      <c r="L172">
        <v>1420</v>
      </c>
      <c r="M172" t="s">
        <v>2108</v>
      </c>
      <c r="N172" s="24">
        <v>2900</v>
      </c>
      <c r="O172" s="24">
        <v>2600</v>
      </c>
      <c r="P172" s="24">
        <v>2250</v>
      </c>
      <c r="Q172" t="s">
        <v>40</v>
      </c>
      <c r="R172">
        <v>27</v>
      </c>
      <c r="S172">
        <v>1</v>
      </c>
      <c r="T172" t="s">
        <v>2110</v>
      </c>
      <c r="U172" t="s">
        <v>2111</v>
      </c>
      <c r="V172">
        <v>0</v>
      </c>
      <c r="W172" s="26" t="str">
        <f t="shared" si="2"/>
        <v>(3264,null,1,'2026-04-28 00:00:00','003311020120000-331102012','003311020120000-331102012','输尿管膀胱再植术',null,null,1860,1670,1420,null,2900,2600,2250,'次',27,1,'normal','main',0),</v>
      </c>
    </row>
    <row r="173" spans="1:23">
      <c r="A173">
        <v>3265</v>
      </c>
      <c r="B173" t="s">
        <v>2108</v>
      </c>
      <c r="C173">
        <v>1</v>
      </c>
      <c r="D173" s="21" t="s">
        <v>2109</v>
      </c>
      <c r="E173" t="s">
        <v>763</v>
      </c>
      <c r="F173" t="s">
        <v>763</v>
      </c>
      <c r="G173" t="s">
        <v>764</v>
      </c>
      <c r="H173" t="s">
        <v>2108</v>
      </c>
      <c r="I173" t="s">
        <v>2108</v>
      </c>
      <c r="J173">
        <v>2485</v>
      </c>
      <c r="K173">
        <v>2270</v>
      </c>
      <c r="L173">
        <v>1930</v>
      </c>
      <c r="M173" t="s">
        <v>2108</v>
      </c>
      <c r="N173" s="24">
        <v>2900</v>
      </c>
      <c r="O173" s="24">
        <v>2600</v>
      </c>
      <c r="P173" s="24">
        <v>2250</v>
      </c>
      <c r="Q173" t="s">
        <v>40</v>
      </c>
      <c r="R173">
        <v>27</v>
      </c>
      <c r="S173">
        <v>1</v>
      </c>
      <c r="T173" t="s">
        <v>2110</v>
      </c>
      <c r="U173" t="s">
        <v>2111</v>
      </c>
      <c r="V173">
        <v>0</v>
      </c>
      <c r="W173" s="26" t="str">
        <f t="shared" si="2"/>
        <v>(3265,null,1,'2026-04-28 00:00:00','003311020120000-33110201202','003311020120000-33110201202','经腹腔镜输尿管膀胱再植术',null,null,2485,2270,1930,null,2900,2600,2250,'次',27,1,'normal','main',0),</v>
      </c>
    </row>
    <row r="174" spans="1:23">
      <c r="A174">
        <v>3266</v>
      </c>
      <c r="B174" t="s">
        <v>2108</v>
      </c>
      <c r="C174">
        <v>1</v>
      </c>
      <c r="D174" s="21" t="s">
        <v>2109</v>
      </c>
      <c r="E174" t="s">
        <v>765</v>
      </c>
      <c r="F174" t="s">
        <v>765</v>
      </c>
      <c r="G174" t="s">
        <v>766</v>
      </c>
      <c r="H174" t="s">
        <v>2108</v>
      </c>
      <c r="I174" t="s">
        <v>2108</v>
      </c>
      <c r="J174">
        <v>2700</v>
      </c>
      <c r="K174">
        <v>2430</v>
      </c>
      <c r="L174">
        <v>2070</v>
      </c>
      <c r="M174" t="s">
        <v>2108</v>
      </c>
      <c r="N174">
        <v>0</v>
      </c>
      <c r="O174">
        <v>0</v>
      </c>
      <c r="P174">
        <v>0</v>
      </c>
      <c r="Q174" t="s">
        <v>40</v>
      </c>
      <c r="R174">
        <v>27</v>
      </c>
      <c r="S174">
        <v>1</v>
      </c>
      <c r="T174" t="s">
        <v>2110</v>
      </c>
      <c r="U174" t="s">
        <v>2111</v>
      </c>
      <c r="V174">
        <v>0</v>
      </c>
      <c r="W174" s="26" t="str">
        <f t="shared" si="2"/>
        <v>(3266,null,1,'2026-04-28 00:00:00','003311020040000-331102004','003311020040000-331102004','肾下盏输尿管吻合术',null,null,2700,2430,2070,null,0,0,0,'次',27,1,'normal','main',0),</v>
      </c>
    </row>
    <row r="175" spans="1:23">
      <c r="A175">
        <v>3267</v>
      </c>
      <c r="B175" t="s">
        <v>2108</v>
      </c>
      <c r="C175">
        <v>1</v>
      </c>
      <c r="D175" s="21" t="s">
        <v>2109</v>
      </c>
      <c r="E175" t="s">
        <v>767</v>
      </c>
      <c r="F175" t="s">
        <v>767</v>
      </c>
      <c r="G175" t="s">
        <v>768</v>
      </c>
      <c r="H175" t="s">
        <v>2108</v>
      </c>
      <c r="I175" t="s">
        <v>2108</v>
      </c>
      <c r="J175">
        <v>3325</v>
      </c>
      <c r="K175">
        <v>3030</v>
      </c>
      <c r="L175">
        <v>2580</v>
      </c>
      <c r="M175" t="s">
        <v>2108</v>
      </c>
      <c r="N175">
        <v>0</v>
      </c>
      <c r="O175">
        <v>0</v>
      </c>
      <c r="P175">
        <v>0</v>
      </c>
      <c r="Q175" t="s">
        <v>40</v>
      </c>
      <c r="R175">
        <v>27</v>
      </c>
      <c r="S175">
        <v>1</v>
      </c>
      <c r="T175" t="s">
        <v>2110</v>
      </c>
      <c r="U175" t="s">
        <v>2111</v>
      </c>
      <c r="V175">
        <v>0</v>
      </c>
      <c r="W175" s="26" t="str">
        <f t="shared" si="2"/>
        <v>(3267,null,1,'2026-04-28 00:00:00','003311020040000-33110200402','003311020040000-33110200402','经腹腔镜肾下盏输尿管吻合术',null,null,3325,3030,2580,null,0,0,0,'次',27,1,'normal','main',0),</v>
      </c>
    </row>
    <row r="176" spans="1:23">
      <c r="A176">
        <v>3268</v>
      </c>
      <c r="B176" t="s">
        <v>2108</v>
      </c>
      <c r="C176">
        <v>1</v>
      </c>
      <c r="D176" s="21" t="s">
        <v>2109</v>
      </c>
      <c r="E176" t="s">
        <v>769</v>
      </c>
      <c r="F176" t="s">
        <v>769</v>
      </c>
      <c r="G176" t="s">
        <v>770</v>
      </c>
      <c r="H176" t="s">
        <v>2108</v>
      </c>
      <c r="I176" t="s">
        <v>2108</v>
      </c>
      <c r="J176">
        <v>2360</v>
      </c>
      <c r="K176">
        <v>2120</v>
      </c>
      <c r="L176">
        <v>1800</v>
      </c>
      <c r="M176" t="s">
        <v>2108</v>
      </c>
      <c r="N176">
        <v>0</v>
      </c>
      <c r="O176">
        <v>0</v>
      </c>
      <c r="P176">
        <v>0</v>
      </c>
      <c r="Q176" t="s">
        <v>40</v>
      </c>
      <c r="R176">
        <v>27</v>
      </c>
      <c r="S176">
        <v>1</v>
      </c>
      <c r="T176" t="s">
        <v>2110</v>
      </c>
      <c r="U176" t="s">
        <v>2111</v>
      </c>
      <c r="V176">
        <v>0</v>
      </c>
      <c r="W176" s="26" t="str">
        <f t="shared" si="2"/>
        <v>(3268,null,1,'2026-04-28 00:00:00','003311020140000-331102014','003311020140000-331102014','输尿管乙状结肠吻合术',null,null,2360,2120,1800,null,0,0,0,'次',27,1,'normal','main',0),</v>
      </c>
    </row>
    <row r="177" spans="1:23">
      <c r="A177">
        <v>3269</v>
      </c>
      <c r="B177" t="s">
        <v>2108</v>
      </c>
      <c r="C177">
        <v>1</v>
      </c>
      <c r="D177" s="21" t="s">
        <v>2109</v>
      </c>
      <c r="E177" t="s">
        <v>771</v>
      </c>
      <c r="F177" t="s">
        <v>771</v>
      </c>
      <c r="G177" t="s">
        <v>772</v>
      </c>
      <c r="H177" t="s">
        <v>2108</v>
      </c>
      <c r="I177" t="s">
        <v>2108</v>
      </c>
      <c r="J177">
        <v>2985</v>
      </c>
      <c r="K177">
        <v>2720</v>
      </c>
      <c r="L177">
        <v>2310</v>
      </c>
      <c r="M177" t="s">
        <v>2108</v>
      </c>
      <c r="N177">
        <v>0</v>
      </c>
      <c r="O177">
        <v>0</v>
      </c>
      <c r="P177">
        <v>0</v>
      </c>
      <c r="Q177" t="s">
        <v>40</v>
      </c>
      <c r="R177">
        <v>27</v>
      </c>
      <c r="S177">
        <v>1</v>
      </c>
      <c r="T177" t="s">
        <v>2110</v>
      </c>
      <c r="U177" t="s">
        <v>2111</v>
      </c>
      <c r="V177">
        <v>0</v>
      </c>
      <c r="W177" s="26" t="str">
        <f t="shared" si="2"/>
        <v>(3269,null,1,'2026-04-28 00:00:00','003311020140000-33110201402','003311020140000-33110201402','经腹腔镜输尿管乙状结肠吻合术',null,null,2985,2720,2310,null,0,0,0,'次',27,1,'normal','main',0),</v>
      </c>
    </row>
    <row r="178" spans="1:23">
      <c r="A178">
        <v>3270</v>
      </c>
      <c r="B178" t="s">
        <v>2108</v>
      </c>
      <c r="C178">
        <v>1</v>
      </c>
      <c r="D178" s="21" t="s">
        <v>2109</v>
      </c>
      <c r="E178" t="s">
        <v>773</v>
      </c>
      <c r="F178" t="s">
        <v>773</v>
      </c>
      <c r="G178" t="s">
        <v>774</v>
      </c>
      <c r="H178" t="s">
        <v>2108</v>
      </c>
      <c r="I178" t="s">
        <v>2108</v>
      </c>
      <c r="J178">
        <v>1500</v>
      </c>
      <c r="K178">
        <v>1440</v>
      </c>
      <c r="L178">
        <v>1224</v>
      </c>
      <c r="M178" t="s">
        <v>2108</v>
      </c>
      <c r="N178" s="14">
        <v>1478.75</v>
      </c>
      <c r="O178" s="14">
        <v>1312.5</v>
      </c>
      <c r="P178" s="14">
        <v>1155</v>
      </c>
      <c r="Q178" t="s">
        <v>40</v>
      </c>
      <c r="R178">
        <v>27</v>
      </c>
      <c r="S178">
        <v>1</v>
      </c>
      <c r="T178" t="s">
        <v>2110</v>
      </c>
      <c r="U178" t="s">
        <v>2111</v>
      </c>
      <c r="V178">
        <v>0</v>
      </c>
      <c r="W178" s="26" t="str">
        <f t="shared" si="2"/>
        <v>(3270,null,1,'2026-04-28 00:00:00','003311020080000-331102008','003311020080000-331102008','输尿管损伤修补术',null,null,1500,1440,1224,null,1478.75,1312.5,1155,'次',27,1,'normal','main',0),</v>
      </c>
    </row>
    <row r="179" spans="1:23">
      <c r="A179">
        <v>3271</v>
      </c>
      <c r="B179" t="s">
        <v>2108</v>
      </c>
      <c r="C179">
        <v>1</v>
      </c>
      <c r="D179" s="21" t="s">
        <v>2109</v>
      </c>
      <c r="E179" t="s">
        <v>775</v>
      </c>
      <c r="F179" t="s">
        <v>775</v>
      </c>
      <c r="G179" t="s">
        <v>776</v>
      </c>
      <c r="H179" t="s">
        <v>2108</v>
      </c>
      <c r="I179" t="s">
        <v>2108</v>
      </c>
      <c r="J179">
        <v>2125</v>
      </c>
      <c r="K179">
        <v>2040</v>
      </c>
      <c r="L179">
        <v>1734</v>
      </c>
      <c r="M179" t="s">
        <v>2108</v>
      </c>
      <c r="N179" s="14">
        <v>1478.75</v>
      </c>
      <c r="O179" s="14">
        <v>1312.5</v>
      </c>
      <c r="P179" s="14">
        <v>1155</v>
      </c>
      <c r="Q179" t="s">
        <v>40</v>
      </c>
      <c r="R179">
        <v>27</v>
      </c>
      <c r="S179">
        <v>1</v>
      </c>
      <c r="T179" t="s">
        <v>2110</v>
      </c>
      <c r="U179" t="s">
        <v>2111</v>
      </c>
      <c r="V179">
        <v>0</v>
      </c>
      <c r="W179" s="26" t="str">
        <f t="shared" si="2"/>
        <v>(3271,null,1,'2026-04-28 00:00:00','003311020080000-33110200802','003311020080000-33110200802','经腹腔镜输尿管损伤修补术',null,null,2125,2040,1734,null,1478.75,1312.5,1155,'次',27,1,'normal','main',0),</v>
      </c>
    </row>
    <row r="180" spans="1:23">
      <c r="A180">
        <v>3272</v>
      </c>
      <c r="B180" t="s">
        <v>2108</v>
      </c>
      <c r="C180">
        <v>1</v>
      </c>
      <c r="D180" s="21" t="s">
        <v>2109</v>
      </c>
      <c r="E180" t="s">
        <v>777</v>
      </c>
      <c r="F180" t="s">
        <v>777</v>
      </c>
      <c r="G180" t="s">
        <v>778</v>
      </c>
      <c r="H180" t="s">
        <v>2108</v>
      </c>
      <c r="I180" t="s">
        <v>2108</v>
      </c>
      <c r="J180">
        <v>1860</v>
      </c>
      <c r="K180">
        <v>1670</v>
      </c>
      <c r="L180">
        <v>1420</v>
      </c>
      <c r="M180" t="s">
        <v>2108</v>
      </c>
      <c r="N180" s="14">
        <v>1478.75</v>
      </c>
      <c r="O180" s="14">
        <v>1312.5</v>
      </c>
      <c r="P180" s="14">
        <v>1155</v>
      </c>
      <c r="Q180" t="s">
        <v>40</v>
      </c>
      <c r="R180">
        <v>27</v>
      </c>
      <c r="S180">
        <v>1</v>
      </c>
      <c r="T180" t="s">
        <v>2110</v>
      </c>
      <c r="U180" t="s">
        <v>2111</v>
      </c>
      <c r="V180">
        <v>0</v>
      </c>
      <c r="W180" s="26" t="str">
        <f t="shared" si="2"/>
        <v>(3272,null,1,'2026-04-28 00:00:00','003311020100000-331102010','003311020100000-331102010','输尿管开口囊肿切除术',null,null,1860,1670,1420,null,1478.75,1312.5,1155,'次',27,1,'normal','main',0),</v>
      </c>
    </row>
    <row r="181" spans="1:23">
      <c r="A181">
        <v>3273</v>
      </c>
      <c r="B181" t="s">
        <v>2108</v>
      </c>
      <c r="C181">
        <v>1</v>
      </c>
      <c r="D181" s="21" t="s">
        <v>2109</v>
      </c>
      <c r="E181" t="s">
        <v>779</v>
      </c>
      <c r="F181" t="s">
        <v>779</v>
      </c>
      <c r="G181" t="s">
        <v>780</v>
      </c>
      <c r="H181" t="s">
        <v>2108</v>
      </c>
      <c r="I181" t="s">
        <v>2108</v>
      </c>
      <c r="J181">
        <v>2485</v>
      </c>
      <c r="K181">
        <v>2270</v>
      </c>
      <c r="L181">
        <v>1930</v>
      </c>
      <c r="M181" t="s">
        <v>2108</v>
      </c>
      <c r="N181" s="14">
        <v>1478.75</v>
      </c>
      <c r="O181" s="14">
        <v>1312.5</v>
      </c>
      <c r="P181" s="14">
        <v>1155</v>
      </c>
      <c r="Q181" t="s">
        <v>40</v>
      </c>
      <c r="R181">
        <v>27</v>
      </c>
      <c r="S181">
        <v>1</v>
      </c>
      <c r="T181" t="s">
        <v>2110</v>
      </c>
      <c r="U181" t="s">
        <v>2111</v>
      </c>
      <c r="V181">
        <v>0</v>
      </c>
      <c r="W181" s="26" t="str">
        <f t="shared" si="2"/>
        <v>(3273,null,1,'2026-04-28 00:00:00','003311020100001-33110201002','003311020100001-33110201002','经腹腔镜输尿管开口囊肿切除术',null,null,2485,2270,1930,null,1478.75,1312.5,1155,'次',27,1,'normal','main',0),</v>
      </c>
    </row>
    <row r="182" spans="1:23">
      <c r="A182">
        <v>3274</v>
      </c>
      <c r="B182" t="s">
        <v>2108</v>
      </c>
      <c r="C182">
        <v>1</v>
      </c>
      <c r="D182" s="21" t="s">
        <v>2109</v>
      </c>
      <c r="E182" t="s">
        <v>781</v>
      </c>
      <c r="F182" t="s">
        <v>781</v>
      </c>
      <c r="G182" t="s">
        <v>782</v>
      </c>
      <c r="H182" t="s">
        <v>2108</v>
      </c>
      <c r="I182" t="s">
        <v>2108</v>
      </c>
      <c r="J182">
        <v>1250</v>
      </c>
      <c r="K182">
        <v>1200</v>
      </c>
      <c r="L182">
        <v>1020</v>
      </c>
      <c r="M182" t="s">
        <v>2108</v>
      </c>
      <c r="N182" s="14">
        <v>1478.75</v>
      </c>
      <c r="O182" s="14">
        <v>1312.5</v>
      </c>
      <c r="P182" s="14">
        <v>1155</v>
      </c>
      <c r="Q182" t="s">
        <v>40</v>
      </c>
      <c r="R182">
        <v>27</v>
      </c>
      <c r="S182">
        <v>1</v>
      </c>
      <c r="T182" t="s">
        <v>2110</v>
      </c>
      <c r="U182" t="s">
        <v>2111</v>
      </c>
      <c r="V182">
        <v>0</v>
      </c>
      <c r="W182" s="26" t="str">
        <f t="shared" si="2"/>
        <v>(3274,null,1,'2026-04-28 00:00:00','003311020110000-331102011','003311020110000-331102011','输尿管残端切除术',null,null,1250,1200,1020,null,1478.75,1312.5,1155,'次',27,1,'normal','main',0),</v>
      </c>
    </row>
    <row r="183" spans="1:23">
      <c r="A183">
        <v>3275</v>
      </c>
      <c r="B183" t="s">
        <v>2108</v>
      </c>
      <c r="C183">
        <v>1</v>
      </c>
      <c r="D183" s="21" t="s">
        <v>2109</v>
      </c>
      <c r="E183" t="s">
        <v>783</v>
      </c>
      <c r="F183" t="s">
        <v>783</v>
      </c>
      <c r="G183" t="s">
        <v>784</v>
      </c>
      <c r="H183" t="s">
        <v>2108</v>
      </c>
      <c r="I183" t="s">
        <v>2108</v>
      </c>
      <c r="J183">
        <v>1875</v>
      </c>
      <c r="K183">
        <v>1800</v>
      </c>
      <c r="L183">
        <v>1530</v>
      </c>
      <c r="M183" t="s">
        <v>2108</v>
      </c>
      <c r="N183" s="14">
        <v>1478.75</v>
      </c>
      <c r="O183" s="14">
        <v>1312.5</v>
      </c>
      <c r="P183" s="14">
        <v>1155</v>
      </c>
      <c r="Q183" t="s">
        <v>40</v>
      </c>
      <c r="R183">
        <v>27</v>
      </c>
      <c r="S183">
        <v>1</v>
      </c>
      <c r="T183" t="s">
        <v>2110</v>
      </c>
      <c r="U183" t="s">
        <v>2111</v>
      </c>
      <c r="V183">
        <v>0</v>
      </c>
      <c r="W183" s="26" t="str">
        <f t="shared" si="2"/>
        <v>(3275,null,1,'2026-04-28 00:00:00','003311020110000-33110201102','003311020110000-33110201102','经腹腔镜输尿管残端切除术',null,null,1875,1800,1530,null,1478.75,1312.5,1155,'次',27,1,'normal','main',0),</v>
      </c>
    </row>
    <row r="184" spans="1:23">
      <c r="A184">
        <v>3276</v>
      </c>
      <c r="B184" t="s">
        <v>2108</v>
      </c>
      <c r="C184">
        <v>1</v>
      </c>
      <c r="D184" s="21" t="s">
        <v>2109</v>
      </c>
      <c r="E184" t="s">
        <v>785</v>
      </c>
      <c r="F184" t="s">
        <v>785</v>
      </c>
      <c r="G184" t="s">
        <v>786</v>
      </c>
      <c r="H184" t="s">
        <v>2108</v>
      </c>
      <c r="I184" t="s">
        <v>2108</v>
      </c>
      <c r="J184">
        <v>875</v>
      </c>
      <c r="K184">
        <v>840</v>
      </c>
      <c r="L184">
        <v>714</v>
      </c>
      <c r="M184" t="s">
        <v>2108</v>
      </c>
      <c r="N184" s="14">
        <v>1478.75</v>
      </c>
      <c r="O184" s="14">
        <v>1312.5</v>
      </c>
      <c r="P184" s="14">
        <v>1155</v>
      </c>
      <c r="Q184" t="s">
        <v>40</v>
      </c>
      <c r="R184">
        <v>27</v>
      </c>
      <c r="S184">
        <v>1</v>
      </c>
      <c r="T184" t="s">
        <v>2110</v>
      </c>
      <c r="U184" t="s">
        <v>2111</v>
      </c>
      <c r="V184">
        <v>0</v>
      </c>
      <c r="W184" s="26" t="str">
        <f t="shared" si="2"/>
        <v>(3276,null,1,'2026-04-28 00:00:00','003312030120000-331203012','003312030120000-331203012','输尿管间嵴切除术',null,null,875,840,714,null,1478.75,1312.5,1155,'次',27,1,'normal','main',0),</v>
      </c>
    </row>
    <row r="185" spans="1:23">
      <c r="A185">
        <v>3277</v>
      </c>
      <c r="B185" t="s">
        <v>2108</v>
      </c>
      <c r="C185">
        <v>1</v>
      </c>
      <c r="D185" s="21" t="s">
        <v>2109</v>
      </c>
      <c r="E185" t="s">
        <v>787</v>
      </c>
      <c r="F185" t="s">
        <v>787</v>
      </c>
      <c r="G185" t="s">
        <v>788</v>
      </c>
      <c r="H185" t="s">
        <v>2108</v>
      </c>
      <c r="I185" t="s">
        <v>2108</v>
      </c>
      <c r="J185">
        <v>1125</v>
      </c>
      <c r="K185">
        <v>1065</v>
      </c>
      <c r="L185">
        <v>904</v>
      </c>
      <c r="M185" t="s">
        <v>2108</v>
      </c>
      <c r="N185" s="14">
        <v>1478.75</v>
      </c>
      <c r="O185" s="14">
        <v>1312.5</v>
      </c>
      <c r="P185" s="14">
        <v>1155</v>
      </c>
      <c r="Q185" t="s">
        <v>40</v>
      </c>
      <c r="R185">
        <v>27</v>
      </c>
      <c r="S185">
        <v>1</v>
      </c>
      <c r="T185" t="s">
        <v>2110</v>
      </c>
      <c r="U185" t="s">
        <v>2111</v>
      </c>
      <c r="V185">
        <v>0</v>
      </c>
      <c r="W185" s="26" t="str">
        <f t="shared" si="2"/>
        <v>(3277,null,1,'2026-04-28 00:00:00','003312030120000-33120301202','003312030120000-33120301202','经膀胱镜输尿管间嵴切除术',null,null,1125,1065,904,null,1478.75,1312.5,1155,'次',27,1,'normal','main',0),</v>
      </c>
    </row>
    <row r="186" spans="1:23">
      <c r="A186">
        <v>3278</v>
      </c>
      <c r="B186" t="s">
        <v>2108</v>
      </c>
      <c r="C186">
        <v>1</v>
      </c>
      <c r="D186" s="21" t="s">
        <v>2109</v>
      </c>
      <c r="E186" t="s">
        <v>819</v>
      </c>
      <c r="F186" t="s">
        <v>819</v>
      </c>
      <c r="G186" t="s">
        <v>820</v>
      </c>
      <c r="H186" t="s">
        <v>2108</v>
      </c>
      <c r="I186" t="s">
        <v>2108</v>
      </c>
      <c r="J186">
        <v>2420</v>
      </c>
      <c r="K186">
        <v>2170</v>
      </c>
      <c r="L186">
        <v>1845</v>
      </c>
      <c r="M186" t="s">
        <v>2108</v>
      </c>
      <c r="N186">
        <v>3770</v>
      </c>
      <c r="O186">
        <v>3380</v>
      </c>
      <c r="P186">
        <v>2925</v>
      </c>
      <c r="Q186" t="s">
        <v>40</v>
      </c>
      <c r="R186">
        <v>27</v>
      </c>
      <c r="S186">
        <v>1</v>
      </c>
      <c r="T186" t="s">
        <v>2110</v>
      </c>
      <c r="U186" t="s">
        <v>2111</v>
      </c>
      <c r="V186">
        <v>0</v>
      </c>
      <c r="W186" s="26" t="str">
        <f t="shared" si="2"/>
        <v>(3278,null,1,'2026-04-28 00:00:00','003311020120000-33110201201','003311020120000-33110201201','小儿输尿管膀胱再植术',null,null,2420,2170,1845,null,3770,3380,2925,'次',27,1,'normal','main',0),</v>
      </c>
    </row>
    <row r="187" spans="1:23">
      <c r="A187">
        <v>3279</v>
      </c>
      <c r="B187" t="s">
        <v>2108</v>
      </c>
      <c r="C187">
        <v>1</v>
      </c>
      <c r="D187" s="21" t="s">
        <v>2109</v>
      </c>
      <c r="E187" t="s">
        <v>821</v>
      </c>
      <c r="F187" t="s">
        <v>821</v>
      </c>
      <c r="G187" t="s">
        <v>822</v>
      </c>
      <c r="H187" t="s">
        <v>2108</v>
      </c>
      <c r="I187" t="s">
        <v>2108</v>
      </c>
      <c r="J187">
        <v>3045</v>
      </c>
      <c r="K187">
        <v>2770</v>
      </c>
      <c r="L187">
        <v>2355</v>
      </c>
      <c r="M187" t="s">
        <v>2108</v>
      </c>
      <c r="N187">
        <v>3770</v>
      </c>
      <c r="O187">
        <v>3380</v>
      </c>
      <c r="P187">
        <v>2925</v>
      </c>
      <c r="Q187" t="s">
        <v>40</v>
      </c>
      <c r="R187">
        <v>27</v>
      </c>
      <c r="S187">
        <v>1</v>
      </c>
      <c r="T187" t="s">
        <v>2110</v>
      </c>
      <c r="U187" t="s">
        <v>2111</v>
      </c>
      <c r="V187">
        <v>0</v>
      </c>
      <c r="W187" s="26" t="str">
        <f t="shared" si="2"/>
        <v>(3279,null,1,'2026-04-28 00:00:00','003311020120000-33110201203','003311020120000-33110201203','小儿经腹腔镜输尿管膀胱再植术',null,null,3045,2770,2355,null,3770,3380,2925,'次',27,1,'normal','main',0),</v>
      </c>
    </row>
    <row r="188" spans="1:23">
      <c r="A188">
        <v>3280</v>
      </c>
      <c r="B188" t="s">
        <v>2108</v>
      </c>
      <c r="C188">
        <v>1</v>
      </c>
      <c r="D188" s="21" t="s">
        <v>2109</v>
      </c>
      <c r="E188" t="s">
        <v>828</v>
      </c>
      <c r="F188" t="s">
        <v>828</v>
      </c>
      <c r="G188" t="s">
        <v>829</v>
      </c>
      <c r="H188" t="s">
        <v>2108</v>
      </c>
      <c r="I188" t="s">
        <v>2108</v>
      </c>
      <c r="J188">
        <v>3040</v>
      </c>
      <c r="K188">
        <v>2740</v>
      </c>
      <c r="L188">
        <v>2330</v>
      </c>
      <c r="M188" t="s">
        <v>2108</v>
      </c>
      <c r="N188">
        <v>3800</v>
      </c>
      <c r="O188">
        <v>3420</v>
      </c>
      <c r="P188">
        <v>2950</v>
      </c>
      <c r="Q188" t="s">
        <v>40</v>
      </c>
      <c r="R188">
        <v>27</v>
      </c>
      <c r="S188">
        <v>1</v>
      </c>
      <c r="T188" t="s">
        <v>2110</v>
      </c>
      <c r="U188" t="s">
        <v>2111</v>
      </c>
      <c r="V188">
        <v>0</v>
      </c>
      <c r="W188" s="26" t="str">
        <f t="shared" si="2"/>
        <v>(3280,null,1,'2026-04-28 00:00:00','003311010110000-331101011','003311010110000-331101011','重复肾重复输尿管切除术',null,null,3040,2740,2330,null,3800,3420,2950,'次',27,1,'normal','main',0),</v>
      </c>
    </row>
    <row r="189" spans="1:23">
      <c r="A189">
        <v>3281</v>
      </c>
      <c r="B189" t="s">
        <v>2108</v>
      </c>
      <c r="C189">
        <v>1</v>
      </c>
      <c r="D189" s="21" t="s">
        <v>2109</v>
      </c>
      <c r="E189" t="s">
        <v>830</v>
      </c>
      <c r="F189" t="s">
        <v>830</v>
      </c>
      <c r="G189" t="s">
        <v>831</v>
      </c>
      <c r="H189" t="s">
        <v>2108</v>
      </c>
      <c r="I189" t="s">
        <v>2108</v>
      </c>
      <c r="J189">
        <v>3665</v>
      </c>
      <c r="K189">
        <v>3340</v>
      </c>
      <c r="L189">
        <v>2840</v>
      </c>
      <c r="M189" t="s">
        <v>2108</v>
      </c>
      <c r="N189">
        <v>3800</v>
      </c>
      <c r="O189">
        <v>3420</v>
      </c>
      <c r="P189">
        <v>2950</v>
      </c>
      <c r="Q189" t="s">
        <v>40</v>
      </c>
      <c r="R189">
        <v>27</v>
      </c>
      <c r="S189">
        <v>1</v>
      </c>
      <c r="T189" t="s">
        <v>2110</v>
      </c>
      <c r="U189" t="s">
        <v>2111</v>
      </c>
      <c r="V189">
        <v>0</v>
      </c>
      <c r="W189" s="26" t="str">
        <f t="shared" si="2"/>
        <v>(3281,null,1,'2026-04-28 00:00:00','003311010110000-33110101102','003311010110000-33110101102','经腹腔镜重复肾重复输尿管切除术',null,null,3665,3340,2840,null,3800,3420,2950,'次',27,1,'normal','main',0),</v>
      </c>
    </row>
    <row r="190" spans="1:23">
      <c r="A190">
        <v>3282</v>
      </c>
      <c r="B190" t="s">
        <v>2108</v>
      </c>
      <c r="C190">
        <v>1</v>
      </c>
      <c r="D190" s="21" t="s">
        <v>2109</v>
      </c>
      <c r="E190" t="s">
        <v>832</v>
      </c>
      <c r="F190" t="s">
        <v>832</v>
      </c>
      <c r="G190" t="s">
        <v>833</v>
      </c>
      <c r="H190" t="s">
        <v>2108</v>
      </c>
      <c r="I190" t="s">
        <v>2108</v>
      </c>
      <c r="J190">
        <v>4130</v>
      </c>
      <c r="K190">
        <v>3720</v>
      </c>
      <c r="L190">
        <v>3160</v>
      </c>
      <c r="M190" t="s">
        <v>2108</v>
      </c>
      <c r="N190">
        <v>3800</v>
      </c>
      <c r="O190">
        <v>3420</v>
      </c>
      <c r="P190">
        <v>2950</v>
      </c>
      <c r="Q190" t="s">
        <v>40</v>
      </c>
      <c r="R190">
        <v>27</v>
      </c>
      <c r="S190">
        <v>1</v>
      </c>
      <c r="T190" t="s">
        <v>2110</v>
      </c>
      <c r="U190" t="s">
        <v>2111</v>
      </c>
      <c r="V190">
        <v>0</v>
      </c>
      <c r="W190" s="26" t="str">
        <f t="shared" si="2"/>
        <v>(3282,null,1,'2026-04-28 00:00:00','003311020010000-331102001','003311020010000-331102001','肾盂癌根治术',null,null,4130,3720,3160,null,3800,3420,2950,'次',27,1,'normal','main',0),</v>
      </c>
    </row>
    <row r="191" spans="1:23">
      <c r="A191">
        <v>3283</v>
      </c>
      <c r="B191" t="s">
        <v>2108</v>
      </c>
      <c r="C191">
        <v>1</v>
      </c>
      <c r="D191" s="21" t="s">
        <v>2109</v>
      </c>
      <c r="E191" t="s">
        <v>835</v>
      </c>
      <c r="F191" t="s">
        <v>835</v>
      </c>
      <c r="G191" t="s">
        <v>836</v>
      </c>
      <c r="H191" t="s">
        <v>2108</v>
      </c>
      <c r="I191" t="s">
        <v>2108</v>
      </c>
      <c r="J191">
        <v>4755</v>
      </c>
      <c r="K191">
        <v>4320</v>
      </c>
      <c r="L191">
        <v>3670</v>
      </c>
      <c r="M191" t="s">
        <v>2108</v>
      </c>
      <c r="N191">
        <v>3800</v>
      </c>
      <c r="O191">
        <v>3420</v>
      </c>
      <c r="P191">
        <v>2950</v>
      </c>
      <c r="Q191" t="s">
        <v>40</v>
      </c>
      <c r="R191">
        <v>27</v>
      </c>
      <c r="S191">
        <v>1</v>
      </c>
      <c r="T191" t="s">
        <v>2110</v>
      </c>
      <c r="U191" t="s">
        <v>2111</v>
      </c>
      <c r="V191">
        <v>0</v>
      </c>
      <c r="W191" s="26" t="str">
        <f t="shared" si="2"/>
        <v>(3283,null,1,'2026-04-28 00:00:00','003311020010001-33110200102','003311020010001-33110200102','经腹腔镜肾盂癌根治术',null,null,4755,4320,3670,null,3800,3420,2950,'次',27,1,'normal','main',0),</v>
      </c>
    </row>
    <row r="192" spans="1:23">
      <c r="A192">
        <v>3284</v>
      </c>
      <c r="B192" t="s">
        <v>2108</v>
      </c>
      <c r="C192">
        <v>1</v>
      </c>
      <c r="D192" s="21" t="s">
        <v>2109</v>
      </c>
      <c r="E192" t="s">
        <v>839</v>
      </c>
      <c r="F192" t="s">
        <v>839</v>
      </c>
      <c r="G192" t="s">
        <v>840</v>
      </c>
      <c r="H192" t="s">
        <v>2108</v>
      </c>
      <c r="I192" t="s">
        <v>2108</v>
      </c>
      <c r="J192">
        <v>3950</v>
      </c>
      <c r="K192">
        <v>3560</v>
      </c>
      <c r="L192">
        <v>3025</v>
      </c>
      <c r="M192" t="s">
        <v>2108</v>
      </c>
      <c r="N192">
        <v>4940</v>
      </c>
      <c r="O192">
        <v>4445</v>
      </c>
      <c r="P192">
        <v>3835</v>
      </c>
      <c r="Q192" t="s">
        <v>40</v>
      </c>
      <c r="R192">
        <v>27</v>
      </c>
      <c r="S192">
        <v>1</v>
      </c>
      <c r="T192" t="s">
        <v>2110</v>
      </c>
      <c r="U192" t="s">
        <v>2111</v>
      </c>
      <c r="V192">
        <v>0</v>
      </c>
      <c r="W192" s="26" t="str">
        <f t="shared" si="2"/>
        <v>(3284,null,1,'2026-04-28 00:00:00','003311010110000-33110101101','003311010110000-33110101101','小儿重复肾重复输尿管切除术',null,null,3950,3560,3025,null,4940,4445,3835,'次',27,1,'normal','main',0),</v>
      </c>
    </row>
    <row r="193" spans="1:23">
      <c r="A193">
        <v>3285</v>
      </c>
      <c r="B193" t="s">
        <v>2108</v>
      </c>
      <c r="C193">
        <v>1</v>
      </c>
      <c r="D193" s="21" t="s">
        <v>2109</v>
      </c>
      <c r="E193" t="s">
        <v>841</v>
      </c>
      <c r="F193" t="s">
        <v>841</v>
      </c>
      <c r="G193" t="s">
        <v>842</v>
      </c>
      <c r="H193" t="s">
        <v>2108</v>
      </c>
      <c r="I193" t="s">
        <v>2108</v>
      </c>
      <c r="J193">
        <v>4575</v>
      </c>
      <c r="K193">
        <v>4160</v>
      </c>
      <c r="L193">
        <v>3535</v>
      </c>
      <c r="M193" t="s">
        <v>2108</v>
      </c>
      <c r="N193">
        <v>4940</v>
      </c>
      <c r="O193">
        <v>4445</v>
      </c>
      <c r="P193">
        <v>3835</v>
      </c>
      <c r="Q193" t="s">
        <v>40</v>
      </c>
      <c r="R193">
        <v>27</v>
      </c>
      <c r="S193">
        <v>1</v>
      </c>
      <c r="T193" t="s">
        <v>2110</v>
      </c>
      <c r="U193" t="s">
        <v>2111</v>
      </c>
      <c r="V193">
        <v>0</v>
      </c>
      <c r="W193" s="26" t="str">
        <f t="shared" si="2"/>
        <v>(3285,null,1,'2026-04-28 00:00:00','003311010110000-33110101103','003311010110000-33110101103','小儿经腹腔镜重复肾重复输尿管切除术',null,null,4575,4160,3535,null,4940,4445,3835,'次',27,1,'normal','main',0),</v>
      </c>
    </row>
    <row r="194" spans="1:23">
      <c r="A194">
        <v>3286</v>
      </c>
      <c r="B194" t="s">
        <v>2108</v>
      </c>
      <c r="C194">
        <v>1</v>
      </c>
      <c r="D194" s="21" t="s">
        <v>2109</v>
      </c>
      <c r="E194" t="s">
        <v>843</v>
      </c>
      <c r="F194" t="s">
        <v>843</v>
      </c>
      <c r="G194" t="s">
        <v>844</v>
      </c>
      <c r="H194" t="s">
        <v>2108</v>
      </c>
      <c r="I194" t="s">
        <v>2108</v>
      </c>
      <c r="J194">
        <v>5370</v>
      </c>
      <c r="K194">
        <v>4835</v>
      </c>
      <c r="L194">
        <v>4110</v>
      </c>
      <c r="M194" t="s">
        <v>2108</v>
      </c>
      <c r="N194">
        <v>4940</v>
      </c>
      <c r="O194">
        <v>4445</v>
      </c>
      <c r="P194">
        <v>3835</v>
      </c>
      <c r="Q194" t="s">
        <v>40</v>
      </c>
      <c r="R194">
        <v>27</v>
      </c>
      <c r="S194">
        <v>1</v>
      </c>
      <c r="T194" t="s">
        <v>2110</v>
      </c>
      <c r="U194" t="s">
        <v>2111</v>
      </c>
      <c r="V194">
        <v>0</v>
      </c>
      <c r="W194" s="26" t="str">
        <f t="shared" si="2"/>
        <v>(3286,null,1,'2026-04-28 00:00:00','003311020010000-33110200101','003311020010000-33110200101','小儿肾盂癌根治术',null,null,5370,4835,4110,null,4940,4445,3835,'次',27,1,'normal','main',0),</v>
      </c>
    </row>
    <row r="195" spans="1:23">
      <c r="A195">
        <v>3287</v>
      </c>
      <c r="B195" t="s">
        <v>2108</v>
      </c>
      <c r="C195">
        <v>1</v>
      </c>
      <c r="D195" s="21" t="s">
        <v>2109</v>
      </c>
      <c r="E195" t="s">
        <v>845</v>
      </c>
      <c r="F195" t="s">
        <v>845</v>
      </c>
      <c r="G195" t="s">
        <v>846</v>
      </c>
      <c r="H195" t="s">
        <v>2108</v>
      </c>
      <c r="I195" t="s">
        <v>2108</v>
      </c>
      <c r="J195">
        <v>5995</v>
      </c>
      <c r="K195">
        <v>5435</v>
      </c>
      <c r="L195">
        <v>4620</v>
      </c>
      <c r="M195" t="s">
        <v>2108</v>
      </c>
      <c r="N195">
        <v>4940</v>
      </c>
      <c r="O195">
        <v>4445</v>
      </c>
      <c r="P195">
        <v>3835</v>
      </c>
      <c r="Q195" t="s">
        <v>40</v>
      </c>
      <c r="R195">
        <v>27</v>
      </c>
      <c r="S195">
        <v>1</v>
      </c>
      <c r="T195" t="s">
        <v>2110</v>
      </c>
      <c r="U195" t="s">
        <v>2111</v>
      </c>
      <c r="V195">
        <v>0</v>
      </c>
      <c r="W195" s="26" t="str">
        <f t="shared" ref="W195:W258" si="3">"("&amp;A195&amp;","&amp;B195&amp;","&amp;C195&amp;",'"&amp;D195&amp;"','"&amp;E195&amp;"','"&amp;F195&amp;"','"&amp;G195&amp;"',"&amp;H195&amp;","&amp;I195&amp;","&amp;J195&amp;","&amp;K195&amp;","&amp;L195&amp;","&amp;M195&amp;","&amp;N195&amp;","&amp;O195&amp;","&amp;P195&amp;",'"&amp;Q195&amp;"',"&amp;R195&amp;","&amp;S195&amp;",'"&amp;T195&amp;"','"&amp;U195&amp;"',"&amp;V195&amp;"),"</f>
        <v>(3287,null,1,'2026-04-28 00:00:00','003311020010001-33110200103','003311020010001-33110200103','小儿经腹腔镜肾盂癌根治术',null,null,5995,5435,4620,null,4940,4445,3835,'次',27,1,'normal','main',0),</v>
      </c>
    </row>
    <row r="196" spans="1:23">
      <c r="A196">
        <v>3288</v>
      </c>
      <c r="B196" t="s">
        <v>2108</v>
      </c>
      <c r="C196">
        <v>1</v>
      </c>
      <c r="D196" s="21" t="s">
        <v>2109</v>
      </c>
      <c r="E196" t="s">
        <v>853</v>
      </c>
      <c r="F196" t="s">
        <v>853</v>
      </c>
      <c r="G196" t="s">
        <v>854</v>
      </c>
      <c r="H196" t="s">
        <v>2108</v>
      </c>
      <c r="I196" t="s">
        <v>2108</v>
      </c>
      <c r="J196">
        <v>275</v>
      </c>
      <c r="K196">
        <v>250</v>
      </c>
      <c r="L196">
        <v>212.5</v>
      </c>
      <c r="M196" t="s">
        <v>2108</v>
      </c>
      <c r="N196">
        <v>330</v>
      </c>
      <c r="O196">
        <v>300</v>
      </c>
      <c r="P196">
        <v>255</v>
      </c>
      <c r="Q196" t="s">
        <v>40</v>
      </c>
      <c r="R196">
        <v>27</v>
      </c>
      <c r="S196">
        <v>1</v>
      </c>
      <c r="T196" t="s">
        <v>2110</v>
      </c>
      <c r="U196" t="s">
        <v>2111</v>
      </c>
      <c r="V196">
        <v>0</v>
      </c>
      <c r="W196" s="26" t="str">
        <f t="shared" si="3"/>
        <v>(3288,null,1,'2026-04-28 00:00:00','003110000270000-311000027','003110000270000-311000027','经膀胱镜输尿管支架置入术',null,null,275,250,212.5,null,330,300,255,'次',27,1,'normal','main',0),</v>
      </c>
    </row>
    <row r="197" spans="1:23">
      <c r="A197">
        <v>3289</v>
      </c>
      <c r="B197" t="s">
        <v>2108</v>
      </c>
      <c r="C197">
        <v>1</v>
      </c>
      <c r="D197" s="21" t="s">
        <v>2109</v>
      </c>
      <c r="E197" t="s">
        <v>857</v>
      </c>
      <c r="F197" t="s">
        <v>857</v>
      </c>
      <c r="G197" t="s">
        <v>858</v>
      </c>
      <c r="H197" t="s">
        <v>2108</v>
      </c>
      <c r="I197" t="s">
        <v>2108</v>
      </c>
      <c r="J197">
        <v>11</v>
      </c>
      <c r="K197">
        <v>10</v>
      </c>
      <c r="L197">
        <v>8.5</v>
      </c>
      <c r="M197" t="s">
        <v>2108</v>
      </c>
      <c r="N197">
        <v>0</v>
      </c>
      <c r="O197">
        <v>0</v>
      </c>
      <c r="P197">
        <v>0</v>
      </c>
      <c r="Q197" t="s">
        <v>40</v>
      </c>
      <c r="R197">
        <v>27</v>
      </c>
      <c r="S197">
        <v>1</v>
      </c>
      <c r="T197" t="s">
        <v>2110</v>
      </c>
      <c r="U197" t="s">
        <v>2111</v>
      </c>
      <c r="V197">
        <v>0</v>
      </c>
      <c r="W197" s="26" t="str">
        <f t="shared" si="3"/>
        <v>(3289,null,1,'2026-04-28 00:00:00','003110000290000-311000029','003110000290000-311000029','输尿管支架管冲洗',null,null,11,10,8.5,null,0,0,0,'次',27,1,'normal','main',0),</v>
      </c>
    </row>
    <row r="198" spans="1:23">
      <c r="A198">
        <v>3290</v>
      </c>
      <c r="B198" t="s">
        <v>2108</v>
      </c>
      <c r="C198">
        <v>1</v>
      </c>
      <c r="D198" s="21" t="s">
        <v>2109</v>
      </c>
      <c r="E198" t="s">
        <v>859</v>
      </c>
      <c r="F198" t="s">
        <v>859</v>
      </c>
      <c r="G198" t="s">
        <v>860</v>
      </c>
      <c r="H198" t="s">
        <v>2108</v>
      </c>
      <c r="I198" t="s">
        <v>2108</v>
      </c>
      <c r="J198">
        <v>220</v>
      </c>
      <c r="K198">
        <v>200</v>
      </c>
      <c r="L198">
        <v>170</v>
      </c>
      <c r="M198" t="s">
        <v>2108</v>
      </c>
      <c r="N198">
        <v>330</v>
      </c>
      <c r="O198">
        <v>300</v>
      </c>
      <c r="P198">
        <v>255</v>
      </c>
      <c r="Q198" t="s">
        <v>48</v>
      </c>
      <c r="R198">
        <v>27</v>
      </c>
      <c r="S198">
        <v>1</v>
      </c>
      <c r="T198" t="s">
        <v>2110</v>
      </c>
      <c r="U198" t="s">
        <v>2111</v>
      </c>
      <c r="V198">
        <v>0</v>
      </c>
      <c r="W198" s="26" t="str">
        <f t="shared" si="3"/>
        <v>(3290,null,1,'2026-04-28 00:00:00','003110000210000-311000021','003110000210000-311000021','经膀胱镜输尿管插管术',null,null,220,200,170,null,330,300,255,'单侧',27,1,'normal','main',0),</v>
      </c>
    </row>
    <row r="199" spans="1:23">
      <c r="A199">
        <v>3291</v>
      </c>
      <c r="B199" t="s">
        <v>2108</v>
      </c>
      <c r="C199">
        <v>1</v>
      </c>
      <c r="D199" s="21" t="s">
        <v>2109</v>
      </c>
      <c r="E199" t="s">
        <v>861</v>
      </c>
      <c r="F199" t="s">
        <v>861</v>
      </c>
      <c r="G199" t="s">
        <v>862</v>
      </c>
      <c r="H199" t="s">
        <v>2108</v>
      </c>
      <c r="I199" t="s">
        <v>2108</v>
      </c>
      <c r="J199">
        <v>220</v>
      </c>
      <c r="K199">
        <v>200</v>
      </c>
      <c r="L199">
        <v>170</v>
      </c>
      <c r="M199" t="s">
        <v>2108</v>
      </c>
      <c r="N199">
        <v>330</v>
      </c>
      <c r="O199">
        <v>300</v>
      </c>
      <c r="P199">
        <v>255</v>
      </c>
      <c r="Q199" t="s">
        <v>40</v>
      </c>
      <c r="R199">
        <v>27</v>
      </c>
      <c r="S199">
        <v>1</v>
      </c>
      <c r="T199" t="s">
        <v>2110</v>
      </c>
      <c r="U199" t="s">
        <v>2111</v>
      </c>
      <c r="V199">
        <v>0</v>
      </c>
      <c r="W199" s="26" t="str">
        <f t="shared" si="3"/>
        <v>(3291,null,1,'2026-04-28 00:00:00','003110000280000-311000028','003110000280000-311000028','经输尿管镜支架置入术',null,null,220,200,170,null,330,300,255,'次',27,1,'normal','main',0),</v>
      </c>
    </row>
    <row r="200" spans="1:23">
      <c r="A200">
        <v>3292</v>
      </c>
      <c r="B200" t="s">
        <v>2108</v>
      </c>
      <c r="C200">
        <v>1</v>
      </c>
      <c r="D200" s="21" t="s">
        <v>2109</v>
      </c>
      <c r="E200" t="s">
        <v>869</v>
      </c>
      <c r="F200" t="s">
        <v>869</v>
      </c>
      <c r="G200" t="s">
        <v>870</v>
      </c>
      <c r="H200" t="s">
        <v>2108</v>
      </c>
      <c r="I200" t="s">
        <v>2108</v>
      </c>
      <c r="J200">
        <v>220</v>
      </c>
      <c r="K200">
        <v>200</v>
      </c>
      <c r="L200">
        <v>170</v>
      </c>
      <c r="M200" t="s">
        <v>2108</v>
      </c>
      <c r="N200">
        <v>320</v>
      </c>
      <c r="O200">
        <v>290</v>
      </c>
      <c r="P200">
        <v>245</v>
      </c>
      <c r="Q200" t="s">
        <v>40</v>
      </c>
      <c r="R200">
        <v>27</v>
      </c>
      <c r="S200">
        <v>1</v>
      </c>
      <c r="T200" t="s">
        <v>2110</v>
      </c>
      <c r="U200" t="s">
        <v>2111</v>
      </c>
      <c r="V200">
        <v>0</v>
      </c>
      <c r="W200" s="26" t="str">
        <f t="shared" si="3"/>
        <v>(3292,null,1,'2026-04-28 00:00:00','003110000280100-31100002801','003110000280100-31100002801','经输尿管镜支架取出术',null,null,220,200,170,null,320,290,245,'次',27,1,'normal','main',0),</v>
      </c>
    </row>
    <row r="201" spans="1:23">
      <c r="A201">
        <v>3293</v>
      </c>
      <c r="B201" t="s">
        <v>2108</v>
      </c>
      <c r="C201">
        <v>1</v>
      </c>
      <c r="D201" s="21" t="s">
        <v>2109</v>
      </c>
      <c r="E201" t="s">
        <v>872</v>
      </c>
      <c r="F201" t="s">
        <v>872</v>
      </c>
      <c r="G201" t="s">
        <v>873</v>
      </c>
      <c r="H201" t="s">
        <v>2108</v>
      </c>
      <c r="I201" t="s">
        <v>2108</v>
      </c>
      <c r="J201">
        <v>275</v>
      </c>
      <c r="K201">
        <v>250</v>
      </c>
      <c r="L201">
        <v>212.5</v>
      </c>
      <c r="M201" t="s">
        <v>2108</v>
      </c>
      <c r="N201">
        <v>320</v>
      </c>
      <c r="O201">
        <v>290</v>
      </c>
      <c r="P201">
        <v>245</v>
      </c>
      <c r="Q201" t="s">
        <v>40</v>
      </c>
      <c r="R201">
        <v>27</v>
      </c>
      <c r="S201">
        <v>1</v>
      </c>
      <c r="T201" t="s">
        <v>2110</v>
      </c>
      <c r="U201" t="s">
        <v>2111</v>
      </c>
      <c r="V201">
        <v>0</v>
      </c>
      <c r="W201" s="26" t="str">
        <f t="shared" si="3"/>
        <v>(3293,null,1,'2026-04-28 00:00:00','003110000270100-31100002701','003110000270100-31100002701','经膀胱镜输尿管支架取出术',null,null,275,250,212.5,null,320,290,245,'次',27,1,'normal','main',0),</v>
      </c>
    </row>
    <row r="202" spans="1:23">
      <c r="A202">
        <v>3294</v>
      </c>
      <c r="B202" t="s">
        <v>2108</v>
      </c>
      <c r="C202">
        <v>1</v>
      </c>
      <c r="D202" s="21" t="s">
        <v>2109</v>
      </c>
      <c r="E202" t="s">
        <v>881</v>
      </c>
      <c r="F202" t="s">
        <v>881</v>
      </c>
      <c r="G202" t="s">
        <v>882</v>
      </c>
      <c r="H202" t="s">
        <v>2108</v>
      </c>
      <c r="I202" t="s">
        <v>2108</v>
      </c>
      <c r="J202">
        <v>1500</v>
      </c>
      <c r="K202">
        <v>1440</v>
      </c>
      <c r="L202">
        <v>1224</v>
      </c>
      <c r="M202" t="s">
        <v>2108</v>
      </c>
      <c r="N202">
        <v>1070</v>
      </c>
      <c r="O202">
        <v>970</v>
      </c>
      <c r="P202">
        <v>820</v>
      </c>
      <c r="Q202" t="s">
        <v>40</v>
      </c>
      <c r="R202">
        <v>27</v>
      </c>
      <c r="S202">
        <v>1</v>
      </c>
      <c r="T202" t="s">
        <v>2110</v>
      </c>
      <c r="U202" t="s">
        <v>2111</v>
      </c>
      <c r="V202">
        <v>0</v>
      </c>
      <c r="W202" s="26" t="str">
        <f t="shared" si="3"/>
        <v>(3294,null,1,'2026-04-28 00:00:00','003311030220000-331103022','003311030220000-331103022','膀胱颈悬吊术',null,null,1500,1440,1224,null,1070,970,820,'次',27,1,'normal','main',0),</v>
      </c>
    </row>
    <row r="203" spans="1:23">
      <c r="A203">
        <v>3295</v>
      </c>
      <c r="B203" t="s">
        <v>2108</v>
      </c>
      <c r="C203">
        <v>1</v>
      </c>
      <c r="D203" s="21" t="s">
        <v>2109</v>
      </c>
      <c r="E203" t="s">
        <v>884</v>
      </c>
      <c r="F203" t="s">
        <v>884</v>
      </c>
      <c r="G203" t="s">
        <v>885</v>
      </c>
      <c r="H203" t="s">
        <v>2108</v>
      </c>
      <c r="I203" t="s">
        <v>2108</v>
      </c>
      <c r="J203">
        <v>2125</v>
      </c>
      <c r="K203">
        <v>2040</v>
      </c>
      <c r="L203">
        <v>1734</v>
      </c>
      <c r="M203" t="s">
        <v>2108</v>
      </c>
      <c r="N203">
        <v>1070</v>
      </c>
      <c r="O203">
        <v>970</v>
      </c>
      <c r="P203">
        <v>820</v>
      </c>
      <c r="Q203" t="s">
        <v>40</v>
      </c>
      <c r="R203">
        <v>27</v>
      </c>
      <c r="S203">
        <v>1</v>
      </c>
      <c r="T203" t="s">
        <v>2110</v>
      </c>
      <c r="U203" t="s">
        <v>2111</v>
      </c>
      <c r="V203">
        <v>0</v>
      </c>
      <c r="W203" s="26" t="str">
        <f t="shared" si="3"/>
        <v>(3295,null,1,'2026-04-28 00:00:00','003311030220001-33110302202','003311030220001-33110302202','经腹腔镜膀胱颈悬吊术',null,null,2125,2040,1734,null,1070,970,820,'次',27,1,'normal','main',0),</v>
      </c>
    </row>
    <row r="204" spans="1:23">
      <c r="A204">
        <v>3296</v>
      </c>
      <c r="B204" t="s">
        <v>2108</v>
      </c>
      <c r="C204">
        <v>1</v>
      </c>
      <c r="D204" s="21" t="s">
        <v>2109</v>
      </c>
      <c r="E204" t="s">
        <v>886</v>
      </c>
      <c r="F204" t="s">
        <v>886</v>
      </c>
      <c r="G204" t="s">
        <v>887</v>
      </c>
      <c r="H204" t="s">
        <v>2108</v>
      </c>
      <c r="I204" t="s">
        <v>2108</v>
      </c>
      <c r="J204">
        <v>750</v>
      </c>
      <c r="K204">
        <v>720</v>
      </c>
      <c r="L204">
        <v>612</v>
      </c>
      <c r="M204" t="s">
        <v>2108</v>
      </c>
      <c r="N204">
        <v>1070</v>
      </c>
      <c r="O204">
        <v>970</v>
      </c>
      <c r="P204">
        <v>820</v>
      </c>
      <c r="Q204" t="s">
        <v>40</v>
      </c>
      <c r="R204">
        <v>27</v>
      </c>
      <c r="S204">
        <v>1</v>
      </c>
      <c r="T204" t="s">
        <v>2110</v>
      </c>
      <c r="U204" t="s">
        <v>2111</v>
      </c>
      <c r="V204">
        <v>0</v>
      </c>
      <c r="W204" s="26" t="str">
        <f t="shared" si="3"/>
        <v>(3296,null,1,'2026-04-28 00:00:00','003311040220000-331104022','003311040220000-331104022','尿道悬吊延长术',null,null,750,720,612,null,1070,970,820,'次',27,1,'normal','main',0),</v>
      </c>
    </row>
    <row r="205" spans="1:23">
      <c r="A205">
        <v>3297</v>
      </c>
      <c r="B205" t="s">
        <v>2108</v>
      </c>
      <c r="C205">
        <v>1</v>
      </c>
      <c r="D205" s="21" t="s">
        <v>2109</v>
      </c>
      <c r="E205" t="s">
        <v>889</v>
      </c>
      <c r="F205" t="s">
        <v>889</v>
      </c>
      <c r="G205" t="s">
        <v>890</v>
      </c>
      <c r="H205" t="s">
        <v>2108</v>
      </c>
      <c r="I205" t="s">
        <v>2108</v>
      </c>
      <c r="J205">
        <v>0</v>
      </c>
      <c r="K205">
        <v>0</v>
      </c>
      <c r="L205">
        <v>0</v>
      </c>
      <c r="M205" t="s">
        <v>2108</v>
      </c>
      <c r="N205">
        <v>1070</v>
      </c>
      <c r="O205">
        <v>970</v>
      </c>
      <c r="P205">
        <v>820</v>
      </c>
      <c r="Q205" t="s">
        <v>40</v>
      </c>
      <c r="R205">
        <v>27</v>
      </c>
      <c r="S205">
        <v>1</v>
      </c>
      <c r="T205" t="s">
        <v>2110</v>
      </c>
      <c r="U205" t="s">
        <v>2111</v>
      </c>
      <c r="V205">
        <v>0</v>
      </c>
      <c r="W205" s="26" t="str">
        <f t="shared" si="3"/>
        <v>(3297,null,1,'2026-04-28 00:00:00','003311030230000-331103023','003311030230000-331103023','神经性膀胱腹直肌移位术',null,null,0,0,0,null,1070,970,820,'次',27,1,'normal','main',0),</v>
      </c>
    </row>
    <row r="206" spans="1:23">
      <c r="A206">
        <v>3298</v>
      </c>
      <c r="B206" t="s">
        <v>2108</v>
      </c>
      <c r="C206">
        <v>1</v>
      </c>
      <c r="D206" s="21" t="s">
        <v>2109</v>
      </c>
      <c r="E206" t="s">
        <v>893</v>
      </c>
      <c r="F206" t="s">
        <v>893</v>
      </c>
      <c r="G206" t="s">
        <v>894</v>
      </c>
      <c r="H206" t="s">
        <v>2108</v>
      </c>
      <c r="I206" t="s">
        <v>2108</v>
      </c>
      <c r="J206">
        <v>1950</v>
      </c>
      <c r="K206">
        <v>1870</v>
      </c>
      <c r="L206">
        <v>1590</v>
      </c>
      <c r="M206" t="s">
        <v>2108</v>
      </c>
      <c r="N206">
        <v>1390</v>
      </c>
      <c r="O206">
        <v>1260</v>
      </c>
      <c r="P206">
        <v>1065</v>
      </c>
      <c r="Q206" t="s">
        <v>40</v>
      </c>
      <c r="R206">
        <v>27</v>
      </c>
      <c r="S206">
        <v>1</v>
      </c>
      <c r="T206" t="s">
        <v>2110</v>
      </c>
      <c r="U206" t="s">
        <v>2111</v>
      </c>
      <c r="V206">
        <v>0</v>
      </c>
      <c r="W206" s="26" t="str">
        <f t="shared" si="3"/>
        <v>(3298,null,1,'2026-04-28 00:00:00','003311030220000-33110302201','003311030220000-33110302201','小儿膀胱颈悬吊术',null,null,1950,1870,1590,null,1390,1260,1065,'次',27,1,'normal','main',0),</v>
      </c>
    </row>
    <row r="207" spans="1:23">
      <c r="A207">
        <v>3299</v>
      </c>
      <c r="B207" t="s">
        <v>2108</v>
      </c>
      <c r="C207">
        <v>1</v>
      </c>
      <c r="D207" s="21" t="s">
        <v>2109</v>
      </c>
      <c r="E207" t="s">
        <v>895</v>
      </c>
      <c r="F207" t="s">
        <v>895</v>
      </c>
      <c r="G207" t="s">
        <v>896</v>
      </c>
      <c r="H207" t="s">
        <v>2108</v>
      </c>
      <c r="I207" t="s">
        <v>2108</v>
      </c>
      <c r="J207">
        <v>2575</v>
      </c>
      <c r="K207">
        <v>2470</v>
      </c>
      <c r="L207">
        <v>2100</v>
      </c>
      <c r="M207" t="s">
        <v>2108</v>
      </c>
      <c r="N207">
        <v>1390</v>
      </c>
      <c r="O207">
        <v>1260</v>
      </c>
      <c r="P207">
        <v>1065</v>
      </c>
      <c r="Q207" t="s">
        <v>40</v>
      </c>
      <c r="R207">
        <v>27</v>
      </c>
      <c r="S207">
        <v>1</v>
      </c>
      <c r="T207" t="s">
        <v>2110</v>
      </c>
      <c r="U207" t="s">
        <v>2111</v>
      </c>
      <c r="V207">
        <v>0</v>
      </c>
      <c r="W207" s="26" t="str">
        <f t="shared" si="3"/>
        <v>(3299,null,1,'2026-04-28 00:00:00','003311030220001-33110302203','003311030220001-33110302203','小儿经腹腔镜膀胱颈悬吊术',null,null,2575,2470,2100,null,1390,1260,1065,'次',27,1,'normal','main',0),</v>
      </c>
    </row>
    <row r="208" spans="1:23">
      <c r="A208">
        <v>3300</v>
      </c>
      <c r="B208" t="s">
        <v>2108</v>
      </c>
      <c r="C208">
        <v>1</v>
      </c>
      <c r="D208" s="21" t="s">
        <v>2109</v>
      </c>
      <c r="E208" t="s">
        <v>897</v>
      </c>
      <c r="F208" t="s">
        <v>897</v>
      </c>
      <c r="G208" t="s">
        <v>898</v>
      </c>
      <c r="H208" t="s">
        <v>2108</v>
      </c>
      <c r="I208" t="s">
        <v>2108</v>
      </c>
      <c r="J208">
        <v>975</v>
      </c>
      <c r="K208">
        <v>935</v>
      </c>
      <c r="L208">
        <v>795</v>
      </c>
      <c r="M208" t="s">
        <v>2108</v>
      </c>
      <c r="N208">
        <v>1390</v>
      </c>
      <c r="O208">
        <v>1260</v>
      </c>
      <c r="P208">
        <v>1065</v>
      </c>
      <c r="Q208" t="s">
        <v>40</v>
      </c>
      <c r="R208">
        <v>27</v>
      </c>
      <c r="S208">
        <v>1</v>
      </c>
      <c r="T208" t="s">
        <v>2110</v>
      </c>
      <c r="U208" t="s">
        <v>2111</v>
      </c>
      <c r="V208">
        <v>0</v>
      </c>
      <c r="W208" s="26" t="str">
        <f t="shared" si="3"/>
        <v>(3300,null,1,'2026-04-28 00:00:00','003311040220000-33110402201','003311040220000-33110402201','小儿尿道悬吊延长术',null,null,975,935,795,null,1390,1260,1065,'次',27,1,'normal','main',0),</v>
      </c>
    </row>
    <row r="209" spans="1:23">
      <c r="A209">
        <v>3301</v>
      </c>
      <c r="B209" t="s">
        <v>2108</v>
      </c>
      <c r="C209">
        <v>1</v>
      </c>
      <c r="D209" s="21" t="s">
        <v>2109</v>
      </c>
      <c r="E209" t="s">
        <v>899</v>
      </c>
      <c r="F209" t="s">
        <v>899</v>
      </c>
      <c r="G209" t="s">
        <v>900</v>
      </c>
      <c r="H209" t="s">
        <v>2108</v>
      </c>
      <c r="I209" t="s">
        <v>2108</v>
      </c>
      <c r="J209">
        <v>0</v>
      </c>
      <c r="K209">
        <v>0</v>
      </c>
      <c r="L209">
        <v>0</v>
      </c>
      <c r="M209" t="s">
        <v>2108</v>
      </c>
      <c r="N209">
        <v>1390</v>
      </c>
      <c r="O209">
        <v>1260</v>
      </c>
      <c r="P209">
        <v>1065</v>
      </c>
      <c r="Q209" t="s">
        <v>40</v>
      </c>
      <c r="R209">
        <v>27</v>
      </c>
      <c r="S209">
        <v>1</v>
      </c>
      <c r="T209" t="s">
        <v>2110</v>
      </c>
      <c r="U209" t="s">
        <v>2111</v>
      </c>
      <c r="V209">
        <v>0</v>
      </c>
      <c r="W209" s="26" t="str">
        <f t="shared" si="3"/>
        <v>(3301,null,1,'2026-04-28 00:00:00','003311030230000-33110302301','003311030230000-33110302301','小儿神经性膀胱腹直肌移位术',null,null,0,0,0,null,1390,1260,1065,'次',27,1,'normal','main',0),</v>
      </c>
    </row>
    <row r="210" spans="1:23">
      <c r="A210">
        <v>3302</v>
      </c>
      <c r="B210" t="s">
        <v>2108</v>
      </c>
      <c r="C210">
        <v>1</v>
      </c>
      <c r="D210" s="21" t="s">
        <v>2109</v>
      </c>
      <c r="E210" t="s">
        <v>905</v>
      </c>
      <c r="F210" t="s">
        <v>905</v>
      </c>
      <c r="G210" t="s">
        <v>906</v>
      </c>
      <c r="H210" t="s">
        <v>2108</v>
      </c>
      <c r="I210" t="s">
        <v>2108</v>
      </c>
      <c r="J210">
        <v>22</v>
      </c>
      <c r="K210">
        <v>20</v>
      </c>
      <c r="L210">
        <v>17</v>
      </c>
      <c r="M210" t="s">
        <v>2108</v>
      </c>
      <c r="N210">
        <v>22</v>
      </c>
      <c r="O210">
        <v>20</v>
      </c>
      <c r="P210">
        <v>17</v>
      </c>
      <c r="Q210" t="s">
        <v>40</v>
      </c>
      <c r="R210">
        <v>27</v>
      </c>
      <c r="S210">
        <v>1</v>
      </c>
      <c r="T210" t="s">
        <v>2110</v>
      </c>
      <c r="U210" t="s">
        <v>2111</v>
      </c>
      <c r="V210">
        <v>0</v>
      </c>
      <c r="W210" s="26" t="str">
        <f t="shared" si="3"/>
        <v>(3302,null,1,'2026-04-28 00:00:00','003110000310000-311000031','003110000310000-311000031','膀胱灌注',null,null,22,20,17,null,22,20,17,'次',27,1,'normal','main',0),</v>
      </c>
    </row>
    <row r="211" spans="1:23">
      <c r="A211">
        <v>3303</v>
      </c>
      <c r="B211" t="s">
        <v>2108</v>
      </c>
      <c r="C211">
        <v>1</v>
      </c>
      <c r="D211" s="21" t="s">
        <v>2109</v>
      </c>
      <c r="E211" t="s">
        <v>914</v>
      </c>
      <c r="F211" t="s">
        <v>914</v>
      </c>
      <c r="G211" t="s">
        <v>915</v>
      </c>
      <c r="H211" t="s">
        <v>2108</v>
      </c>
      <c r="I211" t="s">
        <v>2108</v>
      </c>
      <c r="J211">
        <v>1125</v>
      </c>
      <c r="K211">
        <v>1080</v>
      </c>
      <c r="L211">
        <v>918</v>
      </c>
      <c r="M211" t="s">
        <v>2108</v>
      </c>
      <c r="N211">
        <v>1270</v>
      </c>
      <c r="O211">
        <v>1200</v>
      </c>
      <c r="P211">
        <v>1020</v>
      </c>
      <c r="Q211" t="s">
        <v>40</v>
      </c>
      <c r="R211">
        <v>27</v>
      </c>
      <c r="S211">
        <v>1</v>
      </c>
      <c r="T211" t="s">
        <v>2110</v>
      </c>
      <c r="U211" t="s">
        <v>2111</v>
      </c>
      <c r="V211">
        <v>0</v>
      </c>
      <c r="W211" s="26" t="str">
        <f t="shared" si="3"/>
        <v>(3303,null,1,'2026-04-28 00:00:00','003311030160000-331103016','003311030160000-331103016','膀胱破裂修补术',null,null,1125,1080,918,null,1270,1200,1020,'次',27,1,'normal','main',0),</v>
      </c>
    </row>
    <row r="212" spans="1:23">
      <c r="A212">
        <v>3304</v>
      </c>
      <c r="B212" t="s">
        <v>2108</v>
      </c>
      <c r="C212">
        <v>1</v>
      </c>
      <c r="D212" s="21" t="s">
        <v>2109</v>
      </c>
      <c r="E212" t="s">
        <v>916</v>
      </c>
      <c r="F212" t="s">
        <v>916</v>
      </c>
      <c r="G212" t="s">
        <v>917</v>
      </c>
      <c r="H212" t="s">
        <v>2108</v>
      </c>
      <c r="I212" t="s">
        <v>2108</v>
      </c>
      <c r="J212">
        <v>1750</v>
      </c>
      <c r="K212">
        <v>1680</v>
      </c>
      <c r="L212">
        <v>1428</v>
      </c>
      <c r="M212" t="s">
        <v>2108</v>
      </c>
      <c r="N212">
        <v>1270</v>
      </c>
      <c r="O212">
        <v>1200</v>
      </c>
      <c r="P212">
        <v>1020</v>
      </c>
      <c r="Q212" t="s">
        <v>40</v>
      </c>
      <c r="R212">
        <v>27</v>
      </c>
      <c r="S212">
        <v>1</v>
      </c>
      <c r="T212" t="s">
        <v>2110</v>
      </c>
      <c r="U212" t="s">
        <v>2111</v>
      </c>
      <c r="V212">
        <v>0</v>
      </c>
      <c r="W212" s="26" t="str">
        <f t="shared" si="3"/>
        <v>(3304,null,1,'2026-04-28 00:00:00','003311030160001-33110301602','003311030160001-33110301602','经腹腔镜膀胱破裂修补术',null,null,1750,1680,1428,null,1270,1200,1020,'次',27,1,'normal','main',0),</v>
      </c>
    </row>
    <row r="213" spans="1:23">
      <c r="A213">
        <v>3305</v>
      </c>
      <c r="B213" t="s">
        <v>2108</v>
      </c>
      <c r="C213">
        <v>1</v>
      </c>
      <c r="D213" s="21" t="s">
        <v>2109</v>
      </c>
      <c r="E213" t="s">
        <v>918</v>
      </c>
      <c r="F213" t="s">
        <v>918</v>
      </c>
      <c r="G213" t="s">
        <v>919</v>
      </c>
      <c r="H213" t="s">
        <v>2108</v>
      </c>
      <c r="I213" t="s">
        <v>2108</v>
      </c>
      <c r="J213">
        <v>1250</v>
      </c>
      <c r="K213">
        <v>1200</v>
      </c>
      <c r="L213">
        <v>1020</v>
      </c>
      <c r="M213" t="s">
        <v>2108</v>
      </c>
      <c r="N213">
        <v>1270</v>
      </c>
      <c r="O213">
        <v>1200</v>
      </c>
      <c r="P213">
        <v>1020</v>
      </c>
      <c r="Q213" t="s">
        <v>40</v>
      </c>
      <c r="R213">
        <v>27</v>
      </c>
      <c r="S213">
        <v>1</v>
      </c>
      <c r="T213" t="s">
        <v>2110</v>
      </c>
      <c r="U213" t="s">
        <v>2111</v>
      </c>
      <c r="V213">
        <v>0</v>
      </c>
      <c r="W213" s="26" t="str">
        <f t="shared" si="3"/>
        <v>(3305,null,1,'2026-04-28 00:00:00','003311030170000-331103017','003311030170000-331103017','膀胱膨出修补术',null,null,1250,1200,1020,null,1270,1200,1020,'次',27,1,'normal','main',0),</v>
      </c>
    </row>
    <row r="214" spans="1:23">
      <c r="A214">
        <v>3306</v>
      </c>
      <c r="B214" t="s">
        <v>2108</v>
      </c>
      <c r="C214">
        <v>1</v>
      </c>
      <c r="D214" s="21" t="s">
        <v>2109</v>
      </c>
      <c r="E214" t="s">
        <v>920</v>
      </c>
      <c r="F214" t="s">
        <v>920</v>
      </c>
      <c r="G214" t="s">
        <v>921</v>
      </c>
      <c r="H214" t="s">
        <v>2108</v>
      </c>
      <c r="I214" t="s">
        <v>2108</v>
      </c>
      <c r="J214">
        <v>1875</v>
      </c>
      <c r="K214">
        <v>1800</v>
      </c>
      <c r="L214">
        <v>1530</v>
      </c>
      <c r="M214" t="s">
        <v>2108</v>
      </c>
      <c r="N214">
        <v>1270</v>
      </c>
      <c r="O214">
        <v>1200</v>
      </c>
      <c r="P214">
        <v>1020</v>
      </c>
      <c r="Q214" t="s">
        <v>40</v>
      </c>
      <c r="R214">
        <v>27</v>
      </c>
      <c r="S214">
        <v>1</v>
      </c>
      <c r="T214" t="s">
        <v>2110</v>
      </c>
      <c r="U214" t="s">
        <v>2111</v>
      </c>
      <c r="V214">
        <v>0</v>
      </c>
      <c r="W214" s="26" t="str">
        <f t="shared" si="3"/>
        <v>(3306,null,1,'2026-04-28 00:00:00','003311030170000-33110301702','003311030170000-33110301702','经腹腔镜膀胱膨出修补术',null,null,1875,1800,1530,null,1270,1200,1020,'次',27,1,'normal','main',0),</v>
      </c>
    </row>
    <row r="215" spans="1:23">
      <c r="A215">
        <v>3307</v>
      </c>
      <c r="B215" t="s">
        <v>2108</v>
      </c>
      <c r="C215">
        <v>1</v>
      </c>
      <c r="D215" s="21" t="s">
        <v>2109</v>
      </c>
      <c r="E215" t="s">
        <v>922</v>
      </c>
      <c r="F215" t="s">
        <v>922</v>
      </c>
      <c r="G215" t="s">
        <v>923</v>
      </c>
      <c r="H215" t="s">
        <v>2108</v>
      </c>
      <c r="I215" t="s">
        <v>2108</v>
      </c>
      <c r="J215">
        <v>3040</v>
      </c>
      <c r="K215">
        <v>2740</v>
      </c>
      <c r="L215">
        <v>2330</v>
      </c>
      <c r="M215" t="s">
        <v>2108</v>
      </c>
      <c r="N215">
        <v>1270</v>
      </c>
      <c r="O215">
        <v>1200</v>
      </c>
      <c r="P215">
        <v>1020</v>
      </c>
      <c r="Q215" t="s">
        <v>40</v>
      </c>
      <c r="R215">
        <v>27</v>
      </c>
      <c r="S215">
        <v>1</v>
      </c>
      <c r="T215" t="s">
        <v>2110</v>
      </c>
      <c r="U215" t="s">
        <v>2111</v>
      </c>
      <c r="V215">
        <v>0</v>
      </c>
      <c r="W215" s="26" t="str">
        <f t="shared" si="3"/>
        <v>(3307,null,1,'2026-04-28 00:00:00','003311030180000-331103018','003311030180000-331103018','膀胱外翻成形术',null,null,3040,2740,2330,null,1270,1200,1020,'次',27,1,'normal','main',0),</v>
      </c>
    </row>
    <row r="216" spans="1:23">
      <c r="A216">
        <v>3308</v>
      </c>
      <c r="B216" t="s">
        <v>2108</v>
      </c>
      <c r="C216">
        <v>1</v>
      </c>
      <c r="D216" s="21" t="s">
        <v>2109</v>
      </c>
      <c r="E216" t="s">
        <v>925</v>
      </c>
      <c r="F216" t="s">
        <v>925</v>
      </c>
      <c r="G216" t="s">
        <v>926</v>
      </c>
      <c r="H216" t="s">
        <v>2108</v>
      </c>
      <c r="I216" t="s">
        <v>2108</v>
      </c>
      <c r="J216">
        <v>3665</v>
      </c>
      <c r="K216">
        <v>3340</v>
      </c>
      <c r="L216">
        <v>2840</v>
      </c>
      <c r="M216" t="s">
        <v>2108</v>
      </c>
      <c r="N216" s="24">
        <v>1270</v>
      </c>
      <c r="O216" s="24">
        <v>1200</v>
      </c>
      <c r="P216" s="24">
        <v>1020</v>
      </c>
      <c r="Q216" t="s">
        <v>40</v>
      </c>
      <c r="R216">
        <v>27</v>
      </c>
      <c r="S216">
        <v>1</v>
      </c>
      <c r="T216" t="s">
        <v>2110</v>
      </c>
      <c r="U216" t="s">
        <v>2111</v>
      </c>
      <c r="V216">
        <v>0</v>
      </c>
      <c r="W216" s="26" t="str">
        <f t="shared" si="3"/>
        <v>(3308,null,1,'2026-04-28 00:00:00','003311030180000-33110301802','003311030180000-33110301802','经腹腔镜膀胱外翻成形术',null,null,3665,3340,2840,null,1270,1200,1020,'次',27,1,'normal','main',0),</v>
      </c>
    </row>
    <row r="217" spans="1:23">
      <c r="A217">
        <v>3309</v>
      </c>
      <c r="B217" t="s">
        <v>2108</v>
      </c>
      <c r="C217">
        <v>1</v>
      </c>
      <c r="D217" s="21" t="s">
        <v>2109</v>
      </c>
      <c r="E217" t="s">
        <v>929</v>
      </c>
      <c r="F217" t="s">
        <v>929</v>
      </c>
      <c r="G217" t="s">
        <v>930</v>
      </c>
      <c r="H217" t="s">
        <v>2108</v>
      </c>
      <c r="I217" t="s">
        <v>2108</v>
      </c>
      <c r="J217">
        <v>1465</v>
      </c>
      <c r="K217">
        <v>1405</v>
      </c>
      <c r="L217">
        <v>1195</v>
      </c>
      <c r="M217" t="s">
        <v>2108</v>
      </c>
      <c r="N217" s="24">
        <v>1650</v>
      </c>
      <c r="O217" s="24">
        <v>1560</v>
      </c>
      <c r="P217" s="24">
        <v>1325</v>
      </c>
      <c r="Q217" t="s">
        <v>40</v>
      </c>
      <c r="R217">
        <v>27</v>
      </c>
      <c r="S217">
        <v>1</v>
      </c>
      <c r="T217" t="s">
        <v>2110</v>
      </c>
      <c r="U217" t="s">
        <v>2111</v>
      </c>
      <c r="V217">
        <v>0</v>
      </c>
      <c r="W217" s="26" t="str">
        <f t="shared" si="3"/>
        <v>(3309,null,1,'2026-04-28 00:00:00','003311030160000-33110301601','003311030160000-33110301601','小儿膀胱破裂修补术',null,null,1465,1405,1195,null,1650,1560,1325,'次',27,1,'normal','main',0),</v>
      </c>
    </row>
    <row r="218" spans="1:23">
      <c r="A218">
        <v>3310</v>
      </c>
      <c r="B218" t="s">
        <v>2108</v>
      </c>
      <c r="C218">
        <v>1</v>
      </c>
      <c r="D218" s="21" t="s">
        <v>2109</v>
      </c>
      <c r="E218" t="s">
        <v>931</v>
      </c>
      <c r="F218" t="s">
        <v>931</v>
      </c>
      <c r="G218" t="s">
        <v>932</v>
      </c>
      <c r="H218" t="s">
        <v>2108</v>
      </c>
      <c r="I218" t="s">
        <v>2108</v>
      </c>
      <c r="J218">
        <v>2090</v>
      </c>
      <c r="K218">
        <v>2005</v>
      </c>
      <c r="L218">
        <v>1705</v>
      </c>
      <c r="M218" t="s">
        <v>2108</v>
      </c>
      <c r="N218" s="24">
        <v>1650</v>
      </c>
      <c r="O218" s="24">
        <v>1560</v>
      </c>
      <c r="P218" s="24">
        <v>1325</v>
      </c>
      <c r="Q218" t="s">
        <v>40</v>
      </c>
      <c r="R218">
        <v>27</v>
      </c>
      <c r="S218">
        <v>1</v>
      </c>
      <c r="T218" t="s">
        <v>2110</v>
      </c>
      <c r="U218" t="s">
        <v>2111</v>
      </c>
      <c r="V218">
        <v>0</v>
      </c>
      <c r="W218" s="26" t="str">
        <f t="shared" si="3"/>
        <v>(3310,null,1,'2026-04-28 00:00:00','003311030160001-33110301603','003311030160001-33110301603','小儿经腹腔镜膀胱破裂修补术',null,null,2090,2005,1705,null,1650,1560,1325,'次',27,1,'normal','main',0),</v>
      </c>
    </row>
    <row r="219" spans="1:23">
      <c r="A219">
        <v>3311</v>
      </c>
      <c r="B219" t="s">
        <v>2108</v>
      </c>
      <c r="C219">
        <v>1</v>
      </c>
      <c r="D219" s="21" t="s">
        <v>2109</v>
      </c>
      <c r="E219" t="s">
        <v>933</v>
      </c>
      <c r="F219" t="s">
        <v>933</v>
      </c>
      <c r="G219" t="s">
        <v>934</v>
      </c>
      <c r="H219" t="s">
        <v>2108</v>
      </c>
      <c r="I219" t="s">
        <v>2108</v>
      </c>
      <c r="J219">
        <v>1625</v>
      </c>
      <c r="K219">
        <v>1560</v>
      </c>
      <c r="L219">
        <v>1325</v>
      </c>
      <c r="M219" t="s">
        <v>2108</v>
      </c>
      <c r="N219" s="24">
        <v>1650</v>
      </c>
      <c r="O219" s="24">
        <v>1560</v>
      </c>
      <c r="P219" s="24">
        <v>1325</v>
      </c>
      <c r="Q219" t="s">
        <v>40</v>
      </c>
      <c r="R219">
        <v>27</v>
      </c>
      <c r="S219">
        <v>1</v>
      </c>
      <c r="T219" t="s">
        <v>2110</v>
      </c>
      <c r="U219" t="s">
        <v>2111</v>
      </c>
      <c r="V219">
        <v>0</v>
      </c>
      <c r="W219" s="26" t="str">
        <f t="shared" si="3"/>
        <v>(3311,null,1,'2026-04-28 00:00:00','003311030170000-33110301701','003311030170000-33110301701','小儿膀胱膨出修补术',null,null,1625,1560,1325,null,1650,1560,1325,'次',27,1,'normal','main',0),</v>
      </c>
    </row>
    <row r="220" spans="1:23">
      <c r="A220">
        <v>3312</v>
      </c>
      <c r="B220" t="s">
        <v>2108</v>
      </c>
      <c r="C220">
        <v>1</v>
      </c>
      <c r="D220" s="21" t="s">
        <v>2109</v>
      </c>
      <c r="E220" t="s">
        <v>935</v>
      </c>
      <c r="F220" t="s">
        <v>935</v>
      </c>
      <c r="G220" t="s">
        <v>936</v>
      </c>
      <c r="H220" t="s">
        <v>2108</v>
      </c>
      <c r="I220" t="s">
        <v>2108</v>
      </c>
      <c r="J220">
        <v>2250</v>
      </c>
      <c r="K220">
        <v>2160</v>
      </c>
      <c r="L220">
        <v>1835</v>
      </c>
      <c r="M220" t="s">
        <v>2108</v>
      </c>
      <c r="N220" s="24">
        <v>1650</v>
      </c>
      <c r="O220" s="24">
        <v>1560</v>
      </c>
      <c r="P220" s="24">
        <v>1325</v>
      </c>
      <c r="Q220" t="s">
        <v>40</v>
      </c>
      <c r="R220">
        <v>27</v>
      </c>
      <c r="S220">
        <v>1</v>
      </c>
      <c r="T220" t="s">
        <v>2110</v>
      </c>
      <c r="U220" t="s">
        <v>2111</v>
      </c>
      <c r="V220">
        <v>0</v>
      </c>
      <c r="W220" s="26" t="str">
        <f t="shared" si="3"/>
        <v>(3312,null,1,'2026-04-28 00:00:00','003311030170000-33110301703','003311030170000-33110301703','小儿经腹腔镜膀胱膨出修补术',null,null,2250,2160,1835,null,1650,1560,1325,'次',27,1,'normal','main',0),</v>
      </c>
    </row>
    <row r="221" spans="1:23">
      <c r="A221">
        <v>3313</v>
      </c>
      <c r="B221" t="s">
        <v>2108</v>
      </c>
      <c r="C221">
        <v>1</v>
      </c>
      <c r="D221" s="21" t="s">
        <v>2109</v>
      </c>
      <c r="E221" t="s">
        <v>937</v>
      </c>
      <c r="F221" t="s">
        <v>937</v>
      </c>
      <c r="G221" t="s">
        <v>938</v>
      </c>
      <c r="H221" t="s">
        <v>2108</v>
      </c>
      <c r="I221" t="s">
        <v>2108</v>
      </c>
      <c r="J221">
        <v>3950</v>
      </c>
      <c r="K221">
        <v>3560</v>
      </c>
      <c r="L221">
        <v>3025</v>
      </c>
      <c r="M221" t="s">
        <v>2108</v>
      </c>
      <c r="N221" s="24">
        <v>1650</v>
      </c>
      <c r="O221" s="24">
        <v>1560</v>
      </c>
      <c r="P221" s="24">
        <v>1325</v>
      </c>
      <c r="Q221" t="s">
        <v>40</v>
      </c>
      <c r="R221">
        <v>27</v>
      </c>
      <c r="S221">
        <v>1</v>
      </c>
      <c r="T221" t="s">
        <v>2110</v>
      </c>
      <c r="U221" t="s">
        <v>2111</v>
      </c>
      <c r="V221">
        <v>0</v>
      </c>
      <c r="W221" s="26" t="str">
        <f t="shared" si="3"/>
        <v>(3313,null,1,'2026-04-28 00:00:00','003311030180000-33110301801','003311030180000-33110301801','小儿膀胱外翻成形术',null,null,3950,3560,3025,null,1650,1560,1325,'次',27,1,'normal','main',0),</v>
      </c>
    </row>
    <row r="222" spans="1:23">
      <c r="A222">
        <v>3314</v>
      </c>
      <c r="B222" t="s">
        <v>2108</v>
      </c>
      <c r="C222">
        <v>1</v>
      </c>
      <c r="D222" s="21" t="s">
        <v>2109</v>
      </c>
      <c r="E222" t="s">
        <v>939</v>
      </c>
      <c r="F222" t="s">
        <v>939</v>
      </c>
      <c r="G222" t="s">
        <v>940</v>
      </c>
      <c r="H222" t="s">
        <v>2108</v>
      </c>
      <c r="I222" t="s">
        <v>2108</v>
      </c>
      <c r="J222">
        <v>4575</v>
      </c>
      <c r="K222">
        <v>4160</v>
      </c>
      <c r="L222">
        <v>3535</v>
      </c>
      <c r="M222" t="s">
        <v>2108</v>
      </c>
      <c r="N222" s="24">
        <v>1650</v>
      </c>
      <c r="O222" s="24">
        <v>1560</v>
      </c>
      <c r="P222" s="24">
        <v>1325</v>
      </c>
      <c r="Q222" t="s">
        <v>40</v>
      </c>
      <c r="R222">
        <v>27</v>
      </c>
      <c r="S222">
        <v>1</v>
      </c>
      <c r="T222" t="s">
        <v>2110</v>
      </c>
      <c r="U222" t="s">
        <v>2111</v>
      </c>
      <c r="V222">
        <v>0</v>
      </c>
      <c r="W222" s="26" t="str">
        <f t="shared" si="3"/>
        <v>(3314,null,1,'2026-04-28 00:00:00','003311030180000-33110301803','003311030180000-33110301803','小儿经腹腔镜膀胱外翻成形术',null,null,4575,4160,3535,null,1650,1560,1325,'次',27,1,'normal','main',0),</v>
      </c>
    </row>
    <row r="223" spans="1:23">
      <c r="A223">
        <v>3315</v>
      </c>
      <c r="B223" t="s">
        <v>2108</v>
      </c>
      <c r="C223">
        <v>1</v>
      </c>
      <c r="D223" s="21" t="s">
        <v>2109</v>
      </c>
      <c r="E223" t="s">
        <v>946</v>
      </c>
      <c r="F223" t="s">
        <v>946</v>
      </c>
      <c r="G223" t="s">
        <v>947</v>
      </c>
      <c r="H223" t="s">
        <v>2108</v>
      </c>
      <c r="I223" t="s">
        <v>2108</v>
      </c>
      <c r="J223">
        <v>2190</v>
      </c>
      <c r="K223">
        <v>1970</v>
      </c>
      <c r="L223">
        <v>1670</v>
      </c>
      <c r="M223" t="s">
        <v>2108</v>
      </c>
      <c r="N223" s="24">
        <v>2000</v>
      </c>
      <c r="O223" s="24">
        <v>1800</v>
      </c>
      <c r="P223" s="24">
        <v>1530</v>
      </c>
      <c r="Q223" t="s">
        <v>40</v>
      </c>
      <c r="R223">
        <v>27</v>
      </c>
      <c r="S223">
        <v>1</v>
      </c>
      <c r="T223" t="s">
        <v>2110</v>
      </c>
      <c r="U223" t="s">
        <v>2111</v>
      </c>
      <c r="V223">
        <v>0</v>
      </c>
      <c r="W223" s="26" t="str">
        <f t="shared" si="3"/>
        <v>(3315,null,1,'2026-04-28 00:00:00','003311030210000-331103021','003311030210000-331103021','膀胱颈重建术',null,null,2190,1970,1670,null,2000,1800,1530,'次',27,1,'normal','main',0),</v>
      </c>
    </row>
    <row r="224" spans="1:23">
      <c r="A224">
        <v>3316</v>
      </c>
      <c r="B224" t="s">
        <v>2108</v>
      </c>
      <c r="C224">
        <v>1</v>
      </c>
      <c r="D224" s="21" t="s">
        <v>2109</v>
      </c>
      <c r="E224" t="s">
        <v>949</v>
      </c>
      <c r="F224" t="s">
        <v>949</v>
      </c>
      <c r="G224" t="s">
        <v>950</v>
      </c>
      <c r="H224" t="s">
        <v>2108</v>
      </c>
      <c r="I224" t="s">
        <v>2108</v>
      </c>
      <c r="J224">
        <v>2815</v>
      </c>
      <c r="K224">
        <v>2570</v>
      </c>
      <c r="L224">
        <v>2180</v>
      </c>
      <c r="M224" t="s">
        <v>2108</v>
      </c>
      <c r="N224">
        <v>2000</v>
      </c>
      <c r="O224">
        <v>1800</v>
      </c>
      <c r="P224">
        <v>1530</v>
      </c>
      <c r="Q224" t="s">
        <v>40</v>
      </c>
      <c r="R224">
        <v>27</v>
      </c>
      <c r="S224">
        <v>1</v>
      </c>
      <c r="T224" t="s">
        <v>2110</v>
      </c>
      <c r="U224" t="s">
        <v>2111</v>
      </c>
      <c r="V224">
        <v>0</v>
      </c>
      <c r="W224" s="26" t="str">
        <f t="shared" si="3"/>
        <v>(3316,null,1,'2026-04-28 00:00:00','003311030210000-33110302102','003311030210000-33110302102','经腹腔镜膀胱颈重建术',null,null,2815,2570,2180,null,2000,1800,1530,'次',27,1,'normal','main',0),</v>
      </c>
    </row>
    <row r="225" spans="1:23">
      <c r="A225">
        <v>3317</v>
      </c>
      <c r="B225" t="s">
        <v>2108</v>
      </c>
      <c r="C225">
        <v>1</v>
      </c>
      <c r="D225" s="21" t="s">
        <v>2109</v>
      </c>
      <c r="E225" t="s">
        <v>951</v>
      </c>
      <c r="F225" t="s">
        <v>951</v>
      </c>
      <c r="G225" t="s">
        <v>952</v>
      </c>
      <c r="H225" t="s">
        <v>2108</v>
      </c>
      <c r="I225" t="s">
        <v>2108</v>
      </c>
      <c r="J225">
        <v>1250</v>
      </c>
      <c r="K225">
        <v>1200</v>
      </c>
      <c r="L225">
        <v>1020</v>
      </c>
      <c r="M225" t="s">
        <v>2108</v>
      </c>
      <c r="N225">
        <v>2000</v>
      </c>
      <c r="O225">
        <v>1800</v>
      </c>
      <c r="P225">
        <v>1530</v>
      </c>
      <c r="Q225" t="s">
        <v>40</v>
      </c>
      <c r="R225">
        <v>27</v>
      </c>
      <c r="S225">
        <v>1</v>
      </c>
      <c r="T225" t="s">
        <v>2110</v>
      </c>
      <c r="U225" t="s">
        <v>2111</v>
      </c>
      <c r="V225">
        <v>0</v>
      </c>
      <c r="W225" s="26" t="str">
        <f t="shared" si="3"/>
        <v>(3317,null,1,'2026-04-28 00:00:00','003311030200000-331103020','003311030200000-331103020','膀胱颈部Y—V成形术',null,null,1250,1200,1020,null,2000,1800,1530,'次',27,1,'normal','main',0),</v>
      </c>
    </row>
    <row r="226" spans="1:23">
      <c r="A226">
        <v>3318</v>
      </c>
      <c r="B226" t="s">
        <v>2108</v>
      </c>
      <c r="C226">
        <v>1</v>
      </c>
      <c r="D226" s="21" t="s">
        <v>2109</v>
      </c>
      <c r="E226" t="s">
        <v>953</v>
      </c>
      <c r="F226" t="s">
        <v>953</v>
      </c>
      <c r="G226" t="s">
        <v>954</v>
      </c>
      <c r="H226" t="s">
        <v>2108</v>
      </c>
      <c r="I226" t="s">
        <v>2108</v>
      </c>
      <c r="J226">
        <v>1875</v>
      </c>
      <c r="K226">
        <v>1800</v>
      </c>
      <c r="L226">
        <v>1530</v>
      </c>
      <c r="M226" t="s">
        <v>2108</v>
      </c>
      <c r="N226">
        <v>2000</v>
      </c>
      <c r="O226">
        <v>1800</v>
      </c>
      <c r="P226">
        <v>1530</v>
      </c>
      <c r="Q226" t="s">
        <v>40</v>
      </c>
      <c r="R226">
        <v>27</v>
      </c>
      <c r="S226">
        <v>1</v>
      </c>
      <c r="T226" t="s">
        <v>2110</v>
      </c>
      <c r="U226" t="s">
        <v>2111</v>
      </c>
      <c r="V226">
        <v>0</v>
      </c>
      <c r="W226" s="26" t="str">
        <f t="shared" si="3"/>
        <v>(3318,null,1,'2026-04-28 00:00:00','003311030200000-33110302002','003311030200000-33110302002','经腹腔镜膀胱颈部Y—V成形术',null,null,1875,1800,1530,null,2000,1800,1530,'次',27,1,'normal','main',0),</v>
      </c>
    </row>
    <row r="227" spans="1:23">
      <c r="A227">
        <v>3319</v>
      </c>
      <c r="B227" t="s">
        <v>2108</v>
      </c>
      <c r="C227">
        <v>1</v>
      </c>
      <c r="D227" s="21" t="s">
        <v>2109</v>
      </c>
      <c r="E227" t="s">
        <v>957</v>
      </c>
      <c r="F227" t="s">
        <v>957</v>
      </c>
      <c r="G227" t="s">
        <v>958</v>
      </c>
      <c r="H227" t="s">
        <v>2108</v>
      </c>
      <c r="I227" t="s">
        <v>2108</v>
      </c>
      <c r="J227">
        <v>2845</v>
      </c>
      <c r="K227">
        <v>2560</v>
      </c>
      <c r="L227">
        <v>2175</v>
      </c>
      <c r="M227" t="s">
        <v>2108</v>
      </c>
      <c r="N227">
        <v>2600</v>
      </c>
      <c r="O227">
        <v>2340</v>
      </c>
      <c r="P227">
        <v>1990</v>
      </c>
      <c r="Q227" t="s">
        <v>40</v>
      </c>
      <c r="R227">
        <v>27</v>
      </c>
      <c r="S227">
        <v>1</v>
      </c>
      <c r="T227" t="s">
        <v>2110</v>
      </c>
      <c r="U227" t="s">
        <v>2111</v>
      </c>
      <c r="V227">
        <v>0</v>
      </c>
      <c r="W227" s="26" t="str">
        <f t="shared" si="3"/>
        <v>(3319,null,1,'2026-04-28 00:00:00','003311030210000-33110302101','003311030210000-33110302101','小儿膀胱颈重建术',null,null,2845,2560,2175,null,2600,2340,1990,'次',27,1,'normal','main',0),</v>
      </c>
    </row>
    <row r="228" spans="1:23">
      <c r="A228">
        <v>3320</v>
      </c>
      <c r="B228" t="s">
        <v>2108</v>
      </c>
      <c r="C228">
        <v>1</v>
      </c>
      <c r="D228" s="21" t="s">
        <v>2109</v>
      </c>
      <c r="E228" t="s">
        <v>959</v>
      </c>
      <c r="F228" t="s">
        <v>959</v>
      </c>
      <c r="G228" t="s">
        <v>960</v>
      </c>
      <c r="H228" t="s">
        <v>2108</v>
      </c>
      <c r="I228" t="s">
        <v>2108</v>
      </c>
      <c r="J228">
        <v>3470</v>
      </c>
      <c r="K228">
        <v>3160</v>
      </c>
      <c r="L228">
        <v>2685</v>
      </c>
      <c r="M228" t="s">
        <v>2108</v>
      </c>
      <c r="N228">
        <v>2600</v>
      </c>
      <c r="O228">
        <v>2340</v>
      </c>
      <c r="P228">
        <v>1990</v>
      </c>
      <c r="Q228" t="s">
        <v>40</v>
      </c>
      <c r="R228">
        <v>27</v>
      </c>
      <c r="S228">
        <v>1</v>
      </c>
      <c r="T228" t="s">
        <v>2110</v>
      </c>
      <c r="U228" t="s">
        <v>2111</v>
      </c>
      <c r="V228">
        <v>0</v>
      </c>
      <c r="W228" s="26" t="str">
        <f t="shared" si="3"/>
        <v>(3320,null,1,'2026-04-28 00:00:00','003311030210000-33110302103','003311030210000-33110302103','小儿经腹腔镜膀胱颈重建术',null,null,3470,3160,2685,null,2600,2340,1990,'次',27,1,'normal','main',0),</v>
      </c>
    </row>
    <row r="229" spans="1:23">
      <c r="A229">
        <v>3321</v>
      </c>
      <c r="B229" t="s">
        <v>2108</v>
      </c>
      <c r="C229">
        <v>1</v>
      </c>
      <c r="D229" s="21" t="s">
        <v>2109</v>
      </c>
      <c r="E229" t="s">
        <v>961</v>
      </c>
      <c r="F229" t="s">
        <v>961</v>
      </c>
      <c r="G229" t="s">
        <v>962</v>
      </c>
      <c r="H229" t="s">
        <v>2108</v>
      </c>
      <c r="I229" t="s">
        <v>2108</v>
      </c>
      <c r="J229">
        <v>1625</v>
      </c>
      <c r="K229">
        <v>1560</v>
      </c>
      <c r="L229">
        <v>1325</v>
      </c>
      <c r="M229" t="s">
        <v>2108</v>
      </c>
      <c r="N229">
        <v>2600</v>
      </c>
      <c r="O229">
        <v>2340</v>
      </c>
      <c r="P229">
        <v>1990</v>
      </c>
      <c r="Q229" t="s">
        <v>40</v>
      </c>
      <c r="R229">
        <v>27</v>
      </c>
      <c r="S229">
        <v>1</v>
      </c>
      <c r="T229" t="s">
        <v>2110</v>
      </c>
      <c r="U229" t="s">
        <v>2111</v>
      </c>
      <c r="V229">
        <v>0</v>
      </c>
      <c r="W229" s="26" t="str">
        <f t="shared" si="3"/>
        <v>(3321,null,1,'2026-04-28 00:00:00','003311030200000-33110302001','003311030200000-33110302001','小儿膀胱颈部Y—V成形术',null,null,1625,1560,1325,null,2600,2340,1990,'次',27,1,'normal','main',0),</v>
      </c>
    </row>
    <row r="230" spans="1:23">
      <c r="A230">
        <v>3322</v>
      </c>
      <c r="B230" t="s">
        <v>2108</v>
      </c>
      <c r="C230">
        <v>1</v>
      </c>
      <c r="D230" s="21" t="s">
        <v>2109</v>
      </c>
      <c r="E230" t="s">
        <v>963</v>
      </c>
      <c r="F230" t="s">
        <v>963</v>
      </c>
      <c r="G230" t="s">
        <v>964</v>
      </c>
      <c r="H230" t="s">
        <v>2108</v>
      </c>
      <c r="I230" t="s">
        <v>2108</v>
      </c>
      <c r="J230">
        <v>2250</v>
      </c>
      <c r="K230">
        <v>2160</v>
      </c>
      <c r="L230">
        <v>1835</v>
      </c>
      <c r="M230" t="s">
        <v>2108</v>
      </c>
      <c r="N230">
        <v>2600</v>
      </c>
      <c r="O230">
        <v>2340</v>
      </c>
      <c r="P230">
        <v>1990</v>
      </c>
      <c r="Q230" t="s">
        <v>40</v>
      </c>
      <c r="R230">
        <v>27</v>
      </c>
      <c r="S230">
        <v>1</v>
      </c>
      <c r="T230" t="s">
        <v>2110</v>
      </c>
      <c r="U230" t="s">
        <v>2111</v>
      </c>
      <c r="V230">
        <v>0</v>
      </c>
      <c r="W230" s="26" t="str">
        <f t="shared" si="3"/>
        <v>(3322,null,1,'2026-04-28 00:00:00','003311030200000-33110302003','003311030200000-33110302003','小儿经腹腔镜膀胱颈部Y—V成形术',null,null,2250,2160,1835,null,2600,2340,1990,'次',27,1,'normal','main',0),</v>
      </c>
    </row>
    <row r="231" spans="1:23">
      <c r="A231">
        <v>3323</v>
      </c>
      <c r="B231" t="s">
        <v>2108</v>
      </c>
      <c r="C231">
        <v>1</v>
      </c>
      <c r="D231" s="21" t="s">
        <v>2109</v>
      </c>
      <c r="E231" t="s">
        <v>970</v>
      </c>
      <c r="F231" t="s">
        <v>970</v>
      </c>
      <c r="G231" t="s">
        <v>971</v>
      </c>
      <c r="H231" t="s">
        <v>2108</v>
      </c>
      <c r="I231" t="s">
        <v>2108</v>
      </c>
      <c r="J231">
        <v>2030</v>
      </c>
      <c r="K231">
        <v>1830</v>
      </c>
      <c r="L231">
        <v>1560</v>
      </c>
      <c r="M231" t="s">
        <v>2108</v>
      </c>
      <c r="N231">
        <v>2200</v>
      </c>
      <c r="O231">
        <v>2000</v>
      </c>
      <c r="P231">
        <v>1700</v>
      </c>
      <c r="Q231" t="s">
        <v>40</v>
      </c>
      <c r="R231">
        <v>27</v>
      </c>
      <c r="S231">
        <v>1</v>
      </c>
      <c r="T231" t="s">
        <v>2110</v>
      </c>
      <c r="U231" t="s">
        <v>2111</v>
      </c>
      <c r="V231">
        <v>0</v>
      </c>
      <c r="W231" s="26" t="str">
        <f t="shared" si="3"/>
        <v>(3323,null,1,'2026-04-28 00:00:00','003311030030000-331103003','003311030030000-331103003','膀胱部分切除术',null,null,2030,1830,1560,null,2200,2000,1700,'次',27,1,'normal','main',0),</v>
      </c>
    </row>
    <row r="232" spans="1:23">
      <c r="A232">
        <v>3324</v>
      </c>
      <c r="B232" t="s">
        <v>2108</v>
      </c>
      <c r="C232">
        <v>1</v>
      </c>
      <c r="D232" s="21" t="s">
        <v>2109</v>
      </c>
      <c r="E232" t="s">
        <v>972</v>
      </c>
      <c r="F232" t="s">
        <v>972</v>
      </c>
      <c r="G232" t="s">
        <v>973</v>
      </c>
      <c r="H232" t="s">
        <v>2108</v>
      </c>
      <c r="I232" t="s">
        <v>2108</v>
      </c>
      <c r="J232">
        <v>2655</v>
      </c>
      <c r="K232">
        <v>2430</v>
      </c>
      <c r="L232">
        <v>2070</v>
      </c>
      <c r="M232" t="s">
        <v>2108</v>
      </c>
      <c r="N232">
        <v>2200</v>
      </c>
      <c r="O232">
        <v>2000</v>
      </c>
      <c r="P232">
        <v>1700</v>
      </c>
      <c r="Q232" t="s">
        <v>40</v>
      </c>
      <c r="R232">
        <v>27</v>
      </c>
      <c r="S232">
        <v>1</v>
      </c>
      <c r="T232" t="s">
        <v>2110</v>
      </c>
      <c r="U232" t="s">
        <v>2111</v>
      </c>
      <c r="V232">
        <v>0</v>
      </c>
      <c r="W232" s="26" t="str">
        <f t="shared" si="3"/>
        <v>(3324,null,1,'2026-04-28 00:00:00','003311030030000-33110300302','003311030030000-33110300302','经腹腔镜膀胱部分切除术',null,null,2655,2430,2070,null,2200,2000,1700,'次',27,1,'normal','main',0),</v>
      </c>
    </row>
    <row r="233" spans="1:23">
      <c r="A233">
        <v>3325</v>
      </c>
      <c r="B233" t="s">
        <v>2108</v>
      </c>
      <c r="C233">
        <v>1</v>
      </c>
      <c r="D233" s="21" t="s">
        <v>2109</v>
      </c>
      <c r="E233" t="s">
        <v>974</v>
      </c>
      <c r="F233" t="s">
        <v>974</v>
      </c>
      <c r="G233" t="s">
        <v>975</v>
      </c>
      <c r="H233" t="s">
        <v>2108</v>
      </c>
      <c r="I233" t="s">
        <v>2108</v>
      </c>
      <c r="J233">
        <v>1500</v>
      </c>
      <c r="K233">
        <v>1440</v>
      </c>
      <c r="L233">
        <v>1224</v>
      </c>
      <c r="M233" t="s">
        <v>2108</v>
      </c>
      <c r="N233">
        <v>2200</v>
      </c>
      <c r="O233">
        <v>2000</v>
      </c>
      <c r="P233">
        <v>1700</v>
      </c>
      <c r="Q233" t="s">
        <v>40</v>
      </c>
      <c r="R233">
        <v>27</v>
      </c>
      <c r="S233">
        <v>1</v>
      </c>
      <c r="T233" t="s">
        <v>2110</v>
      </c>
      <c r="U233" t="s">
        <v>2111</v>
      </c>
      <c r="V233">
        <v>0</v>
      </c>
      <c r="W233" s="26" t="str">
        <f t="shared" si="3"/>
        <v>(3325,null,1,'2026-04-28 00:00:00','003311030020000-331103002','003311030020000-331103002','膀胱憩室切除术',null,null,1500,1440,1224,null,2200,2000,1700,'次',27,1,'normal','main',0),</v>
      </c>
    </row>
    <row r="234" spans="1:23">
      <c r="A234">
        <v>3326</v>
      </c>
      <c r="B234" t="s">
        <v>2108</v>
      </c>
      <c r="C234">
        <v>1</v>
      </c>
      <c r="D234" s="21" t="s">
        <v>2109</v>
      </c>
      <c r="E234" t="s">
        <v>976</v>
      </c>
      <c r="F234" t="s">
        <v>976</v>
      </c>
      <c r="G234" t="s">
        <v>977</v>
      </c>
      <c r="H234" t="s">
        <v>2108</v>
      </c>
      <c r="I234" t="s">
        <v>2108</v>
      </c>
      <c r="J234">
        <v>2125</v>
      </c>
      <c r="K234">
        <v>2040</v>
      </c>
      <c r="L234">
        <v>1734</v>
      </c>
      <c r="M234" t="s">
        <v>2108</v>
      </c>
      <c r="N234">
        <v>2200</v>
      </c>
      <c r="O234">
        <v>2000</v>
      </c>
      <c r="P234">
        <v>1700</v>
      </c>
      <c r="Q234" t="s">
        <v>40</v>
      </c>
      <c r="R234">
        <v>27</v>
      </c>
      <c r="S234">
        <v>1</v>
      </c>
      <c r="T234" t="s">
        <v>2110</v>
      </c>
      <c r="U234" t="s">
        <v>2111</v>
      </c>
      <c r="V234">
        <v>0</v>
      </c>
      <c r="W234" s="26" t="str">
        <f t="shared" si="3"/>
        <v>(3326,null,1,'2026-04-28 00:00:00','003311030020000-33110300202','003311030020000-33110300202','经腹腔镜膀胱憩室切除术',null,null,2125,2040,1734,null,2200,2000,1700,'次',27,1,'normal','main',0),</v>
      </c>
    </row>
    <row r="235" spans="1:23">
      <c r="A235">
        <v>3327</v>
      </c>
      <c r="B235" t="s">
        <v>2108</v>
      </c>
      <c r="C235">
        <v>1</v>
      </c>
      <c r="D235" s="21" t="s">
        <v>2109</v>
      </c>
      <c r="E235" t="s">
        <v>978</v>
      </c>
      <c r="F235" t="s">
        <v>978</v>
      </c>
      <c r="G235" t="s">
        <v>979</v>
      </c>
      <c r="H235" t="s">
        <v>2108</v>
      </c>
      <c r="I235" t="s">
        <v>2108</v>
      </c>
      <c r="J235">
        <v>1000</v>
      </c>
      <c r="K235">
        <v>960</v>
      </c>
      <c r="L235">
        <v>816</v>
      </c>
      <c r="M235" t="s">
        <v>2108</v>
      </c>
      <c r="N235">
        <v>2200</v>
      </c>
      <c r="O235">
        <v>2000</v>
      </c>
      <c r="P235">
        <v>1700</v>
      </c>
      <c r="Q235" t="s">
        <v>40</v>
      </c>
      <c r="R235">
        <v>27</v>
      </c>
      <c r="S235">
        <v>1</v>
      </c>
      <c r="T235" t="s">
        <v>2110</v>
      </c>
      <c r="U235" t="s">
        <v>2111</v>
      </c>
      <c r="V235">
        <v>0</v>
      </c>
      <c r="W235" s="26" t="str">
        <f t="shared" si="3"/>
        <v>(3327,null,1,'2026-04-28 00:00:00','003311030150000-331103015','003311030150000-331103015','膀胱瘘管切除术',null,null,1000,960,816,null,2200,2000,1700,'次',27,1,'normal','main',0),</v>
      </c>
    </row>
    <row r="236" spans="1:23">
      <c r="A236">
        <v>3328</v>
      </c>
      <c r="B236" t="s">
        <v>2108</v>
      </c>
      <c r="C236">
        <v>1</v>
      </c>
      <c r="D236" s="21" t="s">
        <v>2109</v>
      </c>
      <c r="E236" t="s">
        <v>980</v>
      </c>
      <c r="F236" t="s">
        <v>980</v>
      </c>
      <c r="G236" t="s">
        <v>981</v>
      </c>
      <c r="H236" t="s">
        <v>2108</v>
      </c>
      <c r="I236" t="s">
        <v>2108</v>
      </c>
      <c r="J236">
        <v>1625</v>
      </c>
      <c r="K236">
        <v>1560</v>
      </c>
      <c r="L236">
        <v>1326</v>
      </c>
      <c r="M236" t="s">
        <v>2108</v>
      </c>
      <c r="N236">
        <v>2200</v>
      </c>
      <c r="O236">
        <v>2000</v>
      </c>
      <c r="P236">
        <v>1700</v>
      </c>
      <c r="Q236" t="s">
        <v>40</v>
      </c>
      <c r="R236">
        <v>27</v>
      </c>
      <c r="S236">
        <v>1</v>
      </c>
      <c r="T236" t="s">
        <v>2110</v>
      </c>
      <c r="U236" t="s">
        <v>2111</v>
      </c>
      <c r="V236">
        <v>0</v>
      </c>
      <c r="W236" s="26" t="str">
        <f t="shared" si="3"/>
        <v>(3328,null,1,'2026-04-28 00:00:00','003311030150000-33110301502','003311030150000-33110301502','经腹腔镜膀胱瘘管切除术',null,null,1625,1560,1326,null,2200,2000,1700,'次',27,1,'normal','main',0),</v>
      </c>
    </row>
    <row r="237" spans="1:23">
      <c r="A237">
        <v>3329</v>
      </c>
      <c r="B237" t="s">
        <v>2108</v>
      </c>
      <c r="C237">
        <v>1</v>
      </c>
      <c r="D237" s="21" t="s">
        <v>2109</v>
      </c>
      <c r="E237" t="s">
        <v>982</v>
      </c>
      <c r="F237" t="s">
        <v>982</v>
      </c>
      <c r="G237" t="s">
        <v>983</v>
      </c>
      <c r="H237" t="s">
        <v>2108</v>
      </c>
      <c r="I237" t="s">
        <v>2108</v>
      </c>
      <c r="J237">
        <v>1250</v>
      </c>
      <c r="K237">
        <v>1200</v>
      </c>
      <c r="L237">
        <v>1020</v>
      </c>
      <c r="M237" t="s">
        <v>2108</v>
      </c>
      <c r="N237">
        <v>2200</v>
      </c>
      <c r="O237">
        <v>2000</v>
      </c>
      <c r="P237">
        <v>1700</v>
      </c>
      <c r="Q237" t="s">
        <v>40</v>
      </c>
      <c r="R237">
        <v>27</v>
      </c>
      <c r="S237">
        <v>1</v>
      </c>
      <c r="T237" t="s">
        <v>2110</v>
      </c>
      <c r="U237" t="s">
        <v>2111</v>
      </c>
      <c r="V237">
        <v>0</v>
      </c>
      <c r="W237" s="26" t="str">
        <f t="shared" si="3"/>
        <v>(3329,null,1,'2026-04-28 00:00:00','003311030240000-331103024','003311030240000-331103024','脐尿管瘘切除术',null,null,1250,1200,1020,null,2200,2000,1700,'次',27,1,'normal','main',0),</v>
      </c>
    </row>
    <row r="238" spans="1:23">
      <c r="A238">
        <v>3330</v>
      </c>
      <c r="B238" t="s">
        <v>2108</v>
      </c>
      <c r="C238">
        <v>1</v>
      </c>
      <c r="D238" s="21" t="s">
        <v>2109</v>
      </c>
      <c r="E238" t="s">
        <v>984</v>
      </c>
      <c r="F238" t="s">
        <v>984</v>
      </c>
      <c r="G238" t="s">
        <v>985</v>
      </c>
      <c r="H238" t="s">
        <v>2108</v>
      </c>
      <c r="I238" t="s">
        <v>2108</v>
      </c>
      <c r="J238">
        <v>1875</v>
      </c>
      <c r="K238">
        <v>1800</v>
      </c>
      <c r="L238">
        <v>1530</v>
      </c>
      <c r="M238" t="s">
        <v>2108</v>
      </c>
      <c r="N238">
        <v>2200</v>
      </c>
      <c r="O238">
        <v>2000</v>
      </c>
      <c r="P238">
        <v>1700</v>
      </c>
      <c r="Q238" t="s">
        <v>40</v>
      </c>
      <c r="R238">
        <v>27</v>
      </c>
      <c r="S238">
        <v>1</v>
      </c>
      <c r="T238" t="s">
        <v>2110</v>
      </c>
      <c r="U238" t="s">
        <v>2111</v>
      </c>
      <c r="V238">
        <v>0</v>
      </c>
      <c r="W238" s="26" t="str">
        <f t="shared" si="3"/>
        <v>(3330,null,1,'2026-04-28 00:00:00','003311030240000-33110302402','003311030240000-33110302402','经腹腔镜脐尿管瘘切除术',null,null,1875,1800,1530,null,2200,2000,1700,'次',27,1,'normal','main',0),</v>
      </c>
    </row>
    <row r="239" spans="1:23">
      <c r="A239">
        <v>3331</v>
      </c>
      <c r="B239" t="s">
        <v>2108</v>
      </c>
      <c r="C239">
        <v>1</v>
      </c>
      <c r="D239" s="21" t="s">
        <v>2109</v>
      </c>
      <c r="E239" t="s">
        <v>986</v>
      </c>
      <c r="F239" t="s">
        <v>986</v>
      </c>
      <c r="G239" t="s">
        <v>987</v>
      </c>
      <c r="H239" t="s">
        <v>2108</v>
      </c>
      <c r="I239" t="s">
        <v>2108</v>
      </c>
      <c r="J239">
        <v>1250</v>
      </c>
      <c r="K239">
        <v>1200</v>
      </c>
      <c r="L239">
        <v>1020</v>
      </c>
      <c r="M239" t="s">
        <v>2108</v>
      </c>
      <c r="N239">
        <v>2200</v>
      </c>
      <c r="O239">
        <v>2000</v>
      </c>
      <c r="P239">
        <v>1700</v>
      </c>
      <c r="Q239" t="s">
        <v>40</v>
      </c>
      <c r="R239">
        <v>27</v>
      </c>
      <c r="S239">
        <v>1</v>
      </c>
      <c r="T239" t="s">
        <v>2110</v>
      </c>
      <c r="U239" t="s">
        <v>2111</v>
      </c>
      <c r="V239">
        <v>0</v>
      </c>
      <c r="W239" s="26" t="str">
        <f t="shared" si="3"/>
        <v>(3331,null,1,'2026-04-28 00:00:00','003311030040000-331103004','003311030040000-331103004','膀胱切开肿瘤烧灼术',null,null,1250,1200,1020,null,2200,2000,1700,'次',27,1,'normal','main',0),</v>
      </c>
    </row>
    <row r="240" spans="1:23">
      <c r="A240">
        <v>3332</v>
      </c>
      <c r="B240" t="s">
        <v>2108</v>
      </c>
      <c r="C240">
        <v>1</v>
      </c>
      <c r="D240" s="21" t="s">
        <v>2109</v>
      </c>
      <c r="E240" t="s">
        <v>988</v>
      </c>
      <c r="F240" t="s">
        <v>988</v>
      </c>
      <c r="G240" t="s">
        <v>989</v>
      </c>
      <c r="H240" t="s">
        <v>2108</v>
      </c>
      <c r="I240" t="s">
        <v>2108</v>
      </c>
      <c r="J240">
        <v>1875</v>
      </c>
      <c r="K240">
        <v>1800</v>
      </c>
      <c r="L240">
        <v>1530</v>
      </c>
      <c r="M240" t="s">
        <v>2108</v>
      </c>
      <c r="N240">
        <v>2200</v>
      </c>
      <c r="O240">
        <v>2000</v>
      </c>
      <c r="P240">
        <v>1700</v>
      </c>
      <c r="Q240" t="s">
        <v>40</v>
      </c>
      <c r="R240">
        <v>27</v>
      </c>
      <c r="S240">
        <v>1</v>
      </c>
      <c r="T240" t="s">
        <v>2110</v>
      </c>
      <c r="U240" t="s">
        <v>2111</v>
      </c>
      <c r="V240">
        <v>0</v>
      </c>
      <c r="W240" s="26" t="str">
        <f t="shared" si="3"/>
        <v>(3332,null,1,'2026-04-28 00:00:00','003311030040000-33110300402','003311030040000-33110300402','经腹腔镜膀胱切开肿瘤烧灼术',null,null,1875,1800,1530,null,2200,2000,1700,'次',27,1,'normal','main',0),</v>
      </c>
    </row>
    <row r="241" spans="1:23">
      <c r="A241">
        <v>3333</v>
      </c>
      <c r="B241" t="s">
        <v>2108</v>
      </c>
      <c r="C241">
        <v>1</v>
      </c>
      <c r="D241" s="21" t="s">
        <v>2109</v>
      </c>
      <c r="E241" t="s">
        <v>990</v>
      </c>
      <c r="F241" t="s">
        <v>990</v>
      </c>
      <c r="G241" t="s">
        <v>991</v>
      </c>
      <c r="H241" t="s">
        <v>2108</v>
      </c>
      <c r="I241" t="s">
        <v>2108</v>
      </c>
      <c r="J241">
        <v>2190</v>
      </c>
      <c r="K241">
        <v>1970</v>
      </c>
      <c r="L241">
        <v>1670</v>
      </c>
      <c r="M241" t="s">
        <v>2108</v>
      </c>
      <c r="N241">
        <v>2200</v>
      </c>
      <c r="O241">
        <v>2000</v>
      </c>
      <c r="P241">
        <v>1700</v>
      </c>
      <c r="Q241" t="s">
        <v>40</v>
      </c>
      <c r="R241">
        <v>27</v>
      </c>
      <c r="S241">
        <v>1</v>
      </c>
      <c r="T241" t="s">
        <v>2110</v>
      </c>
      <c r="U241" t="s">
        <v>2111</v>
      </c>
      <c r="V241">
        <v>0</v>
      </c>
      <c r="W241" s="26" t="str">
        <f t="shared" si="3"/>
        <v>(3333,null,1,'2026-04-28 00:00:00','003311030250000-331103025','003311030250000-331103025','经膀胱镜膀胱颈电切术',null,null,2190,1970,1670,null,2200,2000,1700,'次',27,1,'normal','main',0),</v>
      </c>
    </row>
    <row r="242" spans="1:23">
      <c r="A242">
        <v>3334</v>
      </c>
      <c r="B242" t="s">
        <v>2108</v>
      </c>
      <c r="C242">
        <v>1</v>
      </c>
      <c r="D242" s="21" t="s">
        <v>2109</v>
      </c>
      <c r="E242" t="s">
        <v>995</v>
      </c>
      <c r="F242" t="s">
        <v>995</v>
      </c>
      <c r="G242" t="s">
        <v>996</v>
      </c>
      <c r="H242" t="s">
        <v>2108</v>
      </c>
      <c r="I242" t="s">
        <v>2108</v>
      </c>
      <c r="J242">
        <v>1625</v>
      </c>
      <c r="K242">
        <v>1560</v>
      </c>
      <c r="L242">
        <v>1326</v>
      </c>
      <c r="M242" t="s">
        <v>2108</v>
      </c>
      <c r="N242">
        <v>2725</v>
      </c>
      <c r="O242">
        <v>2470</v>
      </c>
      <c r="P242">
        <v>2100</v>
      </c>
      <c r="Q242" t="s">
        <v>40</v>
      </c>
      <c r="R242">
        <v>27</v>
      </c>
      <c r="S242">
        <v>1</v>
      </c>
      <c r="T242" t="s">
        <v>2110</v>
      </c>
      <c r="U242" t="s">
        <v>2111</v>
      </c>
      <c r="V242">
        <v>0</v>
      </c>
      <c r="W242" s="26" t="str">
        <f t="shared" si="3"/>
        <v>(3334,null,1,'2026-04-28 00:00:00','003311030280000-331103028','003311030280000-331103028','脐尿管肿瘤切除术',null,null,1625,1560,1326,null,2725,2470,2100,'次',27,1,'normal','main',0),</v>
      </c>
    </row>
    <row r="243" spans="1:23">
      <c r="A243">
        <v>3335</v>
      </c>
      <c r="B243" t="s">
        <v>2108</v>
      </c>
      <c r="C243">
        <v>1</v>
      </c>
      <c r="D243" s="21" t="s">
        <v>2109</v>
      </c>
      <c r="E243" t="s">
        <v>997</v>
      </c>
      <c r="F243" t="s">
        <v>997</v>
      </c>
      <c r="G243" t="s">
        <v>998</v>
      </c>
      <c r="H243" t="s">
        <v>2108</v>
      </c>
      <c r="I243" t="s">
        <v>2108</v>
      </c>
      <c r="J243">
        <v>2115</v>
      </c>
      <c r="K243">
        <v>2030</v>
      </c>
      <c r="L243">
        <v>1725</v>
      </c>
      <c r="M243" t="s">
        <v>2108</v>
      </c>
      <c r="N243">
        <v>2725</v>
      </c>
      <c r="O243">
        <v>2470</v>
      </c>
      <c r="P243">
        <v>2100</v>
      </c>
      <c r="Q243" t="s">
        <v>40</v>
      </c>
      <c r="R243">
        <v>27</v>
      </c>
      <c r="S243">
        <v>1</v>
      </c>
      <c r="T243" t="s">
        <v>2110</v>
      </c>
      <c r="U243" t="s">
        <v>2111</v>
      </c>
      <c r="V243">
        <v>0</v>
      </c>
      <c r="W243" s="26" t="str">
        <f t="shared" si="3"/>
        <v>(3335,null,1,'2026-04-28 00:00:00','003311030280000-33110302801','003311030280000-33110302801','小儿脐尿管肿瘤切除术',null,null,2115,2030,1725,null,2725,2470,2100,'次',27,1,'normal','main',0),</v>
      </c>
    </row>
    <row r="244" spans="1:23">
      <c r="A244">
        <v>3336</v>
      </c>
      <c r="B244" t="s">
        <v>2108</v>
      </c>
      <c r="C244">
        <v>1</v>
      </c>
      <c r="D244" s="21" t="s">
        <v>2109</v>
      </c>
      <c r="E244" t="s">
        <v>999</v>
      </c>
      <c r="F244" t="s">
        <v>999</v>
      </c>
      <c r="G244" t="s">
        <v>1000</v>
      </c>
      <c r="H244" t="s">
        <v>2108</v>
      </c>
      <c r="I244" t="s">
        <v>2108</v>
      </c>
      <c r="J244">
        <v>2250</v>
      </c>
      <c r="K244">
        <v>2160</v>
      </c>
      <c r="L244">
        <v>1836</v>
      </c>
      <c r="M244" t="s">
        <v>2108</v>
      </c>
      <c r="N244">
        <v>2725</v>
      </c>
      <c r="O244">
        <v>2470</v>
      </c>
      <c r="P244">
        <v>2100</v>
      </c>
      <c r="Q244" t="s">
        <v>40</v>
      </c>
      <c r="R244">
        <v>27</v>
      </c>
      <c r="S244">
        <v>1</v>
      </c>
      <c r="T244" t="s">
        <v>2110</v>
      </c>
      <c r="U244" t="s">
        <v>2111</v>
      </c>
      <c r="V244">
        <v>0</v>
      </c>
      <c r="W244" s="26" t="str">
        <f t="shared" si="3"/>
        <v>(3336,null,1,'2026-04-28 00:00:00','003311030280000-33110302802','003311030280000-33110302802','经腹腔镜脐尿管肿瘤切除术',null,null,2250,2160,1836,null,2725,2470,2100,'次',27,1,'normal','main',0),</v>
      </c>
    </row>
    <row r="245" spans="1:23">
      <c r="A245">
        <v>3337</v>
      </c>
      <c r="B245" t="s">
        <v>2108</v>
      </c>
      <c r="C245">
        <v>1</v>
      </c>
      <c r="D245" s="21" t="s">
        <v>2109</v>
      </c>
      <c r="E245" t="s">
        <v>1001</v>
      </c>
      <c r="F245" t="s">
        <v>1001</v>
      </c>
      <c r="G245" t="s">
        <v>1002</v>
      </c>
      <c r="H245" t="s">
        <v>2108</v>
      </c>
      <c r="I245" t="s">
        <v>2108</v>
      </c>
      <c r="J245">
        <v>2740</v>
      </c>
      <c r="K245">
        <v>2630</v>
      </c>
      <c r="L245">
        <v>2235</v>
      </c>
      <c r="M245" t="s">
        <v>2108</v>
      </c>
      <c r="N245">
        <v>2725</v>
      </c>
      <c r="O245">
        <v>2470</v>
      </c>
      <c r="P245">
        <v>2100</v>
      </c>
      <c r="Q245" t="s">
        <v>40</v>
      </c>
      <c r="R245">
        <v>27</v>
      </c>
      <c r="S245">
        <v>1</v>
      </c>
      <c r="T245" t="s">
        <v>2110</v>
      </c>
      <c r="U245" t="s">
        <v>2111</v>
      </c>
      <c r="V245">
        <v>0</v>
      </c>
      <c r="W245" s="26" t="str">
        <f t="shared" si="3"/>
        <v>(3337,null,1,'2026-04-28 00:00:00','003311030280000-33110302803','003311030280000-33110302803','小儿经腹腔镜脐尿管肿瘤切除术',null,null,2740,2630,2235,null,2725,2470,2100,'次',27,1,'normal','main',0),</v>
      </c>
    </row>
    <row r="246" spans="1:23">
      <c r="A246">
        <v>3338</v>
      </c>
      <c r="B246" t="s">
        <v>2108</v>
      </c>
      <c r="C246">
        <v>1</v>
      </c>
      <c r="D246" s="21" t="s">
        <v>2109</v>
      </c>
      <c r="E246" t="s">
        <v>1005</v>
      </c>
      <c r="F246" t="s">
        <v>1005</v>
      </c>
      <c r="G246" t="s">
        <v>1006</v>
      </c>
      <c r="H246" t="s">
        <v>2108</v>
      </c>
      <c r="I246" t="s">
        <v>2108</v>
      </c>
      <c r="J246">
        <v>2640</v>
      </c>
      <c r="K246">
        <v>2380</v>
      </c>
      <c r="L246">
        <v>2025</v>
      </c>
      <c r="M246" t="s">
        <v>2108</v>
      </c>
      <c r="N246">
        <v>2860</v>
      </c>
      <c r="O246">
        <v>2600</v>
      </c>
      <c r="P246">
        <v>2210</v>
      </c>
      <c r="Q246" t="s">
        <v>40</v>
      </c>
      <c r="R246">
        <v>27</v>
      </c>
      <c r="S246">
        <v>1</v>
      </c>
      <c r="T246" t="s">
        <v>2110</v>
      </c>
      <c r="U246" t="s">
        <v>2111</v>
      </c>
      <c r="V246">
        <v>0</v>
      </c>
      <c r="W246" s="26" t="str">
        <f t="shared" si="3"/>
        <v>(3338,null,1,'2026-04-28 00:00:00','003311030030000-33110300301','003311030030000-33110300301','小儿膀胱部分切除术',null,null,2640,2380,2025,null,2860,2600,2210,'次',27,1,'normal','main',0),</v>
      </c>
    </row>
    <row r="247" spans="1:23">
      <c r="A247">
        <v>3339</v>
      </c>
      <c r="B247" t="s">
        <v>2108</v>
      </c>
      <c r="C247">
        <v>1</v>
      </c>
      <c r="D247" s="21" t="s">
        <v>2109</v>
      </c>
      <c r="E247" t="s">
        <v>1007</v>
      </c>
      <c r="F247" t="s">
        <v>1007</v>
      </c>
      <c r="G247" t="s">
        <v>1008</v>
      </c>
      <c r="H247" t="s">
        <v>2108</v>
      </c>
      <c r="I247" t="s">
        <v>2108</v>
      </c>
      <c r="J247">
        <v>3265</v>
      </c>
      <c r="K247">
        <v>2980</v>
      </c>
      <c r="L247">
        <v>2535</v>
      </c>
      <c r="M247" t="s">
        <v>2108</v>
      </c>
      <c r="N247">
        <v>2860</v>
      </c>
      <c r="O247">
        <v>2600</v>
      </c>
      <c r="P247">
        <v>2210</v>
      </c>
      <c r="Q247" t="s">
        <v>40</v>
      </c>
      <c r="R247">
        <v>27</v>
      </c>
      <c r="S247">
        <v>1</v>
      </c>
      <c r="T247" t="s">
        <v>2110</v>
      </c>
      <c r="U247" t="s">
        <v>2111</v>
      </c>
      <c r="V247">
        <v>0</v>
      </c>
      <c r="W247" s="26" t="str">
        <f t="shared" si="3"/>
        <v>(3339,null,1,'2026-04-28 00:00:00','003311030030000-33110300303','003311030030000-33110300303','小儿经腹腔镜膀胱部分切除术',null,null,3265,2980,2535,null,2860,2600,2210,'次',27,1,'normal','main',0),</v>
      </c>
    </row>
    <row r="248" spans="1:23">
      <c r="A248">
        <v>3340</v>
      </c>
      <c r="B248" t="s">
        <v>2108</v>
      </c>
      <c r="C248">
        <v>1</v>
      </c>
      <c r="D248" s="21" t="s">
        <v>2109</v>
      </c>
      <c r="E248" t="s">
        <v>1009</v>
      </c>
      <c r="F248" t="s">
        <v>1009</v>
      </c>
      <c r="G248" t="s">
        <v>1010</v>
      </c>
      <c r="H248" t="s">
        <v>2108</v>
      </c>
      <c r="I248" t="s">
        <v>2108</v>
      </c>
      <c r="J248">
        <v>1950</v>
      </c>
      <c r="K248">
        <v>1870</v>
      </c>
      <c r="L248">
        <v>1590</v>
      </c>
      <c r="M248" t="s">
        <v>2108</v>
      </c>
      <c r="N248">
        <v>2860</v>
      </c>
      <c r="O248">
        <v>2600</v>
      </c>
      <c r="P248">
        <v>2210</v>
      </c>
      <c r="Q248" t="s">
        <v>40</v>
      </c>
      <c r="R248">
        <v>27</v>
      </c>
      <c r="S248">
        <v>1</v>
      </c>
      <c r="T248" t="s">
        <v>2110</v>
      </c>
      <c r="U248" t="s">
        <v>2111</v>
      </c>
      <c r="V248">
        <v>0</v>
      </c>
      <c r="W248" s="26" t="str">
        <f t="shared" si="3"/>
        <v>(3340,null,1,'2026-04-28 00:00:00','003311030020000-33110300201','003311030020000-33110300201','小儿膀胱憩室切除术',null,null,1950,1870,1590,null,2860,2600,2210,'次',27,1,'normal','main',0),</v>
      </c>
    </row>
    <row r="249" spans="1:23">
      <c r="A249">
        <v>3341</v>
      </c>
      <c r="B249" t="s">
        <v>2108</v>
      </c>
      <c r="C249">
        <v>1</v>
      </c>
      <c r="D249" s="21" t="s">
        <v>2109</v>
      </c>
      <c r="E249" t="s">
        <v>1011</v>
      </c>
      <c r="F249" t="s">
        <v>1011</v>
      </c>
      <c r="G249" t="s">
        <v>1012</v>
      </c>
      <c r="H249" t="s">
        <v>2108</v>
      </c>
      <c r="I249" t="s">
        <v>2108</v>
      </c>
      <c r="J249">
        <v>2575</v>
      </c>
      <c r="K249">
        <v>2470</v>
      </c>
      <c r="L249">
        <v>2100</v>
      </c>
      <c r="M249" t="s">
        <v>2108</v>
      </c>
      <c r="N249">
        <v>2860</v>
      </c>
      <c r="O249">
        <v>2600</v>
      </c>
      <c r="P249">
        <v>2210</v>
      </c>
      <c r="Q249" t="s">
        <v>40</v>
      </c>
      <c r="R249">
        <v>27</v>
      </c>
      <c r="S249">
        <v>1</v>
      </c>
      <c r="T249" t="s">
        <v>2110</v>
      </c>
      <c r="U249" t="s">
        <v>2111</v>
      </c>
      <c r="V249">
        <v>0</v>
      </c>
      <c r="W249" s="26" t="str">
        <f t="shared" si="3"/>
        <v>(3341,null,1,'2026-04-28 00:00:00','003311030020000-33110300203','003311030020000-33110300203','小儿经腹腔镜膀胱憩室切除术',null,null,2575,2470,2100,null,2860,2600,2210,'次',27,1,'normal','main',0),</v>
      </c>
    </row>
    <row r="250" spans="1:23">
      <c r="A250">
        <v>3342</v>
      </c>
      <c r="B250" t="s">
        <v>2108</v>
      </c>
      <c r="C250">
        <v>1</v>
      </c>
      <c r="D250" s="21" t="s">
        <v>2109</v>
      </c>
      <c r="E250" t="s">
        <v>1013</v>
      </c>
      <c r="F250" t="s">
        <v>1013</v>
      </c>
      <c r="G250" t="s">
        <v>1014</v>
      </c>
      <c r="H250" t="s">
        <v>2108</v>
      </c>
      <c r="I250" t="s">
        <v>2108</v>
      </c>
      <c r="J250">
        <v>1300</v>
      </c>
      <c r="K250">
        <v>1250</v>
      </c>
      <c r="L250">
        <v>1065</v>
      </c>
      <c r="M250" t="s">
        <v>2108</v>
      </c>
      <c r="N250">
        <v>2860</v>
      </c>
      <c r="O250">
        <v>2600</v>
      </c>
      <c r="P250">
        <v>2210</v>
      </c>
      <c r="Q250" t="s">
        <v>40</v>
      </c>
      <c r="R250">
        <v>27</v>
      </c>
      <c r="S250">
        <v>1</v>
      </c>
      <c r="T250" t="s">
        <v>2110</v>
      </c>
      <c r="U250" t="s">
        <v>2111</v>
      </c>
      <c r="V250">
        <v>0</v>
      </c>
      <c r="W250" s="26" t="str">
        <f t="shared" si="3"/>
        <v>(3342,null,1,'2026-04-28 00:00:00','003311030150000-33110301501','003311030150000-33110301501','小儿膀胱瘘管切除术',null,null,1300,1250,1065,null,2860,2600,2210,'次',27,1,'normal','main',0),</v>
      </c>
    </row>
    <row r="251" spans="1:23">
      <c r="A251">
        <v>3343</v>
      </c>
      <c r="B251" t="s">
        <v>2108</v>
      </c>
      <c r="C251">
        <v>1</v>
      </c>
      <c r="D251" s="21" t="s">
        <v>2109</v>
      </c>
      <c r="E251" t="s">
        <v>1015</v>
      </c>
      <c r="F251" t="s">
        <v>1015</v>
      </c>
      <c r="G251" t="s">
        <v>1016</v>
      </c>
      <c r="H251" t="s">
        <v>2108</v>
      </c>
      <c r="I251" t="s">
        <v>2108</v>
      </c>
      <c r="J251">
        <v>1925</v>
      </c>
      <c r="K251">
        <v>1850</v>
      </c>
      <c r="L251">
        <v>1575</v>
      </c>
      <c r="M251" t="s">
        <v>2108</v>
      </c>
      <c r="N251">
        <v>2860</v>
      </c>
      <c r="O251">
        <v>2600</v>
      </c>
      <c r="P251">
        <v>2210</v>
      </c>
      <c r="Q251" t="s">
        <v>40</v>
      </c>
      <c r="R251">
        <v>27</v>
      </c>
      <c r="S251">
        <v>1</v>
      </c>
      <c r="T251" t="s">
        <v>2110</v>
      </c>
      <c r="U251" t="s">
        <v>2111</v>
      </c>
      <c r="V251">
        <v>0</v>
      </c>
      <c r="W251" s="26" t="str">
        <f t="shared" si="3"/>
        <v>(3343,null,1,'2026-04-28 00:00:00','003311030150000-33110301503','003311030150000-33110301503','小儿经腹腔镜膀胱瘘管切除术',null,null,1925,1850,1575,null,2860,2600,2210,'次',27,1,'normal','main',0),</v>
      </c>
    </row>
    <row r="252" spans="1:23">
      <c r="A252">
        <v>3344</v>
      </c>
      <c r="B252" t="s">
        <v>2108</v>
      </c>
      <c r="C252">
        <v>1</v>
      </c>
      <c r="D252" s="21" t="s">
        <v>2109</v>
      </c>
      <c r="E252" t="s">
        <v>1017</v>
      </c>
      <c r="F252" t="s">
        <v>1017</v>
      </c>
      <c r="G252" t="s">
        <v>1018</v>
      </c>
      <c r="H252" t="s">
        <v>2108</v>
      </c>
      <c r="I252" t="s">
        <v>2108</v>
      </c>
      <c r="J252">
        <v>1625</v>
      </c>
      <c r="K252">
        <v>1560</v>
      </c>
      <c r="L252">
        <v>1325</v>
      </c>
      <c r="M252" t="s">
        <v>2108</v>
      </c>
      <c r="N252">
        <v>2860</v>
      </c>
      <c r="O252">
        <v>2600</v>
      </c>
      <c r="P252">
        <v>2210</v>
      </c>
      <c r="Q252" t="s">
        <v>40</v>
      </c>
      <c r="R252">
        <v>27</v>
      </c>
      <c r="S252">
        <v>1</v>
      </c>
      <c r="T252" t="s">
        <v>2110</v>
      </c>
      <c r="U252" t="s">
        <v>2111</v>
      </c>
      <c r="V252">
        <v>0</v>
      </c>
      <c r="W252" s="26" t="str">
        <f t="shared" si="3"/>
        <v>(3344,null,1,'2026-04-28 00:00:00','003311030240000-33110302401','003311030240000-33110302401','小儿脐尿管瘘切除术',null,null,1625,1560,1325,null,2860,2600,2210,'次',27,1,'normal','main',0),</v>
      </c>
    </row>
    <row r="253" spans="1:23">
      <c r="A253">
        <v>3345</v>
      </c>
      <c r="B253" t="s">
        <v>2108</v>
      </c>
      <c r="C253">
        <v>1</v>
      </c>
      <c r="D253" s="21" t="s">
        <v>2109</v>
      </c>
      <c r="E253" t="s">
        <v>1019</v>
      </c>
      <c r="F253" t="s">
        <v>1019</v>
      </c>
      <c r="G253" t="s">
        <v>1020</v>
      </c>
      <c r="H253" t="s">
        <v>2108</v>
      </c>
      <c r="I253" t="s">
        <v>2108</v>
      </c>
      <c r="J253">
        <v>2250</v>
      </c>
      <c r="K253">
        <v>2160</v>
      </c>
      <c r="L253">
        <v>1835</v>
      </c>
      <c r="M253" t="s">
        <v>2108</v>
      </c>
      <c r="N253">
        <v>2860</v>
      </c>
      <c r="O253">
        <v>2600</v>
      </c>
      <c r="P253">
        <v>2210</v>
      </c>
      <c r="Q253" t="s">
        <v>40</v>
      </c>
      <c r="R253">
        <v>27</v>
      </c>
      <c r="S253">
        <v>1</v>
      </c>
      <c r="T253" t="s">
        <v>2110</v>
      </c>
      <c r="U253" t="s">
        <v>2111</v>
      </c>
      <c r="V253">
        <v>0</v>
      </c>
      <c r="W253" s="26" t="str">
        <f t="shared" si="3"/>
        <v>(3345,null,1,'2026-04-28 00:00:00','003311030240000-33110302403','003311030240000-33110302403','小儿经腹腔镜脐尿管瘘切除术',null,null,2250,2160,1835,null,2860,2600,2210,'次',27,1,'normal','main',0),</v>
      </c>
    </row>
    <row r="254" spans="1:23">
      <c r="A254">
        <v>3346</v>
      </c>
      <c r="B254" t="s">
        <v>2108</v>
      </c>
      <c r="C254">
        <v>1</v>
      </c>
      <c r="D254" s="21" t="s">
        <v>2109</v>
      </c>
      <c r="E254" t="s">
        <v>1021</v>
      </c>
      <c r="F254" t="s">
        <v>1021</v>
      </c>
      <c r="G254" t="s">
        <v>1022</v>
      </c>
      <c r="H254" t="s">
        <v>2108</v>
      </c>
      <c r="I254" t="s">
        <v>2108</v>
      </c>
      <c r="J254">
        <v>1625</v>
      </c>
      <c r="K254">
        <v>1560</v>
      </c>
      <c r="L254">
        <v>1325</v>
      </c>
      <c r="M254" t="s">
        <v>2108</v>
      </c>
      <c r="N254">
        <v>2860</v>
      </c>
      <c r="O254">
        <v>2600</v>
      </c>
      <c r="P254">
        <v>2210</v>
      </c>
      <c r="Q254" t="s">
        <v>40</v>
      </c>
      <c r="R254">
        <v>27</v>
      </c>
      <c r="S254">
        <v>1</v>
      </c>
      <c r="T254" t="s">
        <v>2110</v>
      </c>
      <c r="U254" t="s">
        <v>2111</v>
      </c>
      <c r="V254">
        <v>0</v>
      </c>
      <c r="W254" s="26" t="str">
        <f t="shared" si="3"/>
        <v>(3346,null,1,'2026-04-28 00:00:00','003311030040000-33110300401','003311030040000-33110300401','小儿膀胱切开肿瘤烧灼术',null,null,1625,1560,1325,null,2860,2600,2210,'次',27,1,'normal','main',0),</v>
      </c>
    </row>
    <row r="255" spans="1:23">
      <c r="A255">
        <v>3347</v>
      </c>
      <c r="B255" t="s">
        <v>2108</v>
      </c>
      <c r="C255">
        <v>1</v>
      </c>
      <c r="D255" s="21" t="s">
        <v>2109</v>
      </c>
      <c r="E255" t="s">
        <v>1023</v>
      </c>
      <c r="F255" t="s">
        <v>1023</v>
      </c>
      <c r="G255" t="s">
        <v>1024</v>
      </c>
      <c r="H255" t="s">
        <v>2108</v>
      </c>
      <c r="I255" t="s">
        <v>2108</v>
      </c>
      <c r="J255">
        <v>2250</v>
      </c>
      <c r="K255">
        <v>2160</v>
      </c>
      <c r="L255">
        <v>1835</v>
      </c>
      <c r="M255" t="s">
        <v>2108</v>
      </c>
      <c r="N255">
        <v>2860</v>
      </c>
      <c r="O255">
        <v>2600</v>
      </c>
      <c r="P255">
        <v>2210</v>
      </c>
      <c r="Q255" t="s">
        <v>40</v>
      </c>
      <c r="R255">
        <v>27</v>
      </c>
      <c r="S255">
        <v>1</v>
      </c>
      <c r="T255" t="s">
        <v>2110</v>
      </c>
      <c r="U255" t="s">
        <v>2111</v>
      </c>
      <c r="V255">
        <v>0</v>
      </c>
      <c r="W255" s="26" t="str">
        <f t="shared" si="3"/>
        <v>(3347,null,1,'2026-04-28 00:00:00','003311030040000-33110300403','003311030040000-33110300403','小儿经腹腔镜膀胱切开肿瘤烧灼术',null,null,2250,2160,1835,null,2860,2600,2210,'次',27,1,'normal','main',0),</v>
      </c>
    </row>
    <row r="256" spans="1:23">
      <c r="A256">
        <v>3348</v>
      </c>
      <c r="B256" t="s">
        <v>2108</v>
      </c>
      <c r="C256">
        <v>1</v>
      </c>
      <c r="D256" s="21" t="s">
        <v>2109</v>
      </c>
      <c r="E256" t="s">
        <v>1025</v>
      </c>
      <c r="F256" t="s">
        <v>1025</v>
      </c>
      <c r="G256" t="s">
        <v>1026</v>
      </c>
      <c r="H256" t="s">
        <v>2108</v>
      </c>
      <c r="I256" t="s">
        <v>2108</v>
      </c>
      <c r="J256">
        <v>2845</v>
      </c>
      <c r="K256">
        <v>2560</v>
      </c>
      <c r="L256">
        <v>2175</v>
      </c>
      <c r="M256" t="s">
        <v>2108</v>
      </c>
      <c r="N256">
        <v>2860</v>
      </c>
      <c r="O256">
        <v>2600</v>
      </c>
      <c r="P256">
        <v>2210</v>
      </c>
      <c r="Q256" t="s">
        <v>40</v>
      </c>
      <c r="R256">
        <v>27</v>
      </c>
      <c r="S256">
        <v>1</v>
      </c>
      <c r="T256" t="s">
        <v>2110</v>
      </c>
      <c r="U256" t="s">
        <v>2111</v>
      </c>
      <c r="V256">
        <v>0</v>
      </c>
      <c r="W256" s="26" t="str">
        <f t="shared" si="3"/>
        <v>(3348,null,1,'2026-04-28 00:00:00','003311030250000-33110302501','003311030250000-33110302501','小儿经膀胱镜膀胱颈电切术',null,null,2845,2560,2175,null,2860,2600,2210,'次',27,1,'normal','main',0),</v>
      </c>
    </row>
    <row r="257" spans="1:23">
      <c r="A257">
        <v>3349</v>
      </c>
      <c r="B257" t="s">
        <v>2108</v>
      </c>
      <c r="C257">
        <v>1</v>
      </c>
      <c r="D257" s="21" t="s">
        <v>2109</v>
      </c>
      <c r="E257" t="s">
        <v>1030</v>
      </c>
      <c r="F257" t="s">
        <v>1030</v>
      </c>
      <c r="G257" t="s">
        <v>1031</v>
      </c>
      <c r="H257" t="s">
        <v>2108</v>
      </c>
      <c r="I257" t="s">
        <v>2108</v>
      </c>
      <c r="J257">
        <v>3380</v>
      </c>
      <c r="K257">
        <v>3040</v>
      </c>
      <c r="L257">
        <v>2580</v>
      </c>
      <c r="M257" t="s">
        <v>2108</v>
      </c>
      <c r="N257">
        <v>3400</v>
      </c>
      <c r="O257">
        <v>3050</v>
      </c>
      <c r="P257">
        <v>2600</v>
      </c>
      <c r="Q257" t="s">
        <v>40</v>
      </c>
      <c r="R257">
        <v>27</v>
      </c>
      <c r="S257">
        <v>1</v>
      </c>
      <c r="T257" t="s">
        <v>2110</v>
      </c>
      <c r="U257" t="s">
        <v>2111</v>
      </c>
      <c r="V257">
        <v>0</v>
      </c>
      <c r="W257" s="26" t="str">
        <f t="shared" si="3"/>
        <v>(3349,null,1,'2026-04-28 00:00:00','003311030070000-331103007','003311030070000-331103007','膀胱尿道全切除术',null,null,3380,3040,2580,null,3400,3050,2600,'次',27,1,'normal','main',0),</v>
      </c>
    </row>
    <row r="258" spans="1:23">
      <c r="A258">
        <v>3350</v>
      </c>
      <c r="B258" t="s">
        <v>2108</v>
      </c>
      <c r="C258">
        <v>1</v>
      </c>
      <c r="D258" s="21" t="s">
        <v>2109</v>
      </c>
      <c r="E258" t="s">
        <v>1032</v>
      </c>
      <c r="F258" t="s">
        <v>1032</v>
      </c>
      <c r="G258" t="s">
        <v>1033</v>
      </c>
      <c r="H258" t="s">
        <v>2108</v>
      </c>
      <c r="I258" t="s">
        <v>2108</v>
      </c>
      <c r="J258">
        <v>4005</v>
      </c>
      <c r="K258">
        <v>3640</v>
      </c>
      <c r="L258">
        <v>3090</v>
      </c>
      <c r="M258" t="s">
        <v>2108</v>
      </c>
      <c r="N258">
        <v>3400</v>
      </c>
      <c r="O258">
        <v>3050</v>
      </c>
      <c r="P258">
        <v>2600</v>
      </c>
      <c r="Q258" t="s">
        <v>40</v>
      </c>
      <c r="R258">
        <v>27</v>
      </c>
      <c r="S258">
        <v>1</v>
      </c>
      <c r="T258" t="s">
        <v>2110</v>
      </c>
      <c r="U258" t="s">
        <v>2111</v>
      </c>
      <c r="V258">
        <v>0</v>
      </c>
      <c r="W258" s="26" t="str">
        <f t="shared" si="3"/>
        <v>(3350,null,1,'2026-04-28 00:00:00','003311030070000-33110300702','003311030070000-33110300702','经腹腔镜膀胱尿道全切除术',null,null,4005,3640,3090,null,3400,3050,2600,'次',27,1,'normal','main',0),</v>
      </c>
    </row>
    <row r="259" spans="1:23">
      <c r="A259">
        <v>3351</v>
      </c>
      <c r="B259" t="s">
        <v>2108</v>
      </c>
      <c r="C259">
        <v>1</v>
      </c>
      <c r="D259" s="21" t="s">
        <v>2109</v>
      </c>
      <c r="E259" t="s">
        <v>1036</v>
      </c>
      <c r="F259" t="s">
        <v>1036</v>
      </c>
      <c r="G259" t="s">
        <v>1037</v>
      </c>
      <c r="H259" t="s">
        <v>2108</v>
      </c>
      <c r="I259" t="s">
        <v>2108</v>
      </c>
      <c r="J259">
        <v>4395</v>
      </c>
      <c r="K259">
        <v>3950</v>
      </c>
      <c r="L259">
        <v>3360</v>
      </c>
      <c r="M259" t="s">
        <v>2108</v>
      </c>
      <c r="N259">
        <v>4420</v>
      </c>
      <c r="O259">
        <v>3965</v>
      </c>
      <c r="P259">
        <v>3380</v>
      </c>
      <c r="Q259" t="s">
        <v>40</v>
      </c>
      <c r="R259">
        <v>27</v>
      </c>
      <c r="S259">
        <v>1</v>
      </c>
      <c r="T259" t="s">
        <v>2110</v>
      </c>
      <c r="U259" t="s">
        <v>2111</v>
      </c>
      <c r="V259">
        <v>0</v>
      </c>
      <c r="W259" s="26" t="str">
        <f t="shared" ref="W259:W322" si="4">"("&amp;A259&amp;","&amp;B259&amp;","&amp;C259&amp;",'"&amp;D259&amp;"','"&amp;E259&amp;"','"&amp;F259&amp;"','"&amp;G259&amp;"',"&amp;H259&amp;","&amp;I259&amp;","&amp;J259&amp;","&amp;K259&amp;","&amp;L259&amp;","&amp;M259&amp;","&amp;N259&amp;","&amp;O259&amp;","&amp;P259&amp;",'"&amp;Q259&amp;"',"&amp;R259&amp;","&amp;S259&amp;",'"&amp;T259&amp;"','"&amp;U259&amp;"',"&amp;V259&amp;"),"</f>
        <v>(3351,null,1,'2026-04-28 00:00:00','003311030070000-33110300701','003311030070000-33110300701','小儿膀胱尿道全切除术',null,null,4395,3950,3360,null,4420,3965,3380,'次',27,1,'normal','main',0),</v>
      </c>
    </row>
    <row r="260" spans="1:23">
      <c r="A260">
        <v>3352</v>
      </c>
      <c r="B260" t="s">
        <v>2108</v>
      </c>
      <c r="C260">
        <v>1</v>
      </c>
      <c r="D260" s="21" t="s">
        <v>2109</v>
      </c>
      <c r="E260" t="s">
        <v>1038</v>
      </c>
      <c r="F260" t="s">
        <v>1038</v>
      </c>
      <c r="G260" t="s">
        <v>1039</v>
      </c>
      <c r="H260" t="s">
        <v>2108</v>
      </c>
      <c r="I260" t="s">
        <v>2108</v>
      </c>
      <c r="J260">
        <v>5020</v>
      </c>
      <c r="K260">
        <v>4550</v>
      </c>
      <c r="L260">
        <v>3870</v>
      </c>
      <c r="M260" t="s">
        <v>2108</v>
      </c>
      <c r="N260">
        <v>4420</v>
      </c>
      <c r="O260">
        <v>3965</v>
      </c>
      <c r="P260">
        <v>3380</v>
      </c>
      <c r="Q260" t="s">
        <v>40</v>
      </c>
      <c r="R260">
        <v>27</v>
      </c>
      <c r="S260">
        <v>1</v>
      </c>
      <c r="T260" t="s">
        <v>2110</v>
      </c>
      <c r="U260" t="s">
        <v>2111</v>
      </c>
      <c r="V260">
        <v>0</v>
      </c>
      <c r="W260" s="26" t="str">
        <f t="shared" si="4"/>
        <v>(3352,null,1,'2026-04-28 00:00:00','003311030070000-33110300703','003311030070000-33110300703','小儿经腹腔镜膀胱尿道全切除术',null,null,5020,4550,3870,null,4420,3965,3380,'次',27,1,'normal','main',0),</v>
      </c>
    </row>
    <row r="261" spans="1:23">
      <c r="A261">
        <v>3353</v>
      </c>
      <c r="B261" t="s">
        <v>2108</v>
      </c>
      <c r="C261">
        <v>1</v>
      </c>
      <c r="D261" s="21" t="s">
        <v>2109</v>
      </c>
      <c r="E261" t="s">
        <v>1046</v>
      </c>
      <c r="F261" t="s">
        <v>1046</v>
      </c>
      <c r="G261" t="s">
        <v>1047</v>
      </c>
      <c r="H261" t="s">
        <v>2108</v>
      </c>
      <c r="I261" t="s">
        <v>2108</v>
      </c>
      <c r="J261">
        <v>5090</v>
      </c>
      <c r="K261">
        <v>4580</v>
      </c>
      <c r="L261">
        <v>3890</v>
      </c>
      <c r="M261" t="s">
        <v>2108</v>
      </c>
      <c r="N261">
        <v>6500</v>
      </c>
      <c r="O261">
        <v>5850</v>
      </c>
      <c r="P261">
        <v>4980</v>
      </c>
      <c r="Q261" t="s">
        <v>40</v>
      </c>
      <c r="R261">
        <v>27</v>
      </c>
      <c r="S261">
        <v>1</v>
      </c>
      <c r="T261" t="s">
        <v>2110</v>
      </c>
      <c r="U261" t="s">
        <v>2111</v>
      </c>
      <c r="V261">
        <v>0</v>
      </c>
      <c r="W261" s="26" t="str">
        <f t="shared" si="4"/>
        <v>(3353,null,1,'2026-04-28 00:00:00','003311030060000-331103006','003311030060000-331103006','根治性膀胱全切除术',null,null,5090,4580,3890,null,6500,5850,4980,'次',27,1,'normal','main',0),</v>
      </c>
    </row>
    <row r="262" spans="1:23">
      <c r="A262">
        <v>3354</v>
      </c>
      <c r="B262" t="s">
        <v>2108</v>
      </c>
      <c r="C262">
        <v>1</v>
      </c>
      <c r="D262" s="21" t="s">
        <v>2109</v>
      </c>
      <c r="E262" t="s">
        <v>1050</v>
      </c>
      <c r="F262" t="s">
        <v>1050</v>
      </c>
      <c r="G262" t="s">
        <v>1051</v>
      </c>
      <c r="H262" t="s">
        <v>2108</v>
      </c>
      <c r="I262" t="s">
        <v>2108</v>
      </c>
      <c r="J262">
        <v>5715</v>
      </c>
      <c r="K262">
        <v>5180</v>
      </c>
      <c r="L262">
        <v>4400</v>
      </c>
      <c r="M262" t="s">
        <v>2108</v>
      </c>
      <c r="N262">
        <v>6500</v>
      </c>
      <c r="O262">
        <v>5850</v>
      </c>
      <c r="P262">
        <v>4980</v>
      </c>
      <c r="Q262" t="s">
        <v>40</v>
      </c>
      <c r="R262">
        <v>27</v>
      </c>
      <c r="S262">
        <v>1</v>
      </c>
      <c r="T262" t="s">
        <v>2110</v>
      </c>
      <c r="U262" t="s">
        <v>2111</v>
      </c>
      <c r="V262">
        <v>0</v>
      </c>
      <c r="W262" s="26" t="str">
        <f t="shared" si="4"/>
        <v>(3354,null,1,'2026-04-28 00:00:00','003311030060000-33110300602','003311030060000-33110300602','经腹腔镜根治性膀胱全切除术',null,null,5715,5180,4400,null,6500,5850,4980,'次',27,1,'normal','main',0),</v>
      </c>
    </row>
    <row r="263" spans="1:23">
      <c r="A263">
        <v>3355</v>
      </c>
      <c r="B263" t="s">
        <v>2108</v>
      </c>
      <c r="C263">
        <v>1</v>
      </c>
      <c r="D263" s="21" t="s">
        <v>2109</v>
      </c>
      <c r="E263" t="s">
        <v>1056</v>
      </c>
      <c r="F263" t="s">
        <v>1056</v>
      </c>
      <c r="G263" t="s">
        <v>1057</v>
      </c>
      <c r="H263" t="s">
        <v>2108</v>
      </c>
      <c r="I263" t="s">
        <v>2108</v>
      </c>
      <c r="J263">
        <v>6615</v>
      </c>
      <c r="K263">
        <v>5955</v>
      </c>
      <c r="L263">
        <v>5060</v>
      </c>
      <c r="M263" t="s">
        <v>2108</v>
      </c>
      <c r="N263">
        <v>8450</v>
      </c>
      <c r="O263">
        <v>7605</v>
      </c>
      <c r="P263">
        <v>6475</v>
      </c>
      <c r="Q263" t="s">
        <v>40</v>
      </c>
      <c r="R263">
        <v>27</v>
      </c>
      <c r="S263">
        <v>1</v>
      </c>
      <c r="T263" t="s">
        <v>2110</v>
      </c>
      <c r="U263" t="s">
        <v>2111</v>
      </c>
      <c r="V263">
        <v>0</v>
      </c>
      <c r="W263" s="26" t="str">
        <f t="shared" si="4"/>
        <v>(3355,null,1,'2026-04-28 00:00:00','003311030060000-33110300601','003311030060000-33110300601','小儿根治性膀胱全切除术',null,null,6615,5955,5060,null,8450,7605,6475,'次',27,1,'normal','main',0),</v>
      </c>
    </row>
    <row r="264" spans="1:23">
      <c r="A264">
        <v>3356</v>
      </c>
      <c r="B264" t="s">
        <v>2108</v>
      </c>
      <c r="C264">
        <v>1</v>
      </c>
      <c r="D264" s="21" t="s">
        <v>2109</v>
      </c>
      <c r="E264" t="s">
        <v>1058</v>
      </c>
      <c r="F264" t="s">
        <v>1058</v>
      </c>
      <c r="G264" t="s">
        <v>1059</v>
      </c>
      <c r="H264" t="s">
        <v>2108</v>
      </c>
      <c r="I264" t="s">
        <v>2108</v>
      </c>
      <c r="J264">
        <v>7240</v>
      </c>
      <c r="K264">
        <v>6555</v>
      </c>
      <c r="L264">
        <v>5570</v>
      </c>
      <c r="M264" t="s">
        <v>2108</v>
      </c>
      <c r="N264">
        <v>8450</v>
      </c>
      <c r="O264">
        <v>7605</v>
      </c>
      <c r="P264">
        <v>6475</v>
      </c>
      <c r="Q264" t="s">
        <v>40</v>
      </c>
      <c r="R264">
        <v>27</v>
      </c>
      <c r="S264">
        <v>1</v>
      </c>
      <c r="T264" t="s">
        <v>2110</v>
      </c>
      <c r="U264" t="s">
        <v>2111</v>
      </c>
      <c r="V264">
        <v>0</v>
      </c>
      <c r="W264" s="26" t="str">
        <f t="shared" si="4"/>
        <v>(3356,null,1,'2026-04-28 00:00:00','003311030060000-33110300603','003311030060000-33110300603','小儿经腹腔镜根治性膀胱全切除术',null,null,7240,6555,5570,null,8450,7605,6475,'次',27,1,'normal','main',0),</v>
      </c>
    </row>
    <row r="265" spans="1:23">
      <c r="A265">
        <v>3357</v>
      </c>
      <c r="B265" t="s">
        <v>2108</v>
      </c>
      <c r="C265">
        <v>1</v>
      </c>
      <c r="D265" s="21" t="s">
        <v>2109</v>
      </c>
      <c r="E265" t="s">
        <v>1065</v>
      </c>
      <c r="F265" t="s">
        <v>1065</v>
      </c>
      <c r="G265" t="s">
        <v>1066</v>
      </c>
      <c r="H265" t="s">
        <v>2108</v>
      </c>
      <c r="I265" t="s">
        <v>2108</v>
      </c>
      <c r="J265">
        <v>625</v>
      </c>
      <c r="K265">
        <v>600</v>
      </c>
      <c r="L265">
        <v>510</v>
      </c>
      <c r="M265" t="s">
        <v>2108</v>
      </c>
      <c r="N265">
        <v>810</v>
      </c>
      <c r="O265">
        <v>730</v>
      </c>
      <c r="P265">
        <v>620</v>
      </c>
      <c r="Q265" t="s">
        <v>40</v>
      </c>
      <c r="R265">
        <v>27</v>
      </c>
      <c r="S265">
        <v>1</v>
      </c>
      <c r="T265" t="s">
        <v>2110</v>
      </c>
      <c r="U265" t="s">
        <v>2111</v>
      </c>
      <c r="V265">
        <v>0</v>
      </c>
      <c r="W265" s="26" t="str">
        <f t="shared" si="4"/>
        <v>(3357,null,1,'2026-04-28 00:00:00','003312010080000-331201008','003312010080000-331201008','经尿道前列腺支架置入术',null,null,625,600,510,null,810,730,620,'次',27,1,'normal','main',0),</v>
      </c>
    </row>
    <row r="266" spans="1:23">
      <c r="A266">
        <v>3358</v>
      </c>
      <c r="B266" t="s">
        <v>2108</v>
      </c>
      <c r="C266">
        <v>1</v>
      </c>
      <c r="D266" s="21" t="s">
        <v>2109</v>
      </c>
      <c r="E266" t="s">
        <v>1067</v>
      </c>
      <c r="F266" t="s">
        <v>1067</v>
      </c>
      <c r="G266" t="s">
        <v>1068</v>
      </c>
      <c r="H266" t="s">
        <v>2108</v>
      </c>
      <c r="I266" t="s">
        <v>2108</v>
      </c>
      <c r="J266">
        <v>875</v>
      </c>
      <c r="K266">
        <v>825</v>
      </c>
      <c r="L266">
        <v>700</v>
      </c>
      <c r="M266" t="s">
        <v>2108</v>
      </c>
      <c r="N266">
        <v>810</v>
      </c>
      <c r="O266">
        <v>730</v>
      </c>
      <c r="P266">
        <v>620</v>
      </c>
      <c r="Q266" t="s">
        <v>40</v>
      </c>
      <c r="R266">
        <v>27</v>
      </c>
      <c r="S266">
        <v>1</v>
      </c>
      <c r="T266" t="s">
        <v>2110</v>
      </c>
      <c r="U266" t="s">
        <v>2111</v>
      </c>
      <c r="V266">
        <v>0</v>
      </c>
      <c r="W266" s="26" t="str">
        <f t="shared" si="4"/>
        <v>(3358,null,1,'2026-04-28 00:00:00','003312010080000-33120100802','003312010080000-33120100802','经膀胱镜下经尿道前列腺支架置入术',null,null,875,825,700,null,810,730,620,'次',27,1,'normal','main',0),</v>
      </c>
    </row>
    <row r="267" spans="1:23">
      <c r="A267">
        <v>3359</v>
      </c>
      <c r="B267" t="s">
        <v>2108</v>
      </c>
      <c r="C267">
        <v>1</v>
      </c>
      <c r="D267" s="21" t="s">
        <v>2109</v>
      </c>
      <c r="E267" t="s">
        <v>1071</v>
      </c>
      <c r="F267" t="s">
        <v>1071</v>
      </c>
      <c r="G267" t="s">
        <v>1072</v>
      </c>
      <c r="H267" t="s">
        <v>2108</v>
      </c>
      <c r="I267" t="s">
        <v>2108</v>
      </c>
      <c r="J267">
        <v>815</v>
      </c>
      <c r="K267">
        <v>780</v>
      </c>
      <c r="L267">
        <v>665</v>
      </c>
      <c r="M267" t="s">
        <v>2108</v>
      </c>
      <c r="N267">
        <v>1055</v>
      </c>
      <c r="O267">
        <v>950</v>
      </c>
      <c r="P267">
        <v>805</v>
      </c>
      <c r="Q267" t="s">
        <v>40</v>
      </c>
      <c r="R267">
        <v>27</v>
      </c>
      <c r="S267">
        <v>1</v>
      </c>
      <c r="T267" t="s">
        <v>2110</v>
      </c>
      <c r="U267" t="s">
        <v>2111</v>
      </c>
      <c r="V267">
        <v>0</v>
      </c>
      <c r="W267" s="26" t="str">
        <f t="shared" si="4"/>
        <v>(3359,null,1,'2026-04-28 00:00:00','003312010080000-33120100801','003312010080000-33120100801','小儿经尿道前列腺支架置入术',null,null,815,780,665,null,1055,950,805,'次',27,1,'normal','main',0),</v>
      </c>
    </row>
    <row r="268" spans="1:23">
      <c r="A268">
        <v>3360</v>
      </c>
      <c r="B268" t="s">
        <v>2108</v>
      </c>
      <c r="C268">
        <v>1</v>
      </c>
      <c r="D268" s="21" t="s">
        <v>2109</v>
      </c>
      <c r="E268" t="s">
        <v>1073</v>
      </c>
      <c r="F268" t="s">
        <v>1073</v>
      </c>
      <c r="G268" t="s">
        <v>1074</v>
      </c>
      <c r="H268" t="s">
        <v>2108</v>
      </c>
      <c r="I268" t="s">
        <v>2108</v>
      </c>
      <c r="J268">
        <v>1065</v>
      </c>
      <c r="K268">
        <v>1005</v>
      </c>
      <c r="L268">
        <v>855</v>
      </c>
      <c r="M268" t="s">
        <v>2108</v>
      </c>
      <c r="N268">
        <v>1055</v>
      </c>
      <c r="O268">
        <v>950</v>
      </c>
      <c r="P268">
        <v>805</v>
      </c>
      <c r="Q268" t="s">
        <v>40</v>
      </c>
      <c r="R268">
        <v>27</v>
      </c>
      <c r="S268">
        <v>1</v>
      </c>
      <c r="T268" t="s">
        <v>2110</v>
      </c>
      <c r="U268" t="s">
        <v>2111</v>
      </c>
      <c r="V268">
        <v>0</v>
      </c>
      <c r="W268" s="26" t="str">
        <f t="shared" si="4"/>
        <v>(3360,null,1,'2026-04-28 00:00:00','003312010080000-33120100803','003312010080000-33120100803','小儿经膀胱镜下经尿道前列腺支架置入术',null,null,1065,1005,855,null,1055,950,805,'次',27,1,'normal','main',0),</v>
      </c>
    </row>
    <row r="269" spans="1:23">
      <c r="A269">
        <v>3361</v>
      </c>
      <c r="B269" t="s">
        <v>2108</v>
      </c>
      <c r="C269">
        <v>1</v>
      </c>
      <c r="D269" s="21" t="s">
        <v>2109</v>
      </c>
      <c r="E269" t="s">
        <v>1085</v>
      </c>
      <c r="F269" t="s">
        <v>1085</v>
      </c>
      <c r="G269" t="s">
        <v>1086</v>
      </c>
      <c r="H269" t="s">
        <v>2108</v>
      </c>
      <c r="I269" t="s">
        <v>2108</v>
      </c>
      <c r="J269">
        <v>625</v>
      </c>
      <c r="K269">
        <v>600</v>
      </c>
      <c r="L269">
        <v>510</v>
      </c>
      <c r="M269" t="s">
        <v>2108</v>
      </c>
      <c r="N269">
        <v>1300</v>
      </c>
      <c r="O269">
        <v>1150</v>
      </c>
      <c r="P269">
        <v>950</v>
      </c>
      <c r="Q269" t="s">
        <v>40</v>
      </c>
      <c r="R269">
        <v>27</v>
      </c>
      <c r="S269">
        <v>1</v>
      </c>
      <c r="T269" t="s">
        <v>2110</v>
      </c>
      <c r="U269" t="s">
        <v>2111</v>
      </c>
      <c r="V269">
        <v>0</v>
      </c>
      <c r="W269" s="26" t="str">
        <f t="shared" si="4"/>
        <v>(3361,null,1,'2026-04-28 00:00:00','003311040200000-331104020','003311040200000-331104020','尿道粘膜脱垂切除术',null,null,625,600,510,null,1300,1150,950,'次',27,1,'normal','main',0),</v>
      </c>
    </row>
    <row r="270" spans="1:23">
      <c r="A270">
        <v>3362</v>
      </c>
      <c r="B270" t="s">
        <v>2108</v>
      </c>
      <c r="C270">
        <v>1</v>
      </c>
      <c r="D270" s="21" t="s">
        <v>2109</v>
      </c>
      <c r="E270" t="s">
        <v>1087</v>
      </c>
      <c r="F270" t="s">
        <v>1087</v>
      </c>
      <c r="G270" t="s">
        <v>1088</v>
      </c>
      <c r="H270" t="s">
        <v>2108</v>
      </c>
      <c r="I270" t="s">
        <v>2108</v>
      </c>
      <c r="J270">
        <v>1000</v>
      </c>
      <c r="K270">
        <v>960</v>
      </c>
      <c r="L270">
        <v>816</v>
      </c>
      <c r="M270" t="s">
        <v>2108</v>
      </c>
      <c r="N270">
        <v>1300</v>
      </c>
      <c r="O270">
        <v>1150</v>
      </c>
      <c r="P270">
        <v>950</v>
      </c>
      <c r="Q270" t="s">
        <v>40</v>
      </c>
      <c r="R270">
        <v>27</v>
      </c>
      <c r="S270">
        <v>1</v>
      </c>
      <c r="T270" t="s">
        <v>2110</v>
      </c>
      <c r="U270" t="s">
        <v>2111</v>
      </c>
      <c r="V270">
        <v>0</v>
      </c>
      <c r="W270" s="26" t="str">
        <f t="shared" si="4"/>
        <v>(3362,null,1,'2026-04-28 00:00:00','003311040100000-331104010','003311040100000-331104010','尿道旁腺囊肿摘除术',null,null,1000,960,816,null,1300,1150,950,'次',27,1,'normal','main',0),</v>
      </c>
    </row>
    <row r="271" spans="1:23">
      <c r="A271">
        <v>3363</v>
      </c>
      <c r="B271" t="s">
        <v>2108</v>
      </c>
      <c r="C271">
        <v>1</v>
      </c>
      <c r="D271" s="21" t="s">
        <v>2109</v>
      </c>
      <c r="E271" t="s">
        <v>1089</v>
      </c>
      <c r="F271" t="s">
        <v>1089</v>
      </c>
      <c r="G271" t="s">
        <v>1090</v>
      </c>
      <c r="H271" t="s">
        <v>2108</v>
      </c>
      <c r="I271" t="s">
        <v>2108</v>
      </c>
      <c r="J271">
        <v>1500</v>
      </c>
      <c r="K271">
        <v>1440</v>
      </c>
      <c r="L271">
        <v>1224</v>
      </c>
      <c r="M271" t="s">
        <v>2108</v>
      </c>
      <c r="N271">
        <v>1300</v>
      </c>
      <c r="O271">
        <v>1150</v>
      </c>
      <c r="P271">
        <v>950</v>
      </c>
      <c r="Q271" t="s">
        <v>40</v>
      </c>
      <c r="R271">
        <v>27</v>
      </c>
      <c r="S271">
        <v>1</v>
      </c>
      <c r="T271" t="s">
        <v>2110</v>
      </c>
      <c r="U271" t="s">
        <v>2111</v>
      </c>
      <c r="V271">
        <v>0</v>
      </c>
      <c r="W271" s="26" t="str">
        <f t="shared" si="4"/>
        <v>(3363,null,1,'2026-04-28 00:00:00','003311040070000-331104007','003311040070000-331104007','尿道狭窄瘢痕切除术',null,null,1500,1440,1224,null,1300,1150,950,'次',27,1,'normal','main',0),</v>
      </c>
    </row>
    <row r="272" spans="1:23">
      <c r="A272">
        <v>3364</v>
      </c>
      <c r="B272" t="s">
        <v>2108</v>
      </c>
      <c r="C272">
        <v>1</v>
      </c>
      <c r="D272" s="21" t="s">
        <v>2109</v>
      </c>
      <c r="E272" t="s">
        <v>1091</v>
      </c>
      <c r="F272" t="s">
        <v>1091</v>
      </c>
      <c r="G272" t="s">
        <v>1092</v>
      </c>
      <c r="H272" t="s">
        <v>2108</v>
      </c>
      <c r="I272" t="s">
        <v>2108</v>
      </c>
      <c r="J272">
        <v>1750</v>
      </c>
      <c r="K272">
        <v>1665</v>
      </c>
      <c r="L272">
        <v>1414</v>
      </c>
      <c r="M272" t="s">
        <v>2108</v>
      </c>
      <c r="N272">
        <v>1300</v>
      </c>
      <c r="O272">
        <v>1150</v>
      </c>
      <c r="P272">
        <v>950</v>
      </c>
      <c r="Q272" t="s">
        <v>40</v>
      </c>
      <c r="R272">
        <v>27</v>
      </c>
      <c r="S272">
        <v>1</v>
      </c>
      <c r="T272" t="s">
        <v>2110</v>
      </c>
      <c r="U272" t="s">
        <v>2111</v>
      </c>
      <c r="V272">
        <v>0</v>
      </c>
      <c r="W272" s="26" t="str">
        <f t="shared" si="4"/>
        <v>(3364,null,1,'2026-04-28 00:00:00','003311040070000-33110400702','003311040070000-33110400702','经膀胱镜尿道狭窄瘢痕切除术',null,null,1750,1665,1414,null,1300,1150,950,'次',27,1,'normal','main',0),</v>
      </c>
    </row>
    <row r="273" spans="1:23">
      <c r="A273">
        <v>3365</v>
      </c>
      <c r="B273" t="s">
        <v>2108</v>
      </c>
      <c r="C273">
        <v>1</v>
      </c>
      <c r="D273" s="21" t="s">
        <v>2109</v>
      </c>
      <c r="E273" t="s">
        <v>1093</v>
      </c>
      <c r="F273" t="s">
        <v>1093</v>
      </c>
      <c r="G273" t="s">
        <v>1094</v>
      </c>
      <c r="H273" t="s">
        <v>2108</v>
      </c>
      <c r="I273" t="s">
        <v>2108</v>
      </c>
      <c r="J273">
        <v>1250</v>
      </c>
      <c r="K273">
        <v>1200</v>
      </c>
      <c r="L273">
        <v>1020</v>
      </c>
      <c r="M273" t="s">
        <v>2108</v>
      </c>
      <c r="N273">
        <v>1300</v>
      </c>
      <c r="O273">
        <v>1150</v>
      </c>
      <c r="P273">
        <v>950</v>
      </c>
      <c r="Q273" t="s">
        <v>40</v>
      </c>
      <c r="R273">
        <v>27</v>
      </c>
      <c r="S273">
        <v>1</v>
      </c>
      <c r="T273" t="s">
        <v>2110</v>
      </c>
      <c r="U273" t="s">
        <v>2111</v>
      </c>
      <c r="V273">
        <v>0</v>
      </c>
      <c r="W273" s="26" t="str">
        <f t="shared" si="4"/>
        <v>(3365,null,1,'2026-04-28 00:00:00','003311040120000-331104012','003311040120000-331104012','重复尿道切除术',null,null,1250,1200,1020,null,1300,1150,950,'次',27,1,'normal','main',0),</v>
      </c>
    </row>
    <row r="274" spans="1:23">
      <c r="A274">
        <v>3366</v>
      </c>
      <c r="B274" t="s">
        <v>2108</v>
      </c>
      <c r="C274">
        <v>1</v>
      </c>
      <c r="D274" s="21" t="s">
        <v>2109</v>
      </c>
      <c r="E274" t="s">
        <v>1095</v>
      </c>
      <c r="F274" t="s">
        <v>1095</v>
      </c>
      <c r="G274" t="s">
        <v>1096</v>
      </c>
      <c r="H274" t="s">
        <v>2108</v>
      </c>
      <c r="I274" t="s">
        <v>2108</v>
      </c>
      <c r="J274">
        <v>1375</v>
      </c>
      <c r="K274">
        <v>1320</v>
      </c>
      <c r="L274">
        <v>1122</v>
      </c>
      <c r="M274" t="s">
        <v>2108</v>
      </c>
      <c r="N274">
        <v>1300</v>
      </c>
      <c r="O274">
        <v>1150</v>
      </c>
      <c r="P274">
        <v>950</v>
      </c>
      <c r="Q274" t="s">
        <v>40</v>
      </c>
      <c r="R274">
        <v>27</v>
      </c>
      <c r="S274">
        <v>1</v>
      </c>
      <c r="T274" t="s">
        <v>2110</v>
      </c>
      <c r="U274" t="s">
        <v>2111</v>
      </c>
      <c r="V274">
        <v>0</v>
      </c>
      <c r="W274" s="26" t="str">
        <f t="shared" si="4"/>
        <v>(3366,null,1,'2026-04-28 00:00:00','003311040090000-331104009','003311040090000-331104009','尿道憩室切除术',null,null,1375,1320,1122,null,1300,1150,950,'次',27,1,'normal','main',0),</v>
      </c>
    </row>
    <row r="275" spans="1:23">
      <c r="A275">
        <v>3367</v>
      </c>
      <c r="B275" t="s">
        <v>2108</v>
      </c>
      <c r="C275">
        <v>1</v>
      </c>
      <c r="D275" s="21" t="s">
        <v>2109</v>
      </c>
      <c r="E275" t="s">
        <v>1097</v>
      </c>
      <c r="F275" t="s">
        <v>1097</v>
      </c>
      <c r="G275" t="s">
        <v>1098</v>
      </c>
      <c r="H275" t="s">
        <v>2108</v>
      </c>
      <c r="I275" t="s">
        <v>2108</v>
      </c>
      <c r="J275">
        <v>1625</v>
      </c>
      <c r="K275">
        <v>1545</v>
      </c>
      <c r="L275">
        <v>1312</v>
      </c>
      <c r="M275" t="s">
        <v>2108</v>
      </c>
      <c r="N275">
        <v>1300</v>
      </c>
      <c r="O275">
        <v>1150</v>
      </c>
      <c r="P275">
        <v>950</v>
      </c>
      <c r="Q275" t="s">
        <v>40</v>
      </c>
      <c r="R275">
        <v>27</v>
      </c>
      <c r="S275">
        <v>1</v>
      </c>
      <c r="T275" t="s">
        <v>2110</v>
      </c>
      <c r="U275" t="s">
        <v>2111</v>
      </c>
      <c r="V275">
        <v>0</v>
      </c>
      <c r="W275" s="26" t="str">
        <f t="shared" si="4"/>
        <v>(3367,null,1,'2026-04-28 00:00:00','003311040090000-33110400902','003311040090000-33110400902','经膀胱镜尿道憩室切除术',null,null,1625,1545,1312,null,1300,1150,950,'次',27,1,'normal','main',0),</v>
      </c>
    </row>
    <row r="276" spans="1:23">
      <c r="A276">
        <v>3368</v>
      </c>
      <c r="B276" t="s">
        <v>2108</v>
      </c>
      <c r="C276">
        <v>1</v>
      </c>
      <c r="D276" s="21" t="s">
        <v>2109</v>
      </c>
      <c r="E276" t="s">
        <v>1099</v>
      </c>
      <c r="F276" t="s">
        <v>1099</v>
      </c>
      <c r="G276" t="s">
        <v>1100</v>
      </c>
      <c r="H276" t="s">
        <v>2108</v>
      </c>
      <c r="I276" t="s">
        <v>2108</v>
      </c>
      <c r="J276">
        <v>1250</v>
      </c>
      <c r="K276">
        <v>1200</v>
      </c>
      <c r="L276">
        <v>1020</v>
      </c>
      <c r="M276" t="s">
        <v>2108</v>
      </c>
      <c r="N276">
        <v>1300</v>
      </c>
      <c r="O276">
        <v>1150</v>
      </c>
      <c r="P276">
        <v>950</v>
      </c>
      <c r="Q276" t="s">
        <v>40</v>
      </c>
      <c r="R276">
        <v>27</v>
      </c>
      <c r="S276">
        <v>1</v>
      </c>
      <c r="T276" t="s">
        <v>2110</v>
      </c>
      <c r="U276" t="s">
        <v>2111</v>
      </c>
      <c r="V276">
        <v>0</v>
      </c>
      <c r="W276" s="26" t="str">
        <f t="shared" si="4"/>
        <v>(3368,null,1,'2026-04-28 00:00:00','003311040060000-331104006','003311040060000-331104006','尿道瓣膜电切术',null,null,1250,1200,1020,null,1300,1150,950,'次',27,1,'normal','main',0),</v>
      </c>
    </row>
    <row r="277" spans="1:23">
      <c r="A277">
        <v>3369</v>
      </c>
      <c r="B277" t="s">
        <v>2108</v>
      </c>
      <c r="C277">
        <v>1</v>
      </c>
      <c r="D277" s="21" t="s">
        <v>2109</v>
      </c>
      <c r="E277" t="s">
        <v>1101</v>
      </c>
      <c r="F277" t="s">
        <v>1101</v>
      </c>
      <c r="G277" t="s">
        <v>1102</v>
      </c>
      <c r="H277" t="s">
        <v>2108</v>
      </c>
      <c r="I277" t="s">
        <v>2108</v>
      </c>
      <c r="J277">
        <v>1500</v>
      </c>
      <c r="K277">
        <v>1425</v>
      </c>
      <c r="L277">
        <v>1210</v>
      </c>
      <c r="M277" t="s">
        <v>2108</v>
      </c>
      <c r="N277">
        <v>1300</v>
      </c>
      <c r="O277">
        <v>1150</v>
      </c>
      <c r="P277">
        <v>950</v>
      </c>
      <c r="Q277" t="s">
        <v>40</v>
      </c>
      <c r="R277">
        <v>27</v>
      </c>
      <c r="S277">
        <v>1</v>
      </c>
      <c r="T277" t="s">
        <v>2110</v>
      </c>
      <c r="U277" t="s">
        <v>2111</v>
      </c>
      <c r="V277">
        <v>0</v>
      </c>
      <c r="W277" s="26" t="str">
        <f t="shared" si="4"/>
        <v>(3369,null,1,'2026-04-28 00:00:00','003311040060000-33110400602','003311040060000-33110400602','经膀胱镜尿道瓣膜电切术',null,null,1500,1425,1210,null,1300,1150,950,'次',27,1,'normal','main',0),</v>
      </c>
    </row>
    <row r="278" spans="1:23">
      <c r="A278">
        <v>3370</v>
      </c>
      <c r="B278" t="s">
        <v>2108</v>
      </c>
      <c r="C278">
        <v>1</v>
      </c>
      <c r="D278" s="21" t="s">
        <v>2109</v>
      </c>
      <c r="E278" t="s">
        <v>1103</v>
      </c>
      <c r="F278" t="s">
        <v>1103</v>
      </c>
      <c r="G278" t="s">
        <v>1104</v>
      </c>
      <c r="H278" t="s">
        <v>2108</v>
      </c>
      <c r="I278" t="s">
        <v>2108</v>
      </c>
      <c r="J278">
        <v>1250</v>
      </c>
      <c r="K278">
        <v>1200</v>
      </c>
      <c r="L278">
        <v>1020</v>
      </c>
      <c r="M278" t="s">
        <v>2108</v>
      </c>
      <c r="N278">
        <v>1300</v>
      </c>
      <c r="O278">
        <v>1150</v>
      </c>
      <c r="P278">
        <v>950</v>
      </c>
      <c r="Q278" t="s">
        <v>40</v>
      </c>
      <c r="R278">
        <v>27</v>
      </c>
      <c r="S278">
        <v>1</v>
      </c>
      <c r="T278" t="s">
        <v>2110</v>
      </c>
      <c r="U278" t="s">
        <v>2111</v>
      </c>
      <c r="V278">
        <v>0</v>
      </c>
      <c r="W278" s="26" t="str">
        <f t="shared" si="4"/>
        <v>(3370,null,1,'2026-04-28 00:00:00','003311040190000-331104019','003311040190000-331104019','尿道瓣膜切除成形术',null,null,1250,1200,1020,null,1300,1150,950,'次',27,1,'normal','main',0),</v>
      </c>
    </row>
    <row r="279" spans="1:23">
      <c r="A279">
        <v>3371</v>
      </c>
      <c r="B279" t="s">
        <v>2108</v>
      </c>
      <c r="C279">
        <v>1</v>
      </c>
      <c r="D279" s="21" t="s">
        <v>2109</v>
      </c>
      <c r="E279" t="s">
        <v>1105</v>
      </c>
      <c r="F279" t="s">
        <v>1105</v>
      </c>
      <c r="G279" t="s">
        <v>1106</v>
      </c>
      <c r="H279" t="s">
        <v>2108</v>
      </c>
      <c r="I279" t="s">
        <v>2108</v>
      </c>
      <c r="J279">
        <v>1500</v>
      </c>
      <c r="K279">
        <v>1425</v>
      </c>
      <c r="L279">
        <v>1210</v>
      </c>
      <c r="M279" t="s">
        <v>2108</v>
      </c>
      <c r="N279">
        <v>1300</v>
      </c>
      <c r="O279">
        <v>1150</v>
      </c>
      <c r="P279">
        <v>950</v>
      </c>
      <c r="Q279" t="s">
        <v>40</v>
      </c>
      <c r="R279">
        <v>27</v>
      </c>
      <c r="S279">
        <v>1</v>
      </c>
      <c r="T279" t="s">
        <v>2110</v>
      </c>
      <c r="U279" t="s">
        <v>2111</v>
      </c>
      <c r="V279">
        <v>0</v>
      </c>
      <c r="W279" s="26" t="str">
        <f t="shared" si="4"/>
        <v>(3371,null,1,'2026-04-28 00:00:00','003311040190000-33110401902','003311040190000-33110401902','经膀胱镜尿道瓣膜切除成形术',null,null,1500,1425,1210,null,1300,1150,950,'次',27,1,'normal','main',0),</v>
      </c>
    </row>
    <row r="280" spans="1:23">
      <c r="A280">
        <v>3372</v>
      </c>
      <c r="B280" t="s">
        <v>2108</v>
      </c>
      <c r="C280">
        <v>1</v>
      </c>
      <c r="D280" s="21" t="s">
        <v>2109</v>
      </c>
      <c r="E280" t="s">
        <v>1107</v>
      </c>
      <c r="F280" t="s">
        <v>1107</v>
      </c>
      <c r="G280" t="s">
        <v>1108</v>
      </c>
      <c r="H280" t="s">
        <v>2108</v>
      </c>
      <c r="I280" t="s">
        <v>2108</v>
      </c>
      <c r="J280">
        <v>1000</v>
      </c>
      <c r="K280">
        <v>960</v>
      </c>
      <c r="L280">
        <v>816</v>
      </c>
      <c r="M280" t="s">
        <v>2108</v>
      </c>
      <c r="N280">
        <v>1300</v>
      </c>
      <c r="O280">
        <v>1150</v>
      </c>
      <c r="P280">
        <v>950</v>
      </c>
      <c r="Q280" t="s">
        <v>40</v>
      </c>
      <c r="R280">
        <v>27</v>
      </c>
      <c r="S280">
        <v>1</v>
      </c>
      <c r="T280" t="s">
        <v>2110</v>
      </c>
      <c r="U280" t="s">
        <v>2111</v>
      </c>
      <c r="V280">
        <v>0</v>
      </c>
      <c r="W280" s="26" t="str">
        <f t="shared" si="4"/>
        <v>(3372,null,1,'2026-04-28 00:00:00','003311040080000-331104008','003311040080000-331104008','尿道良性肿物切除术',null,null,1000,960,816,null,1300,1150,950,'次',27,1,'normal','main',0),</v>
      </c>
    </row>
    <row r="281" spans="1:23">
      <c r="A281">
        <v>3373</v>
      </c>
      <c r="B281" t="s">
        <v>2108</v>
      </c>
      <c r="C281">
        <v>1</v>
      </c>
      <c r="D281" s="21" t="s">
        <v>2109</v>
      </c>
      <c r="E281" t="s">
        <v>1109</v>
      </c>
      <c r="F281" t="s">
        <v>1109</v>
      </c>
      <c r="G281" t="s">
        <v>1110</v>
      </c>
      <c r="H281" t="s">
        <v>2108</v>
      </c>
      <c r="I281" t="s">
        <v>2108</v>
      </c>
      <c r="J281">
        <v>1250</v>
      </c>
      <c r="K281">
        <v>1185</v>
      </c>
      <c r="L281">
        <v>1006</v>
      </c>
      <c r="M281" t="s">
        <v>2108</v>
      </c>
      <c r="N281">
        <v>1300</v>
      </c>
      <c r="O281">
        <v>1150</v>
      </c>
      <c r="P281">
        <v>950</v>
      </c>
      <c r="Q281" t="s">
        <v>40</v>
      </c>
      <c r="R281">
        <v>27</v>
      </c>
      <c r="S281">
        <v>1</v>
      </c>
      <c r="T281" t="s">
        <v>2110</v>
      </c>
      <c r="U281" t="s">
        <v>2111</v>
      </c>
      <c r="V281">
        <v>0</v>
      </c>
      <c r="W281" s="26" t="str">
        <f t="shared" si="4"/>
        <v>(3373,null,1,'2026-04-28 00:00:00','003311040080000-33110400802','003311040080000-33110400802','经膀胱镜尿道良性肿物切除术',null,null,1250,1185,1006,null,1300,1150,950,'次',27,1,'normal','main',0),</v>
      </c>
    </row>
    <row r="282" spans="1:23">
      <c r="A282">
        <v>3374</v>
      </c>
      <c r="B282" t="s">
        <v>2108</v>
      </c>
      <c r="C282">
        <v>1</v>
      </c>
      <c r="D282" s="21" t="s">
        <v>2109</v>
      </c>
      <c r="E282" t="s">
        <v>1113</v>
      </c>
      <c r="F282" t="s">
        <v>1113</v>
      </c>
      <c r="G282" t="s">
        <v>1114</v>
      </c>
      <c r="H282" t="s">
        <v>2108</v>
      </c>
      <c r="I282" t="s">
        <v>2108</v>
      </c>
      <c r="J282">
        <v>815</v>
      </c>
      <c r="K282">
        <v>780</v>
      </c>
      <c r="L282">
        <v>665</v>
      </c>
      <c r="M282" t="s">
        <v>2108</v>
      </c>
      <c r="N282">
        <v>1690</v>
      </c>
      <c r="O282">
        <v>1495</v>
      </c>
      <c r="P282">
        <v>1235</v>
      </c>
      <c r="Q282" t="s">
        <v>40</v>
      </c>
      <c r="R282">
        <v>27</v>
      </c>
      <c r="S282">
        <v>1</v>
      </c>
      <c r="T282" t="s">
        <v>2110</v>
      </c>
      <c r="U282" t="s">
        <v>2111</v>
      </c>
      <c r="V282">
        <v>0</v>
      </c>
      <c r="W282" s="26" t="str">
        <f t="shared" si="4"/>
        <v>(3374,null,1,'2026-04-28 00:00:00','003311040200000-33110402001','003311040200000-33110402001','小儿尿道粘膜脱垂切除术',null,null,815,780,665,null,1690,1495,1235,'次',27,1,'normal','main',0),</v>
      </c>
    </row>
    <row r="283" spans="1:23">
      <c r="A283">
        <v>3375</v>
      </c>
      <c r="B283" t="s">
        <v>2108</v>
      </c>
      <c r="C283">
        <v>1</v>
      </c>
      <c r="D283" s="21" t="s">
        <v>2109</v>
      </c>
      <c r="E283" t="s">
        <v>1115</v>
      </c>
      <c r="F283" t="s">
        <v>1115</v>
      </c>
      <c r="G283" t="s">
        <v>1116</v>
      </c>
      <c r="H283" t="s">
        <v>2108</v>
      </c>
      <c r="I283" t="s">
        <v>2108</v>
      </c>
      <c r="J283">
        <v>1300</v>
      </c>
      <c r="K283">
        <v>1250</v>
      </c>
      <c r="L283">
        <v>1065</v>
      </c>
      <c r="M283" t="s">
        <v>2108</v>
      </c>
      <c r="N283">
        <v>1690</v>
      </c>
      <c r="O283">
        <v>1495</v>
      </c>
      <c r="P283">
        <v>1235</v>
      </c>
      <c r="Q283" t="s">
        <v>40</v>
      </c>
      <c r="R283">
        <v>27</v>
      </c>
      <c r="S283">
        <v>1</v>
      </c>
      <c r="T283" t="s">
        <v>2110</v>
      </c>
      <c r="U283" t="s">
        <v>2111</v>
      </c>
      <c r="V283">
        <v>0</v>
      </c>
      <c r="W283" s="26" t="str">
        <f t="shared" si="4"/>
        <v>(3375,null,1,'2026-04-28 00:00:00','003311040100000-33110401001','003311040100000-33110401001','小儿尿道旁腺囊肿摘除术',null,null,1300,1250,1065,null,1690,1495,1235,'次',27,1,'normal','main',0),</v>
      </c>
    </row>
    <row r="284" spans="1:23">
      <c r="A284">
        <v>3376</v>
      </c>
      <c r="B284" t="s">
        <v>2108</v>
      </c>
      <c r="C284">
        <v>1</v>
      </c>
      <c r="D284" s="21" t="s">
        <v>2109</v>
      </c>
      <c r="E284" t="s">
        <v>1117</v>
      </c>
      <c r="F284" t="s">
        <v>1117</v>
      </c>
      <c r="G284" t="s">
        <v>1118</v>
      </c>
      <c r="H284" t="s">
        <v>2108</v>
      </c>
      <c r="I284" t="s">
        <v>2108</v>
      </c>
      <c r="J284">
        <v>1950</v>
      </c>
      <c r="K284">
        <v>1870</v>
      </c>
      <c r="L284">
        <v>1590</v>
      </c>
      <c r="M284" t="s">
        <v>2108</v>
      </c>
      <c r="N284">
        <v>1690</v>
      </c>
      <c r="O284">
        <v>1495</v>
      </c>
      <c r="P284">
        <v>1235</v>
      </c>
      <c r="Q284" t="s">
        <v>40</v>
      </c>
      <c r="R284">
        <v>27</v>
      </c>
      <c r="S284">
        <v>1</v>
      </c>
      <c r="T284" t="s">
        <v>2110</v>
      </c>
      <c r="U284" t="s">
        <v>2111</v>
      </c>
      <c r="V284">
        <v>0</v>
      </c>
      <c r="W284" s="26" t="str">
        <f t="shared" si="4"/>
        <v>(3376,null,1,'2026-04-28 00:00:00','003311040070000-33110400701','003311040070000-33110400701','小儿尿道狭窄瘢痕切除术',null,null,1950,1870,1590,null,1690,1495,1235,'次',27,1,'normal','main',0),</v>
      </c>
    </row>
    <row r="285" spans="1:23">
      <c r="A285">
        <v>3377</v>
      </c>
      <c r="B285" t="s">
        <v>2108</v>
      </c>
      <c r="C285">
        <v>1</v>
      </c>
      <c r="D285" s="21" t="s">
        <v>2109</v>
      </c>
      <c r="E285" t="s">
        <v>1119</v>
      </c>
      <c r="F285" t="s">
        <v>1119</v>
      </c>
      <c r="G285" t="s">
        <v>1120</v>
      </c>
      <c r="H285" t="s">
        <v>2108</v>
      </c>
      <c r="I285" t="s">
        <v>2108</v>
      </c>
      <c r="J285">
        <v>2200</v>
      </c>
      <c r="K285">
        <v>2095</v>
      </c>
      <c r="L285">
        <v>1780</v>
      </c>
      <c r="M285" t="s">
        <v>2108</v>
      </c>
      <c r="N285">
        <v>1690</v>
      </c>
      <c r="O285">
        <v>1495</v>
      </c>
      <c r="P285">
        <v>1235</v>
      </c>
      <c r="Q285" t="s">
        <v>40</v>
      </c>
      <c r="R285">
        <v>27</v>
      </c>
      <c r="S285">
        <v>1</v>
      </c>
      <c r="T285" t="s">
        <v>2110</v>
      </c>
      <c r="U285" t="s">
        <v>2111</v>
      </c>
      <c r="V285">
        <v>0</v>
      </c>
      <c r="W285" s="26" t="str">
        <f t="shared" si="4"/>
        <v>(3377,null,1,'2026-04-28 00:00:00','003311040070000-33110400703','003311040070000-33110400703','小儿经膀胱镜尿道狭窄瘢痕切除术',null,null,2200,2095,1780,null,1690,1495,1235,'次',27,1,'normal','main',0),</v>
      </c>
    </row>
    <row r="286" spans="1:23">
      <c r="A286">
        <v>3378</v>
      </c>
      <c r="B286" t="s">
        <v>2108</v>
      </c>
      <c r="C286">
        <v>1</v>
      </c>
      <c r="D286" s="21" t="s">
        <v>2109</v>
      </c>
      <c r="E286" t="s">
        <v>1121</v>
      </c>
      <c r="F286" t="s">
        <v>1121</v>
      </c>
      <c r="G286" t="s">
        <v>1122</v>
      </c>
      <c r="H286" t="s">
        <v>2108</v>
      </c>
      <c r="I286" t="s">
        <v>2108</v>
      </c>
      <c r="J286">
        <v>1625</v>
      </c>
      <c r="K286">
        <v>1560</v>
      </c>
      <c r="L286">
        <v>1325</v>
      </c>
      <c r="M286" t="s">
        <v>2108</v>
      </c>
      <c r="N286">
        <v>1690</v>
      </c>
      <c r="O286">
        <v>1495</v>
      </c>
      <c r="P286">
        <v>1235</v>
      </c>
      <c r="Q286" t="s">
        <v>40</v>
      </c>
      <c r="R286">
        <v>27</v>
      </c>
      <c r="S286">
        <v>1</v>
      </c>
      <c r="T286" t="s">
        <v>2110</v>
      </c>
      <c r="U286" t="s">
        <v>2111</v>
      </c>
      <c r="V286">
        <v>0</v>
      </c>
      <c r="W286" s="26" t="str">
        <f t="shared" si="4"/>
        <v>(3378,null,1,'2026-04-28 00:00:00','003311040120000-33110401201','003311040120000-33110401201','小儿重复尿道切除术',null,null,1625,1560,1325,null,1690,1495,1235,'次',27,1,'normal','main',0),</v>
      </c>
    </row>
    <row r="287" spans="1:23">
      <c r="A287">
        <v>3379</v>
      </c>
      <c r="B287" t="s">
        <v>2108</v>
      </c>
      <c r="C287">
        <v>1</v>
      </c>
      <c r="D287" s="21" t="s">
        <v>2109</v>
      </c>
      <c r="E287" t="s">
        <v>1123</v>
      </c>
      <c r="F287" t="s">
        <v>1123</v>
      </c>
      <c r="G287" t="s">
        <v>1124</v>
      </c>
      <c r="H287" t="s">
        <v>2108</v>
      </c>
      <c r="I287" t="s">
        <v>2108</v>
      </c>
      <c r="J287">
        <v>1790</v>
      </c>
      <c r="K287">
        <v>1715</v>
      </c>
      <c r="L287">
        <v>1460</v>
      </c>
      <c r="M287" t="s">
        <v>2108</v>
      </c>
      <c r="N287">
        <v>1690</v>
      </c>
      <c r="O287">
        <v>1495</v>
      </c>
      <c r="P287">
        <v>1235</v>
      </c>
      <c r="Q287" t="s">
        <v>40</v>
      </c>
      <c r="R287">
        <v>27</v>
      </c>
      <c r="S287">
        <v>1</v>
      </c>
      <c r="T287" t="s">
        <v>2110</v>
      </c>
      <c r="U287" t="s">
        <v>2111</v>
      </c>
      <c r="V287">
        <v>0</v>
      </c>
      <c r="W287" s="26" t="str">
        <f t="shared" si="4"/>
        <v>(3379,null,1,'2026-04-28 00:00:00','003311040090000-33110400901','003311040090000-33110400901','小儿尿道憩室切除术',null,null,1790,1715,1460,null,1690,1495,1235,'次',27,1,'normal','main',0),</v>
      </c>
    </row>
    <row r="288" spans="1:23">
      <c r="A288">
        <v>3380</v>
      </c>
      <c r="B288" t="s">
        <v>2108</v>
      </c>
      <c r="C288">
        <v>1</v>
      </c>
      <c r="D288" s="21" t="s">
        <v>2109</v>
      </c>
      <c r="E288" t="s">
        <v>1125</v>
      </c>
      <c r="F288" t="s">
        <v>1125</v>
      </c>
      <c r="G288" t="s">
        <v>1126</v>
      </c>
      <c r="H288" t="s">
        <v>2108</v>
      </c>
      <c r="I288" t="s">
        <v>2108</v>
      </c>
      <c r="J288">
        <v>2040</v>
      </c>
      <c r="K288">
        <v>1940</v>
      </c>
      <c r="L288">
        <v>1650</v>
      </c>
      <c r="M288" t="s">
        <v>2108</v>
      </c>
      <c r="N288">
        <v>1690</v>
      </c>
      <c r="O288">
        <v>1495</v>
      </c>
      <c r="P288">
        <v>1235</v>
      </c>
      <c r="Q288" t="s">
        <v>40</v>
      </c>
      <c r="R288">
        <v>27</v>
      </c>
      <c r="S288">
        <v>1</v>
      </c>
      <c r="T288" t="s">
        <v>2110</v>
      </c>
      <c r="U288" t="s">
        <v>2111</v>
      </c>
      <c r="V288">
        <v>0</v>
      </c>
      <c r="W288" s="26" t="str">
        <f t="shared" si="4"/>
        <v>(3380,null,1,'2026-04-28 00:00:00','003311040090000-33110400903','003311040090000-33110400903','小儿经膀胱镜尿道憩室切除术',null,null,2040,1940,1650,null,1690,1495,1235,'次',27,1,'normal','main',0),</v>
      </c>
    </row>
    <row r="289" spans="1:23">
      <c r="A289">
        <v>3381</v>
      </c>
      <c r="B289" t="s">
        <v>2108</v>
      </c>
      <c r="C289">
        <v>1</v>
      </c>
      <c r="D289" s="21" t="s">
        <v>2109</v>
      </c>
      <c r="E289" t="s">
        <v>1127</v>
      </c>
      <c r="F289" t="s">
        <v>1127</v>
      </c>
      <c r="G289" t="s">
        <v>1128</v>
      </c>
      <c r="H289" t="s">
        <v>2108</v>
      </c>
      <c r="I289" t="s">
        <v>2108</v>
      </c>
      <c r="J289">
        <v>1625</v>
      </c>
      <c r="K289">
        <v>1560</v>
      </c>
      <c r="L289">
        <v>1325</v>
      </c>
      <c r="M289" t="s">
        <v>2108</v>
      </c>
      <c r="N289">
        <v>1690</v>
      </c>
      <c r="O289">
        <v>1495</v>
      </c>
      <c r="P289">
        <v>1235</v>
      </c>
      <c r="Q289" t="s">
        <v>40</v>
      </c>
      <c r="R289">
        <v>27</v>
      </c>
      <c r="S289">
        <v>1</v>
      </c>
      <c r="T289" t="s">
        <v>2110</v>
      </c>
      <c r="U289" t="s">
        <v>2111</v>
      </c>
      <c r="V289">
        <v>0</v>
      </c>
      <c r="W289" s="26" t="str">
        <f t="shared" si="4"/>
        <v>(3381,null,1,'2026-04-28 00:00:00','003311040060000-33110400601','003311040060000-33110400601','小儿尿道瓣膜电切术',null,null,1625,1560,1325,null,1690,1495,1235,'次',27,1,'normal','main',0),</v>
      </c>
    </row>
    <row r="290" spans="1:23">
      <c r="A290">
        <v>3382</v>
      </c>
      <c r="B290" t="s">
        <v>2108</v>
      </c>
      <c r="C290">
        <v>1</v>
      </c>
      <c r="D290" s="21" t="s">
        <v>2109</v>
      </c>
      <c r="E290" t="s">
        <v>1129</v>
      </c>
      <c r="F290" t="s">
        <v>1129</v>
      </c>
      <c r="G290" t="s">
        <v>1130</v>
      </c>
      <c r="H290" t="s">
        <v>2108</v>
      </c>
      <c r="I290" t="s">
        <v>2108</v>
      </c>
      <c r="J290">
        <v>1875</v>
      </c>
      <c r="K290">
        <v>1785</v>
      </c>
      <c r="L290">
        <v>1515</v>
      </c>
      <c r="M290" t="s">
        <v>2108</v>
      </c>
      <c r="N290">
        <v>1690</v>
      </c>
      <c r="O290">
        <v>1495</v>
      </c>
      <c r="P290">
        <v>1235</v>
      </c>
      <c r="Q290" t="s">
        <v>40</v>
      </c>
      <c r="R290">
        <v>27</v>
      </c>
      <c r="S290">
        <v>1</v>
      </c>
      <c r="T290" t="s">
        <v>2110</v>
      </c>
      <c r="U290" t="s">
        <v>2111</v>
      </c>
      <c r="V290">
        <v>0</v>
      </c>
      <c r="W290" s="26" t="str">
        <f t="shared" si="4"/>
        <v>(3382,null,1,'2026-04-28 00:00:00','003311040060000-33110400603','003311040060000-33110400603','小儿经膀胱镜尿道瓣膜电切术',null,null,1875,1785,1515,null,1690,1495,1235,'次',27,1,'normal','main',0),</v>
      </c>
    </row>
    <row r="291" spans="1:23">
      <c r="A291">
        <v>3383</v>
      </c>
      <c r="B291" t="s">
        <v>2108</v>
      </c>
      <c r="C291">
        <v>1</v>
      </c>
      <c r="D291" s="21" t="s">
        <v>2109</v>
      </c>
      <c r="E291" t="s">
        <v>1131</v>
      </c>
      <c r="F291" t="s">
        <v>1131</v>
      </c>
      <c r="G291" t="s">
        <v>1132</v>
      </c>
      <c r="H291" t="s">
        <v>2108</v>
      </c>
      <c r="I291" t="s">
        <v>2108</v>
      </c>
      <c r="J291">
        <v>1625</v>
      </c>
      <c r="K291">
        <v>1560</v>
      </c>
      <c r="L291">
        <v>1325</v>
      </c>
      <c r="M291" t="s">
        <v>2108</v>
      </c>
      <c r="N291">
        <v>1690</v>
      </c>
      <c r="O291">
        <v>1495</v>
      </c>
      <c r="P291">
        <v>1235</v>
      </c>
      <c r="Q291" t="s">
        <v>40</v>
      </c>
      <c r="R291">
        <v>27</v>
      </c>
      <c r="S291">
        <v>1</v>
      </c>
      <c r="T291" t="s">
        <v>2110</v>
      </c>
      <c r="U291" t="s">
        <v>2111</v>
      </c>
      <c r="V291">
        <v>0</v>
      </c>
      <c r="W291" s="26" t="str">
        <f t="shared" si="4"/>
        <v>(3383,null,1,'2026-04-28 00:00:00','003311040190000-33110401901','003311040190000-33110401901','小儿尿道瓣膜切除成形术',null,null,1625,1560,1325,null,1690,1495,1235,'次',27,1,'normal','main',0),</v>
      </c>
    </row>
    <row r="292" spans="1:23">
      <c r="A292">
        <v>3384</v>
      </c>
      <c r="B292" t="s">
        <v>2108</v>
      </c>
      <c r="C292">
        <v>1</v>
      </c>
      <c r="D292" s="21" t="s">
        <v>2109</v>
      </c>
      <c r="E292" t="s">
        <v>1133</v>
      </c>
      <c r="F292" t="s">
        <v>1133</v>
      </c>
      <c r="G292" t="s">
        <v>1134</v>
      </c>
      <c r="H292" t="s">
        <v>2108</v>
      </c>
      <c r="I292" t="s">
        <v>2108</v>
      </c>
      <c r="J292">
        <v>1875</v>
      </c>
      <c r="K292">
        <v>1785</v>
      </c>
      <c r="L292">
        <v>1515</v>
      </c>
      <c r="M292" t="s">
        <v>2108</v>
      </c>
      <c r="N292">
        <v>1690</v>
      </c>
      <c r="O292">
        <v>1495</v>
      </c>
      <c r="P292">
        <v>1235</v>
      </c>
      <c r="Q292" t="s">
        <v>40</v>
      </c>
      <c r="R292">
        <v>27</v>
      </c>
      <c r="S292">
        <v>1</v>
      </c>
      <c r="T292" t="s">
        <v>2110</v>
      </c>
      <c r="U292" t="s">
        <v>2111</v>
      </c>
      <c r="V292">
        <v>0</v>
      </c>
      <c r="W292" s="26" t="str">
        <f t="shared" si="4"/>
        <v>(3384,null,1,'2026-04-28 00:00:00','003311040190000-33110401903','003311040190000-33110401903','小儿经膀胱镜尿道瓣膜切除成形术',null,null,1875,1785,1515,null,1690,1495,1235,'次',27,1,'normal','main',0),</v>
      </c>
    </row>
    <row r="293" spans="1:23">
      <c r="A293">
        <v>3385</v>
      </c>
      <c r="B293" t="s">
        <v>2108</v>
      </c>
      <c r="C293">
        <v>1</v>
      </c>
      <c r="D293" s="21" t="s">
        <v>2109</v>
      </c>
      <c r="E293" t="s">
        <v>1135</v>
      </c>
      <c r="F293" t="s">
        <v>1135</v>
      </c>
      <c r="G293" t="s">
        <v>1136</v>
      </c>
      <c r="H293" t="s">
        <v>2108</v>
      </c>
      <c r="I293" t="s">
        <v>2108</v>
      </c>
      <c r="J293">
        <v>1300</v>
      </c>
      <c r="K293">
        <v>1250</v>
      </c>
      <c r="L293">
        <v>1065</v>
      </c>
      <c r="M293" t="s">
        <v>2108</v>
      </c>
      <c r="N293">
        <v>1690</v>
      </c>
      <c r="O293">
        <v>1495</v>
      </c>
      <c r="P293">
        <v>1235</v>
      </c>
      <c r="Q293" t="s">
        <v>40</v>
      </c>
      <c r="R293">
        <v>27</v>
      </c>
      <c r="S293">
        <v>1</v>
      </c>
      <c r="T293" t="s">
        <v>2110</v>
      </c>
      <c r="U293" t="s">
        <v>2111</v>
      </c>
      <c r="V293">
        <v>0</v>
      </c>
      <c r="W293" s="26" t="str">
        <f t="shared" si="4"/>
        <v>(3385,null,1,'2026-04-28 00:00:00','003311040080000-33110400801','003311040080000-33110400801','小儿尿道良性肿物切除术',null,null,1300,1250,1065,null,1690,1495,1235,'次',27,1,'normal','main',0),</v>
      </c>
    </row>
    <row r="294" spans="1:23">
      <c r="A294">
        <v>3386</v>
      </c>
      <c r="B294" t="s">
        <v>2108</v>
      </c>
      <c r="C294">
        <v>1</v>
      </c>
      <c r="D294" s="21" t="s">
        <v>2109</v>
      </c>
      <c r="E294" t="s">
        <v>1137</v>
      </c>
      <c r="F294" t="s">
        <v>1137</v>
      </c>
      <c r="G294" t="s">
        <v>1138</v>
      </c>
      <c r="H294" t="s">
        <v>2108</v>
      </c>
      <c r="I294" t="s">
        <v>2108</v>
      </c>
      <c r="J294">
        <v>1550</v>
      </c>
      <c r="K294">
        <v>1475</v>
      </c>
      <c r="L294">
        <v>1255</v>
      </c>
      <c r="M294" t="s">
        <v>2108</v>
      </c>
      <c r="N294">
        <v>1690</v>
      </c>
      <c r="O294">
        <v>1495</v>
      </c>
      <c r="P294">
        <v>1235</v>
      </c>
      <c r="Q294" t="s">
        <v>40</v>
      </c>
      <c r="R294">
        <v>27</v>
      </c>
      <c r="S294">
        <v>1</v>
      </c>
      <c r="T294" t="s">
        <v>2110</v>
      </c>
      <c r="U294" t="s">
        <v>2111</v>
      </c>
      <c r="V294">
        <v>0</v>
      </c>
      <c r="W294" s="26" t="str">
        <f t="shared" si="4"/>
        <v>(3386,null,1,'2026-04-28 00:00:00','003311040080000-33110400803','003311040080000-33110400803','小儿经膀胱镜尿道良性肿物切除术',null,null,1550,1475,1255,null,1690,1495,1235,'次',27,1,'normal','main',0),</v>
      </c>
    </row>
    <row r="295" spans="1:23">
      <c r="A295">
        <v>3387</v>
      </c>
      <c r="B295" t="s">
        <v>2108</v>
      </c>
      <c r="C295">
        <v>1</v>
      </c>
      <c r="D295" s="21" t="s">
        <v>2109</v>
      </c>
      <c r="E295" t="s">
        <v>1144</v>
      </c>
      <c r="F295" t="s">
        <v>1144</v>
      </c>
      <c r="G295" t="s">
        <v>1145</v>
      </c>
      <c r="H295" t="s">
        <v>2108</v>
      </c>
      <c r="I295" t="s">
        <v>2108</v>
      </c>
      <c r="J295">
        <v>2190</v>
      </c>
      <c r="K295">
        <v>1970</v>
      </c>
      <c r="L295">
        <v>1670</v>
      </c>
      <c r="M295" t="s">
        <v>2108</v>
      </c>
      <c r="N295">
        <v>2050</v>
      </c>
      <c r="O295">
        <v>1850</v>
      </c>
      <c r="P295">
        <v>1570</v>
      </c>
      <c r="Q295" t="s">
        <v>40</v>
      </c>
      <c r="R295">
        <v>27</v>
      </c>
      <c r="S295">
        <v>1</v>
      </c>
      <c r="T295" t="s">
        <v>2110</v>
      </c>
      <c r="U295" t="s">
        <v>2111</v>
      </c>
      <c r="V295">
        <v>0</v>
      </c>
      <c r="W295" s="26" t="str">
        <f t="shared" si="4"/>
        <v>(3387,null,1,'2026-04-28 00:00:00','003311040110000-331104011','003311040110000-331104011','尿道癌根治术',null,null,2190,1970,1670,null,2050,1850,1570,'次',27,1,'normal','main',0),</v>
      </c>
    </row>
    <row r="296" spans="1:23">
      <c r="A296">
        <v>3388</v>
      </c>
      <c r="B296" t="s">
        <v>2108</v>
      </c>
      <c r="C296">
        <v>1</v>
      </c>
      <c r="D296" s="21" t="s">
        <v>2109</v>
      </c>
      <c r="E296" t="s">
        <v>1147</v>
      </c>
      <c r="F296" t="s">
        <v>1147</v>
      </c>
      <c r="G296" t="s">
        <v>1148</v>
      </c>
      <c r="H296" t="s">
        <v>2108</v>
      </c>
      <c r="I296" t="s">
        <v>2108</v>
      </c>
      <c r="J296">
        <v>3125</v>
      </c>
      <c r="K296">
        <v>2810</v>
      </c>
      <c r="L296">
        <v>2385</v>
      </c>
      <c r="M296" t="s">
        <v>2108</v>
      </c>
      <c r="N296">
        <v>2050</v>
      </c>
      <c r="O296">
        <v>1850</v>
      </c>
      <c r="P296">
        <v>1570</v>
      </c>
      <c r="Q296" t="s">
        <v>40</v>
      </c>
      <c r="R296">
        <v>27</v>
      </c>
      <c r="S296">
        <v>1</v>
      </c>
      <c r="T296" t="s">
        <v>2110</v>
      </c>
      <c r="U296" t="s">
        <v>2111</v>
      </c>
      <c r="V296">
        <v>0</v>
      </c>
      <c r="W296" s="26" t="str">
        <f t="shared" si="4"/>
        <v>(3388,null,1,'2026-04-28 00:00:00','003311040110001-33110401101','003311040110001-33110401101','尿道癌根治术-膀胱全切，尿路重建',null,null,3125,2810,2385,null,2050,1850,1570,'次',27,1,'normal','main',0),</v>
      </c>
    </row>
    <row r="297" spans="1:23">
      <c r="A297">
        <v>3389</v>
      </c>
      <c r="B297" t="s">
        <v>2108</v>
      </c>
      <c r="C297">
        <v>1</v>
      </c>
      <c r="D297" s="21" t="s">
        <v>2109</v>
      </c>
      <c r="E297" t="s">
        <v>1150</v>
      </c>
      <c r="F297" t="s">
        <v>1150</v>
      </c>
      <c r="G297" t="s">
        <v>1151</v>
      </c>
      <c r="H297" t="s">
        <v>2108</v>
      </c>
      <c r="I297" t="s">
        <v>2108</v>
      </c>
      <c r="J297">
        <v>2815</v>
      </c>
      <c r="K297">
        <v>2570</v>
      </c>
      <c r="L297">
        <v>2180</v>
      </c>
      <c r="M297" t="s">
        <v>2108</v>
      </c>
      <c r="N297">
        <v>2050</v>
      </c>
      <c r="O297">
        <v>1850</v>
      </c>
      <c r="P297">
        <v>1570</v>
      </c>
      <c r="Q297" t="s">
        <v>40</v>
      </c>
      <c r="R297">
        <v>27</v>
      </c>
      <c r="S297">
        <v>1</v>
      </c>
      <c r="T297" t="s">
        <v>2110</v>
      </c>
      <c r="U297" t="s">
        <v>2111</v>
      </c>
      <c r="V297">
        <v>0</v>
      </c>
      <c r="W297" s="26" t="str">
        <f t="shared" si="4"/>
        <v>(3389,null,1,'2026-04-28 00:00:00','003311040110000-33110401104','003311040110000-33110401104','经腹腔镜尿道癌根治术',null,null,2815,2570,2180,null,2050,1850,1570,'次',27,1,'normal','main',0),</v>
      </c>
    </row>
    <row r="298" spans="1:23">
      <c r="A298">
        <v>3390</v>
      </c>
      <c r="B298" t="s">
        <v>2108</v>
      </c>
      <c r="C298">
        <v>1</v>
      </c>
      <c r="D298" s="21" t="s">
        <v>2109</v>
      </c>
      <c r="E298" t="s">
        <v>1152</v>
      </c>
      <c r="F298" t="s">
        <v>1152</v>
      </c>
      <c r="G298" t="s">
        <v>1153</v>
      </c>
      <c r="H298" t="s">
        <v>2108</v>
      </c>
      <c r="I298" t="s">
        <v>2108</v>
      </c>
      <c r="J298">
        <v>3750</v>
      </c>
      <c r="K298">
        <v>3410</v>
      </c>
      <c r="L298">
        <v>2895</v>
      </c>
      <c r="M298" t="s">
        <v>2108</v>
      </c>
      <c r="N298">
        <v>2050</v>
      </c>
      <c r="O298">
        <v>1850</v>
      </c>
      <c r="P298">
        <v>1570</v>
      </c>
      <c r="Q298" t="s">
        <v>40</v>
      </c>
      <c r="R298">
        <v>27</v>
      </c>
      <c r="S298">
        <v>1</v>
      </c>
      <c r="T298" t="s">
        <v>2110</v>
      </c>
      <c r="U298" t="s">
        <v>2111</v>
      </c>
      <c r="V298">
        <v>0</v>
      </c>
      <c r="W298" s="26" t="str">
        <f t="shared" si="4"/>
        <v>(3390,null,1,'2026-04-28 00:00:00','003311040110001-33110401105','003311040110001-33110401105','经腹腔镜尿道癌根治术-膀胱全切，尿路重建',null,null,3750,3410,2895,null,2050,1850,1570,'次',27,1,'normal','main',0),</v>
      </c>
    </row>
    <row r="299" spans="1:23">
      <c r="A299">
        <v>3391</v>
      </c>
      <c r="B299" t="s">
        <v>2108</v>
      </c>
      <c r="C299">
        <v>1</v>
      </c>
      <c r="D299" s="21" t="s">
        <v>2109</v>
      </c>
      <c r="E299" t="s">
        <v>1156</v>
      </c>
      <c r="F299" t="s">
        <v>1156</v>
      </c>
      <c r="G299" t="s">
        <v>1157</v>
      </c>
      <c r="H299" t="s">
        <v>2108</v>
      </c>
      <c r="I299" t="s">
        <v>2108</v>
      </c>
      <c r="J299">
        <v>2845</v>
      </c>
      <c r="K299">
        <v>2560</v>
      </c>
      <c r="L299">
        <v>2175</v>
      </c>
      <c r="M299" t="s">
        <v>2108</v>
      </c>
      <c r="N299">
        <v>2665</v>
      </c>
      <c r="O299">
        <v>2405</v>
      </c>
      <c r="P299">
        <v>2040</v>
      </c>
      <c r="Q299" t="s">
        <v>40</v>
      </c>
      <c r="R299">
        <v>27</v>
      </c>
      <c r="S299">
        <v>1</v>
      </c>
      <c r="T299" t="s">
        <v>2110</v>
      </c>
      <c r="U299" t="s">
        <v>2111</v>
      </c>
      <c r="V299">
        <v>0</v>
      </c>
      <c r="W299" s="26" t="str">
        <f t="shared" si="4"/>
        <v>(3391,null,1,'2026-04-28 00:00:00','003311040110000-33110401102','003311040110000-33110401102','小儿尿道癌根治术',null,null,2845,2560,2175,null,2665,2405,2040,'次',27,1,'normal','main',0),</v>
      </c>
    </row>
    <row r="300" spans="1:23">
      <c r="A300">
        <v>3392</v>
      </c>
      <c r="B300" t="s">
        <v>2108</v>
      </c>
      <c r="C300">
        <v>1</v>
      </c>
      <c r="D300" s="21" t="s">
        <v>2109</v>
      </c>
      <c r="E300" t="s">
        <v>1158</v>
      </c>
      <c r="F300" t="s">
        <v>1158</v>
      </c>
      <c r="G300" t="s">
        <v>1159</v>
      </c>
      <c r="H300" t="s">
        <v>2108</v>
      </c>
      <c r="I300" t="s">
        <v>2108</v>
      </c>
      <c r="J300">
        <v>4065</v>
      </c>
      <c r="K300">
        <v>3655</v>
      </c>
      <c r="L300">
        <v>3105</v>
      </c>
      <c r="M300" t="s">
        <v>2108</v>
      </c>
      <c r="N300">
        <v>2665</v>
      </c>
      <c r="O300">
        <v>2405</v>
      </c>
      <c r="P300">
        <v>2040</v>
      </c>
      <c r="Q300" t="s">
        <v>40</v>
      </c>
      <c r="R300">
        <v>27</v>
      </c>
      <c r="S300">
        <v>1</v>
      </c>
      <c r="T300" t="s">
        <v>2110</v>
      </c>
      <c r="U300" t="s">
        <v>2111</v>
      </c>
      <c r="V300">
        <v>0</v>
      </c>
      <c r="W300" s="26" t="str">
        <f t="shared" si="4"/>
        <v>(3392,null,1,'2026-04-28 00:00:00','003311040110001-33110401103','003311040110001-33110401103','小儿尿道癌根治术-膀胱全切，尿路重建',null,null,4065,3655,3105,null,2665,2405,2040,'次',27,1,'normal','main',0),</v>
      </c>
    </row>
    <row r="301" spans="1:23">
      <c r="A301">
        <v>3393</v>
      </c>
      <c r="B301" t="s">
        <v>2108</v>
      </c>
      <c r="C301">
        <v>1</v>
      </c>
      <c r="D301" s="21" t="s">
        <v>2109</v>
      </c>
      <c r="E301" t="s">
        <v>1160</v>
      </c>
      <c r="F301" t="s">
        <v>1160</v>
      </c>
      <c r="G301" t="s">
        <v>1161</v>
      </c>
      <c r="H301" t="s">
        <v>2108</v>
      </c>
      <c r="I301" t="s">
        <v>2108</v>
      </c>
      <c r="J301">
        <v>3470</v>
      </c>
      <c r="K301">
        <v>3160</v>
      </c>
      <c r="L301">
        <v>2685</v>
      </c>
      <c r="M301" t="s">
        <v>2108</v>
      </c>
      <c r="N301">
        <v>2665</v>
      </c>
      <c r="O301">
        <v>2405</v>
      </c>
      <c r="P301">
        <v>2040</v>
      </c>
      <c r="Q301" t="s">
        <v>40</v>
      </c>
      <c r="R301">
        <v>27</v>
      </c>
      <c r="S301">
        <v>1</v>
      </c>
      <c r="T301" t="s">
        <v>2110</v>
      </c>
      <c r="U301" t="s">
        <v>2111</v>
      </c>
      <c r="V301">
        <v>0</v>
      </c>
      <c r="W301" s="26" t="str">
        <f t="shared" si="4"/>
        <v>(3393,null,1,'2026-04-28 00:00:00','003311040110000-33110401106','003311040110000-33110401106','小儿经腹腔镜尿道癌根治术',null,null,3470,3160,2685,null,2665,2405,2040,'次',27,1,'normal','main',0),</v>
      </c>
    </row>
    <row r="302" spans="1:23">
      <c r="A302">
        <v>3394</v>
      </c>
      <c r="B302" t="s">
        <v>2108</v>
      </c>
      <c r="C302">
        <v>1</v>
      </c>
      <c r="D302" s="21" t="s">
        <v>2109</v>
      </c>
      <c r="E302" t="s">
        <v>1162</v>
      </c>
      <c r="F302" t="s">
        <v>1162</v>
      </c>
      <c r="G302" t="s">
        <v>1163</v>
      </c>
      <c r="H302" t="s">
        <v>2108</v>
      </c>
      <c r="I302" t="s">
        <v>2108</v>
      </c>
      <c r="J302">
        <v>4690</v>
      </c>
      <c r="K302">
        <v>4255</v>
      </c>
      <c r="L302">
        <v>3615</v>
      </c>
      <c r="M302" t="s">
        <v>2108</v>
      </c>
      <c r="N302">
        <v>2665</v>
      </c>
      <c r="O302">
        <v>2405</v>
      </c>
      <c r="P302">
        <v>2040</v>
      </c>
      <c r="Q302" t="s">
        <v>40</v>
      </c>
      <c r="R302">
        <v>27</v>
      </c>
      <c r="S302">
        <v>1</v>
      </c>
      <c r="T302" t="s">
        <v>2110</v>
      </c>
      <c r="U302" t="s">
        <v>2111</v>
      </c>
      <c r="V302">
        <v>0</v>
      </c>
      <c r="W302" s="26" t="str">
        <f t="shared" si="4"/>
        <v>(3394,null,1,'2026-04-28 00:00:00','003311040110001-33110401107','003311040110001-33110401107','小儿经腹腔镜尿道癌根治术-膀胱全切、尿路重建',null,null,4690,4255,3615,null,2665,2405,2040,'次',27,1,'normal','main',0),</v>
      </c>
    </row>
    <row r="303" spans="1:23">
      <c r="A303">
        <v>3395</v>
      </c>
      <c r="B303" t="s">
        <v>2108</v>
      </c>
      <c r="C303">
        <v>1</v>
      </c>
      <c r="D303" s="21" t="s">
        <v>2109</v>
      </c>
      <c r="E303" t="s">
        <v>1169</v>
      </c>
      <c r="F303" t="s">
        <v>1169</v>
      </c>
      <c r="G303" t="s">
        <v>1170</v>
      </c>
      <c r="H303" t="s">
        <v>2108</v>
      </c>
      <c r="I303" t="s">
        <v>2108</v>
      </c>
      <c r="J303">
        <v>55</v>
      </c>
      <c r="K303">
        <v>50</v>
      </c>
      <c r="L303">
        <v>42.5</v>
      </c>
      <c r="M303" t="s">
        <v>2108</v>
      </c>
      <c r="N303">
        <v>55</v>
      </c>
      <c r="O303">
        <v>50</v>
      </c>
      <c r="P303">
        <v>43</v>
      </c>
      <c r="Q303" t="s">
        <v>40</v>
      </c>
      <c r="R303">
        <v>27</v>
      </c>
      <c r="S303">
        <v>1</v>
      </c>
      <c r="T303" t="s">
        <v>2110</v>
      </c>
      <c r="U303" t="s">
        <v>2111</v>
      </c>
      <c r="V303">
        <v>0</v>
      </c>
      <c r="W303" s="26" t="str">
        <f t="shared" si="4"/>
        <v>(3395,null,1,'2026-04-28 00:00:00','003110000360000-311000036','003110000360000-311000036','尿道狭窄扩张术',null,null,55,50,42.5,null,55,50,43,'次',27,1,'normal','main',0),</v>
      </c>
    </row>
    <row r="304" spans="1:23">
      <c r="A304">
        <v>3396</v>
      </c>
      <c r="B304" t="s">
        <v>2108</v>
      </c>
      <c r="C304">
        <v>1</v>
      </c>
      <c r="D304" s="21" t="s">
        <v>2109</v>
      </c>
      <c r="E304" t="s">
        <v>1179</v>
      </c>
      <c r="F304" t="s">
        <v>1179</v>
      </c>
      <c r="G304" t="s">
        <v>1180</v>
      </c>
      <c r="H304" t="s">
        <v>2108</v>
      </c>
      <c r="I304" t="s">
        <v>2108</v>
      </c>
      <c r="J304">
        <v>2530</v>
      </c>
      <c r="K304">
        <v>2280</v>
      </c>
      <c r="L304">
        <v>1940</v>
      </c>
      <c r="M304" t="s">
        <v>2108</v>
      </c>
      <c r="N304">
        <v>2400</v>
      </c>
      <c r="O304">
        <v>2280</v>
      </c>
      <c r="P304">
        <v>1950</v>
      </c>
      <c r="Q304" t="s">
        <v>40</v>
      </c>
      <c r="R304">
        <v>27</v>
      </c>
      <c r="S304">
        <v>1</v>
      </c>
      <c r="T304" t="s">
        <v>2110</v>
      </c>
      <c r="U304" t="s">
        <v>2111</v>
      </c>
      <c r="V304">
        <v>0</v>
      </c>
      <c r="W304" s="26" t="str">
        <f t="shared" si="4"/>
        <v>(3396,null,1,'2026-04-28 00:00:00','003311040260000-331104026','003311040260000-331104026','尿道下裂修复术',null,null,2530,2280,1940,null,2400,2280,1950,'次',27,1,'normal','main',0),</v>
      </c>
    </row>
    <row r="305" spans="1:23">
      <c r="A305">
        <v>3397</v>
      </c>
      <c r="B305" t="s">
        <v>2108</v>
      </c>
      <c r="C305">
        <v>1</v>
      </c>
      <c r="D305" s="21" t="s">
        <v>2109</v>
      </c>
      <c r="E305" t="s">
        <v>1182</v>
      </c>
      <c r="F305" t="s">
        <v>1182</v>
      </c>
      <c r="G305" t="s">
        <v>1183</v>
      </c>
      <c r="H305" t="s">
        <v>2108</v>
      </c>
      <c r="I305" t="s">
        <v>2108</v>
      </c>
      <c r="J305">
        <v>2530</v>
      </c>
      <c r="K305">
        <v>2280</v>
      </c>
      <c r="L305">
        <v>1940</v>
      </c>
      <c r="M305" t="s">
        <v>2108</v>
      </c>
      <c r="N305">
        <v>2400</v>
      </c>
      <c r="O305">
        <v>2280</v>
      </c>
      <c r="P305">
        <v>1950</v>
      </c>
      <c r="Q305" t="s">
        <v>40</v>
      </c>
      <c r="R305">
        <v>27</v>
      </c>
      <c r="S305">
        <v>1</v>
      </c>
      <c r="T305" t="s">
        <v>2110</v>
      </c>
      <c r="U305" t="s">
        <v>2111</v>
      </c>
      <c r="V305">
        <v>0</v>
      </c>
      <c r="W305" s="26" t="str">
        <f t="shared" si="4"/>
        <v>(3397,null,1,'2026-04-28 00:00:00','003311040230000-331104023','003311040230000-331104023','尿道下裂Ⅰ期成形术',null,null,2530,2280,1940,null,2400,2280,1950,'次',27,1,'normal','main',0),</v>
      </c>
    </row>
    <row r="306" spans="1:23">
      <c r="A306">
        <v>3398</v>
      </c>
      <c r="B306" t="s">
        <v>2108</v>
      </c>
      <c r="C306">
        <v>1</v>
      </c>
      <c r="D306" s="21" t="s">
        <v>2109</v>
      </c>
      <c r="E306" t="s">
        <v>1184</v>
      </c>
      <c r="F306" t="s">
        <v>1184</v>
      </c>
      <c r="G306" t="s">
        <v>1185</v>
      </c>
      <c r="H306" t="s">
        <v>2108</v>
      </c>
      <c r="I306" t="s">
        <v>2108</v>
      </c>
      <c r="J306">
        <v>2530</v>
      </c>
      <c r="K306">
        <v>2280</v>
      </c>
      <c r="L306">
        <v>1940</v>
      </c>
      <c r="M306" t="s">
        <v>2108</v>
      </c>
      <c r="N306">
        <v>2400</v>
      </c>
      <c r="O306">
        <v>2280</v>
      </c>
      <c r="P306">
        <v>1950</v>
      </c>
      <c r="Q306" t="s">
        <v>40</v>
      </c>
      <c r="R306">
        <v>27</v>
      </c>
      <c r="S306">
        <v>1</v>
      </c>
      <c r="T306" t="s">
        <v>2110</v>
      </c>
      <c r="U306" t="s">
        <v>2111</v>
      </c>
      <c r="V306">
        <v>0</v>
      </c>
      <c r="W306" s="26" t="str">
        <f t="shared" si="4"/>
        <v>(3398,null,1,'2026-04-28 00:00:00','003311040240000-331104024','003311040240000-331104024','尿道下裂Ⅱ期成形术',null,null,2530,2280,1940,null,2400,2280,1950,'次',27,1,'normal','main',0),</v>
      </c>
    </row>
    <row r="307" spans="1:23">
      <c r="A307">
        <v>3399</v>
      </c>
      <c r="B307" t="s">
        <v>2108</v>
      </c>
      <c r="C307">
        <v>1</v>
      </c>
      <c r="D307" s="21" t="s">
        <v>2109</v>
      </c>
      <c r="E307" t="s">
        <v>1186</v>
      </c>
      <c r="F307" t="s">
        <v>1186</v>
      </c>
      <c r="G307" t="s">
        <v>1187</v>
      </c>
      <c r="H307" t="s">
        <v>2108</v>
      </c>
      <c r="I307" t="s">
        <v>2108</v>
      </c>
      <c r="J307">
        <v>1000</v>
      </c>
      <c r="K307">
        <v>960</v>
      </c>
      <c r="L307">
        <v>816</v>
      </c>
      <c r="M307" t="s">
        <v>2108</v>
      </c>
      <c r="N307">
        <v>2400</v>
      </c>
      <c r="O307">
        <v>2280</v>
      </c>
      <c r="P307">
        <v>1950</v>
      </c>
      <c r="Q307" t="s">
        <v>40</v>
      </c>
      <c r="R307">
        <v>27</v>
      </c>
      <c r="S307">
        <v>1</v>
      </c>
      <c r="T307" t="s">
        <v>2110</v>
      </c>
      <c r="U307" t="s">
        <v>2111</v>
      </c>
      <c r="V307">
        <v>0</v>
      </c>
      <c r="W307" s="26" t="str">
        <f t="shared" si="4"/>
        <v>(3399,null,1,'2026-04-28 00:00:00','003311040250000-331104025','003311040250000-331104025','尿道下裂阴茎下弯矫治术',null,null,1000,960,816,null,2400,2280,1950,'次',27,1,'normal','main',0),</v>
      </c>
    </row>
    <row r="308" spans="1:23">
      <c r="A308">
        <v>3400</v>
      </c>
      <c r="B308" t="s">
        <v>2108</v>
      </c>
      <c r="C308">
        <v>1</v>
      </c>
      <c r="D308" s="21" t="s">
        <v>2109</v>
      </c>
      <c r="E308" t="s">
        <v>1188</v>
      </c>
      <c r="F308" t="s">
        <v>1188</v>
      </c>
      <c r="G308" t="s">
        <v>1189</v>
      </c>
      <c r="H308" t="s">
        <v>2108</v>
      </c>
      <c r="I308" t="s">
        <v>2108</v>
      </c>
      <c r="J308">
        <v>2530</v>
      </c>
      <c r="K308">
        <v>2280</v>
      </c>
      <c r="L308">
        <v>1940</v>
      </c>
      <c r="M308" t="s">
        <v>2108</v>
      </c>
      <c r="N308">
        <v>2400</v>
      </c>
      <c r="O308">
        <v>2280</v>
      </c>
      <c r="P308">
        <v>1950</v>
      </c>
      <c r="Q308" t="s">
        <v>40</v>
      </c>
      <c r="R308">
        <v>27</v>
      </c>
      <c r="S308">
        <v>1</v>
      </c>
      <c r="T308" t="s">
        <v>2110</v>
      </c>
      <c r="U308" t="s">
        <v>2111</v>
      </c>
      <c r="V308">
        <v>0</v>
      </c>
      <c r="W308" s="26" t="str">
        <f t="shared" si="4"/>
        <v>(3400,null,1,'2026-04-28 00:00:00','003311040270000-331104027','003311040270000-331104027','尿道上裂修复术',null,null,2530,2280,1940,null,2400,2280,1950,'次',27,1,'normal','main',0),</v>
      </c>
    </row>
    <row r="309" spans="1:23">
      <c r="A309">
        <v>3401</v>
      </c>
      <c r="B309" t="s">
        <v>2108</v>
      </c>
      <c r="C309">
        <v>1</v>
      </c>
      <c r="D309" s="21" t="s">
        <v>2109</v>
      </c>
      <c r="E309" t="s">
        <v>1191</v>
      </c>
      <c r="F309" t="s">
        <v>1191</v>
      </c>
      <c r="G309" t="s">
        <v>1192</v>
      </c>
      <c r="H309" t="s">
        <v>2108</v>
      </c>
      <c r="I309" t="s">
        <v>2108</v>
      </c>
      <c r="J309">
        <v>2700</v>
      </c>
      <c r="K309">
        <v>2430</v>
      </c>
      <c r="L309">
        <v>2070</v>
      </c>
      <c r="M309" t="s">
        <v>2108</v>
      </c>
      <c r="N309">
        <v>2400</v>
      </c>
      <c r="O309">
        <v>2280</v>
      </c>
      <c r="P309">
        <v>1950</v>
      </c>
      <c r="Q309" t="s">
        <v>40</v>
      </c>
      <c r="R309">
        <v>27</v>
      </c>
      <c r="S309">
        <v>1</v>
      </c>
      <c r="T309" t="s">
        <v>2110</v>
      </c>
      <c r="U309" t="s">
        <v>2111</v>
      </c>
      <c r="V309">
        <v>0</v>
      </c>
      <c r="W309" s="26" t="str">
        <f t="shared" si="4"/>
        <v>(3401,null,1,'2026-04-28 00:00:00','003311040280000-331104028','003311040280000-331104028','尿道上裂膀胱外翻矫治术',null,null,2700,2430,2070,null,2400,2280,1950,'次',27,1,'normal','main',0),</v>
      </c>
    </row>
    <row r="310" spans="1:23">
      <c r="A310">
        <v>3402</v>
      </c>
      <c r="B310" t="s">
        <v>2108</v>
      </c>
      <c r="C310">
        <v>1</v>
      </c>
      <c r="D310" s="21" t="s">
        <v>2109</v>
      </c>
      <c r="E310" t="s">
        <v>1194</v>
      </c>
      <c r="F310" t="s">
        <v>1194</v>
      </c>
      <c r="G310" t="s">
        <v>1195</v>
      </c>
      <c r="H310" t="s">
        <v>2108</v>
      </c>
      <c r="I310" t="s">
        <v>2108</v>
      </c>
      <c r="J310">
        <v>3420</v>
      </c>
      <c r="K310">
        <v>3080</v>
      </c>
      <c r="L310">
        <v>2625</v>
      </c>
      <c r="M310" t="s">
        <v>2108</v>
      </c>
      <c r="N310">
        <v>2400</v>
      </c>
      <c r="O310">
        <v>2280</v>
      </c>
      <c r="P310">
        <v>1950</v>
      </c>
      <c r="Q310" t="s">
        <v>40</v>
      </c>
      <c r="R310">
        <v>27</v>
      </c>
      <c r="S310">
        <v>1</v>
      </c>
      <c r="T310" t="s">
        <v>2110</v>
      </c>
      <c r="U310" t="s">
        <v>2111</v>
      </c>
      <c r="V310">
        <v>0</v>
      </c>
      <c r="W310" s="26" t="str">
        <f t="shared" si="4"/>
        <v>(3402,null,1,'2026-04-28 00:00:00','003311040280001-33110402801','003311040280001-33110402801','尿道上裂膀胱外翻矫治术-骨盆截骨',null,null,3420,3080,2625,null,2400,2280,1950,'次',27,1,'normal','main',0),</v>
      </c>
    </row>
    <row r="311" spans="1:23">
      <c r="A311">
        <v>3403</v>
      </c>
      <c r="B311" t="s">
        <v>2108</v>
      </c>
      <c r="C311">
        <v>1</v>
      </c>
      <c r="D311" s="21" t="s">
        <v>2109</v>
      </c>
      <c r="E311" t="s">
        <v>1199</v>
      </c>
      <c r="F311" t="s">
        <v>1199</v>
      </c>
      <c r="G311" t="s">
        <v>1200</v>
      </c>
      <c r="H311" t="s">
        <v>2108</v>
      </c>
      <c r="I311" t="s">
        <v>2108</v>
      </c>
      <c r="J311">
        <v>3290</v>
      </c>
      <c r="K311">
        <v>2965</v>
      </c>
      <c r="L311">
        <v>2520</v>
      </c>
      <c r="M311" t="s">
        <v>2108</v>
      </c>
      <c r="N311">
        <v>3120</v>
      </c>
      <c r="O311">
        <v>2965</v>
      </c>
      <c r="P311">
        <v>2535</v>
      </c>
      <c r="Q311" t="s">
        <v>40</v>
      </c>
      <c r="R311">
        <v>27</v>
      </c>
      <c r="S311">
        <v>1</v>
      </c>
      <c r="T311" t="s">
        <v>2110</v>
      </c>
      <c r="U311" t="s">
        <v>2111</v>
      </c>
      <c r="V311">
        <v>0</v>
      </c>
      <c r="W311" s="26" t="str">
        <f t="shared" si="4"/>
        <v>(3403,null,1,'2026-04-28 00:00:00','003311040260000-33110402601','003311040260000-33110402601','小儿尿道下裂修复术',null,null,3290,2965,2520,null,3120,2965,2535,'次',27,1,'normal','main',0),</v>
      </c>
    </row>
    <row r="312" spans="1:23">
      <c r="A312">
        <v>3404</v>
      </c>
      <c r="B312" t="s">
        <v>2108</v>
      </c>
      <c r="C312">
        <v>1</v>
      </c>
      <c r="D312" s="21" t="s">
        <v>2109</v>
      </c>
      <c r="E312" t="s">
        <v>1201</v>
      </c>
      <c r="F312" t="s">
        <v>1201</v>
      </c>
      <c r="G312" t="s">
        <v>1202</v>
      </c>
      <c r="H312" t="s">
        <v>2108</v>
      </c>
      <c r="I312" t="s">
        <v>2108</v>
      </c>
      <c r="J312">
        <v>3290</v>
      </c>
      <c r="K312">
        <v>2965</v>
      </c>
      <c r="L312">
        <v>2520</v>
      </c>
      <c r="M312" t="s">
        <v>2108</v>
      </c>
      <c r="N312">
        <v>3120</v>
      </c>
      <c r="O312">
        <v>2965</v>
      </c>
      <c r="P312">
        <v>2535</v>
      </c>
      <c r="Q312" t="s">
        <v>40</v>
      </c>
      <c r="R312">
        <v>27</v>
      </c>
      <c r="S312">
        <v>1</v>
      </c>
      <c r="T312" t="s">
        <v>2110</v>
      </c>
      <c r="U312" t="s">
        <v>2111</v>
      </c>
      <c r="V312">
        <v>0</v>
      </c>
      <c r="W312" s="26" t="str">
        <f t="shared" si="4"/>
        <v>(3404,null,1,'2026-04-28 00:00:00','003311040230000-33110402301','003311040230000-33110402301','小儿尿道下裂Ⅰ期成形术',null,null,3290,2965,2520,null,3120,2965,2535,'次',27,1,'normal','main',0),</v>
      </c>
    </row>
    <row r="313" spans="1:23">
      <c r="A313">
        <v>3405</v>
      </c>
      <c r="B313" t="s">
        <v>2108</v>
      </c>
      <c r="C313">
        <v>1</v>
      </c>
      <c r="D313" s="21" t="s">
        <v>2109</v>
      </c>
      <c r="E313" t="s">
        <v>1203</v>
      </c>
      <c r="F313" t="s">
        <v>1203</v>
      </c>
      <c r="G313" t="s">
        <v>1204</v>
      </c>
      <c r="H313" t="s">
        <v>2108</v>
      </c>
      <c r="I313" t="s">
        <v>2108</v>
      </c>
      <c r="J313">
        <v>3290</v>
      </c>
      <c r="K313">
        <v>2965</v>
      </c>
      <c r="L313">
        <v>2520</v>
      </c>
      <c r="M313" t="s">
        <v>2108</v>
      </c>
      <c r="N313">
        <v>3120</v>
      </c>
      <c r="O313">
        <v>2965</v>
      </c>
      <c r="P313">
        <v>2535</v>
      </c>
      <c r="Q313" t="s">
        <v>40</v>
      </c>
      <c r="R313">
        <v>27</v>
      </c>
      <c r="S313">
        <v>1</v>
      </c>
      <c r="T313" t="s">
        <v>2110</v>
      </c>
      <c r="U313" t="s">
        <v>2111</v>
      </c>
      <c r="V313">
        <v>0</v>
      </c>
      <c r="W313" s="26" t="str">
        <f t="shared" si="4"/>
        <v>(3405,null,1,'2026-04-28 00:00:00','003311040240000-33110402401','003311040240000-33110402401','小儿尿道下裂Ⅱ期成形术',null,null,3290,2965,2520,null,3120,2965,2535,'次',27,1,'normal','main',0),</v>
      </c>
    </row>
    <row r="314" spans="1:23">
      <c r="A314">
        <v>3406</v>
      </c>
      <c r="B314" t="s">
        <v>2108</v>
      </c>
      <c r="C314">
        <v>1</v>
      </c>
      <c r="D314" s="21" t="s">
        <v>2109</v>
      </c>
      <c r="E314" t="s">
        <v>1205</v>
      </c>
      <c r="F314" t="s">
        <v>1205</v>
      </c>
      <c r="G314" t="s">
        <v>1206</v>
      </c>
      <c r="H314" t="s">
        <v>2108</v>
      </c>
      <c r="I314" t="s">
        <v>2108</v>
      </c>
      <c r="J314">
        <v>1300</v>
      </c>
      <c r="K314">
        <v>1250</v>
      </c>
      <c r="L314">
        <v>1065</v>
      </c>
      <c r="M314" t="s">
        <v>2108</v>
      </c>
      <c r="N314">
        <v>3120</v>
      </c>
      <c r="O314">
        <v>2965</v>
      </c>
      <c r="P314">
        <v>2535</v>
      </c>
      <c r="Q314" t="s">
        <v>40</v>
      </c>
      <c r="R314">
        <v>27</v>
      </c>
      <c r="S314">
        <v>1</v>
      </c>
      <c r="T314" t="s">
        <v>2110</v>
      </c>
      <c r="U314" t="s">
        <v>2111</v>
      </c>
      <c r="V314">
        <v>0</v>
      </c>
      <c r="W314" s="26" t="str">
        <f t="shared" si="4"/>
        <v>(3406,null,1,'2026-04-28 00:00:00','003311040250000-33110402501','003311040250000-33110402501','小儿尿道下裂阴茎下弯矫治术',null,null,1300,1250,1065,null,3120,2965,2535,'次',27,1,'normal','main',0),</v>
      </c>
    </row>
    <row r="315" spans="1:23">
      <c r="A315">
        <v>3407</v>
      </c>
      <c r="B315" t="s">
        <v>2108</v>
      </c>
      <c r="C315">
        <v>1</v>
      </c>
      <c r="D315" s="21" t="s">
        <v>2109</v>
      </c>
      <c r="E315" t="s">
        <v>1207</v>
      </c>
      <c r="F315" t="s">
        <v>1207</v>
      </c>
      <c r="G315" t="s">
        <v>1208</v>
      </c>
      <c r="H315" t="s">
        <v>2108</v>
      </c>
      <c r="I315" t="s">
        <v>2108</v>
      </c>
      <c r="J315">
        <v>3290</v>
      </c>
      <c r="K315">
        <v>2965</v>
      </c>
      <c r="L315">
        <v>2520</v>
      </c>
      <c r="M315" t="s">
        <v>2108</v>
      </c>
      <c r="N315">
        <v>3120</v>
      </c>
      <c r="O315">
        <v>2965</v>
      </c>
      <c r="P315">
        <v>2535</v>
      </c>
      <c r="Q315" t="s">
        <v>40</v>
      </c>
      <c r="R315">
        <v>27</v>
      </c>
      <c r="S315">
        <v>1</v>
      </c>
      <c r="T315" t="s">
        <v>2110</v>
      </c>
      <c r="U315" t="s">
        <v>2111</v>
      </c>
      <c r="V315">
        <v>0</v>
      </c>
      <c r="W315" s="26" t="str">
        <f t="shared" si="4"/>
        <v>(3407,null,1,'2026-04-28 00:00:00','003311040270000-33110402701','003311040270000-33110402701','小儿尿道上裂修复术',null,null,3290,2965,2520,null,3120,2965,2535,'次',27,1,'normal','main',0),</v>
      </c>
    </row>
    <row r="316" spans="1:23">
      <c r="A316">
        <v>3408</v>
      </c>
      <c r="B316" t="s">
        <v>2108</v>
      </c>
      <c r="C316">
        <v>1</v>
      </c>
      <c r="D316" s="21" t="s">
        <v>2109</v>
      </c>
      <c r="E316" t="s">
        <v>1209</v>
      </c>
      <c r="F316" t="s">
        <v>1209</v>
      </c>
      <c r="G316" t="s">
        <v>1210</v>
      </c>
      <c r="H316" t="s">
        <v>2108</v>
      </c>
      <c r="I316" t="s">
        <v>2108</v>
      </c>
      <c r="J316">
        <v>3510</v>
      </c>
      <c r="K316">
        <v>3160</v>
      </c>
      <c r="L316">
        <v>2685</v>
      </c>
      <c r="M316" t="s">
        <v>2108</v>
      </c>
      <c r="N316">
        <v>3120</v>
      </c>
      <c r="O316">
        <v>2965</v>
      </c>
      <c r="P316">
        <v>2535</v>
      </c>
      <c r="Q316" t="s">
        <v>40</v>
      </c>
      <c r="R316">
        <v>27</v>
      </c>
      <c r="S316">
        <v>1</v>
      </c>
      <c r="T316" t="s">
        <v>2110</v>
      </c>
      <c r="U316" t="s">
        <v>2111</v>
      </c>
      <c r="V316">
        <v>0</v>
      </c>
      <c r="W316" s="26" t="str">
        <f t="shared" si="4"/>
        <v>(3408,null,1,'2026-04-28 00:00:00','003311040280000-33110402802','003311040280000-33110402802','小儿尿道上裂膀胱外翻矫治术',null,null,3510,3160,2685,null,3120,2965,2535,'次',27,1,'normal','main',0),</v>
      </c>
    </row>
    <row r="317" spans="1:23">
      <c r="A317">
        <v>3409</v>
      </c>
      <c r="B317" t="s">
        <v>2108</v>
      </c>
      <c r="C317">
        <v>1</v>
      </c>
      <c r="D317" s="21" t="s">
        <v>2109</v>
      </c>
      <c r="E317" t="s">
        <v>1211</v>
      </c>
      <c r="F317" t="s">
        <v>1211</v>
      </c>
      <c r="G317" t="s">
        <v>1212</v>
      </c>
      <c r="H317" t="s">
        <v>2108</v>
      </c>
      <c r="I317" t="s">
        <v>2108</v>
      </c>
      <c r="J317">
        <v>4445</v>
      </c>
      <c r="K317">
        <v>4005</v>
      </c>
      <c r="L317">
        <v>3405</v>
      </c>
      <c r="M317" t="s">
        <v>2108</v>
      </c>
      <c r="N317">
        <v>3120</v>
      </c>
      <c r="O317">
        <v>2965</v>
      </c>
      <c r="P317">
        <v>2535</v>
      </c>
      <c r="Q317" t="s">
        <v>40</v>
      </c>
      <c r="R317">
        <v>27</v>
      </c>
      <c r="S317">
        <v>1</v>
      </c>
      <c r="T317" t="s">
        <v>2110</v>
      </c>
      <c r="U317" t="s">
        <v>2111</v>
      </c>
      <c r="V317">
        <v>0</v>
      </c>
      <c r="W317" s="26" t="str">
        <f t="shared" si="4"/>
        <v>(3409,null,1,'2026-04-28 00:00:00','003311040280001-33110402803','003311040280001-33110402803','小儿尿道上裂膀胱外翻矫治术-骨盆截骨',null,null,4445,4005,3405,null,3120,2965,2535,'次',27,1,'normal','main',0),</v>
      </c>
    </row>
    <row r="318" spans="1:23">
      <c r="A318">
        <v>3410</v>
      </c>
      <c r="B318" t="s">
        <v>2108</v>
      </c>
      <c r="C318">
        <v>1</v>
      </c>
      <c r="D318" s="21" t="s">
        <v>2109</v>
      </c>
      <c r="E318" t="s">
        <v>1223</v>
      </c>
      <c r="F318" t="s">
        <v>1223</v>
      </c>
      <c r="G318" t="s">
        <v>1224</v>
      </c>
      <c r="H318" t="s">
        <v>2108</v>
      </c>
      <c r="I318" t="s">
        <v>2108</v>
      </c>
      <c r="J318">
        <v>0</v>
      </c>
      <c r="K318">
        <v>0</v>
      </c>
      <c r="L318">
        <v>0</v>
      </c>
      <c r="M318" t="s">
        <v>2108</v>
      </c>
      <c r="N318">
        <v>3040</v>
      </c>
      <c r="O318">
        <v>2740</v>
      </c>
      <c r="P318">
        <v>2330</v>
      </c>
      <c r="Q318" t="s">
        <v>40</v>
      </c>
      <c r="R318">
        <v>27</v>
      </c>
      <c r="S318">
        <v>1</v>
      </c>
      <c r="T318" t="s">
        <v>2110</v>
      </c>
      <c r="U318" t="s">
        <v>2111</v>
      </c>
      <c r="V318">
        <v>0</v>
      </c>
      <c r="W318" s="26" t="str">
        <f t="shared" si="4"/>
        <v>(3410,null,1,'2026-04-28 00:00:00','003311030130000-331103013','003311030130000-331103013','胃代膀胱术',null,null,0,0,0,null,3040,2740,2330,'次',27,1,'normal','main',0),</v>
      </c>
    </row>
    <row r="319" spans="1:23">
      <c r="A319">
        <v>3411</v>
      </c>
      <c r="B319" t="s">
        <v>2108</v>
      </c>
      <c r="C319">
        <v>1</v>
      </c>
      <c r="D319" s="21" t="s">
        <v>2109</v>
      </c>
      <c r="E319" t="s">
        <v>1225</v>
      </c>
      <c r="F319" t="s">
        <v>1225</v>
      </c>
      <c r="G319" t="s">
        <v>1226</v>
      </c>
      <c r="H319" t="s">
        <v>2108</v>
      </c>
      <c r="I319" t="s">
        <v>2108</v>
      </c>
      <c r="J319">
        <v>0</v>
      </c>
      <c r="K319">
        <v>0</v>
      </c>
      <c r="L319">
        <v>0</v>
      </c>
      <c r="M319" t="s">
        <v>2108</v>
      </c>
      <c r="N319">
        <v>3040</v>
      </c>
      <c r="O319">
        <v>2740</v>
      </c>
      <c r="P319">
        <v>2330</v>
      </c>
      <c r="Q319" t="s">
        <v>40</v>
      </c>
      <c r="R319">
        <v>27</v>
      </c>
      <c r="S319">
        <v>1</v>
      </c>
      <c r="T319" t="s">
        <v>2110</v>
      </c>
      <c r="U319" t="s">
        <v>2111</v>
      </c>
      <c r="V319">
        <v>0</v>
      </c>
      <c r="W319" s="26" t="str">
        <f t="shared" si="4"/>
        <v>(3411,null,1,'2026-04-28 00:00:00','003311030130000-33110301302','003311030130000-33110301302','经腹腔镜胃代膀胱术',null,null,0,0,0,null,3040,2740,2330,'次',27,1,'normal','main',0),</v>
      </c>
    </row>
    <row r="320" spans="1:23">
      <c r="A320">
        <v>3412</v>
      </c>
      <c r="B320" t="s">
        <v>2108</v>
      </c>
      <c r="C320">
        <v>1</v>
      </c>
      <c r="D320" s="21" t="s">
        <v>2109</v>
      </c>
      <c r="E320" t="s">
        <v>1227</v>
      </c>
      <c r="F320" t="s">
        <v>1227</v>
      </c>
      <c r="G320" t="s">
        <v>1228</v>
      </c>
      <c r="H320" t="s">
        <v>2108</v>
      </c>
      <c r="I320" t="s">
        <v>2108</v>
      </c>
      <c r="J320">
        <v>5160</v>
      </c>
      <c r="K320">
        <v>4640</v>
      </c>
      <c r="L320">
        <v>3940</v>
      </c>
      <c r="M320" t="s">
        <v>2108</v>
      </c>
      <c r="N320">
        <v>3040</v>
      </c>
      <c r="O320">
        <v>2740</v>
      </c>
      <c r="P320">
        <v>2330</v>
      </c>
      <c r="Q320" t="s">
        <v>40</v>
      </c>
      <c r="R320">
        <v>27</v>
      </c>
      <c r="S320">
        <v>1</v>
      </c>
      <c r="T320" t="s">
        <v>2110</v>
      </c>
      <c r="U320" t="s">
        <v>2111</v>
      </c>
      <c r="V320">
        <v>0</v>
      </c>
      <c r="W320" s="26" t="str">
        <f t="shared" si="4"/>
        <v>(3412,null,1,'2026-04-28 00:00:00','003311030080000-331103008','003311030080000-331103008','膀胱再造术',null,null,5160,4640,3940,null,3040,2740,2330,'次',27,1,'normal','main',0),</v>
      </c>
    </row>
    <row r="321" spans="1:23">
      <c r="A321">
        <v>3413</v>
      </c>
      <c r="B321" t="s">
        <v>2108</v>
      </c>
      <c r="C321">
        <v>1</v>
      </c>
      <c r="D321" s="21" t="s">
        <v>2109</v>
      </c>
      <c r="E321" t="s">
        <v>1230</v>
      </c>
      <c r="F321" t="s">
        <v>1230</v>
      </c>
      <c r="G321" t="s">
        <v>1231</v>
      </c>
      <c r="H321" t="s">
        <v>2108</v>
      </c>
      <c r="I321" t="s">
        <v>2108</v>
      </c>
      <c r="J321">
        <v>5785</v>
      </c>
      <c r="K321">
        <v>5240</v>
      </c>
      <c r="L321">
        <v>4450</v>
      </c>
      <c r="M321" t="s">
        <v>2108</v>
      </c>
      <c r="N321">
        <v>3040</v>
      </c>
      <c r="O321">
        <v>2740</v>
      </c>
      <c r="P321">
        <v>2330</v>
      </c>
      <c r="Q321" t="s">
        <v>40</v>
      </c>
      <c r="R321">
        <v>27</v>
      </c>
      <c r="S321">
        <v>1</v>
      </c>
      <c r="T321" t="s">
        <v>2110</v>
      </c>
      <c r="U321" t="s">
        <v>2111</v>
      </c>
      <c r="V321">
        <v>0</v>
      </c>
      <c r="W321" s="26" t="str">
        <f t="shared" si="4"/>
        <v>(3413,null,1,'2026-04-28 00:00:00','003311030080000-33110300802','003311030080000-33110300802','经腹腔镜膀胱再造术',null,null,5785,5240,4450,null,3040,2740,2330,'次',27,1,'normal','main',0),</v>
      </c>
    </row>
    <row r="322" spans="1:23">
      <c r="A322">
        <v>3414</v>
      </c>
      <c r="B322" t="s">
        <v>2108</v>
      </c>
      <c r="C322">
        <v>1</v>
      </c>
      <c r="D322" s="21" t="s">
        <v>2109</v>
      </c>
      <c r="E322" t="s">
        <v>1232</v>
      </c>
      <c r="F322" t="s">
        <v>1232</v>
      </c>
      <c r="G322" t="s">
        <v>1233</v>
      </c>
      <c r="H322" t="s">
        <v>2108</v>
      </c>
      <c r="I322" t="s">
        <v>2108</v>
      </c>
      <c r="J322">
        <v>3040</v>
      </c>
      <c r="K322">
        <v>2740</v>
      </c>
      <c r="L322">
        <v>2330</v>
      </c>
      <c r="M322" t="s">
        <v>2108</v>
      </c>
      <c r="N322">
        <v>3040</v>
      </c>
      <c r="O322">
        <v>2740</v>
      </c>
      <c r="P322">
        <v>2330</v>
      </c>
      <c r="Q322" t="s">
        <v>40</v>
      </c>
      <c r="R322">
        <v>27</v>
      </c>
      <c r="S322">
        <v>1</v>
      </c>
      <c r="T322" t="s">
        <v>2110</v>
      </c>
      <c r="U322" t="s">
        <v>2111</v>
      </c>
      <c r="V322">
        <v>0</v>
      </c>
      <c r="W322" s="26" t="str">
        <f t="shared" si="4"/>
        <v>(3414,null,1,'2026-04-28 00:00:00','003311030090000-331103009','003311030090000-331103009','回肠膀胱术',null,null,3040,2740,2330,null,3040,2740,2330,'次',27,1,'normal','main',0),</v>
      </c>
    </row>
    <row r="323" spans="1:23">
      <c r="A323">
        <v>3415</v>
      </c>
      <c r="B323" t="s">
        <v>2108</v>
      </c>
      <c r="C323">
        <v>1</v>
      </c>
      <c r="D323" s="21" t="s">
        <v>2109</v>
      </c>
      <c r="E323" t="s">
        <v>1235</v>
      </c>
      <c r="F323" t="s">
        <v>1235</v>
      </c>
      <c r="G323" t="s">
        <v>1236</v>
      </c>
      <c r="H323" t="s">
        <v>2108</v>
      </c>
      <c r="I323" t="s">
        <v>2108</v>
      </c>
      <c r="J323">
        <v>3665</v>
      </c>
      <c r="K323">
        <v>3340</v>
      </c>
      <c r="L323">
        <v>2840</v>
      </c>
      <c r="M323" t="s">
        <v>2108</v>
      </c>
      <c r="N323">
        <v>3040</v>
      </c>
      <c r="O323">
        <v>2740</v>
      </c>
      <c r="P323">
        <v>2330</v>
      </c>
      <c r="Q323" t="s">
        <v>40</v>
      </c>
      <c r="R323">
        <v>27</v>
      </c>
      <c r="S323">
        <v>1</v>
      </c>
      <c r="T323" t="s">
        <v>2110</v>
      </c>
      <c r="U323" t="s">
        <v>2111</v>
      </c>
      <c r="V323">
        <v>0</v>
      </c>
      <c r="W323" s="26" t="str">
        <f t="shared" ref="W323:W386" si="5">"("&amp;A323&amp;","&amp;B323&amp;","&amp;C323&amp;",'"&amp;D323&amp;"','"&amp;E323&amp;"','"&amp;F323&amp;"','"&amp;G323&amp;"',"&amp;H323&amp;","&amp;I323&amp;","&amp;J323&amp;","&amp;K323&amp;","&amp;L323&amp;","&amp;M323&amp;","&amp;N323&amp;","&amp;O323&amp;","&amp;P323&amp;",'"&amp;Q323&amp;"',"&amp;R323&amp;","&amp;S323&amp;",'"&amp;T323&amp;"','"&amp;U323&amp;"',"&amp;V323&amp;"),"</f>
        <v>(3415,null,1,'2026-04-28 00:00:00','003311030090000-33110300902','003311030090000-33110300902','经腹腔镜回肠膀胱术',null,null,3665,3340,2840,null,3040,2740,2330,'次',27,1,'normal','main',0),</v>
      </c>
    </row>
    <row r="324" spans="1:23">
      <c r="A324">
        <v>3416</v>
      </c>
      <c r="B324" t="s">
        <v>2108</v>
      </c>
      <c r="C324">
        <v>1</v>
      </c>
      <c r="D324" s="21" t="s">
        <v>2109</v>
      </c>
      <c r="E324" t="s">
        <v>1237</v>
      </c>
      <c r="F324" t="s">
        <v>1237</v>
      </c>
      <c r="G324" t="s">
        <v>1238</v>
      </c>
      <c r="H324" t="s">
        <v>2108</v>
      </c>
      <c r="I324" t="s">
        <v>2108</v>
      </c>
      <c r="J324">
        <v>2700</v>
      </c>
      <c r="K324">
        <v>2430</v>
      </c>
      <c r="L324">
        <v>2070</v>
      </c>
      <c r="M324" t="s">
        <v>2108</v>
      </c>
      <c r="N324">
        <v>3040</v>
      </c>
      <c r="O324">
        <v>2740</v>
      </c>
      <c r="P324">
        <v>2330</v>
      </c>
      <c r="Q324" t="s">
        <v>40</v>
      </c>
      <c r="R324">
        <v>27</v>
      </c>
      <c r="S324">
        <v>1</v>
      </c>
      <c r="T324" t="s">
        <v>2110</v>
      </c>
      <c r="U324" t="s">
        <v>2111</v>
      </c>
      <c r="V324">
        <v>0</v>
      </c>
      <c r="W324" s="26" t="str">
        <f t="shared" si="5"/>
        <v>(3416,null,1,'2026-04-28 00:00:00','003311030120000-331103012','003311030120000-331103012','直肠膀胱术',null,null,2700,2430,2070,null,3040,2740,2330,'次',27,1,'normal','main',0),</v>
      </c>
    </row>
    <row r="325" spans="1:23">
      <c r="A325">
        <v>3417</v>
      </c>
      <c r="B325" t="s">
        <v>2108</v>
      </c>
      <c r="C325">
        <v>1</v>
      </c>
      <c r="D325" s="21" t="s">
        <v>2109</v>
      </c>
      <c r="E325" t="s">
        <v>1240</v>
      </c>
      <c r="F325" t="s">
        <v>1240</v>
      </c>
      <c r="G325" t="s">
        <v>1241</v>
      </c>
      <c r="H325" t="s">
        <v>2108</v>
      </c>
      <c r="I325" t="s">
        <v>2108</v>
      </c>
      <c r="J325">
        <v>3325</v>
      </c>
      <c r="K325">
        <v>3030</v>
      </c>
      <c r="L325">
        <v>2580</v>
      </c>
      <c r="M325" t="s">
        <v>2108</v>
      </c>
      <c r="N325">
        <v>3040</v>
      </c>
      <c r="O325">
        <v>2740</v>
      </c>
      <c r="P325">
        <v>2330</v>
      </c>
      <c r="Q325" t="s">
        <v>40</v>
      </c>
      <c r="R325">
        <v>27</v>
      </c>
      <c r="S325">
        <v>1</v>
      </c>
      <c r="T325" t="s">
        <v>2110</v>
      </c>
      <c r="U325" t="s">
        <v>2111</v>
      </c>
      <c r="V325">
        <v>0</v>
      </c>
      <c r="W325" s="26" t="str">
        <f t="shared" si="5"/>
        <v>(3417,null,1,'2026-04-28 00:00:00','003311030120000-33110301202','003311030120000-33110301202','经腹腔镜直肠膀胱术',null,null,3325,3030,2580,null,3040,2740,2330,'次',27,1,'normal','main',0),</v>
      </c>
    </row>
    <row r="326" spans="1:23">
      <c r="A326">
        <v>3418</v>
      </c>
      <c r="B326" t="s">
        <v>2108</v>
      </c>
      <c r="C326">
        <v>1</v>
      </c>
      <c r="D326" s="21" t="s">
        <v>2109</v>
      </c>
      <c r="E326" t="s">
        <v>1242</v>
      </c>
      <c r="F326" t="s">
        <v>1242</v>
      </c>
      <c r="G326" t="s">
        <v>1243</v>
      </c>
      <c r="H326" t="s">
        <v>2108</v>
      </c>
      <c r="I326" t="s">
        <v>2108</v>
      </c>
      <c r="J326">
        <v>3040</v>
      </c>
      <c r="K326">
        <v>2740</v>
      </c>
      <c r="L326">
        <v>2330</v>
      </c>
      <c r="M326" t="s">
        <v>2108</v>
      </c>
      <c r="N326">
        <v>3040</v>
      </c>
      <c r="O326">
        <v>2740</v>
      </c>
      <c r="P326">
        <v>2330</v>
      </c>
      <c r="Q326" t="s">
        <v>40</v>
      </c>
      <c r="R326">
        <v>27</v>
      </c>
      <c r="S326">
        <v>1</v>
      </c>
      <c r="T326" t="s">
        <v>2110</v>
      </c>
      <c r="U326" t="s">
        <v>2111</v>
      </c>
      <c r="V326">
        <v>0</v>
      </c>
      <c r="W326" s="26" t="str">
        <f t="shared" si="5"/>
        <v>(3418,null,1,'2026-04-28 00:00:00','003311030110000-331103011','003311030110000-331103011','回肠扩大膀胱术',null,null,3040,2740,2330,null,3040,2740,2330,'次',27,1,'normal','main',0),</v>
      </c>
    </row>
    <row r="327" spans="1:23">
      <c r="A327">
        <v>3419</v>
      </c>
      <c r="B327" t="s">
        <v>2108</v>
      </c>
      <c r="C327">
        <v>1</v>
      </c>
      <c r="D327" s="21" t="s">
        <v>2109</v>
      </c>
      <c r="E327" t="s">
        <v>1245</v>
      </c>
      <c r="F327" t="s">
        <v>1245</v>
      </c>
      <c r="G327" t="s">
        <v>1246</v>
      </c>
      <c r="H327" t="s">
        <v>2108</v>
      </c>
      <c r="I327" t="s">
        <v>2108</v>
      </c>
      <c r="J327">
        <v>3665</v>
      </c>
      <c r="K327">
        <v>3340</v>
      </c>
      <c r="L327">
        <v>2840</v>
      </c>
      <c r="M327" t="s">
        <v>2108</v>
      </c>
      <c r="N327">
        <v>3040</v>
      </c>
      <c r="O327">
        <v>2740</v>
      </c>
      <c r="P327">
        <v>2330</v>
      </c>
      <c r="Q327" t="s">
        <v>40</v>
      </c>
      <c r="R327">
        <v>27</v>
      </c>
      <c r="S327">
        <v>1</v>
      </c>
      <c r="T327" t="s">
        <v>2110</v>
      </c>
      <c r="U327" t="s">
        <v>2111</v>
      </c>
      <c r="V327">
        <v>0</v>
      </c>
      <c r="W327" s="26" t="str">
        <f t="shared" si="5"/>
        <v>(3419,null,1,'2026-04-28 00:00:00','003311030110000-33110301102','003311030110000-33110301102','经腹腔镜回肠扩大膀胱术',null,null,3665,3340,2840,null,3040,2740,2330,'次',27,1,'normal','main',0),</v>
      </c>
    </row>
    <row r="328" spans="1:23">
      <c r="A328">
        <v>3420</v>
      </c>
      <c r="B328" t="s">
        <v>2108</v>
      </c>
      <c r="C328">
        <v>1</v>
      </c>
      <c r="D328" s="21" t="s">
        <v>2109</v>
      </c>
      <c r="E328" t="s">
        <v>1250</v>
      </c>
      <c r="F328" t="s">
        <v>1250</v>
      </c>
      <c r="G328" t="s">
        <v>1251</v>
      </c>
      <c r="H328" t="s">
        <v>2108</v>
      </c>
      <c r="I328" t="s">
        <v>2108</v>
      </c>
      <c r="J328">
        <v>3380</v>
      </c>
      <c r="K328">
        <v>3040</v>
      </c>
      <c r="L328">
        <v>2580</v>
      </c>
      <c r="M328" t="s">
        <v>2108</v>
      </c>
      <c r="N328">
        <v>3850</v>
      </c>
      <c r="O328">
        <v>3470</v>
      </c>
      <c r="P328">
        <v>2950</v>
      </c>
      <c r="Q328" t="s">
        <v>40</v>
      </c>
      <c r="R328">
        <v>27</v>
      </c>
      <c r="S328">
        <v>1</v>
      </c>
      <c r="T328" t="s">
        <v>2110</v>
      </c>
      <c r="U328" t="s">
        <v>2111</v>
      </c>
      <c r="V328">
        <v>0</v>
      </c>
      <c r="W328" s="26" t="str">
        <f t="shared" si="5"/>
        <v>(3420,null,1,'2026-04-28 00:00:00','003311030140000-331103014','003311030140000-331103014','肠道原位膀胱术',null,null,3380,3040,2580,null,3850,3470,2950,'次',27,1,'normal','main',0),</v>
      </c>
    </row>
    <row r="329" spans="1:23">
      <c r="A329">
        <v>3421</v>
      </c>
      <c r="B329" t="s">
        <v>2108</v>
      </c>
      <c r="C329">
        <v>1</v>
      </c>
      <c r="D329" s="21" t="s">
        <v>2109</v>
      </c>
      <c r="E329" t="s">
        <v>1252</v>
      </c>
      <c r="F329" t="s">
        <v>1252</v>
      </c>
      <c r="G329" t="s">
        <v>1253</v>
      </c>
      <c r="H329" t="s">
        <v>2108</v>
      </c>
      <c r="I329" t="s">
        <v>2108</v>
      </c>
      <c r="J329">
        <v>4395</v>
      </c>
      <c r="K329">
        <v>3950</v>
      </c>
      <c r="L329">
        <v>3360</v>
      </c>
      <c r="M329" t="s">
        <v>2108</v>
      </c>
      <c r="N329">
        <v>3850</v>
      </c>
      <c r="O329">
        <v>3470</v>
      </c>
      <c r="P329">
        <v>2950</v>
      </c>
      <c r="Q329" t="s">
        <v>40</v>
      </c>
      <c r="R329">
        <v>27</v>
      </c>
      <c r="S329">
        <v>1</v>
      </c>
      <c r="T329" t="s">
        <v>2110</v>
      </c>
      <c r="U329" t="s">
        <v>2111</v>
      </c>
      <c r="V329">
        <v>0</v>
      </c>
      <c r="W329" s="26" t="str">
        <f t="shared" si="5"/>
        <v>(3421,null,1,'2026-04-28 00:00:00','003311030140000-33110301401','003311030140000-33110301401','小儿肠道原位膀胱术',null,null,4395,3950,3360,null,3850,3470,2950,'次',27,1,'normal','main',0),</v>
      </c>
    </row>
    <row r="330" spans="1:23">
      <c r="A330">
        <v>3422</v>
      </c>
      <c r="B330" t="s">
        <v>2108</v>
      </c>
      <c r="C330">
        <v>1</v>
      </c>
      <c r="D330" s="21" t="s">
        <v>2109</v>
      </c>
      <c r="E330" t="s">
        <v>1254</v>
      </c>
      <c r="F330" t="s">
        <v>1254</v>
      </c>
      <c r="G330" t="s">
        <v>1255</v>
      </c>
      <c r="H330" t="s">
        <v>2108</v>
      </c>
      <c r="I330" t="s">
        <v>2108</v>
      </c>
      <c r="J330">
        <v>4005</v>
      </c>
      <c r="K330">
        <v>3640</v>
      </c>
      <c r="L330">
        <v>3090</v>
      </c>
      <c r="M330" t="s">
        <v>2108</v>
      </c>
      <c r="N330">
        <v>3850</v>
      </c>
      <c r="O330">
        <v>3470</v>
      </c>
      <c r="P330">
        <v>2950</v>
      </c>
      <c r="Q330" t="s">
        <v>40</v>
      </c>
      <c r="R330">
        <v>27</v>
      </c>
      <c r="S330">
        <v>1</v>
      </c>
      <c r="T330" t="s">
        <v>2110</v>
      </c>
      <c r="U330" t="s">
        <v>2111</v>
      </c>
      <c r="V330">
        <v>0</v>
      </c>
      <c r="W330" s="26" t="str">
        <f t="shared" si="5"/>
        <v>(3422,null,1,'2026-04-28 00:00:00','003311030140000-33110301402','003311030140000-33110301402','经腹腔镜肠道原位膀胱术',null,null,4005,3640,3090,null,3850,3470,2950,'次',27,1,'normal','main',0),</v>
      </c>
    </row>
    <row r="331" spans="1:23">
      <c r="A331">
        <v>3423</v>
      </c>
      <c r="B331" t="s">
        <v>2108</v>
      </c>
      <c r="C331">
        <v>1</v>
      </c>
      <c r="D331" s="21" t="s">
        <v>2109</v>
      </c>
      <c r="E331" t="s">
        <v>1256</v>
      </c>
      <c r="F331" t="s">
        <v>1256</v>
      </c>
      <c r="G331" t="s">
        <v>1257</v>
      </c>
      <c r="H331" t="s">
        <v>2108</v>
      </c>
      <c r="I331" t="s">
        <v>2108</v>
      </c>
      <c r="J331">
        <v>5020</v>
      </c>
      <c r="K331">
        <v>4550</v>
      </c>
      <c r="L331">
        <v>3870</v>
      </c>
      <c r="M331" t="s">
        <v>2108</v>
      </c>
      <c r="N331">
        <v>3850</v>
      </c>
      <c r="O331">
        <v>3470</v>
      </c>
      <c r="P331">
        <v>2950</v>
      </c>
      <c r="Q331" t="s">
        <v>40</v>
      </c>
      <c r="R331">
        <v>27</v>
      </c>
      <c r="S331">
        <v>1</v>
      </c>
      <c r="T331" t="s">
        <v>2110</v>
      </c>
      <c r="U331" t="s">
        <v>2111</v>
      </c>
      <c r="V331">
        <v>0</v>
      </c>
      <c r="W331" s="26" t="str">
        <f t="shared" si="5"/>
        <v>(3423,null,1,'2026-04-28 00:00:00','003311030140000-33110301403','003311030140000-33110301403','小儿经腹腔镜肠道原位膀胱术',null,null,5020,4550,3870,null,3850,3470,2950,'次',27,1,'normal','main',0),</v>
      </c>
    </row>
    <row r="332" spans="1:23">
      <c r="A332">
        <v>3424</v>
      </c>
      <c r="B332" t="s">
        <v>2108</v>
      </c>
      <c r="C332">
        <v>1</v>
      </c>
      <c r="D332" s="21" t="s">
        <v>2109</v>
      </c>
      <c r="E332" t="s">
        <v>1258</v>
      </c>
      <c r="F332" t="s">
        <v>1258</v>
      </c>
      <c r="G332" t="s">
        <v>1259</v>
      </c>
      <c r="H332" t="s">
        <v>2108</v>
      </c>
      <c r="I332" t="s">
        <v>2108</v>
      </c>
      <c r="J332">
        <v>4130</v>
      </c>
      <c r="K332">
        <v>3720</v>
      </c>
      <c r="L332">
        <v>3160</v>
      </c>
      <c r="M332" t="s">
        <v>2108</v>
      </c>
      <c r="N332">
        <v>3850</v>
      </c>
      <c r="O332">
        <v>3470</v>
      </c>
      <c r="P332">
        <v>2950</v>
      </c>
      <c r="Q332" t="s">
        <v>40</v>
      </c>
      <c r="R332">
        <v>27</v>
      </c>
      <c r="S332">
        <v>1</v>
      </c>
      <c r="T332" t="s">
        <v>2110</v>
      </c>
      <c r="U332" t="s">
        <v>2111</v>
      </c>
      <c r="V332">
        <v>0</v>
      </c>
      <c r="W332" s="26" t="str">
        <f t="shared" si="5"/>
        <v>(3424,null,1,'2026-04-28 00:00:00','003311030100000-331103010','003311030100000-331103010','可控性回肠膀胱术',null,null,4130,3720,3160,null,3850,3470,2950,'次',27,1,'normal','main',0),</v>
      </c>
    </row>
    <row r="333" spans="1:23">
      <c r="A333">
        <v>3425</v>
      </c>
      <c r="B333" t="s">
        <v>2108</v>
      </c>
      <c r="C333">
        <v>1</v>
      </c>
      <c r="D333" s="21" t="s">
        <v>2109</v>
      </c>
      <c r="E333" t="s">
        <v>1260</v>
      </c>
      <c r="F333" t="s">
        <v>1260</v>
      </c>
      <c r="G333" t="s">
        <v>1261</v>
      </c>
      <c r="H333" t="s">
        <v>2108</v>
      </c>
      <c r="I333" t="s">
        <v>2108</v>
      </c>
      <c r="J333">
        <v>5370</v>
      </c>
      <c r="K333">
        <v>4835</v>
      </c>
      <c r="L333">
        <v>4110</v>
      </c>
      <c r="M333" t="s">
        <v>2108</v>
      </c>
      <c r="N333">
        <v>3850</v>
      </c>
      <c r="O333">
        <v>3470</v>
      </c>
      <c r="P333">
        <v>2950</v>
      </c>
      <c r="Q333" t="s">
        <v>40</v>
      </c>
      <c r="R333">
        <v>27</v>
      </c>
      <c r="S333">
        <v>1</v>
      </c>
      <c r="T333" t="s">
        <v>2110</v>
      </c>
      <c r="U333" t="s">
        <v>2111</v>
      </c>
      <c r="V333">
        <v>0</v>
      </c>
      <c r="W333" s="26" t="str">
        <f t="shared" si="5"/>
        <v>(3425,null,1,'2026-04-28 00:00:00','003311030100000-33110301001','003311030100000-33110301001','小儿可控性回肠膀胱术',null,null,5370,4835,4110,null,3850,3470,2950,'次',27,1,'normal','main',0),</v>
      </c>
    </row>
    <row r="334" spans="1:23">
      <c r="A334">
        <v>3426</v>
      </c>
      <c r="B334" t="s">
        <v>2108</v>
      </c>
      <c r="C334">
        <v>1</v>
      </c>
      <c r="D334" s="21" t="s">
        <v>2109</v>
      </c>
      <c r="E334" t="s">
        <v>1262</v>
      </c>
      <c r="F334" t="s">
        <v>1262</v>
      </c>
      <c r="G334" t="s">
        <v>1263</v>
      </c>
      <c r="H334" t="s">
        <v>2108</v>
      </c>
      <c r="I334" t="s">
        <v>2108</v>
      </c>
      <c r="J334">
        <v>4755</v>
      </c>
      <c r="K334">
        <v>4320</v>
      </c>
      <c r="L334">
        <v>3670</v>
      </c>
      <c r="M334" t="s">
        <v>2108</v>
      </c>
      <c r="N334">
        <v>3850</v>
      </c>
      <c r="O334">
        <v>3470</v>
      </c>
      <c r="P334">
        <v>2950</v>
      </c>
      <c r="Q334" t="s">
        <v>40</v>
      </c>
      <c r="R334">
        <v>27</v>
      </c>
      <c r="S334">
        <v>1</v>
      </c>
      <c r="T334" t="s">
        <v>2110</v>
      </c>
      <c r="U334" t="s">
        <v>2111</v>
      </c>
      <c r="V334">
        <v>0</v>
      </c>
      <c r="W334" s="26" t="str">
        <f t="shared" si="5"/>
        <v>(3426,null,1,'2026-04-28 00:00:00','003311030100000-33110301002','003311030100000-33110301002','经腹腔镜可控性回肠膀胱术',null,null,4755,4320,3670,null,3850,3470,2950,'次',27,1,'normal','main',0),</v>
      </c>
    </row>
    <row r="335" spans="1:23">
      <c r="A335">
        <v>3427</v>
      </c>
      <c r="B335" t="s">
        <v>2108</v>
      </c>
      <c r="C335">
        <v>1</v>
      </c>
      <c r="D335" s="21" t="s">
        <v>2109</v>
      </c>
      <c r="E335" t="s">
        <v>1264</v>
      </c>
      <c r="F335" t="s">
        <v>1264</v>
      </c>
      <c r="G335" t="s">
        <v>1265</v>
      </c>
      <c r="H335" t="s">
        <v>2108</v>
      </c>
      <c r="I335" t="s">
        <v>2108</v>
      </c>
      <c r="J335">
        <v>5995</v>
      </c>
      <c r="K335">
        <v>5435</v>
      </c>
      <c r="L335">
        <v>4620</v>
      </c>
      <c r="M335" t="s">
        <v>2108</v>
      </c>
      <c r="N335">
        <v>3850</v>
      </c>
      <c r="O335">
        <v>3470</v>
      </c>
      <c r="P335">
        <v>2950</v>
      </c>
      <c r="Q335" t="s">
        <v>40</v>
      </c>
      <c r="R335">
        <v>27</v>
      </c>
      <c r="S335">
        <v>1</v>
      </c>
      <c r="T335" t="s">
        <v>2110</v>
      </c>
      <c r="U335" t="s">
        <v>2111</v>
      </c>
      <c r="V335">
        <v>0</v>
      </c>
      <c r="W335" s="26" t="str">
        <f t="shared" si="5"/>
        <v>(3427,null,1,'2026-04-28 00:00:00','003311030100000-33110301003','003311030100000-33110301003','小儿经腹腔镜可控性回肠膀胱术',null,null,5995,5435,4620,null,3850,3470,2950,'次',27,1,'normal','main',0),</v>
      </c>
    </row>
    <row r="336" spans="1:23">
      <c r="A336">
        <v>3428</v>
      </c>
      <c r="B336" t="s">
        <v>2108</v>
      </c>
      <c r="C336">
        <v>1</v>
      </c>
      <c r="D336" s="21" t="s">
        <v>2109</v>
      </c>
      <c r="E336" t="s">
        <v>1270</v>
      </c>
      <c r="F336" t="s">
        <v>1270</v>
      </c>
      <c r="G336" t="s">
        <v>1271</v>
      </c>
      <c r="H336" t="s">
        <v>2108</v>
      </c>
      <c r="I336" t="s">
        <v>2108</v>
      </c>
      <c r="J336">
        <v>2190</v>
      </c>
      <c r="K336">
        <v>1970</v>
      </c>
      <c r="L336">
        <v>1670</v>
      </c>
      <c r="M336" t="s">
        <v>2108</v>
      </c>
      <c r="N336">
        <v>740</v>
      </c>
      <c r="O336">
        <v>670</v>
      </c>
      <c r="P336">
        <v>570</v>
      </c>
      <c r="Q336" t="s">
        <v>40</v>
      </c>
      <c r="R336">
        <v>27</v>
      </c>
      <c r="S336">
        <v>1</v>
      </c>
      <c r="T336" t="s">
        <v>2110</v>
      </c>
      <c r="U336" t="s">
        <v>2111</v>
      </c>
      <c r="V336">
        <v>0</v>
      </c>
      <c r="W336" s="26" t="str">
        <f t="shared" si="5"/>
        <v>(3428,null,1,'2026-04-28 00:00:00','003311020130000-331102013','003311020130000-331102013','输尿管皮肤造口术',null,null,2190,1970,1670,null,740,670,570,'次',27,1,'normal','main',0),</v>
      </c>
    </row>
    <row r="337" spans="1:23">
      <c r="A337">
        <v>3429</v>
      </c>
      <c r="B337" t="s">
        <v>2108</v>
      </c>
      <c r="C337">
        <v>1</v>
      </c>
      <c r="D337" s="21" t="s">
        <v>2109</v>
      </c>
      <c r="E337" t="s">
        <v>1273</v>
      </c>
      <c r="F337" t="s">
        <v>1273</v>
      </c>
      <c r="G337" t="s">
        <v>1274</v>
      </c>
      <c r="H337" t="s">
        <v>2108</v>
      </c>
      <c r="I337" t="s">
        <v>2108</v>
      </c>
      <c r="J337">
        <v>2845</v>
      </c>
      <c r="K337">
        <v>2560</v>
      </c>
      <c r="L337">
        <v>2175</v>
      </c>
      <c r="M337" t="s">
        <v>2108</v>
      </c>
      <c r="N337">
        <v>740</v>
      </c>
      <c r="O337">
        <v>670</v>
      </c>
      <c r="P337">
        <v>570</v>
      </c>
      <c r="Q337" t="s">
        <v>40</v>
      </c>
      <c r="R337">
        <v>27</v>
      </c>
      <c r="S337">
        <v>1</v>
      </c>
      <c r="T337" t="s">
        <v>2110</v>
      </c>
      <c r="U337" t="s">
        <v>2111</v>
      </c>
      <c r="V337">
        <v>0</v>
      </c>
      <c r="W337" s="26" t="str">
        <f t="shared" si="5"/>
        <v>(3429,null,1,'2026-04-28 00:00:00','003311020130000-33110201301','003311020130000-33110201301','小儿输尿管皮肤造口术',null,null,2845,2560,2175,null,740,670,570,'次',27,1,'normal','main',0),</v>
      </c>
    </row>
    <row r="338" spans="1:23">
      <c r="A338">
        <v>3430</v>
      </c>
      <c r="B338" t="s">
        <v>2108</v>
      </c>
      <c r="C338">
        <v>1</v>
      </c>
      <c r="D338" s="21" t="s">
        <v>2109</v>
      </c>
      <c r="E338" t="s">
        <v>1275</v>
      </c>
      <c r="F338" t="s">
        <v>1275</v>
      </c>
      <c r="G338" t="s">
        <v>1276</v>
      </c>
      <c r="H338" t="s">
        <v>2108</v>
      </c>
      <c r="I338" t="s">
        <v>2108</v>
      </c>
      <c r="J338">
        <v>2815</v>
      </c>
      <c r="K338">
        <v>2570</v>
      </c>
      <c r="L338">
        <v>2180</v>
      </c>
      <c r="M338" t="s">
        <v>2108</v>
      </c>
      <c r="N338">
        <v>740</v>
      </c>
      <c r="O338">
        <v>670</v>
      </c>
      <c r="P338">
        <v>570</v>
      </c>
      <c r="Q338" t="s">
        <v>40</v>
      </c>
      <c r="R338">
        <v>27</v>
      </c>
      <c r="S338">
        <v>1</v>
      </c>
      <c r="T338" t="s">
        <v>2110</v>
      </c>
      <c r="U338" t="s">
        <v>2111</v>
      </c>
      <c r="V338">
        <v>0</v>
      </c>
      <c r="W338" s="26" t="str">
        <f t="shared" si="5"/>
        <v>(3430,null,1,'2026-04-28 00:00:00','003311020130000-33110201302','003311020130000-33110201302','经腹腔镜输尿管皮肤造口术',null,null,2815,2570,2180,null,740,670,570,'次',27,1,'normal','main',0),</v>
      </c>
    </row>
    <row r="339" spans="1:23">
      <c r="A339">
        <v>3431</v>
      </c>
      <c r="B339" t="s">
        <v>2108</v>
      </c>
      <c r="C339">
        <v>1</v>
      </c>
      <c r="D339" s="21" t="s">
        <v>2109</v>
      </c>
      <c r="E339" t="s">
        <v>1277</v>
      </c>
      <c r="F339" t="s">
        <v>1277</v>
      </c>
      <c r="G339" t="s">
        <v>1278</v>
      </c>
      <c r="H339" t="s">
        <v>2108</v>
      </c>
      <c r="I339" t="s">
        <v>2108</v>
      </c>
      <c r="J339">
        <v>3470</v>
      </c>
      <c r="K339">
        <v>3160</v>
      </c>
      <c r="L339">
        <v>2685</v>
      </c>
      <c r="M339" t="s">
        <v>2108</v>
      </c>
      <c r="N339">
        <v>740</v>
      </c>
      <c r="O339">
        <v>670</v>
      </c>
      <c r="P339">
        <v>570</v>
      </c>
      <c r="Q339" t="s">
        <v>40</v>
      </c>
      <c r="R339">
        <v>27</v>
      </c>
      <c r="S339">
        <v>1</v>
      </c>
      <c r="T339" t="s">
        <v>2110</v>
      </c>
      <c r="U339" t="s">
        <v>2111</v>
      </c>
      <c r="V339">
        <v>0</v>
      </c>
      <c r="W339" s="26" t="str">
        <f t="shared" si="5"/>
        <v>(3431,null,1,'2026-04-28 00:00:00','003311020130000-33110201303','003311020130000-33110201303','小儿经腹腔镜输尿管皮肤造口术',null,null,3470,3160,2685,null,740,670,570,'次',27,1,'normal','main',0),</v>
      </c>
    </row>
    <row r="340" spans="1:23">
      <c r="A340">
        <v>3432</v>
      </c>
      <c r="B340" t="s">
        <v>2108</v>
      </c>
      <c r="C340">
        <v>1</v>
      </c>
      <c r="D340" s="21" t="s">
        <v>2109</v>
      </c>
      <c r="E340" t="s">
        <v>1281</v>
      </c>
      <c r="F340" t="s">
        <v>1281</v>
      </c>
      <c r="G340" t="s">
        <v>1282</v>
      </c>
      <c r="H340" t="s">
        <v>2108</v>
      </c>
      <c r="I340" t="s">
        <v>2108</v>
      </c>
      <c r="J340">
        <v>0</v>
      </c>
      <c r="K340">
        <v>0</v>
      </c>
      <c r="L340">
        <v>0</v>
      </c>
      <c r="M340" t="s">
        <v>2108</v>
      </c>
      <c r="N340">
        <v>3950</v>
      </c>
      <c r="O340">
        <v>3560</v>
      </c>
      <c r="P340">
        <v>3030</v>
      </c>
      <c r="Q340" t="s">
        <v>40</v>
      </c>
      <c r="R340">
        <v>27</v>
      </c>
      <c r="S340">
        <v>1</v>
      </c>
      <c r="T340" t="s">
        <v>2110</v>
      </c>
      <c r="U340" t="s">
        <v>2111</v>
      </c>
      <c r="V340">
        <v>0</v>
      </c>
      <c r="W340" s="26" t="str">
        <f t="shared" si="5"/>
        <v>(3432,null,1,'2026-04-28 00:00:00','003311030130000-33110301301','003311030130000-33110301301','小儿胃代膀胱术',null,null,0,0,0,null,3950,3560,3030,'次',27,1,'normal','main',0),</v>
      </c>
    </row>
    <row r="341" spans="1:23">
      <c r="A341">
        <v>3433</v>
      </c>
      <c r="B341" t="s">
        <v>2108</v>
      </c>
      <c r="C341">
        <v>1</v>
      </c>
      <c r="D341" s="21" t="s">
        <v>2109</v>
      </c>
      <c r="E341" t="s">
        <v>1283</v>
      </c>
      <c r="F341" t="s">
        <v>1283</v>
      </c>
      <c r="G341" t="s">
        <v>1284</v>
      </c>
      <c r="H341" t="s">
        <v>2108</v>
      </c>
      <c r="I341" t="s">
        <v>2108</v>
      </c>
      <c r="J341">
        <v>0</v>
      </c>
      <c r="K341">
        <v>0</v>
      </c>
      <c r="L341">
        <v>0</v>
      </c>
      <c r="M341" t="s">
        <v>2108</v>
      </c>
      <c r="N341">
        <v>3950</v>
      </c>
      <c r="O341">
        <v>3560</v>
      </c>
      <c r="P341">
        <v>3030</v>
      </c>
      <c r="Q341" t="s">
        <v>40</v>
      </c>
      <c r="R341">
        <v>27</v>
      </c>
      <c r="S341">
        <v>1</v>
      </c>
      <c r="T341" t="s">
        <v>2110</v>
      </c>
      <c r="U341" t="s">
        <v>2111</v>
      </c>
      <c r="V341">
        <v>0</v>
      </c>
      <c r="W341" s="26" t="str">
        <f t="shared" si="5"/>
        <v>(3433,null,1,'2026-04-28 00:00:00','003311030130000-33110301303','003311030130000-33110301303','小儿经腹腔镜胃代膀胱术',null,null,0,0,0,null,3950,3560,3030,'次',27,1,'normal','main',0),</v>
      </c>
    </row>
    <row r="342" spans="1:23">
      <c r="A342">
        <v>3434</v>
      </c>
      <c r="B342" t="s">
        <v>2108</v>
      </c>
      <c r="C342">
        <v>1</v>
      </c>
      <c r="D342" s="21" t="s">
        <v>2109</v>
      </c>
      <c r="E342" t="s">
        <v>1285</v>
      </c>
      <c r="F342" t="s">
        <v>1285</v>
      </c>
      <c r="G342" t="s">
        <v>1286</v>
      </c>
      <c r="H342" t="s">
        <v>2108</v>
      </c>
      <c r="I342" t="s">
        <v>2108</v>
      </c>
      <c r="J342">
        <v>6710</v>
      </c>
      <c r="K342">
        <v>6030</v>
      </c>
      <c r="L342">
        <v>5125</v>
      </c>
      <c r="M342" t="s">
        <v>2108</v>
      </c>
      <c r="N342">
        <v>3950</v>
      </c>
      <c r="O342">
        <v>3560</v>
      </c>
      <c r="P342">
        <v>3030</v>
      </c>
      <c r="Q342" t="s">
        <v>40</v>
      </c>
      <c r="R342">
        <v>27</v>
      </c>
      <c r="S342">
        <v>1</v>
      </c>
      <c r="T342" t="s">
        <v>2110</v>
      </c>
      <c r="U342" t="s">
        <v>2111</v>
      </c>
      <c r="V342">
        <v>0</v>
      </c>
      <c r="W342" s="26" t="str">
        <f t="shared" si="5"/>
        <v>(3434,null,1,'2026-04-28 00:00:00','003311030080000-33110300801','003311030080000-33110300801','小儿膀胱再造术',null,null,6710,6030,5125,null,3950,3560,3030,'次',27,1,'normal','main',0),</v>
      </c>
    </row>
    <row r="343" spans="1:23">
      <c r="A343">
        <v>3435</v>
      </c>
      <c r="B343" t="s">
        <v>2108</v>
      </c>
      <c r="C343">
        <v>1</v>
      </c>
      <c r="D343" s="21" t="s">
        <v>2109</v>
      </c>
      <c r="E343" t="s">
        <v>1287</v>
      </c>
      <c r="F343" t="s">
        <v>1287</v>
      </c>
      <c r="G343" t="s">
        <v>1288</v>
      </c>
      <c r="H343" t="s">
        <v>2108</v>
      </c>
      <c r="I343" t="s">
        <v>2108</v>
      </c>
      <c r="J343">
        <v>7335</v>
      </c>
      <c r="K343">
        <v>6630</v>
      </c>
      <c r="L343">
        <v>5635</v>
      </c>
      <c r="M343" t="s">
        <v>2108</v>
      </c>
      <c r="N343">
        <v>3950</v>
      </c>
      <c r="O343">
        <v>3560</v>
      </c>
      <c r="P343">
        <v>3030</v>
      </c>
      <c r="Q343" t="s">
        <v>40</v>
      </c>
      <c r="R343">
        <v>27</v>
      </c>
      <c r="S343">
        <v>1</v>
      </c>
      <c r="T343" t="s">
        <v>2110</v>
      </c>
      <c r="U343" t="s">
        <v>2111</v>
      </c>
      <c r="V343">
        <v>0</v>
      </c>
      <c r="W343" s="26" t="str">
        <f t="shared" si="5"/>
        <v>(3435,null,1,'2026-04-28 00:00:00','003311030080000-33110300803','003311030080000-33110300803','小儿经腹腔镜膀胱再造术',null,null,7335,6630,5635,null,3950,3560,3030,'次',27,1,'normal','main',0),</v>
      </c>
    </row>
    <row r="344" spans="1:23">
      <c r="A344">
        <v>3436</v>
      </c>
      <c r="B344" t="s">
        <v>2108</v>
      </c>
      <c r="C344">
        <v>1</v>
      </c>
      <c r="D344" s="21" t="s">
        <v>2109</v>
      </c>
      <c r="E344" t="s">
        <v>1289</v>
      </c>
      <c r="F344" t="s">
        <v>1289</v>
      </c>
      <c r="G344" t="s">
        <v>1290</v>
      </c>
      <c r="H344" t="s">
        <v>2108</v>
      </c>
      <c r="I344" t="s">
        <v>2108</v>
      </c>
      <c r="J344">
        <v>3950</v>
      </c>
      <c r="K344">
        <v>3560</v>
      </c>
      <c r="L344">
        <v>3025</v>
      </c>
      <c r="M344" t="s">
        <v>2108</v>
      </c>
      <c r="N344">
        <v>3950</v>
      </c>
      <c r="O344">
        <v>3560</v>
      </c>
      <c r="P344">
        <v>3030</v>
      </c>
      <c r="Q344" t="s">
        <v>40</v>
      </c>
      <c r="R344">
        <v>27</v>
      </c>
      <c r="S344">
        <v>1</v>
      </c>
      <c r="T344" t="s">
        <v>2110</v>
      </c>
      <c r="U344" t="s">
        <v>2111</v>
      </c>
      <c r="V344">
        <v>0</v>
      </c>
      <c r="W344" s="26" t="str">
        <f t="shared" si="5"/>
        <v>(3436,null,1,'2026-04-28 00:00:00','003311030090000-33110300901','003311030090000-33110300901','小儿回肠膀胱术',null,null,3950,3560,3025,null,3950,3560,3030,'次',27,1,'normal','main',0),</v>
      </c>
    </row>
    <row r="345" spans="1:23">
      <c r="A345">
        <v>3437</v>
      </c>
      <c r="B345" t="s">
        <v>2108</v>
      </c>
      <c r="C345">
        <v>1</v>
      </c>
      <c r="D345" s="21" t="s">
        <v>2109</v>
      </c>
      <c r="E345" t="s">
        <v>1291</v>
      </c>
      <c r="F345" t="s">
        <v>1291</v>
      </c>
      <c r="G345" t="s">
        <v>1292</v>
      </c>
      <c r="H345" t="s">
        <v>2108</v>
      </c>
      <c r="I345" t="s">
        <v>2108</v>
      </c>
      <c r="J345">
        <v>4575</v>
      </c>
      <c r="K345">
        <v>4160</v>
      </c>
      <c r="L345">
        <v>3535</v>
      </c>
      <c r="M345" t="s">
        <v>2108</v>
      </c>
      <c r="N345">
        <v>3950</v>
      </c>
      <c r="O345">
        <v>3560</v>
      </c>
      <c r="P345">
        <v>3030</v>
      </c>
      <c r="Q345" t="s">
        <v>40</v>
      </c>
      <c r="R345">
        <v>27</v>
      </c>
      <c r="S345">
        <v>1</v>
      </c>
      <c r="T345" t="s">
        <v>2110</v>
      </c>
      <c r="U345" t="s">
        <v>2111</v>
      </c>
      <c r="V345">
        <v>0</v>
      </c>
      <c r="W345" s="26" t="str">
        <f t="shared" si="5"/>
        <v>(3437,null,1,'2026-04-28 00:00:00','003311030090000-33110300903','003311030090000-33110300903','小儿经腹腔镜回肠膀胱术',null,null,4575,4160,3535,null,3950,3560,3030,'次',27,1,'normal','main',0),</v>
      </c>
    </row>
    <row r="346" spans="1:23">
      <c r="A346">
        <v>3438</v>
      </c>
      <c r="B346" t="s">
        <v>2108</v>
      </c>
      <c r="C346">
        <v>1</v>
      </c>
      <c r="D346" s="21" t="s">
        <v>2109</v>
      </c>
      <c r="E346" t="s">
        <v>1293</v>
      </c>
      <c r="F346" t="s">
        <v>1293</v>
      </c>
      <c r="G346" t="s">
        <v>1294</v>
      </c>
      <c r="H346" t="s">
        <v>2108</v>
      </c>
      <c r="I346" t="s">
        <v>2108</v>
      </c>
      <c r="J346">
        <v>3510</v>
      </c>
      <c r="K346">
        <v>3160</v>
      </c>
      <c r="L346">
        <v>2685</v>
      </c>
      <c r="M346" t="s">
        <v>2108</v>
      </c>
      <c r="N346">
        <v>3950</v>
      </c>
      <c r="O346">
        <v>3560</v>
      </c>
      <c r="P346">
        <v>3030</v>
      </c>
      <c r="Q346" t="s">
        <v>40</v>
      </c>
      <c r="R346">
        <v>27</v>
      </c>
      <c r="S346">
        <v>1</v>
      </c>
      <c r="T346" t="s">
        <v>2110</v>
      </c>
      <c r="U346" t="s">
        <v>2111</v>
      </c>
      <c r="V346">
        <v>0</v>
      </c>
      <c r="W346" s="26" t="str">
        <f t="shared" si="5"/>
        <v>(3438,null,1,'2026-04-28 00:00:00','003311030120000-33110301201','003311030120000-33110301201','小儿直肠膀胱术',null,null,3510,3160,2685,null,3950,3560,3030,'次',27,1,'normal','main',0),</v>
      </c>
    </row>
    <row r="347" spans="1:23">
      <c r="A347">
        <v>3439</v>
      </c>
      <c r="B347" t="s">
        <v>2108</v>
      </c>
      <c r="C347">
        <v>1</v>
      </c>
      <c r="D347" s="21" t="s">
        <v>2109</v>
      </c>
      <c r="E347" t="s">
        <v>1295</v>
      </c>
      <c r="F347" t="s">
        <v>1295</v>
      </c>
      <c r="G347" t="s">
        <v>1296</v>
      </c>
      <c r="H347" t="s">
        <v>2108</v>
      </c>
      <c r="I347" t="s">
        <v>2108</v>
      </c>
      <c r="J347">
        <v>4135</v>
      </c>
      <c r="K347">
        <v>3760</v>
      </c>
      <c r="L347">
        <v>3195</v>
      </c>
      <c r="M347" t="s">
        <v>2108</v>
      </c>
      <c r="N347">
        <v>3950</v>
      </c>
      <c r="O347">
        <v>3560</v>
      </c>
      <c r="P347">
        <v>3030</v>
      </c>
      <c r="Q347" t="s">
        <v>40</v>
      </c>
      <c r="R347">
        <v>27</v>
      </c>
      <c r="S347">
        <v>1</v>
      </c>
      <c r="T347" t="s">
        <v>2110</v>
      </c>
      <c r="U347" t="s">
        <v>2111</v>
      </c>
      <c r="V347">
        <v>0</v>
      </c>
      <c r="W347" s="26" t="str">
        <f t="shared" si="5"/>
        <v>(3439,null,1,'2026-04-28 00:00:00','003311030120000-33110301203','003311030120000-33110301203','小儿经腹腔镜直肠膀胱术',null,null,4135,3760,3195,null,3950,3560,3030,'次',27,1,'normal','main',0),</v>
      </c>
    </row>
    <row r="348" spans="1:23">
      <c r="A348">
        <v>3440</v>
      </c>
      <c r="B348" t="s">
        <v>2108</v>
      </c>
      <c r="C348">
        <v>1</v>
      </c>
      <c r="D348" s="21" t="s">
        <v>2109</v>
      </c>
      <c r="E348" t="s">
        <v>1297</v>
      </c>
      <c r="F348" t="s">
        <v>1297</v>
      </c>
      <c r="G348" t="s">
        <v>1298</v>
      </c>
      <c r="H348" t="s">
        <v>2108</v>
      </c>
      <c r="I348" t="s">
        <v>2108</v>
      </c>
      <c r="J348">
        <v>3950</v>
      </c>
      <c r="K348">
        <v>3560</v>
      </c>
      <c r="L348">
        <v>3025</v>
      </c>
      <c r="M348" t="s">
        <v>2108</v>
      </c>
      <c r="N348">
        <v>3950</v>
      </c>
      <c r="O348">
        <v>3560</v>
      </c>
      <c r="P348">
        <v>3030</v>
      </c>
      <c r="Q348" t="s">
        <v>40</v>
      </c>
      <c r="R348">
        <v>27</v>
      </c>
      <c r="S348">
        <v>1</v>
      </c>
      <c r="T348" t="s">
        <v>2110</v>
      </c>
      <c r="U348" t="s">
        <v>2111</v>
      </c>
      <c r="V348">
        <v>0</v>
      </c>
      <c r="W348" s="26" t="str">
        <f t="shared" si="5"/>
        <v>(3440,null,1,'2026-04-28 00:00:00','003311030110000-33110301101','003311030110000-33110301101','小儿回肠扩大膀胱术',null,null,3950,3560,3025,null,3950,3560,3030,'次',27,1,'normal','main',0),</v>
      </c>
    </row>
    <row r="349" spans="1:23">
      <c r="A349">
        <v>3441</v>
      </c>
      <c r="B349" t="s">
        <v>2108</v>
      </c>
      <c r="C349">
        <v>1</v>
      </c>
      <c r="D349" s="21" t="s">
        <v>2109</v>
      </c>
      <c r="E349" t="s">
        <v>1299</v>
      </c>
      <c r="F349" t="s">
        <v>1299</v>
      </c>
      <c r="G349" t="s">
        <v>1300</v>
      </c>
      <c r="H349" t="s">
        <v>2108</v>
      </c>
      <c r="I349" t="s">
        <v>2108</v>
      </c>
      <c r="J349">
        <v>4575</v>
      </c>
      <c r="K349">
        <v>4160</v>
      </c>
      <c r="L349">
        <v>3535</v>
      </c>
      <c r="M349" t="s">
        <v>2108</v>
      </c>
      <c r="N349">
        <v>3950</v>
      </c>
      <c r="O349">
        <v>3560</v>
      </c>
      <c r="P349">
        <v>3030</v>
      </c>
      <c r="Q349" t="s">
        <v>40</v>
      </c>
      <c r="R349">
        <v>27</v>
      </c>
      <c r="S349">
        <v>1</v>
      </c>
      <c r="T349" t="s">
        <v>2110</v>
      </c>
      <c r="U349" t="s">
        <v>2111</v>
      </c>
      <c r="V349">
        <v>0</v>
      </c>
      <c r="W349" s="26" t="str">
        <f t="shared" si="5"/>
        <v>(3441,null,1,'2026-04-28 00:00:00','003311030110000-33110301103','003311030110000-33110301103','小儿经腹腔镜回肠扩大膀胱术',null,null,4575,4160,3535,null,3950,3560,3030,'次',27,1,'normal','main',0),</v>
      </c>
    </row>
    <row r="350" spans="1:23">
      <c r="A350">
        <v>3442</v>
      </c>
      <c r="B350" t="s">
        <v>2108</v>
      </c>
      <c r="C350">
        <v>1</v>
      </c>
      <c r="D350" s="21" t="s">
        <v>2109</v>
      </c>
      <c r="E350" t="s">
        <v>1306</v>
      </c>
      <c r="F350" t="s">
        <v>1306</v>
      </c>
      <c r="G350" t="s">
        <v>1307</v>
      </c>
      <c r="H350" t="s">
        <v>2108</v>
      </c>
      <c r="I350" t="s">
        <v>2108</v>
      </c>
      <c r="J350">
        <v>2700</v>
      </c>
      <c r="K350">
        <v>2430</v>
      </c>
      <c r="L350">
        <v>2070</v>
      </c>
      <c r="M350" t="s">
        <v>2108</v>
      </c>
      <c r="N350">
        <v>2550</v>
      </c>
      <c r="O350">
        <v>2390</v>
      </c>
      <c r="P350">
        <v>2000</v>
      </c>
      <c r="Q350" t="s">
        <v>40</v>
      </c>
      <c r="R350">
        <v>27</v>
      </c>
      <c r="S350">
        <v>1</v>
      </c>
      <c r="T350" t="s">
        <v>2110</v>
      </c>
      <c r="U350" t="s">
        <v>2111</v>
      </c>
      <c r="V350">
        <v>0</v>
      </c>
      <c r="W350" s="26" t="str">
        <f t="shared" si="5"/>
        <v>(3442,null,1,'2026-04-28 00:00:00','003311020030000-331102003','003311020030000-331102003','经皮肾镜或输尿管镜内切开成形术',null,null,2700,2430,2070,null,2550,2390,2000,'次',27,1,'normal','main',0),</v>
      </c>
    </row>
    <row r="351" spans="1:23">
      <c r="A351">
        <v>3443</v>
      </c>
      <c r="B351" t="s">
        <v>2108</v>
      </c>
      <c r="C351">
        <v>1</v>
      </c>
      <c r="D351" s="21" t="s">
        <v>2109</v>
      </c>
      <c r="E351" t="s">
        <v>1309</v>
      </c>
      <c r="F351" t="s">
        <v>1309</v>
      </c>
      <c r="G351" t="s">
        <v>1310</v>
      </c>
      <c r="H351" t="s">
        <v>2108</v>
      </c>
      <c r="I351" t="s">
        <v>2108</v>
      </c>
      <c r="J351">
        <v>2700</v>
      </c>
      <c r="K351">
        <v>2430</v>
      </c>
      <c r="L351">
        <v>2070</v>
      </c>
      <c r="M351" t="s">
        <v>2108</v>
      </c>
      <c r="N351">
        <v>2550</v>
      </c>
      <c r="O351">
        <v>2390</v>
      </c>
      <c r="P351">
        <v>2000</v>
      </c>
      <c r="Q351" t="s">
        <v>40</v>
      </c>
      <c r="R351">
        <v>27</v>
      </c>
      <c r="S351">
        <v>1</v>
      </c>
      <c r="T351" t="s">
        <v>2110</v>
      </c>
      <c r="U351" t="s">
        <v>2111</v>
      </c>
      <c r="V351">
        <v>0</v>
      </c>
      <c r="W351" s="26" t="str">
        <f t="shared" si="5"/>
        <v>(3443,null,1,'2026-04-28 00:00:00','003311020050000-331102005','003311020050000-331102005','肾盂输尿管成形术',null,null,2700,2430,2070,null,2550,2390,2000,'次',27,1,'normal','main',0),</v>
      </c>
    </row>
    <row r="352" spans="1:23">
      <c r="A352">
        <v>3444</v>
      </c>
      <c r="B352" t="s">
        <v>2108</v>
      </c>
      <c r="C352">
        <v>1</v>
      </c>
      <c r="D352" s="21" t="s">
        <v>2109</v>
      </c>
      <c r="E352" t="s">
        <v>1313</v>
      </c>
      <c r="F352" t="s">
        <v>1313</v>
      </c>
      <c r="G352" t="s">
        <v>1314</v>
      </c>
      <c r="H352" t="s">
        <v>2108</v>
      </c>
      <c r="I352" t="s">
        <v>2108</v>
      </c>
      <c r="J352">
        <v>3850</v>
      </c>
      <c r="K352">
        <v>3470</v>
      </c>
      <c r="L352">
        <v>2955</v>
      </c>
      <c r="M352" t="s">
        <v>2108</v>
      </c>
      <c r="N352">
        <v>2550</v>
      </c>
      <c r="O352">
        <v>2390</v>
      </c>
      <c r="P352">
        <v>2000</v>
      </c>
      <c r="Q352" t="s">
        <v>40</v>
      </c>
      <c r="R352">
        <v>27</v>
      </c>
      <c r="S352">
        <v>1</v>
      </c>
      <c r="T352" t="s">
        <v>2110</v>
      </c>
      <c r="U352" t="s">
        <v>2111</v>
      </c>
      <c r="V352">
        <v>0</v>
      </c>
      <c r="W352" s="26" t="str">
        <f t="shared" si="5"/>
        <v>(3444,null,1,'2026-04-28 00:00:00','003311020050001-33110200501','003311020050001-33110200501','肾盂输尿管成形术-同时行双侧成形术',null,null,3850,3470,2955,null,2550,2390,2000,'次',27,1,'normal','main',0),</v>
      </c>
    </row>
    <row r="353" spans="1:23">
      <c r="A353">
        <v>3445</v>
      </c>
      <c r="B353" t="s">
        <v>2108</v>
      </c>
      <c r="C353">
        <v>1</v>
      </c>
      <c r="D353" s="21" t="s">
        <v>2109</v>
      </c>
      <c r="E353" t="s">
        <v>1316</v>
      </c>
      <c r="F353" t="s">
        <v>1316</v>
      </c>
      <c r="G353" t="s">
        <v>1317</v>
      </c>
      <c r="H353" t="s">
        <v>2108</v>
      </c>
      <c r="I353" t="s">
        <v>2108</v>
      </c>
      <c r="J353">
        <v>3325</v>
      </c>
      <c r="K353">
        <v>3030</v>
      </c>
      <c r="L353">
        <v>2580</v>
      </c>
      <c r="M353" t="s">
        <v>2108</v>
      </c>
      <c r="N353">
        <v>2550</v>
      </c>
      <c r="O353">
        <v>2390</v>
      </c>
      <c r="P353">
        <v>2000</v>
      </c>
      <c r="Q353" t="s">
        <v>40</v>
      </c>
      <c r="R353">
        <v>27</v>
      </c>
      <c r="S353">
        <v>1</v>
      </c>
      <c r="T353" t="s">
        <v>2110</v>
      </c>
      <c r="U353" t="s">
        <v>2111</v>
      </c>
      <c r="V353">
        <v>0</v>
      </c>
      <c r="W353" s="26" t="str">
        <f t="shared" si="5"/>
        <v>(3445,null,1,'2026-04-28 00:00:00','003311020050002-33110200504','003311020050002-33110200504','经腹腔镜肾盂输尿管成形术',null,null,3325,3030,2580,null,2550,2390,2000,'次',27,1,'normal','main',0),</v>
      </c>
    </row>
    <row r="354" spans="1:23">
      <c r="A354">
        <v>3446</v>
      </c>
      <c r="B354" t="s">
        <v>2108</v>
      </c>
      <c r="C354">
        <v>1</v>
      </c>
      <c r="D354" s="21" t="s">
        <v>2109</v>
      </c>
      <c r="E354" t="s">
        <v>1318</v>
      </c>
      <c r="F354" t="s">
        <v>1318</v>
      </c>
      <c r="G354" t="s">
        <v>1319</v>
      </c>
      <c r="H354" t="s">
        <v>2108</v>
      </c>
      <c r="I354" t="s">
        <v>2108</v>
      </c>
      <c r="J354">
        <v>4475</v>
      </c>
      <c r="K354">
        <v>4070</v>
      </c>
      <c r="L354">
        <v>3465</v>
      </c>
      <c r="M354" t="s">
        <v>2108</v>
      </c>
      <c r="N354">
        <v>2550</v>
      </c>
      <c r="O354">
        <v>2390</v>
      </c>
      <c r="P354">
        <v>2000</v>
      </c>
      <c r="Q354" t="s">
        <v>40</v>
      </c>
      <c r="R354">
        <v>27</v>
      </c>
      <c r="S354">
        <v>1</v>
      </c>
      <c r="T354" t="s">
        <v>2110</v>
      </c>
      <c r="U354" t="s">
        <v>2111</v>
      </c>
      <c r="V354">
        <v>0</v>
      </c>
      <c r="W354" s="26" t="str">
        <f t="shared" si="5"/>
        <v>(3446,null,1,'2026-04-28 00:00:00','003311020050002-33110200505','003311020050002-33110200505','经腹腔镜肾盂输尿管成形术-同时行双侧成形术',null,null,4475,4070,3465,null,2550,2390,2000,'次',27,1,'normal','main',0),</v>
      </c>
    </row>
    <row r="355" spans="1:23">
      <c r="A355">
        <v>3447</v>
      </c>
      <c r="B355" t="s">
        <v>2108</v>
      </c>
      <c r="C355">
        <v>1</v>
      </c>
      <c r="D355" s="21" t="s">
        <v>2109</v>
      </c>
      <c r="E355" t="s">
        <v>1320</v>
      </c>
      <c r="F355" t="s">
        <v>1320</v>
      </c>
      <c r="G355" t="s">
        <v>1321</v>
      </c>
      <c r="H355" t="s">
        <v>2108</v>
      </c>
      <c r="I355" t="s">
        <v>2108</v>
      </c>
      <c r="J355">
        <v>1375</v>
      </c>
      <c r="K355">
        <v>1320</v>
      </c>
      <c r="L355">
        <v>1122</v>
      </c>
      <c r="M355" t="s">
        <v>2108</v>
      </c>
      <c r="N355">
        <v>2550</v>
      </c>
      <c r="O355">
        <v>2390</v>
      </c>
      <c r="P355">
        <v>2000</v>
      </c>
      <c r="Q355" t="s">
        <v>40</v>
      </c>
      <c r="R355">
        <v>27</v>
      </c>
      <c r="S355">
        <v>1</v>
      </c>
      <c r="T355" t="s">
        <v>2110</v>
      </c>
      <c r="U355" t="s">
        <v>2111</v>
      </c>
      <c r="V355">
        <v>0</v>
      </c>
      <c r="W355" s="26" t="str">
        <f t="shared" si="5"/>
        <v>(3447,null,1,'2026-04-28 00:00:00','003311020150000-331102015','003311020150000-331102015','输尿管松解术',null,null,1375,1320,1122,null,2550,2390,2000,'次',27,1,'normal','main',0),</v>
      </c>
    </row>
    <row r="356" spans="1:23">
      <c r="A356">
        <v>3448</v>
      </c>
      <c r="B356" t="s">
        <v>2108</v>
      </c>
      <c r="C356">
        <v>1</v>
      </c>
      <c r="D356" s="21" t="s">
        <v>2109</v>
      </c>
      <c r="E356" t="s">
        <v>1322</v>
      </c>
      <c r="F356" t="s">
        <v>1322</v>
      </c>
      <c r="G356" t="s">
        <v>1323</v>
      </c>
      <c r="H356" t="s">
        <v>2108</v>
      </c>
      <c r="I356" t="s">
        <v>2108</v>
      </c>
      <c r="J356">
        <v>2000</v>
      </c>
      <c r="K356">
        <v>1920</v>
      </c>
      <c r="L356">
        <v>1632</v>
      </c>
      <c r="M356" t="s">
        <v>2108</v>
      </c>
      <c r="N356">
        <v>2550</v>
      </c>
      <c r="O356">
        <v>2390</v>
      </c>
      <c r="P356">
        <v>2000</v>
      </c>
      <c r="Q356" t="s">
        <v>40</v>
      </c>
      <c r="R356">
        <v>27</v>
      </c>
      <c r="S356">
        <v>1</v>
      </c>
      <c r="T356" t="s">
        <v>2110</v>
      </c>
      <c r="U356" t="s">
        <v>2111</v>
      </c>
      <c r="V356">
        <v>0</v>
      </c>
      <c r="W356" s="26" t="str">
        <f t="shared" si="5"/>
        <v>(3448,null,1,'2026-04-28 00:00:00','003311020150000-33110201502','003311020150000-33110201502','经腹腔镜输尿管松解术',null,null,2000,1920,1632,null,2550,2390,2000,'次',27,1,'normal','main',0),</v>
      </c>
    </row>
    <row r="357" spans="1:23">
      <c r="A357">
        <v>3449</v>
      </c>
      <c r="B357" t="s">
        <v>2108</v>
      </c>
      <c r="C357">
        <v>1</v>
      </c>
      <c r="D357" s="21" t="s">
        <v>2109</v>
      </c>
      <c r="E357" t="s">
        <v>1324</v>
      </c>
      <c r="F357" t="s">
        <v>1324</v>
      </c>
      <c r="G357" t="s">
        <v>1325</v>
      </c>
      <c r="H357" t="s">
        <v>2108</v>
      </c>
      <c r="I357" t="s">
        <v>2108</v>
      </c>
      <c r="J357">
        <v>2190</v>
      </c>
      <c r="K357">
        <v>1970</v>
      </c>
      <c r="L357">
        <v>1670</v>
      </c>
      <c r="M357" t="s">
        <v>2108</v>
      </c>
      <c r="N357">
        <v>2550</v>
      </c>
      <c r="O357">
        <v>2390</v>
      </c>
      <c r="P357">
        <v>2000</v>
      </c>
      <c r="Q357" t="s">
        <v>40</v>
      </c>
      <c r="R357">
        <v>27</v>
      </c>
      <c r="S357">
        <v>1</v>
      </c>
      <c r="T357" t="s">
        <v>2110</v>
      </c>
      <c r="U357" t="s">
        <v>2111</v>
      </c>
      <c r="V357">
        <v>0</v>
      </c>
      <c r="W357" s="26" t="str">
        <f t="shared" si="5"/>
        <v>(3449,null,1,'2026-04-28 00:00:00','003311020160000-331102016','003311020160000-331102016','输尿管整形术',null,null,2190,1970,1670,null,2550,2390,2000,'次',27,1,'normal','main',0),</v>
      </c>
    </row>
    <row r="358" spans="1:23">
      <c r="A358">
        <v>3450</v>
      </c>
      <c r="B358" t="s">
        <v>2108</v>
      </c>
      <c r="C358">
        <v>1</v>
      </c>
      <c r="D358" s="21" t="s">
        <v>2109</v>
      </c>
      <c r="E358" t="s">
        <v>1326</v>
      </c>
      <c r="F358" t="s">
        <v>1326</v>
      </c>
      <c r="G358" t="s">
        <v>1327</v>
      </c>
      <c r="H358" t="s">
        <v>2108</v>
      </c>
      <c r="I358" t="s">
        <v>2108</v>
      </c>
      <c r="J358">
        <v>2815</v>
      </c>
      <c r="K358">
        <v>2570</v>
      </c>
      <c r="L358">
        <v>2180</v>
      </c>
      <c r="M358" t="s">
        <v>2108</v>
      </c>
      <c r="N358">
        <v>2550</v>
      </c>
      <c r="O358">
        <v>2390</v>
      </c>
      <c r="P358">
        <v>2000</v>
      </c>
      <c r="Q358" t="s">
        <v>40</v>
      </c>
      <c r="R358">
        <v>27</v>
      </c>
      <c r="S358">
        <v>1</v>
      </c>
      <c r="T358" t="s">
        <v>2110</v>
      </c>
      <c r="U358" t="s">
        <v>2111</v>
      </c>
      <c r="V358">
        <v>0</v>
      </c>
      <c r="W358" s="26" t="str">
        <f t="shared" si="5"/>
        <v>(3450,null,1,'2026-04-28 00:00:00','003311020160000-33110201602','003311020160000-33110201602','经腹腔镜输尿管整形术',null,null,2815,2570,2180,null,2550,2390,2000,'次',27,1,'normal','main',0),</v>
      </c>
    </row>
    <row r="359" spans="1:23">
      <c r="A359">
        <v>3451</v>
      </c>
      <c r="B359" t="s">
        <v>2108</v>
      </c>
      <c r="C359">
        <v>1</v>
      </c>
      <c r="D359" s="21" t="s">
        <v>2109</v>
      </c>
      <c r="E359" t="s">
        <v>1328</v>
      </c>
      <c r="F359" t="s">
        <v>1328</v>
      </c>
      <c r="G359" t="s">
        <v>1329</v>
      </c>
      <c r="H359" t="s">
        <v>2108</v>
      </c>
      <c r="I359" t="s">
        <v>2108</v>
      </c>
      <c r="J359">
        <v>2700</v>
      </c>
      <c r="K359">
        <v>2430</v>
      </c>
      <c r="L359">
        <v>2070</v>
      </c>
      <c r="M359" t="s">
        <v>2108</v>
      </c>
      <c r="N359">
        <v>2550</v>
      </c>
      <c r="O359">
        <v>2390</v>
      </c>
      <c r="P359">
        <v>2000</v>
      </c>
      <c r="Q359" t="s">
        <v>40</v>
      </c>
      <c r="R359">
        <v>27</v>
      </c>
      <c r="S359">
        <v>1</v>
      </c>
      <c r="T359" t="s">
        <v>2110</v>
      </c>
      <c r="U359" t="s">
        <v>2111</v>
      </c>
      <c r="V359">
        <v>0</v>
      </c>
      <c r="W359" s="26" t="str">
        <f t="shared" si="5"/>
        <v>(3451,null,1,'2026-04-28 00:00:00','003311020020000-331102002','003311020020000-331102002','肾盂成形肾盂输尿管再吻合术',null,null,2700,2430,2070,null,2550,2390,2000,'次',27,1,'normal','main',0),</v>
      </c>
    </row>
    <row r="360" spans="1:23">
      <c r="A360">
        <v>3452</v>
      </c>
      <c r="B360" t="s">
        <v>2108</v>
      </c>
      <c r="C360">
        <v>1</v>
      </c>
      <c r="D360" s="21" t="s">
        <v>2109</v>
      </c>
      <c r="E360" t="s">
        <v>1330</v>
      </c>
      <c r="F360" t="s">
        <v>1330</v>
      </c>
      <c r="G360" t="s">
        <v>1331</v>
      </c>
      <c r="H360" t="s">
        <v>2108</v>
      </c>
      <c r="I360" t="s">
        <v>2108</v>
      </c>
      <c r="J360">
        <v>3325</v>
      </c>
      <c r="K360">
        <v>3030</v>
      </c>
      <c r="L360">
        <v>2580</v>
      </c>
      <c r="M360" t="s">
        <v>2108</v>
      </c>
      <c r="N360">
        <v>2550</v>
      </c>
      <c r="O360">
        <v>2390</v>
      </c>
      <c r="P360">
        <v>2000</v>
      </c>
      <c r="Q360" t="s">
        <v>40</v>
      </c>
      <c r="R360">
        <v>27</v>
      </c>
      <c r="S360">
        <v>1</v>
      </c>
      <c r="T360" t="s">
        <v>2110</v>
      </c>
      <c r="U360" t="s">
        <v>2111</v>
      </c>
      <c r="V360">
        <v>0</v>
      </c>
      <c r="W360" s="26" t="str">
        <f t="shared" si="5"/>
        <v>(3452,null,1,'2026-04-28 00:00:00','003311020020000-33110200202','003311020020000-33110200202','经腹腔镜肾盂成形肾盂输尿管再吻合术',null,null,3325,3030,2580,null,2550,2390,2000,'次',27,1,'normal','main',0),</v>
      </c>
    </row>
    <row r="361" spans="1:23">
      <c r="A361">
        <v>3453</v>
      </c>
      <c r="B361" t="s">
        <v>2108</v>
      </c>
      <c r="C361">
        <v>1</v>
      </c>
      <c r="D361" s="21" t="s">
        <v>2109</v>
      </c>
      <c r="E361" t="s">
        <v>1332</v>
      </c>
      <c r="F361" t="s">
        <v>1332</v>
      </c>
      <c r="G361" t="s">
        <v>1333</v>
      </c>
      <c r="H361" t="s">
        <v>2108</v>
      </c>
      <c r="I361" t="s">
        <v>2108</v>
      </c>
      <c r="J361">
        <v>1000</v>
      </c>
      <c r="K361">
        <v>960</v>
      </c>
      <c r="L361">
        <v>816</v>
      </c>
      <c r="M361" t="s">
        <v>2108</v>
      </c>
      <c r="N361">
        <v>2550</v>
      </c>
      <c r="O361">
        <v>2390</v>
      </c>
      <c r="P361">
        <v>2000</v>
      </c>
      <c r="Q361" t="s">
        <v>40</v>
      </c>
      <c r="R361">
        <v>27</v>
      </c>
      <c r="S361">
        <v>1</v>
      </c>
      <c r="T361" t="s">
        <v>2110</v>
      </c>
      <c r="U361" t="s">
        <v>2111</v>
      </c>
      <c r="V361">
        <v>0</v>
      </c>
      <c r="W361" s="26" t="str">
        <f t="shared" si="5"/>
        <v>(3453,null,1,'2026-04-28 00:00:00','003311040210000-331104021','003311040210000-331104021','尿道外口整形术',null,null,1000,960,816,null,2550,2390,2000,'次',27,1,'normal','main',0),</v>
      </c>
    </row>
    <row r="362" spans="1:23">
      <c r="A362">
        <v>3454</v>
      </c>
      <c r="B362" t="s">
        <v>2108</v>
      </c>
      <c r="C362">
        <v>1</v>
      </c>
      <c r="D362" s="21" t="s">
        <v>2109</v>
      </c>
      <c r="E362" t="s">
        <v>1334</v>
      </c>
      <c r="F362" t="s">
        <v>1334</v>
      </c>
      <c r="G362" t="s">
        <v>1335</v>
      </c>
      <c r="H362" t="s">
        <v>2108</v>
      </c>
      <c r="I362" t="s">
        <v>2108</v>
      </c>
      <c r="J362">
        <v>2360</v>
      </c>
      <c r="K362">
        <v>2120</v>
      </c>
      <c r="L362">
        <v>1800</v>
      </c>
      <c r="M362" t="s">
        <v>2108</v>
      </c>
      <c r="N362">
        <v>2550</v>
      </c>
      <c r="O362">
        <v>2390</v>
      </c>
      <c r="P362">
        <v>2000</v>
      </c>
      <c r="Q362" t="s">
        <v>40</v>
      </c>
      <c r="R362">
        <v>27</v>
      </c>
      <c r="S362">
        <v>1</v>
      </c>
      <c r="T362" t="s">
        <v>2110</v>
      </c>
      <c r="U362" t="s">
        <v>2111</v>
      </c>
      <c r="V362">
        <v>0</v>
      </c>
      <c r="W362" s="26" t="str">
        <f t="shared" si="5"/>
        <v>(3454,null,1,'2026-04-28 00:00:00','003311020170000-331102017','003311020170000-331102017','腔静脉后输尿管整形术',null,null,2360,2120,1800,null,2550,2390,2000,'次',27,1,'normal','main',0),</v>
      </c>
    </row>
    <row r="363" spans="1:23">
      <c r="A363">
        <v>3455</v>
      </c>
      <c r="B363" t="s">
        <v>2108</v>
      </c>
      <c r="C363">
        <v>1</v>
      </c>
      <c r="D363" s="21" t="s">
        <v>2109</v>
      </c>
      <c r="E363" t="s">
        <v>1336</v>
      </c>
      <c r="F363" t="s">
        <v>1336</v>
      </c>
      <c r="G363" t="s">
        <v>1337</v>
      </c>
      <c r="H363" t="s">
        <v>2108</v>
      </c>
      <c r="I363" t="s">
        <v>2108</v>
      </c>
      <c r="J363">
        <v>2985</v>
      </c>
      <c r="K363">
        <v>2720</v>
      </c>
      <c r="L363">
        <v>2310</v>
      </c>
      <c r="M363" t="s">
        <v>2108</v>
      </c>
      <c r="N363">
        <v>2550</v>
      </c>
      <c r="O363">
        <v>2390</v>
      </c>
      <c r="P363">
        <v>2000</v>
      </c>
      <c r="Q363" t="s">
        <v>40</v>
      </c>
      <c r="R363">
        <v>27</v>
      </c>
      <c r="S363">
        <v>1</v>
      </c>
      <c r="T363" t="s">
        <v>2110</v>
      </c>
      <c r="U363" t="s">
        <v>2111</v>
      </c>
      <c r="V363">
        <v>0</v>
      </c>
      <c r="W363" s="26" t="str">
        <f t="shared" si="5"/>
        <v>(3455,null,1,'2026-04-28 00:00:00','003311020170000-33110201702','003311020170000-33110201702','经腹腔镜腔静脉后输尿管整形术',null,null,2985,2720,2310,null,2550,2390,2000,'次',27,1,'normal','main',0),</v>
      </c>
    </row>
    <row r="364" spans="1:23">
      <c r="A364">
        <v>3456</v>
      </c>
      <c r="B364" t="s">
        <v>2108</v>
      </c>
      <c r="C364">
        <v>1</v>
      </c>
      <c r="D364" s="21" t="s">
        <v>2109</v>
      </c>
      <c r="E364" t="s">
        <v>1338</v>
      </c>
      <c r="F364" t="s">
        <v>1338</v>
      </c>
      <c r="G364" t="s">
        <v>1339</v>
      </c>
      <c r="H364" t="s">
        <v>2108</v>
      </c>
      <c r="I364" t="s">
        <v>2108</v>
      </c>
      <c r="J364">
        <v>2360</v>
      </c>
      <c r="K364">
        <v>2120</v>
      </c>
      <c r="L364">
        <v>1800</v>
      </c>
      <c r="M364" t="s">
        <v>2108</v>
      </c>
      <c r="N364">
        <v>2550</v>
      </c>
      <c r="O364">
        <v>2390</v>
      </c>
      <c r="P364">
        <v>2000</v>
      </c>
      <c r="Q364" t="s">
        <v>40</v>
      </c>
      <c r="R364">
        <v>27</v>
      </c>
      <c r="S364">
        <v>1</v>
      </c>
      <c r="T364" t="s">
        <v>2110</v>
      </c>
      <c r="U364" t="s">
        <v>2111</v>
      </c>
      <c r="V364">
        <v>0</v>
      </c>
      <c r="W364" s="26" t="str">
        <f t="shared" si="5"/>
        <v>(3456,null,1,'2026-04-28 00:00:00','003311040160000-331104016','003311040160000-331104016','会阴阴囊皮瓣尿道成型术',null,null,2360,2120,1800,null,2550,2390,2000,'次',27,1,'normal','main',0),</v>
      </c>
    </row>
    <row r="365" spans="1:23">
      <c r="A365">
        <v>3457</v>
      </c>
      <c r="B365" t="s">
        <v>2108</v>
      </c>
      <c r="C365">
        <v>1</v>
      </c>
      <c r="D365" s="21" t="s">
        <v>2109</v>
      </c>
      <c r="E365" t="s">
        <v>1340</v>
      </c>
      <c r="F365" t="s">
        <v>1340</v>
      </c>
      <c r="G365" t="s">
        <v>1341</v>
      </c>
      <c r="H365" t="s">
        <v>2108</v>
      </c>
      <c r="I365" t="s">
        <v>2108</v>
      </c>
      <c r="J365">
        <v>1250</v>
      </c>
      <c r="K365">
        <v>1200</v>
      </c>
      <c r="L365">
        <v>1020</v>
      </c>
      <c r="M365" t="s">
        <v>2108</v>
      </c>
      <c r="N365">
        <v>2550</v>
      </c>
      <c r="O365">
        <v>2390</v>
      </c>
      <c r="P365">
        <v>2000</v>
      </c>
      <c r="Q365" t="s">
        <v>40</v>
      </c>
      <c r="R365">
        <v>27</v>
      </c>
      <c r="S365">
        <v>1</v>
      </c>
      <c r="T365" t="s">
        <v>2110</v>
      </c>
      <c r="U365" t="s">
        <v>2111</v>
      </c>
      <c r="V365">
        <v>0</v>
      </c>
      <c r="W365" s="26" t="str">
        <f t="shared" si="5"/>
        <v>(3457,null,1,'2026-04-28 00:00:00','003311040040000-331104004','003311040040000-331104004','前尿道吻合术',null,null,1250,1200,1020,null,2550,2390,2000,'次',27,1,'normal','main',0),</v>
      </c>
    </row>
    <row r="366" spans="1:23">
      <c r="A366">
        <v>3458</v>
      </c>
      <c r="B366" t="s">
        <v>2108</v>
      </c>
      <c r="C366">
        <v>1</v>
      </c>
      <c r="D366" s="21" t="s">
        <v>2109</v>
      </c>
      <c r="E366" t="s">
        <v>1342</v>
      </c>
      <c r="F366" t="s">
        <v>1342</v>
      </c>
      <c r="G366" t="s">
        <v>1343</v>
      </c>
      <c r="H366" t="s">
        <v>2108</v>
      </c>
      <c r="I366" t="s">
        <v>2108</v>
      </c>
      <c r="J366">
        <v>1500</v>
      </c>
      <c r="K366">
        <v>1425</v>
      </c>
      <c r="L366">
        <v>1210</v>
      </c>
      <c r="M366" t="s">
        <v>2108</v>
      </c>
      <c r="N366">
        <v>2550</v>
      </c>
      <c r="O366">
        <v>2390</v>
      </c>
      <c r="P366">
        <v>2000</v>
      </c>
      <c r="Q366" t="s">
        <v>40</v>
      </c>
      <c r="R366">
        <v>27</v>
      </c>
      <c r="S366">
        <v>1</v>
      </c>
      <c r="T366" t="s">
        <v>2110</v>
      </c>
      <c r="U366" t="s">
        <v>2111</v>
      </c>
      <c r="V366">
        <v>0</v>
      </c>
      <c r="W366" s="26" t="str">
        <f t="shared" si="5"/>
        <v>(3458,null,1,'2026-04-28 00:00:00','003311040040000-33110400402','003311040040000-33110400402','经膀胱镜前尿道吻合术',null,null,1500,1425,1210,null,2550,2390,2000,'次',27,1,'normal','main',0),</v>
      </c>
    </row>
    <row r="367" spans="1:23">
      <c r="A367">
        <v>3459</v>
      </c>
      <c r="B367" t="s">
        <v>2108</v>
      </c>
      <c r="C367">
        <v>1</v>
      </c>
      <c r="D367" s="21" t="s">
        <v>2109</v>
      </c>
      <c r="E367" t="s">
        <v>1344</v>
      </c>
      <c r="F367" t="s">
        <v>1344</v>
      </c>
      <c r="G367" t="s">
        <v>1345</v>
      </c>
      <c r="H367" t="s">
        <v>2108</v>
      </c>
      <c r="I367" t="s">
        <v>2108</v>
      </c>
      <c r="J367">
        <v>1860</v>
      </c>
      <c r="K367">
        <v>1670</v>
      </c>
      <c r="L367">
        <v>1420</v>
      </c>
      <c r="M367" t="s">
        <v>2108</v>
      </c>
      <c r="N367">
        <v>2550</v>
      </c>
      <c r="O367">
        <v>2390</v>
      </c>
      <c r="P367">
        <v>2000</v>
      </c>
      <c r="Q367" t="s">
        <v>40</v>
      </c>
      <c r="R367">
        <v>27</v>
      </c>
      <c r="S367">
        <v>1</v>
      </c>
      <c r="T367" t="s">
        <v>2110</v>
      </c>
      <c r="U367" t="s">
        <v>2111</v>
      </c>
      <c r="V367">
        <v>0</v>
      </c>
      <c r="W367" s="26" t="str">
        <f t="shared" si="5"/>
        <v>(3459,null,1,'2026-04-28 00:00:00','003311040020000-331104002','003311040020000-331104002','尿道折叠术',null,null,1860,1670,1420,null,2550,2390,2000,'次',27,1,'normal','main',0),</v>
      </c>
    </row>
    <row r="368" spans="1:23">
      <c r="A368">
        <v>3460</v>
      </c>
      <c r="B368" t="s">
        <v>2108</v>
      </c>
      <c r="C368">
        <v>1</v>
      </c>
      <c r="D368" s="21" t="s">
        <v>2109</v>
      </c>
      <c r="E368" t="s">
        <v>1346</v>
      </c>
      <c r="F368" t="s">
        <v>1346</v>
      </c>
      <c r="G368" t="s">
        <v>1347</v>
      </c>
      <c r="H368" t="s">
        <v>2108</v>
      </c>
      <c r="I368" t="s">
        <v>2108</v>
      </c>
      <c r="J368">
        <v>2110</v>
      </c>
      <c r="K368">
        <v>1895</v>
      </c>
      <c r="L368">
        <v>1610</v>
      </c>
      <c r="M368" t="s">
        <v>2108</v>
      </c>
      <c r="N368">
        <v>2550</v>
      </c>
      <c r="O368">
        <v>2390</v>
      </c>
      <c r="P368">
        <v>2000</v>
      </c>
      <c r="Q368" t="s">
        <v>40</v>
      </c>
      <c r="R368">
        <v>27</v>
      </c>
      <c r="S368">
        <v>1</v>
      </c>
      <c r="T368" t="s">
        <v>2110</v>
      </c>
      <c r="U368" t="s">
        <v>2111</v>
      </c>
      <c r="V368">
        <v>0</v>
      </c>
      <c r="W368" s="26" t="str">
        <f t="shared" si="5"/>
        <v>(3460,null,1,'2026-04-28 00:00:00','003311040020000-33110400202','003311040020000-33110400202','经膀胱镜尿道折叠术',null,null,2110,1895,1610,null,2550,2390,2000,'次',27,1,'normal','main',0),</v>
      </c>
    </row>
    <row r="369" spans="1:23">
      <c r="A369">
        <v>3461</v>
      </c>
      <c r="B369" t="s">
        <v>2108</v>
      </c>
      <c r="C369">
        <v>1</v>
      </c>
      <c r="D369" s="21" t="s">
        <v>2109</v>
      </c>
      <c r="E369" t="s">
        <v>1348</v>
      </c>
      <c r="F369" t="s">
        <v>1348</v>
      </c>
      <c r="G369" t="s">
        <v>1349</v>
      </c>
      <c r="H369" t="s">
        <v>2108</v>
      </c>
      <c r="I369" t="s">
        <v>2108</v>
      </c>
      <c r="J369">
        <v>2530</v>
      </c>
      <c r="K369">
        <v>2280</v>
      </c>
      <c r="L369">
        <v>1940</v>
      </c>
      <c r="M369" t="s">
        <v>2108</v>
      </c>
      <c r="N369">
        <v>2550</v>
      </c>
      <c r="O369">
        <v>2390</v>
      </c>
      <c r="P369">
        <v>2000</v>
      </c>
      <c r="Q369" t="s">
        <v>40</v>
      </c>
      <c r="R369">
        <v>27</v>
      </c>
      <c r="S369">
        <v>1</v>
      </c>
      <c r="T369" t="s">
        <v>2110</v>
      </c>
      <c r="U369" t="s">
        <v>2111</v>
      </c>
      <c r="V369">
        <v>0</v>
      </c>
      <c r="W369" s="26" t="str">
        <f t="shared" si="5"/>
        <v>(3461,null,1,'2026-04-28 00:00:00','003311040010000-331104001','003311040010000-331104001','尿道修补术',null,null,2530,2280,1940,null,2550,2390,2000,'次',27,1,'normal','main',0),</v>
      </c>
    </row>
    <row r="370" spans="1:23">
      <c r="A370">
        <v>3462</v>
      </c>
      <c r="B370" t="s">
        <v>2108</v>
      </c>
      <c r="C370">
        <v>1</v>
      </c>
      <c r="D370" s="21" t="s">
        <v>2109</v>
      </c>
      <c r="E370" t="s">
        <v>1351</v>
      </c>
      <c r="F370" t="s">
        <v>1351</v>
      </c>
      <c r="G370" t="s">
        <v>1352</v>
      </c>
      <c r="H370" t="s">
        <v>2108</v>
      </c>
      <c r="I370" t="s">
        <v>2108</v>
      </c>
      <c r="J370">
        <v>2780</v>
      </c>
      <c r="K370">
        <v>2505</v>
      </c>
      <c r="L370">
        <v>2130</v>
      </c>
      <c r="M370" t="s">
        <v>2108</v>
      </c>
      <c r="N370">
        <v>2550</v>
      </c>
      <c r="O370">
        <v>2390</v>
      </c>
      <c r="P370">
        <v>2000</v>
      </c>
      <c r="Q370" t="s">
        <v>40</v>
      </c>
      <c r="R370">
        <v>27</v>
      </c>
      <c r="S370">
        <v>1</v>
      </c>
      <c r="T370" t="s">
        <v>2110</v>
      </c>
      <c r="U370" t="s">
        <v>2111</v>
      </c>
      <c r="V370">
        <v>0</v>
      </c>
      <c r="W370" s="26" t="str">
        <f t="shared" si="5"/>
        <v>(3462,null,1,'2026-04-28 00:00:00','003311040010000-33110400102','003311040010000-33110400102','经膀胱镜尿道修补术',null,null,2780,2505,2130,null,2550,2390,2000,'次',27,1,'normal','main',0),</v>
      </c>
    </row>
    <row r="371" spans="1:23">
      <c r="A371">
        <v>3463</v>
      </c>
      <c r="B371" t="s">
        <v>2108</v>
      </c>
      <c r="C371">
        <v>1</v>
      </c>
      <c r="D371" s="21" t="s">
        <v>2109</v>
      </c>
      <c r="E371" t="s">
        <v>1353</v>
      </c>
      <c r="F371" t="s">
        <v>1353</v>
      </c>
      <c r="G371" t="s">
        <v>1354</v>
      </c>
      <c r="H371" t="s">
        <v>2108</v>
      </c>
      <c r="I371" t="s">
        <v>2108</v>
      </c>
      <c r="J371">
        <v>2530</v>
      </c>
      <c r="K371">
        <v>2280</v>
      </c>
      <c r="L371">
        <v>1940</v>
      </c>
      <c r="M371" t="s">
        <v>2108</v>
      </c>
      <c r="N371">
        <v>2550</v>
      </c>
      <c r="O371">
        <v>2390</v>
      </c>
      <c r="P371">
        <v>2000</v>
      </c>
      <c r="Q371" t="s">
        <v>40</v>
      </c>
      <c r="R371">
        <v>27</v>
      </c>
      <c r="S371">
        <v>1</v>
      </c>
      <c r="T371" t="s">
        <v>2110</v>
      </c>
      <c r="U371" t="s">
        <v>2111</v>
      </c>
      <c r="V371">
        <v>0</v>
      </c>
      <c r="W371" s="26" t="str">
        <f t="shared" si="5"/>
        <v>(3463,null,1,'2026-04-28 00:00:00','003311040130000-331104013','003311040130000-331104013','尿道重建术',null,null,2530,2280,1940,null,2550,2390,2000,'次',27,1,'normal','main',0),</v>
      </c>
    </row>
    <row r="372" spans="1:23">
      <c r="A372">
        <v>3464</v>
      </c>
      <c r="B372" t="s">
        <v>2108</v>
      </c>
      <c r="C372">
        <v>1</v>
      </c>
      <c r="D372" s="21" t="s">
        <v>2109</v>
      </c>
      <c r="E372" t="s">
        <v>1356</v>
      </c>
      <c r="F372" t="s">
        <v>1356</v>
      </c>
      <c r="G372" t="s">
        <v>1357</v>
      </c>
      <c r="H372" t="s">
        <v>2108</v>
      </c>
      <c r="I372" t="s">
        <v>2108</v>
      </c>
      <c r="J372">
        <v>2780</v>
      </c>
      <c r="K372">
        <v>2505</v>
      </c>
      <c r="L372">
        <v>2130</v>
      </c>
      <c r="M372" t="s">
        <v>2108</v>
      </c>
      <c r="N372">
        <v>2550</v>
      </c>
      <c r="O372">
        <v>2390</v>
      </c>
      <c r="P372">
        <v>2000</v>
      </c>
      <c r="Q372" t="s">
        <v>40</v>
      </c>
      <c r="R372">
        <v>27</v>
      </c>
      <c r="S372">
        <v>1</v>
      </c>
      <c r="T372" t="s">
        <v>2110</v>
      </c>
      <c r="U372" t="s">
        <v>2111</v>
      </c>
      <c r="V372">
        <v>0</v>
      </c>
      <c r="W372" s="26" t="str">
        <f t="shared" si="5"/>
        <v>(3464,null,1,'2026-04-28 00:00:00','003311040130000-33110401302','003311040130000-33110401302','经膀胱镜尿道重建术',null,null,2780,2505,2130,null,2550,2390,2000,'次',27,1,'normal','main',0),</v>
      </c>
    </row>
    <row r="373" spans="1:23">
      <c r="A373">
        <v>3465</v>
      </c>
      <c r="B373" t="s">
        <v>2108</v>
      </c>
      <c r="C373">
        <v>1</v>
      </c>
      <c r="D373" s="21" t="s">
        <v>2109</v>
      </c>
      <c r="E373" t="s">
        <v>1358</v>
      </c>
      <c r="F373" t="s">
        <v>1358</v>
      </c>
      <c r="G373" t="s">
        <v>1359</v>
      </c>
      <c r="H373" t="s">
        <v>2108</v>
      </c>
      <c r="I373" t="s">
        <v>2108</v>
      </c>
      <c r="J373">
        <v>1690</v>
      </c>
      <c r="K373">
        <v>1520</v>
      </c>
      <c r="L373">
        <v>1290</v>
      </c>
      <c r="M373" t="s">
        <v>2108</v>
      </c>
      <c r="N373">
        <v>2550</v>
      </c>
      <c r="O373">
        <v>2390</v>
      </c>
      <c r="P373">
        <v>2000</v>
      </c>
      <c r="Q373" t="s">
        <v>40</v>
      </c>
      <c r="R373">
        <v>27</v>
      </c>
      <c r="S373">
        <v>1</v>
      </c>
      <c r="T373" t="s">
        <v>2110</v>
      </c>
      <c r="U373" t="s">
        <v>2111</v>
      </c>
      <c r="V373">
        <v>0</v>
      </c>
      <c r="W373" s="26" t="str">
        <f t="shared" si="5"/>
        <v>(3465,null,1,'2026-04-28 00:00:00','003311040030000-331104003','003311040030000-331104003','尿道会师术',null,null,1690,1520,1290,null,2550,2390,2000,'次',27,1,'normal','main',0),</v>
      </c>
    </row>
    <row r="374" spans="1:23">
      <c r="A374">
        <v>3466</v>
      </c>
      <c r="B374" t="s">
        <v>2108</v>
      </c>
      <c r="C374">
        <v>1</v>
      </c>
      <c r="D374" s="21" t="s">
        <v>2109</v>
      </c>
      <c r="E374" t="s">
        <v>1360</v>
      </c>
      <c r="F374" t="s">
        <v>1360</v>
      </c>
      <c r="G374" t="s">
        <v>1361</v>
      </c>
      <c r="H374" t="s">
        <v>2108</v>
      </c>
      <c r="I374" t="s">
        <v>2108</v>
      </c>
      <c r="J374">
        <v>1940</v>
      </c>
      <c r="K374">
        <v>1745</v>
      </c>
      <c r="L374">
        <v>1480</v>
      </c>
      <c r="M374" t="s">
        <v>2108</v>
      </c>
      <c r="N374">
        <v>2550</v>
      </c>
      <c r="O374">
        <v>2390</v>
      </c>
      <c r="P374">
        <v>2000</v>
      </c>
      <c r="Q374" t="s">
        <v>40</v>
      </c>
      <c r="R374">
        <v>27</v>
      </c>
      <c r="S374">
        <v>1</v>
      </c>
      <c r="T374" t="s">
        <v>2110</v>
      </c>
      <c r="U374" t="s">
        <v>2111</v>
      </c>
      <c r="V374">
        <v>0</v>
      </c>
      <c r="W374" s="26" t="str">
        <f t="shared" si="5"/>
        <v>(3466,null,1,'2026-04-28 00:00:00','003311040030000-33110400302','003311040030000-33110400302','经膀胱镜尿道会师术',null,null,1940,1745,1480,null,2550,2390,2000,'次',27,1,'normal','main',0),</v>
      </c>
    </row>
    <row r="375" spans="1:23">
      <c r="A375">
        <v>3467</v>
      </c>
      <c r="B375" t="s">
        <v>2108</v>
      </c>
      <c r="C375">
        <v>1</v>
      </c>
      <c r="D375" s="21" t="s">
        <v>2109</v>
      </c>
      <c r="E375" t="s">
        <v>1362</v>
      </c>
      <c r="F375" t="s">
        <v>1362</v>
      </c>
      <c r="G375" t="s">
        <v>1363</v>
      </c>
      <c r="H375" t="s">
        <v>2108</v>
      </c>
      <c r="I375" t="s">
        <v>2108</v>
      </c>
      <c r="J375">
        <v>2030</v>
      </c>
      <c r="K375">
        <v>1830</v>
      </c>
      <c r="L375">
        <v>1560</v>
      </c>
      <c r="M375" t="s">
        <v>2108</v>
      </c>
      <c r="N375" s="14">
        <v>0</v>
      </c>
      <c r="O375" s="14">
        <v>0</v>
      </c>
      <c r="P375" s="14">
        <v>0</v>
      </c>
      <c r="Q375" t="s">
        <v>40</v>
      </c>
      <c r="R375">
        <v>27</v>
      </c>
      <c r="S375">
        <v>1</v>
      </c>
      <c r="T375" t="s">
        <v>2110</v>
      </c>
      <c r="U375" t="s">
        <v>2111</v>
      </c>
      <c r="V375">
        <v>0</v>
      </c>
      <c r="W375" s="26" t="str">
        <f t="shared" si="5"/>
        <v>(3467,null,1,'2026-04-28 00:00:00','003311010020000-331101002','003311010020000-331101002','肾固定术',null,null,2030,1830,1560,null,0,0,0,'次',27,1,'normal','main',0),</v>
      </c>
    </row>
    <row r="376" spans="1:23">
      <c r="A376">
        <v>3468</v>
      </c>
      <c r="B376" t="s">
        <v>2108</v>
      </c>
      <c r="C376">
        <v>1</v>
      </c>
      <c r="D376" s="21" t="s">
        <v>2109</v>
      </c>
      <c r="E376" t="s">
        <v>1364</v>
      </c>
      <c r="F376" t="s">
        <v>1364</v>
      </c>
      <c r="G376" t="s">
        <v>1365</v>
      </c>
      <c r="H376" t="s">
        <v>2108</v>
      </c>
      <c r="I376" t="s">
        <v>2108</v>
      </c>
      <c r="J376">
        <v>2655</v>
      </c>
      <c r="K376">
        <v>2430</v>
      </c>
      <c r="L376">
        <v>2070</v>
      </c>
      <c r="M376" t="s">
        <v>2108</v>
      </c>
      <c r="N376" s="14">
        <v>0</v>
      </c>
      <c r="O376" s="14">
        <v>0</v>
      </c>
      <c r="P376" s="14">
        <v>0</v>
      </c>
      <c r="Q376" t="s">
        <v>40</v>
      </c>
      <c r="R376">
        <v>27</v>
      </c>
      <c r="S376">
        <v>1</v>
      </c>
      <c r="T376" t="s">
        <v>2110</v>
      </c>
      <c r="U376" t="s">
        <v>2111</v>
      </c>
      <c r="V376">
        <v>0</v>
      </c>
      <c r="W376" s="26" t="str">
        <f t="shared" si="5"/>
        <v>(3468,null,1,'2026-04-28 00:00:00','003311010020000-33110100202','003311010020000-33110100202','经腹腔镜肾固定术',null,null,2655,2430,2070,null,0,0,0,'次',27,1,'normal','main',0),</v>
      </c>
    </row>
    <row r="377" spans="1:23">
      <c r="A377">
        <v>3469</v>
      </c>
      <c r="B377" t="s">
        <v>2108</v>
      </c>
      <c r="C377">
        <v>1</v>
      </c>
      <c r="D377" s="21" t="s">
        <v>2109</v>
      </c>
      <c r="E377" t="s">
        <v>1366</v>
      </c>
      <c r="F377" t="s">
        <v>1366</v>
      </c>
      <c r="G377" t="s">
        <v>1367</v>
      </c>
      <c r="H377" t="s">
        <v>2108</v>
      </c>
      <c r="I377" t="s">
        <v>2108</v>
      </c>
      <c r="J377">
        <v>2360</v>
      </c>
      <c r="K377">
        <v>2120</v>
      </c>
      <c r="L377">
        <v>1800</v>
      </c>
      <c r="M377" t="s">
        <v>2108</v>
      </c>
      <c r="N377" s="14">
        <v>0</v>
      </c>
      <c r="O377" s="14">
        <v>0</v>
      </c>
      <c r="P377" s="14">
        <v>0</v>
      </c>
      <c r="Q377" t="s">
        <v>40</v>
      </c>
      <c r="R377">
        <v>27</v>
      </c>
      <c r="S377">
        <v>1</v>
      </c>
      <c r="T377" t="s">
        <v>2110</v>
      </c>
      <c r="U377" t="s">
        <v>2111</v>
      </c>
      <c r="V377">
        <v>0</v>
      </c>
      <c r="W377" s="26" t="str">
        <f t="shared" si="5"/>
        <v>(3469,null,1,'2026-04-28 00:00:00','003311010030000-331101003','003311010030000-331101003','肾折叠术',null,null,2360,2120,1800,null,0,0,0,'次',27,1,'normal','main',0),</v>
      </c>
    </row>
    <row r="378" spans="1:23">
      <c r="A378">
        <v>3470</v>
      </c>
      <c r="B378" t="s">
        <v>2108</v>
      </c>
      <c r="C378">
        <v>1</v>
      </c>
      <c r="D378" s="21" t="s">
        <v>2109</v>
      </c>
      <c r="E378" t="s">
        <v>1368</v>
      </c>
      <c r="F378" t="s">
        <v>1368</v>
      </c>
      <c r="G378" t="s">
        <v>1369</v>
      </c>
      <c r="H378" t="s">
        <v>2108</v>
      </c>
      <c r="I378" t="s">
        <v>2108</v>
      </c>
      <c r="J378">
        <v>2985</v>
      </c>
      <c r="K378">
        <v>2720</v>
      </c>
      <c r="L378">
        <v>2310</v>
      </c>
      <c r="M378" t="s">
        <v>2108</v>
      </c>
      <c r="N378" s="14">
        <v>0</v>
      </c>
      <c r="O378" s="14">
        <v>0</v>
      </c>
      <c r="P378" s="14">
        <v>0</v>
      </c>
      <c r="Q378" t="s">
        <v>40</v>
      </c>
      <c r="R378">
        <v>27</v>
      </c>
      <c r="S378">
        <v>1</v>
      </c>
      <c r="T378" t="s">
        <v>2110</v>
      </c>
      <c r="U378" t="s">
        <v>2111</v>
      </c>
      <c r="V378">
        <v>0</v>
      </c>
      <c r="W378" s="26" t="str">
        <f t="shared" si="5"/>
        <v>(3470,null,1,'2026-04-28 00:00:00','003311010030000-33110100302','003311010030000-33110100302','经腹腔镜肾折叠术',null,null,2985,2720,2310,null,0,0,0,'次',27,1,'normal','main',0),</v>
      </c>
    </row>
    <row r="379" spans="1:23">
      <c r="A379">
        <v>3471</v>
      </c>
      <c r="B379" t="s">
        <v>2108</v>
      </c>
      <c r="C379">
        <v>1</v>
      </c>
      <c r="D379" s="21" t="s">
        <v>2109</v>
      </c>
      <c r="E379" t="s">
        <v>1372</v>
      </c>
      <c r="F379" t="s">
        <v>1372</v>
      </c>
      <c r="G379" t="s">
        <v>1373</v>
      </c>
      <c r="H379" t="s">
        <v>2108</v>
      </c>
      <c r="I379" t="s">
        <v>2108</v>
      </c>
      <c r="J379">
        <v>3510</v>
      </c>
      <c r="K379">
        <v>3160</v>
      </c>
      <c r="L379">
        <v>2685</v>
      </c>
      <c r="M379" t="s">
        <v>2108</v>
      </c>
      <c r="N379">
        <v>3315</v>
      </c>
      <c r="O379">
        <v>3105</v>
      </c>
      <c r="P379">
        <v>2600</v>
      </c>
      <c r="Q379" t="s">
        <v>40</v>
      </c>
      <c r="R379">
        <v>27</v>
      </c>
      <c r="S379">
        <v>1</v>
      </c>
      <c r="T379" t="s">
        <v>2110</v>
      </c>
      <c r="U379" t="s">
        <v>2111</v>
      </c>
      <c r="V379">
        <v>0</v>
      </c>
      <c r="W379" s="26" t="str">
        <f t="shared" si="5"/>
        <v>(3471,null,1,'2026-04-28 00:00:00','003311020030000-33110200301','003311020030000-33110200301','小儿经皮肾镜或输尿管镜内切开成形术',null,null,3510,3160,2685,null,3315,3105,2600,'次',27,1,'normal','main',0),</v>
      </c>
    </row>
    <row r="380" spans="1:23">
      <c r="A380">
        <v>3472</v>
      </c>
      <c r="B380" t="s">
        <v>2108</v>
      </c>
      <c r="C380">
        <v>1</v>
      </c>
      <c r="D380" s="21" t="s">
        <v>2109</v>
      </c>
      <c r="E380" t="s">
        <v>1374</v>
      </c>
      <c r="F380" t="s">
        <v>1374</v>
      </c>
      <c r="G380" t="s">
        <v>1375</v>
      </c>
      <c r="H380" t="s">
        <v>2108</v>
      </c>
      <c r="I380" t="s">
        <v>2108</v>
      </c>
      <c r="J380">
        <v>3510</v>
      </c>
      <c r="K380">
        <v>3160</v>
      </c>
      <c r="L380">
        <v>2685</v>
      </c>
      <c r="M380" t="s">
        <v>2108</v>
      </c>
      <c r="N380">
        <v>3315</v>
      </c>
      <c r="O380">
        <v>3105</v>
      </c>
      <c r="P380">
        <v>2600</v>
      </c>
      <c r="Q380" t="s">
        <v>40</v>
      </c>
      <c r="R380">
        <v>27</v>
      </c>
      <c r="S380">
        <v>1</v>
      </c>
      <c r="T380" t="s">
        <v>2110</v>
      </c>
      <c r="U380" t="s">
        <v>2111</v>
      </c>
      <c r="V380">
        <v>0</v>
      </c>
      <c r="W380" s="26" t="str">
        <f t="shared" si="5"/>
        <v>(3472,null,1,'2026-04-28 00:00:00','003311020050000-33110200502','003311020050000-33110200502','小儿肾盂输尿管成形术',null,null,3510,3160,2685,null,3315,3105,2600,'次',27,1,'normal','main',0),</v>
      </c>
    </row>
    <row r="381" spans="1:23">
      <c r="A381">
        <v>3473</v>
      </c>
      <c r="B381" t="s">
        <v>2108</v>
      </c>
      <c r="C381">
        <v>1</v>
      </c>
      <c r="D381" s="21" t="s">
        <v>2109</v>
      </c>
      <c r="E381" t="s">
        <v>1376</v>
      </c>
      <c r="F381" t="s">
        <v>1376</v>
      </c>
      <c r="G381" t="s">
        <v>1377</v>
      </c>
      <c r="H381" t="s">
        <v>2108</v>
      </c>
      <c r="I381" t="s">
        <v>2108</v>
      </c>
      <c r="J381">
        <v>5005</v>
      </c>
      <c r="K381">
        <v>4510</v>
      </c>
      <c r="L381">
        <v>3835</v>
      </c>
      <c r="M381" t="s">
        <v>2108</v>
      </c>
      <c r="N381">
        <v>3315</v>
      </c>
      <c r="O381">
        <v>3105</v>
      </c>
      <c r="P381">
        <v>2600</v>
      </c>
      <c r="Q381" t="s">
        <v>40</v>
      </c>
      <c r="R381">
        <v>27</v>
      </c>
      <c r="S381">
        <v>1</v>
      </c>
      <c r="T381" t="s">
        <v>2110</v>
      </c>
      <c r="U381" t="s">
        <v>2111</v>
      </c>
      <c r="V381">
        <v>0</v>
      </c>
      <c r="W381" s="26" t="str">
        <f t="shared" si="5"/>
        <v>(3473,null,1,'2026-04-28 00:00:00','003311020050001-33110200503','003311020050001-33110200503','小儿肾盂输尿管成形术-同时行双侧成形术',null,null,5005,4510,3835,null,3315,3105,2600,'次',27,1,'normal','main',0),</v>
      </c>
    </row>
    <row r="382" spans="1:23">
      <c r="A382">
        <v>3474</v>
      </c>
      <c r="B382" t="s">
        <v>2108</v>
      </c>
      <c r="C382">
        <v>1</v>
      </c>
      <c r="D382" s="21" t="s">
        <v>2109</v>
      </c>
      <c r="E382" t="s">
        <v>1378</v>
      </c>
      <c r="F382" t="s">
        <v>1378</v>
      </c>
      <c r="G382" t="s">
        <v>1379</v>
      </c>
      <c r="H382" t="s">
        <v>2108</v>
      </c>
      <c r="I382" t="s">
        <v>2108</v>
      </c>
      <c r="J382">
        <v>4135</v>
      </c>
      <c r="K382">
        <v>3760</v>
      </c>
      <c r="L382">
        <v>3195</v>
      </c>
      <c r="M382" t="s">
        <v>2108</v>
      </c>
      <c r="N382">
        <v>3315</v>
      </c>
      <c r="O382">
        <v>3105</v>
      </c>
      <c r="P382">
        <v>2600</v>
      </c>
      <c r="Q382" t="s">
        <v>40</v>
      </c>
      <c r="R382">
        <v>27</v>
      </c>
      <c r="S382">
        <v>1</v>
      </c>
      <c r="T382" t="s">
        <v>2110</v>
      </c>
      <c r="U382" t="s">
        <v>2111</v>
      </c>
      <c r="V382">
        <v>0</v>
      </c>
      <c r="W382" s="26" t="str">
        <f t="shared" si="5"/>
        <v>(3474,null,1,'2026-04-28 00:00:00','003311020050002-33110200506','003311020050002-33110200506','小儿经腹腔镜肾盂输尿管成形术',null,null,4135,3760,3195,null,3315,3105,2600,'次',27,1,'normal','main',0),</v>
      </c>
    </row>
    <row r="383" spans="1:23">
      <c r="A383">
        <v>3475</v>
      </c>
      <c r="B383" t="s">
        <v>2108</v>
      </c>
      <c r="C383">
        <v>1</v>
      </c>
      <c r="D383" s="21" t="s">
        <v>2109</v>
      </c>
      <c r="E383" t="s">
        <v>1380</v>
      </c>
      <c r="F383" t="s">
        <v>1380</v>
      </c>
      <c r="G383" t="s">
        <v>1381</v>
      </c>
      <c r="H383" t="s">
        <v>2108</v>
      </c>
      <c r="I383" t="s">
        <v>2108</v>
      </c>
      <c r="J383">
        <v>5630</v>
      </c>
      <c r="K383">
        <v>5110</v>
      </c>
      <c r="L383">
        <v>4345</v>
      </c>
      <c r="M383" t="s">
        <v>2108</v>
      </c>
      <c r="N383">
        <v>3315</v>
      </c>
      <c r="O383">
        <v>3105</v>
      </c>
      <c r="P383">
        <v>2600</v>
      </c>
      <c r="Q383" t="s">
        <v>40</v>
      </c>
      <c r="R383">
        <v>27</v>
      </c>
      <c r="S383">
        <v>1</v>
      </c>
      <c r="T383" t="s">
        <v>2110</v>
      </c>
      <c r="U383" t="s">
        <v>2111</v>
      </c>
      <c r="V383">
        <v>0</v>
      </c>
      <c r="W383" s="26" t="str">
        <f t="shared" si="5"/>
        <v>(3475,null,1,'2026-04-28 00:00:00','003311020050002-33110200507','003311020050002-33110200507','小儿经腹腔镜肾盂输尿管成形术-同时行双侧成形术',null,null,5630,5110,4345,null,3315,3105,2600,'次',27,1,'normal','main',0),</v>
      </c>
    </row>
    <row r="384" spans="1:23">
      <c r="A384">
        <v>3476</v>
      </c>
      <c r="B384" t="s">
        <v>2108</v>
      </c>
      <c r="C384">
        <v>1</v>
      </c>
      <c r="D384" s="21" t="s">
        <v>2109</v>
      </c>
      <c r="E384" t="s">
        <v>1382</v>
      </c>
      <c r="F384" t="s">
        <v>1382</v>
      </c>
      <c r="G384" t="s">
        <v>1383</v>
      </c>
      <c r="H384" t="s">
        <v>2108</v>
      </c>
      <c r="I384" t="s">
        <v>2108</v>
      </c>
      <c r="J384">
        <v>1790</v>
      </c>
      <c r="K384">
        <v>1715</v>
      </c>
      <c r="L384">
        <v>1460</v>
      </c>
      <c r="M384" t="s">
        <v>2108</v>
      </c>
      <c r="N384">
        <v>3315</v>
      </c>
      <c r="O384">
        <v>3105</v>
      </c>
      <c r="P384">
        <v>2600</v>
      </c>
      <c r="Q384" t="s">
        <v>40</v>
      </c>
      <c r="R384">
        <v>27</v>
      </c>
      <c r="S384">
        <v>1</v>
      </c>
      <c r="T384" t="s">
        <v>2110</v>
      </c>
      <c r="U384" t="s">
        <v>2111</v>
      </c>
      <c r="V384">
        <v>0</v>
      </c>
      <c r="W384" s="26" t="str">
        <f t="shared" si="5"/>
        <v>(3476,null,1,'2026-04-28 00:00:00','003311020150000-33110201501','003311020150000-33110201501','小儿输尿管松解术',null,null,1790,1715,1460,null,3315,3105,2600,'次',27,1,'normal','main',0),</v>
      </c>
    </row>
    <row r="385" spans="1:23">
      <c r="A385">
        <v>3477</v>
      </c>
      <c r="B385" t="s">
        <v>2108</v>
      </c>
      <c r="C385">
        <v>1</v>
      </c>
      <c r="D385" s="21" t="s">
        <v>2109</v>
      </c>
      <c r="E385" t="s">
        <v>1384</v>
      </c>
      <c r="F385" t="s">
        <v>1384</v>
      </c>
      <c r="G385" t="s">
        <v>1385</v>
      </c>
      <c r="H385" t="s">
        <v>2108</v>
      </c>
      <c r="I385" t="s">
        <v>2108</v>
      </c>
      <c r="J385">
        <v>2415</v>
      </c>
      <c r="K385">
        <v>2315</v>
      </c>
      <c r="L385">
        <v>1970</v>
      </c>
      <c r="M385" t="s">
        <v>2108</v>
      </c>
      <c r="N385">
        <v>3315</v>
      </c>
      <c r="O385">
        <v>3105</v>
      </c>
      <c r="P385">
        <v>2600</v>
      </c>
      <c r="Q385" t="s">
        <v>40</v>
      </c>
      <c r="R385">
        <v>27</v>
      </c>
      <c r="S385">
        <v>1</v>
      </c>
      <c r="T385" t="s">
        <v>2110</v>
      </c>
      <c r="U385" t="s">
        <v>2111</v>
      </c>
      <c r="V385">
        <v>0</v>
      </c>
      <c r="W385" s="26" t="str">
        <f t="shared" si="5"/>
        <v>(3477,null,1,'2026-04-28 00:00:00','003311020150000-33110201503','003311020150000-33110201503','小儿经腹腔镜输尿管松解术',null,null,2415,2315,1970,null,3315,3105,2600,'次',27,1,'normal','main',0),</v>
      </c>
    </row>
    <row r="386" spans="1:23">
      <c r="A386">
        <v>3478</v>
      </c>
      <c r="B386" t="s">
        <v>2108</v>
      </c>
      <c r="C386">
        <v>1</v>
      </c>
      <c r="D386" s="21" t="s">
        <v>2109</v>
      </c>
      <c r="E386" t="s">
        <v>1386</v>
      </c>
      <c r="F386" t="s">
        <v>1386</v>
      </c>
      <c r="G386" t="s">
        <v>1387</v>
      </c>
      <c r="H386" t="s">
        <v>2108</v>
      </c>
      <c r="I386" t="s">
        <v>2108</v>
      </c>
      <c r="J386">
        <v>2845</v>
      </c>
      <c r="K386">
        <v>2560</v>
      </c>
      <c r="L386">
        <v>2175</v>
      </c>
      <c r="M386" t="s">
        <v>2108</v>
      </c>
      <c r="N386">
        <v>3315</v>
      </c>
      <c r="O386">
        <v>3105</v>
      </c>
      <c r="P386">
        <v>2600</v>
      </c>
      <c r="Q386" t="s">
        <v>40</v>
      </c>
      <c r="R386">
        <v>27</v>
      </c>
      <c r="S386">
        <v>1</v>
      </c>
      <c r="T386" t="s">
        <v>2110</v>
      </c>
      <c r="U386" t="s">
        <v>2111</v>
      </c>
      <c r="V386">
        <v>0</v>
      </c>
      <c r="W386" s="26" t="str">
        <f t="shared" si="5"/>
        <v>(3478,null,1,'2026-04-28 00:00:00','003311020160000-33110201601','003311020160000-33110201601','小儿输尿管整形术',null,null,2845,2560,2175,null,3315,3105,2600,'次',27,1,'normal','main',0),</v>
      </c>
    </row>
    <row r="387" spans="1:23">
      <c r="A387">
        <v>3479</v>
      </c>
      <c r="B387" t="s">
        <v>2108</v>
      </c>
      <c r="C387">
        <v>1</v>
      </c>
      <c r="D387" s="21" t="s">
        <v>2109</v>
      </c>
      <c r="E387" t="s">
        <v>1388</v>
      </c>
      <c r="F387" t="s">
        <v>1388</v>
      </c>
      <c r="G387" t="s">
        <v>1389</v>
      </c>
      <c r="H387" t="s">
        <v>2108</v>
      </c>
      <c r="I387" t="s">
        <v>2108</v>
      </c>
      <c r="J387">
        <v>3470</v>
      </c>
      <c r="K387">
        <v>3160</v>
      </c>
      <c r="L387">
        <v>2685</v>
      </c>
      <c r="M387" t="s">
        <v>2108</v>
      </c>
      <c r="N387">
        <v>3315</v>
      </c>
      <c r="O387">
        <v>3105</v>
      </c>
      <c r="P387">
        <v>2600</v>
      </c>
      <c r="Q387" t="s">
        <v>40</v>
      </c>
      <c r="R387">
        <v>27</v>
      </c>
      <c r="S387">
        <v>1</v>
      </c>
      <c r="T387" t="s">
        <v>2110</v>
      </c>
      <c r="U387" t="s">
        <v>2111</v>
      </c>
      <c r="V387">
        <v>0</v>
      </c>
      <c r="W387" s="26" t="str">
        <f t="shared" ref="W387:W450" si="6">"("&amp;A387&amp;","&amp;B387&amp;","&amp;C387&amp;",'"&amp;D387&amp;"','"&amp;E387&amp;"','"&amp;F387&amp;"','"&amp;G387&amp;"',"&amp;H387&amp;","&amp;I387&amp;","&amp;J387&amp;","&amp;K387&amp;","&amp;L387&amp;","&amp;M387&amp;","&amp;N387&amp;","&amp;O387&amp;","&amp;P387&amp;",'"&amp;Q387&amp;"',"&amp;R387&amp;","&amp;S387&amp;",'"&amp;T387&amp;"','"&amp;U387&amp;"',"&amp;V387&amp;"),"</f>
        <v>(3479,null,1,'2026-04-28 00:00:00','003311020160000-33110201603','003311020160000-33110201603','小儿经腹腔镜输尿管整形术',null,null,3470,3160,2685,null,3315,3105,2600,'次',27,1,'normal','main',0),</v>
      </c>
    </row>
    <row r="388" spans="1:23">
      <c r="A388">
        <v>3480</v>
      </c>
      <c r="B388" t="s">
        <v>2108</v>
      </c>
      <c r="C388">
        <v>1</v>
      </c>
      <c r="D388" s="21" t="s">
        <v>2109</v>
      </c>
      <c r="E388" t="s">
        <v>1390</v>
      </c>
      <c r="F388" t="s">
        <v>1390</v>
      </c>
      <c r="G388" t="s">
        <v>1391</v>
      </c>
      <c r="H388" t="s">
        <v>2108</v>
      </c>
      <c r="I388" t="s">
        <v>2108</v>
      </c>
      <c r="J388">
        <v>3510</v>
      </c>
      <c r="K388">
        <v>3160</v>
      </c>
      <c r="L388">
        <v>2685</v>
      </c>
      <c r="M388" t="s">
        <v>2108</v>
      </c>
      <c r="N388">
        <v>3315</v>
      </c>
      <c r="O388">
        <v>3105</v>
      </c>
      <c r="P388">
        <v>2600</v>
      </c>
      <c r="Q388" t="s">
        <v>40</v>
      </c>
      <c r="R388">
        <v>27</v>
      </c>
      <c r="S388">
        <v>1</v>
      </c>
      <c r="T388" t="s">
        <v>2110</v>
      </c>
      <c r="U388" t="s">
        <v>2111</v>
      </c>
      <c r="V388">
        <v>0</v>
      </c>
      <c r="W388" s="26" t="str">
        <f t="shared" si="6"/>
        <v>(3480,null,1,'2026-04-28 00:00:00','003311020020000-33110200201','003311020020000-33110200201','小儿肾盂成形肾盂输尿管再吻合术',null,null,3510,3160,2685,null,3315,3105,2600,'次',27,1,'normal','main',0),</v>
      </c>
    </row>
    <row r="389" spans="1:23">
      <c r="A389">
        <v>3481</v>
      </c>
      <c r="B389" t="s">
        <v>2108</v>
      </c>
      <c r="C389">
        <v>1</v>
      </c>
      <c r="D389" s="21" t="s">
        <v>2109</v>
      </c>
      <c r="E389" t="s">
        <v>1392</v>
      </c>
      <c r="F389" t="s">
        <v>1392</v>
      </c>
      <c r="G389" t="s">
        <v>1393</v>
      </c>
      <c r="H389" t="s">
        <v>2108</v>
      </c>
      <c r="I389" t="s">
        <v>2108</v>
      </c>
      <c r="J389">
        <v>4135</v>
      </c>
      <c r="K389">
        <v>3760</v>
      </c>
      <c r="L389">
        <v>3195</v>
      </c>
      <c r="M389" t="s">
        <v>2108</v>
      </c>
      <c r="N389">
        <v>3315</v>
      </c>
      <c r="O389">
        <v>3105</v>
      </c>
      <c r="P389">
        <v>2600</v>
      </c>
      <c r="Q389" t="s">
        <v>40</v>
      </c>
      <c r="R389">
        <v>27</v>
      </c>
      <c r="S389">
        <v>1</v>
      </c>
      <c r="T389" t="s">
        <v>2110</v>
      </c>
      <c r="U389" t="s">
        <v>2111</v>
      </c>
      <c r="V389">
        <v>0</v>
      </c>
      <c r="W389" s="26" t="str">
        <f t="shared" si="6"/>
        <v>(3481,null,1,'2026-04-28 00:00:00','003311020020000-33110200203','003311020020000-33110200203','小儿经腹腔镜肾盂成形肾盂输尿管再吻合术',null,null,4135,3760,3195,null,3315,3105,2600,'次',27,1,'normal','main',0),</v>
      </c>
    </row>
    <row r="390" spans="1:23">
      <c r="A390">
        <v>3482</v>
      </c>
      <c r="B390" t="s">
        <v>2108</v>
      </c>
      <c r="C390">
        <v>1</v>
      </c>
      <c r="D390" s="21" t="s">
        <v>2109</v>
      </c>
      <c r="E390" t="s">
        <v>1394</v>
      </c>
      <c r="F390" t="s">
        <v>1394</v>
      </c>
      <c r="G390" t="s">
        <v>1395</v>
      </c>
      <c r="H390" t="s">
        <v>2108</v>
      </c>
      <c r="I390" t="s">
        <v>2108</v>
      </c>
      <c r="J390">
        <v>1300</v>
      </c>
      <c r="K390">
        <v>1250</v>
      </c>
      <c r="L390">
        <v>1065</v>
      </c>
      <c r="M390" t="s">
        <v>2108</v>
      </c>
      <c r="N390">
        <v>3315</v>
      </c>
      <c r="O390">
        <v>3105</v>
      </c>
      <c r="P390">
        <v>2600</v>
      </c>
      <c r="Q390" t="s">
        <v>40</v>
      </c>
      <c r="R390">
        <v>27</v>
      </c>
      <c r="S390">
        <v>1</v>
      </c>
      <c r="T390" t="s">
        <v>2110</v>
      </c>
      <c r="U390" t="s">
        <v>2111</v>
      </c>
      <c r="V390">
        <v>0</v>
      </c>
      <c r="W390" s="26" t="str">
        <f t="shared" si="6"/>
        <v>(3482,null,1,'2026-04-28 00:00:00','003311040210000-33110402101','003311040210000-33110402101','小儿尿道外口整形术',null,null,1300,1250,1065,null,3315,3105,2600,'次',27,1,'normal','main',0),</v>
      </c>
    </row>
    <row r="391" spans="1:23">
      <c r="A391">
        <v>3483</v>
      </c>
      <c r="B391" t="s">
        <v>2108</v>
      </c>
      <c r="C391">
        <v>1</v>
      </c>
      <c r="D391" s="21" t="s">
        <v>2109</v>
      </c>
      <c r="E391" t="s">
        <v>1396</v>
      </c>
      <c r="F391" t="s">
        <v>1396</v>
      </c>
      <c r="G391" t="s">
        <v>1397</v>
      </c>
      <c r="H391" t="s">
        <v>2108</v>
      </c>
      <c r="I391" t="s">
        <v>2108</v>
      </c>
      <c r="J391">
        <v>3070</v>
      </c>
      <c r="K391">
        <v>2755</v>
      </c>
      <c r="L391">
        <v>2340</v>
      </c>
      <c r="M391" t="s">
        <v>2108</v>
      </c>
      <c r="N391">
        <v>3315</v>
      </c>
      <c r="O391">
        <v>3105</v>
      </c>
      <c r="P391">
        <v>2600</v>
      </c>
      <c r="Q391" t="s">
        <v>40</v>
      </c>
      <c r="R391">
        <v>27</v>
      </c>
      <c r="S391">
        <v>1</v>
      </c>
      <c r="T391" t="s">
        <v>2110</v>
      </c>
      <c r="U391" t="s">
        <v>2111</v>
      </c>
      <c r="V391">
        <v>0</v>
      </c>
      <c r="W391" s="26" t="str">
        <f t="shared" si="6"/>
        <v>(3483,null,1,'2026-04-28 00:00:00','003311020170000-33110201701','003311020170000-33110201701','小儿腔静脉后输尿管整形术',null,null,3070,2755,2340,null,3315,3105,2600,'次',27,1,'normal','main',0),</v>
      </c>
    </row>
    <row r="392" spans="1:23">
      <c r="A392">
        <v>3484</v>
      </c>
      <c r="B392" t="s">
        <v>2108</v>
      </c>
      <c r="C392">
        <v>1</v>
      </c>
      <c r="D392" s="21" t="s">
        <v>2109</v>
      </c>
      <c r="E392" t="s">
        <v>1398</v>
      </c>
      <c r="F392" t="s">
        <v>1398</v>
      </c>
      <c r="G392" t="s">
        <v>1399</v>
      </c>
      <c r="H392" t="s">
        <v>2108</v>
      </c>
      <c r="I392" t="s">
        <v>2108</v>
      </c>
      <c r="J392">
        <v>3695</v>
      </c>
      <c r="K392">
        <v>3355</v>
      </c>
      <c r="L392">
        <v>2850</v>
      </c>
      <c r="M392" t="s">
        <v>2108</v>
      </c>
      <c r="N392">
        <v>3315</v>
      </c>
      <c r="O392">
        <v>3105</v>
      </c>
      <c r="P392">
        <v>2600</v>
      </c>
      <c r="Q392" t="s">
        <v>40</v>
      </c>
      <c r="R392">
        <v>27</v>
      </c>
      <c r="S392">
        <v>1</v>
      </c>
      <c r="T392" t="s">
        <v>2110</v>
      </c>
      <c r="U392" t="s">
        <v>2111</v>
      </c>
      <c r="V392">
        <v>0</v>
      </c>
      <c r="W392" s="26" t="str">
        <f t="shared" si="6"/>
        <v>(3484,null,1,'2026-04-28 00:00:00','003311020170000-33110201703','003311020170000-33110201703','小儿经腹腔镜腔静脉后输尿管整形术',null,null,3695,3355,2850,null,3315,3105,2600,'次',27,1,'normal','main',0),</v>
      </c>
    </row>
    <row r="393" spans="1:23">
      <c r="A393">
        <v>3485</v>
      </c>
      <c r="B393" t="s">
        <v>2108</v>
      </c>
      <c r="C393">
        <v>1</v>
      </c>
      <c r="D393" s="21" t="s">
        <v>2109</v>
      </c>
      <c r="E393" t="s">
        <v>1400</v>
      </c>
      <c r="F393" t="s">
        <v>1400</v>
      </c>
      <c r="G393" t="s">
        <v>1401</v>
      </c>
      <c r="H393" t="s">
        <v>2108</v>
      </c>
      <c r="I393" t="s">
        <v>2108</v>
      </c>
      <c r="J393">
        <v>3070</v>
      </c>
      <c r="K393">
        <v>2755</v>
      </c>
      <c r="L393">
        <v>2340</v>
      </c>
      <c r="M393" t="s">
        <v>2108</v>
      </c>
      <c r="N393">
        <v>3315</v>
      </c>
      <c r="O393">
        <v>3105</v>
      </c>
      <c r="P393">
        <v>2600</v>
      </c>
      <c r="Q393" t="s">
        <v>40</v>
      </c>
      <c r="R393">
        <v>27</v>
      </c>
      <c r="S393">
        <v>1</v>
      </c>
      <c r="T393" t="s">
        <v>2110</v>
      </c>
      <c r="U393" t="s">
        <v>2111</v>
      </c>
      <c r="V393">
        <v>0</v>
      </c>
      <c r="W393" s="26" t="str">
        <f t="shared" si="6"/>
        <v>(3485,null,1,'2026-04-28 00:00:00','003311040160000-33110401601','003311040160000-33110401601','小儿会阴阴囊皮瓣尿道成型术',null,null,3070,2755,2340,null,3315,3105,2600,'次',27,1,'normal','main',0),</v>
      </c>
    </row>
    <row r="394" spans="1:23">
      <c r="A394">
        <v>3486</v>
      </c>
      <c r="B394" t="s">
        <v>2108</v>
      </c>
      <c r="C394">
        <v>1</v>
      </c>
      <c r="D394" s="21" t="s">
        <v>2109</v>
      </c>
      <c r="E394" t="s">
        <v>1402</v>
      </c>
      <c r="F394" t="s">
        <v>1402</v>
      </c>
      <c r="G394" t="s">
        <v>1403</v>
      </c>
      <c r="H394" t="s">
        <v>2108</v>
      </c>
      <c r="I394" t="s">
        <v>2108</v>
      </c>
      <c r="J394">
        <v>1625</v>
      </c>
      <c r="K394">
        <v>1560</v>
      </c>
      <c r="L394">
        <v>1325</v>
      </c>
      <c r="M394" t="s">
        <v>2108</v>
      </c>
      <c r="N394">
        <v>3315</v>
      </c>
      <c r="O394">
        <v>3105</v>
      </c>
      <c r="P394">
        <v>2600</v>
      </c>
      <c r="Q394" t="s">
        <v>40</v>
      </c>
      <c r="R394">
        <v>27</v>
      </c>
      <c r="S394">
        <v>1</v>
      </c>
      <c r="T394" t="s">
        <v>2110</v>
      </c>
      <c r="U394" t="s">
        <v>2111</v>
      </c>
      <c r="V394">
        <v>0</v>
      </c>
      <c r="W394" s="26" t="str">
        <f t="shared" si="6"/>
        <v>(3486,null,1,'2026-04-28 00:00:00','003311040040000-33110400401','003311040040000-33110400401','小儿前尿道吻合术',null,null,1625,1560,1325,null,3315,3105,2600,'次',27,1,'normal','main',0),</v>
      </c>
    </row>
    <row r="395" spans="1:23">
      <c r="A395">
        <v>3487</v>
      </c>
      <c r="B395" t="s">
        <v>2108</v>
      </c>
      <c r="C395">
        <v>1</v>
      </c>
      <c r="D395" s="21" t="s">
        <v>2109</v>
      </c>
      <c r="E395" t="s">
        <v>1404</v>
      </c>
      <c r="F395" t="s">
        <v>1404</v>
      </c>
      <c r="G395" t="s">
        <v>1405</v>
      </c>
      <c r="H395" t="s">
        <v>2108</v>
      </c>
      <c r="I395" t="s">
        <v>2108</v>
      </c>
      <c r="J395">
        <v>1875</v>
      </c>
      <c r="K395">
        <v>1785</v>
      </c>
      <c r="L395">
        <v>1515</v>
      </c>
      <c r="M395" t="s">
        <v>2108</v>
      </c>
      <c r="N395">
        <v>3315</v>
      </c>
      <c r="O395">
        <v>3105</v>
      </c>
      <c r="P395">
        <v>2600</v>
      </c>
      <c r="Q395" t="s">
        <v>40</v>
      </c>
      <c r="R395">
        <v>27</v>
      </c>
      <c r="S395">
        <v>1</v>
      </c>
      <c r="T395" t="s">
        <v>2110</v>
      </c>
      <c r="U395" t="s">
        <v>2111</v>
      </c>
      <c r="V395">
        <v>0</v>
      </c>
      <c r="W395" s="26" t="str">
        <f t="shared" si="6"/>
        <v>(3487,null,1,'2026-04-28 00:00:00','003311040040000-33110400403','003311040040000-33110400403','小儿经膀胱镜前尿道吻合术',null,null,1875,1785,1515,null,3315,3105,2600,'次',27,1,'normal','main',0),</v>
      </c>
    </row>
    <row r="396" spans="1:23">
      <c r="A396">
        <v>3488</v>
      </c>
      <c r="B396" t="s">
        <v>2108</v>
      </c>
      <c r="C396">
        <v>1</v>
      </c>
      <c r="D396" s="21" t="s">
        <v>2109</v>
      </c>
      <c r="E396" t="s">
        <v>1406</v>
      </c>
      <c r="F396" t="s">
        <v>1406</v>
      </c>
      <c r="G396" t="s">
        <v>1407</v>
      </c>
      <c r="H396" t="s">
        <v>2108</v>
      </c>
      <c r="I396" t="s">
        <v>2108</v>
      </c>
      <c r="J396">
        <v>2420</v>
      </c>
      <c r="K396">
        <v>2170</v>
      </c>
      <c r="L396">
        <v>1845</v>
      </c>
      <c r="M396" t="s">
        <v>2108</v>
      </c>
      <c r="N396">
        <v>3315</v>
      </c>
      <c r="O396">
        <v>3105</v>
      </c>
      <c r="P396">
        <v>2600</v>
      </c>
      <c r="Q396" t="s">
        <v>40</v>
      </c>
      <c r="R396">
        <v>27</v>
      </c>
      <c r="S396">
        <v>1</v>
      </c>
      <c r="T396" t="s">
        <v>2110</v>
      </c>
      <c r="U396" t="s">
        <v>2111</v>
      </c>
      <c r="V396">
        <v>0</v>
      </c>
      <c r="W396" s="26" t="str">
        <f t="shared" si="6"/>
        <v>(3488,null,1,'2026-04-28 00:00:00','003311040020000-33110400201','003311040020000-33110400201','小儿尿道折叠术',null,null,2420,2170,1845,null,3315,3105,2600,'次',27,1,'normal','main',0),</v>
      </c>
    </row>
    <row r="397" spans="1:23">
      <c r="A397">
        <v>3489</v>
      </c>
      <c r="B397" t="s">
        <v>2108</v>
      </c>
      <c r="C397">
        <v>1</v>
      </c>
      <c r="D397" s="21" t="s">
        <v>2109</v>
      </c>
      <c r="E397" t="s">
        <v>1408</v>
      </c>
      <c r="F397" t="s">
        <v>1408</v>
      </c>
      <c r="G397" t="s">
        <v>1409</v>
      </c>
      <c r="H397" t="s">
        <v>2108</v>
      </c>
      <c r="I397" t="s">
        <v>2108</v>
      </c>
      <c r="J397">
        <v>2670</v>
      </c>
      <c r="K397">
        <v>2395</v>
      </c>
      <c r="L397">
        <v>2035</v>
      </c>
      <c r="M397" t="s">
        <v>2108</v>
      </c>
      <c r="N397">
        <v>3315</v>
      </c>
      <c r="O397">
        <v>3105</v>
      </c>
      <c r="P397">
        <v>2600</v>
      </c>
      <c r="Q397" t="s">
        <v>40</v>
      </c>
      <c r="R397">
        <v>27</v>
      </c>
      <c r="S397">
        <v>1</v>
      </c>
      <c r="T397" t="s">
        <v>2110</v>
      </c>
      <c r="U397" t="s">
        <v>2111</v>
      </c>
      <c r="V397">
        <v>0</v>
      </c>
      <c r="W397" s="26" t="str">
        <f t="shared" si="6"/>
        <v>(3489,null,1,'2026-04-28 00:00:00','003311040020000-33110400203','003311040020000-33110400203','小儿经膀胱镜尿道折叠术',null,null,2670,2395,2035,null,3315,3105,2600,'次',27,1,'normal','main',0),</v>
      </c>
    </row>
    <row r="398" spans="1:23">
      <c r="A398">
        <v>3490</v>
      </c>
      <c r="B398" t="s">
        <v>2108</v>
      </c>
      <c r="C398">
        <v>1</v>
      </c>
      <c r="D398" s="21" t="s">
        <v>2109</v>
      </c>
      <c r="E398" t="s">
        <v>1410</v>
      </c>
      <c r="F398" t="s">
        <v>1410</v>
      </c>
      <c r="G398" t="s">
        <v>1411</v>
      </c>
      <c r="H398" t="s">
        <v>2108</v>
      </c>
      <c r="I398" t="s">
        <v>2108</v>
      </c>
      <c r="J398">
        <v>3290</v>
      </c>
      <c r="K398">
        <v>2965</v>
      </c>
      <c r="L398">
        <v>2520</v>
      </c>
      <c r="M398" t="s">
        <v>2108</v>
      </c>
      <c r="N398">
        <v>3315</v>
      </c>
      <c r="O398">
        <v>3105</v>
      </c>
      <c r="P398">
        <v>2600</v>
      </c>
      <c r="Q398" t="s">
        <v>40</v>
      </c>
      <c r="R398">
        <v>27</v>
      </c>
      <c r="S398">
        <v>1</v>
      </c>
      <c r="T398" t="s">
        <v>2110</v>
      </c>
      <c r="U398" t="s">
        <v>2111</v>
      </c>
      <c r="V398">
        <v>0</v>
      </c>
      <c r="W398" s="26" t="str">
        <f t="shared" si="6"/>
        <v>(3490,null,1,'2026-04-28 00:00:00','003311040010000-33110400101','003311040010000-33110400101','小儿尿道修补术',null,null,3290,2965,2520,null,3315,3105,2600,'次',27,1,'normal','main',0),</v>
      </c>
    </row>
    <row r="399" spans="1:23">
      <c r="A399">
        <v>3491</v>
      </c>
      <c r="B399" t="s">
        <v>2108</v>
      </c>
      <c r="C399">
        <v>1</v>
      </c>
      <c r="D399" s="21" t="s">
        <v>2109</v>
      </c>
      <c r="E399" t="s">
        <v>1412</v>
      </c>
      <c r="F399" t="s">
        <v>1412</v>
      </c>
      <c r="G399" t="s">
        <v>1413</v>
      </c>
      <c r="H399" t="s">
        <v>2108</v>
      </c>
      <c r="I399" t="s">
        <v>2108</v>
      </c>
      <c r="J399">
        <v>3540</v>
      </c>
      <c r="K399">
        <v>3190</v>
      </c>
      <c r="L399">
        <v>2710</v>
      </c>
      <c r="M399" t="s">
        <v>2108</v>
      </c>
      <c r="N399">
        <v>3315</v>
      </c>
      <c r="O399">
        <v>3105</v>
      </c>
      <c r="P399">
        <v>2600</v>
      </c>
      <c r="Q399" t="s">
        <v>40</v>
      </c>
      <c r="R399">
        <v>27</v>
      </c>
      <c r="S399">
        <v>1</v>
      </c>
      <c r="T399" t="s">
        <v>2110</v>
      </c>
      <c r="U399" t="s">
        <v>2111</v>
      </c>
      <c r="V399">
        <v>0</v>
      </c>
      <c r="W399" s="26" t="str">
        <f t="shared" si="6"/>
        <v>(3491,null,1,'2026-04-28 00:00:00','003311040010000-33110400103','003311040010000-33110400103','小儿经膀胱镜尿道修补术',null,null,3540,3190,2710,null,3315,3105,2600,'次',27,1,'normal','main',0),</v>
      </c>
    </row>
    <row r="400" spans="1:23">
      <c r="A400">
        <v>3492</v>
      </c>
      <c r="B400" t="s">
        <v>2108</v>
      </c>
      <c r="C400">
        <v>1</v>
      </c>
      <c r="D400" s="21" t="s">
        <v>2109</v>
      </c>
      <c r="E400" t="s">
        <v>1414</v>
      </c>
      <c r="F400" t="s">
        <v>1414</v>
      </c>
      <c r="G400" t="s">
        <v>1415</v>
      </c>
      <c r="H400" t="s">
        <v>2108</v>
      </c>
      <c r="I400" t="s">
        <v>2108</v>
      </c>
      <c r="J400">
        <v>3290</v>
      </c>
      <c r="K400">
        <v>2965</v>
      </c>
      <c r="L400">
        <v>2520</v>
      </c>
      <c r="M400" t="s">
        <v>2108</v>
      </c>
      <c r="N400">
        <v>3315</v>
      </c>
      <c r="O400">
        <v>3105</v>
      </c>
      <c r="P400">
        <v>2600</v>
      </c>
      <c r="Q400" t="s">
        <v>40</v>
      </c>
      <c r="R400">
        <v>27</v>
      </c>
      <c r="S400">
        <v>1</v>
      </c>
      <c r="T400" t="s">
        <v>2110</v>
      </c>
      <c r="U400" t="s">
        <v>2111</v>
      </c>
      <c r="V400">
        <v>0</v>
      </c>
      <c r="W400" s="26" t="str">
        <f t="shared" si="6"/>
        <v>(3492,null,1,'2026-04-28 00:00:00','003311040130000-33110401301','003311040130000-33110401301','小儿尿道重建术',null,null,3290,2965,2520,null,3315,3105,2600,'次',27,1,'normal','main',0),</v>
      </c>
    </row>
    <row r="401" spans="1:23">
      <c r="A401">
        <v>3493</v>
      </c>
      <c r="B401" t="s">
        <v>2108</v>
      </c>
      <c r="C401">
        <v>1</v>
      </c>
      <c r="D401" s="21" t="s">
        <v>2109</v>
      </c>
      <c r="E401" t="s">
        <v>1416</v>
      </c>
      <c r="F401" t="s">
        <v>1416</v>
      </c>
      <c r="G401" t="s">
        <v>1417</v>
      </c>
      <c r="H401" t="s">
        <v>2108</v>
      </c>
      <c r="I401" t="s">
        <v>2108</v>
      </c>
      <c r="J401">
        <v>3540</v>
      </c>
      <c r="K401">
        <v>3190</v>
      </c>
      <c r="L401">
        <v>2710</v>
      </c>
      <c r="M401" t="s">
        <v>2108</v>
      </c>
      <c r="N401">
        <v>3315</v>
      </c>
      <c r="O401">
        <v>3105</v>
      </c>
      <c r="P401">
        <v>2600</v>
      </c>
      <c r="Q401" t="s">
        <v>40</v>
      </c>
      <c r="R401">
        <v>27</v>
      </c>
      <c r="S401">
        <v>1</v>
      </c>
      <c r="T401" t="s">
        <v>2110</v>
      </c>
      <c r="U401" t="s">
        <v>2111</v>
      </c>
      <c r="V401">
        <v>0</v>
      </c>
      <c r="W401" s="26" t="str">
        <f t="shared" si="6"/>
        <v>(3493,null,1,'2026-04-28 00:00:00','003311040130000-33110401303','003311040130000-33110401303','小儿经膀胱镜尿道重建术',null,null,3540,3190,2710,null,3315,3105,2600,'次',27,1,'normal','main',0),</v>
      </c>
    </row>
    <row r="402" spans="1:23">
      <c r="A402">
        <v>3494</v>
      </c>
      <c r="B402" t="s">
        <v>2108</v>
      </c>
      <c r="C402">
        <v>1</v>
      </c>
      <c r="D402" s="21" t="s">
        <v>2109</v>
      </c>
      <c r="E402" t="s">
        <v>1418</v>
      </c>
      <c r="F402" t="s">
        <v>1418</v>
      </c>
      <c r="G402" t="s">
        <v>1419</v>
      </c>
      <c r="H402" t="s">
        <v>2108</v>
      </c>
      <c r="I402" t="s">
        <v>2108</v>
      </c>
      <c r="J402">
        <v>2195</v>
      </c>
      <c r="K402">
        <v>1975</v>
      </c>
      <c r="L402">
        <v>1680</v>
      </c>
      <c r="M402" t="s">
        <v>2108</v>
      </c>
      <c r="N402">
        <v>3315</v>
      </c>
      <c r="O402">
        <v>3105</v>
      </c>
      <c r="P402">
        <v>2600</v>
      </c>
      <c r="Q402" t="s">
        <v>40</v>
      </c>
      <c r="R402">
        <v>27</v>
      </c>
      <c r="S402">
        <v>1</v>
      </c>
      <c r="T402" t="s">
        <v>2110</v>
      </c>
      <c r="U402" t="s">
        <v>2111</v>
      </c>
      <c r="V402">
        <v>0</v>
      </c>
      <c r="W402" s="26" t="str">
        <f t="shared" si="6"/>
        <v>(3494,null,1,'2026-04-28 00:00:00','003311040030000-33110400301','003311040030000-33110400301','小儿尿道会师术',null,null,2195,1975,1680,null,3315,3105,2600,'次',27,1,'normal','main',0),</v>
      </c>
    </row>
    <row r="403" spans="1:23">
      <c r="A403">
        <v>3495</v>
      </c>
      <c r="B403" t="s">
        <v>2108</v>
      </c>
      <c r="C403">
        <v>1</v>
      </c>
      <c r="D403" s="21" t="s">
        <v>2109</v>
      </c>
      <c r="E403" t="s">
        <v>1420</v>
      </c>
      <c r="F403" t="s">
        <v>1420</v>
      </c>
      <c r="G403" t="s">
        <v>1421</v>
      </c>
      <c r="H403" t="s">
        <v>2108</v>
      </c>
      <c r="I403" t="s">
        <v>2108</v>
      </c>
      <c r="J403">
        <v>2445</v>
      </c>
      <c r="K403">
        <v>2200</v>
      </c>
      <c r="L403">
        <v>1870</v>
      </c>
      <c r="M403" t="s">
        <v>2108</v>
      </c>
      <c r="N403">
        <v>3315</v>
      </c>
      <c r="O403">
        <v>3105</v>
      </c>
      <c r="P403">
        <v>2600</v>
      </c>
      <c r="Q403" t="s">
        <v>40</v>
      </c>
      <c r="R403">
        <v>27</v>
      </c>
      <c r="S403">
        <v>1</v>
      </c>
      <c r="T403" t="s">
        <v>2110</v>
      </c>
      <c r="U403" t="s">
        <v>2111</v>
      </c>
      <c r="V403">
        <v>0</v>
      </c>
      <c r="W403" s="26" t="str">
        <f t="shared" si="6"/>
        <v>(3495,null,1,'2026-04-28 00:00:00','003311040030000-33110400303','003311040030000-33110400303','小儿经膀胱镜尿道会师术',null,null,2445,2200,1870,null,3315,3105,2600,'次',27,1,'normal','main',0),</v>
      </c>
    </row>
    <row r="404" spans="1:23">
      <c r="A404">
        <v>3496</v>
      </c>
      <c r="B404" t="s">
        <v>2108</v>
      </c>
      <c r="C404">
        <v>1</v>
      </c>
      <c r="D404" s="21" t="s">
        <v>2109</v>
      </c>
      <c r="E404" t="s">
        <v>1422</v>
      </c>
      <c r="F404" t="s">
        <v>1422</v>
      </c>
      <c r="G404" t="s">
        <v>1423</v>
      </c>
      <c r="H404" t="s">
        <v>2108</v>
      </c>
      <c r="I404" t="s">
        <v>2108</v>
      </c>
      <c r="J404">
        <v>2640</v>
      </c>
      <c r="K404">
        <v>2380</v>
      </c>
      <c r="L404">
        <v>2025</v>
      </c>
      <c r="M404" t="s">
        <v>2108</v>
      </c>
      <c r="N404" s="14">
        <v>0</v>
      </c>
      <c r="O404" s="14">
        <v>0</v>
      </c>
      <c r="P404" s="14">
        <v>0</v>
      </c>
      <c r="Q404" t="s">
        <v>40</v>
      </c>
      <c r="R404">
        <v>27</v>
      </c>
      <c r="S404">
        <v>1</v>
      </c>
      <c r="T404" t="s">
        <v>2110</v>
      </c>
      <c r="U404" t="s">
        <v>2111</v>
      </c>
      <c r="V404">
        <v>0</v>
      </c>
      <c r="W404" s="26" t="str">
        <f t="shared" si="6"/>
        <v>(3496,null,1,'2026-04-28 00:00:00','003311010020000-33110100201','003311010020000-33110100201','小儿肾固定术',null,null,2640,2380,2025,null,0,0,0,'次',27,1,'normal','main',0),</v>
      </c>
    </row>
    <row r="405" spans="1:23">
      <c r="A405">
        <v>3497</v>
      </c>
      <c r="B405" t="s">
        <v>2108</v>
      </c>
      <c r="C405">
        <v>1</v>
      </c>
      <c r="D405" s="21" t="s">
        <v>2109</v>
      </c>
      <c r="E405" t="s">
        <v>1424</v>
      </c>
      <c r="F405" t="s">
        <v>1424</v>
      </c>
      <c r="G405" t="s">
        <v>1425</v>
      </c>
      <c r="H405" t="s">
        <v>2108</v>
      </c>
      <c r="I405" t="s">
        <v>2108</v>
      </c>
      <c r="J405">
        <v>3265</v>
      </c>
      <c r="K405">
        <v>2980</v>
      </c>
      <c r="L405">
        <v>2535</v>
      </c>
      <c r="M405" t="s">
        <v>2108</v>
      </c>
      <c r="N405" s="14">
        <v>0</v>
      </c>
      <c r="O405" s="14">
        <v>0</v>
      </c>
      <c r="P405" s="14">
        <v>0</v>
      </c>
      <c r="Q405" t="s">
        <v>40</v>
      </c>
      <c r="R405">
        <v>27</v>
      </c>
      <c r="S405">
        <v>1</v>
      </c>
      <c r="T405" t="s">
        <v>2110</v>
      </c>
      <c r="U405" t="s">
        <v>2111</v>
      </c>
      <c r="V405">
        <v>0</v>
      </c>
      <c r="W405" s="26" t="str">
        <f t="shared" si="6"/>
        <v>(3497,null,1,'2026-04-28 00:00:00','003311010020000-33110100203','003311010020000-33110100203','小儿经腹腔镜肾固定术',null,null,3265,2980,2535,null,0,0,0,'次',27,1,'normal','main',0),</v>
      </c>
    </row>
    <row r="406" spans="1:23">
      <c r="A406">
        <v>3498</v>
      </c>
      <c r="B406" t="s">
        <v>2108</v>
      </c>
      <c r="C406">
        <v>1</v>
      </c>
      <c r="D406" s="21" t="s">
        <v>2109</v>
      </c>
      <c r="E406" t="s">
        <v>1426</v>
      </c>
      <c r="F406" t="s">
        <v>1426</v>
      </c>
      <c r="G406" t="s">
        <v>1427</v>
      </c>
      <c r="H406" t="s">
        <v>2108</v>
      </c>
      <c r="I406" t="s">
        <v>2108</v>
      </c>
      <c r="J406">
        <v>3070</v>
      </c>
      <c r="K406">
        <v>2755</v>
      </c>
      <c r="L406">
        <v>2340</v>
      </c>
      <c r="M406" t="s">
        <v>2108</v>
      </c>
      <c r="N406" s="14">
        <v>0</v>
      </c>
      <c r="O406" s="14">
        <v>0</v>
      </c>
      <c r="P406" s="14">
        <v>0</v>
      </c>
      <c r="Q406" t="s">
        <v>40</v>
      </c>
      <c r="R406">
        <v>27</v>
      </c>
      <c r="S406">
        <v>1</v>
      </c>
      <c r="T406" t="s">
        <v>2110</v>
      </c>
      <c r="U406" t="s">
        <v>2111</v>
      </c>
      <c r="V406">
        <v>0</v>
      </c>
      <c r="W406" s="26" t="str">
        <f t="shared" si="6"/>
        <v>(3498,null,1,'2026-04-28 00:00:00','003311010030000-33110100301','003311010030000-33110100301','小儿肾折叠术',null,null,3070,2755,2340,null,0,0,0,'次',27,1,'normal','main',0),</v>
      </c>
    </row>
    <row r="407" spans="1:23">
      <c r="A407">
        <v>3499</v>
      </c>
      <c r="B407" t="s">
        <v>2108</v>
      </c>
      <c r="C407">
        <v>1</v>
      </c>
      <c r="D407" s="21" t="s">
        <v>2109</v>
      </c>
      <c r="E407" t="s">
        <v>1428</v>
      </c>
      <c r="F407" t="s">
        <v>1428</v>
      </c>
      <c r="G407" t="s">
        <v>1429</v>
      </c>
      <c r="H407" t="s">
        <v>2108</v>
      </c>
      <c r="I407" t="s">
        <v>2108</v>
      </c>
      <c r="J407">
        <v>3695</v>
      </c>
      <c r="K407">
        <v>3355</v>
      </c>
      <c r="L407">
        <v>2850</v>
      </c>
      <c r="M407" t="s">
        <v>2108</v>
      </c>
      <c r="N407" s="14">
        <v>0</v>
      </c>
      <c r="O407" s="14">
        <v>0</v>
      </c>
      <c r="P407" s="14">
        <v>0</v>
      </c>
      <c r="Q407" t="s">
        <v>40</v>
      </c>
      <c r="R407">
        <v>27</v>
      </c>
      <c r="S407">
        <v>1</v>
      </c>
      <c r="T407" t="s">
        <v>2110</v>
      </c>
      <c r="U407" t="s">
        <v>2111</v>
      </c>
      <c r="V407">
        <v>0</v>
      </c>
      <c r="W407" s="26" t="str">
        <f t="shared" si="6"/>
        <v>(3499,null,1,'2026-04-28 00:00:00','003311010030000-33110100303','003311010030000-33110100303','小儿经腹腔镜肾折叠术',null,null,3695,3355,2850,null,0,0,0,'次',27,1,'normal','main',0),</v>
      </c>
    </row>
    <row r="408" spans="1:23">
      <c r="A408">
        <v>3500</v>
      </c>
      <c r="B408" t="s">
        <v>2108</v>
      </c>
      <c r="C408">
        <v>1</v>
      </c>
      <c r="D408" s="21" t="s">
        <v>2109</v>
      </c>
      <c r="E408" t="s">
        <v>1435</v>
      </c>
      <c r="F408" t="s">
        <v>1435</v>
      </c>
      <c r="G408" t="s">
        <v>1436</v>
      </c>
      <c r="H408" t="s">
        <v>2108</v>
      </c>
      <c r="I408" t="s">
        <v>2108</v>
      </c>
      <c r="J408">
        <v>2190</v>
      </c>
      <c r="K408">
        <v>1970</v>
      </c>
      <c r="L408">
        <v>1670</v>
      </c>
      <c r="M408" t="s">
        <v>2108</v>
      </c>
      <c r="N408">
        <v>3150</v>
      </c>
      <c r="O408">
        <v>2970</v>
      </c>
      <c r="P408">
        <v>2480</v>
      </c>
      <c r="Q408" t="s">
        <v>40</v>
      </c>
      <c r="R408">
        <v>27</v>
      </c>
      <c r="S408">
        <v>1</v>
      </c>
      <c r="T408" t="s">
        <v>2110</v>
      </c>
      <c r="U408" t="s">
        <v>2111</v>
      </c>
      <c r="V408">
        <v>0</v>
      </c>
      <c r="W408" s="26" t="str">
        <f t="shared" si="6"/>
        <v>(3500,null,1,'2026-04-28 00:00:00','003311020180000-331102018','003311020180000-331102018','肠管代输尿管术',null,null,2190,1970,1670,null,3150,2970,2480,'次',27,1,'normal','main',0),</v>
      </c>
    </row>
    <row r="409" spans="1:23">
      <c r="A409">
        <v>3501</v>
      </c>
      <c r="B409" t="s">
        <v>2108</v>
      </c>
      <c r="C409">
        <v>1</v>
      </c>
      <c r="D409" s="21" t="s">
        <v>2109</v>
      </c>
      <c r="E409" t="s">
        <v>1437</v>
      </c>
      <c r="F409" t="s">
        <v>1437</v>
      </c>
      <c r="G409" t="s">
        <v>1438</v>
      </c>
      <c r="H409" t="s">
        <v>2108</v>
      </c>
      <c r="I409" t="s">
        <v>2108</v>
      </c>
      <c r="J409">
        <v>2815</v>
      </c>
      <c r="K409">
        <v>2570</v>
      </c>
      <c r="L409">
        <v>2180</v>
      </c>
      <c r="M409" t="s">
        <v>2108</v>
      </c>
      <c r="N409">
        <v>3150</v>
      </c>
      <c r="O409">
        <v>2970</v>
      </c>
      <c r="P409">
        <v>2480</v>
      </c>
      <c r="Q409" t="s">
        <v>40</v>
      </c>
      <c r="R409">
        <v>27</v>
      </c>
      <c r="S409">
        <v>1</v>
      </c>
      <c r="T409" t="s">
        <v>2110</v>
      </c>
      <c r="U409" t="s">
        <v>2111</v>
      </c>
      <c r="V409">
        <v>0</v>
      </c>
      <c r="W409" s="26" t="str">
        <f t="shared" si="6"/>
        <v>(3501,null,1,'2026-04-28 00:00:00','003311020180000-33110201802','003311020180000-33110201802','经腹腔镜肠管代输尿管术',null,null,2815,2570,2180,null,3150,2970,2480,'次',27,1,'normal','main',0),</v>
      </c>
    </row>
    <row r="410" spans="1:23">
      <c r="A410">
        <v>3502</v>
      </c>
      <c r="B410" t="s">
        <v>2108</v>
      </c>
      <c r="C410">
        <v>1</v>
      </c>
      <c r="D410" s="21" t="s">
        <v>2109</v>
      </c>
      <c r="E410" t="s">
        <v>1439</v>
      </c>
      <c r="F410" t="s">
        <v>1439</v>
      </c>
      <c r="G410" t="s">
        <v>1440</v>
      </c>
      <c r="H410" t="s">
        <v>2108</v>
      </c>
      <c r="I410" t="s">
        <v>2108</v>
      </c>
      <c r="J410">
        <v>2190</v>
      </c>
      <c r="K410">
        <v>1970</v>
      </c>
      <c r="L410">
        <v>1670</v>
      </c>
      <c r="M410" t="s">
        <v>2108</v>
      </c>
      <c r="N410">
        <v>3150</v>
      </c>
      <c r="O410">
        <v>2970</v>
      </c>
      <c r="P410">
        <v>2480</v>
      </c>
      <c r="Q410" t="s">
        <v>40</v>
      </c>
      <c r="R410">
        <v>27</v>
      </c>
      <c r="S410">
        <v>1</v>
      </c>
      <c r="T410" t="s">
        <v>2110</v>
      </c>
      <c r="U410" t="s">
        <v>2111</v>
      </c>
      <c r="V410">
        <v>0</v>
      </c>
      <c r="W410" s="26" t="str">
        <f t="shared" si="6"/>
        <v>(3502,null,1,'2026-04-28 00:00:00','003311020190000-331102019','003311020190000-331102019','膀胱瓣代输尿管术',null,null,2190,1970,1670,null,3150,2970,2480,'次',27,1,'normal','main',0),</v>
      </c>
    </row>
    <row r="411" spans="1:23">
      <c r="A411">
        <v>3503</v>
      </c>
      <c r="B411" t="s">
        <v>2108</v>
      </c>
      <c r="C411">
        <v>1</v>
      </c>
      <c r="D411" s="21" t="s">
        <v>2109</v>
      </c>
      <c r="E411" t="s">
        <v>1441</v>
      </c>
      <c r="F411" t="s">
        <v>1441</v>
      </c>
      <c r="G411" t="s">
        <v>1442</v>
      </c>
      <c r="H411" t="s">
        <v>2108</v>
      </c>
      <c r="I411" t="s">
        <v>2108</v>
      </c>
      <c r="J411">
        <v>2815</v>
      </c>
      <c r="K411">
        <v>2570</v>
      </c>
      <c r="L411">
        <v>2180</v>
      </c>
      <c r="M411" t="s">
        <v>2108</v>
      </c>
      <c r="N411">
        <v>3150</v>
      </c>
      <c r="O411">
        <v>2970</v>
      </c>
      <c r="P411">
        <v>2480</v>
      </c>
      <c r="Q411" t="s">
        <v>40</v>
      </c>
      <c r="R411">
        <v>27</v>
      </c>
      <c r="S411">
        <v>1</v>
      </c>
      <c r="T411" t="s">
        <v>2110</v>
      </c>
      <c r="U411" t="s">
        <v>2111</v>
      </c>
      <c r="V411">
        <v>0</v>
      </c>
      <c r="W411" s="26" t="str">
        <f t="shared" si="6"/>
        <v>(3503,null,1,'2026-04-28 00:00:00','003311020190000-33110201902','003311020190000-33110201902','经腹腔镜膀胱瓣代输尿管术',null,null,2815,2570,2180,null,3150,2970,2480,'次',27,1,'normal','main',0),</v>
      </c>
    </row>
    <row r="412" spans="1:23">
      <c r="A412">
        <v>3504</v>
      </c>
      <c r="B412" t="s">
        <v>2108</v>
      </c>
      <c r="C412">
        <v>1</v>
      </c>
      <c r="D412" s="21" t="s">
        <v>2109</v>
      </c>
      <c r="E412" t="s">
        <v>1445</v>
      </c>
      <c r="F412" t="s">
        <v>1445</v>
      </c>
      <c r="G412" t="s">
        <v>1446</v>
      </c>
      <c r="H412" t="s">
        <v>2108</v>
      </c>
      <c r="I412" t="s">
        <v>2108</v>
      </c>
      <c r="J412">
        <v>2845</v>
      </c>
      <c r="K412">
        <v>2560</v>
      </c>
      <c r="L412">
        <v>2175</v>
      </c>
      <c r="M412" t="s">
        <v>2108</v>
      </c>
      <c r="N412">
        <v>4095</v>
      </c>
      <c r="O412">
        <v>3860</v>
      </c>
      <c r="P412">
        <v>3225</v>
      </c>
      <c r="Q412" t="s">
        <v>40</v>
      </c>
      <c r="R412">
        <v>27</v>
      </c>
      <c r="S412">
        <v>1</v>
      </c>
      <c r="T412" t="s">
        <v>2110</v>
      </c>
      <c r="U412" t="s">
        <v>2111</v>
      </c>
      <c r="V412">
        <v>0</v>
      </c>
      <c r="W412" s="26" t="str">
        <f t="shared" si="6"/>
        <v>(3504,null,1,'2026-04-28 00:00:00','003311020180000-33110201801','003311020180000-33110201801','小儿肠管代输尿管术',null,null,2845,2560,2175,null,4095,3860,3225,'次',27,1,'normal','main',0),</v>
      </c>
    </row>
    <row r="413" spans="1:23">
      <c r="A413">
        <v>3505</v>
      </c>
      <c r="B413" t="s">
        <v>2108</v>
      </c>
      <c r="C413">
        <v>1</v>
      </c>
      <c r="D413" s="21" t="s">
        <v>2109</v>
      </c>
      <c r="E413" t="s">
        <v>1447</v>
      </c>
      <c r="F413" t="s">
        <v>1447</v>
      </c>
      <c r="G413" t="s">
        <v>1448</v>
      </c>
      <c r="H413" t="s">
        <v>2108</v>
      </c>
      <c r="I413" t="s">
        <v>2108</v>
      </c>
      <c r="J413">
        <v>3470</v>
      </c>
      <c r="K413">
        <v>3160</v>
      </c>
      <c r="L413">
        <v>2685</v>
      </c>
      <c r="M413" t="s">
        <v>2108</v>
      </c>
      <c r="N413">
        <v>4095</v>
      </c>
      <c r="O413">
        <v>3860</v>
      </c>
      <c r="P413">
        <v>3225</v>
      </c>
      <c r="Q413" t="s">
        <v>40</v>
      </c>
      <c r="R413">
        <v>27</v>
      </c>
      <c r="S413">
        <v>1</v>
      </c>
      <c r="T413" t="s">
        <v>2110</v>
      </c>
      <c r="U413" t="s">
        <v>2111</v>
      </c>
      <c r="V413">
        <v>0</v>
      </c>
      <c r="W413" s="26" t="str">
        <f t="shared" si="6"/>
        <v>(3505,null,1,'2026-04-28 00:00:00','003311020180000-33110201803','003311020180000-33110201803','小儿经腹腔镜肠管代输尿管术',null,null,3470,3160,2685,null,4095,3860,3225,'次',27,1,'normal','main',0),</v>
      </c>
    </row>
    <row r="414" spans="1:23">
      <c r="A414">
        <v>3506</v>
      </c>
      <c r="B414" t="s">
        <v>2108</v>
      </c>
      <c r="C414">
        <v>1</v>
      </c>
      <c r="D414" s="21" t="s">
        <v>2109</v>
      </c>
      <c r="E414" t="s">
        <v>1449</v>
      </c>
      <c r="F414" t="s">
        <v>1449</v>
      </c>
      <c r="G414" t="s">
        <v>1450</v>
      </c>
      <c r="H414" t="s">
        <v>2108</v>
      </c>
      <c r="I414" t="s">
        <v>2108</v>
      </c>
      <c r="J414">
        <v>2845</v>
      </c>
      <c r="K414">
        <v>2560</v>
      </c>
      <c r="L414">
        <v>2175</v>
      </c>
      <c r="M414" t="s">
        <v>2108</v>
      </c>
      <c r="N414">
        <v>4095</v>
      </c>
      <c r="O414">
        <v>3860</v>
      </c>
      <c r="P414">
        <v>3225</v>
      </c>
      <c r="Q414" t="s">
        <v>40</v>
      </c>
      <c r="R414">
        <v>27</v>
      </c>
      <c r="S414">
        <v>1</v>
      </c>
      <c r="T414" t="s">
        <v>2110</v>
      </c>
      <c r="U414" t="s">
        <v>2111</v>
      </c>
      <c r="V414">
        <v>0</v>
      </c>
      <c r="W414" s="26" t="str">
        <f t="shared" si="6"/>
        <v>(3506,null,1,'2026-04-28 00:00:00','003311020190000-33110201901','003311020190000-33110201901','小儿膀胱瓣代输尿管术',null,null,2845,2560,2175,null,4095,3860,3225,'次',27,1,'normal','main',0),</v>
      </c>
    </row>
    <row r="415" spans="1:23">
      <c r="A415">
        <v>3507</v>
      </c>
      <c r="B415" t="s">
        <v>2108</v>
      </c>
      <c r="C415">
        <v>1</v>
      </c>
      <c r="D415" s="21" t="s">
        <v>2109</v>
      </c>
      <c r="E415" t="s">
        <v>1451</v>
      </c>
      <c r="F415" t="s">
        <v>1451</v>
      </c>
      <c r="G415" t="s">
        <v>1452</v>
      </c>
      <c r="H415" t="s">
        <v>2108</v>
      </c>
      <c r="I415" t="s">
        <v>2108</v>
      </c>
      <c r="J415">
        <v>3470</v>
      </c>
      <c r="K415">
        <v>3160</v>
      </c>
      <c r="L415">
        <v>2685</v>
      </c>
      <c r="M415" t="s">
        <v>2108</v>
      </c>
      <c r="N415">
        <v>4095</v>
      </c>
      <c r="O415">
        <v>3860</v>
      </c>
      <c r="P415">
        <v>3225</v>
      </c>
      <c r="Q415" t="s">
        <v>40</v>
      </c>
      <c r="R415">
        <v>27</v>
      </c>
      <c r="S415">
        <v>1</v>
      </c>
      <c r="T415" t="s">
        <v>2110</v>
      </c>
      <c r="U415" t="s">
        <v>2111</v>
      </c>
      <c r="V415">
        <v>0</v>
      </c>
      <c r="W415" s="26" t="str">
        <f t="shared" si="6"/>
        <v>(3507,null,1,'2026-04-28 00:00:00','003311020190000-33110201903','003311020190000-33110201903','小儿经腹腔镜膀胱瓣代输尿管术',null,null,3470,3160,2685,null,4095,3860,3225,'次',27,1,'normal','main',0),</v>
      </c>
    </row>
    <row r="416" spans="1:23">
      <c r="A416">
        <v>3508</v>
      </c>
      <c r="B416" t="s">
        <v>2108</v>
      </c>
      <c r="C416">
        <v>1</v>
      </c>
      <c r="D416" s="21" t="s">
        <v>2109</v>
      </c>
      <c r="E416" t="s">
        <v>1477</v>
      </c>
      <c r="F416" t="s">
        <v>1477</v>
      </c>
      <c r="G416" t="s">
        <v>1478</v>
      </c>
      <c r="H416" t="s">
        <v>2108</v>
      </c>
      <c r="I416" t="s">
        <v>2108</v>
      </c>
      <c r="J416">
        <v>2700</v>
      </c>
      <c r="K416">
        <v>2430</v>
      </c>
      <c r="L416">
        <v>2070</v>
      </c>
      <c r="M416" t="s">
        <v>2108</v>
      </c>
      <c r="N416">
        <v>2700</v>
      </c>
      <c r="O416">
        <v>2430</v>
      </c>
      <c r="P416">
        <v>2070</v>
      </c>
      <c r="Q416" t="s">
        <v>40</v>
      </c>
      <c r="R416">
        <v>27</v>
      </c>
      <c r="S416">
        <v>1</v>
      </c>
      <c r="T416" t="s">
        <v>2110</v>
      </c>
      <c r="U416" t="s">
        <v>2111</v>
      </c>
      <c r="V416">
        <v>0</v>
      </c>
      <c r="W416" s="26" t="str">
        <f t="shared" si="6"/>
        <v>(3508,null,1,'2026-04-28 00:00:00','003312020130000-331202013','003312020130000-331202013','自体睾丸移植术',null,null,2700,2430,2070,null,2700,2430,2070,'次',27,1,'normal','main',0),</v>
      </c>
    </row>
    <row r="417" spans="1:23">
      <c r="A417">
        <v>3509</v>
      </c>
      <c r="B417" t="s">
        <v>2108</v>
      </c>
      <c r="C417">
        <v>1</v>
      </c>
      <c r="D417" s="21" t="s">
        <v>2109</v>
      </c>
      <c r="E417" t="s">
        <v>1483</v>
      </c>
      <c r="F417" t="s">
        <v>1483</v>
      </c>
      <c r="G417" t="s">
        <v>1484</v>
      </c>
      <c r="H417" t="s">
        <v>2108</v>
      </c>
      <c r="I417" t="s">
        <v>2108</v>
      </c>
      <c r="J417">
        <v>3510</v>
      </c>
      <c r="K417">
        <v>3160</v>
      </c>
      <c r="L417">
        <v>2685</v>
      </c>
      <c r="M417" t="s">
        <v>2108</v>
      </c>
      <c r="N417">
        <v>3510</v>
      </c>
      <c r="O417">
        <v>3160</v>
      </c>
      <c r="P417">
        <v>2690</v>
      </c>
      <c r="Q417" t="s">
        <v>40</v>
      </c>
      <c r="R417">
        <v>27</v>
      </c>
      <c r="S417">
        <v>1</v>
      </c>
      <c r="T417" t="s">
        <v>2110</v>
      </c>
      <c r="U417" t="s">
        <v>2111</v>
      </c>
      <c r="V417">
        <v>0</v>
      </c>
      <c r="W417" s="26" t="str">
        <f t="shared" si="6"/>
        <v>(3509,null,1,'2026-04-28 00:00:00','003312020130000-33120201301','003312020130000-33120201301','小儿自体睾丸移植术',null,null,3510,3160,2685,null,3510,3160,2690,'次',27,1,'normal','main',0),</v>
      </c>
    </row>
    <row r="418" spans="1:23">
      <c r="A418">
        <v>3510</v>
      </c>
      <c r="B418" t="s">
        <v>2108</v>
      </c>
      <c r="C418">
        <v>1</v>
      </c>
      <c r="D418" s="21" t="s">
        <v>2109</v>
      </c>
      <c r="E418" t="s">
        <v>1493</v>
      </c>
      <c r="F418" t="s">
        <v>1493</v>
      </c>
      <c r="G418" t="s">
        <v>1494</v>
      </c>
      <c r="H418" t="s">
        <v>2108</v>
      </c>
      <c r="I418" t="s">
        <v>2108</v>
      </c>
      <c r="J418">
        <v>1000</v>
      </c>
      <c r="K418">
        <v>960</v>
      </c>
      <c r="L418">
        <v>816</v>
      </c>
      <c r="M418" t="s">
        <v>2108</v>
      </c>
      <c r="N418">
        <v>440</v>
      </c>
      <c r="O418">
        <v>400</v>
      </c>
      <c r="P418">
        <v>340</v>
      </c>
      <c r="Q418" t="s">
        <v>48</v>
      </c>
      <c r="R418">
        <v>27</v>
      </c>
      <c r="S418">
        <v>1</v>
      </c>
      <c r="T418" t="s">
        <v>2110</v>
      </c>
      <c r="U418" t="s">
        <v>2111</v>
      </c>
      <c r="V418">
        <v>0</v>
      </c>
      <c r="W418" s="26" t="str">
        <f t="shared" si="6"/>
        <v>(3510,null,1,'2026-04-28 00:00:00','003312020050000-331202005','003312020050000-331202005','高位隐睾下降固定术',null,null,1000,960,816,null,440,400,340,'单侧',27,1,'normal','main',0),</v>
      </c>
    </row>
    <row r="419" spans="1:23">
      <c r="A419">
        <v>3511</v>
      </c>
      <c r="B419" t="s">
        <v>2108</v>
      </c>
      <c r="C419">
        <v>1</v>
      </c>
      <c r="D419" s="21" t="s">
        <v>2109</v>
      </c>
      <c r="E419" t="s">
        <v>1496</v>
      </c>
      <c r="F419" t="s">
        <v>1496</v>
      </c>
      <c r="G419" t="s">
        <v>1497</v>
      </c>
      <c r="H419" t="s">
        <v>2108</v>
      </c>
      <c r="I419" t="s">
        <v>2108</v>
      </c>
      <c r="J419">
        <v>1300</v>
      </c>
      <c r="K419">
        <v>1250</v>
      </c>
      <c r="L419">
        <v>1065</v>
      </c>
      <c r="M419" t="s">
        <v>2108</v>
      </c>
      <c r="N419">
        <v>440</v>
      </c>
      <c r="O419">
        <v>400</v>
      </c>
      <c r="P419">
        <v>340</v>
      </c>
      <c r="Q419" t="s">
        <v>48</v>
      </c>
      <c r="R419">
        <v>27</v>
      </c>
      <c r="S419">
        <v>1</v>
      </c>
      <c r="T419" t="s">
        <v>2110</v>
      </c>
      <c r="U419" t="s">
        <v>2111</v>
      </c>
      <c r="V419">
        <v>0</v>
      </c>
      <c r="W419" s="26" t="str">
        <f t="shared" si="6"/>
        <v>(3511,null,1,'2026-04-28 00:00:00','003312020050000-33120200501','003312020050000-33120200501','小儿高位隐睾下降固定术',null,null,1300,1250,1065,null,440,400,340,'单侧',27,1,'normal','main',0),</v>
      </c>
    </row>
    <row r="420" spans="1:23">
      <c r="A420">
        <v>3512</v>
      </c>
      <c r="B420" t="s">
        <v>2108</v>
      </c>
      <c r="C420">
        <v>1</v>
      </c>
      <c r="D420" s="21" t="s">
        <v>2109</v>
      </c>
      <c r="E420" t="s">
        <v>1498</v>
      </c>
      <c r="F420" t="s">
        <v>1498</v>
      </c>
      <c r="G420" t="s">
        <v>1499</v>
      </c>
      <c r="H420" t="s">
        <v>2108</v>
      </c>
      <c r="I420" t="s">
        <v>2108</v>
      </c>
      <c r="J420">
        <v>1625</v>
      </c>
      <c r="K420">
        <v>1560</v>
      </c>
      <c r="L420">
        <v>1326</v>
      </c>
      <c r="M420" t="s">
        <v>2108</v>
      </c>
      <c r="N420">
        <v>440</v>
      </c>
      <c r="O420">
        <v>400</v>
      </c>
      <c r="P420">
        <v>340</v>
      </c>
      <c r="Q420" t="s">
        <v>48</v>
      </c>
      <c r="R420">
        <v>27</v>
      </c>
      <c r="S420">
        <v>1</v>
      </c>
      <c r="T420" t="s">
        <v>2110</v>
      </c>
      <c r="U420" t="s">
        <v>2111</v>
      </c>
      <c r="V420">
        <v>0</v>
      </c>
      <c r="W420" s="26" t="str">
        <f t="shared" si="6"/>
        <v>(3512,null,1,'2026-04-28 00:00:00','003312020050000-33120200502','003312020050000-33120200502','经腹腔镜高位隐睾下降固定术',null,null,1625,1560,1326,null,440,400,340,'单侧',27,1,'normal','main',0),</v>
      </c>
    </row>
    <row r="421" spans="1:23">
      <c r="A421">
        <v>3513</v>
      </c>
      <c r="B421" t="s">
        <v>2108</v>
      </c>
      <c r="C421">
        <v>1</v>
      </c>
      <c r="D421" s="21" t="s">
        <v>2109</v>
      </c>
      <c r="E421" t="s">
        <v>1500</v>
      </c>
      <c r="F421" t="s">
        <v>1500</v>
      </c>
      <c r="G421" t="s">
        <v>1501</v>
      </c>
      <c r="H421" t="s">
        <v>2108</v>
      </c>
      <c r="I421" t="s">
        <v>2108</v>
      </c>
      <c r="J421">
        <v>1925</v>
      </c>
      <c r="K421">
        <v>1850</v>
      </c>
      <c r="L421">
        <v>1575</v>
      </c>
      <c r="M421" t="s">
        <v>2108</v>
      </c>
      <c r="N421">
        <v>440</v>
      </c>
      <c r="O421">
        <v>400</v>
      </c>
      <c r="P421">
        <v>340</v>
      </c>
      <c r="Q421" t="s">
        <v>48</v>
      </c>
      <c r="R421">
        <v>27</v>
      </c>
      <c r="S421">
        <v>1</v>
      </c>
      <c r="T421" t="s">
        <v>2110</v>
      </c>
      <c r="U421" t="s">
        <v>2111</v>
      </c>
      <c r="V421">
        <v>0</v>
      </c>
      <c r="W421" s="26" t="str">
        <f t="shared" si="6"/>
        <v>(3513,null,1,'2026-04-28 00:00:00','003312020050000-33120200503','003312020050000-33120200503','小儿经腹腔镜高位隐睾下降固定术',null,null,1925,1850,1575,null,440,400,340,'单侧',27,1,'normal','main',0),</v>
      </c>
    </row>
    <row r="422" spans="1:23">
      <c r="A422">
        <v>3514</v>
      </c>
      <c r="B422" t="s">
        <v>2108</v>
      </c>
      <c r="C422">
        <v>1</v>
      </c>
      <c r="D422" s="21" t="s">
        <v>2109</v>
      </c>
      <c r="E422" t="s">
        <v>1508</v>
      </c>
      <c r="F422" t="s">
        <v>1508</v>
      </c>
      <c r="G422" t="s">
        <v>1509</v>
      </c>
      <c r="H422" t="s">
        <v>2108</v>
      </c>
      <c r="I422" t="s">
        <v>2108</v>
      </c>
      <c r="J422">
        <v>750</v>
      </c>
      <c r="K422">
        <v>720</v>
      </c>
      <c r="L422">
        <v>612</v>
      </c>
      <c r="M422" t="s">
        <v>2108</v>
      </c>
      <c r="N422" s="24">
        <v>750</v>
      </c>
      <c r="O422" s="24">
        <v>705</v>
      </c>
      <c r="P422" s="24">
        <v>600</v>
      </c>
      <c r="Q422" t="s">
        <v>48</v>
      </c>
      <c r="R422">
        <v>27</v>
      </c>
      <c r="S422">
        <v>1</v>
      </c>
      <c r="T422" t="s">
        <v>2110</v>
      </c>
      <c r="U422" t="s">
        <v>2111</v>
      </c>
      <c r="V422">
        <v>0</v>
      </c>
      <c r="W422" s="26" t="str">
        <f t="shared" si="6"/>
        <v>(3514,null,1,'2026-04-28 00:00:00','003312020110000-331202011','003312020110000-331202011','睾丸切除术',null,null,750,720,612,null,750,705,600,'单侧',27,1,'normal','main',0),</v>
      </c>
    </row>
    <row r="423" spans="1:23">
      <c r="A423">
        <v>3515</v>
      </c>
      <c r="B423" t="s">
        <v>2108</v>
      </c>
      <c r="C423">
        <v>1</v>
      </c>
      <c r="D423" s="21" t="s">
        <v>2109</v>
      </c>
      <c r="E423" t="s">
        <v>1514</v>
      </c>
      <c r="F423" t="s">
        <v>1514</v>
      </c>
      <c r="G423" t="s">
        <v>1515</v>
      </c>
      <c r="H423" t="s">
        <v>2108</v>
      </c>
      <c r="I423" t="s">
        <v>2108</v>
      </c>
      <c r="J423">
        <v>875</v>
      </c>
      <c r="K423">
        <v>840</v>
      </c>
      <c r="L423">
        <v>714</v>
      </c>
      <c r="M423" t="s">
        <v>2108</v>
      </c>
      <c r="N423" s="24">
        <v>750</v>
      </c>
      <c r="O423" s="24">
        <v>705</v>
      </c>
      <c r="P423" s="24">
        <v>600</v>
      </c>
      <c r="Q423" t="s">
        <v>40</v>
      </c>
      <c r="R423">
        <v>27</v>
      </c>
      <c r="S423">
        <v>1</v>
      </c>
      <c r="T423" t="s">
        <v>2110</v>
      </c>
      <c r="U423" t="s">
        <v>2111</v>
      </c>
      <c r="V423">
        <v>0</v>
      </c>
      <c r="W423" s="26" t="str">
        <f t="shared" si="6"/>
        <v>(3515,null,1,'2026-04-28 00:00:00','003312030010000-331203001','003312030010000-331203001','附睾切除术',null,null,875,840,714,null,750,705,600,'次',27,1,'normal','main',0),</v>
      </c>
    </row>
    <row r="424" spans="1:23">
      <c r="A424">
        <v>3516</v>
      </c>
      <c r="B424" t="s">
        <v>2108</v>
      </c>
      <c r="C424">
        <v>1</v>
      </c>
      <c r="D424" s="21" t="s">
        <v>2109</v>
      </c>
      <c r="E424" t="s">
        <v>1517</v>
      </c>
      <c r="F424" t="s">
        <v>1517</v>
      </c>
      <c r="G424" t="s">
        <v>1518</v>
      </c>
      <c r="H424" t="s">
        <v>2108</v>
      </c>
      <c r="I424" t="s">
        <v>2108</v>
      </c>
      <c r="J424">
        <v>1140</v>
      </c>
      <c r="K424">
        <v>1090</v>
      </c>
      <c r="L424">
        <v>925</v>
      </c>
      <c r="M424" t="s">
        <v>2108</v>
      </c>
      <c r="N424" s="24">
        <v>750</v>
      </c>
      <c r="O424" s="24">
        <v>705</v>
      </c>
      <c r="P424" s="24">
        <v>600</v>
      </c>
      <c r="Q424" t="s">
        <v>40</v>
      </c>
      <c r="R424">
        <v>27</v>
      </c>
      <c r="S424">
        <v>1</v>
      </c>
      <c r="T424" t="s">
        <v>2110</v>
      </c>
      <c r="U424" t="s">
        <v>2111</v>
      </c>
      <c r="V424">
        <v>0</v>
      </c>
      <c r="W424" s="26" t="str">
        <f t="shared" si="6"/>
        <v>(3516,null,1,'2026-04-28 00:00:00','003312030010000-33120300101','003312030010000-33120300101','小儿附睾切除术',null,null,1140,1090,925,null,750,705,600,'次',27,1,'normal','main',0),</v>
      </c>
    </row>
    <row r="425" spans="1:23">
      <c r="A425">
        <v>3517</v>
      </c>
      <c r="B425" t="s">
        <v>2108</v>
      </c>
      <c r="C425">
        <v>1</v>
      </c>
      <c r="D425" s="21" t="s">
        <v>2109</v>
      </c>
      <c r="E425" t="s">
        <v>1519</v>
      </c>
      <c r="F425" t="s">
        <v>1519</v>
      </c>
      <c r="G425" t="s">
        <v>1520</v>
      </c>
      <c r="H425" t="s">
        <v>2108</v>
      </c>
      <c r="I425" t="s">
        <v>2108</v>
      </c>
      <c r="J425">
        <v>1500</v>
      </c>
      <c r="K425">
        <v>1440</v>
      </c>
      <c r="L425">
        <v>1224</v>
      </c>
      <c r="M425" t="s">
        <v>2108</v>
      </c>
      <c r="N425" s="24">
        <v>750</v>
      </c>
      <c r="O425" s="24">
        <v>705</v>
      </c>
      <c r="P425" s="24">
        <v>600</v>
      </c>
      <c r="Q425" t="s">
        <v>40</v>
      </c>
      <c r="R425">
        <v>27</v>
      </c>
      <c r="S425">
        <v>1</v>
      </c>
      <c r="T425" t="s">
        <v>2110</v>
      </c>
      <c r="U425" t="s">
        <v>2111</v>
      </c>
      <c r="V425">
        <v>0</v>
      </c>
      <c r="W425" s="26" t="str">
        <f t="shared" si="6"/>
        <v>(3517,null,1,'2026-04-28 00:00:00','003312030010000-33120300102','003312030010000-33120300102','经腹腔镜附睾切除术',null,null,1500,1440,1224,null,750,705,600,'次',27,1,'normal','main',0),</v>
      </c>
    </row>
    <row r="426" spans="1:23">
      <c r="A426">
        <v>3518</v>
      </c>
      <c r="B426" t="s">
        <v>2108</v>
      </c>
      <c r="C426">
        <v>1</v>
      </c>
      <c r="D426" s="21" t="s">
        <v>2109</v>
      </c>
      <c r="E426" t="s">
        <v>1521</v>
      </c>
      <c r="F426" t="s">
        <v>1521</v>
      </c>
      <c r="G426" t="s">
        <v>1522</v>
      </c>
      <c r="H426" t="s">
        <v>2108</v>
      </c>
      <c r="I426" t="s">
        <v>2108</v>
      </c>
      <c r="J426">
        <v>1765</v>
      </c>
      <c r="K426">
        <v>1690</v>
      </c>
      <c r="L426">
        <v>1435</v>
      </c>
      <c r="M426" t="s">
        <v>2108</v>
      </c>
      <c r="N426">
        <v>750</v>
      </c>
      <c r="O426">
        <v>705</v>
      </c>
      <c r="P426">
        <v>600</v>
      </c>
      <c r="Q426" t="s">
        <v>40</v>
      </c>
      <c r="R426">
        <v>27</v>
      </c>
      <c r="S426">
        <v>1</v>
      </c>
      <c r="T426" t="s">
        <v>2110</v>
      </c>
      <c r="U426" t="s">
        <v>2111</v>
      </c>
      <c r="V426">
        <v>0</v>
      </c>
      <c r="W426" s="26" t="str">
        <f t="shared" si="6"/>
        <v>(3518,null,1,'2026-04-28 00:00:00','003312030010000-33120300103','003312030010000-33120300103','小儿经腹腔镜附睾切除术',null,null,1765,1690,1435,null,750,705,600,'次',27,1,'normal','main',0),</v>
      </c>
    </row>
    <row r="427" spans="1:23">
      <c r="A427">
        <v>3519</v>
      </c>
      <c r="B427" t="s">
        <v>2108</v>
      </c>
      <c r="C427">
        <v>1</v>
      </c>
      <c r="D427" s="21" t="s">
        <v>2109</v>
      </c>
      <c r="E427" t="s">
        <v>1525</v>
      </c>
      <c r="F427" t="s">
        <v>1525</v>
      </c>
      <c r="G427" t="s">
        <v>1526</v>
      </c>
      <c r="H427" t="s">
        <v>2108</v>
      </c>
      <c r="I427" t="s">
        <v>2108</v>
      </c>
      <c r="J427">
        <v>975</v>
      </c>
      <c r="K427">
        <v>935</v>
      </c>
      <c r="L427">
        <v>795</v>
      </c>
      <c r="M427" t="s">
        <v>2108</v>
      </c>
      <c r="N427">
        <v>975</v>
      </c>
      <c r="O427">
        <v>915</v>
      </c>
      <c r="P427">
        <v>780</v>
      </c>
      <c r="Q427" t="s">
        <v>48</v>
      </c>
      <c r="R427">
        <v>27</v>
      </c>
      <c r="S427">
        <v>1</v>
      </c>
      <c r="T427" t="s">
        <v>2110</v>
      </c>
      <c r="U427" t="s">
        <v>2111</v>
      </c>
      <c r="V427">
        <v>0</v>
      </c>
      <c r="W427" s="26" t="str">
        <f t="shared" si="6"/>
        <v>(3519,null,1,'2026-04-28 00:00:00','003312020110000-33120201101','003312020110000-33120201101','小儿睾丸切除术',null,null,975,935,795,null,975,915,780,'单侧',27,1,'normal','main',0),</v>
      </c>
    </row>
    <row r="428" spans="1:23">
      <c r="A428">
        <v>3520</v>
      </c>
      <c r="B428" t="s">
        <v>2108</v>
      </c>
      <c r="C428">
        <v>1</v>
      </c>
      <c r="D428" s="21" t="s">
        <v>2109</v>
      </c>
      <c r="E428" t="s">
        <v>1532</v>
      </c>
      <c r="F428" t="s">
        <v>1532</v>
      </c>
      <c r="G428" t="s">
        <v>1533</v>
      </c>
      <c r="H428" t="s">
        <v>2108</v>
      </c>
      <c r="I428" t="s">
        <v>2108</v>
      </c>
      <c r="J428">
        <v>625</v>
      </c>
      <c r="K428">
        <v>600</v>
      </c>
      <c r="L428">
        <v>510</v>
      </c>
      <c r="M428" t="s">
        <v>2108</v>
      </c>
      <c r="N428">
        <v>800</v>
      </c>
      <c r="O428">
        <v>720</v>
      </c>
      <c r="P428">
        <v>600</v>
      </c>
      <c r="Q428" t="s">
        <v>48</v>
      </c>
      <c r="R428">
        <v>27</v>
      </c>
      <c r="S428">
        <v>1</v>
      </c>
      <c r="T428" t="s">
        <v>2110</v>
      </c>
      <c r="U428" t="s">
        <v>2111</v>
      </c>
      <c r="V428">
        <v>0</v>
      </c>
      <c r="W428" s="26" t="str">
        <f t="shared" si="6"/>
        <v>(3520,null,1,'2026-04-28 00:00:00','003312020060000-331202006','003312020060000-331202006','睾丸鞘膜翻转术',null,null,625,600,510,null,800,720,600,'单侧',27,1,'normal','main',0),</v>
      </c>
    </row>
    <row r="429" spans="1:23">
      <c r="A429">
        <v>3521</v>
      </c>
      <c r="B429" t="s">
        <v>2108</v>
      </c>
      <c r="C429">
        <v>1</v>
      </c>
      <c r="D429" s="21" t="s">
        <v>2109</v>
      </c>
      <c r="E429" t="s">
        <v>1534</v>
      </c>
      <c r="F429" t="s">
        <v>1534</v>
      </c>
      <c r="G429" t="s">
        <v>1535</v>
      </c>
      <c r="H429" t="s">
        <v>2108</v>
      </c>
      <c r="I429" t="s">
        <v>2108</v>
      </c>
      <c r="J429">
        <v>1250</v>
      </c>
      <c r="K429">
        <v>1200</v>
      </c>
      <c r="L429">
        <v>1020</v>
      </c>
      <c r="M429" t="s">
        <v>2108</v>
      </c>
      <c r="N429">
        <v>800</v>
      </c>
      <c r="O429">
        <v>720</v>
      </c>
      <c r="P429">
        <v>600</v>
      </c>
      <c r="Q429" t="s">
        <v>48</v>
      </c>
      <c r="R429">
        <v>27</v>
      </c>
      <c r="S429">
        <v>1</v>
      </c>
      <c r="T429" t="s">
        <v>2110</v>
      </c>
      <c r="U429" t="s">
        <v>2111</v>
      </c>
      <c r="V429">
        <v>0</v>
      </c>
      <c r="W429" s="26" t="str">
        <f t="shared" si="6"/>
        <v>(3521,null,1,'2026-04-28 00:00:00','003312020060000-33120200602','003312020060000-33120200602','经腹腔镜睾丸鞘膜翻转术',null,null,1250,1200,1020,null,800,720,600,'单侧',27,1,'normal','main',0),</v>
      </c>
    </row>
    <row r="430" spans="1:23">
      <c r="A430">
        <v>3522</v>
      </c>
      <c r="B430" t="s">
        <v>2108</v>
      </c>
      <c r="C430">
        <v>1</v>
      </c>
      <c r="D430" s="21" t="s">
        <v>2109</v>
      </c>
      <c r="E430" t="s">
        <v>1536</v>
      </c>
      <c r="F430" t="s">
        <v>1536</v>
      </c>
      <c r="G430" t="s">
        <v>1537</v>
      </c>
      <c r="H430" t="s">
        <v>2108</v>
      </c>
      <c r="I430" t="s">
        <v>2108</v>
      </c>
      <c r="J430">
        <v>875</v>
      </c>
      <c r="K430">
        <v>840</v>
      </c>
      <c r="L430">
        <v>714</v>
      </c>
      <c r="M430" t="s">
        <v>2108</v>
      </c>
      <c r="N430">
        <v>800</v>
      </c>
      <c r="O430">
        <v>720</v>
      </c>
      <c r="P430">
        <v>600</v>
      </c>
      <c r="Q430" t="s">
        <v>48</v>
      </c>
      <c r="R430">
        <v>27</v>
      </c>
      <c r="S430">
        <v>1</v>
      </c>
      <c r="T430" t="s">
        <v>2110</v>
      </c>
      <c r="U430" t="s">
        <v>2111</v>
      </c>
      <c r="V430">
        <v>0</v>
      </c>
      <c r="W430" s="26" t="str">
        <f t="shared" si="6"/>
        <v>(3522,null,1,'2026-04-28 00:00:00','003312020070000-331202007','003312020070000-331202007','交通性鞘膜积液修补术',null,null,875,840,714,null,800,720,600,'单侧',27,1,'normal','main',0),</v>
      </c>
    </row>
    <row r="431" spans="1:23">
      <c r="A431">
        <v>3523</v>
      </c>
      <c r="B431" t="s">
        <v>2108</v>
      </c>
      <c r="C431">
        <v>1</v>
      </c>
      <c r="D431" s="21" t="s">
        <v>2109</v>
      </c>
      <c r="E431" t="s">
        <v>1539</v>
      </c>
      <c r="F431" t="s">
        <v>1539</v>
      </c>
      <c r="G431" t="s">
        <v>1540</v>
      </c>
      <c r="H431" t="s">
        <v>2108</v>
      </c>
      <c r="I431" t="s">
        <v>2108</v>
      </c>
      <c r="J431">
        <v>1500</v>
      </c>
      <c r="K431">
        <v>1440</v>
      </c>
      <c r="L431">
        <v>1224</v>
      </c>
      <c r="M431" t="s">
        <v>2108</v>
      </c>
      <c r="N431">
        <v>800</v>
      </c>
      <c r="O431">
        <v>720</v>
      </c>
      <c r="P431">
        <v>600</v>
      </c>
      <c r="Q431" t="s">
        <v>48</v>
      </c>
      <c r="R431">
        <v>27</v>
      </c>
      <c r="S431">
        <v>1</v>
      </c>
      <c r="T431" t="s">
        <v>2110</v>
      </c>
      <c r="U431" t="s">
        <v>2111</v>
      </c>
      <c r="V431">
        <v>0</v>
      </c>
      <c r="W431" s="26" t="str">
        <f t="shared" si="6"/>
        <v>(3523,null,1,'2026-04-28 00:00:00','003312020070000-33120200702','003312020070000-33120200702','经腹腔镜交通性鞘膜积液修补术',null,null,1500,1440,1224,null,800,720,600,'单侧',27,1,'normal','main',0),</v>
      </c>
    </row>
    <row r="432" spans="1:23">
      <c r="A432">
        <v>3524</v>
      </c>
      <c r="B432" t="s">
        <v>2108</v>
      </c>
      <c r="C432">
        <v>1</v>
      </c>
      <c r="D432" s="21" t="s">
        <v>2109</v>
      </c>
      <c r="E432" t="s">
        <v>1541</v>
      </c>
      <c r="F432" t="s">
        <v>1541</v>
      </c>
      <c r="G432" t="s">
        <v>1542</v>
      </c>
      <c r="H432" t="s">
        <v>2108</v>
      </c>
      <c r="I432" t="s">
        <v>2108</v>
      </c>
      <c r="J432">
        <v>525</v>
      </c>
      <c r="K432">
        <v>500</v>
      </c>
      <c r="L432">
        <v>425</v>
      </c>
      <c r="M432" t="s">
        <v>2108</v>
      </c>
      <c r="N432">
        <v>800</v>
      </c>
      <c r="O432">
        <v>720</v>
      </c>
      <c r="P432">
        <v>600</v>
      </c>
      <c r="Q432" t="s">
        <v>48</v>
      </c>
      <c r="R432">
        <v>27</v>
      </c>
      <c r="S432">
        <v>1</v>
      </c>
      <c r="T432" t="s">
        <v>2110</v>
      </c>
      <c r="U432" t="s">
        <v>2111</v>
      </c>
      <c r="V432">
        <v>0</v>
      </c>
      <c r="W432" s="26" t="str">
        <f t="shared" si="6"/>
        <v>(3524,null,1,'2026-04-28 00:00:00','003312020070000-33120200704','003312020070000-33120200704','睾丸鞘状突高位结扎术',null,null,525,500,425,null,800,720,600,'单侧',27,1,'normal','main',0),</v>
      </c>
    </row>
    <row r="433" spans="1:23">
      <c r="A433">
        <v>3525</v>
      </c>
      <c r="B433" t="s">
        <v>2108</v>
      </c>
      <c r="C433">
        <v>1</v>
      </c>
      <c r="D433" s="21" t="s">
        <v>2109</v>
      </c>
      <c r="E433" t="s">
        <v>1545</v>
      </c>
      <c r="F433" t="s">
        <v>1545</v>
      </c>
      <c r="G433" t="s">
        <v>1546</v>
      </c>
      <c r="H433" t="s">
        <v>2108</v>
      </c>
      <c r="I433" t="s">
        <v>2108</v>
      </c>
      <c r="J433">
        <v>815</v>
      </c>
      <c r="K433">
        <v>780</v>
      </c>
      <c r="L433">
        <v>665</v>
      </c>
      <c r="M433" t="s">
        <v>2108</v>
      </c>
      <c r="N433">
        <v>1040</v>
      </c>
      <c r="O433">
        <v>935</v>
      </c>
      <c r="P433">
        <v>780</v>
      </c>
      <c r="Q433" t="s">
        <v>48</v>
      </c>
      <c r="R433">
        <v>27</v>
      </c>
      <c r="S433">
        <v>1</v>
      </c>
      <c r="T433" t="s">
        <v>2110</v>
      </c>
      <c r="U433" t="s">
        <v>2111</v>
      </c>
      <c r="V433">
        <v>0</v>
      </c>
      <c r="W433" s="26" t="str">
        <f t="shared" si="6"/>
        <v>(3525,null,1,'2026-04-28 00:00:00','003312020060000-33120200601','003312020060000-33120200601','小儿睾丸鞘膜翻转术',null,null,815,780,665,null,1040,935,780,'单侧',27,1,'normal','main',0),</v>
      </c>
    </row>
    <row r="434" spans="1:23">
      <c r="A434">
        <v>3526</v>
      </c>
      <c r="B434" t="s">
        <v>2108</v>
      </c>
      <c r="C434">
        <v>1</v>
      </c>
      <c r="D434" s="21" t="s">
        <v>2109</v>
      </c>
      <c r="E434" t="s">
        <v>1547</v>
      </c>
      <c r="F434" t="s">
        <v>1547</v>
      </c>
      <c r="G434" t="s">
        <v>1548</v>
      </c>
      <c r="H434" t="s">
        <v>2108</v>
      </c>
      <c r="I434" t="s">
        <v>2108</v>
      </c>
      <c r="J434">
        <v>1440</v>
      </c>
      <c r="K434">
        <v>1380</v>
      </c>
      <c r="L434">
        <v>1175</v>
      </c>
      <c r="M434" t="s">
        <v>2108</v>
      </c>
      <c r="N434">
        <v>1040</v>
      </c>
      <c r="O434">
        <v>935</v>
      </c>
      <c r="P434">
        <v>780</v>
      </c>
      <c r="Q434" t="s">
        <v>48</v>
      </c>
      <c r="R434">
        <v>27</v>
      </c>
      <c r="S434">
        <v>1</v>
      </c>
      <c r="T434" t="s">
        <v>2110</v>
      </c>
      <c r="U434" t="s">
        <v>2111</v>
      </c>
      <c r="V434">
        <v>0</v>
      </c>
      <c r="W434" s="26" t="str">
        <f t="shared" si="6"/>
        <v>(3526,null,1,'2026-04-28 00:00:00','003312020060000-33120200603','003312020060000-33120200603','小儿经腹腔镜睾丸鞘膜翻转术',null,null,1440,1380,1175,null,1040,935,780,'单侧',27,1,'normal','main',0),</v>
      </c>
    </row>
    <row r="435" spans="1:23">
      <c r="A435">
        <v>3527</v>
      </c>
      <c r="B435" t="s">
        <v>2108</v>
      </c>
      <c r="C435">
        <v>1</v>
      </c>
      <c r="D435" s="21" t="s">
        <v>2109</v>
      </c>
      <c r="E435" t="s">
        <v>1549</v>
      </c>
      <c r="F435" t="s">
        <v>1549</v>
      </c>
      <c r="G435" t="s">
        <v>1550</v>
      </c>
      <c r="H435" t="s">
        <v>2108</v>
      </c>
      <c r="I435" t="s">
        <v>2108</v>
      </c>
      <c r="J435">
        <v>1140</v>
      </c>
      <c r="K435">
        <v>1090</v>
      </c>
      <c r="L435">
        <v>925</v>
      </c>
      <c r="M435" t="s">
        <v>2108</v>
      </c>
      <c r="N435">
        <v>1040</v>
      </c>
      <c r="O435">
        <v>935</v>
      </c>
      <c r="P435">
        <v>780</v>
      </c>
      <c r="Q435" t="s">
        <v>48</v>
      </c>
      <c r="R435">
        <v>27</v>
      </c>
      <c r="S435">
        <v>1</v>
      </c>
      <c r="T435" t="s">
        <v>2110</v>
      </c>
      <c r="U435" t="s">
        <v>2111</v>
      </c>
      <c r="V435">
        <v>0</v>
      </c>
      <c r="W435" s="26" t="str">
        <f t="shared" si="6"/>
        <v>(3527,null,1,'2026-04-28 00:00:00','003312020070000-33120200701','003312020070000-33120200701','小儿交通性鞘膜积液修补术',null,null,1140,1090,925,null,1040,935,780,'单侧',27,1,'normal','main',0),</v>
      </c>
    </row>
    <row r="436" spans="1:23">
      <c r="A436">
        <v>3528</v>
      </c>
      <c r="B436" t="s">
        <v>2108</v>
      </c>
      <c r="C436">
        <v>1</v>
      </c>
      <c r="D436" s="21" t="s">
        <v>2109</v>
      </c>
      <c r="E436" t="s">
        <v>1551</v>
      </c>
      <c r="F436" t="s">
        <v>1551</v>
      </c>
      <c r="G436" t="s">
        <v>1552</v>
      </c>
      <c r="H436" t="s">
        <v>2108</v>
      </c>
      <c r="I436" t="s">
        <v>2108</v>
      </c>
      <c r="J436">
        <v>1765</v>
      </c>
      <c r="K436">
        <v>1690</v>
      </c>
      <c r="L436">
        <v>1435</v>
      </c>
      <c r="M436" t="s">
        <v>2108</v>
      </c>
      <c r="N436">
        <v>1040</v>
      </c>
      <c r="O436">
        <v>935</v>
      </c>
      <c r="P436">
        <v>780</v>
      </c>
      <c r="Q436" t="s">
        <v>48</v>
      </c>
      <c r="R436">
        <v>27</v>
      </c>
      <c r="S436">
        <v>1</v>
      </c>
      <c r="T436" t="s">
        <v>2110</v>
      </c>
      <c r="U436" t="s">
        <v>2111</v>
      </c>
      <c r="V436">
        <v>0</v>
      </c>
      <c r="W436" s="26" t="str">
        <f t="shared" si="6"/>
        <v>(3528,null,1,'2026-04-28 00:00:00','003312020070000-33120200703','003312020070000-33120200703','小儿经腹腔镜交通性鞘膜积液修补术',null,null,1765,1690,1435,null,1040,935,780,'单侧',27,1,'normal','main',0),</v>
      </c>
    </row>
    <row r="437" spans="1:23">
      <c r="A437">
        <v>3529</v>
      </c>
      <c r="B437" t="s">
        <v>2108</v>
      </c>
      <c r="C437">
        <v>1</v>
      </c>
      <c r="D437" s="21" t="s">
        <v>2109</v>
      </c>
      <c r="E437" t="s">
        <v>1553</v>
      </c>
      <c r="F437" t="s">
        <v>1553</v>
      </c>
      <c r="G437" t="s">
        <v>1554</v>
      </c>
      <c r="H437" t="s">
        <v>2108</v>
      </c>
      <c r="I437" t="s">
        <v>2108</v>
      </c>
      <c r="J437">
        <v>685</v>
      </c>
      <c r="K437">
        <v>650</v>
      </c>
      <c r="L437">
        <v>555</v>
      </c>
      <c r="M437" t="s">
        <v>2108</v>
      </c>
      <c r="N437">
        <v>1040</v>
      </c>
      <c r="O437">
        <v>935</v>
      </c>
      <c r="P437">
        <v>780</v>
      </c>
      <c r="Q437" t="s">
        <v>48</v>
      </c>
      <c r="R437">
        <v>27</v>
      </c>
      <c r="S437">
        <v>1</v>
      </c>
      <c r="T437" t="s">
        <v>2110</v>
      </c>
      <c r="U437" t="s">
        <v>2111</v>
      </c>
      <c r="V437">
        <v>0</v>
      </c>
      <c r="W437" s="26" t="str">
        <f t="shared" si="6"/>
        <v>(3529,null,1,'2026-04-28 00:00:00','003312020070000-33120200705','003312020070000-33120200705','小儿睾丸鞘状突高位结扎术',null,null,685,650,555,null,1040,935,780,'单侧',27,1,'normal','main',0),</v>
      </c>
    </row>
    <row r="438" spans="1:23">
      <c r="A438">
        <v>3530</v>
      </c>
      <c r="B438" t="s">
        <v>2108</v>
      </c>
      <c r="C438">
        <v>1</v>
      </c>
      <c r="D438" s="21" t="s">
        <v>2109</v>
      </c>
      <c r="E438" t="s">
        <v>1560</v>
      </c>
      <c r="F438" t="s">
        <v>1560</v>
      </c>
      <c r="G438" t="s">
        <v>1561</v>
      </c>
      <c r="H438" t="s">
        <v>2108</v>
      </c>
      <c r="I438" t="s">
        <v>2108</v>
      </c>
      <c r="J438">
        <v>1000</v>
      </c>
      <c r="K438">
        <v>960</v>
      </c>
      <c r="L438">
        <v>816</v>
      </c>
      <c r="M438" t="s">
        <v>2108</v>
      </c>
      <c r="N438">
        <v>950</v>
      </c>
      <c r="O438">
        <v>900</v>
      </c>
      <c r="P438">
        <v>770</v>
      </c>
      <c r="Q438" t="s">
        <v>40</v>
      </c>
      <c r="R438">
        <v>27</v>
      </c>
      <c r="S438">
        <v>1</v>
      </c>
      <c r="T438" t="s">
        <v>2110</v>
      </c>
      <c r="U438" t="s">
        <v>2111</v>
      </c>
      <c r="V438">
        <v>0</v>
      </c>
      <c r="W438" s="26" t="str">
        <f t="shared" si="6"/>
        <v>(3530,null,1,'2026-04-28 00:00:00','003312020090000-331202009','003312020090000-331202009','睾丸破裂修补术',null,null,1000,960,816,null,950,900,770,'次',27,1,'normal','main',0),</v>
      </c>
    </row>
    <row r="439" spans="1:23">
      <c r="A439">
        <v>3531</v>
      </c>
      <c r="B439" t="s">
        <v>2108</v>
      </c>
      <c r="C439">
        <v>1</v>
      </c>
      <c r="D439" s="21" t="s">
        <v>2109</v>
      </c>
      <c r="E439" t="s">
        <v>1562</v>
      </c>
      <c r="F439" t="s">
        <v>1562</v>
      </c>
      <c r="G439" t="s">
        <v>1563</v>
      </c>
      <c r="H439" t="s">
        <v>2108</v>
      </c>
      <c r="I439" t="s">
        <v>2108</v>
      </c>
      <c r="J439">
        <v>1625</v>
      </c>
      <c r="K439">
        <v>1560</v>
      </c>
      <c r="L439">
        <v>1326</v>
      </c>
      <c r="M439" t="s">
        <v>2108</v>
      </c>
      <c r="N439">
        <v>950</v>
      </c>
      <c r="O439">
        <v>900</v>
      </c>
      <c r="P439">
        <v>770</v>
      </c>
      <c r="Q439" t="s">
        <v>40</v>
      </c>
      <c r="R439">
        <v>27</v>
      </c>
      <c r="S439">
        <v>1</v>
      </c>
      <c r="T439" t="s">
        <v>2110</v>
      </c>
      <c r="U439" t="s">
        <v>2111</v>
      </c>
      <c r="V439">
        <v>0</v>
      </c>
      <c r="W439" s="26" t="str">
        <f t="shared" si="6"/>
        <v>(3531,null,1,'2026-04-28 00:00:00','003312020090000-33120200902','003312020090000-33120200902','经腹腔镜睾丸破裂修补术',null,null,1625,1560,1326,null,950,900,770,'次',27,1,'normal','main',0),</v>
      </c>
    </row>
    <row r="440" spans="1:23">
      <c r="A440">
        <v>3532</v>
      </c>
      <c r="B440" t="s">
        <v>2108</v>
      </c>
      <c r="C440">
        <v>1</v>
      </c>
      <c r="D440" s="21" t="s">
        <v>2109</v>
      </c>
      <c r="E440" t="s">
        <v>1566</v>
      </c>
      <c r="F440" t="s">
        <v>1566</v>
      </c>
      <c r="G440" t="s">
        <v>1567</v>
      </c>
      <c r="H440" t="s">
        <v>2108</v>
      </c>
      <c r="I440" t="s">
        <v>2108</v>
      </c>
      <c r="J440">
        <v>1300</v>
      </c>
      <c r="K440">
        <v>1250</v>
      </c>
      <c r="L440">
        <v>1065</v>
      </c>
      <c r="M440" t="s">
        <v>2108</v>
      </c>
      <c r="N440">
        <v>1235</v>
      </c>
      <c r="O440">
        <v>1170</v>
      </c>
      <c r="P440">
        <v>1000</v>
      </c>
      <c r="Q440" t="s">
        <v>40</v>
      </c>
      <c r="R440">
        <v>27</v>
      </c>
      <c r="S440">
        <v>1</v>
      </c>
      <c r="T440" t="s">
        <v>2110</v>
      </c>
      <c r="U440" t="s">
        <v>2111</v>
      </c>
      <c r="V440">
        <v>0</v>
      </c>
      <c r="W440" s="26" t="str">
        <f t="shared" si="6"/>
        <v>(3532,null,1,'2026-04-28 00:00:00','003312020090000-33120200901','003312020090000-33120200901','小儿睾丸破裂修补术',null,null,1300,1250,1065,null,1235,1170,1000,'次',27,1,'normal','main',0),</v>
      </c>
    </row>
    <row r="441" spans="1:23">
      <c r="A441">
        <v>3533</v>
      </c>
      <c r="B441" t="s">
        <v>2108</v>
      </c>
      <c r="C441">
        <v>1</v>
      </c>
      <c r="D441" s="21" t="s">
        <v>2109</v>
      </c>
      <c r="E441" t="s">
        <v>1568</v>
      </c>
      <c r="F441" t="s">
        <v>1568</v>
      </c>
      <c r="G441" t="s">
        <v>1569</v>
      </c>
      <c r="H441" t="s">
        <v>2108</v>
      </c>
      <c r="I441" t="s">
        <v>2108</v>
      </c>
      <c r="J441">
        <v>1925</v>
      </c>
      <c r="K441">
        <v>1850</v>
      </c>
      <c r="L441">
        <v>1575</v>
      </c>
      <c r="M441" t="s">
        <v>2108</v>
      </c>
      <c r="N441">
        <v>1235</v>
      </c>
      <c r="O441">
        <v>1170</v>
      </c>
      <c r="P441">
        <v>1000</v>
      </c>
      <c r="Q441" t="s">
        <v>40</v>
      </c>
      <c r="R441">
        <v>27</v>
      </c>
      <c r="S441">
        <v>1</v>
      </c>
      <c r="T441" t="s">
        <v>2110</v>
      </c>
      <c r="U441" t="s">
        <v>2111</v>
      </c>
      <c r="V441">
        <v>0</v>
      </c>
      <c r="W441" s="26" t="str">
        <f t="shared" si="6"/>
        <v>(3533,null,1,'2026-04-28 00:00:00','003312020090000-33120200903','003312020090000-33120200903','小儿经腹腔镜睾丸破裂修补术',null,null,1925,1850,1575,null,1235,1170,1000,'次',27,1,'normal','main',0),</v>
      </c>
    </row>
    <row r="442" spans="1:23">
      <c r="A442">
        <v>3534</v>
      </c>
      <c r="B442" t="s">
        <v>2108</v>
      </c>
      <c r="C442">
        <v>1</v>
      </c>
      <c r="D442" s="21" t="s">
        <v>2109</v>
      </c>
      <c r="E442" t="s">
        <v>1574</v>
      </c>
      <c r="F442" t="s">
        <v>1574</v>
      </c>
      <c r="G442" t="s">
        <v>1575</v>
      </c>
      <c r="H442" t="s">
        <v>2108</v>
      </c>
      <c r="I442" t="s">
        <v>2108</v>
      </c>
      <c r="J442">
        <v>1000</v>
      </c>
      <c r="K442">
        <v>960</v>
      </c>
      <c r="L442">
        <v>816</v>
      </c>
      <c r="M442" t="s">
        <v>2108</v>
      </c>
      <c r="N442">
        <v>1125</v>
      </c>
      <c r="O442">
        <v>1000</v>
      </c>
      <c r="P442">
        <v>850</v>
      </c>
      <c r="Q442" t="s">
        <v>48</v>
      </c>
      <c r="R442">
        <v>27</v>
      </c>
      <c r="S442">
        <v>1</v>
      </c>
      <c r="T442" t="s">
        <v>2110</v>
      </c>
      <c r="U442" t="s">
        <v>2111</v>
      </c>
      <c r="V442">
        <v>0</v>
      </c>
      <c r="W442" s="26" t="str">
        <f t="shared" si="6"/>
        <v>(3534,null,1,'2026-04-28 00:00:00','003312020100000-331202010','003312020100000-331202010','睾丸固定术',null,null,1000,960,816,null,1125,1000,850,'单侧',27,1,'normal','main',0),</v>
      </c>
    </row>
    <row r="443" spans="1:23">
      <c r="A443">
        <v>3535</v>
      </c>
      <c r="B443" t="s">
        <v>2108</v>
      </c>
      <c r="C443">
        <v>1</v>
      </c>
      <c r="D443" s="21" t="s">
        <v>2109</v>
      </c>
      <c r="E443" t="s">
        <v>1577</v>
      </c>
      <c r="F443" t="s">
        <v>1577</v>
      </c>
      <c r="G443" t="s">
        <v>1578</v>
      </c>
      <c r="H443" t="s">
        <v>2108</v>
      </c>
      <c r="I443" t="s">
        <v>2108</v>
      </c>
      <c r="J443">
        <v>1625</v>
      </c>
      <c r="K443">
        <v>1560</v>
      </c>
      <c r="L443">
        <v>1326</v>
      </c>
      <c r="M443" t="s">
        <v>2108</v>
      </c>
      <c r="N443">
        <v>1125</v>
      </c>
      <c r="O443">
        <v>1000</v>
      </c>
      <c r="P443">
        <v>850</v>
      </c>
      <c r="Q443" t="s">
        <v>48</v>
      </c>
      <c r="R443">
        <v>27</v>
      </c>
      <c r="S443">
        <v>1</v>
      </c>
      <c r="T443" t="s">
        <v>2110</v>
      </c>
      <c r="U443" t="s">
        <v>2111</v>
      </c>
      <c r="V443">
        <v>0</v>
      </c>
      <c r="W443" s="26" t="str">
        <f t="shared" si="6"/>
        <v>(3535,null,1,'2026-04-28 00:00:00','003312020100000-33120201002','003312020100000-33120201002','经腹腔镜睾丸固定术',null,null,1625,1560,1326,null,1125,1000,850,'单侧',27,1,'normal','main',0),</v>
      </c>
    </row>
    <row r="444" spans="1:23">
      <c r="A444">
        <v>3536</v>
      </c>
      <c r="B444" t="s">
        <v>2108</v>
      </c>
      <c r="C444">
        <v>1</v>
      </c>
      <c r="D444" s="21" t="s">
        <v>2109</v>
      </c>
      <c r="E444" t="s">
        <v>1579</v>
      </c>
      <c r="F444" t="s">
        <v>1579</v>
      </c>
      <c r="G444" t="s">
        <v>1580</v>
      </c>
      <c r="H444" t="s">
        <v>2108</v>
      </c>
      <c r="I444" t="s">
        <v>2108</v>
      </c>
      <c r="J444">
        <v>875</v>
      </c>
      <c r="K444">
        <v>840</v>
      </c>
      <c r="L444">
        <v>714</v>
      </c>
      <c r="M444" t="s">
        <v>2108</v>
      </c>
      <c r="N444">
        <v>1125</v>
      </c>
      <c r="O444">
        <v>1000</v>
      </c>
      <c r="P444">
        <v>850</v>
      </c>
      <c r="Q444" t="s">
        <v>48</v>
      </c>
      <c r="R444">
        <v>27</v>
      </c>
      <c r="S444">
        <v>1</v>
      </c>
      <c r="T444" t="s">
        <v>2110</v>
      </c>
      <c r="U444" t="s">
        <v>2111</v>
      </c>
      <c r="V444">
        <v>0</v>
      </c>
      <c r="W444" s="26" t="str">
        <f t="shared" si="6"/>
        <v>(3536,null,1,'2026-04-28 00:00:00','003312020080000-331202008','003312020080000-331202008','睾丸附件扭转探查术',null,null,875,840,714,null,1125,1000,850,'单侧',27,1,'normal','main',0),</v>
      </c>
    </row>
    <row r="445" spans="1:23">
      <c r="A445">
        <v>3537</v>
      </c>
      <c r="B445" t="s">
        <v>2108</v>
      </c>
      <c r="C445">
        <v>1</v>
      </c>
      <c r="D445" s="21" t="s">
        <v>2109</v>
      </c>
      <c r="E445" t="s">
        <v>1582</v>
      </c>
      <c r="F445" t="s">
        <v>1582</v>
      </c>
      <c r="G445" t="s">
        <v>1583</v>
      </c>
      <c r="H445" t="s">
        <v>2108</v>
      </c>
      <c r="I445" t="s">
        <v>2108</v>
      </c>
      <c r="J445">
        <v>1500</v>
      </c>
      <c r="K445">
        <v>1440</v>
      </c>
      <c r="L445">
        <v>1224</v>
      </c>
      <c r="M445" t="s">
        <v>2108</v>
      </c>
      <c r="N445">
        <v>1125</v>
      </c>
      <c r="O445">
        <v>1000</v>
      </c>
      <c r="P445">
        <v>850</v>
      </c>
      <c r="Q445" t="s">
        <v>48</v>
      </c>
      <c r="R445">
        <v>27</v>
      </c>
      <c r="S445">
        <v>1</v>
      </c>
      <c r="T445" t="s">
        <v>2110</v>
      </c>
      <c r="U445" t="s">
        <v>2111</v>
      </c>
      <c r="V445">
        <v>0</v>
      </c>
      <c r="W445" s="26" t="str">
        <f t="shared" si="6"/>
        <v>(3537,null,1,'2026-04-28 00:00:00','003312020080000-33120200802','003312020080000-33120200802','经腹腔镜睾丸附件扭转探查术',null,null,1500,1440,1224,null,1125,1000,850,'单侧',27,1,'normal','main',0),</v>
      </c>
    </row>
    <row r="446" spans="1:23">
      <c r="A446">
        <v>3538</v>
      </c>
      <c r="B446" t="s">
        <v>2108</v>
      </c>
      <c r="C446">
        <v>1</v>
      </c>
      <c r="D446" s="21" t="s">
        <v>2109</v>
      </c>
      <c r="E446" t="s">
        <v>1584</v>
      </c>
      <c r="F446" t="s">
        <v>1584</v>
      </c>
      <c r="G446" t="s">
        <v>1585</v>
      </c>
      <c r="H446" t="s">
        <v>2108</v>
      </c>
      <c r="I446" t="s">
        <v>2108</v>
      </c>
      <c r="J446">
        <v>2530</v>
      </c>
      <c r="K446">
        <v>2280</v>
      </c>
      <c r="L446">
        <v>1940</v>
      </c>
      <c r="M446" t="s">
        <v>2108</v>
      </c>
      <c r="N446">
        <v>1125</v>
      </c>
      <c r="O446">
        <v>1000</v>
      </c>
      <c r="P446">
        <v>850</v>
      </c>
      <c r="Q446" t="s">
        <v>48</v>
      </c>
      <c r="R446">
        <v>27</v>
      </c>
      <c r="S446">
        <v>1</v>
      </c>
      <c r="T446" t="s">
        <v>2110</v>
      </c>
      <c r="U446" t="s">
        <v>2111</v>
      </c>
      <c r="V446">
        <v>0</v>
      </c>
      <c r="W446" s="26" t="str">
        <f t="shared" si="6"/>
        <v>(3538,null,1,'2026-04-28 00:00:00','003312020140000-331202014','003312020140000-331202014','经腹腔镜隐睾探查术',null,null,2530,2280,1940,null,1125,1000,850,'单侧',27,1,'normal','main',0),</v>
      </c>
    </row>
    <row r="447" spans="1:23">
      <c r="A447">
        <v>3539</v>
      </c>
      <c r="B447" t="s">
        <v>2108</v>
      </c>
      <c r="C447">
        <v>1</v>
      </c>
      <c r="D447" s="21" t="s">
        <v>2109</v>
      </c>
      <c r="E447" t="s">
        <v>1589</v>
      </c>
      <c r="F447" t="s">
        <v>1589</v>
      </c>
      <c r="G447" t="s">
        <v>1590</v>
      </c>
      <c r="H447" t="s">
        <v>2108</v>
      </c>
      <c r="I447" t="s">
        <v>2108</v>
      </c>
      <c r="J447">
        <v>1300</v>
      </c>
      <c r="K447">
        <v>1250</v>
      </c>
      <c r="L447">
        <v>1065</v>
      </c>
      <c r="M447" t="s">
        <v>2108</v>
      </c>
      <c r="N447">
        <v>1465</v>
      </c>
      <c r="O447">
        <v>1300</v>
      </c>
      <c r="P447">
        <v>1105</v>
      </c>
      <c r="Q447" t="s">
        <v>48</v>
      </c>
      <c r="R447">
        <v>27</v>
      </c>
      <c r="S447">
        <v>1</v>
      </c>
      <c r="T447" t="s">
        <v>2110</v>
      </c>
      <c r="U447" t="s">
        <v>2111</v>
      </c>
      <c r="V447">
        <v>0</v>
      </c>
      <c r="W447" s="26" t="str">
        <f t="shared" si="6"/>
        <v>(3539,null,1,'2026-04-28 00:00:00','003312020100000-33120201001','003312020100000-33120201001','小儿睾丸固定术',null,null,1300,1250,1065,null,1465,1300,1105,'单侧',27,1,'normal','main',0),</v>
      </c>
    </row>
    <row r="448" spans="1:23">
      <c r="A448">
        <v>3540</v>
      </c>
      <c r="B448" t="s">
        <v>2108</v>
      </c>
      <c r="C448">
        <v>1</v>
      </c>
      <c r="D448" s="21" t="s">
        <v>2109</v>
      </c>
      <c r="E448" t="s">
        <v>1591</v>
      </c>
      <c r="F448" t="s">
        <v>1591</v>
      </c>
      <c r="G448" t="s">
        <v>1592</v>
      </c>
      <c r="H448" t="s">
        <v>2108</v>
      </c>
      <c r="I448" t="s">
        <v>2108</v>
      </c>
      <c r="J448">
        <v>1925</v>
      </c>
      <c r="K448">
        <v>1850</v>
      </c>
      <c r="L448">
        <v>1575</v>
      </c>
      <c r="M448" t="s">
        <v>2108</v>
      </c>
      <c r="N448">
        <v>1465</v>
      </c>
      <c r="O448">
        <v>1300</v>
      </c>
      <c r="P448">
        <v>1105</v>
      </c>
      <c r="Q448" t="s">
        <v>48</v>
      </c>
      <c r="R448">
        <v>27</v>
      </c>
      <c r="S448">
        <v>1</v>
      </c>
      <c r="T448" t="s">
        <v>2110</v>
      </c>
      <c r="U448" t="s">
        <v>2111</v>
      </c>
      <c r="V448">
        <v>0</v>
      </c>
      <c r="W448" s="26" t="str">
        <f t="shared" si="6"/>
        <v>(3540,null,1,'2026-04-28 00:00:00','003312020100000-33120201003','003312020100000-33120201003','小儿经腹腔镜睾丸固定术',null,null,1925,1850,1575,null,1465,1300,1105,'单侧',27,1,'normal','main',0),</v>
      </c>
    </row>
    <row r="449" spans="1:23">
      <c r="A449">
        <v>3541</v>
      </c>
      <c r="B449" t="s">
        <v>2108</v>
      </c>
      <c r="C449">
        <v>1</v>
      </c>
      <c r="D449" s="21" t="s">
        <v>2109</v>
      </c>
      <c r="E449" t="s">
        <v>1593</v>
      </c>
      <c r="F449" t="s">
        <v>1593</v>
      </c>
      <c r="G449" t="s">
        <v>1594</v>
      </c>
      <c r="H449" t="s">
        <v>2108</v>
      </c>
      <c r="I449" t="s">
        <v>2108</v>
      </c>
      <c r="J449">
        <v>1140</v>
      </c>
      <c r="K449">
        <v>1090</v>
      </c>
      <c r="L449">
        <v>925</v>
      </c>
      <c r="M449" t="s">
        <v>2108</v>
      </c>
      <c r="N449">
        <v>1465</v>
      </c>
      <c r="O449">
        <v>1300</v>
      </c>
      <c r="P449">
        <v>1105</v>
      </c>
      <c r="Q449" t="s">
        <v>48</v>
      </c>
      <c r="R449">
        <v>27</v>
      </c>
      <c r="S449">
        <v>1</v>
      </c>
      <c r="T449" t="s">
        <v>2110</v>
      </c>
      <c r="U449" t="s">
        <v>2111</v>
      </c>
      <c r="V449">
        <v>0</v>
      </c>
      <c r="W449" s="26" t="str">
        <f t="shared" si="6"/>
        <v>(3541,null,1,'2026-04-28 00:00:00','003312020080000-33120200801','003312020080000-33120200801','小儿睾丸附件扭转探查术',null,null,1140,1090,925,null,1465,1300,1105,'单侧',27,1,'normal','main',0),</v>
      </c>
    </row>
    <row r="450" spans="1:23">
      <c r="A450">
        <v>3542</v>
      </c>
      <c r="B450" t="s">
        <v>2108</v>
      </c>
      <c r="C450">
        <v>1</v>
      </c>
      <c r="D450" s="21" t="s">
        <v>2109</v>
      </c>
      <c r="E450" t="s">
        <v>1595</v>
      </c>
      <c r="F450" t="s">
        <v>1595</v>
      </c>
      <c r="G450" t="s">
        <v>1596</v>
      </c>
      <c r="H450" t="s">
        <v>2108</v>
      </c>
      <c r="I450" t="s">
        <v>2108</v>
      </c>
      <c r="J450">
        <v>1765</v>
      </c>
      <c r="K450">
        <v>1690</v>
      </c>
      <c r="L450">
        <v>1435</v>
      </c>
      <c r="M450" t="s">
        <v>2108</v>
      </c>
      <c r="N450">
        <v>1465</v>
      </c>
      <c r="O450">
        <v>1300</v>
      </c>
      <c r="P450">
        <v>1105</v>
      </c>
      <c r="Q450" t="s">
        <v>48</v>
      </c>
      <c r="R450">
        <v>27</v>
      </c>
      <c r="S450">
        <v>1</v>
      </c>
      <c r="T450" t="s">
        <v>2110</v>
      </c>
      <c r="U450" t="s">
        <v>2111</v>
      </c>
      <c r="V450">
        <v>0</v>
      </c>
      <c r="W450" s="26" t="str">
        <f t="shared" si="6"/>
        <v>(3542,null,1,'2026-04-28 00:00:00','003312020080000-33120200803','003312020080000-33120200803','小儿经腹腔镜睾丸附件扭转探查术',null,null,1765,1690,1435,null,1465,1300,1105,'单侧',27,1,'normal','main',0),</v>
      </c>
    </row>
    <row r="451" spans="1:23">
      <c r="A451">
        <v>3543</v>
      </c>
      <c r="B451" t="s">
        <v>2108</v>
      </c>
      <c r="C451">
        <v>1</v>
      </c>
      <c r="D451" s="21" t="s">
        <v>2109</v>
      </c>
      <c r="E451" t="s">
        <v>1597</v>
      </c>
      <c r="F451" t="s">
        <v>1597</v>
      </c>
      <c r="G451" t="s">
        <v>1598</v>
      </c>
      <c r="H451" t="s">
        <v>2108</v>
      </c>
      <c r="I451" t="s">
        <v>2108</v>
      </c>
      <c r="J451">
        <v>4135</v>
      </c>
      <c r="K451">
        <v>3760</v>
      </c>
      <c r="L451">
        <v>3195</v>
      </c>
      <c r="M451" t="s">
        <v>2108</v>
      </c>
      <c r="N451" s="24">
        <v>1465</v>
      </c>
      <c r="O451" s="24">
        <v>1300</v>
      </c>
      <c r="P451" s="24">
        <v>1105</v>
      </c>
      <c r="Q451" t="s">
        <v>48</v>
      </c>
      <c r="R451">
        <v>27</v>
      </c>
      <c r="S451">
        <v>1</v>
      </c>
      <c r="T451" t="s">
        <v>2110</v>
      </c>
      <c r="U451" t="s">
        <v>2111</v>
      </c>
      <c r="V451">
        <v>0</v>
      </c>
      <c r="W451" s="26" t="str">
        <f t="shared" ref="W451:W514" si="7">"("&amp;A451&amp;","&amp;B451&amp;","&amp;C451&amp;",'"&amp;D451&amp;"','"&amp;E451&amp;"','"&amp;F451&amp;"','"&amp;G451&amp;"',"&amp;H451&amp;","&amp;I451&amp;","&amp;J451&amp;","&amp;K451&amp;","&amp;L451&amp;","&amp;M451&amp;","&amp;N451&amp;","&amp;O451&amp;","&amp;P451&amp;",'"&amp;Q451&amp;"',"&amp;R451&amp;","&amp;S451&amp;",'"&amp;T451&amp;"','"&amp;U451&amp;"',"&amp;V451&amp;"),"</f>
        <v>(3543,null,1,'2026-04-28 00:00:00','003312020140000-33120201401','003312020140000-33120201401','小儿经腹腔镜隐睾探查术',null,null,4135,3760,3195,null,1465,1300,1105,'单侧',27,1,'normal','main',0),</v>
      </c>
    </row>
    <row r="452" spans="1:23">
      <c r="A452">
        <v>3544</v>
      </c>
      <c r="B452" t="s">
        <v>2108</v>
      </c>
      <c r="C452">
        <v>1</v>
      </c>
      <c r="D452" s="21" t="s">
        <v>2109</v>
      </c>
      <c r="E452" t="s">
        <v>1604</v>
      </c>
      <c r="F452" t="s">
        <v>1604</v>
      </c>
      <c r="G452" t="s">
        <v>1605</v>
      </c>
      <c r="H452" t="s">
        <v>2108</v>
      </c>
      <c r="I452" t="s">
        <v>2108</v>
      </c>
      <c r="J452">
        <v>33</v>
      </c>
      <c r="K452">
        <v>30</v>
      </c>
      <c r="L452">
        <v>25.5</v>
      </c>
      <c r="M452" t="s">
        <v>2108</v>
      </c>
      <c r="N452" s="24">
        <v>36</v>
      </c>
      <c r="O452" s="24">
        <v>33</v>
      </c>
      <c r="P452" s="24">
        <v>28</v>
      </c>
      <c r="Q452" t="s">
        <v>40</v>
      </c>
      <c r="R452">
        <v>27</v>
      </c>
      <c r="S452">
        <v>1</v>
      </c>
      <c r="T452" t="s">
        <v>2110</v>
      </c>
      <c r="U452" t="s">
        <v>2111</v>
      </c>
      <c r="V452">
        <v>0</v>
      </c>
      <c r="W452" s="26" t="str">
        <f t="shared" si="7"/>
        <v>(3544,null,1,'2026-04-28 00:00:00','003111000180000-311100018','003111000180000-311100018','鞘膜积液穿刺抽液术',null,null,33,30,25.5,null,36,33,28,'次',27,1,'normal','main',0),</v>
      </c>
    </row>
    <row r="453" spans="1:23">
      <c r="A453">
        <v>3545</v>
      </c>
      <c r="B453" t="s">
        <v>2108</v>
      </c>
      <c r="C453">
        <v>1</v>
      </c>
      <c r="D453" s="21" t="s">
        <v>2109</v>
      </c>
      <c r="E453" t="s">
        <v>1609</v>
      </c>
      <c r="F453" t="s">
        <v>1609</v>
      </c>
      <c r="G453" t="s">
        <v>1610</v>
      </c>
      <c r="H453" t="s">
        <v>2108</v>
      </c>
      <c r="I453" t="s">
        <v>2108</v>
      </c>
      <c r="J453">
        <v>43</v>
      </c>
      <c r="K453">
        <v>39</v>
      </c>
      <c r="L453">
        <v>33</v>
      </c>
      <c r="M453" t="s">
        <v>2108</v>
      </c>
      <c r="N453" s="24">
        <v>47</v>
      </c>
      <c r="O453" s="24">
        <v>43</v>
      </c>
      <c r="P453" s="24">
        <v>36.5</v>
      </c>
      <c r="Q453" t="s">
        <v>40</v>
      </c>
      <c r="R453">
        <v>27</v>
      </c>
      <c r="S453">
        <v>1</v>
      </c>
      <c r="T453" t="s">
        <v>2110</v>
      </c>
      <c r="U453" t="s">
        <v>2111</v>
      </c>
      <c r="V453">
        <v>0</v>
      </c>
      <c r="W453" s="26" t="str">
        <f t="shared" si="7"/>
        <v>(3545,null,1,'2026-04-28 00:00:00','003111000180000-31110001801','003111000180000-31110001801','小儿鞘膜积液穿刺抽液术',null,null,43,39,33,null,47,43,36.5,'次',27,1,'normal','main',0),</v>
      </c>
    </row>
    <row r="454" spans="1:23">
      <c r="A454">
        <v>3546</v>
      </c>
      <c r="B454" t="s">
        <v>2108</v>
      </c>
      <c r="C454">
        <v>1</v>
      </c>
      <c r="D454" s="21" t="s">
        <v>2109</v>
      </c>
      <c r="E454" t="s">
        <v>1617</v>
      </c>
      <c r="F454" t="s">
        <v>1617</v>
      </c>
      <c r="G454" t="s">
        <v>1618</v>
      </c>
      <c r="H454" t="s">
        <v>2108</v>
      </c>
      <c r="I454" t="s">
        <v>2108</v>
      </c>
      <c r="J454">
        <v>500</v>
      </c>
      <c r="K454">
        <v>480</v>
      </c>
      <c r="L454">
        <v>408</v>
      </c>
      <c r="M454" t="s">
        <v>2108</v>
      </c>
      <c r="N454" s="24">
        <v>285</v>
      </c>
      <c r="O454" s="24">
        <v>270</v>
      </c>
      <c r="P454" s="24">
        <v>230</v>
      </c>
      <c r="Q454" t="s">
        <v>40</v>
      </c>
      <c r="R454">
        <v>27</v>
      </c>
      <c r="S454">
        <v>1</v>
      </c>
      <c r="T454" t="s">
        <v>2110</v>
      </c>
      <c r="U454" t="s">
        <v>2111</v>
      </c>
      <c r="V454">
        <v>0</v>
      </c>
      <c r="W454" s="26" t="str">
        <f t="shared" si="7"/>
        <v>(3546,null,1,'2026-04-28 00:00:00','003312030080000-331203008','003312030080000-331203008','输精管结扎术',null,null,500,480,408,null,285,270,230,'次',27,1,'normal','main',0),</v>
      </c>
    </row>
    <row r="455" spans="1:23">
      <c r="A455">
        <v>3547</v>
      </c>
      <c r="B455" t="s">
        <v>2108</v>
      </c>
      <c r="C455">
        <v>1</v>
      </c>
      <c r="D455" s="21" t="s">
        <v>2109</v>
      </c>
      <c r="E455" t="s">
        <v>1619</v>
      </c>
      <c r="F455" t="s">
        <v>1619</v>
      </c>
      <c r="G455" t="s">
        <v>1620</v>
      </c>
      <c r="H455" t="s">
        <v>2108</v>
      </c>
      <c r="I455" t="s">
        <v>2108</v>
      </c>
      <c r="J455">
        <v>500</v>
      </c>
      <c r="K455">
        <v>480</v>
      </c>
      <c r="L455">
        <v>408</v>
      </c>
      <c r="M455" t="s">
        <v>2108</v>
      </c>
      <c r="N455">
        <v>285</v>
      </c>
      <c r="O455">
        <v>270</v>
      </c>
      <c r="P455">
        <v>230</v>
      </c>
      <c r="Q455" t="s">
        <v>40</v>
      </c>
      <c r="R455">
        <v>27</v>
      </c>
      <c r="S455">
        <v>1</v>
      </c>
      <c r="T455" t="s">
        <v>2110</v>
      </c>
      <c r="U455" t="s">
        <v>2111</v>
      </c>
      <c r="V455">
        <v>0</v>
      </c>
      <c r="W455" s="26" t="str">
        <f t="shared" si="7"/>
        <v>(3547,null,1,'2026-04-28 00:00:00','003312030090000-331203009','003312030090000-331203009','输精管粘堵术',null,null,500,480,408,null,285,270,230,'次',27,1,'normal','main',0),</v>
      </c>
    </row>
    <row r="456" spans="1:23">
      <c r="A456">
        <v>3548</v>
      </c>
      <c r="B456" t="s">
        <v>2108</v>
      </c>
      <c r="C456">
        <v>1</v>
      </c>
      <c r="D456" s="21" t="s">
        <v>2109</v>
      </c>
      <c r="E456" t="s">
        <v>1622</v>
      </c>
      <c r="F456" t="s">
        <v>1622</v>
      </c>
      <c r="G456" t="s">
        <v>1623</v>
      </c>
      <c r="H456" t="s">
        <v>2108</v>
      </c>
      <c r="I456" t="s">
        <v>2108</v>
      </c>
      <c r="J456">
        <v>600</v>
      </c>
      <c r="K456">
        <v>576</v>
      </c>
      <c r="L456">
        <v>489.6</v>
      </c>
      <c r="M456" t="s">
        <v>2108</v>
      </c>
      <c r="N456">
        <v>285</v>
      </c>
      <c r="O456">
        <v>270</v>
      </c>
      <c r="P456">
        <v>230</v>
      </c>
      <c r="Q456" t="s">
        <v>40</v>
      </c>
      <c r="R456">
        <v>27</v>
      </c>
      <c r="S456">
        <v>1</v>
      </c>
      <c r="T456" t="s">
        <v>2110</v>
      </c>
      <c r="U456" t="s">
        <v>2111</v>
      </c>
      <c r="V456">
        <v>0</v>
      </c>
      <c r="W456" s="26" t="str">
        <f t="shared" si="7"/>
        <v>(3548,null,1,'2026-04-28 00:00:00','003312030090000-33120300901','003312030090000-33120300901','输精管粘堵术（经皮法）',null,null,600,576,489.6,null,285,270,230,'次',27,1,'normal','main',0),</v>
      </c>
    </row>
    <row r="457" spans="1:23">
      <c r="A457">
        <v>3549</v>
      </c>
      <c r="B457" t="s">
        <v>2108</v>
      </c>
      <c r="C457">
        <v>1</v>
      </c>
      <c r="D457" s="21" t="s">
        <v>2109</v>
      </c>
      <c r="E457" t="s">
        <v>1627</v>
      </c>
      <c r="F457" t="s">
        <v>1627</v>
      </c>
      <c r="G457" t="s">
        <v>1628</v>
      </c>
      <c r="H457" t="s">
        <v>2108</v>
      </c>
      <c r="I457" t="s">
        <v>2108</v>
      </c>
      <c r="J457">
        <v>650</v>
      </c>
      <c r="K457">
        <v>625</v>
      </c>
      <c r="L457">
        <v>530</v>
      </c>
      <c r="M457" t="s">
        <v>2108</v>
      </c>
      <c r="N457">
        <v>371</v>
      </c>
      <c r="O457">
        <v>351</v>
      </c>
      <c r="P457">
        <v>299</v>
      </c>
      <c r="Q457" t="s">
        <v>40</v>
      </c>
      <c r="R457">
        <v>27</v>
      </c>
      <c r="S457">
        <v>1</v>
      </c>
      <c r="T457" t="s">
        <v>2110</v>
      </c>
      <c r="U457" t="s">
        <v>2111</v>
      </c>
      <c r="V457">
        <v>0</v>
      </c>
      <c r="W457" s="26" t="str">
        <f t="shared" si="7"/>
        <v>(3549,null,1,'2026-04-28 00:00:00','003312030080000-33120300801','003312030080000-33120300801','小儿输精管结扎术',null,null,650,625,530,null,371,351,299,'次',27,1,'normal','main',0),</v>
      </c>
    </row>
    <row r="458" spans="1:23">
      <c r="A458">
        <v>3550</v>
      </c>
      <c r="B458" t="s">
        <v>2108</v>
      </c>
      <c r="C458">
        <v>1</v>
      </c>
      <c r="D458" s="21" t="s">
        <v>2109</v>
      </c>
      <c r="E458" t="s">
        <v>1629</v>
      </c>
      <c r="F458" t="s">
        <v>1629</v>
      </c>
      <c r="G458" t="s">
        <v>1630</v>
      </c>
      <c r="H458" t="s">
        <v>2108</v>
      </c>
      <c r="I458" t="s">
        <v>2108</v>
      </c>
      <c r="J458">
        <v>650</v>
      </c>
      <c r="K458">
        <v>625</v>
      </c>
      <c r="L458">
        <v>530</v>
      </c>
      <c r="M458" t="s">
        <v>2108</v>
      </c>
      <c r="N458">
        <v>371</v>
      </c>
      <c r="O458">
        <v>351</v>
      </c>
      <c r="P458">
        <v>299</v>
      </c>
      <c r="Q458" t="s">
        <v>40</v>
      </c>
      <c r="R458">
        <v>27</v>
      </c>
      <c r="S458">
        <v>1</v>
      </c>
      <c r="T458" t="s">
        <v>2110</v>
      </c>
      <c r="U458" t="s">
        <v>2111</v>
      </c>
      <c r="V458">
        <v>0</v>
      </c>
      <c r="W458" s="26" t="str">
        <f t="shared" si="7"/>
        <v>(3550,null,1,'2026-04-28 00:00:00','003312030090000-33120300902','003312030090000-33120300902','小儿输精管粘堵术',null,null,650,625,530,null,371,351,299,'次',27,1,'normal','main',0),</v>
      </c>
    </row>
    <row r="459" spans="1:23">
      <c r="A459">
        <v>3551</v>
      </c>
      <c r="B459" t="s">
        <v>2108</v>
      </c>
      <c r="C459">
        <v>1</v>
      </c>
      <c r="D459" s="21" t="s">
        <v>2109</v>
      </c>
      <c r="E459" t="s">
        <v>1631</v>
      </c>
      <c r="F459" t="s">
        <v>1631</v>
      </c>
      <c r="G459" t="s">
        <v>1632</v>
      </c>
      <c r="H459" t="s">
        <v>2108</v>
      </c>
      <c r="I459" t="s">
        <v>2108</v>
      </c>
      <c r="J459">
        <v>780</v>
      </c>
      <c r="K459">
        <v>750</v>
      </c>
      <c r="L459">
        <v>640</v>
      </c>
      <c r="M459" t="s">
        <v>2108</v>
      </c>
      <c r="N459" s="24">
        <v>371</v>
      </c>
      <c r="O459" s="24">
        <v>351</v>
      </c>
      <c r="P459" s="24">
        <v>299</v>
      </c>
      <c r="Q459" t="s">
        <v>40</v>
      </c>
      <c r="R459">
        <v>27</v>
      </c>
      <c r="S459">
        <v>1</v>
      </c>
      <c r="T459" t="s">
        <v>2110</v>
      </c>
      <c r="U459" t="s">
        <v>2111</v>
      </c>
      <c r="V459">
        <v>0</v>
      </c>
      <c r="W459" s="26" t="str">
        <f t="shared" si="7"/>
        <v>(3551,null,1,'2026-04-28 00:00:00','003312030090000-33120300903','003312030090000-33120300903','小儿输精管粘堵术（经皮法）',null,null,780,750,640,null,371,351,299,'次',27,1,'normal','main',0),</v>
      </c>
    </row>
    <row r="460" spans="1:23">
      <c r="A460">
        <v>3552</v>
      </c>
      <c r="B460" t="s">
        <v>2108</v>
      </c>
      <c r="C460">
        <v>1</v>
      </c>
      <c r="D460" s="21" t="s">
        <v>2109</v>
      </c>
      <c r="E460" t="s">
        <v>1638</v>
      </c>
      <c r="F460" t="s">
        <v>1638</v>
      </c>
      <c r="G460" t="s">
        <v>1639</v>
      </c>
      <c r="H460" t="s">
        <v>2108</v>
      </c>
      <c r="I460" t="s">
        <v>2108</v>
      </c>
      <c r="J460">
        <v>625</v>
      </c>
      <c r="K460">
        <v>600</v>
      </c>
      <c r="L460">
        <v>510</v>
      </c>
      <c r="M460" t="s">
        <v>2108</v>
      </c>
      <c r="N460" s="24">
        <v>600</v>
      </c>
      <c r="O460" s="24">
        <v>560</v>
      </c>
      <c r="P460" s="24">
        <v>480</v>
      </c>
      <c r="Q460" t="s">
        <v>48</v>
      </c>
      <c r="R460">
        <v>27</v>
      </c>
      <c r="S460">
        <v>1</v>
      </c>
      <c r="T460" t="s">
        <v>2110</v>
      </c>
      <c r="U460" t="s">
        <v>2111</v>
      </c>
      <c r="V460">
        <v>0</v>
      </c>
      <c r="W460" s="26" t="str">
        <f t="shared" si="7"/>
        <v>(3552,null,1,'2026-04-28 00:00:00','003312030110000-331203011','003312030110000-331203011','输精管吻合术',null,null,625,600,510,null,600,560,480,'单侧',27,1,'normal','main',0),</v>
      </c>
    </row>
    <row r="461" spans="1:23">
      <c r="A461">
        <v>3553</v>
      </c>
      <c r="B461" t="s">
        <v>2108</v>
      </c>
      <c r="C461">
        <v>1</v>
      </c>
      <c r="D461" s="21" t="s">
        <v>2109</v>
      </c>
      <c r="E461" t="s">
        <v>1640</v>
      </c>
      <c r="F461" t="s">
        <v>1640</v>
      </c>
      <c r="G461" t="s">
        <v>1641</v>
      </c>
      <c r="H461" t="s">
        <v>2108</v>
      </c>
      <c r="I461" t="s">
        <v>2108</v>
      </c>
      <c r="J461">
        <v>625</v>
      </c>
      <c r="K461">
        <v>600</v>
      </c>
      <c r="L461">
        <v>510</v>
      </c>
      <c r="M461" t="s">
        <v>2108</v>
      </c>
      <c r="N461" s="24">
        <v>600</v>
      </c>
      <c r="O461" s="24">
        <v>560</v>
      </c>
      <c r="P461" s="24">
        <v>480</v>
      </c>
      <c r="Q461" t="s">
        <v>40</v>
      </c>
      <c r="R461">
        <v>27</v>
      </c>
      <c r="S461">
        <v>1</v>
      </c>
      <c r="T461" t="s">
        <v>2110</v>
      </c>
      <c r="U461" t="s">
        <v>2111</v>
      </c>
      <c r="V461">
        <v>0</v>
      </c>
      <c r="W461" s="26" t="str">
        <f t="shared" si="7"/>
        <v>(3553,null,1,'2026-04-28 00:00:00','003312030100000-331203010','003312030100000-331203010','输精管痛性结节切除术',null,null,625,600,510,null,600,560,480,'次',27,1,'normal','main',0),</v>
      </c>
    </row>
    <row r="462" spans="1:23">
      <c r="A462">
        <v>3554</v>
      </c>
      <c r="B462" t="s">
        <v>2108</v>
      </c>
      <c r="C462">
        <v>1</v>
      </c>
      <c r="D462" s="21" t="s">
        <v>2109</v>
      </c>
      <c r="E462" t="s">
        <v>1644</v>
      </c>
      <c r="F462" t="s">
        <v>1644</v>
      </c>
      <c r="G462" t="s">
        <v>1645</v>
      </c>
      <c r="H462" t="s">
        <v>2108</v>
      </c>
      <c r="I462" t="s">
        <v>2108</v>
      </c>
      <c r="J462">
        <v>1000</v>
      </c>
      <c r="K462">
        <v>960</v>
      </c>
      <c r="L462">
        <v>816</v>
      </c>
      <c r="M462" t="s">
        <v>2108</v>
      </c>
      <c r="N462" s="24">
        <v>1025</v>
      </c>
      <c r="O462" s="24">
        <v>960</v>
      </c>
      <c r="P462" s="24">
        <v>815</v>
      </c>
      <c r="Q462" t="s">
        <v>48</v>
      </c>
      <c r="R462">
        <v>27</v>
      </c>
      <c r="S462">
        <v>1</v>
      </c>
      <c r="T462" t="s">
        <v>2110</v>
      </c>
      <c r="U462" t="s">
        <v>2111</v>
      </c>
      <c r="V462">
        <v>0</v>
      </c>
      <c r="W462" s="26" t="str">
        <f t="shared" si="7"/>
        <v>(3554,null,1,'2026-04-28 00:00:00','003312030020000-331203002','003312030020000-331203002','输精管附睾吻合术',null,null,1000,960,816,null,1025,960,815,'单侧',27,1,'normal','main',0),</v>
      </c>
    </row>
    <row r="463" spans="1:23">
      <c r="A463">
        <v>3555</v>
      </c>
      <c r="B463" t="s">
        <v>2108</v>
      </c>
      <c r="C463">
        <v>1</v>
      </c>
      <c r="D463" s="21" t="s">
        <v>2109</v>
      </c>
      <c r="E463" t="s">
        <v>1648</v>
      </c>
      <c r="F463" t="s">
        <v>1648</v>
      </c>
      <c r="G463" t="s">
        <v>1649</v>
      </c>
      <c r="H463" t="s">
        <v>2108</v>
      </c>
      <c r="I463" t="s">
        <v>2108</v>
      </c>
      <c r="J463">
        <v>815</v>
      </c>
      <c r="K463">
        <v>780</v>
      </c>
      <c r="L463">
        <v>665</v>
      </c>
      <c r="M463" t="s">
        <v>2108</v>
      </c>
      <c r="N463">
        <v>780</v>
      </c>
      <c r="O463">
        <v>725</v>
      </c>
      <c r="P463">
        <v>625</v>
      </c>
      <c r="Q463" t="s">
        <v>48</v>
      </c>
      <c r="R463">
        <v>27</v>
      </c>
      <c r="S463">
        <v>1</v>
      </c>
      <c r="T463" t="s">
        <v>2110</v>
      </c>
      <c r="U463" t="s">
        <v>2111</v>
      </c>
      <c r="V463">
        <v>0</v>
      </c>
      <c r="W463" s="26" t="str">
        <f t="shared" si="7"/>
        <v>(3555,null,1,'2026-04-28 00:00:00','003312030110000-33120301101','003312030110000-33120301101','小儿输精管吻合术',null,null,815,780,665,null,780,725,625,'单侧',27,1,'normal','main',0),</v>
      </c>
    </row>
    <row r="464" spans="1:23">
      <c r="A464">
        <v>3556</v>
      </c>
      <c r="B464" t="s">
        <v>2108</v>
      </c>
      <c r="C464">
        <v>1</v>
      </c>
      <c r="D464" s="21" t="s">
        <v>2109</v>
      </c>
      <c r="E464" t="s">
        <v>1650</v>
      </c>
      <c r="F464" t="s">
        <v>1650</v>
      </c>
      <c r="G464" t="s">
        <v>1651</v>
      </c>
      <c r="H464" t="s">
        <v>2108</v>
      </c>
      <c r="I464" t="s">
        <v>2108</v>
      </c>
      <c r="J464">
        <v>815</v>
      </c>
      <c r="K464">
        <v>780</v>
      </c>
      <c r="L464">
        <v>665</v>
      </c>
      <c r="M464" t="s">
        <v>2108</v>
      </c>
      <c r="N464">
        <v>780</v>
      </c>
      <c r="O464">
        <v>725</v>
      </c>
      <c r="P464">
        <v>625</v>
      </c>
      <c r="Q464" t="s">
        <v>40</v>
      </c>
      <c r="R464">
        <v>27</v>
      </c>
      <c r="S464">
        <v>1</v>
      </c>
      <c r="T464" t="s">
        <v>2110</v>
      </c>
      <c r="U464" t="s">
        <v>2111</v>
      </c>
      <c r="V464">
        <v>0</v>
      </c>
      <c r="W464" s="26" t="str">
        <f t="shared" si="7"/>
        <v>(3556,null,1,'2026-04-28 00:00:00','003312030100000-33120301001','003312030100000-33120301001','小儿输精管痛性结节切除术',null,null,815,780,665,null,780,725,625,'次',27,1,'normal','main',0),</v>
      </c>
    </row>
    <row r="465" spans="1:23">
      <c r="A465">
        <v>3557</v>
      </c>
      <c r="B465" t="s">
        <v>2108</v>
      </c>
      <c r="C465">
        <v>1</v>
      </c>
      <c r="D465" s="21" t="s">
        <v>2109</v>
      </c>
      <c r="E465" t="s">
        <v>1652</v>
      </c>
      <c r="F465" t="s">
        <v>1652</v>
      </c>
      <c r="G465" t="s">
        <v>1653</v>
      </c>
      <c r="H465" t="s">
        <v>2108</v>
      </c>
      <c r="I465" t="s">
        <v>2108</v>
      </c>
      <c r="J465">
        <v>1300</v>
      </c>
      <c r="K465">
        <v>1250</v>
      </c>
      <c r="L465">
        <v>1065</v>
      </c>
      <c r="M465" t="s">
        <v>2108</v>
      </c>
      <c r="N465">
        <v>780</v>
      </c>
      <c r="O465">
        <v>725</v>
      </c>
      <c r="P465">
        <v>625</v>
      </c>
      <c r="Q465" t="s">
        <v>48</v>
      </c>
      <c r="R465">
        <v>27</v>
      </c>
      <c r="S465">
        <v>1</v>
      </c>
      <c r="T465" t="s">
        <v>2110</v>
      </c>
      <c r="U465" t="s">
        <v>2111</v>
      </c>
      <c r="V465">
        <v>0</v>
      </c>
      <c r="W465" s="26" t="str">
        <f t="shared" si="7"/>
        <v>(3557,null,1,'2026-04-28 00:00:00','003312030020000-33120300201','003312030020000-33120300201','小儿输精管附睾吻合术',null,null,1300,1250,1065,null,780,725,625,'单侧',27,1,'normal','main',0),</v>
      </c>
    </row>
    <row r="466" spans="1:23">
      <c r="A466">
        <v>3558</v>
      </c>
      <c r="B466" t="s">
        <v>2108</v>
      </c>
      <c r="C466">
        <v>1</v>
      </c>
      <c r="D466" s="21" t="s">
        <v>2109</v>
      </c>
      <c r="E466" t="s">
        <v>1659</v>
      </c>
      <c r="F466" t="s">
        <v>1659</v>
      </c>
      <c r="G466" t="s">
        <v>1660</v>
      </c>
      <c r="H466" t="s">
        <v>2108</v>
      </c>
      <c r="I466" t="s">
        <v>2108</v>
      </c>
      <c r="J466">
        <v>500</v>
      </c>
      <c r="K466">
        <v>480</v>
      </c>
      <c r="L466">
        <v>408</v>
      </c>
      <c r="M466" t="s">
        <v>2108</v>
      </c>
      <c r="N466">
        <v>590</v>
      </c>
      <c r="O466">
        <v>530</v>
      </c>
      <c r="P466">
        <v>450</v>
      </c>
      <c r="Q466" t="s">
        <v>40</v>
      </c>
      <c r="R466">
        <v>27</v>
      </c>
      <c r="S466">
        <v>1</v>
      </c>
      <c r="T466" t="s">
        <v>2110</v>
      </c>
      <c r="U466" t="s">
        <v>2111</v>
      </c>
      <c r="V466">
        <v>0</v>
      </c>
      <c r="W466" s="26" t="str">
        <f t="shared" si="7"/>
        <v>(3558,null,1,'2026-04-28 00:00:00','003312030070000-331203007','003312030070000-331203007','输精管插管术',null,null,500,480,408,null,590,530,450,'次',27,1,'normal','main',0),</v>
      </c>
    </row>
    <row r="467" spans="1:23">
      <c r="A467">
        <v>3559</v>
      </c>
      <c r="B467" t="s">
        <v>2108</v>
      </c>
      <c r="C467">
        <v>1</v>
      </c>
      <c r="D467" s="21" t="s">
        <v>2109</v>
      </c>
      <c r="E467" t="s">
        <v>1662</v>
      </c>
      <c r="F467" t="s">
        <v>1662</v>
      </c>
      <c r="G467" t="s">
        <v>1663</v>
      </c>
      <c r="H467" t="s">
        <v>2108</v>
      </c>
      <c r="I467" t="s">
        <v>2108</v>
      </c>
      <c r="J467">
        <v>600</v>
      </c>
      <c r="K467">
        <v>576</v>
      </c>
      <c r="L467">
        <v>489.6</v>
      </c>
      <c r="M467" t="s">
        <v>2108</v>
      </c>
      <c r="N467" s="24">
        <v>590</v>
      </c>
      <c r="O467" s="24">
        <v>530</v>
      </c>
      <c r="P467" s="24">
        <v>450</v>
      </c>
      <c r="Q467" t="s">
        <v>40</v>
      </c>
      <c r="R467">
        <v>27</v>
      </c>
      <c r="S467">
        <v>1</v>
      </c>
      <c r="T467" t="s">
        <v>2110</v>
      </c>
      <c r="U467" t="s">
        <v>2111</v>
      </c>
      <c r="V467">
        <v>0</v>
      </c>
      <c r="W467" s="26" t="str">
        <f t="shared" si="7"/>
        <v>(3559,null,1,'2026-04-28 00:00:00','003312030070000-33120300701','003312030070000-33120300701','输精管插管术（经皮法）',null,null,600,576,489.6,null,590,530,450,'次',27,1,'normal','main',0),</v>
      </c>
    </row>
    <row r="468" spans="1:23">
      <c r="A468">
        <v>3560</v>
      </c>
      <c r="B468" t="s">
        <v>2108</v>
      </c>
      <c r="C468">
        <v>1</v>
      </c>
      <c r="D468" s="21" t="s">
        <v>2109</v>
      </c>
      <c r="E468" t="s">
        <v>1664</v>
      </c>
      <c r="F468" t="s">
        <v>1664</v>
      </c>
      <c r="G468" t="s">
        <v>1665</v>
      </c>
      <c r="H468" t="s">
        <v>2108</v>
      </c>
      <c r="I468" t="s">
        <v>2108</v>
      </c>
      <c r="J468">
        <v>875</v>
      </c>
      <c r="K468">
        <v>840</v>
      </c>
      <c r="L468">
        <v>714</v>
      </c>
      <c r="M468" t="s">
        <v>2108</v>
      </c>
      <c r="N468" s="24">
        <v>590</v>
      </c>
      <c r="O468" s="24">
        <v>530</v>
      </c>
      <c r="P468" s="24">
        <v>450</v>
      </c>
      <c r="Q468" t="s">
        <v>40</v>
      </c>
      <c r="R468">
        <v>27</v>
      </c>
      <c r="S468">
        <v>1</v>
      </c>
      <c r="T468" t="s">
        <v>2110</v>
      </c>
      <c r="U468" t="s">
        <v>2111</v>
      </c>
      <c r="V468">
        <v>0</v>
      </c>
      <c r="W468" s="26" t="str">
        <f t="shared" si="7"/>
        <v>(3560,null,1,'2026-04-28 00:00:00','003312030130000-331203013','003312030130000-331203013','经尿道射精管切开术',null,null,875,840,714,null,590,530,450,'次',27,1,'normal','main',0),</v>
      </c>
    </row>
    <row r="469" spans="1:23">
      <c r="A469">
        <v>3561</v>
      </c>
      <c r="B469" t="s">
        <v>2108</v>
      </c>
      <c r="C469">
        <v>1</v>
      </c>
      <c r="D469" s="21" t="s">
        <v>2109</v>
      </c>
      <c r="E469" t="s">
        <v>1668</v>
      </c>
      <c r="F469" t="s">
        <v>1668</v>
      </c>
      <c r="G469" t="s">
        <v>1669</v>
      </c>
      <c r="H469" t="s">
        <v>2108</v>
      </c>
      <c r="I469" t="s">
        <v>2108</v>
      </c>
      <c r="J469">
        <v>650</v>
      </c>
      <c r="K469">
        <v>625</v>
      </c>
      <c r="L469">
        <v>530</v>
      </c>
      <c r="M469" t="s">
        <v>2108</v>
      </c>
      <c r="N469" s="24">
        <v>770</v>
      </c>
      <c r="O469" s="24">
        <v>690</v>
      </c>
      <c r="P469" s="24">
        <v>585</v>
      </c>
      <c r="Q469" t="s">
        <v>40</v>
      </c>
      <c r="R469">
        <v>27</v>
      </c>
      <c r="S469">
        <v>1</v>
      </c>
      <c r="T469" t="s">
        <v>2110</v>
      </c>
      <c r="U469" t="s">
        <v>2111</v>
      </c>
      <c r="V469">
        <v>0</v>
      </c>
      <c r="W469" s="26" t="str">
        <f t="shared" si="7"/>
        <v>(3561,null,1,'2026-04-28 00:00:00','003312030070000-33120300702','003312030070000-33120300702','小儿输精管插管术',null,null,650,625,530,null,770,690,585,'次',27,1,'normal','main',0),</v>
      </c>
    </row>
    <row r="470" spans="1:23">
      <c r="A470">
        <v>3562</v>
      </c>
      <c r="B470" t="s">
        <v>2108</v>
      </c>
      <c r="C470">
        <v>1</v>
      </c>
      <c r="D470" s="21" t="s">
        <v>2109</v>
      </c>
      <c r="E470" t="s">
        <v>1670</v>
      </c>
      <c r="F470" t="s">
        <v>1670</v>
      </c>
      <c r="G470" t="s">
        <v>1671</v>
      </c>
      <c r="H470" t="s">
        <v>2108</v>
      </c>
      <c r="I470" t="s">
        <v>2108</v>
      </c>
      <c r="J470">
        <v>780</v>
      </c>
      <c r="K470">
        <v>750</v>
      </c>
      <c r="L470">
        <v>640</v>
      </c>
      <c r="M470" t="s">
        <v>2108</v>
      </c>
      <c r="N470" s="24">
        <v>770</v>
      </c>
      <c r="O470" s="24">
        <v>690</v>
      </c>
      <c r="P470" s="24">
        <v>585</v>
      </c>
      <c r="Q470" t="s">
        <v>40</v>
      </c>
      <c r="R470">
        <v>27</v>
      </c>
      <c r="S470">
        <v>1</v>
      </c>
      <c r="T470" t="s">
        <v>2110</v>
      </c>
      <c r="U470" t="s">
        <v>2111</v>
      </c>
      <c r="V470">
        <v>0</v>
      </c>
      <c r="W470" s="26" t="str">
        <f t="shared" si="7"/>
        <v>(3562,null,1,'2026-04-28 00:00:00','003312030070000-33120300703','003312030070000-33120300703','小儿输精管插管术（经皮法）',null,null,780,750,640,null,770,690,585,'次',27,1,'normal','main',0),</v>
      </c>
    </row>
    <row r="471" spans="1:23">
      <c r="A471">
        <v>3563</v>
      </c>
      <c r="B471" t="s">
        <v>2108</v>
      </c>
      <c r="C471">
        <v>1</v>
      </c>
      <c r="D471" s="21" t="s">
        <v>2109</v>
      </c>
      <c r="E471" t="s">
        <v>1672</v>
      </c>
      <c r="F471" t="s">
        <v>1672</v>
      </c>
      <c r="G471" t="s">
        <v>1673</v>
      </c>
      <c r="H471" t="s">
        <v>2108</v>
      </c>
      <c r="I471" t="s">
        <v>2108</v>
      </c>
      <c r="J471">
        <v>1140</v>
      </c>
      <c r="K471">
        <v>1090</v>
      </c>
      <c r="L471">
        <v>925</v>
      </c>
      <c r="M471" t="s">
        <v>2108</v>
      </c>
      <c r="N471">
        <v>770</v>
      </c>
      <c r="O471">
        <v>690</v>
      </c>
      <c r="P471">
        <v>585</v>
      </c>
      <c r="Q471" t="s">
        <v>40</v>
      </c>
      <c r="R471">
        <v>27</v>
      </c>
      <c r="S471">
        <v>1</v>
      </c>
      <c r="T471" t="s">
        <v>2110</v>
      </c>
      <c r="U471" t="s">
        <v>2111</v>
      </c>
      <c r="V471">
        <v>0</v>
      </c>
      <c r="W471" s="26" t="str">
        <f t="shared" si="7"/>
        <v>(3563,null,1,'2026-04-28 00:00:00','003312030130000-33120301301','003312030130000-33120301301','小儿经尿道射精管切开术',null,null,1140,1090,925,null,770,690,585,'次',27,1,'normal','main',0),</v>
      </c>
    </row>
    <row r="472" spans="1:23">
      <c r="A472">
        <v>3564</v>
      </c>
      <c r="B472" t="s">
        <v>2108</v>
      </c>
      <c r="C472">
        <v>1</v>
      </c>
      <c r="D472" s="21" t="s">
        <v>2109</v>
      </c>
      <c r="E472" t="s">
        <v>1684</v>
      </c>
      <c r="F472" t="s">
        <v>1684</v>
      </c>
      <c r="G472" t="s">
        <v>1685</v>
      </c>
      <c r="H472" t="s">
        <v>2108</v>
      </c>
      <c r="I472" t="s">
        <v>2108</v>
      </c>
      <c r="J472">
        <v>1690</v>
      </c>
      <c r="K472">
        <v>1520</v>
      </c>
      <c r="L472">
        <v>1290</v>
      </c>
      <c r="M472" t="s">
        <v>2108</v>
      </c>
      <c r="N472">
        <v>1950</v>
      </c>
      <c r="O472">
        <v>1850</v>
      </c>
      <c r="P472">
        <v>1550</v>
      </c>
      <c r="Q472" t="s">
        <v>40</v>
      </c>
      <c r="R472">
        <v>27</v>
      </c>
      <c r="S472">
        <v>1</v>
      </c>
      <c r="T472" t="s">
        <v>2110</v>
      </c>
      <c r="U472" t="s">
        <v>2111</v>
      </c>
      <c r="V472">
        <v>0</v>
      </c>
      <c r="W472" s="26" t="str">
        <f t="shared" si="7"/>
        <v>(3564,null,1,'2026-04-28 00:00:00','003312010090000-331201009','003312010090000-331201009','精囊肿物切除术',null,null,1690,1520,1290,null,1950,1850,1550,'次',27,1,'normal','main',0),</v>
      </c>
    </row>
    <row r="473" spans="1:23">
      <c r="A473">
        <v>3565</v>
      </c>
      <c r="B473" t="s">
        <v>2108</v>
      </c>
      <c r="C473">
        <v>1</v>
      </c>
      <c r="D473" s="21" t="s">
        <v>2109</v>
      </c>
      <c r="E473" t="s">
        <v>1686</v>
      </c>
      <c r="F473" t="s">
        <v>1686</v>
      </c>
      <c r="G473" t="s">
        <v>1687</v>
      </c>
      <c r="H473" t="s">
        <v>2108</v>
      </c>
      <c r="I473" t="s">
        <v>2108</v>
      </c>
      <c r="J473">
        <v>2315</v>
      </c>
      <c r="K473">
        <v>2120</v>
      </c>
      <c r="L473">
        <v>1300</v>
      </c>
      <c r="M473" t="s">
        <v>2108</v>
      </c>
      <c r="N473">
        <v>1950</v>
      </c>
      <c r="O473">
        <v>1850</v>
      </c>
      <c r="P473">
        <v>1550</v>
      </c>
      <c r="Q473" t="s">
        <v>40</v>
      </c>
      <c r="R473">
        <v>27</v>
      </c>
      <c r="S473">
        <v>1</v>
      </c>
      <c r="T473" t="s">
        <v>2110</v>
      </c>
      <c r="U473" t="s">
        <v>2111</v>
      </c>
      <c r="V473">
        <v>0</v>
      </c>
      <c r="W473" s="26" t="str">
        <f t="shared" si="7"/>
        <v>(3565,null,1,'2026-04-28 00:00:00','003312010090000-33120100902','003312010090000-33120100902','经腹腔镜精囊肿物切除术',null,null,2315,2120,1300,null,1950,1850,1550,'次',27,1,'normal','main',0),</v>
      </c>
    </row>
    <row r="474" spans="1:23">
      <c r="A474">
        <v>3566</v>
      </c>
      <c r="B474" t="s">
        <v>2108</v>
      </c>
      <c r="C474">
        <v>1</v>
      </c>
      <c r="D474" s="21" t="s">
        <v>2109</v>
      </c>
      <c r="E474" t="s">
        <v>1692</v>
      </c>
      <c r="F474" t="s">
        <v>1692</v>
      </c>
      <c r="G474" t="s">
        <v>1693</v>
      </c>
      <c r="H474" t="s">
        <v>2108</v>
      </c>
      <c r="I474" t="s">
        <v>2108</v>
      </c>
      <c r="J474">
        <v>2195</v>
      </c>
      <c r="K474">
        <v>1975</v>
      </c>
      <c r="L474">
        <v>1680</v>
      </c>
      <c r="M474" t="s">
        <v>2108</v>
      </c>
      <c r="N474">
        <v>2535</v>
      </c>
      <c r="O474">
        <v>2405</v>
      </c>
      <c r="P474">
        <v>2015</v>
      </c>
      <c r="Q474" t="s">
        <v>40</v>
      </c>
      <c r="R474">
        <v>27</v>
      </c>
      <c r="S474">
        <v>1</v>
      </c>
      <c r="T474" t="s">
        <v>2110</v>
      </c>
      <c r="U474" t="s">
        <v>2111</v>
      </c>
      <c r="V474">
        <v>0</v>
      </c>
      <c r="W474" s="26" t="str">
        <f t="shared" si="7"/>
        <v>(3566,null,1,'2026-04-28 00:00:00','003312010090000-33120100901','003312010090000-33120100901','小儿精囊肿物切除术',null,null,2195,1975,1680,null,2535,2405,2015,'次',27,1,'normal','main',0),</v>
      </c>
    </row>
    <row r="475" spans="1:23">
      <c r="A475">
        <v>3567</v>
      </c>
      <c r="B475" t="s">
        <v>2108</v>
      </c>
      <c r="C475">
        <v>1</v>
      </c>
      <c r="D475" s="21" t="s">
        <v>2109</v>
      </c>
      <c r="E475" t="s">
        <v>1694</v>
      </c>
      <c r="F475" t="s">
        <v>1694</v>
      </c>
      <c r="G475" t="s">
        <v>1695</v>
      </c>
      <c r="H475" t="s">
        <v>2108</v>
      </c>
      <c r="I475" t="s">
        <v>2108</v>
      </c>
      <c r="J475">
        <v>2820</v>
      </c>
      <c r="K475">
        <v>2575</v>
      </c>
      <c r="L475">
        <v>2190</v>
      </c>
      <c r="M475" t="s">
        <v>2108</v>
      </c>
      <c r="N475">
        <v>2535</v>
      </c>
      <c r="O475">
        <v>2405</v>
      </c>
      <c r="P475">
        <v>2015</v>
      </c>
      <c r="Q475" t="s">
        <v>40</v>
      </c>
      <c r="R475">
        <v>27</v>
      </c>
      <c r="S475">
        <v>1</v>
      </c>
      <c r="T475" t="s">
        <v>2110</v>
      </c>
      <c r="U475" t="s">
        <v>2111</v>
      </c>
      <c r="V475">
        <v>0</v>
      </c>
      <c r="W475" s="26" t="str">
        <f t="shared" si="7"/>
        <v>(3567,null,1,'2026-04-28 00:00:00','003312010090000-33120100903','003312010090000-33120100903','小儿经腹腔镜精囊肿物切除术',null,null,2820,2575,2190,null,2535,2405,2015,'次',27,1,'normal','main',0),</v>
      </c>
    </row>
    <row r="476" spans="1:23">
      <c r="A476">
        <v>3568</v>
      </c>
      <c r="B476" t="s">
        <v>2108</v>
      </c>
      <c r="C476">
        <v>1</v>
      </c>
      <c r="D476" s="21" t="s">
        <v>2109</v>
      </c>
      <c r="E476" t="s">
        <v>1700</v>
      </c>
      <c r="F476" t="s">
        <v>1700</v>
      </c>
      <c r="G476" t="s">
        <v>1701</v>
      </c>
      <c r="H476" t="s">
        <v>2108</v>
      </c>
      <c r="I476" t="s">
        <v>2108</v>
      </c>
      <c r="J476">
        <v>750</v>
      </c>
      <c r="K476">
        <v>720</v>
      </c>
      <c r="L476">
        <v>612</v>
      </c>
      <c r="M476" t="s">
        <v>2108</v>
      </c>
      <c r="N476">
        <v>900</v>
      </c>
      <c r="O476">
        <v>860</v>
      </c>
      <c r="P476">
        <v>750</v>
      </c>
      <c r="Q476" t="s">
        <v>48</v>
      </c>
      <c r="R476">
        <v>27</v>
      </c>
      <c r="S476">
        <v>1</v>
      </c>
      <c r="T476" t="s">
        <v>2110</v>
      </c>
      <c r="U476" t="s">
        <v>2111</v>
      </c>
      <c r="V476">
        <v>0</v>
      </c>
      <c r="W476" s="26" t="str">
        <f t="shared" si="7"/>
        <v>(3568,null,1,'2026-04-28 00:00:00','003312030060000-331203006','003312030060000-331203006','精索静脉曲张结扎术',null,null,750,720,612,null,900,860,750,'单侧',27,1,'normal','main',0),</v>
      </c>
    </row>
    <row r="477" spans="1:23">
      <c r="A477">
        <v>3569</v>
      </c>
      <c r="B477" t="s">
        <v>2108</v>
      </c>
      <c r="C477">
        <v>1</v>
      </c>
      <c r="D477" s="21" t="s">
        <v>2109</v>
      </c>
      <c r="E477" t="s">
        <v>1703</v>
      </c>
      <c r="F477" t="s">
        <v>1703</v>
      </c>
      <c r="G477" t="s">
        <v>1704</v>
      </c>
      <c r="H477" t="s">
        <v>2108</v>
      </c>
      <c r="I477" t="s">
        <v>2108</v>
      </c>
      <c r="J477">
        <v>1000</v>
      </c>
      <c r="K477">
        <v>960</v>
      </c>
      <c r="L477">
        <v>816</v>
      </c>
      <c r="M477" t="s">
        <v>2108</v>
      </c>
      <c r="N477">
        <v>900</v>
      </c>
      <c r="O477">
        <v>860</v>
      </c>
      <c r="P477">
        <v>750</v>
      </c>
      <c r="Q477" t="s">
        <v>48</v>
      </c>
      <c r="R477">
        <v>27</v>
      </c>
      <c r="S477">
        <v>1</v>
      </c>
      <c r="T477" t="s">
        <v>2110</v>
      </c>
      <c r="U477" t="s">
        <v>2111</v>
      </c>
      <c r="V477">
        <v>0</v>
      </c>
      <c r="W477" s="26" t="str">
        <f t="shared" si="7"/>
        <v>(3569,null,1,'2026-04-28 00:00:00','003312030060001-33120300601','003312030060001-33120300601','精索静脉曲张结扎术（分流术）',null,null,1000,960,816,null,900,860,750,'单侧',27,1,'normal','main',0),</v>
      </c>
    </row>
    <row r="478" spans="1:23">
      <c r="A478">
        <v>3570</v>
      </c>
      <c r="B478" t="s">
        <v>2108</v>
      </c>
      <c r="C478">
        <v>1</v>
      </c>
      <c r="D478" s="21" t="s">
        <v>2109</v>
      </c>
      <c r="E478" t="s">
        <v>1706</v>
      </c>
      <c r="F478" t="s">
        <v>1706</v>
      </c>
      <c r="G478" t="s">
        <v>1707</v>
      </c>
      <c r="H478" t="s">
        <v>2108</v>
      </c>
      <c r="I478" t="s">
        <v>2108</v>
      </c>
      <c r="J478">
        <v>1375</v>
      </c>
      <c r="K478">
        <v>1320</v>
      </c>
      <c r="L478">
        <v>1122</v>
      </c>
      <c r="M478" t="s">
        <v>2108</v>
      </c>
      <c r="N478">
        <v>900</v>
      </c>
      <c r="O478">
        <v>860</v>
      </c>
      <c r="P478">
        <v>750</v>
      </c>
      <c r="Q478" t="s">
        <v>48</v>
      </c>
      <c r="R478">
        <v>27</v>
      </c>
      <c r="S478">
        <v>1</v>
      </c>
      <c r="T478" t="s">
        <v>2110</v>
      </c>
      <c r="U478" t="s">
        <v>2111</v>
      </c>
      <c r="V478">
        <v>0</v>
      </c>
      <c r="W478" s="26" t="str">
        <f t="shared" si="7"/>
        <v>(3570,null,1,'2026-04-28 00:00:00','003312030060002-33120300604','003312030060002-33120300604','经腹腔镜精索静脉曲张结扎术',null,null,1375,1320,1122,null,900,860,750,'单侧',27,1,'normal','main',0),</v>
      </c>
    </row>
    <row r="479" spans="1:23">
      <c r="A479">
        <v>3571</v>
      </c>
      <c r="B479" t="s">
        <v>2108</v>
      </c>
      <c r="C479">
        <v>1</v>
      </c>
      <c r="D479" s="21" t="s">
        <v>2109</v>
      </c>
      <c r="E479" t="s">
        <v>1708</v>
      </c>
      <c r="F479" t="s">
        <v>1708</v>
      </c>
      <c r="G479" t="s">
        <v>1709</v>
      </c>
      <c r="H479" t="s">
        <v>2108</v>
      </c>
      <c r="I479" t="s">
        <v>2108</v>
      </c>
      <c r="J479">
        <v>1625</v>
      </c>
      <c r="K479">
        <v>1560</v>
      </c>
      <c r="L479">
        <v>1326</v>
      </c>
      <c r="M479" t="s">
        <v>2108</v>
      </c>
      <c r="N479">
        <v>900</v>
      </c>
      <c r="O479">
        <v>860</v>
      </c>
      <c r="P479">
        <v>750</v>
      </c>
      <c r="Q479" t="s">
        <v>48</v>
      </c>
      <c r="R479">
        <v>27</v>
      </c>
      <c r="S479">
        <v>1</v>
      </c>
      <c r="T479" t="s">
        <v>2110</v>
      </c>
      <c r="U479" t="s">
        <v>2111</v>
      </c>
      <c r="V479">
        <v>0</v>
      </c>
      <c r="W479" s="26" t="str">
        <f t="shared" si="7"/>
        <v>(3571,null,1,'2026-04-28 00:00:00','003312030060002-33120300606','003312030060002-33120300606','经腹腔镜精索静脉曲张结扎术-分流术',null,null,1625,1560,1326,null,900,860,750,'单侧',27,1,'normal','main',0),</v>
      </c>
    </row>
    <row r="480" spans="1:23">
      <c r="A480">
        <v>3572</v>
      </c>
      <c r="B480" t="s">
        <v>2108</v>
      </c>
      <c r="C480">
        <v>1</v>
      </c>
      <c r="D480" s="21" t="s">
        <v>2109</v>
      </c>
      <c r="E480" t="s">
        <v>1710</v>
      </c>
      <c r="F480" t="s">
        <v>1710</v>
      </c>
      <c r="G480" t="s">
        <v>1711</v>
      </c>
      <c r="H480" t="s">
        <v>2108</v>
      </c>
      <c r="I480" t="s">
        <v>2108</v>
      </c>
      <c r="J480">
        <v>1000</v>
      </c>
      <c r="K480">
        <v>960</v>
      </c>
      <c r="L480">
        <v>816</v>
      </c>
      <c r="M480" t="s">
        <v>2108</v>
      </c>
      <c r="N480">
        <v>900</v>
      </c>
      <c r="O480">
        <v>860</v>
      </c>
      <c r="P480">
        <v>750</v>
      </c>
      <c r="Q480" t="s">
        <v>40</v>
      </c>
      <c r="R480">
        <v>27</v>
      </c>
      <c r="S480">
        <v>1</v>
      </c>
      <c r="T480" t="s">
        <v>2110</v>
      </c>
      <c r="U480" t="s">
        <v>2111</v>
      </c>
      <c r="V480">
        <v>0</v>
      </c>
      <c r="W480" s="26" t="str">
        <f t="shared" si="7"/>
        <v>(3572,null,1,'2026-04-28 00:00:00','003312030030000-331203003','003312030030000-331203003','精索静脉转流术',null,null,1000,960,816,null,900,860,750,'次',27,1,'normal','main',0),</v>
      </c>
    </row>
    <row r="481" spans="1:23">
      <c r="A481">
        <v>3573</v>
      </c>
      <c r="B481" t="s">
        <v>2108</v>
      </c>
      <c r="C481">
        <v>1</v>
      </c>
      <c r="D481" s="21" t="s">
        <v>2109</v>
      </c>
      <c r="E481" t="s">
        <v>1714</v>
      </c>
      <c r="F481" t="s">
        <v>1714</v>
      </c>
      <c r="G481" t="s">
        <v>1715</v>
      </c>
      <c r="H481" t="s">
        <v>2108</v>
      </c>
      <c r="I481" t="s">
        <v>2108</v>
      </c>
      <c r="J481">
        <v>875</v>
      </c>
      <c r="K481">
        <v>840</v>
      </c>
      <c r="L481">
        <v>714</v>
      </c>
      <c r="M481" t="s">
        <v>2108</v>
      </c>
      <c r="N481">
        <v>900</v>
      </c>
      <c r="O481">
        <v>860</v>
      </c>
      <c r="P481">
        <v>750</v>
      </c>
      <c r="Q481" t="s">
        <v>40</v>
      </c>
      <c r="R481">
        <v>27</v>
      </c>
      <c r="S481">
        <v>1</v>
      </c>
      <c r="T481" t="s">
        <v>2110</v>
      </c>
      <c r="U481" t="s">
        <v>2111</v>
      </c>
      <c r="V481">
        <v>0</v>
      </c>
      <c r="W481" s="26" t="str">
        <f t="shared" si="7"/>
        <v>(3573,null,1,'2026-04-28 00:00:00','003312030040000-331203004','003312030040000-331203004','精索静脉瘤切除术',null,null,875,840,714,null,900,860,750,'次',27,1,'normal','main',0),</v>
      </c>
    </row>
    <row r="482" spans="1:23">
      <c r="A482">
        <v>3574</v>
      </c>
      <c r="B482" t="s">
        <v>2108</v>
      </c>
      <c r="C482">
        <v>1</v>
      </c>
      <c r="D482" s="21" t="s">
        <v>2109</v>
      </c>
      <c r="E482" t="s">
        <v>1716</v>
      </c>
      <c r="F482" t="s">
        <v>1716</v>
      </c>
      <c r="G482" t="s">
        <v>1717</v>
      </c>
      <c r="H482" t="s">
        <v>2108</v>
      </c>
      <c r="I482" t="s">
        <v>2108</v>
      </c>
      <c r="J482">
        <v>1140</v>
      </c>
      <c r="K482">
        <v>1090</v>
      </c>
      <c r="L482">
        <v>925</v>
      </c>
      <c r="M482" t="s">
        <v>2108</v>
      </c>
      <c r="N482">
        <v>900</v>
      </c>
      <c r="O482">
        <v>860</v>
      </c>
      <c r="P482">
        <v>750</v>
      </c>
      <c r="Q482" t="s">
        <v>40</v>
      </c>
      <c r="R482">
        <v>27</v>
      </c>
      <c r="S482">
        <v>1</v>
      </c>
      <c r="T482" t="s">
        <v>2110</v>
      </c>
      <c r="U482" t="s">
        <v>2111</v>
      </c>
      <c r="V482">
        <v>0</v>
      </c>
      <c r="W482" s="26" t="str">
        <f t="shared" si="7"/>
        <v>(3574,null,1,'2026-04-28 00:00:00','003312030040000-33120300401','003312030040000-33120300401','小儿精索静脉瘤切除术',null,null,1140,1090,925,null,900,860,750,'次',27,1,'normal','main',0),</v>
      </c>
    </row>
    <row r="483" spans="1:23">
      <c r="A483">
        <v>3575</v>
      </c>
      <c r="B483" t="s">
        <v>2108</v>
      </c>
      <c r="C483">
        <v>1</v>
      </c>
      <c r="D483" s="21" t="s">
        <v>2109</v>
      </c>
      <c r="E483" t="s">
        <v>1720</v>
      </c>
      <c r="F483" t="s">
        <v>1720</v>
      </c>
      <c r="G483" t="s">
        <v>1721</v>
      </c>
      <c r="H483" t="s">
        <v>2108</v>
      </c>
      <c r="I483" t="s">
        <v>2108</v>
      </c>
      <c r="J483">
        <v>975</v>
      </c>
      <c r="K483">
        <v>935</v>
      </c>
      <c r="L483">
        <v>795</v>
      </c>
      <c r="M483" t="s">
        <v>2108</v>
      </c>
      <c r="N483">
        <v>1170</v>
      </c>
      <c r="O483">
        <v>1120</v>
      </c>
      <c r="P483">
        <v>975</v>
      </c>
      <c r="Q483" t="s">
        <v>48</v>
      </c>
      <c r="R483">
        <v>27</v>
      </c>
      <c r="S483">
        <v>1</v>
      </c>
      <c r="T483" t="s">
        <v>2110</v>
      </c>
      <c r="U483" t="s">
        <v>2111</v>
      </c>
      <c r="V483">
        <v>0</v>
      </c>
      <c r="W483" s="26" t="str">
        <f t="shared" si="7"/>
        <v>(3575,null,1,'2026-04-28 00:00:00','003312030060000-33120300602','003312030060000-33120300602','小儿精索静脉曲张结扎术',null,null,975,935,795,null,1170,1120,975,'单侧',27,1,'normal','main',0),</v>
      </c>
    </row>
    <row r="484" spans="1:23">
      <c r="A484">
        <v>3576</v>
      </c>
      <c r="B484" t="s">
        <v>2108</v>
      </c>
      <c r="C484">
        <v>1</v>
      </c>
      <c r="D484" s="21" t="s">
        <v>2109</v>
      </c>
      <c r="E484" t="s">
        <v>1722</v>
      </c>
      <c r="F484" t="s">
        <v>1722</v>
      </c>
      <c r="G484" t="s">
        <v>1723</v>
      </c>
      <c r="H484" t="s">
        <v>2108</v>
      </c>
      <c r="I484" t="s">
        <v>2108</v>
      </c>
      <c r="J484">
        <v>1300</v>
      </c>
      <c r="K484">
        <v>1250</v>
      </c>
      <c r="L484">
        <v>1065</v>
      </c>
      <c r="M484" t="s">
        <v>2108</v>
      </c>
      <c r="N484">
        <v>1170</v>
      </c>
      <c r="O484">
        <v>1120</v>
      </c>
      <c r="P484">
        <v>975</v>
      </c>
      <c r="Q484" t="s">
        <v>48</v>
      </c>
      <c r="R484">
        <v>27</v>
      </c>
      <c r="S484">
        <v>1</v>
      </c>
      <c r="T484" t="s">
        <v>2110</v>
      </c>
      <c r="U484" t="s">
        <v>2111</v>
      </c>
      <c r="V484">
        <v>0</v>
      </c>
      <c r="W484" s="26" t="str">
        <f t="shared" si="7"/>
        <v>(3576,null,1,'2026-04-28 00:00:00','003312030060001-33120300603','003312030060001-33120300603','小儿精索静脉曲张结扎术（分流术）',null,null,1300,1250,1065,null,1170,1120,975,'单侧',27,1,'normal','main',0),</v>
      </c>
    </row>
    <row r="485" spans="1:23">
      <c r="A485">
        <v>3577</v>
      </c>
      <c r="B485" t="s">
        <v>2108</v>
      </c>
      <c r="C485">
        <v>1</v>
      </c>
      <c r="D485" s="21" t="s">
        <v>2109</v>
      </c>
      <c r="E485" t="s">
        <v>1724</v>
      </c>
      <c r="F485" t="s">
        <v>1724</v>
      </c>
      <c r="G485" t="s">
        <v>1725</v>
      </c>
      <c r="H485" t="s">
        <v>2108</v>
      </c>
      <c r="I485" t="s">
        <v>2108</v>
      </c>
      <c r="J485">
        <v>1600</v>
      </c>
      <c r="K485">
        <v>1535</v>
      </c>
      <c r="L485">
        <v>1305</v>
      </c>
      <c r="M485" t="s">
        <v>2108</v>
      </c>
      <c r="N485">
        <v>1170</v>
      </c>
      <c r="O485">
        <v>1120</v>
      </c>
      <c r="P485">
        <v>975</v>
      </c>
      <c r="Q485" t="s">
        <v>48</v>
      </c>
      <c r="R485">
        <v>27</v>
      </c>
      <c r="S485">
        <v>1</v>
      </c>
      <c r="T485" t="s">
        <v>2110</v>
      </c>
      <c r="U485" t="s">
        <v>2111</v>
      </c>
      <c r="V485">
        <v>0</v>
      </c>
      <c r="W485" s="26" t="str">
        <f t="shared" si="7"/>
        <v>(3577,null,1,'2026-04-28 00:00:00','003312030060002-33120300605','003312030060002-33120300605','小儿经腹腔镜精索静脉曲张结扎术',null,null,1600,1535,1305,null,1170,1120,975,'单侧',27,1,'normal','main',0),</v>
      </c>
    </row>
    <row r="486" spans="1:23">
      <c r="A486">
        <v>3578</v>
      </c>
      <c r="B486" t="s">
        <v>2108</v>
      </c>
      <c r="C486">
        <v>1</v>
      </c>
      <c r="D486" s="21" t="s">
        <v>2109</v>
      </c>
      <c r="E486" t="s">
        <v>1726</v>
      </c>
      <c r="F486" t="s">
        <v>1726</v>
      </c>
      <c r="G486" t="s">
        <v>1727</v>
      </c>
      <c r="H486" t="s">
        <v>2108</v>
      </c>
      <c r="I486" t="s">
        <v>2108</v>
      </c>
      <c r="J486">
        <v>1925</v>
      </c>
      <c r="K486">
        <v>1850</v>
      </c>
      <c r="L486">
        <v>1575</v>
      </c>
      <c r="M486" t="s">
        <v>2108</v>
      </c>
      <c r="N486">
        <v>1170</v>
      </c>
      <c r="O486">
        <v>1120</v>
      </c>
      <c r="P486">
        <v>975</v>
      </c>
      <c r="Q486" t="s">
        <v>48</v>
      </c>
      <c r="R486">
        <v>27</v>
      </c>
      <c r="S486">
        <v>1</v>
      </c>
      <c r="T486" t="s">
        <v>2110</v>
      </c>
      <c r="U486" t="s">
        <v>2111</v>
      </c>
      <c r="V486">
        <v>0</v>
      </c>
      <c r="W486" s="26" t="str">
        <f t="shared" si="7"/>
        <v>(3578,null,1,'2026-04-28 00:00:00','003312030060002-33120300607','003312030060002-33120300607','小儿经腹腔镜精索静脉曲张结扎术-分流术',null,null,1925,1850,1575,null,1170,1120,975,'单侧',27,1,'normal','main',0),</v>
      </c>
    </row>
    <row r="487" spans="1:23">
      <c r="A487">
        <v>3579</v>
      </c>
      <c r="B487" t="s">
        <v>2108</v>
      </c>
      <c r="C487">
        <v>1</v>
      </c>
      <c r="D487" s="21" t="s">
        <v>2109</v>
      </c>
      <c r="E487" t="s">
        <v>1728</v>
      </c>
      <c r="F487" t="s">
        <v>1728</v>
      </c>
      <c r="G487" t="s">
        <v>1729</v>
      </c>
      <c r="H487" t="s">
        <v>2108</v>
      </c>
      <c r="I487" t="s">
        <v>2108</v>
      </c>
      <c r="J487">
        <v>1300</v>
      </c>
      <c r="K487">
        <v>1250</v>
      </c>
      <c r="L487">
        <v>1065</v>
      </c>
      <c r="M487" t="s">
        <v>2108</v>
      </c>
      <c r="N487">
        <v>1170</v>
      </c>
      <c r="O487">
        <v>1120</v>
      </c>
      <c r="P487">
        <v>975</v>
      </c>
      <c r="Q487" t="s">
        <v>40</v>
      </c>
      <c r="R487">
        <v>27</v>
      </c>
      <c r="S487">
        <v>1</v>
      </c>
      <c r="T487" t="s">
        <v>2110</v>
      </c>
      <c r="U487" t="s">
        <v>2111</v>
      </c>
      <c r="V487">
        <v>0</v>
      </c>
      <c r="W487" s="26" t="str">
        <f t="shared" si="7"/>
        <v>(3579,null,1,'2026-04-28 00:00:00','003312030030000-33120300301','003312030030000-33120300301','小儿精索静脉转流术',null,null,1300,1250,1065,null,1170,1120,975,'次',27,1,'normal','main',0),</v>
      </c>
    </row>
    <row r="488" spans="1:23">
      <c r="A488">
        <v>3580</v>
      </c>
      <c r="B488" t="s">
        <v>2108</v>
      </c>
      <c r="C488">
        <v>1</v>
      </c>
      <c r="D488" s="21" t="s">
        <v>2109</v>
      </c>
      <c r="E488" t="s">
        <v>1735</v>
      </c>
      <c r="F488" t="s">
        <v>1735</v>
      </c>
      <c r="G488" t="s">
        <v>1736</v>
      </c>
      <c r="H488" t="s">
        <v>2108</v>
      </c>
      <c r="I488" t="s">
        <v>2108</v>
      </c>
      <c r="J488">
        <v>875</v>
      </c>
      <c r="K488">
        <v>840</v>
      </c>
      <c r="L488">
        <v>714</v>
      </c>
      <c r="M488" t="s">
        <v>2108</v>
      </c>
      <c r="N488">
        <v>830</v>
      </c>
      <c r="O488">
        <v>760</v>
      </c>
      <c r="P488">
        <v>650</v>
      </c>
      <c r="Q488" t="s">
        <v>40</v>
      </c>
      <c r="R488">
        <v>27</v>
      </c>
      <c r="S488">
        <v>1</v>
      </c>
      <c r="T488" t="s">
        <v>2110</v>
      </c>
      <c r="U488" t="s">
        <v>2111</v>
      </c>
      <c r="V488">
        <v>0</v>
      </c>
      <c r="W488" s="26" t="str">
        <f t="shared" si="7"/>
        <v>(3580,null,1,'2026-04-28 00:00:00','003312030050000-331203005','003312030050000-331203005','精索静脉曲张栓塞术',null,null,875,840,714,null,830,760,650,'次',27,1,'normal','main',0),</v>
      </c>
    </row>
    <row r="489" spans="1:23">
      <c r="A489">
        <v>3581</v>
      </c>
      <c r="B489" t="s">
        <v>2108</v>
      </c>
      <c r="C489">
        <v>1</v>
      </c>
      <c r="D489" s="21" t="s">
        <v>2109</v>
      </c>
      <c r="E489" t="s">
        <v>1739</v>
      </c>
      <c r="F489" t="s">
        <v>1739</v>
      </c>
      <c r="G489" t="s">
        <v>1740</v>
      </c>
      <c r="H489" t="s">
        <v>2108</v>
      </c>
      <c r="I489" t="s">
        <v>2108</v>
      </c>
      <c r="J489">
        <v>1140</v>
      </c>
      <c r="K489">
        <v>1090</v>
      </c>
      <c r="L489">
        <v>925</v>
      </c>
      <c r="M489" t="s">
        <v>2108</v>
      </c>
      <c r="N489">
        <v>1080</v>
      </c>
      <c r="O489">
        <v>990</v>
      </c>
      <c r="P489">
        <v>845</v>
      </c>
      <c r="Q489" t="s">
        <v>40</v>
      </c>
      <c r="R489">
        <v>27</v>
      </c>
      <c r="S489">
        <v>1</v>
      </c>
      <c r="T489" t="s">
        <v>2110</v>
      </c>
      <c r="U489" t="s">
        <v>2111</v>
      </c>
      <c r="V489">
        <v>0</v>
      </c>
      <c r="W489" s="26" t="str">
        <f t="shared" si="7"/>
        <v>(3581,null,1,'2026-04-28 00:00:00','003312030050000-33120300501','003312030050000-33120300501','小儿精索静脉曲张栓塞术',null,null,1140,1090,925,null,1080,990,845,'次',27,1,'normal','main',0),</v>
      </c>
    </row>
    <row r="490" spans="1:23">
      <c r="A490">
        <v>3582</v>
      </c>
      <c r="B490" t="s">
        <v>2108</v>
      </c>
      <c r="C490">
        <v>1</v>
      </c>
      <c r="D490" s="21" t="s">
        <v>2109</v>
      </c>
      <c r="E490" t="s">
        <v>1746</v>
      </c>
      <c r="F490" t="s">
        <v>1746</v>
      </c>
      <c r="G490" t="s">
        <v>1747</v>
      </c>
      <c r="H490" t="s">
        <v>2108</v>
      </c>
      <c r="I490" t="s">
        <v>2108</v>
      </c>
      <c r="J490">
        <v>22</v>
      </c>
      <c r="K490">
        <v>20</v>
      </c>
      <c r="L490">
        <v>17</v>
      </c>
      <c r="M490" t="s">
        <v>2108</v>
      </c>
      <c r="N490">
        <v>22</v>
      </c>
      <c r="O490">
        <v>20</v>
      </c>
      <c r="P490">
        <v>17</v>
      </c>
      <c r="Q490" t="s">
        <v>40</v>
      </c>
      <c r="R490">
        <v>27</v>
      </c>
      <c r="S490">
        <v>1</v>
      </c>
      <c r="T490" t="s">
        <v>2110</v>
      </c>
      <c r="U490" t="s">
        <v>2111</v>
      </c>
      <c r="V490">
        <v>0</v>
      </c>
      <c r="W490" s="26" t="str">
        <f t="shared" si="7"/>
        <v>(3582,null,1,'2026-04-28 00:00:00','003111000150000-311100015','003111000150000-311100015','前列腺按摩',null,null,22,20,17,null,22,20,17,'次',27,1,'normal','main',0),</v>
      </c>
    </row>
    <row r="491" spans="1:23">
      <c r="A491">
        <v>3583</v>
      </c>
      <c r="B491" t="s">
        <v>2108</v>
      </c>
      <c r="C491">
        <v>1</v>
      </c>
      <c r="D491" s="21" t="s">
        <v>2109</v>
      </c>
      <c r="E491" t="s">
        <v>1753</v>
      </c>
      <c r="F491" t="s">
        <v>1753</v>
      </c>
      <c r="G491" t="s">
        <v>1754</v>
      </c>
      <c r="H491" t="s">
        <v>2108</v>
      </c>
      <c r="I491" t="s">
        <v>2108</v>
      </c>
      <c r="J491">
        <v>33</v>
      </c>
      <c r="K491">
        <v>30</v>
      </c>
      <c r="L491">
        <v>25.5</v>
      </c>
      <c r="M491" t="s">
        <v>2108</v>
      </c>
      <c r="N491">
        <v>33</v>
      </c>
      <c r="O491">
        <v>30</v>
      </c>
      <c r="P491">
        <v>26</v>
      </c>
      <c r="Q491" t="s">
        <v>40</v>
      </c>
      <c r="R491">
        <v>27</v>
      </c>
      <c r="S491">
        <v>1</v>
      </c>
      <c r="T491" t="s">
        <v>2110</v>
      </c>
      <c r="U491" t="s">
        <v>2111</v>
      </c>
      <c r="V491">
        <v>0</v>
      </c>
      <c r="W491" s="26" t="str">
        <f t="shared" si="7"/>
        <v>(3583,null,1,'2026-04-28 00:00:00','003111000160000-311100016','003111000160000-311100016','前列腺注射',null,null,33,30,25.5,null,33,30,26,'次',27,1,'normal','main',0),</v>
      </c>
    </row>
    <row r="492" spans="1:23">
      <c r="A492">
        <v>3584</v>
      </c>
      <c r="B492" t="s">
        <v>2108</v>
      </c>
      <c r="C492">
        <v>1</v>
      </c>
      <c r="D492" s="21" t="s">
        <v>2109</v>
      </c>
      <c r="E492" t="s">
        <v>1760</v>
      </c>
      <c r="F492" t="s">
        <v>1760</v>
      </c>
      <c r="G492" t="s">
        <v>1761</v>
      </c>
      <c r="H492" t="s">
        <v>2108</v>
      </c>
      <c r="I492" t="s">
        <v>2108</v>
      </c>
      <c r="J492">
        <v>2530</v>
      </c>
      <c r="K492">
        <v>2280</v>
      </c>
      <c r="L492">
        <v>1940</v>
      </c>
      <c r="M492" t="s">
        <v>2108</v>
      </c>
      <c r="N492">
        <v>2680</v>
      </c>
      <c r="O492">
        <v>2430</v>
      </c>
      <c r="P492">
        <v>2070</v>
      </c>
      <c r="Q492" t="s">
        <v>40</v>
      </c>
      <c r="R492">
        <v>27</v>
      </c>
      <c r="S492">
        <v>1</v>
      </c>
      <c r="T492" t="s">
        <v>2110</v>
      </c>
      <c r="U492" t="s">
        <v>2111</v>
      </c>
      <c r="V492">
        <v>0</v>
      </c>
      <c r="W492" s="26" t="str">
        <f t="shared" si="7"/>
        <v>(3584,null,1,'2026-04-28 00:00:00','003312010020000-331201002','003312010020000-331201002','耻骨上前列腺切除术',null,null,2530,2280,1940,null,2680,2430,2070,'次',27,1,'normal','main',0),</v>
      </c>
    </row>
    <row r="493" spans="1:23">
      <c r="A493">
        <v>3585</v>
      </c>
      <c r="B493" t="s">
        <v>2108</v>
      </c>
      <c r="C493">
        <v>1</v>
      </c>
      <c r="D493" s="21" t="s">
        <v>2109</v>
      </c>
      <c r="E493" t="s">
        <v>1762</v>
      </c>
      <c r="F493" t="s">
        <v>1762</v>
      </c>
      <c r="G493" t="s">
        <v>1763</v>
      </c>
      <c r="H493" t="s">
        <v>2108</v>
      </c>
      <c r="I493" t="s">
        <v>2108</v>
      </c>
      <c r="J493">
        <v>2530</v>
      </c>
      <c r="K493">
        <v>2280</v>
      </c>
      <c r="L493">
        <v>1940</v>
      </c>
      <c r="M493" t="s">
        <v>2108</v>
      </c>
      <c r="N493">
        <v>2680</v>
      </c>
      <c r="O493">
        <v>2430</v>
      </c>
      <c r="P493">
        <v>2070</v>
      </c>
      <c r="Q493" t="s">
        <v>40</v>
      </c>
      <c r="R493">
        <v>27</v>
      </c>
      <c r="S493">
        <v>1</v>
      </c>
      <c r="T493" t="s">
        <v>2110</v>
      </c>
      <c r="U493" t="s">
        <v>2111</v>
      </c>
      <c r="V493">
        <v>0</v>
      </c>
      <c r="W493" s="26" t="str">
        <f t="shared" si="7"/>
        <v>(3585,null,1,'2026-04-28 00:00:00','003312010030000-331201003','003312010030000-331201003','耻骨后前列腺切除术',null,null,2530,2280,1940,null,2680,2430,2070,'次',27,1,'normal','main',0),</v>
      </c>
    </row>
    <row r="494" spans="1:23">
      <c r="A494">
        <v>3586</v>
      </c>
      <c r="B494" t="s">
        <v>2108</v>
      </c>
      <c r="C494">
        <v>1</v>
      </c>
      <c r="D494" s="21" t="s">
        <v>2109</v>
      </c>
      <c r="E494" t="s">
        <v>1764</v>
      </c>
      <c r="F494" t="s">
        <v>1764</v>
      </c>
      <c r="G494" t="s">
        <v>1765</v>
      </c>
      <c r="H494" t="s">
        <v>2108</v>
      </c>
      <c r="I494" t="s">
        <v>2108</v>
      </c>
      <c r="J494">
        <v>3155</v>
      </c>
      <c r="K494">
        <v>2880</v>
      </c>
      <c r="L494">
        <v>2450</v>
      </c>
      <c r="M494" t="s">
        <v>2108</v>
      </c>
      <c r="N494">
        <v>2680</v>
      </c>
      <c r="O494">
        <v>2430</v>
      </c>
      <c r="P494">
        <v>2070</v>
      </c>
      <c r="Q494" t="s">
        <v>40</v>
      </c>
      <c r="R494">
        <v>27</v>
      </c>
      <c r="S494">
        <v>1</v>
      </c>
      <c r="T494" t="s">
        <v>2110</v>
      </c>
      <c r="U494" t="s">
        <v>2111</v>
      </c>
      <c r="V494">
        <v>0</v>
      </c>
      <c r="W494" s="26" t="str">
        <f t="shared" si="7"/>
        <v>(3586,null,1,'2026-04-28 00:00:00','003312010030000-33120100302','003312010030000-33120100302','经腹腔镜耻骨后前列腺切除术',null,null,3155,2880,2450,null,2680,2430,2070,'次',27,1,'normal','main',0),</v>
      </c>
    </row>
    <row r="495" spans="1:23">
      <c r="A495">
        <v>3587</v>
      </c>
      <c r="B495" t="s">
        <v>2108</v>
      </c>
      <c r="C495">
        <v>1</v>
      </c>
      <c r="D495" s="21" t="s">
        <v>2109</v>
      </c>
      <c r="E495" t="s">
        <v>1768</v>
      </c>
      <c r="F495" t="s">
        <v>1768</v>
      </c>
      <c r="G495" t="s">
        <v>1769</v>
      </c>
      <c r="H495" t="s">
        <v>2108</v>
      </c>
      <c r="I495" t="s">
        <v>2108</v>
      </c>
      <c r="J495">
        <v>3290</v>
      </c>
      <c r="K495">
        <v>2965</v>
      </c>
      <c r="L495">
        <v>2520</v>
      </c>
      <c r="M495" t="s">
        <v>2108</v>
      </c>
      <c r="N495">
        <v>3485</v>
      </c>
      <c r="O495">
        <v>3160</v>
      </c>
      <c r="P495">
        <v>2690</v>
      </c>
      <c r="Q495" t="s">
        <v>40</v>
      </c>
      <c r="R495">
        <v>27</v>
      </c>
      <c r="S495">
        <v>1</v>
      </c>
      <c r="T495" t="s">
        <v>2110</v>
      </c>
      <c r="U495" t="s">
        <v>2111</v>
      </c>
      <c r="V495">
        <v>0</v>
      </c>
      <c r="W495" s="26" t="str">
        <f t="shared" si="7"/>
        <v>(3587,null,1,'2026-04-28 00:00:00','003312010020000-33120100201','003312010020000-33120100201','小儿耻骨上前列腺切除术',null,null,3290,2965,2520,null,3485,3160,2690,'次',27,1,'normal','main',0),</v>
      </c>
    </row>
    <row r="496" spans="1:23">
      <c r="A496">
        <v>3588</v>
      </c>
      <c r="B496" t="s">
        <v>2108</v>
      </c>
      <c r="C496">
        <v>1</v>
      </c>
      <c r="D496" s="21" t="s">
        <v>2109</v>
      </c>
      <c r="E496" t="s">
        <v>1770</v>
      </c>
      <c r="F496" t="s">
        <v>1770</v>
      </c>
      <c r="G496" t="s">
        <v>1771</v>
      </c>
      <c r="H496" t="s">
        <v>2108</v>
      </c>
      <c r="I496" t="s">
        <v>2108</v>
      </c>
      <c r="J496">
        <v>3290</v>
      </c>
      <c r="K496">
        <v>2965</v>
      </c>
      <c r="L496">
        <v>2520</v>
      </c>
      <c r="M496" t="s">
        <v>2108</v>
      </c>
      <c r="N496">
        <v>3485</v>
      </c>
      <c r="O496">
        <v>3160</v>
      </c>
      <c r="P496">
        <v>2690</v>
      </c>
      <c r="Q496" t="s">
        <v>40</v>
      </c>
      <c r="R496">
        <v>27</v>
      </c>
      <c r="S496">
        <v>1</v>
      </c>
      <c r="T496" t="s">
        <v>2110</v>
      </c>
      <c r="U496" t="s">
        <v>2111</v>
      </c>
      <c r="V496">
        <v>0</v>
      </c>
      <c r="W496" s="26" t="str">
        <f t="shared" si="7"/>
        <v>(3588,null,1,'2026-04-28 00:00:00','003312010030000-33120100301','003312010030000-33120100301','小儿耻骨后前列腺切除术',null,null,3290,2965,2520,null,3485,3160,2690,'次',27,1,'normal','main',0),</v>
      </c>
    </row>
    <row r="497" spans="1:23">
      <c r="A497">
        <v>3589</v>
      </c>
      <c r="B497" t="s">
        <v>2108</v>
      </c>
      <c r="C497">
        <v>1</v>
      </c>
      <c r="D497" s="21" t="s">
        <v>2109</v>
      </c>
      <c r="E497" t="s">
        <v>1772</v>
      </c>
      <c r="F497" t="s">
        <v>1772</v>
      </c>
      <c r="G497" t="s">
        <v>1773</v>
      </c>
      <c r="H497" t="s">
        <v>2108</v>
      </c>
      <c r="I497" t="s">
        <v>2108</v>
      </c>
      <c r="J497">
        <v>3915</v>
      </c>
      <c r="K497">
        <v>3565</v>
      </c>
      <c r="L497">
        <v>3030</v>
      </c>
      <c r="M497" t="s">
        <v>2108</v>
      </c>
      <c r="N497">
        <v>3485</v>
      </c>
      <c r="O497">
        <v>3160</v>
      </c>
      <c r="P497">
        <v>2690</v>
      </c>
      <c r="Q497" t="s">
        <v>40</v>
      </c>
      <c r="R497">
        <v>27</v>
      </c>
      <c r="S497">
        <v>1</v>
      </c>
      <c r="T497" t="s">
        <v>2110</v>
      </c>
      <c r="U497" t="s">
        <v>2111</v>
      </c>
      <c r="V497">
        <v>0</v>
      </c>
      <c r="W497" s="26" t="str">
        <f t="shared" si="7"/>
        <v>(3589,null,1,'2026-04-28 00:00:00','003312010030000-33120100303','003312010030000-33120100303','小儿经腹腔镜耻骨后前列腺切除术',null,null,3915,3565,3030,null,3485,3160,2690,'次',27,1,'normal','main',0),</v>
      </c>
    </row>
    <row r="498" spans="1:23">
      <c r="A498">
        <v>3590</v>
      </c>
      <c r="B498" t="s">
        <v>2108</v>
      </c>
      <c r="C498">
        <v>1</v>
      </c>
      <c r="D498" s="21" t="s">
        <v>2109</v>
      </c>
      <c r="E498" t="s">
        <v>1779</v>
      </c>
      <c r="F498" t="s">
        <v>1779</v>
      </c>
      <c r="G498" t="s">
        <v>1780</v>
      </c>
      <c r="H498" t="s">
        <v>2108</v>
      </c>
      <c r="I498" t="s">
        <v>2108</v>
      </c>
      <c r="J498">
        <v>4540</v>
      </c>
      <c r="K498">
        <v>4090</v>
      </c>
      <c r="L498">
        <v>3480</v>
      </c>
      <c r="M498" t="s">
        <v>2108</v>
      </c>
      <c r="N498" s="14">
        <v>5337.5</v>
      </c>
      <c r="O498" s="14">
        <v>4815</v>
      </c>
      <c r="P498" s="14">
        <v>4080</v>
      </c>
      <c r="Q498" t="s">
        <v>40</v>
      </c>
      <c r="R498">
        <v>27</v>
      </c>
      <c r="S498">
        <v>1</v>
      </c>
      <c r="T498" t="s">
        <v>2110</v>
      </c>
      <c r="U498" t="s">
        <v>2111</v>
      </c>
      <c r="V498">
        <v>0</v>
      </c>
      <c r="W498" s="26" t="str">
        <f t="shared" si="7"/>
        <v>(3590,null,1,'2026-04-28 00:00:00','003312010010000-331201001','003312010010000-331201001','前列腺癌根治术',null,null,4540,4090,3480,null,5337.5,4815,4080,'次',27,1,'normal','main',0),</v>
      </c>
    </row>
    <row r="499" spans="1:23">
      <c r="A499">
        <v>3591</v>
      </c>
      <c r="B499" t="s">
        <v>2108</v>
      </c>
      <c r="C499">
        <v>1</v>
      </c>
      <c r="D499" s="21" t="s">
        <v>2109</v>
      </c>
      <c r="E499" t="s">
        <v>1782</v>
      </c>
      <c r="F499" t="s">
        <v>1782</v>
      </c>
      <c r="G499" t="s">
        <v>1783</v>
      </c>
      <c r="H499" t="s">
        <v>2108</v>
      </c>
      <c r="I499" t="s">
        <v>2108</v>
      </c>
      <c r="J499">
        <v>5165</v>
      </c>
      <c r="K499">
        <v>4690</v>
      </c>
      <c r="L499">
        <v>3990</v>
      </c>
      <c r="M499" t="s">
        <v>2108</v>
      </c>
      <c r="N499" s="14">
        <v>5337.5</v>
      </c>
      <c r="O499" s="14">
        <v>4815</v>
      </c>
      <c r="P499" s="14">
        <v>4080</v>
      </c>
      <c r="Q499" t="s">
        <v>40</v>
      </c>
      <c r="R499">
        <v>27</v>
      </c>
      <c r="S499">
        <v>1</v>
      </c>
      <c r="T499" t="s">
        <v>2110</v>
      </c>
      <c r="U499" t="s">
        <v>2111</v>
      </c>
      <c r="V499">
        <v>0</v>
      </c>
      <c r="W499" s="26" t="str">
        <f t="shared" si="7"/>
        <v>(3591,null,1,'2026-04-28 00:00:00','003312010010000-33120100102','003312010010000-33120100102','经腹腔镜前列腺癌根治术',null,null,5165,4690,3990,null,5337.5,4815,4080,'次',27,1,'normal','main',0),</v>
      </c>
    </row>
    <row r="500" spans="1:23">
      <c r="A500">
        <v>3592</v>
      </c>
      <c r="B500" t="s">
        <v>2108</v>
      </c>
      <c r="C500">
        <v>1</v>
      </c>
      <c r="D500" s="21" t="s">
        <v>2109</v>
      </c>
      <c r="E500" t="s">
        <v>1792</v>
      </c>
      <c r="F500" t="s">
        <v>1792</v>
      </c>
      <c r="G500" t="s">
        <v>1793</v>
      </c>
      <c r="H500" t="s">
        <v>2108</v>
      </c>
      <c r="I500" t="s">
        <v>2108</v>
      </c>
      <c r="J500">
        <v>5900</v>
      </c>
      <c r="K500">
        <v>5315</v>
      </c>
      <c r="L500">
        <v>4520</v>
      </c>
      <c r="M500" t="s">
        <v>2108</v>
      </c>
      <c r="N500" s="14">
        <v>6627.5</v>
      </c>
      <c r="O500" s="14">
        <v>5985</v>
      </c>
      <c r="P500" s="14">
        <v>5070</v>
      </c>
      <c r="Q500" t="s">
        <v>40</v>
      </c>
      <c r="R500">
        <v>27</v>
      </c>
      <c r="S500">
        <v>1</v>
      </c>
      <c r="T500" t="s">
        <v>2110</v>
      </c>
      <c r="U500" t="s">
        <v>2111</v>
      </c>
      <c r="V500">
        <v>0</v>
      </c>
      <c r="W500" s="26" t="str">
        <f t="shared" si="7"/>
        <v>(3592,null,1,'2026-04-28 00:00:00','003312010010000-33120100101','003312010010000-33120100101','小儿前列腺癌根治术',null,null,5900,5315,4520,null,6627.5,5985,5070,'次',27,1,'normal','main',0),</v>
      </c>
    </row>
    <row r="501" spans="1:23">
      <c r="A501">
        <v>3593</v>
      </c>
      <c r="B501" t="s">
        <v>2108</v>
      </c>
      <c r="C501">
        <v>1</v>
      </c>
      <c r="D501" s="21" t="s">
        <v>2109</v>
      </c>
      <c r="E501" t="s">
        <v>1794</v>
      </c>
      <c r="F501" t="s">
        <v>1794</v>
      </c>
      <c r="G501" t="s">
        <v>1795</v>
      </c>
      <c r="H501" t="s">
        <v>2108</v>
      </c>
      <c r="I501" t="s">
        <v>2108</v>
      </c>
      <c r="J501">
        <v>6525</v>
      </c>
      <c r="K501">
        <v>5915</v>
      </c>
      <c r="L501">
        <v>5030</v>
      </c>
      <c r="M501" t="s">
        <v>2108</v>
      </c>
      <c r="N501" s="14">
        <v>6627.5</v>
      </c>
      <c r="O501" s="14">
        <v>5985</v>
      </c>
      <c r="P501" s="14">
        <v>5070</v>
      </c>
      <c r="Q501" t="s">
        <v>40</v>
      </c>
      <c r="R501">
        <v>27</v>
      </c>
      <c r="S501">
        <v>1</v>
      </c>
      <c r="T501" t="s">
        <v>2110</v>
      </c>
      <c r="U501" t="s">
        <v>2111</v>
      </c>
      <c r="V501">
        <v>0</v>
      </c>
      <c r="W501" s="26" t="str">
        <f t="shared" si="7"/>
        <v>(3593,null,1,'2026-04-28 00:00:00','003312010010000-33120100103','003312010010000-33120100103','小儿经腹腔镜前列腺癌根治术',null,null,6525,5915,5030,null,6627.5,5985,5070,'次',27,1,'normal','main',0),</v>
      </c>
    </row>
    <row r="502" spans="1:23">
      <c r="A502">
        <v>3594</v>
      </c>
      <c r="B502" t="s">
        <v>2108</v>
      </c>
      <c r="C502">
        <v>1</v>
      </c>
      <c r="D502" s="21" t="s">
        <v>2109</v>
      </c>
      <c r="E502" t="s">
        <v>1800</v>
      </c>
      <c r="F502" t="s">
        <v>1800</v>
      </c>
      <c r="G502" t="s">
        <v>1801</v>
      </c>
      <c r="H502" t="s">
        <v>2108</v>
      </c>
      <c r="I502" t="s">
        <v>2108</v>
      </c>
      <c r="J502">
        <v>1350</v>
      </c>
      <c r="K502">
        <v>1220</v>
      </c>
      <c r="L502">
        <v>1040</v>
      </c>
      <c r="M502" t="s">
        <v>2108</v>
      </c>
      <c r="N502">
        <v>1400</v>
      </c>
      <c r="O502">
        <v>1260</v>
      </c>
      <c r="P502">
        <v>1070</v>
      </c>
      <c r="Q502" t="s">
        <v>40</v>
      </c>
      <c r="R502">
        <v>27</v>
      </c>
      <c r="S502">
        <v>1</v>
      </c>
      <c r="T502" t="s">
        <v>2110</v>
      </c>
      <c r="U502" t="s">
        <v>2111</v>
      </c>
      <c r="V502">
        <v>0</v>
      </c>
      <c r="W502" s="26" t="str">
        <f t="shared" si="7"/>
        <v>(3594,null,1,'2026-04-28 00:00:00','003312010050000-331201005','003312010050000-331201005','前列腺脓肿切开术',null,null,1350,1220,1040,null,1400,1260,1070,'次',27,1,'normal','main',0),</v>
      </c>
    </row>
    <row r="503" spans="1:23">
      <c r="A503">
        <v>3595</v>
      </c>
      <c r="B503" t="s">
        <v>2108</v>
      </c>
      <c r="C503">
        <v>1</v>
      </c>
      <c r="D503" s="21" t="s">
        <v>2109</v>
      </c>
      <c r="E503" t="s">
        <v>1803</v>
      </c>
      <c r="F503" t="s">
        <v>1803</v>
      </c>
      <c r="G503" t="s">
        <v>1804</v>
      </c>
      <c r="H503" t="s">
        <v>2108</v>
      </c>
      <c r="I503" t="s">
        <v>2108</v>
      </c>
      <c r="J503">
        <v>2020</v>
      </c>
      <c r="K503">
        <v>1820</v>
      </c>
      <c r="L503">
        <v>1550</v>
      </c>
      <c r="M503" t="s">
        <v>2108</v>
      </c>
      <c r="N503">
        <v>1400</v>
      </c>
      <c r="O503">
        <v>1260</v>
      </c>
      <c r="P503">
        <v>1070</v>
      </c>
      <c r="Q503" t="s">
        <v>40</v>
      </c>
      <c r="R503">
        <v>27</v>
      </c>
      <c r="S503">
        <v>1</v>
      </c>
      <c r="T503" t="s">
        <v>2110</v>
      </c>
      <c r="U503" t="s">
        <v>2111</v>
      </c>
      <c r="V503">
        <v>0</v>
      </c>
      <c r="W503" s="26" t="str">
        <f t="shared" si="7"/>
        <v>(3595,null,1,'2026-04-28 00:00:00','003312010050000-33120100501','003312010050000-33120100501','前列腺脓肿切开术（电切法）',null,null,2020,1820,1550,null,1400,1260,1070,'次',27,1,'normal','main',0),</v>
      </c>
    </row>
    <row r="504" spans="1:23">
      <c r="A504">
        <v>3596</v>
      </c>
      <c r="B504" t="s">
        <v>2108</v>
      </c>
      <c r="C504">
        <v>1</v>
      </c>
      <c r="D504" s="21" t="s">
        <v>2109</v>
      </c>
      <c r="E504" t="s">
        <v>1805</v>
      </c>
      <c r="F504" t="s">
        <v>1805</v>
      </c>
      <c r="G504" t="s">
        <v>1806</v>
      </c>
      <c r="H504" t="s">
        <v>2108</v>
      </c>
      <c r="I504" t="s">
        <v>2108</v>
      </c>
      <c r="J504">
        <v>1600</v>
      </c>
      <c r="K504">
        <v>1445</v>
      </c>
      <c r="L504">
        <v>1230</v>
      </c>
      <c r="M504" t="s">
        <v>2108</v>
      </c>
      <c r="N504">
        <v>1400</v>
      </c>
      <c r="O504">
        <v>1260</v>
      </c>
      <c r="P504">
        <v>1070</v>
      </c>
      <c r="Q504" t="s">
        <v>40</v>
      </c>
      <c r="R504">
        <v>27</v>
      </c>
      <c r="S504">
        <v>1</v>
      </c>
      <c r="T504" t="s">
        <v>2110</v>
      </c>
      <c r="U504" t="s">
        <v>2111</v>
      </c>
      <c r="V504">
        <v>0</v>
      </c>
      <c r="W504" s="26" t="str">
        <f t="shared" si="7"/>
        <v>(3596,null,1,'2026-04-28 00:00:00','003312010050000-33120100504','003312010050000-33120100504','经膀胱镜前列腺脓肿切开术',null,null,1600,1445,1230,null,1400,1260,1070,'次',27,1,'normal','main',0),</v>
      </c>
    </row>
    <row r="505" spans="1:23">
      <c r="A505">
        <v>3597</v>
      </c>
      <c r="B505" t="s">
        <v>2108</v>
      </c>
      <c r="C505">
        <v>1</v>
      </c>
      <c r="D505" s="21" t="s">
        <v>2109</v>
      </c>
      <c r="E505" t="s">
        <v>1807</v>
      </c>
      <c r="F505" t="s">
        <v>1807</v>
      </c>
      <c r="G505" t="s">
        <v>1808</v>
      </c>
      <c r="H505" t="s">
        <v>2108</v>
      </c>
      <c r="I505" t="s">
        <v>2108</v>
      </c>
      <c r="J505">
        <v>2270</v>
      </c>
      <c r="K505">
        <v>2045</v>
      </c>
      <c r="L505">
        <v>1740</v>
      </c>
      <c r="M505" t="s">
        <v>2108</v>
      </c>
      <c r="N505">
        <v>1400</v>
      </c>
      <c r="O505">
        <v>1260</v>
      </c>
      <c r="P505">
        <v>1070</v>
      </c>
      <c r="Q505" t="s">
        <v>40</v>
      </c>
      <c r="R505">
        <v>27</v>
      </c>
      <c r="S505">
        <v>1</v>
      </c>
      <c r="T505" t="s">
        <v>2110</v>
      </c>
      <c r="U505" t="s">
        <v>2111</v>
      </c>
      <c r="V505">
        <v>0</v>
      </c>
      <c r="W505" s="26" t="str">
        <f t="shared" si="7"/>
        <v>(3597,null,1,'2026-04-28 00:00:00','003312010050000-33120100505','003312010050000-33120100505','经膀胱镜前列腺脓肿切开术（电切法）',null,null,2270,2045,1740,null,1400,1260,1070,'次',27,1,'normal','main',0),</v>
      </c>
    </row>
    <row r="506" spans="1:23">
      <c r="A506">
        <v>3598</v>
      </c>
      <c r="B506" t="s">
        <v>2108</v>
      </c>
      <c r="C506">
        <v>1</v>
      </c>
      <c r="D506" s="21" t="s">
        <v>2109</v>
      </c>
      <c r="E506" t="s">
        <v>1811</v>
      </c>
      <c r="F506" t="s">
        <v>1811</v>
      </c>
      <c r="G506" t="s">
        <v>1812</v>
      </c>
      <c r="H506" t="s">
        <v>2108</v>
      </c>
      <c r="I506" t="s">
        <v>2108</v>
      </c>
      <c r="J506">
        <v>1350</v>
      </c>
      <c r="K506">
        <v>1220</v>
      </c>
      <c r="L506">
        <v>1040</v>
      </c>
      <c r="M506" t="s">
        <v>2108</v>
      </c>
      <c r="N506">
        <v>1760</v>
      </c>
      <c r="O506">
        <v>1585</v>
      </c>
      <c r="P506">
        <v>1345</v>
      </c>
      <c r="Q506" t="s">
        <v>40</v>
      </c>
      <c r="R506">
        <v>27</v>
      </c>
      <c r="S506">
        <v>1</v>
      </c>
      <c r="T506" t="s">
        <v>2110</v>
      </c>
      <c r="U506" t="s">
        <v>2111</v>
      </c>
      <c r="V506">
        <v>0</v>
      </c>
      <c r="W506" s="26" t="str">
        <f t="shared" si="7"/>
        <v>(3598,null,1,'2026-04-28 00:00:00','003312010040000-331201004','003312010040000-331201004','前列腺囊肿切除术',null,null,1350,1220,1040,null,1760,1585,1345,'次',27,1,'normal','main',0),</v>
      </c>
    </row>
    <row r="507" spans="1:23">
      <c r="A507">
        <v>3599</v>
      </c>
      <c r="B507" t="s">
        <v>2108</v>
      </c>
      <c r="C507">
        <v>1</v>
      </c>
      <c r="D507" s="21" t="s">
        <v>2109</v>
      </c>
      <c r="E507" t="s">
        <v>1813</v>
      </c>
      <c r="F507" t="s">
        <v>1813</v>
      </c>
      <c r="G507" t="s">
        <v>1814</v>
      </c>
      <c r="H507" t="s">
        <v>2108</v>
      </c>
      <c r="I507" t="s">
        <v>2108</v>
      </c>
      <c r="J507">
        <v>2020</v>
      </c>
      <c r="K507">
        <v>1820</v>
      </c>
      <c r="L507">
        <v>1550</v>
      </c>
      <c r="M507" t="s">
        <v>2108</v>
      </c>
      <c r="N507">
        <v>1760</v>
      </c>
      <c r="O507">
        <v>1585</v>
      </c>
      <c r="P507">
        <v>1345</v>
      </c>
      <c r="Q507" t="s">
        <v>40</v>
      </c>
      <c r="R507">
        <v>27</v>
      </c>
      <c r="S507">
        <v>1</v>
      </c>
      <c r="T507" t="s">
        <v>2110</v>
      </c>
      <c r="U507" t="s">
        <v>2111</v>
      </c>
      <c r="V507">
        <v>0</v>
      </c>
      <c r="W507" s="26" t="str">
        <f t="shared" si="7"/>
        <v>(3599,null,1,'2026-04-28 00:00:00','003312010040000-33120100401','003312010040000-33120100401','前列腺囊肿切除术（电切法）',null,null,2020,1820,1550,null,1760,1585,1345,'次',27,1,'normal','main',0),</v>
      </c>
    </row>
    <row r="508" spans="1:23">
      <c r="A508">
        <v>3600</v>
      </c>
      <c r="B508" t="s">
        <v>2108</v>
      </c>
      <c r="C508">
        <v>1</v>
      </c>
      <c r="D508" s="21" t="s">
        <v>2109</v>
      </c>
      <c r="E508" t="s">
        <v>1815</v>
      </c>
      <c r="F508" t="s">
        <v>1815</v>
      </c>
      <c r="G508" t="s">
        <v>1816</v>
      </c>
      <c r="H508" t="s">
        <v>2108</v>
      </c>
      <c r="I508" t="s">
        <v>2108</v>
      </c>
      <c r="J508">
        <v>1755</v>
      </c>
      <c r="K508">
        <v>1585</v>
      </c>
      <c r="L508">
        <v>1345</v>
      </c>
      <c r="M508" t="s">
        <v>2108</v>
      </c>
      <c r="N508">
        <v>1760</v>
      </c>
      <c r="O508">
        <v>1585</v>
      </c>
      <c r="P508">
        <v>1345</v>
      </c>
      <c r="Q508" t="s">
        <v>40</v>
      </c>
      <c r="R508">
        <v>27</v>
      </c>
      <c r="S508">
        <v>1</v>
      </c>
      <c r="T508" t="s">
        <v>2110</v>
      </c>
      <c r="U508" t="s">
        <v>2111</v>
      </c>
      <c r="V508">
        <v>0</v>
      </c>
      <c r="W508" s="26" t="str">
        <f t="shared" si="7"/>
        <v>(3600,null,1,'2026-04-28 00:00:00','003312010040000-33120100402','003312010040000-33120100402','小儿前列腺囊肿切除术',null,null,1755,1585,1345,null,1760,1585,1345,'次',27,1,'normal','main',0),</v>
      </c>
    </row>
    <row r="509" spans="1:23">
      <c r="A509">
        <v>3601</v>
      </c>
      <c r="B509" t="s">
        <v>2108</v>
      </c>
      <c r="C509">
        <v>1</v>
      </c>
      <c r="D509" s="21" t="s">
        <v>2109</v>
      </c>
      <c r="E509" t="s">
        <v>1817</v>
      </c>
      <c r="F509" t="s">
        <v>1817</v>
      </c>
      <c r="G509" t="s">
        <v>1818</v>
      </c>
      <c r="H509" t="s">
        <v>2108</v>
      </c>
      <c r="I509" t="s">
        <v>2108</v>
      </c>
      <c r="J509">
        <v>2625</v>
      </c>
      <c r="K509">
        <v>2365</v>
      </c>
      <c r="L509">
        <v>2010</v>
      </c>
      <c r="M509" t="s">
        <v>2108</v>
      </c>
      <c r="N509">
        <v>1760</v>
      </c>
      <c r="O509">
        <v>1585</v>
      </c>
      <c r="P509">
        <v>1345</v>
      </c>
      <c r="Q509" t="s">
        <v>40</v>
      </c>
      <c r="R509">
        <v>27</v>
      </c>
      <c r="S509">
        <v>1</v>
      </c>
      <c r="T509" t="s">
        <v>2110</v>
      </c>
      <c r="U509" t="s">
        <v>2111</v>
      </c>
      <c r="V509">
        <v>0</v>
      </c>
      <c r="W509" s="26" t="str">
        <f t="shared" si="7"/>
        <v>(3601,null,1,'2026-04-28 00:00:00','003312010040000-33120100403','003312010040000-33120100403','小儿前列腺囊肿切除术（电切法）',null,null,2625,2365,2010,null,1760,1585,1345,'次',27,1,'normal','main',0),</v>
      </c>
    </row>
    <row r="510" spans="1:23">
      <c r="A510">
        <v>3602</v>
      </c>
      <c r="B510" t="s">
        <v>2108</v>
      </c>
      <c r="C510">
        <v>1</v>
      </c>
      <c r="D510" s="21" t="s">
        <v>2109</v>
      </c>
      <c r="E510" t="s">
        <v>1819</v>
      </c>
      <c r="F510" t="s">
        <v>1819</v>
      </c>
      <c r="G510" t="s">
        <v>1820</v>
      </c>
      <c r="H510" t="s">
        <v>2108</v>
      </c>
      <c r="I510" t="s">
        <v>2108</v>
      </c>
      <c r="J510">
        <v>1975</v>
      </c>
      <c r="K510">
        <v>1820</v>
      </c>
      <c r="L510">
        <v>1550</v>
      </c>
      <c r="M510" t="s">
        <v>2108</v>
      </c>
      <c r="N510">
        <v>1760</v>
      </c>
      <c r="O510">
        <v>1585</v>
      </c>
      <c r="P510">
        <v>1345</v>
      </c>
      <c r="Q510" t="s">
        <v>40</v>
      </c>
      <c r="R510">
        <v>27</v>
      </c>
      <c r="S510">
        <v>1</v>
      </c>
      <c r="T510" t="s">
        <v>2110</v>
      </c>
      <c r="U510" t="s">
        <v>2111</v>
      </c>
      <c r="V510">
        <v>0</v>
      </c>
      <c r="W510" s="26" t="str">
        <f t="shared" si="7"/>
        <v>(3602,null,1,'2026-04-28 00:00:00','003312010040000-33120100404','003312010040000-33120100404','经腹腔镜前列腺囊肿切除术',null,null,1975,1820,1550,null,1760,1585,1345,'次',27,1,'normal','main',0),</v>
      </c>
    </row>
    <row r="511" spans="1:23">
      <c r="A511">
        <v>3603</v>
      </c>
      <c r="B511" t="s">
        <v>2108</v>
      </c>
      <c r="C511">
        <v>1</v>
      </c>
      <c r="D511" s="21" t="s">
        <v>2109</v>
      </c>
      <c r="E511" t="s">
        <v>1821</v>
      </c>
      <c r="F511" t="s">
        <v>1821</v>
      </c>
      <c r="G511" t="s">
        <v>1822</v>
      </c>
      <c r="H511" t="s">
        <v>2108</v>
      </c>
      <c r="I511" t="s">
        <v>2108</v>
      </c>
      <c r="J511">
        <v>2645</v>
      </c>
      <c r="K511">
        <v>2420</v>
      </c>
      <c r="L511">
        <v>2060</v>
      </c>
      <c r="M511" t="s">
        <v>2108</v>
      </c>
      <c r="N511">
        <v>1760</v>
      </c>
      <c r="O511">
        <v>1585</v>
      </c>
      <c r="P511">
        <v>1345</v>
      </c>
      <c r="Q511" t="s">
        <v>40</v>
      </c>
      <c r="R511">
        <v>27</v>
      </c>
      <c r="S511">
        <v>1</v>
      </c>
      <c r="T511" t="s">
        <v>2110</v>
      </c>
      <c r="U511" t="s">
        <v>2111</v>
      </c>
      <c r="V511">
        <v>0</v>
      </c>
      <c r="W511" s="26" t="str">
        <f t="shared" si="7"/>
        <v>(3603,null,1,'2026-04-28 00:00:00','003312010040000-33120100405','003312010040000-33120100405','经腹腔镜前列腺囊肿切除术（电切法）',null,null,2645,2420,2060,null,1760,1585,1345,'次',27,1,'normal','main',0),</v>
      </c>
    </row>
    <row r="512" spans="1:23">
      <c r="A512">
        <v>3604</v>
      </c>
      <c r="B512" t="s">
        <v>2108</v>
      </c>
      <c r="C512">
        <v>1</v>
      </c>
      <c r="D512" s="21" t="s">
        <v>2109</v>
      </c>
      <c r="E512" t="s">
        <v>1823</v>
      </c>
      <c r="F512" t="s">
        <v>1823</v>
      </c>
      <c r="G512" t="s">
        <v>1824</v>
      </c>
      <c r="H512" t="s">
        <v>2108</v>
      </c>
      <c r="I512" t="s">
        <v>2108</v>
      </c>
      <c r="J512">
        <v>2380</v>
      </c>
      <c r="K512">
        <v>2185</v>
      </c>
      <c r="L512">
        <v>1855</v>
      </c>
      <c r="M512" t="s">
        <v>2108</v>
      </c>
      <c r="N512">
        <v>1760</v>
      </c>
      <c r="O512">
        <v>1585</v>
      </c>
      <c r="P512">
        <v>1345</v>
      </c>
      <c r="Q512" t="s">
        <v>40</v>
      </c>
      <c r="R512">
        <v>27</v>
      </c>
      <c r="S512">
        <v>1</v>
      </c>
      <c r="T512" t="s">
        <v>2110</v>
      </c>
      <c r="U512" t="s">
        <v>2111</v>
      </c>
      <c r="V512">
        <v>0</v>
      </c>
      <c r="W512" s="26" t="str">
        <f t="shared" si="7"/>
        <v>(3604,null,1,'2026-04-28 00:00:00','003312010040000-33120100406','003312010040000-33120100406','小儿经腹腔镜前列腺囊肿切除术',null,null,2380,2185,1855,null,1760,1585,1345,'次',27,1,'normal','main',0),</v>
      </c>
    </row>
    <row r="513" spans="1:23">
      <c r="A513">
        <v>3605</v>
      </c>
      <c r="B513" t="s">
        <v>2108</v>
      </c>
      <c r="C513">
        <v>1</v>
      </c>
      <c r="D513" s="21" t="s">
        <v>2109</v>
      </c>
      <c r="E513" t="s">
        <v>1825</v>
      </c>
      <c r="F513" t="s">
        <v>1825</v>
      </c>
      <c r="G513" t="s">
        <v>1826</v>
      </c>
      <c r="H513" t="s">
        <v>2108</v>
      </c>
      <c r="I513" t="s">
        <v>2108</v>
      </c>
      <c r="J513">
        <v>3250</v>
      </c>
      <c r="K513">
        <v>2965</v>
      </c>
      <c r="L513">
        <v>2520</v>
      </c>
      <c r="M513" t="s">
        <v>2108</v>
      </c>
      <c r="N513">
        <v>1760</v>
      </c>
      <c r="O513">
        <v>1585</v>
      </c>
      <c r="P513">
        <v>1345</v>
      </c>
      <c r="Q513" t="s">
        <v>40</v>
      </c>
      <c r="R513">
        <v>27</v>
      </c>
      <c r="S513">
        <v>1</v>
      </c>
      <c r="T513" t="s">
        <v>2110</v>
      </c>
      <c r="U513" t="s">
        <v>2111</v>
      </c>
      <c r="V513">
        <v>0</v>
      </c>
      <c r="W513" s="26" t="str">
        <f t="shared" si="7"/>
        <v>(3605,null,1,'2026-04-28 00:00:00','003312010040000-33120100407','003312010040000-33120100407','小儿经腹腔镜前列腺囊肿切除术（电切法）',null,null,3250,2965,2520,null,1760,1585,1345,'次',27,1,'normal','main',0),</v>
      </c>
    </row>
    <row r="514" spans="1:23">
      <c r="A514">
        <v>3606</v>
      </c>
      <c r="B514" t="s">
        <v>2108</v>
      </c>
      <c r="C514">
        <v>1</v>
      </c>
      <c r="D514" s="21" t="s">
        <v>2109</v>
      </c>
      <c r="E514" t="s">
        <v>1829</v>
      </c>
      <c r="F514" t="s">
        <v>1829</v>
      </c>
      <c r="G514" t="s">
        <v>1830</v>
      </c>
      <c r="H514" t="s">
        <v>2108</v>
      </c>
      <c r="I514" t="s">
        <v>2108</v>
      </c>
      <c r="J514">
        <v>1755</v>
      </c>
      <c r="K514">
        <v>1585</v>
      </c>
      <c r="L514">
        <v>1345</v>
      </c>
      <c r="M514" t="s">
        <v>2108</v>
      </c>
      <c r="N514">
        <v>1820</v>
      </c>
      <c r="O514">
        <v>1640</v>
      </c>
      <c r="P514">
        <v>1390</v>
      </c>
      <c r="Q514" t="s">
        <v>40</v>
      </c>
      <c r="R514">
        <v>27</v>
      </c>
      <c r="S514">
        <v>1</v>
      </c>
      <c r="T514" t="s">
        <v>2110</v>
      </c>
      <c r="U514" t="s">
        <v>2111</v>
      </c>
      <c r="V514">
        <v>0</v>
      </c>
      <c r="W514" s="26" t="str">
        <f t="shared" si="7"/>
        <v>(3606,null,1,'2026-04-28 00:00:00','003312010050000-33120100502','003312010050000-33120100502','小儿前列腺脓肿切开术',null,null,1755,1585,1345,null,1820,1640,1390,'次',27,1,'normal','main',0),</v>
      </c>
    </row>
    <row r="515" spans="1:23">
      <c r="A515">
        <v>3607</v>
      </c>
      <c r="B515" t="s">
        <v>2108</v>
      </c>
      <c r="C515">
        <v>1</v>
      </c>
      <c r="D515" s="21" t="s">
        <v>2109</v>
      </c>
      <c r="E515" t="s">
        <v>1831</v>
      </c>
      <c r="F515" t="s">
        <v>1831</v>
      </c>
      <c r="G515" t="s">
        <v>1832</v>
      </c>
      <c r="H515" t="s">
        <v>2108</v>
      </c>
      <c r="I515" t="s">
        <v>2108</v>
      </c>
      <c r="J515">
        <v>2625</v>
      </c>
      <c r="K515">
        <v>2365</v>
      </c>
      <c r="L515">
        <v>2010</v>
      </c>
      <c r="M515" t="s">
        <v>2108</v>
      </c>
      <c r="N515">
        <v>1820</v>
      </c>
      <c r="O515">
        <v>1640</v>
      </c>
      <c r="P515">
        <v>1390</v>
      </c>
      <c r="Q515" t="s">
        <v>40</v>
      </c>
      <c r="R515">
        <v>27</v>
      </c>
      <c r="S515">
        <v>1</v>
      </c>
      <c r="T515" t="s">
        <v>2110</v>
      </c>
      <c r="U515" t="s">
        <v>2111</v>
      </c>
      <c r="V515">
        <v>0</v>
      </c>
      <c r="W515" s="26" t="str">
        <f t="shared" ref="W515:W575" si="8">"("&amp;A515&amp;","&amp;B515&amp;","&amp;C515&amp;",'"&amp;D515&amp;"','"&amp;E515&amp;"','"&amp;F515&amp;"','"&amp;G515&amp;"',"&amp;H515&amp;","&amp;I515&amp;","&amp;J515&amp;","&amp;K515&amp;","&amp;L515&amp;","&amp;M515&amp;","&amp;N515&amp;","&amp;O515&amp;","&amp;P515&amp;",'"&amp;Q515&amp;"',"&amp;R515&amp;","&amp;S515&amp;",'"&amp;T515&amp;"','"&amp;U515&amp;"',"&amp;V515&amp;"),"</f>
        <v>(3607,null,1,'2026-04-28 00:00:00','003312010050000-33120100503','003312010050000-33120100503','小儿前列腺脓肿切开术（电切法）',null,null,2625,2365,2010,null,1820,1640,1390,'次',27,1,'normal','main',0),</v>
      </c>
    </row>
    <row r="516" spans="1:23">
      <c r="A516">
        <v>3608</v>
      </c>
      <c r="B516" t="s">
        <v>2108</v>
      </c>
      <c r="C516">
        <v>1</v>
      </c>
      <c r="D516" s="21" t="s">
        <v>2109</v>
      </c>
      <c r="E516" t="s">
        <v>1833</v>
      </c>
      <c r="F516" t="s">
        <v>1833</v>
      </c>
      <c r="G516" t="s">
        <v>1834</v>
      </c>
      <c r="H516" t="s">
        <v>2108</v>
      </c>
      <c r="I516" t="s">
        <v>2108</v>
      </c>
      <c r="J516">
        <v>2005</v>
      </c>
      <c r="K516">
        <v>1810</v>
      </c>
      <c r="L516">
        <v>1535</v>
      </c>
      <c r="M516" t="s">
        <v>2108</v>
      </c>
      <c r="N516">
        <v>1820</v>
      </c>
      <c r="O516">
        <v>1640</v>
      </c>
      <c r="P516">
        <v>1390</v>
      </c>
      <c r="Q516" t="s">
        <v>40</v>
      </c>
      <c r="R516">
        <v>27</v>
      </c>
      <c r="S516">
        <v>1</v>
      </c>
      <c r="T516" t="s">
        <v>2110</v>
      </c>
      <c r="U516" t="s">
        <v>2111</v>
      </c>
      <c r="V516">
        <v>0</v>
      </c>
      <c r="W516" s="26" t="str">
        <f t="shared" si="8"/>
        <v>(3608,null,1,'2026-04-28 00:00:00','003312010050000-33120100506','003312010050000-33120100506','小儿经膀胱镜前列腺脓肿切开术',null,null,2005,1810,1535,null,1820,1640,1390,'次',27,1,'normal','main',0),</v>
      </c>
    </row>
    <row r="517" spans="1:23">
      <c r="A517">
        <v>3609</v>
      </c>
      <c r="B517" t="s">
        <v>2108</v>
      </c>
      <c r="C517">
        <v>1</v>
      </c>
      <c r="D517" s="21" t="s">
        <v>2109</v>
      </c>
      <c r="E517" t="s">
        <v>1835</v>
      </c>
      <c r="F517" t="s">
        <v>1835</v>
      </c>
      <c r="G517" t="s">
        <v>1836</v>
      </c>
      <c r="H517" t="s">
        <v>2108</v>
      </c>
      <c r="I517" t="s">
        <v>2108</v>
      </c>
      <c r="J517">
        <v>2875</v>
      </c>
      <c r="K517">
        <v>2590</v>
      </c>
      <c r="L517">
        <v>2200</v>
      </c>
      <c r="M517" t="s">
        <v>2108</v>
      </c>
      <c r="N517">
        <v>1820</v>
      </c>
      <c r="O517">
        <v>1640</v>
      </c>
      <c r="P517">
        <v>1390</v>
      </c>
      <c r="Q517" t="s">
        <v>40</v>
      </c>
      <c r="R517">
        <v>27</v>
      </c>
      <c r="S517">
        <v>1</v>
      </c>
      <c r="T517" t="s">
        <v>2110</v>
      </c>
      <c r="U517" t="s">
        <v>2111</v>
      </c>
      <c r="V517">
        <v>0</v>
      </c>
      <c r="W517" s="26" t="str">
        <f t="shared" si="8"/>
        <v>(3609,null,1,'2026-04-28 00:00:00','003312010050000-33120100507','003312010050000-33120100507','小儿经膀胱镜前列腺脓肿切开术（电切法）',null,null,2875,2590,2200,null,1820,1640,1390,'次',27,1,'normal','main',0),</v>
      </c>
    </row>
    <row r="518" spans="1:23">
      <c r="A518">
        <v>3610</v>
      </c>
      <c r="B518" t="s">
        <v>2108</v>
      </c>
      <c r="C518">
        <v>1</v>
      </c>
      <c r="D518" s="21" t="s">
        <v>2109</v>
      </c>
      <c r="E518" t="s">
        <v>1841</v>
      </c>
      <c r="F518" t="s">
        <v>1841</v>
      </c>
      <c r="G518" t="s">
        <v>1842</v>
      </c>
      <c r="H518" t="s">
        <v>2108</v>
      </c>
      <c r="I518" t="s">
        <v>2108</v>
      </c>
      <c r="J518">
        <v>625</v>
      </c>
      <c r="K518">
        <v>600</v>
      </c>
      <c r="L518">
        <v>510</v>
      </c>
      <c r="M518" t="s">
        <v>2108</v>
      </c>
      <c r="N518">
        <v>600</v>
      </c>
      <c r="O518">
        <v>560</v>
      </c>
      <c r="P518">
        <v>480</v>
      </c>
      <c r="Q518" t="s">
        <v>40</v>
      </c>
      <c r="R518">
        <v>27</v>
      </c>
      <c r="S518">
        <v>1</v>
      </c>
      <c r="T518" t="s">
        <v>2110</v>
      </c>
      <c r="U518" t="s">
        <v>2111</v>
      </c>
      <c r="V518">
        <v>0</v>
      </c>
      <c r="W518" s="26" t="str">
        <f t="shared" si="8"/>
        <v>(3610,null,1,'2026-04-28 00:00:00','003312020040000-331202004','003312020040000-331202004','阴囊肿物切除术',null,null,625,600,510,null,600,560,480,'次',27,1,'normal','main',0),</v>
      </c>
    </row>
    <row r="519" spans="1:23">
      <c r="A519">
        <v>3611</v>
      </c>
      <c r="B519" t="s">
        <v>2108</v>
      </c>
      <c r="C519">
        <v>1</v>
      </c>
      <c r="D519" s="21" t="s">
        <v>2109</v>
      </c>
      <c r="E519" t="s">
        <v>1847</v>
      </c>
      <c r="F519" t="s">
        <v>1847</v>
      </c>
      <c r="G519" t="s">
        <v>1848</v>
      </c>
      <c r="H519" t="s">
        <v>2108</v>
      </c>
      <c r="I519" t="s">
        <v>2108</v>
      </c>
      <c r="J519">
        <v>815</v>
      </c>
      <c r="K519">
        <v>780</v>
      </c>
      <c r="L519">
        <v>665</v>
      </c>
      <c r="M519" t="s">
        <v>2108</v>
      </c>
      <c r="N519">
        <v>780</v>
      </c>
      <c r="O519">
        <v>725</v>
      </c>
      <c r="P519">
        <v>625</v>
      </c>
      <c r="Q519" t="s">
        <v>40</v>
      </c>
      <c r="R519">
        <v>27</v>
      </c>
      <c r="S519">
        <v>1</v>
      </c>
      <c r="T519" t="s">
        <v>2110</v>
      </c>
      <c r="U519" t="s">
        <v>2111</v>
      </c>
      <c r="V519">
        <v>0</v>
      </c>
      <c r="W519" s="26" t="str">
        <f t="shared" si="8"/>
        <v>(3611,null,1,'2026-04-28 00:00:00','003312020040000-33120200401','003312020040000-33120200401','小儿阴囊肿物切除术',null,null,815,780,665,null,780,725,625,'次',27,1,'normal','main',0),</v>
      </c>
    </row>
    <row r="520" spans="1:23">
      <c r="A520">
        <v>3612</v>
      </c>
      <c r="B520" t="s">
        <v>2108</v>
      </c>
      <c r="C520">
        <v>1</v>
      </c>
      <c r="D520" s="21" t="s">
        <v>2109</v>
      </c>
      <c r="E520" t="s">
        <v>1853</v>
      </c>
      <c r="F520" t="s">
        <v>1853</v>
      </c>
      <c r="G520" t="s">
        <v>1854</v>
      </c>
      <c r="H520" t="s">
        <v>2108</v>
      </c>
      <c r="I520" t="s">
        <v>2108</v>
      </c>
      <c r="J520">
        <v>250</v>
      </c>
      <c r="K520">
        <v>240</v>
      </c>
      <c r="L520">
        <v>204</v>
      </c>
      <c r="M520" t="s">
        <v>2108</v>
      </c>
      <c r="N520">
        <v>250</v>
      </c>
      <c r="O520">
        <v>225</v>
      </c>
      <c r="P520">
        <v>190</v>
      </c>
      <c r="Q520" t="s">
        <v>40</v>
      </c>
      <c r="R520">
        <v>27</v>
      </c>
      <c r="S520">
        <v>1</v>
      </c>
      <c r="T520" t="s">
        <v>2110</v>
      </c>
      <c r="U520" t="s">
        <v>2111</v>
      </c>
      <c r="V520">
        <v>0</v>
      </c>
      <c r="W520" s="26" t="str">
        <f t="shared" si="8"/>
        <v>(3612,null,1,'2026-04-28 00:00:00','003312020010000-331202001','003312020010000-331202001','阴囊坏死扩创术',null,null,250,240,204,null,250,225,190,'次',27,1,'normal','main',0),</v>
      </c>
    </row>
    <row r="521" spans="1:23">
      <c r="A521">
        <v>3613</v>
      </c>
      <c r="B521" t="s">
        <v>2108</v>
      </c>
      <c r="C521">
        <v>1</v>
      </c>
      <c r="D521" s="21" t="s">
        <v>2109</v>
      </c>
      <c r="E521" t="s">
        <v>1855</v>
      </c>
      <c r="F521" t="s">
        <v>1855</v>
      </c>
      <c r="G521" t="s">
        <v>1856</v>
      </c>
      <c r="H521" t="s">
        <v>2108</v>
      </c>
      <c r="I521" t="s">
        <v>2108</v>
      </c>
      <c r="J521">
        <v>250</v>
      </c>
      <c r="K521">
        <v>240</v>
      </c>
      <c r="L521">
        <v>204</v>
      </c>
      <c r="M521" t="s">
        <v>2108</v>
      </c>
      <c r="N521">
        <v>250</v>
      </c>
      <c r="O521">
        <v>225</v>
      </c>
      <c r="P521">
        <v>190</v>
      </c>
      <c r="Q521" t="s">
        <v>40</v>
      </c>
      <c r="R521">
        <v>27</v>
      </c>
      <c r="S521">
        <v>1</v>
      </c>
      <c r="T521" t="s">
        <v>2110</v>
      </c>
      <c r="U521" t="s">
        <v>2111</v>
      </c>
      <c r="V521">
        <v>0</v>
      </c>
      <c r="W521" s="26" t="str">
        <f t="shared" si="8"/>
        <v>(3613,null,1,'2026-04-28 00:00:00','003312020020000-331202002','003312020020000-331202002','阴囊脓肿引流术',null,null,250,240,204,null,250,225,190,'次',27,1,'normal','main',0),</v>
      </c>
    </row>
    <row r="522" spans="1:23">
      <c r="A522">
        <v>3614</v>
      </c>
      <c r="B522" t="s">
        <v>2108</v>
      </c>
      <c r="C522">
        <v>1</v>
      </c>
      <c r="D522" s="21" t="s">
        <v>2109</v>
      </c>
      <c r="E522" t="s">
        <v>1860</v>
      </c>
      <c r="F522" t="s">
        <v>1860</v>
      </c>
      <c r="G522" t="s">
        <v>1861</v>
      </c>
      <c r="H522" t="s">
        <v>2108</v>
      </c>
      <c r="I522" t="s">
        <v>2108</v>
      </c>
      <c r="J522">
        <v>325</v>
      </c>
      <c r="K522">
        <v>310</v>
      </c>
      <c r="L522">
        <v>265</v>
      </c>
      <c r="M522" t="s">
        <v>2108</v>
      </c>
      <c r="N522">
        <v>325</v>
      </c>
      <c r="O522">
        <v>293</v>
      </c>
      <c r="P522">
        <v>247</v>
      </c>
      <c r="Q522" t="s">
        <v>40</v>
      </c>
      <c r="R522">
        <v>27</v>
      </c>
      <c r="S522">
        <v>1</v>
      </c>
      <c r="T522" t="s">
        <v>2110</v>
      </c>
      <c r="U522" t="s">
        <v>2111</v>
      </c>
      <c r="V522">
        <v>0</v>
      </c>
      <c r="W522" s="26" t="str">
        <f t="shared" si="8"/>
        <v>(3614,null,1,'2026-04-28 00:00:00','003312020010000-33120200101','003312020010000-33120200101','小儿阴囊坏死扩创术',null,null,325,310,265,null,325,293,247,'次',27,1,'normal','main',0),</v>
      </c>
    </row>
    <row r="523" spans="1:23">
      <c r="A523">
        <v>3615</v>
      </c>
      <c r="B523" t="s">
        <v>2108</v>
      </c>
      <c r="C523">
        <v>1</v>
      </c>
      <c r="D523" s="21" t="s">
        <v>2109</v>
      </c>
      <c r="E523" t="s">
        <v>1862</v>
      </c>
      <c r="F523" t="s">
        <v>1862</v>
      </c>
      <c r="G523" t="s">
        <v>1863</v>
      </c>
      <c r="H523" t="s">
        <v>2108</v>
      </c>
      <c r="I523" t="s">
        <v>2108</v>
      </c>
      <c r="J523">
        <v>325</v>
      </c>
      <c r="K523">
        <v>310</v>
      </c>
      <c r="L523">
        <v>265</v>
      </c>
      <c r="M523" t="s">
        <v>2108</v>
      </c>
      <c r="N523">
        <v>325</v>
      </c>
      <c r="O523">
        <v>293</v>
      </c>
      <c r="P523">
        <v>247</v>
      </c>
      <c r="Q523" t="s">
        <v>40</v>
      </c>
      <c r="R523">
        <v>27</v>
      </c>
      <c r="S523">
        <v>1</v>
      </c>
      <c r="T523" t="s">
        <v>2110</v>
      </c>
      <c r="U523" t="s">
        <v>2111</v>
      </c>
      <c r="V523">
        <v>0</v>
      </c>
      <c r="W523" s="26" t="str">
        <f t="shared" si="8"/>
        <v>(3615,null,1,'2026-04-28 00:00:00','003312020020000-33120200201','003312020020000-33120200201','小儿阴囊脓肿引流术',null,null,325,310,265,null,325,293,247,'次',27,1,'normal','main',0),</v>
      </c>
    </row>
    <row r="524" spans="1:23">
      <c r="A524">
        <v>3616</v>
      </c>
      <c r="B524" t="s">
        <v>2108</v>
      </c>
      <c r="C524">
        <v>1</v>
      </c>
      <c r="D524" s="21" t="s">
        <v>2109</v>
      </c>
      <c r="E524" t="s">
        <v>1868</v>
      </c>
      <c r="F524" t="s">
        <v>1868</v>
      </c>
      <c r="G524" t="s">
        <v>1869</v>
      </c>
      <c r="H524" t="s">
        <v>2108</v>
      </c>
      <c r="I524" t="s">
        <v>2108</v>
      </c>
      <c r="J524">
        <v>22</v>
      </c>
      <c r="K524">
        <v>20</v>
      </c>
      <c r="L524">
        <v>17</v>
      </c>
      <c r="M524" t="s">
        <v>2108</v>
      </c>
      <c r="N524">
        <v>22</v>
      </c>
      <c r="O524">
        <v>20</v>
      </c>
      <c r="P524">
        <v>17</v>
      </c>
      <c r="Q524" t="s">
        <v>40</v>
      </c>
      <c r="R524">
        <v>27</v>
      </c>
      <c r="S524">
        <v>1</v>
      </c>
      <c r="T524" t="s">
        <v>2110</v>
      </c>
      <c r="U524" t="s">
        <v>2111</v>
      </c>
      <c r="V524">
        <v>0</v>
      </c>
      <c r="W524" s="26" t="str">
        <f t="shared" si="8"/>
        <v>(3616,null,1,'2026-04-28 00:00:00','003111000090000-311100009','003111000090000-311100009','阴茎海绵体内药物注射',null,null,22,20,17,null,22,20,17,'次',27,1,'normal','main',0),</v>
      </c>
    </row>
    <row r="525" spans="1:23">
      <c r="A525">
        <v>3617</v>
      </c>
      <c r="B525" t="s">
        <v>2108</v>
      </c>
      <c r="C525">
        <v>1</v>
      </c>
      <c r="D525" s="21" t="s">
        <v>2109</v>
      </c>
      <c r="E525" t="s">
        <v>1874</v>
      </c>
      <c r="F525" t="s">
        <v>1874</v>
      </c>
      <c r="G525" t="s">
        <v>1875</v>
      </c>
      <c r="H525" t="s">
        <v>2108</v>
      </c>
      <c r="I525" t="s">
        <v>2108</v>
      </c>
      <c r="J525">
        <v>198</v>
      </c>
      <c r="K525">
        <v>180</v>
      </c>
      <c r="L525">
        <v>153</v>
      </c>
      <c r="M525" t="s">
        <v>2108</v>
      </c>
      <c r="N525">
        <v>190</v>
      </c>
      <c r="O525">
        <v>175</v>
      </c>
      <c r="P525">
        <v>150</v>
      </c>
      <c r="Q525" t="s">
        <v>40</v>
      </c>
      <c r="R525">
        <v>27</v>
      </c>
      <c r="S525">
        <v>1</v>
      </c>
      <c r="T525" t="s">
        <v>2110</v>
      </c>
      <c r="U525" t="s">
        <v>2111</v>
      </c>
      <c r="V525">
        <v>0</v>
      </c>
      <c r="W525" s="26" t="str">
        <f t="shared" si="8"/>
        <v>(3617,null,1,'2026-04-28 00:00:00','003111000120000-311100012','003111000120000-311100012','阴茎海绵体灌流治疗术',null,null,198,180,153,null,190,175,150,'次',27,1,'normal','main',0),</v>
      </c>
    </row>
    <row r="526" spans="1:23">
      <c r="A526">
        <v>3618</v>
      </c>
      <c r="B526" t="s">
        <v>2108</v>
      </c>
      <c r="C526">
        <v>1</v>
      </c>
      <c r="D526" s="21" t="s">
        <v>2109</v>
      </c>
      <c r="E526" t="s">
        <v>1880</v>
      </c>
      <c r="F526" t="s">
        <v>1880</v>
      </c>
      <c r="G526" t="s">
        <v>1881</v>
      </c>
      <c r="H526" t="s">
        <v>2108</v>
      </c>
      <c r="I526" t="s">
        <v>2108</v>
      </c>
      <c r="J526">
        <v>1000</v>
      </c>
      <c r="K526">
        <v>960</v>
      </c>
      <c r="L526">
        <v>816</v>
      </c>
      <c r="M526" t="s">
        <v>2108</v>
      </c>
      <c r="N526">
        <v>890</v>
      </c>
      <c r="O526">
        <v>816</v>
      </c>
      <c r="P526">
        <v>695</v>
      </c>
      <c r="Q526" t="s">
        <v>40</v>
      </c>
      <c r="R526">
        <v>27</v>
      </c>
      <c r="S526">
        <v>1</v>
      </c>
      <c r="T526" t="s">
        <v>2110</v>
      </c>
      <c r="U526" t="s">
        <v>2111</v>
      </c>
      <c r="V526">
        <v>0</v>
      </c>
      <c r="W526" s="26" t="str">
        <f t="shared" si="8"/>
        <v>(3618,null,1,'2026-04-28 00:00:00','003312040070000-331204007','003312040070000-331204007','阴茎部分切除术',null,null,1000,960,816,null,890,816,695,'次',27,1,'normal','main',0),</v>
      </c>
    </row>
    <row r="527" spans="1:23">
      <c r="A527">
        <v>3619</v>
      </c>
      <c r="B527" t="s">
        <v>2108</v>
      </c>
      <c r="C527">
        <v>1</v>
      </c>
      <c r="D527" s="21" t="s">
        <v>2109</v>
      </c>
      <c r="E527" t="s">
        <v>1883</v>
      </c>
      <c r="F527" t="s">
        <v>1883</v>
      </c>
      <c r="G527" t="s">
        <v>1884</v>
      </c>
      <c r="H527" t="s">
        <v>2108</v>
      </c>
      <c r="I527" t="s">
        <v>2108</v>
      </c>
      <c r="J527">
        <v>750</v>
      </c>
      <c r="K527">
        <v>720</v>
      </c>
      <c r="L527">
        <v>612</v>
      </c>
      <c r="M527" t="s">
        <v>2108</v>
      </c>
      <c r="N527">
        <v>890</v>
      </c>
      <c r="O527">
        <v>816</v>
      </c>
      <c r="P527">
        <v>695</v>
      </c>
      <c r="Q527" t="s">
        <v>40</v>
      </c>
      <c r="R527">
        <v>27</v>
      </c>
      <c r="S527">
        <v>1</v>
      </c>
      <c r="T527" t="s">
        <v>2110</v>
      </c>
      <c r="U527" t="s">
        <v>2111</v>
      </c>
      <c r="V527">
        <v>0</v>
      </c>
      <c r="W527" s="26" t="str">
        <f t="shared" si="8"/>
        <v>(3619,null,1,'2026-04-28 00:00:00','003312040060000-331204006','003312040060000-331204006','阴茎囊肿切除术',null,null,750,720,612,null,890,816,695,'次',27,1,'normal','main',0),</v>
      </c>
    </row>
    <row r="528" spans="1:23">
      <c r="A528">
        <v>3620</v>
      </c>
      <c r="B528" t="s">
        <v>2108</v>
      </c>
      <c r="C528">
        <v>1</v>
      </c>
      <c r="D528" s="21" t="s">
        <v>2109</v>
      </c>
      <c r="E528" t="s">
        <v>1888</v>
      </c>
      <c r="F528" t="s">
        <v>1888</v>
      </c>
      <c r="G528" t="s">
        <v>1889</v>
      </c>
      <c r="H528" t="s">
        <v>2108</v>
      </c>
      <c r="I528" t="s">
        <v>2108</v>
      </c>
      <c r="J528">
        <v>1300</v>
      </c>
      <c r="K528">
        <v>1250</v>
      </c>
      <c r="L528">
        <v>1065</v>
      </c>
      <c r="M528" t="s">
        <v>2108</v>
      </c>
      <c r="N528">
        <v>1155</v>
      </c>
      <c r="O528">
        <v>1061</v>
      </c>
      <c r="P528">
        <v>905</v>
      </c>
      <c r="Q528" t="s">
        <v>40</v>
      </c>
      <c r="R528">
        <v>27</v>
      </c>
      <c r="S528">
        <v>1</v>
      </c>
      <c r="T528" t="s">
        <v>2110</v>
      </c>
      <c r="U528" t="s">
        <v>2111</v>
      </c>
      <c r="V528">
        <v>0</v>
      </c>
      <c r="W528" s="26" t="str">
        <f t="shared" si="8"/>
        <v>(3620,null,1,'2026-04-28 00:00:00','003312040070000-33120400701','003312040070000-33120400701','小儿阴茎部分切除术',null,null,1300,1250,1065,null,1155,1061,905,'次',27,1,'normal','main',0),</v>
      </c>
    </row>
    <row r="529" spans="1:23">
      <c r="A529">
        <v>3621</v>
      </c>
      <c r="B529" t="s">
        <v>2108</v>
      </c>
      <c r="C529">
        <v>1</v>
      </c>
      <c r="D529" s="21" t="s">
        <v>2109</v>
      </c>
      <c r="E529" t="s">
        <v>1890</v>
      </c>
      <c r="F529" t="s">
        <v>1890</v>
      </c>
      <c r="G529" t="s">
        <v>1891</v>
      </c>
      <c r="H529" t="s">
        <v>2108</v>
      </c>
      <c r="I529" t="s">
        <v>2108</v>
      </c>
      <c r="J529">
        <v>975</v>
      </c>
      <c r="K529">
        <v>935</v>
      </c>
      <c r="L529">
        <v>795</v>
      </c>
      <c r="M529" t="s">
        <v>2108</v>
      </c>
      <c r="N529">
        <v>1155</v>
      </c>
      <c r="O529">
        <v>1061</v>
      </c>
      <c r="P529">
        <v>905</v>
      </c>
      <c r="Q529" t="s">
        <v>40</v>
      </c>
      <c r="R529">
        <v>27</v>
      </c>
      <c r="S529">
        <v>1</v>
      </c>
      <c r="T529" t="s">
        <v>2110</v>
      </c>
      <c r="U529" t="s">
        <v>2111</v>
      </c>
      <c r="V529">
        <v>0</v>
      </c>
      <c r="W529" s="26" t="str">
        <f t="shared" si="8"/>
        <v>(3621,null,1,'2026-04-28 00:00:00','003312040060000-33120400601','003312040060000-33120400601','小儿阴茎囊肿切除术',null,null,975,935,795,null,1155,1061,905,'次',27,1,'normal','main',0),</v>
      </c>
    </row>
    <row r="530" spans="1:23">
      <c r="A530">
        <v>3622</v>
      </c>
      <c r="B530" t="s">
        <v>2108</v>
      </c>
      <c r="C530">
        <v>1</v>
      </c>
      <c r="D530" s="21" t="s">
        <v>2109</v>
      </c>
      <c r="E530" t="s">
        <v>1897</v>
      </c>
      <c r="F530" t="s">
        <v>1897</v>
      </c>
      <c r="G530" t="s">
        <v>1898</v>
      </c>
      <c r="H530" t="s">
        <v>2108</v>
      </c>
      <c r="I530" t="s">
        <v>2108</v>
      </c>
      <c r="J530">
        <v>1250</v>
      </c>
      <c r="K530">
        <v>1200</v>
      </c>
      <c r="L530">
        <v>1020</v>
      </c>
      <c r="M530" t="s">
        <v>2108</v>
      </c>
      <c r="N530">
        <v>1500</v>
      </c>
      <c r="O530">
        <v>1350</v>
      </c>
      <c r="P530">
        <v>1150</v>
      </c>
      <c r="Q530" t="s">
        <v>40</v>
      </c>
      <c r="R530">
        <v>27</v>
      </c>
      <c r="S530">
        <v>1</v>
      </c>
      <c r="T530" t="s">
        <v>2110</v>
      </c>
      <c r="U530" t="s">
        <v>2111</v>
      </c>
      <c r="V530">
        <v>0</v>
      </c>
      <c r="W530" s="26" t="str">
        <f t="shared" si="8"/>
        <v>(3622,null,1,'2026-04-28 00:00:00','003312040080000-331204008','003312040080000-331204008','阴茎全切术',null,null,1250,1200,1020,null,1500,1350,1150,'次',27,1,'normal','main',0),</v>
      </c>
    </row>
    <row r="531" spans="1:23">
      <c r="A531">
        <v>3623</v>
      </c>
      <c r="B531" t="s">
        <v>2108</v>
      </c>
      <c r="C531">
        <v>1</v>
      </c>
      <c r="D531" s="21" t="s">
        <v>2109</v>
      </c>
      <c r="E531" t="s">
        <v>1902</v>
      </c>
      <c r="F531" t="s">
        <v>1902</v>
      </c>
      <c r="G531" t="s">
        <v>1903</v>
      </c>
      <c r="H531" t="s">
        <v>2108</v>
      </c>
      <c r="I531" t="s">
        <v>2108</v>
      </c>
      <c r="J531">
        <v>2530</v>
      </c>
      <c r="K531">
        <v>2280</v>
      </c>
      <c r="L531">
        <v>1940</v>
      </c>
      <c r="M531" t="s">
        <v>2108</v>
      </c>
      <c r="N531">
        <v>2875</v>
      </c>
      <c r="O531">
        <v>2585</v>
      </c>
      <c r="P531">
        <v>2205</v>
      </c>
      <c r="Q531" t="s">
        <v>40</v>
      </c>
      <c r="R531">
        <v>27</v>
      </c>
      <c r="S531">
        <v>1</v>
      </c>
      <c r="T531" t="s">
        <v>2110</v>
      </c>
      <c r="U531" t="s">
        <v>2111</v>
      </c>
      <c r="V531">
        <v>0</v>
      </c>
      <c r="W531" s="26" t="str">
        <f t="shared" si="8"/>
        <v>(3623,null,1,'2026-04-28 00:00:00','003312040090000-331204009','003312040090000-331204009','阴茎阴囊全切术',null,null,2530,2280,1940,null,2875,2585,2205,'次',27,1,'normal','main',0),</v>
      </c>
    </row>
    <row r="532" spans="1:23">
      <c r="A532">
        <v>3624</v>
      </c>
      <c r="B532" t="s">
        <v>2108</v>
      </c>
      <c r="C532">
        <v>1</v>
      </c>
      <c r="D532" s="21" t="s">
        <v>2109</v>
      </c>
      <c r="E532" t="s">
        <v>1905</v>
      </c>
      <c r="F532" t="s">
        <v>1905</v>
      </c>
      <c r="G532" t="s">
        <v>1906</v>
      </c>
      <c r="H532" t="s">
        <v>2108</v>
      </c>
      <c r="I532" t="s">
        <v>2108</v>
      </c>
      <c r="J532">
        <v>2820</v>
      </c>
      <c r="K532">
        <v>2540</v>
      </c>
      <c r="L532">
        <v>2160</v>
      </c>
      <c r="M532" t="s">
        <v>2108</v>
      </c>
      <c r="N532">
        <v>2875</v>
      </c>
      <c r="O532">
        <v>2585</v>
      </c>
      <c r="P532">
        <v>2205</v>
      </c>
      <c r="Q532" t="s">
        <v>40</v>
      </c>
      <c r="R532">
        <v>27</v>
      </c>
      <c r="S532">
        <v>1</v>
      </c>
      <c r="T532" t="s">
        <v>2110</v>
      </c>
      <c r="U532" t="s">
        <v>2111</v>
      </c>
      <c r="V532">
        <v>0</v>
      </c>
      <c r="W532" s="26" t="str">
        <f t="shared" si="8"/>
        <v>(3624,null,1,'2026-04-28 00:00:00','003312040090000-33120400901','003312040090000-33120400901','阴茎阴囊全切术（尿路改道）',null,null,2820,2540,2160,null,2875,2585,2205,'次',27,1,'normal','main',0),</v>
      </c>
    </row>
    <row r="533" spans="1:23">
      <c r="A533">
        <v>3625</v>
      </c>
      <c r="B533" t="s">
        <v>2108</v>
      </c>
      <c r="C533">
        <v>1</v>
      </c>
      <c r="D533" s="21" t="s">
        <v>2109</v>
      </c>
      <c r="E533" t="s">
        <v>1908</v>
      </c>
      <c r="F533" t="s">
        <v>1908</v>
      </c>
      <c r="G533" t="s">
        <v>1909</v>
      </c>
      <c r="H533" t="s">
        <v>2108</v>
      </c>
      <c r="I533" t="s">
        <v>2108</v>
      </c>
      <c r="J533">
        <v>3290</v>
      </c>
      <c r="K533">
        <v>2965</v>
      </c>
      <c r="L533">
        <v>2520</v>
      </c>
      <c r="M533" t="s">
        <v>2108</v>
      </c>
      <c r="N533">
        <v>2875</v>
      </c>
      <c r="O533">
        <v>2585</v>
      </c>
      <c r="P533">
        <v>2205</v>
      </c>
      <c r="Q533" t="s">
        <v>40</v>
      </c>
      <c r="R533">
        <v>27</v>
      </c>
      <c r="S533">
        <v>1</v>
      </c>
      <c r="T533" t="s">
        <v>2110</v>
      </c>
      <c r="U533" t="s">
        <v>2111</v>
      </c>
      <c r="V533">
        <v>0</v>
      </c>
      <c r="W533" s="26" t="str">
        <f t="shared" si="8"/>
        <v>(3625,null,1,'2026-04-28 00:00:00','003312040090000-33120400902','003312040090000-33120400902','小儿阴茎阴囊全切术',null,null,3290,2965,2520,null,2875,2585,2205,'次',27,1,'normal','main',0),</v>
      </c>
    </row>
    <row r="534" spans="1:23">
      <c r="A534">
        <v>3626</v>
      </c>
      <c r="B534" t="s">
        <v>2108</v>
      </c>
      <c r="C534">
        <v>1</v>
      </c>
      <c r="D534" s="21" t="s">
        <v>2109</v>
      </c>
      <c r="E534" t="s">
        <v>1910</v>
      </c>
      <c r="F534" t="s">
        <v>1910</v>
      </c>
      <c r="G534" t="s">
        <v>1911</v>
      </c>
      <c r="H534" t="s">
        <v>2108</v>
      </c>
      <c r="I534" t="s">
        <v>2108</v>
      </c>
      <c r="J534">
        <v>3665</v>
      </c>
      <c r="K534">
        <v>3300</v>
      </c>
      <c r="L534">
        <v>2805</v>
      </c>
      <c r="M534" t="s">
        <v>2108</v>
      </c>
      <c r="N534">
        <v>2875</v>
      </c>
      <c r="O534">
        <v>2585</v>
      </c>
      <c r="P534">
        <v>2205</v>
      </c>
      <c r="Q534" t="s">
        <v>40</v>
      </c>
      <c r="R534">
        <v>27</v>
      </c>
      <c r="S534">
        <v>1</v>
      </c>
      <c r="T534" t="s">
        <v>2110</v>
      </c>
      <c r="U534" t="s">
        <v>2111</v>
      </c>
      <c r="V534">
        <v>0</v>
      </c>
      <c r="W534" s="26" t="str">
        <f t="shared" si="8"/>
        <v>(3626,null,1,'2026-04-28 00:00:00','003312040090000-33120400903','003312040090000-33120400903','小儿阴茎阴囊全切术（尿路改道）',null,null,3665,3300,2805,null,2875,2585,2205,'次',27,1,'normal','main',0),</v>
      </c>
    </row>
    <row r="535" spans="1:23">
      <c r="A535">
        <v>3627</v>
      </c>
      <c r="B535" t="s">
        <v>2108</v>
      </c>
      <c r="C535">
        <v>1</v>
      </c>
      <c r="D535" s="21" t="s">
        <v>2109</v>
      </c>
      <c r="E535" t="s">
        <v>1914</v>
      </c>
      <c r="F535" t="s">
        <v>1914</v>
      </c>
      <c r="G535" t="s">
        <v>1915</v>
      </c>
      <c r="H535" t="s">
        <v>2108</v>
      </c>
      <c r="I535" t="s">
        <v>2108</v>
      </c>
      <c r="J535">
        <v>1625</v>
      </c>
      <c r="K535">
        <v>1560</v>
      </c>
      <c r="L535">
        <v>1325</v>
      </c>
      <c r="M535" t="s">
        <v>2108</v>
      </c>
      <c r="N535">
        <v>1950</v>
      </c>
      <c r="O535">
        <v>1755</v>
      </c>
      <c r="P535">
        <v>1495</v>
      </c>
      <c r="Q535" t="s">
        <v>40</v>
      </c>
      <c r="R535">
        <v>27</v>
      </c>
      <c r="S535">
        <v>1</v>
      </c>
      <c r="T535" t="s">
        <v>2110</v>
      </c>
      <c r="U535" t="s">
        <v>2111</v>
      </c>
      <c r="V535">
        <v>0</v>
      </c>
      <c r="W535" s="26" t="str">
        <f t="shared" si="8"/>
        <v>(3627,null,1,'2026-04-28 00:00:00','003312040080000-33120400801','003312040080000-33120400801','小儿阴茎全切术',null,null,1625,1560,1325,null,1950,1755,1495,'次',27,1,'normal','main',0),</v>
      </c>
    </row>
    <row r="536" spans="1:23">
      <c r="A536">
        <v>3628</v>
      </c>
      <c r="B536" t="s">
        <v>2108</v>
      </c>
      <c r="C536">
        <v>1</v>
      </c>
      <c r="D536" s="21" t="s">
        <v>2109</v>
      </c>
      <c r="E536" t="s">
        <v>1921</v>
      </c>
      <c r="F536" t="s">
        <v>1921</v>
      </c>
      <c r="G536" t="s">
        <v>1922</v>
      </c>
      <c r="H536" t="s">
        <v>2108</v>
      </c>
      <c r="I536" t="s">
        <v>2108</v>
      </c>
      <c r="J536">
        <v>1250</v>
      </c>
      <c r="K536">
        <v>1200</v>
      </c>
      <c r="L536">
        <v>1020</v>
      </c>
      <c r="M536" t="s">
        <v>2108</v>
      </c>
      <c r="N536">
        <v>1250</v>
      </c>
      <c r="O536">
        <v>1200</v>
      </c>
      <c r="P536">
        <v>1020</v>
      </c>
      <c r="Q536" t="s">
        <v>40</v>
      </c>
      <c r="R536">
        <v>27</v>
      </c>
      <c r="S536">
        <v>1</v>
      </c>
      <c r="T536" t="s">
        <v>2110</v>
      </c>
      <c r="U536" t="s">
        <v>2111</v>
      </c>
      <c r="V536">
        <v>0</v>
      </c>
      <c r="W536" s="26" t="str">
        <f t="shared" si="8"/>
        <v>(3628,null,1,'2026-04-28 00:00:00','003312040120000-331204012','003312040120000-331204012','阴茎假体置放术',null,null,1250,1200,1020,null,1250,1200,1020,'次',27,1,'normal','main',0),</v>
      </c>
    </row>
    <row r="537" spans="1:23">
      <c r="A537">
        <v>3629</v>
      </c>
      <c r="B537" t="s">
        <v>2108</v>
      </c>
      <c r="C537">
        <v>1</v>
      </c>
      <c r="D537" s="21" t="s">
        <v>2109</v>
      </c>
      <c r="E537" t="s">
        <v>1925</v>
      </c>
      <c r="F537" t="s">
        <v>1925</v>
      </c>
      <c r="G537" t="s">
        <v>1926</v>
      </c>
      <c r="H537" t="s">
        <v>2108</v>
      </c>
      <c r="I537" t="s">
        <v>2108</v>
      </c>
      <c r="J537">
        <v>1625</v>
      </c>
      <c r="K537">
        <v>1560</v>
      </c>
      <c r="L537">
        <v>1325</v>
      </c>
      <c r="M537" t="s">
        <v>2108</v>
      </c>
      <c r="N537">
        <v>1625</v>
      </c>
      <c r="O537">
        <v>1560</v>
      </c>
      <c r="P537">
        <v>1325</v>
      </c>
      <c r="Q537" t="s">
        <v>40</v>
      </c>
      <c r="R537">
        <v>27</v>
      </c>
      <c r="S537">
        <v>1</v>
      </c>
      <c r="T537" t="s">
        <v>2110</v>
      </c>
      <c r="U537" t="s">
        <v>2111</v>
      </c>
      <c r="V537">
        <v>0</v>
      </c>
      <c r="W537" s="26" t="str">
        <f t="shared" si="8"/>
        <v>(3629,null,1,'2026-04-28 00:00:00','003312040120000-33120401201','003312040120000-33120401201','小儿阴茎假体置放术',null,null,1625,1560,1325,null,1625,1560,1325,'次',27,1,'normal','main',0),</v>
      </c>
    </row>
    <row r="538" spans="1:23">
      <c r="A538">
        <v>3630</v>
      </c>
      <c r="B538" t="s">
        <v>2108</v>
      </c>
      <c r="C538">
        <v>1</v>
      </c>
      <c r="D538" s="21" t="s">
        <v>2109</v>
      </c>
      <c r="E538" t="s">
        <v>1946</v>
      </c>
      <c r="F538" t="s">
        <v>1946</v>
      </c>
      <c r="G538" t="s">
        <v>1947</v>
      </c>
      <c r="H538" t="s">
        <v>2108</v>
      </c>
      <c r="I538" t="s">
        <v>2108</v>
      </c>
      <c r="J538">
        <v>2530</v>
      </c>
      <c r="K538">
        <v>2280</v>
      </c>
      <c r="L538">
        <v>1940</v>
      </c>
      <c r="M538" t="s">
        <v>2108</v>
      </c>
      <c r="N538">
        <v>2600</v>
      </c>
      <c r="O538">
        <v>2350</v>
      </c>
      <c r="P538">
        <v>2000</v>
      </c>
      <c r="Q538" t="s">
        <v>40</v>
      </c>
      <c r="R538">
        <v>27</v>
      </c>
      <c r="S538">
        <v>1</v>
      </c>
      <c r="T538" t="s">
        <v>2110</v>
      </c>
      <c r="U538" t="s">
        <v>2111</v>
      </c>
      <c r="V538">
        <v>0</v>
      </c>
      <c r="W538" s="26" t="str">
        <f t="shared" si="8"/>
        <v>(3630,null,1,'2026-04-28 00:00:00','003312040050000-331204005','003312040050000-331204005','阴茎再植术',null,null,2530,2280,1940,null,2600,2350,2000,'次',27,1,'normal','main',0),</v>
      </c>
    </row>
    <row r="539" spans="1:23">
      <c r="A539">
        <v>3631</v>
      </c>
      <c r="B539" t="s">
        <v>2108</v>
      </c>
      <c r="C539">
        <v>1</v>
      </c>
      <c r="D539" s="21" t="s">
        <v>2109</v>
      </c>
      <c r="E539" t="s">
        <v>1948</v>
      </c>
      <c r="F539" t="s">
        <v>1948</v>
      </c>
      <c r="G539" t="s">
        <v>1949</v>
      </c>
      <c r="H539" t="s">
        <v>2108</v>
      </c>
      <c r="I539" t="s">
        <v>2108</v>
      </c>
      <c r="J539">
        <v>3040</v>
      </c>
      <c r="K539">
        <v>2740</v>
      </c>
      <c r="L539">
        <v>2330</v>
      </c>
      <c r="M539" t="s">
        <v>2108</v>
      </c>
      <c r="N539">
        <v>2600</v>
      </c>
      <c r="O539">
        <v>2350</v>
      </c>
      <c r="P539">
        <v>2000</v>
      </c>
      <c r="Q539" t="s">
        <v>40</v>
      </c>
      <c r="R539">
        <v>27</v>
      </c>
      <c r="S539">
        <v>1</v>
      </c>
      <c r="T539" t="s">
        <v>2110</v>
      </c>
      <c r="U539" t="s">
        <v>2111</v>
      </c>
      <c r="V539">
        <v>0</v>
      </c>
      <c r="W539" s="26" t="str">
        <f t="shared" si="8"/>
        <v>(3631,null,1,'2026-04-28 00:00:00','003312040110000-331204011','003312040110000-331204011','阴茎再造术',null,null,3040,2740,2330,null,2600,2350,2000,'次',27,1,'normal','main',0),</v>
      </c>
    </row>
    <row r="540" spans="1:23">
      <c r="A540">
        <v>3632</v>
      </c>
      <c r="B540" t="s">
        <v>2108</v>
      </c>
      <c r="C540">
        <v>1</v>
      </c>
      <c r="D540" s="21" t="s">
        <v>2109</v>
      </c>
      <c r="E540" t="s">
        <v>1955</v>
      </c>
      <c r="F540" t="s">
        <v>1955</v>
      </c>
      <c r="G540" t="s">
        <v>1956</v>
      </c>
      <c r="H540" t="s">
        <v>2108</v>
      </c>
      <c r="I540" t="s">
        <v>2108</v>
      </c>
      <c r="J540">
        <v>3290</v>
      </c>
      <c r="K540">
        <v>2965</v>
      </c>
      <c r="L540">
        <v>2520</v>
      </c>
      <c r="M540" t="s">
        <v>2108</v>
      </c>
      <c r="N540">
        <v>3380</v>
      </c>
      <c r="O540">
        <v>3055</v>
      </c>
      <c r="P540">
        <v>2600</v>
      </c>
      <c r="Q540" t="s">
        <v>40</v>
      </c>
      <c r="R540">
        <v>27</v>
      </c>
      <c r="S540">
        <v>1</v>
      </c>
      <c r="T540" t="s">
        <v>2110</v>
      </c>
      <c r="U540" t="s">
        <v>2111</v>
      </c>
      <c r="V540">
        <v>0</v>
      </c>
      <c r="W540" s="26" t="str">
        <f t="shared" si="8"/>
        <v>(3632,null,1,'2026-04-28 00:00:00','003312040050000-33120400501','003312040050000-33120400501','小儿阴茎再植术',null,null,3290,2965,2520,null,3380,3055,2600,'次',27,1,'normal','main',0),</v>
      </c>
    </row>
    <row r="541" spans="1:23">
      <c r="A541">
        <v>3633</v>
      </c>
      <c r="B541" t="s">
        <v>2108</v>
      </c>
      <c r="C541">
        <v>1</v>
      </c>
      <c r="D541" s="21" t="s">
        <v>2109</v>
      </c>
      <c r="E541" t="s">
        <v>1957</v>
      </c>
      <c r="F541" t="s">
        <v>1957</v>
      </c>
      <c r="G541" t="s">
        <v>1958</v>
      </c>
      <c r="H541" t="s">
        <v>2108</v>
      </c>
      <c r="I541" t="s">
        <v>2108</v>
      </c>
      <c r="J541">
        <v>3950</v>
      </c>
      <c r="K541">
        <v>3560</v>
      </c>
      <c r="L541">
        <v>3025</v>
      </c>
      <c r="M541" t="s">
        <v>2108</v>
      </c>
      <c r="N541">
        <v>3380</v>
      </c>
      <c r="O541">
        <v>3055</v>
      </c>
      <c r="P541">
        <v>2600</v>
      </c>
      <c r="Q541" t="s">
        <v>40</v>
      </c>
      <c r="R541">
        <v>27</v>
      </c>
      <c r="S541">
        <v>1</v>
      </c>
      <c r="T541" t="s">
        <v>2110</v>
      </c>
      <c r="U541" t="s">
        <v>2111</v>
      </c>
      <c r="V541">
        <v>0</v>
      </c>
      <c r="W541" s="26" t="str">
        <f t="shared" si="8"/>
        <v>(3633,null,1,'2026-04-28 00:00:00','003312040110000-33120401101','003312040110000-33120401101','小儿阴茎再造术',null,null,3950,3560,3025,null,3380,3055,2600,'次',27,1,'normal','main',0),</v>
      </c>
    </row>
    <row r="542" spans="1:23">
      <c r="A542">
        <v>3634</v>
      </c>
      <c r="B542" t="s">
        <v>2108</v>
      </c>
      <c r="C542">
        <v>1</v>
      </c>
      <c r="D542" s="21" t="s">
        <v>2109</v>
      </c>
      <c r="E542" t="s">
        <v>1964</v>
      </c>
      <c r="F542" t="s">
        <v>1964</v>
      </c>
      <c r="G542" t="s">
        <v>1965</v>
      </c>
      <c r="H542" t="s">
        <v>2108</v>
      </c>
      <c r="I542" t="s">
        <v>2108</v>
      </c>
      <c r="J542">
        <v>1690</v>
      </c>
      <c r="K542">
        <v>1520</v>
      </c>
      <c r="L542">
        <v>1290</v>
      </c>
      <c r="M542" t="s">
        <v>2108</v>
      </c>
      <c r="N542">
        <v>1710</v>
      </c>
      <c r="O542">
        <v>1539</v>
      </c>
      <c r="P542">
        <v>1290</v>
      </c>
      <c r="Q542" t="s">
        <v>40</v>
      </c>
      <c r="R542">
        <v>27</v>
      </c>
      <c r="S542">
        <v>1</v>
      </c>
      <c r="T542" t="s">
        <v>2110</v>
      </c>
      <c r="U542" t="s">
        <v>2111</v>
      </c>
      <c r="V542">
        <v>0</v>
      </c>
      <c r="W542" s="26" t="str">
        <f t="shared" si="8"/>
        <v>(3634,null,1,'2026-04-28 00:00:00','003312040140000-331204014','003312040140000-331204014','阴茎延长术',null,null,1690,1520,1290,null,1710,1539,1290,'次',27,1,'normal','main',0),</v>
      </c>
    </row>
    <row r="543" spans="1:23">
      <c r="A543">
        <v>3635</v>
      </c>
      <c r="B543" t="s">
        <v>2108</v>
      </c>
      <c r="C543">
        <v>1</v>
      </c>
      <c r="D543" s="21" t="s">
        <v>2109</v>
      </c>
      <c r="E543" t="s">
        <v>1967</v>
      </c>
      <c r="F543" t="s">
        <v>1967</v>
      </c>
      <c r="G543" t="s">
        <v>1968</v>
      </c>
      <c r="H543" t="s">
        <v>2108</v>
      </c>
      <c r="I543" t="s">
        <v>2108</v>
      </c>
      <c r="J543">
        <v>1690</v>
      </c>
      <c r="K543">
        <v>1520</v>
      </c>
      <c r="L543">
        <v>1290</v>
      </c>
      <c r="M543" t="s">
        <v>2108</v>
      </c>
      <c r="N543">
        <v>1710</v>
      </c>
      <c r="O543">
        <v>1539</v>
      </c>
      <c r="P543">
        <v>1290</v>
      </c>
      <c r="Q543" t="s">
        <v>40</v>
      </c>
      <c r="R543">
        <v>27</v>
      </c>
      <c r="S543">
        <v>1</v>
      </c>
      <c r="T543" t="s">
        <v>2110</v>
      </c>
      <c r="U543" t="s">
        <v>2111</v>
      </c>
      <c r="V543">
        <v>0</v>
      </c>
      <c r="W543" s="26" t="str">
        <f t="shared" si="8"/>
        <v>(3635,null,1,'2026-04-28 00:00:00','003312040130000-331204013','003312040130000-331204013','阴茎畸型整形术',null,null,1690,1520,1290,null,1710,1539,1290,'次',27,1,'normal','main',0),</v>
      </c>
    </row>
    <row r="544" spans="1:23">
      <c r="A544">
        <v>3636</v>
      </c>
      <c r="B544" t="s">
        <v>2108</v>
      </c>
      <c r="C544">
        <v>1</v>
      </c>
      <c r="D544" s="21" t="s">
        <v>2109</v>
      </c>
      <c r="E544" t="s">
        <v>1970</v>
      </c>
      <c r="F544" t="s">
        <v>1970</v>
      </c>
      <c r="G544" t="s">
        <v>1971</v>
      </c>
      <c r="H544" t="s">
        <v>2108</v>
      </c>
      <c r="I544" t="s">
        <v>2108</v>
      </c>
      <c r="J544">
        <v>2530</v>
      </c>
      <c r="K544">
        <v>2280</v>
      </c>
      <c r="L544">
        <v>1940</v>
      </c>
      <c r="M544" t="s">
        <v>2108</v>
      </c>
      <c r="N544">
        <v>1710</v>
      </c>
      <c r="O544">
        <v>1539</v>
      </c>
      <c r="P544">
        <v>1290</v>
      </c>
      <c r="Q544" t="s">
        <v>40</v>
      </c>
      <c r="R544">
        <v>27</v>
      </c>
      <c r="S544">
        <v>1</v>
      </c>
      <c r="T544" t="s">
        <v>2110</v>
      </c>
      <c r="U544" t="s">
        <v>2111</v>
      </c>
      <c r="V544">
        <v>0</v>
      </c>
      <c r="W544" s="26" t="str">
        <f t="shared" si="8"/>
        <v>(3636,null,1,'2026-04-28 00:00:00','003312040150000-331204015','003312040150000-331204015','阴茎阴囊移位整形术',null,null,2530,2280,1940,null,1710,1539,1290,'次',27,1,'normal','main',0),</v>
      </c>
    </row>
    <row r="545" spans="1:23">
      <c r="A545">
        <v>3637</v>
      </c>
      <c r="B545" t="s">
        <v>2108</v>
      </c>
      <c r="C545">
        <v>1</v>
      </c>
      <c r="D545" s="21" t="s">
        <v>2109</v>
      </c>
      <c r="E545" t="s">
        <v>1973</v>
      </c>
      <c r="F545" t="s">
        <v>1973</v>
      </c>
      <c r="G545" t="s">
        <v>1974</v>
      </c>
      <c r="H545" t="s">
        <v>2108</v>
      </c>
      <c r="I545" t="s">
        <v>2108</v>
      </c>
      <c r="J545">
        <v>3180</v>
      </c>
      <c r="K545">
        <v>2865</v>
      </c>
      <c r="L545">
        <v>2440</v>
      </c>
      <c r="M545" t="s">
        <v>2108</v>
      </c>
      <c r="N545">
        <v>1710</v>
      </c>
      <c r="O545">
        <v>1539</v>
      </c>
      <c r="P545">
        <v>1290</v>
      </c>
      <c r="Q545" t="s">
        <v>40</v>
      </c>
      <c r="R545">
        <v>27</v>
      </c>
      <c r="S545">
        <v>1</v>
      </c>
      <c r="T545" t="s">
        <v>2110</v>
      </c>
      <c r="U545" t="s">
        <v>2111</v>
      </c>
      <c r="V545">
        <v>0</v>
      </c>
      <c r="W545" s="26" t="str">
        <f t="shared" si="8"/>
        <v>(3637,null,1,'2026-04-28 00:00:00','003312040150001-33120401501','003312040150001-33120401501','阴茎阴囊移位整形术（增加会阴型尿道下裂修补）',null,null,3180,2865,2440,null,1710,1539,1290,'次',27,1,'normal','main',0),</v>
      </c>
    </row>
    <row r="546" spans="1:23">
      <c r="A546">
        <v>3638</v>
      </c>
      <c r="B546" t="s">
        <v>2108</v>
      </c>
      <c r="C546">
        <v>1</v>
      </c>
      <c r="D546" s="21" t="s">
        <v>2109</v>
      </c>
      <c r="E546" t="s">
        <v>1976</v>
      </c>
      <c r="F546" t="s">
        <v>1976</v>
      </c>
      <c r="G546" t="s">
        <v>1977</v>
      </c>
      <c r="H546" t="s">
        <v>2108</v>
      </c>
      <c r="I546" t="s">
        <v>2108</v>
      </c>
      <c r="J546">
        <v>3040</v>
      </c>
      <c r="K546">
        <v>2740</v>
      </c>
      <c r="L546">
        <v>2330</v>
      </c>
      <c r="M546" t="s">
        <v>2108</v>
      </c>
      <c r="N546">
        <v>1710</v>
      </c>
      <c r="O546">
        <v>1539</v>
      </c>
      <c r="P546">
        <v>1290</v>
      </c>
      <c r="Q546" t="s">
        <v>40</v>
      </c>
      <c r="R546">
        <v>27</v>
      </c>
      <c r="S546">
        <v>1</v>
      </c>
      <c r="T546" t="s">
        <v>2110</v>
      </c>
      <c r="U546" t="s">
        <v>2111</v>
      </c>
      <c r="V546">
        <v>0</v>
      </c>
      <c r="W546" s="26" t="str">
        <f t="shared" si="8"/>
        <v>(3638,null,1,'2026-04-28 00:00:00','003312040100000-331204010','003312040100000-331204010','阴茎重建成形术',null,null,3040,2740,2330,null,1710,1539,1290,'次',27,1,'normal','main',0),</v>
      </c>
    </row>
    <row r="547" spans="1:23">
      <c r="A547">
        <v>3639</v>
      </c>
      <c r="B547" t="s">
        <v>2108</v>
      </c>
      <c r="C547">
        <v>1</v>
      </c>
      <c r="D547" s="21" t="s">
        <v>2109</v>
      </c>
      <c r="E547" t="s">
        <v>1979</v>
      </c>
      <c r="F547" t="s">
        <v>1979</v>
      </c>
      <c r="G547" t="s">
        <v>1980</v>
      </c>
      <c r="H547" t="s">
        <v>2108</v>
      </c>
      <c r="I547" t="s">
        <v>2108</v>
      </c>
      <c r="J547">
        <v>2530</v>
      </c>
      <c r="K547">
        <v>2280</v>
      </c>
      <c r="L547">
        <v>1940</v>
      </c>
      <c r="M547" t="s">
        <v>2108</v>
      </c>
      <c r="N547">
        <v>1710</v>
      </c>
      <c r="O547">
        <v>1539</v>
      </c>
      <c r="P547">
        <v>1290</v>
      </c>
      <c r="Q547" t="s">
        <v>40</v>
      </c>
      <c r="R547">
        <v>27</v>
      </c>
      <c r="S547">
        <v>1</v>
      </c>
      <c r="T547" t="s">
        <v>2110</v>
      </c>
      <c r="U547" t="s">
        <v>2111</v>
      </c>
      <c r="V547">
        <v>0</v>
      </c>
      <c r="W547" s="26" t="str">
        <f t="shared" si="8"/>
        <v>(3639,null,1,'2026-04-28 00:00:00','003312040170000-331204017','003312040170000-331204017','阴茎血管重建术',null,null,2530,2280,1940,null,1710,1539,1290,'次',27,1,'normal','main',0),</v>
      </c>
    </row>
    <row r="548" spans="1:23">
      <c r="A548">
        <v>3640</v>
      </c>
      <c r="B548" t="s">
        <v>2108</v>
      </c>
      <c r="C548">
        <v>1</v>
      </c>
      <c r="D548" s="21" t="s">
        <v>2109</v>
      </c>
      <c r="E548" t="s">
        <v>1981</v>
      </c>
      <c r="F548" t="s">
        <v>1981</v>
      </c>
      <c r="G548" t="s">
        <v>1982</v>
      </c>
      <c r="H548" t="s">
        <v>2108</v>
      </c>
      <c r="I548" t="s">
        <v>2108</v>
      </c>
      <c r="J548">
        <v>1125</v>
      </c>
      <c r="K548">
        <v>1080</v>
      </c>
      <c r="L548">
        <v>918</v>
      </c>
      <c r="M548" t="s">
        <v>2108</v>
      </c>
      <c r="N548">
        <v>1710</v>
      </c>
      <c r="O548">
        <v>1539</v>
      </c>
      <c r="P548">
        <v>1290</v>
      </c>
      <c r="Q548" t="s">
        <v>40</v>
      </c>
      <c r="R548">
        <v>27</v>
      </c>
      <c r="S548">
        <v>1</v>
      </c>
      <c r="T548" t="s">
        <v>2110</v>
      </c>
      <c r="U548" t="s">
        <v>2111</v>
      </c>
      <c r="V548">
        <v>0</v>
      </c>
      <c r="W548" s="26" t="str">
        <f t="shared" si="8"/>
        <v>(3640,null,1,'2026-04-28 00:00:00','003312040190000-331204019','003312040190000-331204019','阴茎静脉结扎术',null,null,1125,1080,918,null,1710,1539,1290,'次',27,1,'normal','main',0),</v>
      </c>
    </row>
    <row r="549" spans="1:23">
      <c r="A549">
        <v>3641</v>
      </c>
      <c r="B549" t="s">
        <v>2108</v>
      </c>
      <c r="C549">
        <v>1</v>
      </c>
      <c r="D549" s="21" t="s">
        <v>2109</v>
      </c>
      <c r="E549" t="s">
        <v>1986</v>
      </c>
      <c r="F549" t="s">
        <v>1986</v>
      </c>
      <c r="G549" t="s">
        <v>1987</v>
      </c>
      <c r="H549" t="s">
        <v>2108</v>
      </c>
      <c r="I549" t="s">
        <v>2108</v>
      </c>
      <c r="J549">
        <v>2195</v>
      </c>
      <c r="K549">
        <v>1975</v>
      </c>
      <c r="L549">
        <v>1680</v>
      </c>
      <c r="M549" t="s">
        <v>2108</v>
      </c>
      <c r="N549">
        <v>2225</v>
      </c>
      <c r="O549">
        <v>1999</v>
      </c>
      <c r="P549">
        <v>1675</v>
      </c>
      <c r="Q549" t="s">
        <v>40</v>
      </c>
      <c r="R549">
        <v>27</v>
      </c>
      <c r="S549">
        <v>1</v>
      </c>
      <c r="T549" t="s">
        <v>2110</v>
      </c>
      <c r="U549" t="s">
        <v>2111</v>
      </c>
      <c r="V549">
        <v>0</v>
      </c>
      <c r="W549" s="26" t="str">
        <f t="shared" si="8"/>
        <v>(3641,null,1,'2026-04-28 00:00:00','003312040140000-33120401401','003312040140000-33120401401','小儿阴茎延长术',null,null,2195,1975,1680,null,2225,1999,1675,'次',27,1,'normal','main',0),</v>
      </c>
    </row>
    <row r="550" spans="1:23">
      <c r="A550">
        <v>3642</v>
      </c>
      <c r="B550" t="s">
        <v>2108</v>
      </c>
      <c r="C550">
        <v>1</v>
      </c>
      <c r="D550" s="21" t="s">
        <v>2109</v>
      </c>
      <c r="E550" t="s">
        <v>1988</v>
      </c>
      <c r="F550" t="s">
        <v>1988</v>
      </c>
      <c r="G550" t="s">
        <v>1989</v>
      </c>
      <c r="H550" t="s">
        <v>2108</v>
      </c>
      <c r="I550" t="s">
        <v>2108</v>
      </c>
      <c r="J550">
        <v>2195</v>
      </c>
      <c r="K550">
        <v>1975</v>
      </c>
      <c r="L550">
        <v>1680</v>
      </c>
      <c r="M550" t="s">
        <v>2108</v>
      </c>
      <c r="N550">
        <v>2225</v>
      </c>
      <c r="O550">
        <v>1999</v>
      </c>
      <c r="P550">
        <v>1675</v>
      </c>
      <c r="Q550" t="s">
        <v>40</v>
      </c>
      <c r="R550">
        <v>27</v>
      </c>
      <c r="S550">
        <v>1</v>
      </c>
      <c r="T550" t="s">
        <v>2110</v>
      </c>
      <c r="U550" t="s">
        <v>2111</v>
      </c>
      <c r="V550">
        <v>0</v>
      </c>
      <c r="W550" s="26" t="str">
        <f t="shared" si="8"/>
        <v>(3642,null,1,'2026-04-28 00:00:00','003312040130000-33120401301','003312040130000-33120401301','小儿阴茎畸型整形术',null,null,2195,1975,1680,null,2225,1999,1675,'次',27,1,'normal','main',0),</v>
      </c>
    </row>
    <row r="551" spans="1:23">
      <c r="A551">
        <v>3643</v>
      </c>
      <c r="B551" t="s">
        <v>2108</v>
      </c>
      <c r="C551">
        <v>1</v>
      </c>
      <c r="D551" s="21" t="s">
        <v>2109</v>
      </c>
      <c r="E551" t="s">
        <v>1990</v>
      </c>
      <c r="F551" t="s">
        <v>1990</v>
      </c>
      <c r="G551" t="s">
        <v>1991</v>
      </c>
      <c r="H551" t="s">
        <v>2108</v>
      </c>
      <c r="I551" t="s">
        <v>2108</v>
      </c>
      <c r="J551">
        <v>3290</v>
      </c>
      <c r="K551">
        <v>2965</v>
      </c>
      <c r="L551">
        <v>2520</v>
      </c>
      <c r="M551" t="s">
        <v>2108</v>
      </c>
      <c r="N551">
        <v>2225</v>
      </c>
      <c r="O551">
        <v>1999</v>
      </c>
      <c r="P551">
        <v>1675</v>
      </c>
      <c r="Q551" t="s">
        <v>40</v>
      </c>
      <c r="R551">
        <v>27</v>
      </c>
      <c r="S551">
        <v>1</v>
      </c>
      <c r="T551" t="s">
        <v>2110</v>
      </c>
      <c r="U551" t="s">
        <v>2111</v>
      </c>
      <c r="V551">
        <v>0</v>
      </c>
      <c r="W551" s="26" t="str">
        <f t="shared" si="8"/>
        <v>(3643,null,1,'2026-04-28 00:00:00','003312040150000-33120401502','003312040150000-33120401502','小儿阴茎阴囊移位整形术',null,null,3290,2965,2520,null,2225,1999,1675,'次',27,1,'normal','main',0),</v>
      </c>
    </row>
    <row r="552" spans="1:23">
      <c r="A552">
        <v>3644</v>
      </c>
      <c r="B552" t="s">
        <v>2108</v>
      </c>
      <c r="C552">
        <v>1</v>
      </c>
      <c r="D552" s="21" t="s">
        <v>2109</v>
      </c>
      <c r="E552" t="s">
        <v>1992</v>
      </c>
      <c r="F552" t="s">
        <v>1992</v>
      </c>
      <c r="G552" t="s">
        <v>1993</v>
      </c>
      <c r="H552" t="s">
        <v>2108</v>
      </c>
      <c r="I552" t="s">
        <v>2108</v>
      </c>
      <c r="J552">
        <v>4135</v>
      </c>
      <c r="K552">
        <v>3725</v>
      </c>
      <c r="L552">
        <v>3165</v>
      </c>
      <c r="M552" t="s">
        <v>2108</v>
      </c>
      <c r="N552">
        <v>2225</v>
      </c>
      <c r="O552">
        <v>1999</v>
      </c>
      <c r="P552">
        <v>1675</v>
      </c>
      <c r="Q552" t="s">
        <v>40</v>
      </c>
      <c r="R552">
        <v>27</v>
      </c>
      <c r="S552">
        <v>1</v>
      </c>
      <c r="T552" t="s">
        <v>2110</v>
      </c>
      <c r="U552" t="s">
        <v>2111</v>
      </c>
      <c r="V552">
        <v>0</v>
      </c>
      <c r="W552" s="26" t="str">
        <f t="shared" si="8"/>
        <v>(3644,null,1,'2026-04-28 00:00:00','003312040150001-33120401503','003312040150001-33120401503','小儿阴茎阴囊移位整形术（增加会阴型尿道下裂修补）',null,null,4135,3725,3165,null,2225,1999,1675,'次',27,1,'normal','main',0),</v>
      </c>
    </row>
    <row r="553" spans="1:23">
      <c r="A553">
        <v>3645</v>
      </c>
      <c r="B553" t="s">
        <v>2108</v>
      </c>
      <c r="C553">
        <v>1</v>
      </c>
      <c r="D553" s="21" t="s">
        <v>2109</v>
      </c>
      <c r="E553" t="s">
        <v>1994</v>
      </c>
      <c r="F553" t="s">
        <v>1994</v>
      </c>
      <c r="G553" t="s">
        <v>1995</v>
      </c>
      <c r="H553" t="s">
        <v>2108</v>
      </c>
      <c r="I553" t="s">
        <v>2108</v>
      </c>
      <c r="J553">
        <v>3950</v>
      </c>
      <c r="K553">
        <v>3560</v>
      </c>
      <c r="L553">
        <v>3025</v>
      </c>
      <c r="M553" t="s">
        <v>2108</v>
      </c>
      <c r="N553">
        <v>2225</v>
      </c>
      <c r="O553">
        <v>1999</v>
      </c>
      <c r="P553">
        <v>1675</v>
      </c>
      <c r="Q553" t="s">
        <v>40</v>
      </c>
      <c r="R553">
        <v>27</v>
      </c>
      <c r="S553">
        <v>1</v>
      </c>
      <c r="T553" t="s">
        <v>2110</v>
      </c>
      <c r="U553" t="s">
        <v>2111</v>
      </c>
      <c r="V553">
        <v>0</v>
      </c>
      <c r="W553" s="26" t="str">
        <f t="shared" si="8"/>
        <v>(3645,null,1,'2026-04-28 00:00:00','003312040100000-33120401001','003312040100000-33120401001','小儿阴茎重建成形术',null,null,3950,3560,3025,null,2225,1999,1675,'次',27,1,'normal','main',0),</v>
      </c>
    </row>
    <row r="554" spans="1:23">
      <c r="A554">
        <v>3646</v>
      </c>
      <c r="B554" t="s">
        <v>2108</v>
      </c>
      <c r="C554">
        <v>1</v>
      </c>
      <c r="D554" s="21" t="s">
        <v>2109</v>
      </c>
      <c r="E554" t="s">
        <v>1996</v>
      </c>
      <c r="F554" t="s">
        <v>1996</v>
      </c>
      <c r="G554" t="s">
        <v>1997</v>
      </c>
      <c r="H554" t="s">
        <v>2108</v>
      </c>
      <c r="I554" t="s">
        <v>2108</v>
      </c>
      <c r="J554">
        <v>3290</v>
      </c>
      <c r="K554">
        <v>2965</v>
      </c>
      <c r="L554">
        <v>2520</v>
      </c>
      <c r="M554" t="s">
        <v>2108</v>
      </c>
      <c r="N554">
        <v>2225</v>
      </c>
      <c r="O554">
        <v>1999</v>
      </c>
      <c r="P554">
        <v>1675</v>
      </c>
      <c r="Q554" t="s">
        <v>40</v>
      </c>
      <c r="R554">
        <v>27</v>
      </c>
      <c r="S554">
        <v>1</v>
      </c>
      <c r="T554" t="s">
        <v>2110</v>
      </c>
      <c r="U554" t="s">
        <v>2111</v>
      </c>
      <c r="V554">
        <v>0</v>
      </c>
      <c r="W554" s="26" t="str">
        <f t="shared" si="8"/>
        <v>(3646,null,1,'2026-04-28 00:00:00','003312040170000-33120401701','003312040170000-33120401701','小儿阴茎血管重建术',null,null,3290,2965,2520,null,2225,1999,1675,'次',27,1,'normal','main',0),</v>
      </c>
    </row>
    <row r="555" spans="1:23">
      <c r="A555">
        <v>3647</v>
      </c>
      <c r="B555" t="s">
        <v>2108</v>
      </c>
      <c r="C555">
        <v>1</v>
      </c>
      <c r="D555" s="21" t="s">
        <v>2109</v>
      </c>
      <c r="E555" t="s">
        <v>1998</v>
      </c>
      <c r="F555" t="s">
        <v>1998</v>
      </c>
      <c r="G555" t="s">
        <v>1999</v>
      </c>
      <c r="H555" t="s">
        <v>2108</v>
      </c>
      <c r="I555" t="s">
        <v>2108</v>
      </c>
      <c r="J555">
        <v>1465</v>
      </c>
      <c r="K555">
        <v>1405</v>
      </c>
      <c r="L555">
        <v>1195</v>
      </c>
      <c r="M555" t="s">
        <v>2108</v>
      </c>
      <c r="N555">
        <v>2225</v>
      </c>
      <c r="O555">
        <v>1999</v>
      </c>
      <c r="P555">
        <v>1675</v>
      </c>
      <c r="Q555" t="s">
        <v>40</v>
      </c>
      <c r="R555">
        <v>27</v>
      </c>
      <c r="S555">
        <v>1</v>
      </c>
      <c r="T555" t="s">
        <v>2110</v>
      </c>
      <c r="U555" t="s">
        <v>2111</v>
      </c>
      <c r="V555">
        <v>0</v>
      </c>
      <c r="W555" s="26" t="str">
        <f t="shared" si="8"/>
        <v>(3647,null,1,'2026-04-28 00:00:00','003312040190000-33120401901','003312040190000-33120401901','小儿阴茎静脉结扎术',null,null,1465,1405,1195,null,2225,1999,1675,'次',27,1,'normal','main',0),</v>
      </c>
    </row>
    <row r="556" spans="1:23">
      <c r="A556">
        <v>3648</v>
      </c>
      <c r="B556" t="s">
        <v>2108</v>
      </c>
      <c r="C556">
        <v>1</v>
      </c>
      <c r="D556" s="21" t="s">
        <v>2109</v>
      </c>
      <c r="E556" t="s">
        <v>2004</v>
      </c>
      <c r="F556" t="s">
        <v>2004</v>
      </c>
      <c r="G556" t="s">
        <v>2005</v>
      </c>
      <c r="H556" t="s">
        <v>2108</v>
      </c>
      <c r="I556" t="s">
        <v>2108</v>
      </c>
      <c r="J556">
        <v>1000</v>
      </c>
      <c r="K556">
        <v>960</v>
      </c>
      <c r="L556">
        <v>816</v>
      </c>
      <c r="M556" t="s">
        <v>2108</v>
      </c>
      <c r="N556">
        <v>1100</v>
      </c>
      <c r="O556">
        <v>990</v>
      </c>
      <c r="P556">
        <v>840</v>
      </c>
      <c r="Q556" t="s">
        <v>40</v>
      </c>
      <c r="R556">
        <v>27</v>
      </c>
      <c r="S556">
        <v>1</v>
      </c>
      <c r="T556" t="s">
        <v>2110</v>
      </c>
      <c r="U556" t="s">
        <v>2111</v>
      </c>
      <c r="V556">
        <v>0</v>
      </c>
      <c r="W556" s="26" t="str">
        <f t="shared" si="8"/>
        <v>(3648,null,1,'2026-04-28 00:00:00','003312040180000-331204018','003312040180000-331204018','阴茎海绵体分离术',null,null,1000,960,816,null,1100,990,840,'次',27,1,'normal','main',0),</v>
      </c>
    </row>
    <row r="557" spans="1:23">
      <c r="A557">
        <v>3649</v>
      </c>
      <c r="B557" t="s">
        <v>2108</v>
      </c>
      <c r="C557">
        <v>1</v>
      </c>
      <c r="D557" s="21" t="s">
        <v>2109</v>
      </c>
      <c r="E557" t="s">
        <v>2006</v>
      </c>
      <c r="F557" t="s">
        <v>2006</v>
      </c>
      <c r="G557" t="s">
        <v>2007</v>
      </c>
      <c r="H557" t="s">
        <v>2108</v>
      </c>
      <c r="I557" t="s">
        <v>2108</v>
      </c>
      <c r="J557">
        <v>1125</v>
      </c>
      <c r="K557">
        <v>1080</v>
      </c>
      <c r="L557">
        <v>918</v>
      </c>
      <c r="M557" t="s">
        <v>2108</v>
      </c>
      <c r="N557" s="24">
        <v>1100</v>
      </c>
      <c r="O557" s="24">
        <v>990</v>
      </c>
      <c r="P557" s="24">
        <v>840</v>
      </c>
      <c r="Q557" t="s">
        <v>40</v>
      </c>
      <c r="R557">
        <v>27</v>
      </c>
      <c r="S557">
        <v>1</v>
      </c>
      <c r="T557" t="s">
        <v>2110</v>
      </c>
      <c r="U557" t="s">
        <v>2111</v>
      </c>
      <c r="V557">
        <v>0</v>
      </c>
      <c r="W557" s="26" t="str">
        <f t="shared" si="8"/>
        <v>(3649,null,1,'2026-04-28 00:00:00','003312040160000-331204016','003312040160000-331204016','尿道阴茎海绵体分流术',null,null,1125,1080,918,null,1100,990,840,'次',27,1,'normal','main',0),</v>
      </c>
    </row>
    <row r="558" spans="1:23">
      <c r="A558">
        <v>3650</v>
      </c>
      <c r="B558" t="s">
        <v>2108</v>
      </c>
      <c r="C558">
        <v>1</v>
      </c>
      <c r="D558" s="21" t="s">
        <v>2109</v>
      </c>
      <c r="E558" t="s">
        <v>2010</v>
      </c>
      <c r="F558" t="s">
        <v>2010</v>
      </c>
      <c r="G558" t="s">
        <v>2011</v>
      </c>
      <c r="H558" t="s">
        <v>2108</v>
      </c>
      <c r="I558" t="s">
        <v>2108</v>
      </c>
      <c r="J558">
        <v>1300</v>
      </c>
      <c r="K558">
        <v>1250</v>
      </c>
      <c r="L558">
        <v>1065</v>
      </c>
      <c r="M558" t="s">
        <v>2108</v>
      </c>
      <c r="N558" s="24">
        <v>1430</v>
      </c>
      <c r="O558" s="24">
        <v>1285</v>
      </c>
      <c r="P558" s="24">
        <v>1090</v>
      </c>
      <c r="Q558" t="s">
        <v>40</v>
      </c>
      <c r="R558">
        <v>27</v>
      </c>
      <c r="S558">
        <v>1</v>
      </c>
      <c r="T558" t="s">
        <v>2110</v>
      </c>
      <c r="U558" t="s">
        <v>2111</v>
      </c>
      <c r="V558">
        <v>0</v>
      </c>
      <c r="W558" s="26" t="str">
        <f t="shared" si="8"/>
        <v>(3650,null,1,'2026-04-28 00:00:00','003312040180000-33120401801','003312040180000-33120401801','小儿阴茎海绵体分离术',null,null,1300,1250,1065,null,1430,1285,1090,'次',27,1,'normal','main',0),</v>
      </c>
    </row>
    <row r="559" spans="1:23">
      <c r="A559">
        <v>3651</v>
      </c>
      <c r="B559" t="s">
        <v>2108</v>
      </c>
      <c r="C559">
        <v>1</v>
      </c>
      <c r="D559" s="21" t="s">
        <v>2109</v>
      </c>
      <c r="E559" t="s">
        <v>2012</v>
      </c>
      <c r="F559" t="s">
        <v>2012</v>
      </c>
      <c r="G559" t="s">
        <v>2013</v>
      </c>
      <c r="H559" t="s">
        <v>2108</v>
      </c>
      <c r="I559" t="s">
        <v>2108</v>
      </c>
      <c r="J559">
        <v>1465</v>
      </c>
      <c r="K559">
        <v>1405</v>
      </c>
      <c r="L559">
        <v>1195</v>
      </c>
      <c r="M559" t="s">
        <v>2108</v>
      </c>
      <c r="N559" s="24">
        <v>1430</v>
      </c>
      <c r="O559" s="24">
        <v>1285</v>
      </c>
      <c r="P559" s="24">
        <v>1090</v>
      </c>
      <c r="Q559" t="s">
        <v>40</v>
      </c>
      <c r="R559">
        <v>27</v>
      </c>
      <c r="S559">
        <v>1</v>
      </c>
      <c r="T559" t="s">
        <v>2110</v>
      </c>
      <c r="U559" t="s">
        <v>2111</v>
      </c>
      <c r="V559">
        <v>0</v>
      </c>
      <c r="W559" s="26" t="str">
        <f t="shared" si="8"/>
        <v>(3651,null,1,'2026-04-28 00:00:00','003312040160000-33120401601','003312040160000-33120401601','小儿尿道阴茎海绵体分流术',null,null,1465,1405,1195,null,1430,1285,1090,'次',27,1,'normal','main',0),</v>
      </c>
    </row>
    <row r="560" spans="1:23">
      <c r="A560">
        <v>3652</v>
      </c>
      <c r="B560" t="s">
        <v>2108</v>
      </c>
      <c r="C560">
        <v>1</v>
      </c>
      <c r="D560" s="21" t="s">
        <v>2109</v>
      </c>
      <c r="E560" t="s">
        <v>2019</v>
      </c>
      <c r="F560" t="s">
        <v>2019</v>
      </c>
      <c r="G560" t="s">
        <v>2020</v>
      </c>
      <c r="H560" t="s">
        <v>2108</v>
      </c>
      <c r="I560" t="s">
        <v>2108</v>
      </c>
      <c r="J560">
        <v>250</v>
      </c>
      <c r="K560">
        <v>240</v>
      </c>
      <c r="L560">
        <v>204</v>
      </c>
      <c r="M560" t="s">
        <v>2108</v>
      </c>
      <c r="N560" s="24">
        <v>0</v>
      </c>
      <c r="O560" s="24">
        <v>0</v>
      </c>
      <c r="P560" s="24">
        <v>0</v>
      </c>
      <c r="Q560" t="s">
        <v>40</v>
      </c>
      <c r="R560">
        <v>27</v>
      </c>
      <c r="S560">
        <v>1</v>
      </c>
      <c r="T560" t="s">
        <v>2110</v>
      </c>
      <c r="U560" t="s">
        <v>2111</v>
      </c>
      <c r="V560">
        <v>0</v>
      </c>
      <c r="W560" s="26" t="str">
        <f t="shared" si="8"/>
        <v>(3652,null,1,'2026-04-28 00:00:00','003312040040000-331204004','003312040040000-331204004','阴茎外伤清创术',null,null,250,240,204,null,0,0,0,'次',27,1,'normal','main',0),</v>
      </c>
    </row>
    <row r="561" spans="1:23">
      <c r="A561">
        <v>3653</v>
      </c>
      <c r="B561" t="s">
        <v>2108</v>
      </c>
      <c r="C561">
        <v>1</v>
      </c>
      <c r="D561" s="21" t="s">
        <v>2109</v>
      </c>
      <c r="E561" t="s">
        <v>2023</v>
      </c>
      <c r="F561" t="s">
        <v>2023</v>
      </c>
      <c r="G561" t="s">
        <v>2024</v>
      </c>
      <c r="H561" t="s">
        <v>2108</v>
      </c>
      <c r="I561" t="s">
        <v>2108</v>
      </c>
      <c r="J561">
        <v>325</v>
      </c>
      <c r="K561">
        <v>310</v>
      </c>
      <c r="L561">
        <v>265</v>
      </c>
      <c r="M561" t="s">
        <v>2108</v>
      </c>
      <c r="N561">
        <v>0</v>
      </c>
      <c r="O561">
        <v>0</v>
      </c>
      <c r="P561">
        <v>0</v>
      </c>
      <c r="Q561" t="s">
        <v>40</v>
      </c>
      <c r="R561">
        <v>27</v>
      </c>
      <c r="S561">
        <v>1</v>
      </c>
      <c r="T561" t="s">
        <v>2110</v>
      </c>
      <c r="U561" t="s">
        <v>2111</v>
      </c>
      <c r="V561">
        <v>0</v>
      </c>
      <c r="W561" s="26" t="str">
        <f t="shared" si="8"/>
        <v>(3653,null,1,'2026-04-28 00:00:00','003312040040000-33120400401','003312040040000-33120400401','小儿阴茎外伤清创术',null,null,325,310,265,null,0,0,0,'次',27,1,'normal','main',0),</v>
      </c>
    </row>
    <row r="562" spans="1:23">
      <c r="A562">
        <v>3654</v>
      </c>
      <c r="B562" t="s">
        <v>2108</v>
      </c>
      <c r="C562">
        <v>1</v>
      </c>
      <c r="D562" s="21" t="s">
        <v>2109</v>
      </c>
      <c r="E562" t="s">
        <v>2031</v>
      </c>
      <c r="F562" t="s">
        <v>2031</v>
      </c>
      <c r="G562" t="s">
        <v>2032</v>
      </c>
      <c r="H562" t="s">
        <v>2108</v>
      </c>
      <c r="I562" t="s">
        <v>2108</v>
      </c>
      <c r="J562">
        <v>55</v>
      </c>
      <c r="K562">
        <v>50</v>
      </c>
      <c r="L562">
        <v>42.5</v>
      </c>
      <c r="M562" t="s">
        <v>2108</v>
      </c>
      <c r="N562">
        <v>55</v>
      </c>
      <c r="O562">
        <v>50</v>
      </c>
      <c r="P562">
        <v>43</v>
      </c>
      <c r="Q562" t="s">
        <v>40</v>
      </c>
      <c r="R562">
        <v>27</v>
      </c>
      <c r="S562">
        <v>1</v>
      </c>
      <c r="T562" t="s">
        <v>2110</v>
      </c>
      <c r="U562" t="s">
        <v>2111</v>
      </c>
      <c r="V562">
        <v>0</v>
      </c>
      <c r="W562" s="26" t="str">
        <f t="shared" si="8"/>
        <v>(3654,null,1,'2026-04-28 00:00:00','003111000010000-311100001','003111000010000-311100001','小儿包茎气囊导管扩张术',null,null,55,50,42.5,null,55,50,43,'次',27,1,'normal','main',0),</v>
      </c>
    </row>
    <row r="563" spans="1:23">
      <c r="A563">
        <v>3655</v>
      </c>
      <c r="B563" t="s">
        <v>2108</v>
      </c>
      <c r="C563">
        <v>1</v>
      </c>
      <c r="D563" s="21" t="s">
        <v>2109</v>
      </c>
      <c r="E563" t="s">
        <v>2033</v>
      </c>
      <c r="F563" t="s">
        <v>2033</v>
      </c>
      <c r="G563" t="s">
        <v>2034</v>
      </c>
      <c r="H563" t="s">
        <v>2108</v>
      </c>
      <c r="I563" t="s">
        <v>2108</v>
      </c>
      <c r="J563">
        <v>55</v>
      </c>
      <c r="K563">
        <v>50</v>
      </c>
      <c r="L563">
        <v>42.5</v>
      </c>
      <c r="M563" t="s">
        <v>2108</v>
      </c>
      <c r="N563">
        <v>55</v>
      </c>
      <c r="O563">
        <v>50</v>
      </c>
      <c r="P563">
        <v>43</v>
      </c>
      <c r="Q563" t="s">
        <v>40</v>
      </c>
      <c r="R563">
        <v>27</v>
      </c>
      <c r="S563">
        <v>1</v>
      </c>
      <c r="T563" t="s">
        <v>2110</v>
      </c>
      <c r="U563" t="s">
        <v>2111</v>
      </c>
      <c r="V563">
        <v>0</v>
      </c>
      <c r="W563" s="26" t="str">
        <f t="shared" si="8"/>
        <v>(3655,null,1,'2026-04-28 00:00:00','003111000020000-311100002','003111000020000-311100002','嵌顿包茎手法复位术',null,null,55,50,42.5,null,55,50,43,'次',27,1,'normal','main',0),</v>
      </c>
    </row>
    <row r="564" spans="1:23">
      <c r="A564">
        <v>3656</v>
      </c>
      <c r="B564" t="s">
        <v>2108</v>
      </c>
      <c r="C564">
        <v>1</v>
      </c>
      <c r="D564" s="21" t="s">
        <v>2109</v>
      </c>
      <c r="E564" t="s">
        <v>2039</v>
      </c>
      <c r="F564" t="s">
        <v>2039</v>
      </c>
      <c r="G564" t="s">
        <v>2040</v>
      </c>
      <c r="H564" t="s">
        <v>2108</v>
      </c>
      <c r="I564" t="s">
        <v>2108</v>
      </c>
      <c r="J564">
        <v>250</v>
      </c>
      <c r="K564">
        <v>240</v>
      </c>
      <c r="L564">
        <v>204</v>
      </c>
      <c r="M564" t="s">
        <v>2108</v>
      </c>
      <c r="N564">
        <v>250</v>
      </c>
      <c r="O564">
        <v>225</v>
      </c>
      <c r="P564">
        <v>190</v>
      </c>
      <c r="Q564" t="s">
        <v>40</v>
      </c>
      <c r="R564">
        <v>27</v>
      </c>
      <c r="S564">
        <v>1</v>
      </c>
      <c r="T564" t="s">
        <v>2110</v>
      </c>
      <c r="U564" t="s">
        <v>2111</v>
      </c>
      <c r="V564">
        <v>0</v>
      </c>
      <c r="W564" s="26" t="str">
        <f t="shared" si="8"/>
        <v>(3656,null,1,'2026-04-28 00:00:00','003312040010000-331204001','003312040010000-331204001','嵌顿包茎松解术',null,null,250,240,204,null,250,225,190,'次',27,1,'normal','main',0),</v>
      </c>
    </row>
    <row r="565" spans="1:23">
      <c r="A565">
        <v>3657</v>
      </c>
      <c r="B565" t="s">
        <v>2108</v>
      </c>
      <c r="C565">
        <v>1</v>
      </c>
      <c r="D565" s="21" t="s">
        <v>2109</v>
      </c>
      <c r="E565" t="s">
        <v>2042</v>
      </c>
      <c r="F565" t="s">
        <v>2042</v>
      </c>
      <c r="G565" t="s">
        <v>2043</v>
      </c>
      <c r="H565" t="s">
        <v>2108</v>
      </c>
      <c r="I565" t="s">
        <v>2108</v>
      </c>
      <c r="J565">
        <v>250</v>
      </c>
      <c r="K565">
        <v>240</v>
      </c>
      <c r="L565">
        <v>204</v>
      </c>
      <c r="M565" t="s">
        <v>2108</v>
      </c>
      <c r="N565">
        <v>250</v>
      </c>
      <c r="O565">
        <v>225</v>
      </c>
      <c r="P565">
        <v>190</v>
      </c>
      <c r="Q565" t="s">
        <v>40</v>
      </c>
      <c r="R565">
        <v>27</v>
      </c>
      <c r="S565">
        <v>1</v>
      </c>
      <c r="T565" t="s">
        <v>2110</v>
      </c>
      <c r="U565" t="s">
        <v>2111</v>
      </c>
      <c r="V565">
        <v>0</v>
      </c>
      <c r="W565" s="26" t="str">
        <f t="shared" si="8"/>
        <v>(3657,null,1,'2026-04-28 00:00:00','003312040010100-33120400101','003312040010100-33120400101','嵌顿包茎松解术-包皮扩张分离术',null,null,250,240,204,null,250,225,190,'次',27,1,'normal','main',0),</v>
      </c>
    </row>
    <row r="566" spans="1:23">
      <c r="A566">
        <v>3658</v>
      </c>
      <c r="B566" t="s">
        <v>2108</v>
      </c>
      <c r="C566">
        <v>1</v>
      </c>
      <c r="D566" s="21" t="s">
        <v>2109</v>
      </c>
      <c r="E566" t="s">
        <v>2047</v>
      </c>
      <c r="F566" t="s">
        <v>2047</v>
      </c>
      <c r="G566" t="s">
        <v>2048</v>
      </c>
      <c r="H566" t="s">
        <v>2108</v>
      </c>
      <c r="I566" t="s">
        <v>2108</v>
      </c>
      <c r="J566">
        <v>325</v>
      </c>
      <c r="K566">
        <v>310</v>
      </c>
      <c r="L566">
        <v>265</v>
      </c>
      <c r="M566" t="s">
        <v>2108</v>
      </c>
      <c r="N566">
        <v>325</v>
      </c>
      <c r="O566">
        <v>293</v>
      </c>
      <c r="P566">
        <v>247</v>
      </c>
      <c r="Q566" t="s">
        <v>40</v>
      </c>
      <c r="R566">
        <v>27</v>
      </c>
      <c r="S566">
        <v>1</v>
      </c>
      <c r="T566" t="s">
        <v>2110</v>
      </c>
      <c r="U566" t="s">
        <v>2111</v>
      </c>
      <c r="V566">
        <v>0</v>
      </c>
      <c r="W566" s="26" t="str">
        <f t="shared" si="8"/>
        <v>(3658,null,1,'2026-04-28 00:00:00','003312040010000-33120400102','003312040010000-33120400102','小儿嵌顿包茎松解术',null,null,325,310,265,null,325,293,247,'次',27,1,'normal','main',0),</v>
      </c>
    </row>
    <row r="567" spans="1:23">
      <c r="A567">
        <v>3659</v>
      </c>
      <c r="B567" t="s">
        <v>2108</v>
      </c>
      <c r="C567">
        <v>1</v>
      </c>
      <c r="D567" s="21" t="s">
        <v>2109</v>
      </c>
      <c r="E567" t="s">
        <v>2049</v>
      </c>
      <c r="F567" t="s">
        <v>2049</v>
      </c>
      <c r="G567" t="s">
        <v>2050</v>
      </c>
      <c r="H567" t="s">
        <v>2108</v>
      </c>
      <c r="I567" t="s">
        <v>2108</v>
      </c>
      <c r="J567">
        <v>325</v>
      </c>
      <c r="K567">
        <v>310</v>
      </c>
      <c r="L567">
        <v>265</v>
      </c>
      <c r="M567" t="s">
        <v>2108</v>
      </c>
      <c r="N567">
        <v>325</v>
      </c>
      <c r="O567">
        <v>293</v>
      </c>
      <c r="P567">
        <v>247</v>
      </c>
      <c r="Q567" t="s">
        <v>40</v>
      </c>
      <c r="R567">
        <v>27</v>
      </c>
      <c r="S567">
        <v>1</v>
      </c>
      <c r="T567" t="s">
        <v>2110</v>
      </c>
      <c r="U567" t="s">
        <v>2111</v>
      </c>
      <c r="V567">
        <v>0</v>
      </c>
      <c r="W567" s="26" t="str">
        <f t="shared" si="8"/>
        <v>(3659,null,1,'2026-04-28 00:00:00','003312040010100-33120400103','003312040010100-33120400103','小儿嵌顿包茎松解术-包皮扩张分离术',null,null,325,310,265,null,325,293,247,'次',27,1,'normal','main',0),</v>
      </c>
    </row>
    <row r="568" spans="1:23">
      <c r="A568">
        <v>3660</v>
      </c>
      <c r="B568" t="s">
        <v>2108</v>
      </c>
      <c r="C568">
        <v>1</v>
      </c>
      <c r="D568" s="21" t="s">
        <v>2109</v>
      </c>
      <c r="E568" t="s">
        <v>2056</v>
      </c>
      <c r="F568" t="s">
        <v>2056</v>
      </c>
      <c r="G568" t="s">
        <v>2057</v>
      </c>
      <c r="H568" t="s">
        <v>2108</v>
      </c>
      <c r="I568" t="s">
        <v>2108</v>
      </c>
      <c r="J568">
        <v>250</v>
      </c>
      <c r="K568">
        <v>240</v>
      </c>
      <c r="L568">
        <v>204</v>
      </c>
      <c r="M568" t="s">
        <v>2108</v>
      </c>
      <c r="N568">
        <v>250</v>
      </c>
      <c r="O568">
        <v>225</v>
      </c>
      <c r="P568">
        <v>190</v>
      </c>
      <c r="Q568" t="s">
        <v>40</v>
      </c>
      <c r="R568">
        <v>27</v>
      </c>
      <c r="S568">
        <v>1</v>
      </c>
      <c r="T568" t="s">
        <v>2110</v>
      </c>
      <c r="U568" t="s">
        <v>2111</v>
      </c>
      <c r="V568">
        <v>0</v>
      </c>
      <c r="W568" s="26" t="str">
        <f t="shared" si="8"/>
        <v>(3660,null,1,'2026-04-28 00:00:00','003312040020000-331204002','003312040020000-331204002','包皮环切术',null,null,250,240,204,null,250,225,190,'次',27,1,'normal','main',0),</v>
      </c>
    </row>
    <row r="569" spans="1:23">
      <c r="A569">
        <v>3661</v>
      </c>
      <c r="B569" t="s">
        <v>2108</v>
      </c>
      <c r="C569">
        <v>1</v>
      </c>
      <c r="D569" s="21" t="s">
        <v>2109</v>
      </c>
      <c r="E569" t="s">
        <v>2058</v>
      </c>
      <c r="F569" t="s">
        <v>2058</v>
      </c>
      <c r="G569" t="s">
        <v>2059</v>
      </c>
      <c r="H569" t="s">
        <v>2108</v>
      </c>
      <c r="I569" t="s">
        <v>2108</v>
      </c>
      <c r="J569">
        <v>625</v>
      </c>
      <c r="K569">
        <v>600</v>
      </c>
      <c r="L569">
        <v>510</v>
      </c>
      <c r="M569" t="s">
        <v>2108</v>
      </c>
      <c r="N569">
        <v>250</v>
      </c>
      <c r="O569">
        <v>225</v>
      </c>
      <c r="P569">
        <v>190</v>
      </c>
      <c r="Q569" t="s">
        <v>40</v>
      </c>
      <c r="R569">
        <v>27</v>
      </c>
      <c r="S569">
        <v>1</v>
      </c>
      <c r="T569" t="s">
        <v>2110</v>
      </c>
      <c r="U569" t="s">
        <v>2111</v>
      </c>
      <c r="V569">
        <v>0</v>
      </c>
      <c r="W569" s="26" t="str">
        <f t="shared" si="8"/>
        <v>(3661,null,1,'2026-04-28 00:00:00','003312040030000-331204003','003312040030000-331204003','阴茎包皮过短整形术',null,null,625,600,510,null,250,225,190,'次',27,1,'normal','main',0),</v>
      </c>
    </row>
    <row r="570" spans="1:23">
      <c r="A570">
        <v>3662</v>
      </c>
      <c r="B570" t="s">
        <v>2108</v>
      </c>
      <c r="C570">
        <v>1</v>
      </c>
      <c r="D570" s="21" t="s">
        <v>2109</v>
      </c>
      <c r="E570" t="s">
        <v>2062</v>
      </c>
      <c r="F570" t="s">
        <v>2062</v>
      </c>
      <c r="G570" t="s">
        <v>2063</v>
      </c>
      <c r="H570" t="s">
        <v>2108</v>
      </c>
      <c r="I570" t="s">
        <v>2108</v>
      </c>
      <c r="J570">
        <v>325</v>
      </c>
      <c r="K570">
        <v>310</v>
      </c>
      <c r="L570">
        <v>265</v>
      </c>
      <c r="M570" t="s">
        <v>2108</v>
      </c>
      <c r="N570">
        <v>325</v>
      </c>
      <c r="O570">
        <v>293</v>
      </c>
      <c r="P570">
        <v>247</v>
      </c>
      <c r="Q570" t="s">
        <v>40</v>
      </c>
      <c r="R570">
        <v>27</v>
      </c>
      <c r="S570">
        <v>1</v>
      </c>
      <c r="T570" t="s">
        <v>2110</v>
      </c>
      <c r="U570" t="s">
        <v>2111</v>
      </c>
      <c r="V570">
        <v>0</v>
      </c>
      <c r="W570" s="26" t="str">
        <f t="shared" si="8"/>
        <v>(3662,null,1,'2026-04-28 00:00:00','003312040020000-33120400201','003312040020000-33120400201','小儿包皮环切术',null,null,325,310,265,null,325,293,247,'次',27,1,'normal','main',0),</v>
      </c>
    </row>
    <row r="571" spans="1:23">
      <c r="A571">
        <v>3663</v>
      </c>
      <c r="B571" t="s">
        <v>2108</v>
      </c>
      <c r="C571">
        <v>1</v>
      </c>
      <c r="D571" s="21" t="s">
        <v>2109</v>
      </c>
      <c r="E571" t="s">
        <v>2064</v>
      </c>
      <c r="F571" t="s">
        <v>2064</v>
      </c>
      <c r="G571" t="s">
        <v>2065</v>
      </c>
      <c r="H571" t="s">
        <v>2108</v>
      </c>
      <c r="I571" t="s">
        <v>2108</v>
      </c>
      <c r="J571">
        <v>815</v>
      </c>
      <c r="K571">
        <v>780</v>
      </c>
      <c r="L571">
        <v>665</v>
      </c>
      <c r="M571" t="s">
        <v>2108</v>
      </c>
      <c r="N571">
        <v>325</v>
      </c>
      <c r="O571">
        <v>293</v>
      </c>
      <c r="P571">
        <v>247</v>
      </c>
      <c r="Q571" t="s">
        <v>40</v>
      </c>
      <c r="R571">
        <v>27</v>
      </c>
      <c r="S571">
        <v>1</v>
      </c>
      <c r="T571" t="s">
        <v>2110</v>
      </c>
      <c r="U571" t="s">
        <v>2111</v>
      </c>
      <c r="V571">
        <v>0</v>
      </c>
      <c r="W571" s="26" t="str">
        <f t="shared" si="8"/>
        <v>(3663,null,1,'2026-04-28 00:00:00','003312040030000-33120400301','003312040030000-33120400301','小儿阴茎包皮过短整形术',null,null,815,780,665,null,325,293,247,'次',27,1,'normal','main',0),</v>
      </c>
    </row>
    <row r="572" spans="1:23">
      <c r="A572">
        <v>3664</v>
      </c>
      <c r="B572" t="s">
        <v>2108</v>
      </c>
      <c r="C572">
        <v>1</v>
      </c>
      <c r="D572" s="21" t="s">
        <v>2109</v>
      </c>
      <c r="E572" t="s">
        <v>2070</v>
      </c>
      <c r="F572" t="s">
        <v>2070</v>
      </c>
      <c r="G572" t="s">
        <v>2071</v>
      </c>
      <c r="H572" t="s">
        <v>2108</v>
      </c>
      <c r="I572" t="s">
        <v>2108</v>
      </c>
      <c r="J572">
        <v>3380</v>
      </c>
      <c r="K572">
        <v>3040</v>
      </c>
      <c r="L572">
        <v>2580</v>
      </c>
      <c r="M572" t="s">
        <v>2108</v>
      </c>
      <c r="N572">
        <v>4200</v>
      </c>
      <c r="O572">
        <v>3750</v>
      </c>
      <c r="P572">
        <v>3180</v>
      </c>
      <c r="Q572" t="s">
        <v>40</v>
      </c>
      <c r="R572">
        <v>27</v>
      </c>
      <c r="S572">
        <v>1</v>
      </c>
      <c r="T572" t="s">
        <v>2110</v>
      </c>
      <c r="U572" t="s">
        <v>2111</v>
      </c>
      <c r="V572">
        <v>0</v>
      </c>
      <c r="W572" s="26" t="str">
        <f t="shared" si="8"/>
        <v>(3664,null,1,'2026-04-28 00:00:00','003310080150000-331008015','003310080150000-331008015','腹膜后肿瘤切除术',null,null,3380,3040,2580,null,4200,3750,3180,'次',27,1,'normal','main',0),</v>
      </c>
    </row>
    <row r="573" spans="1:23">
      <c r="A573">
        <v>3665</v>
      </c>
      <c r="B573" t="s">
        <v>2108</v>
      </c>
      <c r="C573">
        <v>1</v>
      </c>
      <c r="D573" s="21" t="s">
        <v>2109</v>
      </c>
      <c r="E573" t="s">
        <v>2073</v>
      </c>
      <c r="F573" t="s">
        <v>2073</v>
      </c>
      <c r="G573" t="s">
        <v>2074</v>
      </c>
      <c r="H573" t="s">
        <v>2108</v>
      </c>
      <c r="I573" t="s">
        <v>2108</v>
      </c>
      <c r="J573">
        <v>4005</v>
      </c>
      <c r="K573">
        <v>3640</v>
      </c>
      <c r="L573">
        <v>3090</v>
      </c>
      <c r="M573" t="s">
        <v>2108</v>
      </c>
      <c r="N573">
        <v>4200</v>
      </c>
      <c r="O573">
        <v>3750</v>
      </c>
      <c r="P573">
        <v>3180</v>
      </c>
      <c r="Q573" t="s">
        <v>40</v>
      </c>
      <c r="R573">
        <v>27</v>
      </c>
      <c r="S573">
        <v>1</v>
      </c>
      <c r="T573" t="s">
        <v>2110</v>
      </c>
      <c r="U573" t="s">
        <v>2111</v>
      </c>
      <c r="V573">
        <v>0</v>
      </c>
      <c r="W573" s="26" t="str">
        <f t="shared" si="8"/>
        <v>(3665,null,1,'2026-04-28 00:00:00','003310080150000-33100801502','003310080150000-33100801502','经腹腔镜腹膜后肿瘤切除术',null,null,4005,3640,3090,null,4200,3750,3180,'次',27,1,'normal','main',0),</v>
      </c>
    </row>
    <row r="574" spans="1:23">
      <c r="A574">
        <v>3666</v>
      </c>
      <c r="B574" t="s">
        <v>2108</v>
      </c>
      <c r="C574">
        <v>1</v>
      </c>
      <c r="D574" s="21" t="s">
        <v>2109</v>
      </c>
      <c r="E574" t="s">
        <v>2079</v>
      </c>
      <c r="F574" t="s">
        <v>2079</v>
      </c>
      <c r="G574" t="s">
        <v>2080</v>
      </c>
      <c r="H574" t="s">
        <v>2108</v>
      </c>
      <c r="I574" t="s">
        <v>2108</v>
      </c>
      <c r="J574">
        <v>4395</v>
      </c>
      <c r="K574">
        <v>3950</v>
      </c>
      <c r="L574">
        <v>3360</v>
      </c>
      <c r="M574" t="s">
        <v>2108</v>
      </c>
      <c r="N574">
        <v>5460</v>
      </c>
      <c r="O574">
        <v>4875</v>
      </c>
      <c r="P574">
        <v>4135</v>
      </c>
      <c r="Q574" t="s">
        <v>40</v>
      </c>
      <c r="R574">
        <v>27</v>
      </c>
      <c r="S574">
        <v>1</v>
      </c>
      <c r="T574" t="s">
        <v>2110</v>
      </c>
      <c r="U574" t="s">
        <v>2111</v>
      </c>
      <c r="V574">
        <v>0</v>
      </c>
      <c r="W574" s="26" t="str">
        <f t="shared" si="8"/>
        <v>(3666,null,1,'2026-04-28 00:00:00','003310080150000-33100801501','003310080150000-33100801501','小儿腹膜后肿瘤切除术',null,null,4395,3950,3360,null,5460,4875,4135,'次',27,1,'normal','main',0),</v>
      </c>
    </row>
    <row r="575" spans="1:23">
      <c r="A575">
        <v>3667</v>
      </c>
      <c r="B575" t="s">
        <v>2108</v>
      </c>
      <c r="C575">
        <v>1</v>
      </c>
      <c r="D575" s="21" t="s">
        <v>2109</v>
      </c>
      <c r="E575" t="s">
        <v>2081</v>
      </c>
      <c r="F575" t="s">
        <v>2081</v>
      </c>
      <c r="G575" t="s">
        <v>2082</v>
      </c>
      <c r="H575" t="s">
        <v>2108</v>
      </c>
      <c r="I575" t="s">
        <v>2108</v>
      </c>
      <c r="J575">
        <v>5020</v>
      </c>
      <c r="K575">
        <v>4550</v>
      </c>
      <c r="L575">
        <v>3870</v>
      </c>
      <c r="M575" t="s">
        <v>2108</v>
      </c>
      <c r="N575">
        <v>5460</v>
      </c>
      <c r="O575">
        <v>4875</v>
      </c>
      <c r="P575">
        <v>4135</v>
      </c>
      <c r="Q575" t="s">
        <v>40</v>
      </c>
      <c r="R575">
        <v>27</v>
      </c>
      <c r="S575">
        <v>1</v>
      </c>
      <c r="T575" t="s">
        <v>2110</v>
      </c>
      <c r="U575" t="s">
        <v>2111</v>
      </c>
      <c r="V575">
        <v>0</v>
      </c>
      <c r="W575" s="26" t="str">
        <f t="shared" si="8"/>
        <v>(3667,null,1,'2026-04-28 00:00:00','003310080150000-33100801503','003310080150000-33100801503','小儿经腹腔镜腹膜后肿瘤切除术',null,null,5020,4550,3870,null,5460,4875,4135,'次',27,1,'normal','main',0),</v>
      </c>
    </row>
  </sheetData>
  <autoFilter ref="A1:W634">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24"/>
  <sheetViews>
    <sheetView tabSelected="1" zoomScale="120" zoomScaleNormal="120" topLeftCell="E1" workbookViewId="0">
      <pane ySplit="1" topLeftCell="A40" activePane="bottomLeft" state="frozen"/>
      <selection/>
      <selection pane="bottomLeft" activeCell="M62" sqref="M62"/>
    </sheetView>
  </sheetViews>
  <sheetFormatPr defaultColWidth="8.88888888888889" defaultRowHeight="15.75"/>
  <cols>
    <col min="1" max="1" width="4.22222222222222" style="1" customWidth="1"/>
    <col min="2" max="2" width="4.88888888888889" style="1" customWidth="1"/>
    <col min="3" max="4" width="4.33333333333333" style="1" customWidth="1"/>
    <col min="5" max="5" width="18.1481481481481" style="2" customWidth="1"/>
    <col min="6" max="6" width="28.6666666666667" style="1" customWidth="1"/>
    <col min="7" max="7" width="11" style="3" hidden="1" customWidth="1"/>
    <col min="8" max="8" width="8.22222222222222" style="1" hidden="1" customWidth="1"/>
    <col min="9" max="11" width="8.88888888888889" style="1" customWidth="1"/>
    <col min="12" max="12" width="5.66666666666667" style="1" customWidth="1"/>
    <col min="13" max="14" width="8.88888888888889" style="1" customWidth="1"/>
    <col min="15" max="15" width="8.88888888888889" customWidth="1"/>
    <col min="16" max="19" width="8.88888888888889" hidden="1" customWidth="1"/>
    <col min="23" max="25" width="8.88888888888889" hidden="1" customWidth="1"/>
    <col min="29" max="29" width="10.2222222222222"/>
  </cols>
  <sheetData>
    <row r="1" ht="25.5" spans="1:28">
      <c r="A1" s="4"/>
      <c r="B1" s="4" t="s">
        <v>2086</v>
      </c>
      <c r="C1" s="4" t="s">
        <v>2114</v>
      </c>
      <c r="D1" s="4"/>
      <c r="E1" s="6"/>
      <c r="F1" s="4" t="s">
        <v>2115</v>
      </c>
      <c r="G1" s="7" t="s">
        <v>2090</v>
      </c>
      <c r="H1" s="4" t="s">
        <v>2094</v>
      </c>
      <c r="I1" s="4" t="s">
        <v>2095</v>
      </c>
      <c r="J1" s="4" t="s">
        <v>2096</v>
      </c>
      <c r="K1" s="4" t="s">
        <v>2097</v>
      </c>
      <c r="L1" s="4" t="s">
        <v>2098</v>
      </c>
      <c r="M1" s="4" t="s">
        <v>2099</v>
      </c>
      <c r="N1" s="4" t="s">
        <v>2100</v>
      </c>
      <c r="O1" s="4" t="s">
        <v>2101</v>
      </c>
      <c r="P1" s="4" t="s">
        <v>2104</v>
      </c>
      <c r="Q1" s="4" t="s">
        <v>2116</v>
      </c>
      <c r="R1" s="4" t="s">
        <v>2106</v>
      </c>
      <c r="S1" s="4" t="s">
        <v>2107</v>
      </c>
      <c r="T1" s="4" t="s">
        <v>2117</v>
      </c>
      <c r="U1" s="4" t="s">
        <v>2118</v>
      </c>
      <c r="V1" s="4" t="s">
        <v>2119</v>
      </c>
      <c r="W1" s="4" t="s">
        <v>2120</v>
      </c>
      <c r="X1" s="4" t="s">
        <v>2121</v>
      </c>
      <c r="Y1" s="4" t="s">
        <v>2122</v>
      </c>
      <c r="Z1" s="4" t="s">
        <v>2123</v>
      </c>
      <c r="AA1" s="4" t="s">
        <v>2124</v>
      </c>
      <c r="AB1" s="4" t="s">
        <v>2125</v>
      </c>
    </row>
    <row r="2" spans="1:29">
      <c r="A2" s="4">
        <v>211</v>
      </c>
      <c r="B2" s="5">
        <f>_xlfn.XLOOKUP(G2,Sheet1!E:E,Sheet1!A:A)</f>
        <v>3094</v>
      </c>
      <c r="C2" s="5">
        <v>201</v>
      </c>
      <c r="D2" s="5">
        <f>_xlfn.XLOOKUP(G2,'规范整合泌尿系统医疗服务价格映射表12.11 (2)'!T:T,'规范整合泌尿系统医疗服务价格映射表12.11 (2)'!A:A)</f>
        <v>2</v>
      </c>
      <c r="E2" s="8" t="s">
        <v>50</v>
      </c>
      <c r="F2" s="9" t="str">
        <f>_xlfn.XLOOKUP(G2,Sheet1!F:F,Sheet1!G:G)</f>
        <v>尿流动力学检测</v>
      </c>
      <c r="G2" s="10" t="s">
        <v>57</v>
      </c>
      <c r="H2" s="11"/>
      <c r="I2" s="5">
        <v>165</v>
      </c>
      <c r="J2" s="5">
        <v>150</v>
      </c>
      <c r="K2" s="5">
        <v>127.5</v>
      </c>
      <c r="L2" s="11"/>
      <c r="M2" s="5">
        <v>165</v>
      </c>
      <c r="N2" s="5">
        <v>150</v>
      </c>
      <c r="O2" s="5">
        <v>128</v>
      </c>
      <c r="P2" s="5">
        <v>1</v>
      </c>
      <c r="Q2" s="5">
        <v>1</v>
      </c>
      <c r="R2" s="5" t="s">
        <v>2111</v>
      </c>
      <c r="S2" s="5">
        <v>0</v>
      </c>
      <c r="T2" s="5">
        <v>184.3</v>
      </c>
      <c r="U2" s="5">
        <v>13</v>
      </c>
      <c r="V2" s="5">
        <v>0</v>
      </c>
      <c r="W2" s="5">
        <v>0</v>
      </c>
      <c r="X2" s="5">
        <v>0</v>
      </c>
      <c r="Y2" s="5">
        <v>0</v>
      </c>
      <c r="Z2" s="5">
        <v>0</v>
      </c>
      <c r="AA2" s="5">
        <v>0</v>
      </c>
      <c r="AB2" s="5">
        <v>0</v>
      </c>
      <c r="AC2">
        <f>Z2+AA2+AB2</f>
        <v>0</v>
      </c>
    </row>
    <row r="3" spans="1:29">
      <c r="A3" s="4">
        <v>193</v>
      </c>
      <c r="B3" s="5">
        <f>_xlfn.XLOOKUP(G3,Sheet1!E:E,Sheet1!A:A)</f>
        <v>3095</v>
      </c>
      <c r="C3" s="5">
        <v>201</v>
      </c>
      <c r="D3" s="5">
        <f>_xlfn.XLOOKUP(G3,'规范整合泌尿系统医疗服务价格映射表12.11 (2)'!T:T,'规范整合泌尿系统医疗服务价格映射表12.11 (2)'!A:A)</f>
        <v>2</v>
      </c>
      <c r="E3" s="8" t="s">
        <v>60</v>
      </c>
      <c r="F3" s="9" t="str">
        <f>_xlfn.XLOOKUP(G3,Sheet1!F:F,Sheet1!G:G)</f>
        <v>尿流率检测</v>
      </c>
      <c r="G3" s="10" t="s">
        <v>61</v>
      </c>
      <c r="H3" s="11"/>
      <c r="I3" s="5">
        <v>66</v>
      </c>
      <c r="J3" s="5">
        <v>60</v>
      </c>
      <c r="K3" s="5">
        <v>51</v>
      </c>
      <c r="L3" s="11"/>
      <c r="M3" s="5">
        <v>66</v>
      </c>
      <c r="N3" s="5">
        <v>59</v>
      </c>
      <c r="O3" s="5">
        <v>51</v>
      </c>
      <c r="P3" s="5">
        <v>1</v>
      </c>
      <c r="Q3" s="5">
        <v>1</v>
      </c>
      <c r="R3" s="5" t="s">
        <v>2111</v>
      </c>
      <c r="S3" s="5">
        <v>0</v>
      </c>
      <c r="T3" s="5">
        <v>220.3</v>
      </c>
      <c r="U3" s="5">
        <v>1149.5</v>
      </c>
      <c r="V3" s="5">
        <v>0</v>
      </c>
      <c r="W3" s="5">
        <v>0</v>
      </c>
      <c r="X3" s="5">
        <v>-1149.5</v>
      </c>
      <c r="Y3" s="5">
        <v>0</v>
      </c>
      <c r="Z3" s="5">
        <v>0</v>
      </c>
      <c r="AA3" s="5">
        <v>-1149.5</v>
      </c>
      <c r="AB3" s="5">
        <v>0</v>
      </c>
      <c r="AC3">
        <f t="shared" ref="AC3:AC66" si="0">Z3+AA3+AB3</f>
        <v>-1149.5</v>
      </c>
    </row>
    <row r="4" spans="1:29">
      <c r="A4" s="4">
        <v>62</v>
      </c>
      <c r="B4" s="5">
        <f>_xlfn.XLOOKUP(G4,Sheet1!E:E,Sheet1!A:A)</f>
        <v>3096</v>
      </c>
      <c r="C4" s="5">
        <v>201</v>
      </c>
      <c r="D4" s="5">
        <f>_xlfn.XLOOKUP(G4,'规范整合泌尿系统医疗服务价格映射表12.11 (2)'!T:T,'规范整合泌尿系统医疗服务价格映射表12.11 (2)'!A:A)</f>
        <v>3</v>
      </c>
      <c r="E4" s="8" t="s">
        <v>64</v>
      </c>
      <c r="F4" s="9" t="str">
        <f>_xlfn.XLOOKUP(G4,Sheet1!F:F,Sheet1!G:G)</f>
        <v>经皮肾盂镜检查</v>
      </c>
      <c r="G4" s="10" t="s">
        <v>69</v>
      </c>
      <c r="H4" s="11"/>
      <c r="I4" s="5">
        <v>660</v>
      </c>
      <c r="J4" s="5">
        <v>600</v>
      </c>
      <c r="K4" s="5">
        <v>510</v>
      </c>
      <c r="L4" s="11"/>
      <c r="M4" s="5">
        <v>660</v>
      </c>
      <c r="N4" s="5">
        <v>595</v>
      </c>
      <c r="O4" s="5">
        <v>510</v>
      </c>
      <c r="P4" s="5">
        <v>1</v>
      </c>
      <c r="Q4" s="5">
        <v>1</v>
      </c>
      <c r="R4" s="5" t="s">
        <v>2111</v>
      </c>
      <c r="S4" s="5">
        <v>0</v>
      </c>
      <c r="T4" s="5">
        <v>55.5</v>
      </c>
      <c r="U4" s="5">
        <v>12</v>
      </c>
      <c r="V4" s="5">
        <v>0</v>
      </c>
      <c r="W4" s="5">
        <v>0</v>
      </c>
      <c r="X4" s="5">
        <v>-60</v>
      </c>
      <c r="Y4" s="5">
        <v>0</v>
      </c>
      <c r="Z4" s="5">
        <v>0</v>
      </c>
      <c r="AA4" s="5">
        <v>-60</v>
      </c>
      <c r="AB4" s="5">
        <v>0</v>
      </c>
      <c r="AC4">
        <f t="shared" si="0"/>
        <v>-60</v>
      </c>
    </row>
    <row r="5" spans="1:29">
      <c r="A5" s="4">
        <v>69</v>
      </c>
      <c r="B5" s="5">
        <f>_xlfn.XLOOKUP(G5,Sheet1!E:E,Sheet1!A:A)</f>
        <v>3097</v>
      </c>
      <c r="C5" s="5">
        <v>201</v>
      </c>
      <c r="D5" s="5">
        <f>_xlfn.XLOOKUP(G5,'规范整合泌尿系统医疗服务价格映射表12.11 (2)'!T:T,'规范整合泌尿系统医疗服务价格映射表12.11 (2)'!A:A)</f>
        <v>4</v>
      </c>
      <c r="E5" s="8" t="s">
        <v>73</v>
      </c>
      <c r="F5" s="9" t="str">
        <f>_xlfn.XLOOKUP(G5,Sheet1!F:F,Sheet1!G:G)</f>
        <v>经尿道输尿管镜检查</v>
      </c>
      <c r="G5" s="10" t="s">
        <v>78</v>
      </c>
      <c r="H5" s="11"/>
      <c r="I5" s="5">
        <v>495</v>
      </c>
      <c r="J5" s="5">
        <v>450</v>
      </c>
      <c r="K5" s="5">
        <v>382.5</v>
      </c>
      <c r="L5" s="11"/>
      <c r="M5" s="5">
        <v>495</v>
      </c>
      <c r="N5" s="5">
        <v>445</v>
      </c>
      <c r="O5" s="5">
        <v>380</v>
      </c>
      <c r="P5" s="5">
        <v>1</v>
      </c>
      <c r="Q5" s="5">
        <v>1</v>
      </c>
      <c r="R5" s="5" t="s">
        <v>2111</v>
      </c>
      <c r="S5" s="5">
        <v>0</v>
      </c>
      <c r="T5" s="5">
        <v>92.61</v>
      </c>
      <c r="U5" s="5">
        <v>176.8</v>
      </c>
      <c r="V5" s="5">
        <v>11</v>
      </c>
      <c r="W5" s="5">
        <v>0</v>
      </c>
      <c r="X5" s="5">
        <v>-884</v>
      </c>
      <c r="Y5" s="5">
        <v>-27.5</v>
      </c>
      <c r="Z5" s="5">
        <v>0</v>
      </c>
      <c r="AA5" s="5">
        <v>-1041.5</v>
      </c>
      <c r="AB5" s="5">
        <v>-27.5</v>
      </c>
      <c r="AC5">
        <f t="shared" si="0"/>
        <v>-1069</v>
      </c>
    </row>
    <row r="6" spans="1:29">
      <c r="A6" s="4">
        <v>10</v>
      </c>
      <c r="B6" s="5">
        <f>_xlfn.XLOOKUP(G6,Sheet1!E:E,Sheet1!A:A)</f>
        <v>3098</v>
      </c>
      <c r="C6" s="5">
        <v>201</v>
      </c>
      <c r="D6" s="5" t="str">
        <f>_xlfn.XLOOKUP(G6,'规范整合泌尿系统医疗服务价格映射表12.11 (2)'!T:T,'规范整合泌尿系统医疗服务价格映射表12.11 (2)'!A:A)</f>
        <v>分项</v>
      </c>
      <c r="E6" s="8" t="s">
        <v>2126</v>
      </c>
      <c r="F6" s="9" t="str">
        <f>_xlfn.XLOOKUP(G6,Sheet1!F:F,Sheet1!G:G)</f>
        <v>经尿道精囊镜检查</v>
      </c>
      <c r="G6" s="10" t="s">
        <v>85</v>
      </c>
      <c r="H6" s="11"/>
      <c r="I6" s="5">
        <v>720</v>
      </c>
      <c r="J6" s="5">
        <v>648</v>
      </c>
      <c r="K6" s="5">
        <v>550.8</v>
      </c>
      <c r="L6" s="11"/>
      <c r="M6" s="5">
        <v>495</v>
      </c>
      <c r="N6" s="5">
        <v>445</v>
      </c>
      <c r="O6" s="5">
        <v>380</v>
      </c>
      <c r="P6" s="5">
        <v>1</v>
      </c>
      <c r="Q6" s="5">
        <v>1</v>
      </c>
      <c r="R6" s="5" t="s">
        <v>2111</v>
      </c>
      <c r="S6" s="5">
        <v>0</v>
      </c>
      <c r="T6" s="5">
        <v>1</v>
      </c>
      <c r="U6" s="5">
        <v>0</v>
      </c>
      <c r="V6" s="5">
        <v>0</v>
      </c>
      <c r="W6" s="5">
        <v>-225</v>
      </c>
      <c r="X6" s="5">
        <v>0</v>
      </c>
      <c r="Y6" s="5">
        <v>0</v>
      </c>
      <c r="Z6" s="5">
        <v>-225</v>
      </c>
      <c r="AA6" s="5">
        <v>0</v>
      </c>
      <c r="AB6" s="5">
        <v>0</v>
      </c>
      <c r="AC6">
        <f t="shared" si="0"/>
        <v>-225</v>
      </c>
    </row>
    <row r="7" spans="1:29">
      <c r="A7" s="4">
        <v>11</v>
      </c>
      <c r="B7" s="5">
        <f>_xlfn.XLOOKUP(G7,Sheet1!E:E,Sheet1!A:A)</f>
        <v>3099</v>
      </c>
      <c r="C7" s="5">
        <v>201</v>
      </c>
      <c r="D7" s="5">
        <f>_xlfn.XLOOKUP(G7,'规范整合泌尿系统医疗服务价格映射表12.11 (2)'!T:T,'规范整合泌尿系统医疗服务价格映射表12.11 (2)'!A:A)</f>
        <v>5</v>
      </c>
      <c r="E7" s="8" t="s">
        <v>90</v>
      </c>
      <c r="F7" s="9" t="str">
        <f>_xlfn.XLOOKUP(G7,Sheet1!F:F,Sheet1!G:G)</f>
        <v>膀胱镜尿道镜检查</v>
      </c>
      <c r="G7" s="10" t="s">
        <v>92</v>
      </c>
      <c r="H7" s="11"/>
      <c r="I7" s="5">
        <v>132</v>
      </c>
      <c r="J7" s="5">
        <v>120</v>
      </c>
      <c r="K7" s="5">
        <v>102</v>
      </c>
      <c r="L7" s="11"/>
      <c r="M7" s="5">
        <v>132</v>
      </c>
      <c r="N7" s="5">
        <v>120</v>
      </c>
      <c r="O7" s="5">
        <v>102</v>
      </c>
      <c r="P7" s="5">
        <v>1</v>
      </c>
      <c r="Q7" s="5">
        <v>1</v>
      </c>
      <c r="R7" s="5" t="s">
        <v>2111</v>
      </c>
      <c r="S7" s="5">
        <v>0</v>
      </c>
      <c r="T7" s="5">
        <v>536.3</v>
      </c>
      <c r="U7" s="5">
        <v>323.8</v>
      </c>
      <c r="V7" s="5">
        <v>28.5</v>
      </c>
      <c r="W7" s="5">
        <v>0</v>
      </c>
      <c r="X7" s="5">
        <v>0</v>
      </c>
      <c r="Y7" s="5">
        <v>0</v>
      </c>
      <c r="Z7" s="5">
        <v>0</v>
      </c>
      <c r="AA7" s="5">
        <v>120</v>
      </c>
      <c r="AB7" s="5">
        <v>0</v>
      </c>
      <c r="AC7">
        <f t="shared" si="0"/>
        <v>120</v>
      </c>
    </row>
    <row r="8" spans="1:29">
      <c r="A8" s="4">
        <v>61</v>
      </c>
      <c r="B8" s="5">
        <f>_xlfn.XLOOKUP(G8,Sheet1!E:E,Sheet1!A:A)</f>
        <v>3100</v>
      </c>
      <c r="C8" s="5">
        <v>201</v>
      </c>
      <c r="D8" s="5">
        <f>_xlfn.XLOOKUP(G8,'规范整合泌尿系统医疗服务价格映射表12.11 (2)'!T:T,'规范整合泌尿系统医疗服务价格映射表12.11 (2)'!A:A)</f>
        <v>7</v>
      </c>
      <c r="E8" s="8" t="s">
        <v>102</v>
      </c>
      <c r="F8" s="9" t="str">
        <f>_xlfn.XLOOKUP(G8,Sheet1!F:F,Sheet1!G:G)</f>
        <v>夜间阴茎胀大试验</v>
      </c>
      <c r="G8" s="10" t="s">
        <v>105</v>
      </c>
      <c r="H8" s="11"/>
      <c r="I8" s="5">
        <v>99</v>
      </c>
      <c r="J8" s="5">
        <v>89</v>
      </c>
      <c r="K8" s="5">
        <v>77</v>
      </c>
      <c r="L8" s="11"/>
      <c r="M8" s="5">
        <v>99</v>
      </c>
      <c r="N8" s="5">
        <v>89</v>
      </c>
      <c r="O8" s="5">
        <v>77</v>
      </c>
      <c r="P8" s="5">
        <v>1</v>
      </c>
      <c r="Q8" s="5">
        <v>1</v>
      </c>
      <c r="R8" s="5" t="s">
        <v>2111</v>
      </c>
      <c r="S8" s="5">
        <v>0</v>
      </c>
      <c r="T8" s="5">
        <v>6</v>
      </c>
      <c r="U8" s="5">
        <v>1</v>
      </c>
      <c r="V8" s="5">
        <v>0</v>
      </c>
      <c r="W8" s="5">
        <v>0</v>
      </c>
      <c r="X8" s="5">
        <v>0</v>
      </c>
      <c r="Y8" s="5">
        <v>0</v>
      </c>
      <c r="Z8" s="5">
        <v>0</v>
      </c>
      <c r="AA8" s="5">
        <v>0</v>
      </c>
      <c r="AB8" s="5">
        <v>0</v>
      </c>
      <c r="AC8">
        <f t="shared" si="0"/>
        <v>0</v>
      </c>
    </row>
    <row r="9" spans="1:29">
      <c r="A9" s="4">
        <v>217</v>
      </c>
      <c r="B9" s="5">
        <f>_xlfn.XLOOKUP(G9,Sheet1!E:E,Sheet1!A:A)</f>
        <v>3103</v>
      </c>
      <c r="C9" s="5">
        <v>201</v>
      </c>
      <c r="D9" s="5">
        <f>_xlfn.XLOOKUP(G9,'规范整合泌尿系统医疗服务价格映射表12.11 (2)'!T:T,'规范整合泌尿系统医疗服务价格映射表12.11 (2)'!A:A)</f>
        <v>9</v>
      </c>
      <c r="E9" s="8" t="s">
        <v>118</v>
      </c>
      <c r="F9" s="9" t="str">
        <f>_xlfn.XLOOKUP(G9,Sheet1!F:F,Sheet1!G:G)</f>
        <v>阴茎勃起神经检查</v>
      </c>
      <c r="G9" s="10" t="s">
        <v>122</v>
      </c>
      <c r="H9" s="11"/>
      <c r="I9" s="5">
        <v>110</v>
      </c>
      <c r="J9" s="5">
        <v>100</v>
      </c>
      <c r="K9" s="5">
        <v>85</v>
      </c>
      <c r="L9" s="11"/>
      <c r="M9" s="5">
        <v>110</v>
      </c>
      <c r="N9" s="5">
        <v>99</v>
      </c>
      <c r="O9" s="5">
        <v>85</v>
      </c>
      <c r="P9" s="5">
        <v>1</v>
      </c>
      <c r="Q9" s="5">
        <v>1</v>
      </c>
      <c r="R9" s="5" t="s">
        <v>2111</v>
      </c>
      <c r="S9" s="5">
        <v>0</v>
      </c>
      <c r="T9" s="5">
        <v>0</v>
      </c>
      <c r="U9" s="5">
        <v>21</v>
      </c>
      <c r="V9" s="5">
        <v>0</v>
      </c>
      <c r="W9" s="5">
        <v>0</v>
      </c>
      <c r="X9" s="5">
        <v>-21</v>
      </c>
      <c r="Y9" s="5">
        <v>0</v>
      </c>
      <c r="Z9" s="5">
        <v>0</v>
      </c>
      <c r="AA9" s="5">
        <v>-21</v>
      </c>
      <c r="AB9" s="5">
        <v>0</v>
      </c>
      <c r="AC9">
        <f t="shared" si="0"/>
        <v>-21</v>
      </c>
    </row>
    <row r="10" spans="1:29">
      <c r="A10" s="4">
        <v>107</v>
      </c>
      <c r="B10" s="5">
        <f>_xlfn.XLOOKUP(G10,Sheet1!E:E,Sheet1!A:A)</f>
        <v>3104</v>
      </c>
      <c r="C10" s="5">
        <v>201</v>
      </c>
      <c r="D10" s="5">
        <f>_xlfn.XLOOKUP(G10,'规范整合泌尿系统医疗服务价格映射表12.11 (2)'!T:T,'规范整合泌尿系统医疗服务价格映射表12.11 (2)'!A:A)</f>
        <v>15</v>
      </c>
      <c r="E10" s="8" t="s">
        <v>150</v>
      </c>
      <c r="F10" s="9" t="str">
        <f>_xlfn.XLOOKUP(G10,Sheet1!F:F,Sheet1!G:G)</f>
        <v>人工肝治疗</v>
      </c>
      <c r="G10" s="10" t="s">
        <v>155</v>
      </c>
      <c r="H10" s="11"/>
      <c r="I10" s="5">
        <v>1500</v>
      </c>
      <c r="J10" s="5">
        <v>1350</v>
      </c>
      <c r="K10" s="5">
        <v>1145</v>
      </c>
      <c r="L10" s="11"/>
      <c r="M10" s="5">
        <v>2250</v>
      </c>
      <c r="N10" s="5">
        <v>2050</v>
      </c>
      <c r="O10" s="5">
        <v>1740</v>
      </c>
      <c r="P10" s="5">
        <v>1</v>
      </c>
      <c r="Q10" s="5">
        <v>1</v>
      </c>
      <c r="R10" s="5" t="s">
        <v>2111</v>
      </c>
      <c r="S10" s="5">
        <v>0</v>
      </c>
      <c r="T10" s="5">
        <v>6</v>
      </c>
      <c r="U10" s="5">
        <v>11</v>
      </c>
      <c r="V10" s="5">
        <v>0</v>
      </c>
      <c r="W10" s="5">
        <v>4500</v>
      </c>
      <c r="X10" s="5">
        <v>7700</v>
      </c>
      <c r="Y10" s="5">
        <v>0</v>
      </c>
      <c r="Z10" s="5">
        <v>4500</v>
      </c>
      <c r="AA10" s="5">
        <v>7700</v>
      </c>
      <c r="AB10" s="5">
        <v>0</v>
      </c>
      <c r="AC10">
        <f t="shared" si="0"/>
        <v>12200</v>
      </c>
    </row>
    <row r="11" spans="1:29">
      <c r="A11" s="4">
        <v>78</v>
      </c>
      <c r="B11" s="5">
        <f>_xlfn.XLOOKUP(G11,Sheet1!E:E,Sheet1!A:A)</f>
        <v>3108</v>
      </c>
      <c r="C11" s="5">
        <v>201</v>
      </c>
      <c r="D11" s="5" t="e">
        <f>_xlfn.XLOOKUP(G11,'规范整合泌尿系统医疗服务价格映射表12.11 (2)'!T:T,'规范整合泌尿系统医疗服务价格映射表12.11 (2)'!A:A)</f>
        <v>#N/A</v>
      </c>
      <c r="E11" s="12" t="e">
        <v>#N/A</v>
      </c>
      <c r="F11" s="9" t="str">
        <f>_xlfn.XLOOKUP(G11,Sheet1!F:F,Sheet1!G:G)</f>
        <v>腹膜透析置管费</v>
      </c>
      <c r="G11" s="10" t="s">
        <v>2112</v>
      </c>
      <c r="H11" s="11"/>
      <c r="I11" s="5">
        <v>400</v>
      </c>
      <c r="J11" s="5">
        <v>400</v>
      </c>
      <c r="K11" s="5">
        <v>340</v>
      </c>
      <c r="L11" s="11"/>
      <c r="M11" s="5">
        <v>420</v>
      </c>
      <c r="N11" s="5">
        <v>395</v>
      </c>
      <c r="O11" s="5">
        <v>340</v>
      </c>
      <c r="P11" s="5">
        <v>1</v>
      </c>
      <c r="Q11" s="5">
        <v>1</v>
      </c>
      <c r="R11" s="5" t="s">
        <v>2111</v>
      </c>
      <c r="S11" s="5">
        <v>0</v>
      </c>
      <c r="T11" s="5">
        <v>58</v>
      </c>
      <c r="U11" s="5">
        <v>35</v>
      </c>
      <c r="V11" s="5">
        <v>0</v>
      </c>
      <c r="W11" s="5">
        <v>1160</v>
      </c>
      <c r="X11" s="5">
        <v>-175</v>
      </c>
      <c r="Y11" s="5">
        <v>0</v>
      </c>
      <c r="Z11" s="5">
        <v>1160</v>
      </c>
      <c r="AA11" s="5">
        <v>-175</v>
      </c>
      <c r="AB11" s="5">
        <v>0</v>
      </c>
      <c r="AC11">
        <f t="shared" si="0"/>
        <v>985</v>
      </c>
    </row>
    <row r="12" spans="1:29">
      <c r="A12" s="4">
        <v>48</v>
      </c>
      <c r="B12" s="5">
        <f>_xlfn.XLOOKUP(G12,Sheet1!E:E,Sheet1!A:A)</f>
        <v>3111</v>
      </c>
      <c r="C12" s="5">
        <v>201</v>
      </c>
      <c r="D12" s="5" t="e">
        <f>_xlfn.XLOOKUP(G12,'规范整合泌尿系统医疗服务价格映射表12.11 (2)'!T:T,'规范整合泌尿系统医疗服务价格映射表12.11 (2)'!A:A)</f>
        <v>#N/A</v>
      </c>
      <c r="E12" s="12"/>
      <c r="F12" s="9" t="str">
        <f>_xlfn.XLOOKUP(G12,Sheet1!F:F,Sheet1!G:G)</f>
        <v>腹膜透析导管取出费</v>
      </c>
      <c r="G12" s="10" t="s">
        <v>2113</v>
      </c>
      <c r="H12" s="11"/>
      <c r="I12" s="5">
        <v>400</v>
      </c>
      <c r="J12" s="5">
        <v>400</v>
      </c>
      <c r="K12" s="5">
        <v>340</v>
      </c>
      <c r="L12" s="11"/>
      <c r="M12" s="5">
        <v>420</v>
      </c>
      <c r="N12" s="5">
        <v>395</v>
      </c>
      <c r="O12" s="5">
        <v>340</v>
      </c>
      <c r="P12" s="5">
        <v>1</v>
      </c>
      <c r="Q12" s="5">
        <v>1</v>
      </c>
      <c r="R12" s="5" t="s">
        <v>2111</v>
      </c>
      <c r="S12" s="5">
        <v>0</v>
      </c>
      <c r="T12" s="5">
        <v>24</v>
      </c>
      <c r="U12" s="5">
        <v>14.5</v>
      </c>
      <c r="V12" s="5">
        <v>0</v>
      </c>
      <c r="W12" s="5">
        <v>480</v>
      </c>
      <c r="X12" s="5">
        <v>-72.5</v>
      </c>
      <c r="Y12" s="5">
        <v>0</v>
      </c>
      <c r="Z12" s="5">
        <v>480</v>
      </c>
      <c r="AA12" s="5">
        <v>-72.5</v>
      </c>
      <c r="AB12" s="5">
        <v>0</v>
      </c>
      <c r="AC12">
        <f t="shared" si="0"/>
        <v>407.5</v>
      </c>
    </row>
    <row r="13" spans="1:29">
      <c r="A13" s="4">
        <v>20</v>
      </c>
      <c r="B13" s="5">
        <f>_xlfn.XLOOKUP(G13,Sheet1!E:E,Sheet1!A:A)</f>
        <v>3112</v>
      </c>
      <c r="C13" s="5">
        <v>201</v>
      </c>
      <c r="D13" s="5">
        <f>_xlfn.XLOOKUP(G13,'规范整合泌尿系统医疗服务价格映射表12.11 (2)'!T:T,'规范整合泌尿系统医疗服务价格映射表12.11 (2)'!A:A)</f>
        <v>31</v>
      </c>
      <c r="E13" s="8" t="s">
        <v>251</v>
      </c>
      <c r="F13" s="9" t="str">
        <f>_xlfn.XLOOKUP(G13,Sheet1!F:F,Sheet1!G:G)</f>
        <v>体外冲击波碎石</v>
      </c>
      <c r="G13" s="10" t="s">
        <v>256</v>
      </c>
      <c r="H13" s="11"/>
      <c r="I13" s="5">
        <v>700</v>
      </c>
      <c r="J13" s="5">
        <v>630</v>
      </c>
      <c r="K13" s="5">
        <v>535.5</v>
      </c>
      <c r="L13" s="11"/>
      <c r="M13" s="5">
        <v>700</v>
      </c>
      <c r="N13" s="5">
        <v>630</v>
      </c>
      <c r="O13" s="5">
        <v>535</v>
      </c>
      <c r="P13" s="5">
        <v>1</v>
      </c>
      <c r="Q13" s="5">
        <v>1</v>
      </c>
      <c r="R13" s="5" t="s">
        <v>2111</v>
      </c>
      <c r="S13" s="5">
        <v>0</v>
      </c>
      <c r="T13" s="5">
        <v>159</v>
      </c>
      <c r="U13" s="5">
        <v>2077</v>
      </c>
      <c r="V13" s="5">
        <v>3731</v>
      </c>
      <c r="W13" s="5">
        <v>0</v>
      </c>
      <c r="X13" s="5">
        <v>0</v>
      </c>
      <c r="Y13" s="5">
        <v>-1865.5</v>
      </c>
      <c r="Z13" s="5">
        <v>0</v>
      </c>
      <c r="AA13" s="5">
        <v>1134</v>
      </c>
      <c r="AB13" s="5">
        <v>-1763.5</v>
      </c>
      <c r="AC13">
        <f t="shared" si="0"/>
        <v>-629.5</v>
      </c>
    </row>
    <row r="14" spans="1:29">
      <c r="A14" s="4">
        <v>140</v>
      </c>
      <c r="B14" s="5">
        <f>_xlfn.XLOOKUP(G14,Sheet1!E:E,Sheet1!A:A)</f>
        <v>3113</v>
      </c>
      <c r="C14" s="5">
        <v>201</v>
      </c>
      <c r="D14" s="5">
        <f>_xlfn.XLOOKUP(G14,'规范整合泌尿系统医疗服务价格映射表12.11 (2)'!T:T,'规范整合泌尿系统医疗服务价格映射表12.11 (2)'!A:A)</f>
        <v>31</v>
      </c>
      <c r="E14" s="8" t="s">
        <v>260</v>
      </c>
      <c r="F14" s="9" t="str">
        <f>_xlfn.XLOOKUP(G14,Sheet1!F:F,Sheet1!G:G)</f>
        <v>体外冲击波碎石（第二次）</v>
      </c>
      <c r="G14" s="10" t="s">
        <v>261</v>
      </c>
      <c r="H14" s="11"/>
      <c r="I14" s="5">
        <v>350</v>
      </c>
      <c r="J14" s="5">
        <v>315</v>
      </c>
      <c r="K14" s="5">
        <v>267.8</v>
      </c>
      <c r="L14" s="11"/>
      <c r="M14" s="5">
        <v>350</v>
      </c>
      <c r="N14" s="5">
        <v>315</v>
      </c>
      <c r="O14" s="5">
        <v>268</v>
      </c>
      <c r="P14" s="5">
        <v>1</v>
      </c>
      <c r="Q14" s="5">
        <v>1</v>
      </c>
      <c r="R14" s="5" t="s">
        <v>2111</v>
      </c>
      <c r="S14" s="5">
        <v>0</v>
      </c>
      <c r="T14" s="5">
        <v>7</v>
      </c>
      <c r="U14" s="5">
        <v>184</v>
      </c>
      <c r="V14" s="5">
        <v>347</v>
      </c>
      <c r="W14" s="5">
        <v>0</v>
      </c>
      <c r="X14" s="5">
        <v>0</v>
      </c>
      <c r="Y14" s="5">
        <v>69.4</v>
      </c>
      <c r="Z14" s="5">
        <v>0</v>
      </c>
      <c r="AA14" s="5">
        <v>0</v>
      </c>
      <c r="AB14" s="5">
        <v>98</v>
      </c>
      <c r="AC14">
        <f t="shared" si="0"/>
        <v>98</v>
      </c>
    </row>
    <row r="15" spans="1:29">
      <c r="A15" s="4">
        <v>73</v>
      </c>
      <c r="B15" s="5">
        <f>_xlfn.XLOOKUP(G15,Sheet1!E:E,Sheet1!A:A)</f>
        <v>3114</v>
      </c>
      <c r="C15" s="5">
        <v>201</v>
      </c>
      <c r="D15" s="5">
        <f>_xlfn.XLOOKUP(G15,'规范整合泌尿系统医疗服务价格映射表12.11 (2)'!T:T,'规范整合泌尿系统医疗服务价格映射表12.11 (2)'!A:A)</f>
        <v>31</v>
      </c>
      <c r="E15" s="8" t="s">
        <v>264</v>
      </c>
      <c r="F15" s="9" t="str">
        <f>_xlfn.XLOOKUP(G15,Sheet1!F:F,Sheet1!G:G)</f>
        <v>体外冲击波碎石（第三次）</v>
      </c>
      <c r="G15" s="10" t="s">
        <v>265</v>
      </c>
      <c r="H15" s="11"/>
      <c r="I15" s="5">
        <v>175</v>
      </c>
      <c r="J15" s="5">
        <v>157.5</v>
      </c>
      <c r="K15" s="5">
        <v>133.9</v>
      </c>
      <c r="L15" s="11"/>
      <c r="M15" s="5">
        <v>175</v>
      </c>
      <c r="N15" s="5">
        <v>158</v>
      </c>
      <c r="O15" s="5">
        <v>134</v>
      </c>
      <c r="P15" s="5">
        <v>1</v>
      </c>
      <c r="Q15" s="5">
        <v>1</v>
      </c>
      <c r="R15" s="5" t="s">
        <v>2111</v>
      </c>
      <c r="S15" s="5">
        <v>0</v>
      </c>
      <c r="T15" s="5">
        <v>2</v>
      </c>
      <c r="U15" s="5">
        <v>9</v>
      </c>
      <c r="V15" s="5">
        <v>16</v>
      </c>
      <c r="W15" s="5">
        <v>0</v>
      </c>
      <c r="X15" s="5">
        <v>4.5</v>
      </c>
      <c r="Y15" s="5">
        <v>1.6</v>
      </c>
      <c r="Z15" s="5">
        <v>0</v>
      </c>
      <c r="AA15" s="5">
        <v>4.5</v>
      </c>
      <c r="AB15" s="5">
        <v>2.525</v>
      </c>
      <c r="AC15">
        <f t="shared" si="0"/>
        <v>7.025</v>
      </c>
    </row>
    <row r="16" spans="1:29">
      <c r="A16" s="4">
        <v>35</v>
      </c>
      <c r="B16" s="5">
        <f>_xlfn.XLOOKUP(G16,Sheet1!E:E,Sheet1!A:A)</f>
        <v>3115</v>
      </c>
      <c r="C16" s="5">
        <v>201</v>
      </c>
      <c r="D16" s="5">
        <f>_xlfn.XLOOKUP(G16,'规范整合泌尿系统医疗服务价格映射表12.11 (2)'!T:T,'规范整合泌尿系统医疗服务价格映射表12.11 (2)'!A:A)</f>
        <v>32</v>
      </c>
      <c r="E16" s="8" t="s">
        <v>269</v>
      </c>
      <c r="F16" s="9" t="str">
        <f>_xlfn.XLOOKUP(G16,Sheet1!F:F,Sheet1!G:G)</f>
        <v>经皮肾盂镜取石术（取异物）</v>
      </c>
      <c r="G16" s="10" t="s">
        <v>275</v>
      </c>
      <c r="H16" s="11"/>
      <c r="I16" s="5">
        <v>880</v>
      </c>
      <c r="J16" s="5">
        <v>800</v>
      </c>
      <c r="K16" s="5">
        <v>680</v>
      </c>
      <c r="L16" s="11"/>
      <c r="M16" s="5">
        <v>815</v>
      </c>
      <c r="N16" s="5">
        <v>740</v>
      </c>
      <c r="O16" s="5">
        <v>640</v>
      </c>
      <c r="P16" s="5">
        <v>1</v>
      </c>
      <c r="Q16" s="5">
        <v>1</v>
      </c>
      <c r="R16" s="5" t="s">
        <v>2111</v>
      </c>
      <c r="S16" s="5">
        <v>0</v>
      </c>
      <c r="T16" s="5">
        <v>1</v>
      </c>
      <c r="U16" s="5">
        <v>0</v>
      </c>
      <c r="V16" s="5">
        <v>0</v>
      </c>
      <c r="W16" s="5">
        <v>-65</v>
      </c>
      <c r="X16" s="5">
        <v>0</v>
      </c>
      <c r="Y16" s="5">
        <v>0</v>
      </c>
      <c r="Z16" s="5">
        <v>-65</v>
      </c>
      <c r="AA16" s="5">
        <v>0</v>
      </c>
      <c r="AB16" s="5">
        <v>0</v>
      </c>
      <c r="AC16">
        <f t="shared" si="0"/>
        <v>-65</v>
      </c>
    </row>
    <row r="17" spans="1:29">
      <c r="A17" s="4">
        <v>121</v>
      </c>
      <c r="B17" s="5">
        <f>_xlfn.XLOOKUP(G17,Sheet1!E:E,Sheet1!A:A)</f>
        <v>3116</v>
      </c>
      <c r="C17" s="5">
        <v>201</v>
      </c>
      <c r="D17" s="5">
        <f>_xlfn.XLOOKUP(G17,'规范整合泌尿系统医疗服务价格映射表12.11 (2)'!T:T,'规范整合泌尿系统医疗服务价格映射表12.11 (2)'!A:A)</f>
        <v>32</v>
      </c>
      <c r="E17" s="12"/>
      <c r="F17" s="9" t="str">
        <f>_xlfn.XLOOKUP(G17,Sheet1!F:F,Sheet1!G:G)</f>
        <v>经尿道膀胱碎石取石术</v>
      </c>
      <c r="G17" s="10" t="s">
        <v>278</v>
      </c>
      <c r="H17" s="11"/>
      <c r="I17" s="5">
        <v>1250</v>
      </c>
      <c r="J17" s="5">
        <v>1200</v>
      </c>
      <c r="K17" s="5">
        <v>1020</v>
      </c>
      <c r="L17" s="11"/>
      <c r="M17" s="5">
        <v>815</v>
      </c>
      <c r="N17" s="5">
        <v>740</v>
      </c>
      <c r="O17" s="5">
        <v>640</v>
      </c>
      <c r="P17" s="5">
        <v>1</v>
      </c>
      <c r="Q17" s="5">
        <v>1</v>
      </c>
      <c r="R17" s="5" t="s">
        <v>2111</v>
      </c>
      <c r="S17" s="5">
        <v>0</v>
      </c>
      <c r="T17" s="5">
        <v>71.7</v>
      </c>
      <c r="U17" s="5">
        <v>112.3</v>
      </c>
      <c r="V17" s="5">
        <v>6.5</v>
      </c>
      <c r="W17" s="5">
        <v>-31189.5</v>
      </c>
      <c r="X17" s="5">
        <v>-51658</v>
      </c>
      <c r="Y17" s="5">
        <v>-2470</v>
      </c>
      <c r="Z17" s="5">
        <v>-31189.5</v>
      </c>
      <c r="AA17" s="5">
        <v>-50278</v>
      </c>
      <c r="AB17" s="5">
        <v>-2470</v>
      </c>
      <c r="AC17">
        <f t="shared" si="0"/>
        <v>-83937.5</v>
      </c>
    </row>
    <row r="18" spans="1:29">
      <c r="A18" s="4">
        <v>142</v>
      </c>
      <c r="B18" s="5">
        <f>_xlfn.XLOOKUP(G18,Sheet1!E:E,Sheet1!A:A)</f>
        <v>3124</v>
      </c>
      <c r="C18" s="5">
        <v>201</v>
      </c>
      <c r="D18" s="5">
        <f>_xlfn.XLOOKUP(G18,'规范整合泌尿系统医疗服务价格映射表12.11 (2)'!T:T,'规范整合泌尿系统医疗服务价格映射表12.11 (2)'!A:A)</f>
        <v>33</v>
      </c>
      <c r="E18" s="8" t="s">
        <v>299</v>
      </c>
      <c r="F18" s="9" t="str">
        <f>_xlfn.XLOOKUP(G18,Sheet1!F:F,Sheet1!G:G)</f>
        <v>经输尿管镜碎石取石术</v>
      </c>
      <c r="G18" s="10" t="s">
        <v>304</v>
      </c>
      <c r="H18" s="11"/>
      <c r="I18" s="5">
        <v>990</v>
      </c>
      <c r="J18" s="5">
        <v>900</v>
      </c>
      <c r="K18" s="5">
        <v>765</v>
      </c>
      <c r="L18" s="11"/>
      <c r="M18" s="5">
        <v>2370</v>
      </c>
      <c r="N18" s="5">
        <v>2145</v>
      </c>
      <c r="O18" s="5">
        <v>1850</v>
      </c>
      <c r="P18" s="5">
        <v>1</v>
      </c>
      <c r="Q18" s="5">
        <v>1</v>
      </c>
      <c r="R18" s="5" t="s">
        <v>2111</v>
      </c>
      <c r="S18" s="5">
        <v>0</v>
      </c>
      <c r="T18" s="5">
        <v>29</v>
      </c>
      <c r="U18" s="5">
        <v>11</v>
      </c>
      <c r="V18" s="5">
        <v>1</v>
      </c>
      <c r="W18" s="5">
        <v>40020</v>
      </c>
      <c r="X18" s="5">
        <v>13695</v>
      </c>
      <c r="Y18" s="5">
        <v>1085</v>
      </c>
      <c r="Z18" s="5">
        <v>40020</v>
      </c>
      <c r="AA18" s="5">
        <v>13695</v>
      </c>
      <c r="AB18" s="5">
        <v>1085</v>
      </c>
      <c r="AC18" s="14">
        <f t="shared" si="0"/>
        <v>54800</v>
      </c>
    </row>
    <row r="19" spans="1:29">
      <c r="A19" s="4">
        <v>164</v>
      </c>
      <c r="B19" s="5">
        <f>_xlfn.XLOOKUP(G19,Sheet1!E:E,Sheet1!A:A)</f>
        <v>3125</v>
      </c>
      <c r="C19" s="5">
        <v>201</v>
      </c>
      <c r="D19" s="5">
        <f>_xlfn.XLOOKUP(G19,'规范整合泌尿系统医疗服务价格映射表12.11 (2)'!T:T,'规范整合泌尿系统医疗服务价格映射表12.11 (2)'!A:A)</f>
        <v>33</v>
      </c>
      <c r="E19" s="12"/>
      <c r="F19" s="9" t="str">
        <f>_xlfn.XLOOKUP(G19,Sheet1!F:F,Sheet1!G:G)</f>
        <v>经输尿管镜碎石取石术（弹道法）</v>
      </c>
      <c r="G19" s="10" t="s">
        <v>308</v>
      </c>
      <c r="H19" s="11"/>
      <c r="I19" s="5">
        <v>1100</v>
      </c>
      <c r="J19" s="5">
        <v>1000</v>
      </c>
      <c r="K19" s="5">
        <v>850</v>
      </c>
      <c r="L19" s="11"/>
      <c r="M19" s="5">
        <v>2370</v>
      </c>
      <c r="N19" s="5">
        <v>2145</v>
      </c>
      <c r="O19" s="5">
        <v>1850</v>
      </c>
      <c r="P19" s="5">
        <v>1</v>
      </c>
      <c r="Q19" s="5">
        <v>1</v>
      </c>
      <c r="R19" s="5" t="s">
        <v>2111</v>
      </c>
      <c r="S19" s="5">
        <v>0</v>
      </c>
      <c r="T19" s="5">
        <v>17.5</v>
      </c>
      <c r="U19" s="5">
        <v>13.5</v>
      </c>
      <c r="V19" s="5">
        <v>0</v>
      </c>
      <c r="W19" s="5">
        <v>22225</v>
      </c>
      <c r="X19" s="5">
        <v>15457.5</v>
      </c>
      <c r="Y19" s="5">
        <v>0</v>
      </c>
      <c r="Z19" s="5">
        <v>22225</v>
      </c>
      <c r="AA19" s="5">
        <v>14957.5</v>
      </c>
      <c r="AB19" s="5">
        <v>0</v>
      </c>
      <c r="AC19" s="14">
        <f t="shared" si="0"/>
        <v>37182.5</v>
      </c>
    </row>
    <row r="20" spans="1:29">
      <c r="A20" s="4">
        <v>24</v>
      </c>
      <c r="B20" s="5">
        <f>_xlfn.XLOOKUP(G20,Sheet1!E:E,Sheet1!A:A)</f>
        <v>3126</v>
      </c>
      <c r="C20" s="5">
        <v>201</v>
      </c>
      <c r="D20" s="5">
        <f>_xlfn.XLOOKUP(G20,'规范整合泌尿系统医疗服务价格映射表12.11 (2)'!T:T,'规范整合泌尿系统医疗服务价格映射表12.11 (2)'!A:A)</f>
        <v>33</v>
      </c>
      <c r="E20" s="12"/>
      <c r="F20" s="9" t="str">
        <f>_xlfn.XLOOKUP(G20,Sheet1!F:F,Sheet1!G:G)</f>
        <v>经输尿管镜碎石取石术（激光法）</v>
      </c>
      <c r="G20" s="10" t="s">
        <v>311</v>
      </c>
      <c r="H20" s="11"/>
      <c r="I20" s="5">
        <v>1760</v>
      </c>
      <c r="J20" s="5">
        <v>1600</v>
      </c>
      <c r="K20" s="5">
        <v>1360</v>
      </c>
      <c r="L20" s="11"/>
      <c r="M20" s="5">
        <v>2370</v>
      </c>
      <c r="N20" s="5">
        <v>2145</v>
      </c>
      <c r="O20" s="5">
        <v>1850</v>
      </c>
      <c r="P20" s="5">
        <v>1</v>
      </c>
      <c r="Q20" s="5">
        <v>1</v>
      </c>
      <c r="R20" s="5" t="s">
        <v>2111</v>
      </c>
      <c r="S20" s="5">
        <v>0</v>
      </c>
      <c r="T20" s="13">
        <v>2551.5</v>
      </c>
      <c r="U20" s="13">
        <v>4352.5</v>
      </c>
      <c r="V20" s="13">
        <v>831</v>
      </c>
      <c r="W20" s="5">
        <v>1556415</v>
      </c>
      <c r="X20" s="5">
        <v>2372112.5</v>
      </c>
      <c r="Y20" s="5">
        <v>407190</v>
      </c>
      <c r="Z20" s="5">
        <v>1556415</v>
      </c>
      <c r="AA20" s="5">
        <v>2411472.5</v>
      </c>
      <c r="AB20" s="5">
        <v>407190</v>
      </c>
      <c r="AC20" s="15">
        <f t="shared" si="0"/>
        <v>4375077.5</v>
      </c>
    </row>
    <row r="21" spans="1:29">
      <c r="A21" s="4">
        <v>58</v>
      </c>
      <c r="B21" s="5">
        <f>_xlfn.XLOOKUP(G21,Sheet1!E:E,Sheet1!A:A)</f>
        <v>3127</v>
      </c>
      <c r="C21" s="5">
        <v>201</v>
      </c>
      <c r="D21" s="5">
        <f>_xlfn.XLOOKUP(G21,'规范整合泌尿系统医疗服务价格映射表12.11 (2)'!T:T,'规范整合泌尿系统医疗服务价格映射表12.11 (2)'!A:A)</f>
        <v>33</v>
      </c>
      <c r="E21" s="12"/>
      <c r="F21" s="9" t="str">
        <f>_xlfn.XLOOKUP(G21,Sheet1!F:F,Sheet1!G:G)</f>
        <v>经膀胱镜尿道镜特殊治疗</v>
      </c>
      <c r="G21" s="10" t="s">
        <v>314</v>
      </c>
      <c r="H21" s="11"/>
      <c r="I21" s="5">
        <v>176</v>
      </c>
      <c r="J21" s="5">
        <v>160</v>
      </c>
      <c r="K21" s="5">
        <v>136</v>
      </c>
      <c r="L21" s="11"/>
      <c r="M21" s="5">
        <v>2007</v>
      </c>
      <c r="N21" s="5">
        <v>1820</v>
      </c>
      <c r="O21" s="5">
        <v>1572</v>
      </c>
      <c r="P21" s="5">
        <v>1</v>
      </c>
      <c r="Q21" s="5">
        <v>1</v>
      </c>
      <c r="R21" s="5" t="s">
        <v>2111</v>
      </c>
      <c r="S21" s="5">
        <v>0</v>
      </c>
      <c r="T21" s="5">
        <v>11</v>
      </c>
      <c r="U21" s="5">
        <v>10</v>
      </c>
      <c r="V21" s="5">
        <v>0</v>
      </c>
      <c r="W21" s="5">
        <v>20141</v>
      </c>
      <c r="X21" s="5">
        <v>16600</v>
      </c>
      <c r="Y21" s="5">
        <v>0</v>
      </c>
      <c r="Z21" s="5">
        <v>20141</v>
      </c>
      <c r="AA21" s="5">
        <v>16584</v>
      </c>
      <c r="AB21" s="5">
        <v>0</v>
      </c>
      <c r="AC21" s="14">
        <f t="shared" si="0"/>
        <v>36725</v>
      </c>
    </row>
    <row r="22" spans="1:29">
      <c r="A22" s="4">
        <v>158</v>
      </c>
      <c r="B22" s="5">
        <f>_xlfn.XLOOKUP(G22,Sheet1!E:E,Sheet1!A:A)</f>
        <v>3128</v>
      </c>
      <c r="C22" s="5">
        <v>201</v>
      </c>
      <c r="D22" s="5">
        <f>_xlfn.XLOOKUP(G22,'规范整合泌尿系统医疗服务价格映射表12.11 (2)'!T:T,'规范整合泌尿系统医疗服务价格映射表12.11 (2)'!A:A)</f>
        <v>33</v>
      </c>
      <c r="E22" s="12"/>
      <c r="F22" s="9" t="str">
        <f>_xlfn.XLOOKUP(G22,Sheet1!F:F,Sheet1!G:G)</f>
        <v>经膀胱镜尿道镜特殊治疗（激光法）</v>
      </c>
      <c r="G22" s="10" t="s">
        <v>317</v>
      </c>
      <c r="H22" s="11"/>
      <c r="I22" s="5">
        <v>231</v>
      </c>
      <c r="J22" s="5">
        <v>210</v>
      </c>
      <c r="K22" s="5">
        <v>178.5</v>
      </c>
      <c r="L22" s="11"/>
      <c r="M22" s="5">
        <v>2007</v>
      </c>
      <c r="N22" s="5">
        <v>1820</v>
      </c>
      <c r="O22" s="5">
        <v>1572</v>
      </c>
      <c r="P22" s="5">
        <v>1</v>
      </c>
      <c r="Q22" s="5">
        <v>1</v>
      </c>
      <c r="R22" s="5" t="s">
        <v>2111</v>
      </c>
      <c r="S22" s="5">
        <v>0</v>
      </c>
      <c r="T22" s="5">
        <v>2</v>
      </c>
      <c r="U22" s="5">
        <v>7</v>
      </c>
      <c r="V22" s="5">
        <v>0</v>
      </c>
      <c r="W22" s="5">
        <v>3552</v>
      </c>
      <c r="X22" s="5">
        <v>11270</v>
      </c>
      <c r="Y22" s="5">
        <v>0</v>
      </c>
      <c r="Z22" s="5">
        <v>3552</v>
      </c>
      <c r="AA22" s="5">
        <v>11270</v>
      </c>
      <c r="AB22" s="5">
        <v>0</v>
      </c>
      <c r="AC22" s="14">
        <f t="shared" si="0"/>
        <v>14822</v>
      </c>
    </row>
    <row r="23" spans="1:29">
      <c r="A23" s="4">
        <v>199</v>
      </c>
      <c r="B23" s="5">
        <f>_xlfn.XLOOKUP(G23,Sheet1!E:E,Sheet1!A:A)</f>
        <v>3129</v>
      </c>
      <c r="C23" s="5">
        <v>201</v>
      </c>
      <c r="D23" s="5">
        <f>_xlfn.XLOOKUP(G23,'规范整合泌尿系统医疗服务价格映射表12.11 (2)'!T:T,'规范整合泌尿系统医疗服务价格映射表12.11 (2)'!A:A)</f>
        <v>33</v>
      </c>
      <c r="E23" s="12"/>
      <c r="F23" s="9" t="str">
        <f>_xlfn.XLOOKUP(G23,Sheet1!F:F,Sheet1!G:G)</f>
        <v>经尿道膀胱肿瘤特殊治疗</v>
      </c>
      <c r="G23" s="10" t="s">
        <v>319</v>
      </c>
      <c r="H23" s="11"/>
      <c r="I23" s="5">
        <v>2530</v>
      </c>
      <c r="J23" s="5">
        <v>2280</v>
      </c>
      <c r="K23" s="5">
        <v>1940</v>
      </c>
      <c r="L23" s="11"/>
      <c r="M23" s="5">
        <v>1875</v>
      </c>
      <c r="N23" s="5">
        <v>1700</v>
      </c>
      <c r="O23" s="5">
        <v>1470</v>
      </c>
      <c r="P23" s="5">
        <v>1</v>
      </c>
      <c r="Q23" s="5">
        <v>1</v>
      </c>
      <c r="R23" s="5" t="s">
        <v>2111</v>
      </c>
      <c r="S23" s="5">
        <v>0</v>
      </c>
      <c r="T23" s="5">
        <v>14.8</v>
      </c>
      <c r="U23" s="5">
        <v>16</v>
      </c>
      <c r="V23" s="5">
        <v>0.5</v>
      </c>
      <c r="W23" s="5">
        <v>-9694</v>
      </c>
      <c r="X23" s="5">
        <v>-9280</v>
      </c>
      <c r="Y23" s="5">
        <v>-235</v>
      </c>
      <c r="Z23" s="5">
        <v>-9694</v>
      </c>
      <c r="AA23" s="5">
        <v>-9280</v>
      </c>
      <c r="AB23" s="5">
        <v>-235</v>
      </c>
      <c r="AC23" s="14">
        <f t="shared" si="0"/>
        <v>-19209</v>
      </c>
    </row>
    <row r="24" spans="1:29">
      <c r="A24" s="4">
        <v>88</v>
      </c>
      <c r="B24" s="5">
        <f>_xlfn.XLOOKUP(G24,Sheet1!E:E,Sheet1!A:A)</f>
        <v>3130</v>
      </c>
      <c r="C24" s="5">
        <v>201</v>
      </c>
      <c r="D24" s="5">
        <f>_xlfn.XLOOKUP(G24,'规范整合泌尿系统医疗服务价格映射表12.11 (2)'!T:T,'规范整合泌尿系统医疗服务价格映射表12.11 (2)'!A:A)</f>
        <v>33</v>
      </c>
      <c r="E24" s="12"/>
      <c r="F24" s="9" t="str">
        <f>_xlfn.XLOOKUP(G24,Sheet1!F:F,Sheet1!G:G)</f>
        <v>经尿道膀胱肿瘤特殊治疗（电切法）</v>
      </c>
      <c r="G24" s="10" t="s">
        <v>323</v>
      </c>
      <c r="H24" s="11"/>
      <c r="I24" s="5">
        <v>2590</v>
      </c>
      <c r="J24" s="5">
        <v>2330</v>
      </c>
      <c r="K24" s="5">
        <v>1980</v>
      </c>
      <c r="L24" s="11"/>
      <c r="M24" s="5">
        <v>1875</v>
      </c>
      <c r="N24" s="5">
        <v>1700</v>
      </c>
      <c r="O24" s="5">
        <v>1470</v>
      </c>
      <c r="P24" s="5">
        <v>1</v>
      </c>
      <c r="Q24" s="5">
        <v>1</v>
      </c>
      <c r="R24" s="5" t="s">
        <v>2111</v>
      </c>
      <c r="S24" s="5">
        <v>0</v>
      </c>
      <c r="T24" s="5">
        <v>69.5</v>
      </c>
      <c r="U24" s="5">
        <v>121</v>
      </c>
      <c r="V24" s="5">
        <v>10.5</v>
      </c>
      <c r="W24" s="5">
        <v>-49692.5</v>
      </c>
      <c r="X24" s="5">
        <v>-76230</v>
      </c>
      <c r="Y24" s="5">
        <v>-5355</v>
      </c>
      <c r="Z24" s="5">
        <v>-49692.5</v>
      </c>
      <c r="AA24" s="5">
        <v>-72385</v>
      </c>
      <c r="AB24" s="5">
        <v>-5355</v>
      </c>
      <c r="AC24" s="14">
        <f t="shared" si="0"/>
        <v>-127432.5</v>
      </c>
    </row>
    <row r="25" spans="1:29">
      <c r="A25" s="4">
        <v>165</v>
      </c>
      <c r="B25" s="5">
        <f>_xlfn.XLOOKUP(G25,Sheet1!E:E,Sheet1!A:A)</f>
        <v>3133</v>
      </c>
      <c r="C25" s="5">
        <v>201</v>
      </c>
      <c r="D25" s="5">
        <f>_xlfn.XLOOKUP(G25,'规范整合泌尿系统医疗服务价格映射表12.11 (2)'!T:T,'规范整合泌尿系统医疗服务价格映射表12.11 (2)'!A:A)</f>
        <v>33</v>
      </c>
      <c r="E25" s="12"/>
      <c r="F25" s="9" t="str">
        <f>_xlfn.XLOOKUP(G25,Sheet1!F:F,Sheet1!G:G)</f>
        <v>经膀胱镜下经尿道膀胱肿瘤特殊治疗</v>
      </c>
      <c r="G25" s="10" t="s">
        <v>330</v>
      </c>
      <c r="H25" s="11"/>
      <c r="I25" s="5">
        <v>2780</v>
      </c>
      <c r="J25" s="5">
        <v>2505</v>
      </c>
      <c r="K25" s="5">
        <v>2130</v>
      </c>
      <c r="L25" s="11"/>
      <c r="M25" s="5">
        <v>2007</v>
      </c>
      <c r="N25" s="5">
        <v>1820</v>
      </c>
      <c r="O25" s="5">
        <v>1572</v>
      </c>
      <c r="P25" s="5">
        <v>1</v>
      </c>
      <c r="Q25" s="5">
        <v>1</v>
      </c>
      <c r="R25" s="5" t="s">
        <v>2111</v>
      </c>
      <c r="S25" s="5">
        <v>0</v>
      </c>
      <c r="T25" s="5">
        <v>235.5</v>
      </c>
      <c r="U25" s="5">
        <v>54</v>
      </c>
      <c r="V25" s="5">
        <v>3</v>
      </c>
      <c r="W25" s="5">
        <v>-182041.5</v>
      </c>
      <c r="X25" s="5">
        <v>-36990</v>
      </c>
      <c r="Y25" s="5">
        <v>-1674</v>
      </c>
      <c r="Z25" s="5">
        <v>-182041.5</v>
      </c>
      <c r="AA25" s="5">
        <v>-36990</v>
      </c>
      <c r="AB25" s="5">
        <v>-1674</v>
      </c>
      <c r="AC25" s="14">
        <f t="shared" si="0"/>
        <v>-220705.5</v>
      </c>
    </row>
    <row r="26" spans="1:29">
      <c r="A26" s="4">
        <v>111</v>
      </c>
      <c r="B26" s="5">
        <f>_xlfn.XLOOKUP(G26,Sheet1!E:E,Sheet1!A:A)</f>
        <v>3134</v>
      </c>
      <c r="C26" s="5">
        <v>201</v>
      </c>
      <c r="D26" s="5">
        <f>_xlfn.XLOOKUP(G26,'规范整合泌尿系统医疗服务价格映射表12.11 (2)'!T:T,'规范整合泌尿系统医疗服务价格映射表12.11 (2)'!A:A)</f>
        <v>33</v>
      </c>
      <c r="E26" s="12"/>
      <c r="F26" s="9" t="str">
        <f>_xlfn.XLOOKUP(G26,Sheet1!F:F,Sheet1!G:G)</f>
        <v>经膀胱镜下经尿道膀胱肿瘤特殊治疗（电切法）</v>
      </c>
      <c r="G26" s="10" t="s">
        <v>333</v>
      </c>
      <c r="H26" s="11"/>
      <c r="I26" s="5">
        <v>2840</v>
      </c>
      <c r="J26" s="5">
        <v>2555</v>
      </c>
      <c r="K26" s="5">
        <v>2170</v>
      </c>
      <c r="L26" s="11"/>
      <c r="M26" s="5">
        <v>2007</v>
      </c>
      <c r="N26" s="5">
        <v>1820</v>
      </c>
      <c r="O26" s="5">
        <v>1572</v>
      </c>
      <c r="P26" s="5">
        <v>1</v>
      </c>
      <c r="Q26" s="5">
        <v>1</v>
      </c>
      <c r="R26" s="5" t="s">
        <v>2111</v>
      </c>
      <c r="S26" s="5">
        <v>0</v>
      </c>
      <c r="T26" s="5">
        <v>136.3</v>
      </c>
      <c r="U26" s="5">
        <v>101</v>
      </c>
      <c r="V26" s="5">
        <v>9</v>
      </c>
      <c r="W26" s="5">
        <v>-113537.9</v>
      </c>
      <c r="X26" s="5">
        <v>-74235</v>
      </c>
      <c r="Y26" s="5">
        <v>-5382</v>
      </c>
      <c r="Z26" s="5">
        <v>-113537.9</v>
      </c>
      <c r="AA26" s="5">
        <v>-72572.5</v>
      </c>
      <c r="AB26" s="5">
        <v>-5382</v>
      </c>
      <c r="AC26" s="14">
        <f t="shared" si="0"/>
        <v>-191492.4</v>
      </c>
    </row>
    <row r="27" spans="1:29">
      <c r="A27" s="4">
        <v>108</v>
      </c>
      <c r="B27" s="5">
        <f>_xlfn.XLOOKUP(G27,Sheet1!E:E,Sheet1!A:A)</f>
        <v>3137</v>
      </c>
      <c r="C27" s="5">
        <v>201</v>
      </c>
      <c r="D27" s="5">
        <f>_xlfn.XLOOKUP(G27,'规范整合泌尿系统医疗服务价格映射表12.11 (2)'!T:T,'规范整合泌尿系统医疗服务价格映射表12.11 (2)'!A:A)</f>
        <v>33</v>
      </c>
      <c r="E27" s="12"/>
      <c r="F27" s="9" t="str">
        <f>_xlfn.XLOOKUP(G27,Sheet1!F:F,Sheet1!G:G)</f>
        <v>膀胱镜下经尿道膀胱碎石取石术</v>
      </c>
      <c r="G27" s="10" t="s">
        <v>339</v>
      </c>
      <c r="H27" s="11"/>
      <c r="I27" s="5">
        <v>1500</v>
      </c>
      <c r="J27" s="5">
        <v>1425</v>
      </c>
      <c r="K27" s="5">
        <v>1210</v>
      </c>
      <c r="L27" s="11"/>
      <c r="M27" s="5">
        <v>2007</v>
      </c>
      <c r="N27" s="5">
        <v>1820</v>
      </c>
      <c r="O27" s="5">
        <v>1572</v>
      </c>
      <c r="P27" s="5">
        <v>1</v>
      </c>
      <c r="Q27" s="5">
        <v>1</v>
      </c>
      <c r="R27" s="5" t="s">
        <v>2111</v>
      </c>
      <c r="S27" s="5">
        <v>0</v>
      </c>
      <c r="T27" s="5">
        <v>144.3</v>
      </c>
      <c r="U27" s="5">
        <v>253.5</v>
      </c>
      <c r="V27" s="5">
        <v>49</v>
      </c>
      <c r="W27" s="5">
        <v>73160.1</v>
      </c>
      <c r="X27" s="5">
        <v>100132.5</v>
      </c>
      <c r="Y27" s="5">
        <v>17738</v>
      </c>
      <c r="Z27" s="5">
        <v>73160.1</v>
      </c>
      <c r="AA27" s="5">
        <v>101557.5</v>
      </c>
      <c r="AB27" s="5">
        <v>17738</v>
      </c>
      <c r="AC27" s="14">
        <f t="shared" si="0"/>
        <v>192455.6</v>
      </c>
    </row>
    <row r="28" spans="1:29">
      <c r="A28" s="4">
        <v>208</v>
      </c>
      <c r="B28" s="5">
        <f>_xlfn.XLOOKUP(G28,Sheet1!E:E,Sheet1!A:A)</f>
        <v>3138</v>
      </c>
      <c r="C28" s="5">
        <v>201</v>
      </c>
      <c r="D28" s="5">
        <f>_xlfn.XLOOKUP(G28,'规范整合泌尿系统医疗服务价格映射表12.11 (2)'!T:T,'规范整合泌尿系统医疗服务价格映射表12.11 (2)'!A:A)</f>
        <v>33</v>
      </c>
      <c r="E28" s="12"/>
      <c r="F28" s="9" t="str">
        <f>_xlfn.XLOOKUP(G28,Sheet1!F:F,Sheet1!G:G)</f>
        <v>小儿膀胱镜下经尿道膀胱碎石取石术</v>
      </c>
      <c r="G28" s="10" t="s">
        <v>341</v>
      </c>
      <c r="H28" s="11"/>
      <c r="I28" s="5">
        <v>1875</v>
      </c>
      <c r="J28" s="5">
        <v>1785</v>
      </c>
      <c r="K28" s="5">
        <v>1515</v>
      </c>
      <c r="L28" s="11"/>
      <c r="M28" s="5">
        <v>2007</v>
      </c>
      <c r="N28" s="5">
        <v>1820</v>
      </c>
      <c r="O28" s="5">
        <v>1572</v>
      </c>
      <c r="P28" s="5">
        <v>1</v>
      </c>
      <c r="Q28" s="5">
        <v>1</v>
      </c>
      <c r="R28" s="5" t="s">
        <v>2111</v>
      </c>
      <c r="S28" s="5">
        <v>0</v>
      </c>
      <c r="T28" s="5">
        <v>1</v>
      </c>
      <c r="U28" s="5">
        <v>0</v>
      </c>
      <c r="V28" s="5">
        <v>0</v>
      </c>
      <c r="W28" s="5">
        <v>132</v>
      </c>
      <c r="X28" s="5">
        <v>0</v>
      </c>
      <c r="Y28" s="5">
        <v>0</v>
      </c>
      <c r="Z28" s="5">
        <v>132</v>
      </c>
      <c r="AA28" s="5">
        <v>0</v>
      </c>
      <c r="AB28" s="5">
        <v>0</v>
      </c>
      <c r="AC28" s="14">
        <f t="shared" si="0"/>
        <v>132</v>
      </c>
    </row>
    <row r="29" spans="1:29">
      <c r="A29" s="4">
        <v>105</v>
      </c>
      <c r="B29" s="5">
        <f>_xlfn.XLOOKUP(G29,Sheet1!E:E,Sheet1!A:A)</f>
        <v>3139</v>
      </c>
      <c r="C29" s="5">
        <v>201</v>
      </c>
      <c r="D29" s="5">
        <f>_xlfn.XLOOKUP(G29,'规范整合泌尿系统医疗服务价格映射表12.11 (2)'!T:T,'规范整合泌尿系统医疗服务价格映射表12.11 (2)'!A:A)</f>
        <v>33</v>
      </c>
      <c r="E29" s="12"/>
      <c r="F29" s="9" t="str">
        <f>_xlfn.XLOOKUP(G29,Sheet1!F:F,Sheet1!G:G)</f>
        <v>经尿道前列腺电切术</v>
      </c>
      <c r="G29" s="10" t="s">
        <v>343</v>
      </c>
      <c r="H29" s="11"/>
      <c r="I29" s="5">
        <v>2530</v>
      </c>
      <c r="J29" s="5">
        <v>2280</v>
      </c>
      <c r="K29" s="5">
        <v>1940</v>
      </c>
      <c r="L29" s="11"/>
      <c r="M29" s="5">
        <v>1875</v>
      </c>
      <c r="N29" s="5">
        <v>1700</v>
      </c>
      <c r="O29" s="5">
        <v>1470</v>
      </c>
      <c r="P29" s="5">
        <v>1</v>
      </c>
      <c r="Q29" s="5">
        <v>1</v>
      </c>
      <c r="R29" s="5" t="s">
        <v>2111</v>
      </c>
      <c r="S29" s="5">
        <v>0</v>
      </c>
      <c r="T29" s="5">
        <v>1</v>
      </c>
      <c r="U29" s="5">
        <v>3</v>
      </c>
      <c r="V29" s="5">
        <v>0</v>
      </c>
      <c r="W29" s="5">
        <v>-655</v>
      </c>
      <c r="X29" s="5">
        <v>-1740</v>
      </c>
      <c r="Y29" s="5">
        <v>0</v>
      </c>
      <c r="Z29" s="5">
        <v>-655</v>
      </c>
      <c r="AA29" s="5">
        <v>-1740</v>
      </c>
      <c r="AB29" s="5">
        <v>0</v>
      </c>
      <c r="AC29" s="14">
        <f t="shared" si="0"/>
        <v>-2395</v>
      </c>
    </row>
    <row r="30" spans="1:29">
      <c r="A30" s="4">
        <v>74</v>
      </c>
      <c r="B30" s="5">
        <f>_xlfn.XLOOKUP(G30,Sheet1!E:E,Sheet1!A:A)</f>
        <v>3140</v>
      </c>
      <c r="C30" s="5">
        <v>201</v>
      </c>
      <c r="D30" s="5">
        <f>_xlfn.XLOOKUP(G30,'规范整合泌尿系统医疗服务价格映射表12.11 (2)'!T:T,'规范整合泌尿系统医疗服务价格映射表12.11 (2)'!A:A)</f>
        <v>33</v>
      </c>
      <c r="E30" s="12"/>
      <c r="F30" s="9" t="str">
        <f>_xlfn.XLOOKUP(G30,Sheet1!F:F,Sheet1!G:G)</f>
        <v>经尿道前列腺电切术（电切法）</v>
      </c>
      <c r="G30" s="10" t="s">
        <v>346</v>
      </c>
      <c r="H30" s="11"/>
      <c r="I30" s="5">
        <v>3635</v>
      </c>
      <c r="J30" s="5">
        <v>3270</v>
      </c>
      <c r="K30" s="5">
        <v>2780</v>
      </c>
      <c r="L30" s="11"/>
      <c r="M30" s="5">
        <v>1875</v>
      </c>
      <c r="N30" s="5">
        <v>1700</v>
      </c>
      <c r="O30" s="5">
        <v>1470</v>
      </c>
      <c r="P30" s="5">
        <v>1</v>
      </c>
      <c r="Q30" s="5">
        <v>1</v>
      </c>
      <c r="R30" s="5" t="s">
        <v>2111</v>
      </c>
      <c r="S30" s="5">
        <v>0</v>
      </c>
      <c r="T30" s="5">
        <v>4</v>
      </c>
      <c r="U30" s="5">
        <v>4</v>
      </c>
      <c r="V30" s="5">
        <v>0</v>
      </c>
      <c r="W30" s="5">
        <v>-7040</v>
      </c>
      <c r="X30" s="5">
        <v>-6280</v>
      </c>
      <c r="Y30" s="5">
        <v>0</v>
      </c>
      <c r="Z30" s="5">
        <v>-5195</v>
      </c>
      <c r="AA30" s="5">
        <v>-3670</v>
      </c>
      <c r="AB30" s="5">
        <v>0</v>
      </c>
      <c r="AC30" s="14">
        <f t="shared" si="0"/>
        <v>-8865</v>
      </c>
    </row>
    <row r="31" spans="1:29">
      <c r="A31" s="4">
        <v>75</v>
      </c>
      <c r="B31" s="5">
        <f>_xlfn.XLOOKUP(G31,Sheet1!E:E,Sheet1!A:A)</f>
        <v>3141</v>
      </c>
      <c r="C31" s="5">
        <v>201</v>
      </c>
      <c r="D31" s="5">
        <f>_xlfn.XLOOKUP(G31,'规范整合泌尿系统医疗服务价格映射表12.11 (2)'!T:T,'规范整合泌尿系统医疗服务价格映射表12.11 (2)'!A:A)</f>
        <v>33</v>
      </c>
      <c r="E31" s="12"/>
      <c r="F31" s="9" t="str">
        <f>_xlfn.XLOOKUP(G31,Sheet1!F:F,Sheet1!G:G)</f>
        <v>经尿道前列腺电切术（等离子法）</v>
      </c>
      <c r="G31" s="10" t="s">
        <v>348</v>
      </c>
      <c r="H31" s="11"/>
      <c r="I31" s="5">
        <v>3310</v>
      </c>
      <c r="J31" s="5">
        <v>2980</v>
      </c>
      <c r="K31" s="5">
        <v>2530</v>
      </c>
      <c r="L31" s="11"/>
      <c r="M31" s="5">
        <v>1875</v>
      </c>
      <c r="N31" s="5">
        <v>1700</v>
      </c>
      <c r="O31" s="5">
        <v>1470</v>
      </c>
      <c r="P31" s="5">
        <v>1</v>
      </c>
      <c r="Q31" s="5">
        <v>1</v>
      </c>
      <c r="R31" s="5" t="s">
        <v>2111</v>
      </c>
      <c r="S31" s="5">
        <v>0</v>
      </c>
      <c r="T31" s="5">
        <v>47</v>
      </c>
      <c r="U31" s="5">
        <v>197</v>
      </c>
      <c r="V31" s="5">
        <v>35</v>
      </c>
      <c r="W31" s="5">
        <v>-67445</v>
      </c>
      <c r="X31" s="5">
        <v>-252160</v>
      </c>
      <c r="Y31" s="5">
        <v>-37100</v>
      </c>
      <c r="Z31" s="5">
        <v>-67445</v>
      </c>
      <c r="AA31" s="5">
        <v>-249460</v>
      </c>
      <c r="AB31" s="5">
        <v>-36732</v>
      </c>
      <c r="AC31" s="14">
        <f t="shared" si="0"/>
        <v>-353637</v>
      </c>
    </row>
    <row r="32" spans="1:29">
      <c r="A32" s="4">
        <v>1</v>
      </c>
      <c r="B32" s="5">
        <f>_xlfn.XLOOKUP(G32,Sheet1!E:E,Sheet1!A:A)</f>
        <v>3146</v>
      </c>
      <c r="C32" s="5">
        <v>201</v>
      </c>
      <c r="D32" s="5">
        <f>_xlfn.XLOOKUP(G32,'规范整合泌尿系统医疗服务价格映射表12.11 (2)'!T:T,'规范整合泌尿系统医疗服务价格映射表12.11 (2)'!A:A)</f>
        <v>33</v>
      </c>
      <c r="E32" s="12"/>
      <c r="F32" s="9" t="str">
        <f>_xlfn.XLOOKUP(G32,Sheet1!F:F,Sheet1!G:G)</f>
        <v>经膀胱镜经尿道前列腺电切术（电切法）</v>
      </c>
      <c r="G32" s="10" t="s">
        <v>359</v>
      </c>
      <c r="H32" s="11"/>
      <c r="I32" s="5">
        <v>3270</v>
      </c>
      <c r="J32" s="5">
        <v>2945</v>
      </c>
      <c r="K32" s="5">
        <v>2500</v>
      </c>
      <c r="L32" s="11"/>
      <c r="M32" s="5">
        <v>2007</v>
      </c>
      <c r="N32" s="5">
        <v>1820</v>
      </c>
      <c r="O32" s="5">
        <v>1572</v>
      </c>
      <c r="P32" s="5">
        <v>1</v>
      </c>
      <c r="Q32" s="5">
        <v>1</v>
      </c>
      <c r="R32" s="5" t="s">
        <v>2111</v>
      </c>
      <c r="S32" s="5">
        <v>0</v>
      </c>
      <c r="T32" s="5">
        <v>0</v>
      </c>
      <c r="U32" s="5">
        <v>1</v>
      </c>
      <c r="V32" s="5">
        <v>0</v>
      </c>
      <c r="W32" s="5">
        <v>0</v>
      </c>
      <c r="X32" s="5">
        <v>-1125</v>
      </c>
      <c r="Y32" s="5">
        <v>0</v>
      </c>
      <c r="Z32" s="5">
        <v>0</v>
      </c>
      <c r="AA32" s="5">
        <v>-1125</v>
      </c>
      <c r="AB32" s="5">
        <v>0</v>
      </c>
      <c r="AC32" s="14">
        <f t="shared" si="0"/>
        <v>-1125</v>
      </c>
    </row>
    <row r="33" spans="1:29">
      <c r="A33" s="4">
        <v>126</v>
      </c>
      <c r="B33" s="5">
        <f>_xlfn.XLOOKUP(G33,Sheet1!E:E,Sheet1!A:A)</f>
        <v>3147</v>
      </c>
      <c r="C33" s="5">
        <v>201</v>
      </c>
      <c r="D33" s="5">
        <f>_xlfn.XLOOKUP(G33,'规范整合泌尿系统医疗服务价格映射表12.11 (2)'!T:T,'规范整合泌尿系统医疗服务价格映射表12.11 (2)'!A:A)</f>
        <v>33</v>
      </c>
      <c r="E33" s="12"/>
      <c r="F33" s="9" t="str">
        <f>_xlfn.XLOOKUP(G33,Sheet1!F:F,Sheet1!G:G)</f>
        <v>经膀胱镜经尿道前列腺电切术（等离子法）</v>
      </c>
      <c r="G33" s="10" t="s">
        <v>361</v>
      </c>
      <c r="H33" s="11"/>
      <c r="I33" s="5">
        <v>3560</v>
      </c>
      <c r="J33" s="5">
        <v>3205</v>
      </c>
      <c r="K33" s="5">
        <v>2720</v>
      </c>
      <c r="L33" s="11"/>
      <c r="M33" s="5">
        <v>2007</v>
      </c>
      <c r="N33" s="5">
        <v>1820</v>
      </c>
      <c r="O33" s="5">
        <v>1572</v>
      </c>
      <c r="P33" s="5">
        <v>1</v>
      </c>
      <c r="Q33" s="5">
        <v>1</v>
      </c>
      <c r="R33" s="5" t="s">
        <v>2111</v>
      </c>
      <c r="S33" s="5">
        <v>0</v>
      </c>
      <c r="T33" s="5">
        <v>278.6</v>
      </c>
      <c r="U33" s="5">
        <v>140</v>
      </c>
      <c r="V33" s="5">
        <v>16</v>
      </c>
      <c r="W33" s="5">
        <v>-432665.8</v>
      </c>
      <c r="X33" s="5">
        <v>-193900</v>
      </c>
      <c r="Y33" s="5">
        <v>-18368</v>
      </c>
      <c r="Z33" s="5">
        <v>-432665.8</v>
      </c>
      <c r="AA33" s="5">
        <v>-193900</v>
      </c>
      <c r="AB33" s="5">
        <v>-18368</v>
      </c>
      <c r="AC33" s="14">
        <f t="shared" si="0"/>
        <v>-644933.8</v>
      </c>
    </row>
    <row r="34" spans="1:29">
      <c r="A34" s="4">
        <v>212</v>
      </c>
      <c r="B34" s="5">
        <f>_xlfn.XLOOKUP(G34,Sheet1!E:E,Sheet1!A:A)</f>
        <v>3151</v>
      </c>
      <c r="C34" s="5">
        <v>201</v>
      </c>
      <c r="D34" s="5">
        <f>_xlfn.XLOOKUP(G34,'规范整合泌尿系统医疗服务价格映射表12.11 (2)'!T:T,'规范整合泌尿系统医疗服务价格映射表12.11 (2)'!A:A)</f>
        <v>33</v>
      </c>
      <c r="E34" s="12"/>
      <c r="F34" s="9" t="str">
        <f>_xlfn.XLOOKUP(G34,Sheet1!F:F,Sheet1!G:G)</f>
        <v>经尿道前列腺激光切除术</v>
      </c>
      <c r="G34" s="10" t="s">
        <v>369</v>
      </c>
      <c r="H34" s="11"/>
      <c r="I34" s="5">
        <v>4500</v>
      </c>
      <c r="J34" s="5">
        <v>4500</v>
      </c>
      <c r="K34" s="5">
        <v>3825</v>
      </c>
      <c r="L34" s="11"/>
      <c r="M34" s="5">
        <v>1875</v>
      </c>
      <c r="N34" s="5">
        <v>1700</v>
      </c>
      <c r="O34" s="5">
        <v>1470</v>
      </c>
      <c r="P34" s="5">
        <v>1</v>
      </c>
      <c r="Q34" s="5">
        <v>1</v>
      </c>
      <c r="R34" s="5" t="s">
        <v>2111</v>
      </c>
      <c r="S34" s="5">
        <v>0</v>
      </c>
      <c r="T34" s="5">
        <v>431</v>
      </c>
      <c r="U34" s="5">
        <v>377</v>
      </c>
      <c r="V34" s="5">
        <v>2</v>
      </c>
      <c r="W34" s="5">
        <v>-1131375</v>
      </c>
      <c r="X34" s="5">
        <v>-1055600</v>
      </c>
      <c r="Y34" s="5">
        <v>-4710</v>
      </c>
      <c r="Z34" s="5">
        <v>-1131375</v>
      </c>
      <c r="AA34" s="5">
        <v>-1054925</v>
      </c>
      <c r="AB34" s="5">
        <v>-4710</v>
      </c>
      <c r="AC34" s="14">
        <f t="shared" si="0"/>
        <v>-2191010</v>
      </c>
    </row>
    <row r="35" spans="1:29">
      <c r="A35" s="4">
        <v>146</v>
      </c>
      <c r="B35" s="5">
        <f>_xlfn.XLOOKUP(G35,Sheet1!E:E,Sheet1!A:A)</f>
        <v>3152</v>
      </c>
      <c r="C35" s="5">
        <v>201</v>
      </c>
      <c r="D35" s="5">
        <f>_xlfn.XLOOKUP(G35,'规范整合泌尿系统医疗服务价格映射表12.11 (2)'!T:T,'规范整合泌尿系统医疗服务价格映射表12.11 (2)'!A:A)</f>
        <v>33</v>
      </c>
      <c r="E35" s="12"/>
      <c r="F35" s="9" t="str">
        <f>_xlfn.XLOOKUP(G35,Sheet1!F:F,Sheet1!G:G)</f>
        <v>经精囊镜碎石取石术（激光法）</v>
      </c>
      <c r="G35" s="10" t="s">
        <v>372</v>
      </c>
      <c r="H35" s="11"/>
      <c r="I35" s="5">
        <v>2070</v>
      </c>
      <c r="J35" s="5">
        <v>1863</v>
      </c>
      <c r="K35" s="5">
        <v>1583.6</v>
      </c>
      <c r="L35" s="11"/>
      <c r="M35" s="5">
        <v>2370</v>
      </c>
      <c r="N35" s="5">
        <v>2145</v>
      </c>
      <c r="O35" s="5">
        <v>1850</v>
      </c>
      <c r="P35" s="5">
        <v>1</v>
      </c>
      <c r="Q35" s="5">
        <v>1</v>
      </c>
      <c r="R35" s="5" t="s">
        <v>2111</v>
      </c>
      <c r="S35" s="5">
        <v>0</v>
      </c>
      <c r="T35" s="5">
        <v>4</v>
      </c>
      <c r="U35" s="5">
        <v>0</v>
      </c>
      <c r="V35" s="5">
        <v>0</v>
      </c>
      <c r="W35" s="5">
        <v>1200</v>
      </c>
      <c r="X35" s="5">
        <v>0</v>
      </c>
      <c r="Y35" s="5">
        <v>0</v>
      </c>
      <c r="Z35" s="5">
        <v>1200</v>
      </c>
      <c r="AA35" s="5">
        <v>0</v>
      </c>
      <c r="AB35" s="5">
        <v>0</v>
      </c>
      <c r="AC35" s="14">
        <f t="shared" si="0"/>
        <v>1200</v>
      </c>
    </row>
    <row r="36" spans="1:29">
      <c r="A36" s="4">
        <v>70</v>
      </c>
      <c r="B36" s="5">
        <f>_xlfn.XLOOKUP(G36,Sheet1!E:E,Sheet1!A:A)</f>
        <v>3157</v>
      </c>
      <c r="C36" s="5">
        <v>201</v>
      </c>
      <c r="D36" s="5">
        <f>_xlfn.XLOOKUP(G36,'规范整合泌尿系统医疗服务价格映射表12.11 (2)'!T:T,'规范整合泌尿系统医疗服务价格映射表12.11 (2)'!A:A)</f>
        <v>33</v>
      </c>
      <c r="E36" s="12"/>
      <c r="F36" s="9" t="str">
        <f>_xlfn.XLOOKUP(G36,Sheet1!F:F,Sheet1!G:G)</f>
        <v>经皮肾镜碎石取石术</v>
      </c>
      <c r="G36" s="10" t="s">
        <v>388</v>
      </c>
      <c r="H36" s="11"/>
      <c r="I36" s="5">
        <v>0</v>
      </c>
      <c r="J36" s="5">
        <v>0</v>
      </c>
      <c r="K36" s="5">
        <v>0</v>
      </c>
      <c r="L36" s="11"/>
      <c r="M36" s="5">
        <v>2535</v>
      </c>
      <c r="N36" s="5">
        <v>2295</v>
      </c>
      <c r="O36" s="5">
        <v>1980</v>
      </c>
      <c r="P36" s="5">
        <v>1</v>
      </c>
      <c r="Q36" s="5">
        <v>1</v>
      </c>
      <c r="R36" s="5" t="s">
        <v>2111</v>
      </c>
      <c r="S36" s="5">
        <v>0</v>
      </c>
      <c r="T36" s="5">
        <v>201</v>
      </c>
      <c r="U36" s="5">
        <v>1</v>
      </c>
      <c r="V36" s="5">
        <v>0</v>
      </c>
      <c r="W36" s="5">
        <v>509535</v>
      </c>
      <c r="X36" s="5">
        <v>2295</v>
      </c>
      <c r="Y36" s="5">
        <v>0</v>
      </c>
      <c r="Z36" s="5">
        <v>-416565</v>
      </c>
      <c r="AA36" s="5">
        <v>-1935</v>
      </c>
      <c r="AB36" s="5">
        <v>0</v>
      </c>
      <c r="AC36" s="14">
        <f t="shared" si="0"/>
        <v>-418500</v>
      </c>
    </row>
    <row r="37" spans="1:29">
      <c r="A37" s="4">
        <v>182</v>
      </c>
      <c r="B37" s="5">
        <f>_xlfn.XLOOKUP(G37,Sheet1!E:E,Sheet1!A:A)</f>
        <v>3158</v>
      </c>
      <c r="C37" s="5">
        <v>201</v>
      </c>
      <c r="D37" s="5">
        <f>_xlfn.XLOOKUP(G37,'规范整合泌尿系统医疗服务价格映射表12.11 (2)'!T:T,'规范整合泌尿系统医疗服务价格映射表12.11 (2)'!A:A)</f>
        <v>33</v>
      </c>
      <c r="E37" s="12"/>
      <c r="F37" s="9" t="str">
        <f>_xlfn.XLOOKUP(G37,Sheet1!F:F,Sheet1!G:G)</f>
        <v>经皮肾镜碎石取石术（两种及以上方法加收20%）</v>
      </c>
      <c r="G37" s="10" t="s">
        <v>396</v>
      </c>
      <c r="H37" s="11"/>
      <c r="I37" s="5">
        <v>0</v>
      </c>
      <c r="J37" s="5">
        <v>0</v>
      </c>
      <c r="K37" s="5">
        <v>0</v>
      </c>
      <c r="L37" s="11"/>
      <c r="M37" s="5">
        <v>0</v>
      </c>
      <c r="N37" s="5">
        <v>0</v>
      </c>
      <c r="O37" s="5">
        <v>0</v>
      </c>
      <c r="P37" s="5">
        <v>1</v>
      </c>
      <c r="Q37" s="5">
        <v>1</v>
      </c>
      <c r="R37" s="5" t="s">
        <v>2111</v>
      </c>
      <c r="S37" s="5">
        <v>0</v>
      </c>
      <c r="T37" s="5">
        <v>38</v>
      </c>
      <c r="U37" s="5">
        <v>0</v>
      </c>
      <c r="V37" s="5">
        <v>0</v>
      </c>
      <c r="W37" s="5">
        <v>0</v>
      </c>
      <c r="X37" s="5">
        <v>0</v>
      </c>
      <c r="Y37" s="5">
        <v>0</v>
      </c>
      <c r="Z37" s="5">
        <v>-34740</v>
      </c>
      <c r="AA37" s="5">
        <v>0</v>
      </c>
      <c r="AB37" s="5">
        <v>0</v>
      </c>
      <c r="AC37" s="14">
        <f t="shared" si="0"/>
        <v>-34740</v>
      </c>
    </row>
    <row r="38" spans="1:29">
      <c r="A38" s="4">
        <v>57</v>
      </c>
      <c r="B38" s="5">
        <f>_xlfn.XLOOKUP(G38,Sheet1!E:E,Sheet1!A:A)</f>
        <v>3159</v>
      </c>
      <c r="C38" s="5">
        <v>201</v>
      </c>
      <c r="D38" s="5">
        <f>_xlfn.XLOOKUP(G38,'规范整合泌尿系统医疗服务价格映射表12.11 (2)'!T:T,'规范整合泌尿系统医疗服务价格映射表12.11 (2)'!A:A)</f>
        <v>34</v>
      </c>
      <c r="E38" s="8" t="s">
        <v>400</v>
      </c>
      <c r="F38" s="9" t="str">
        <f>_xlfn.XLOOKUP(G38,Sheet1!F:F,Sheet1!G:G)</f>
        <v>尿道切开取石术</v>
      </c>
      <c r="G38" s="10" t="s">
        <v>403</v>
      </c>
      <c r="H38" s="11"/>
      <c r="I38" s="5">
        <v>1125</v>
      </c>
      <c r="J38" s="5">
        <v>1080</v>
      </c>
      <c r="K38" s="5">
        <v>918</v>
      </c>
      <c r="L38" s="11"/>
      <c r="M38" s="5">
        <v>1125</v>
      </c>
      <c r="N38" s="5">
        <v>1080</v>
      </c>
      <c r="O38" s="5">
        <v>918</v>
      </c>
      <c r="P38" s="5">
        <v>1</v>
      </c>
      <c r="Q38" s="5">
        <v>1</v>
      </c>
      <c r="R38" s="5" t="s">
        <v>2111</v>
      </c>
      <c r="S38" s="5">
        <v>0</v>
      </c>
      <c r="T38" s="5">
        <v>0</v>
      </c>
      <c r="U38" s="5">
        <v>2</v>
      </c>
      <c r="V38" s="5">
        <v>1</v>
      </c>
      <c r="W38" s="5">
        <v>0</v>
      </c>
      <c r="X38" s="5">
        <v>0</v>
      </c>
      <c r="Y38" s="5">
        <v>0</v>
      </c>
      <c r="Z38" s="5">
        <v>0</v>
      </c>
      <c r="AA38" s="5">
        <v>540</v>
      </c>
      <c r="AB38" s="5">
        <v>0</v>
      </c>
      <c r="AC38">
        <f t="shared" si="0"/>
        <v>540</v>
      </c>
    </row>
    <row r="39" spans="1:29">
      <c r="A39" s="4">
        <v>84</v>
      </c>
      <c r="B39" s="5">
        <f>_xlfn.XLOOKUP(G39,Sheet1!E:E,Sheet1!A:A)</f>
        <v>3160</v>
      </c>
      <c r="C39" s="5">
        <v>201</v>
      </c>
      <c r="D39" s="5">
        <f>_xlfn.XLOOKUP(G39,'规范整合泌尿系统医疗服务价格映射表12.11 (2)'!T:T,'规范整合泌尿系统医疗服务价格映射表12.11 (2)'!A:A)</f>
        <v>35</v>
      </c>
      <c r="E39" s="8" t="s">
        <v>413</v>
      </c>
      <c r="F39" s="9" t="str">
        <f>_xlfn.XLOOKUP(G39,Sheet1!F:F,Sheet1!G:G)</f>
        <v>膀胱切开取石术</v>
      </c>
      <c r="G39" s="10" t="s">
        <v>418</v>
      </c>
      <c r="H39" s="11"/>
      <c r="I39" s="5">
        <v>1000</v>
      </c>
      <c r="J39" s="5">
        <v>960</v>
      </c>
      <c r="K39" s="5">
        <v>816</v>
      </c>
      <c r="L39" s="11"/>
      <c r="M39" s="5">
        <v>1250</v>
      </c>
      <c r="N39" s="5">
        <v>1200</v>
      </c>
      <c r="O39" s="5">
        <v>1020</v>
      </c>
      <c r="P39" s="5">
        <v>1</v>
      </c>
      <c r="Q39" s="5">
        <v>1</v>
      </c>
      <c r="R39" s="5" t="s">
        <v>2111</v>
      </c>
      <c r="S39" s="5">
        <v>0</v>
      </c>
      <c r="T39" s="5">
        <v>11.5</v>
      </c>
      <c r="U39" s="5">
        <v>7</v>
      </c>
      <c r="V39" s="5">
        <v>0</v>
      </c>
      <c r="W39" s="5">
        <v>2875</v>
      </c>
      <c r="X39" s="5">
        <v>1680</v>
      </c>
      <c r="Y39" s="5">
        <v>0</v>
      </c>
      <c r="Z39" s="5">
        <v>2875</v>
      </c>
      <c r="AA39" s="5">
        <v>1680</v>
      </c>
      <c r="AB39" s="5">
        <v>0</v>
      </c>
      <c r="AC39">
        <f t="shared" si="0"/>
        <v>4555</v>
      </c>
    </row>
    <row r="40" spans="1:29">
      <c r="A40" s="4">
        <v>68</v>
      </c>
      <c r="B40" s="5">
        <f>_xlfn.XLOOKUP(G40,Sheet1!E:E,Sheet1!A:A)</f>
        <v>3163</v>
      </c>
      <c r="C40" s="5">
        <v>201</v>
      </c>
      <c r="D40" s="5" t="str">
        <f>_xlfn.XLOOKUP(G40,'规范整合泌尿系统医疗服务价格映射表12.11 (2)'!T:T,'规范整合泌尿系统医疗服务价格映射表12.11 (2)'!A:A)</f>
        <v>分项</v>
      </c>
      <c r="E40" s="8" t="s">
        <v>2127</v>
      </c>
      <c r="F40" s="9" t="str">
        <f>_xlfn.XLOOKUP(G40,Sheet1!F:F,Sheet1!G:G)</f>
        <v>肾切开取石术</v>
      </c>
      <c r="G40" s="10" t="s">
        <v>427</v>
      </c>
      <c r="H40" s="11"/>
      <c r="I40" s="5">
        <v>2530</v>
      </c>
      <c r="J40" s="5">
        <v>2280</v>
      </c>
      <c r="K40" s="5">
        <v>1940</v>
      </c>
      <c r="L40" s="11"/>
      <c r="M40" s="5">
        <v>2420</v>
      </c>
      <c r="N40" s="5">
        <v>2320</v>
      </c>
      <c r="O40" s="5">
        <v>1970</v>
      </c>
      <c r="P40" s="5">
        <v>1</v>
      </c>
      <c r="Q40" s="5">
        <v>1</v>
      </c>
      <c r="R40" s="5" t="s">
        <v>2111</v>
      </c>
      <c r="S40" s="5">
        <v>0</v>
      </c>
      <c r="T40" s="5">
        <v>1.5</v>
      </c>
      <c r="U40" s="5">
        <v>3.5</v>
      </c>
      <c r="V40" s="5">
        <v>0</v>
      </c>
      <c r="W40" s="5">
        <v>-165</v>
      </c>
      <c r="X40" s="5">
        <v>140</v>
      </c>
      <c r="Y40" s="5">
        <v>0</v>
      </c>
      <c r="Z40" s="5">
        <v>-165</v>
      </c>
      <c r="AA40" s="5">
        <v>140</v>
      </c>
      <c r="AB40" s="5">
        <v>0</v>
      </c>
      <c r="AC40">
        <f t="shared" si="0"/>
        <v>-25</v>
      </c>
    </row>
    <row r="41" spans="1:29">
      <c r="A41" s="4">
        <v>139</v>
      </c>
      <c r="B41" s="5">
        <f>_xlfn.XLOOKUP(G41,Sheet1!E:E,Sheet1!A:A)</f>
        <v>3165</v>
      </c>
      <c r="C41" s="5">
        <v>201</v>
      </c>
      <c r="D41" s="5" t="str">
        <f>_xlfn.XLOOKUP(G41,'规范整合泌尿系统医疗服务价格映射表12.11 (2)'!T:T,'规范整合泌尿系统医疗服务价格映射表12.11 (2)'!A:A)</f>
        <v>分项</v>
      </c>
      <c r="E41" s="12"/>
      <c r="F41" s="9" t="str">
        <f>_xlfn.XLOOKUP(G41,Sheet1!F:F,Sheet1!G:G)</f>
        <v>经腹腔镜肾切开取石术</v>
      </c>
      <c r="G41" s="10" t="s">
        <v>432</v>
      </c>
      <c r="H41" s="11"/>
      <c r="I41" s="5">
        <v>3155</v>
      </c>
      <c r="J41" s="5">
        <v>2880</v>
      </c>
      <c r="K41" s="5">
        <v>2450</v>
      </c>
      <c r="L41" s="11"/>
      <c r="M41" s="5">
        <v>2420</v>
      </c>
      <c r="N41" s="5">
        <v>2320</v>
      </c>
      <c r="O41" s="5">
        <v>1970</v>
      </c>
      <c r="P41" s="5">
        <v>1</v>
      </c>
      <c r="Q41" s="5">
        <v>1</v>
      </c>
      <c r="R41" s="5" t="s">
        <v>2111</v>
      </c>
      <c r="S41" s="5">
        <v>0</v>
      </c>
      <c r="T41" s="5">
        <v>12</v>
      </c>
      <c r="U41" s="5">
        <v>2</v>
      </c>
      <c r="V41" s="5">
        <v>0</v>
      </c>
      <c r="W41" s="5">
        <v>-8820</v>
      </c>
      <c r="X41" s="5">
        <v>-1120</v>
      </c>
      <c r="Y41" s="5">
        <v>0</v>
      </c>
      <c r="Z41" s="5">
        <v>-8820</v>
      </c>
      <c r="AA41" s="5">
        <v>-1120</v>
      </c>
      <c r="AB41" s="5">
        <v>0</v>
      </c>
      <c r="AC41">
        <f t="shared" si="0"/>
        <v>-9940</v>
      </c>
    </row>
    <row r="42" spans="1:29">
      <c r="A42" s="4">
        <v>154</v>
      </c>
      <c r="B42" s="5">
        <f>_xlfn.XLOOKUP(G42,Sheet1!E:E,Sheet1!A:A)</f>
        <v>3167</v>
      </c>
      <c r="C42" s="5">
        <v>201</v>
      </c>
      <c r="D42" s="5" t="str">
        <f>_xlfn.XLOOKUP(G42,'规范整合泌尿系统医疗服务价格映射表12.11 (2)'!T:T,'规范整合泌尿系统医疗服务价格映射表12.11 (2)'!A:A)</f>
        <v>分项</v>
      </c>
      <c r="E42" s="12"/>
      <c r="F42" s="9" t="str">
        <f>_xlfn.XLOOKUP(G42,Sheet1!F:F,Sheet1!G:G)</f>
        <v>输尿管切开取石术</v>
      </c>
      <c r="G42" s="10" t="s">
        <v>436</v>
      </c>
      <c r="H42" s="11"/>
      <c r="I42" s="5">
        <v>1690</v>
      </c>
      <c r="J42" s="5">
        <v>1520</v>
      </c>
      <c r="K42" s="5">
        <v>1290</v>
      </c>
      <c r="L42" s="11"/>
      <c r="M42" s="5">
        <v>2420</v>
      </c>
      <c r="N42" s="5">
        <v>2320</v>
      </c>
      <c r="O42" s="5">
        <v>1970</v>
      </c>
      <c r="P42" s="5">
        <v>1</v>
      </c>
      <c r="Q42" s="5">
        <v>1</v>
      </c>
      <c r="R42" s="5" t="s">
        <v>2111</v>
      </c>
      <c r="S42" s="5">
        <v>0</v>
      </c>
      <c r="T42" s="5">
        <v>3</v>
      </c>
      <c r="U42" s="5">
        <v>2</v>
      </c>
      <c r="V42" s="5">
        <v>0</v>
      </c>
      <c r="W42" s="5">
        <v>2190</v>
      </c>
      <c r="X42" s="5">
        <v>1600</v>
      </c>
      <c r="Y42" s="5">
        <v>0</v>
      </c>
      <c r="Z42" s="5">
        <v>2190</v>
      </c>
      <c r="AA42" s="5">
        <v>1600</v>
      </c>
      <c r="AB42" s="5">
        <v>0</v>
      </c>
      <c r="AC42">
        <f t="shared" si="0"/>
        <v>3790</v>
      </c>
    </row>
    <row r="43" spans="1:29">
      <c r="A43" s="4">
        <v>80</v>
      </c>
      <c r="B43" s="5">
        <f>_xlfn.XLOOKUP(G43,Sheet1!E:E,Sheet1!A:A)</f>
        <v>3169</v>
      </c>
      <c r="C43" s="5">
        <v>201</v>
      </c>
      <c r="D43" s="5" t="str">
        <f>_xlfn.XLOOKUP(G43,'规范整合泌尿系统医疗服务价格映射表12.11 (2)'!T:T,'规范整合泌尿系统医疗服务价格映射表12.11 (2)'!A:A)</f>
        <v>分项</v>
      </c>
      <c r="E43" s="12"/>
      <c r="F43" s="9" t="str">
        <f>_xlfn.XLOOKUP(G43,Sheet1!F:F,Sheet1!G:G)</f>
        <v>经腹腔镜输尿管切开取石术</v>
      </c>
      <c r="G43" s="10" t="s">
        <v>440</v>
      </c>
      <c r="H43" s="11"/>
      <c r="I43" s="5">
        <v>2315</v>
      </c>
      <c r="J43" s="5">
        <v>2120</v>
      </c>
      <c r="K43" s="5">
        <v>1300</v>
      </c>
      <c r="L43" s="11"/>
      <c r="M43" s="5">
        <v>2420</v>
      </c>
      <c r="N43" s="5">
        <v>2320</v>
      </c>
      <c r="O43" s="5">
        <v>1970</v>
      </c>
      <c r="P43" s="5">
        <v>1</v>
      </c>
      <c r="Q43" s="5">
        <v>1</v>
      </c>
      <c r="R43" s="5" t="s">
        <v>2111</v>
      </c>
      <c r="S43" s="5">
        <v>0</v>
      </c>
      <c r="T43" s="5">
        <v>37</v>
      </c>
      <c r="U43" s="5">
        <v>13</v>
      </c>
      <c r="V43" s="5">
        <v>2</v>
      </c>
      <c r="W43" s="5">
        <v>3885</v>
      </c>
      <c r="X43" s="5">
        <v>2600</v>
      </c>
      <c r="Y43" s="5">
        <v>1340</v>
      </c>
      <c r="Z43" s="5">
        <v>3885</v>
      </c>
      <c r="AA43" s="5">
        <v>2600</v>
      </c>
      <c r="AB43" s="5">
        <v>1340</v>
      </c>
      <c r="AC43">
        <f t="shared" si="0"/>
        <v>7825</v>
      </c>
    </row>
    <row r="44" spans="1:29">
      <c r="A44" s="4">
        <v>152</v>
      </c>
      <c r="B44" s="5">
        <f>_xlfn.XLOOKUP(G44,Sheet1!E:E,Sheet1!A:A)</f>
        <v>3175</v>
      </c>
      <c r="C44" s="5">
        <v>201</v>
      </c>
      <c r="D44" s="5">
        <f>_xlfn.XLOOKUP(G44,'规范整合泌尿系统医疗服务价格映射表12.11 (2)'!T:T,'规范整合泌尿系统医疗服务价格映射表12.11 (2)'!A:A)</f>
        <v>36</v>
      </c>
      <c r="E44" s="8" t="s">
        <v>456</v>
      </c>
      <c r="F44" s="9" t="str">
        <f>_xlfn.XLOOKUP(G44,Sheet1!F:F,Sheet1!G:G)</f>
        <v>经皮输尿管内管置入术</v>
      </c>
      <c r="G44" s="10" t="s">
        <v>460</v>
      </c>
      <c r="H44" s="11"/>
      <c r="I44" s="5">
        <v>440</v>
      </c>
      <c r="J44" s="5">
        <v>400</v>
      </c>
      <c r="K44" s="5">
        <v>340</v>
      </c>
      <c r="L44" s="11"/>
      <c r="M44" s="5">
        <v>355</v>
      </c>
      <c r="N44" s="5">
        <v>320</v>
      </c>
      <c r="O44" s="5">
        <v>285</v>
      </c>
      <c r="P44" s="5">
        <v>1</v>
      </c>
      <c r="Q44" s="5">
        <v>1</v>
      </c>
      <c r="R44" s="5" t="s">
        <v>2111</v>
      </c>
      <c r="S44" s="5">
        <v>0</v>
      </c>
      <c r="T44" s="5">
        <v>74.5</v>
      </c>
      <c r="U44" s="5">
        <v>81.5</v>
      </c>
      <c r="V44" s="5">
        <v>0.5</v>
      </c>
      <c r="W44" s="5">
        <v>-6332.5</v>
      </c>
      <c r="X44" s="5">
        <v>-6520</v>
      </c>
      <c r="Y44" s="5">
        <v>-27.5</v>
      </c>
      <c r="Z44" s="5">
        <v>-6332.5</v>
      </c>
      <c r="AA44" s="5">
        <v>-6520</v>
      </c>
      <c r="AB44" s="5">
        <v>-27.5</v>
      </c>
      <c r="AC44">
        <f t="shared" si="0"/>
        <v>-12880</v>
      </c>
    </row>
    <row r="45" spans="1:29">
      <c r="A45" s="4">
        <v>99</v>
      </c>
      <c r="B45" s="5">
        <f>_xlfn.XLOOKUP(G45,Sheet1!E:E,Sheet1!A:A)</f>
        <v>3176</v>
      </c>
      <c r="C45" s="5">
        <v>201</v>
      </c>
      <c r="D45" s="5">
        <f>_xlfn.XLOOKUP(G45,'规范整合泌尿系统医疗服务价格映射表12.11 (2)'!T:T,'规范整合泌尿系统医疗服务价格映射表12.11 (2)'!A:A)</f>
        <v>36</v>
      </c>
      <c r="E45" s="12"/>
      <c r="F45" s="9" t="str">
        <f>_xlfn.XLOOKUP(G45,Sheet1!F:F,Sheet1!G:G)</f>
        <v>膀胱穿刺造瘘术</v>
      </c>
      <c r="G45" s="10" t="s">
        <v>462</v>
      </c>
      <c r="H45" s="11"/>
      <c r="I45" s="5">
        <v>225</v>
      </c>
      <c r="J45" s="5">
        <v>205</v>
      </c>
      <c r="K45" s="5">
        <v>175</v>
      </c>
      <c r="L45" s="11"/>
      <c r="M45" s="5">
        <v>355</v>
      </c>
      <c r="N45" s="5">
        <v>320</v>
      </c>
      <c r="O45" s="5">
        <v>285</v>
      </c>
      <c r="P45" s="5">
        <v>1</v>
      </c>
      <c r="Q45" s="5">
        <v>1</v>
      </c>
      <c r="R45" s="5" t="s">
        <v>2111</v>
      </c>
      <c r="S45" s="5">
        <v>0</v>
      </c>
      <c r="T45" s="5">
        <v>39.41</v>
      </c>
      <c r="U45" s="5">
        <v>31.7</v>
      </c>
      <c r="V45" s="5">
        <v>0</v>
      </c>
      <c r="W45" s="5">
        <v>5123.3</v>
      </c>
      <c r="X45" s="5">
        <v>3645.5</v>
      </c>
      <c r="Y45" s="5">
        <v>0</v>
      </c>
      <c r="Z45" s="5">
        <v>5123.3</v>
      </c>
      <c r="AA45" s="5">
        <v>3645.5</v>
      </c>
      <c r="AB45" s="5">
        <v>0</v>
      </c>
      <c r="AC45">
        <f t="shared" si="0"/>
        <v>8768.8</v>
      </c>
    </row>
    <row r="46" spans="1:29">
      <c r="A46" s="4">
        <v>29</v>
      </c>
      <c r="B46" s="5">
        <f>_xlfn.XLOOKUP(G46,Sheet1!E:E,Sheet1!A:A)</f>
        <v>3177</v>
      </c>
      <c r="C46" s="5">
        <v>201</v>
      </c>
      <c r="D46" s="5">
        <f>_xlfn.XLOOKUP(G46,'规范整合泌尿系统医疗服务价格映射表12.11 (2)'!T:T,'规范整合泌尿系统医疗服务价格映射表12.11 (2)'!A:A)</f>
        <v>36</v>
      </c>
      <c r="E46" s="12"/>
      <c r="F46" s="9" t="str">
        <f>_xlfn.XLOOKUP(G46,Sheet1!F:F,Sheet1!G:G)</f>
        <v>膀胱造瘘术</v>
      </c>
      <c r="G46" s="10" t="s">
        <v>465</v>
      </c>
      <c r="H46" s="11"/>
      <c r="I46" s="5">
        <v>1000</v>
      </c>
      <c r="J46" s="5">
        <v>960</v>
      </c>
      <c r="K46" s="5">
        <v>816</v>
      </c>
      <c r="L46" s="11"/>
      <c r="M46" s="5">
        <v>355</v>
      </c>
      <c r="N46" s="5">
        <v>320</v>
      </c>
      <c r="O46" s="5">
        <v>285</v>
      </c>
      <c r="P46" s="5">
        <v>1</v>
      </c>
      <c r="Q46" s="5">
        <v>1</v>
      </c>
      <c r="R46" s="5" t="s">
        <v>2111</v>
      </c>
      <c r="S46" s="5">
        <v>0</v>
      </c>
      <c r="T46" s="5">
        <v>58.5</v>
      </c>
      <c r="U46" s="5">
        <v>27.8</v>
      </c>
      <c r="V46" s="5">
        <v>5.5</v>
      </c>
      <c r="W46" s="5">
        <v>-37732.5</v>
      </c>
      <c r="X46" s="5">
        <v>-17792</v>
      </c>
      <c r="Y46" s="5">
        <v>-2920.5</v>
      </c>
      <c r="Z46" s="5">
        <v>-37732.5</v>
      </c>
      <c r="AA46" s="5">
        <v>-17852</v>
      </c>
      <c r="AB46" s="5">
        <v>-2920.5</v>
      </c>
      <c r="AC46">
        <f t="shared" si="0"/>
        <v>-58505</v>
      </c>
    </row>
    <row r="47" spans="1:29">
      <c r="A47" s="4">
        <v>148</v>
      </c>
      <c r="B47" s="5">
        <f>_xlfn.XLOOKUP(G47,Sheet1!E:E,Sheet1!A:A)</f>
        <v>3178</v>
      </c>
      <c r="C47" s="5">
        <v>201</v>
      </c>
      <c r="D47" s="5">
        <f>_xlfn.XLOOKUP(G47,'规范整合泌尿系统医疗服务价格映射表12.11 (2)'!T:T,'规范整合泌尿系统医疗服务价格映射表12.11 (2)'!A:A)</f>
        <v>36</v>
      </c>
      <c r="E47" s="12"/>
      <c r="F47" s="9" t="str">
        <f>_xlfn.XLOOKUP(G47,Sheet1!F:F,Sheet1!G:G)</f>
        <v>尿道会阴造口术</v>
      </c>
      <c r="G47" s="10" t="s">
        <v>467</v>
      </c>
      <c r="H47" s="11"/>
      <c r="I47" s="5">
        <v>875</v>
      </c>
      <c r="J47" s="5">
        <v>840</v>
      </c>
      <c r="K47" s="5">
        <v>714</v>
      </c>
      <c r="L47" s="11"/>
      <c r="M47" s="5">
        <v>355</v>
      </c>
      <c r="N47" s="5">
        <v>320</v>
      </c>
      <c r="O47" s="5">
        <v>285</v>
      </c>
      <c r="P47" s="5">
        <v>1</v>
      </c>
      <c r="Q47" s="5">
        <v>1</v>
      </c>
      <c r="R47" s="5" t="s">
        <v>2111</v>
      </c>
      <c r="S47" s="5">
        <v>0</v>
      </c>
      <c r="T47" s="5">
        <v>0</v>
      </c>
      <c r="U47" s="5">
        <v>1</v>
      </c>
      <c r="V47" s="5">
        <v>0</v>
      </c>
      <c r="W47" s="5">
        <v>0</v>
      </c>
      <c r="X47" s="5">
        <v>-520</v>
      </c>
      <c r="Y47" s="5">
        <v>0</v>
      </c>
      <c r="Z47" s="5">
        <v>0</v>
      </c>
      <c r="AA47" s="5">
        <v>-520</v>
      </c>
      <c r="AB47" s="5">
        <v>0</v>
      </c>
      <c r="AC47">
        <f t="shared" si="0"/>
        <v>-520</v>
      </c>
    </row>
    <row r="48" spans="1:29">
      <c r="A48" s="4">
        <v>51</v>
      </c>
      <c r="B48" s="5">
        <f>_xlfn.XLOOKUP(G48,Sheet1!E:E,Sheet1!A:A)</f>
        <v>3179</v>
      </c>
      <c r="C48" s="5">
        <v>201</v>
      </c>
      <c r="D48" s="5" t="str">
        <f>_xlfn.XLOOKUP(G48,'规范整合泌尿系统医疗服务价格映射表12.11 (2)'!T:T,'规范整合泌尿系统医疗服务价格映射表12.11 (2)'!A:A)</f>
        <v>分项</v>
      </c>
      <c r="E48" s="8" t="s">
        <v>2128</v>
      </c>
      <c r="F48" s="9" t="str">
        <f>_xlfn.XLOOKUP(G48,Sheet1!F:F,Sheet1!G:G)</f>
        <v>肾实质切开造瘘术</v>
      </c>
      <c r="G48" s="10" t="s">
        <v>472</v>
      </c>
      <c r="H48" s="11"/>
      <c r="I48" s="5">
        <v>1500</v>
      </c>
      <c r="J48" s="5">
        <v>1440</v>
      </c>
      <c r="K48" s="5">
        <v>1224</v>
      </c>
      <c r="L48" s="11"/>
      <c r="M48" s="5">
        <v>1500</v>
      </c>
      <c r="N48" s="5">
        <v>1440</v>
      </c>
      <c r="O48" s="5">
        <v>1285</v>
      </c>
      <c r="P48" s="5">
        <v>1</v>
      </c>
      <c r="Q48" s="5">
        <v>1</v>
      </c>
      <c r="R48" s="5" t="s">
        <v>2111</v>
      </c>
      <c r="S48" s="5">
        <v>0</v>
      </c>
      <c r="T48" s="5">
        <v>25</v>
      </c>
      <c r="U48" s="5">
        <v>8.5</v>
      </c>
      <c r="V48" s="5">
        <v>0</v>
      </c>
      <c r="W48" s="5">
        <v>0</v>
      </c>
      <c r="X48" s="5">
        <v>0</v>
      </c>
      <c r="Y48" s="5">
        <v>0</v>
      </c>
      <c r="Z48" s="5">
        <v>0</v>
      </c>
      <c r="AA48" s="5">
        <v>-210</v>
      </c>
      <c r="AB48" s="5">
        <v>0</v>
      </c>
      <c r="AC48">
        <f t="shared" si="0"/>
        <v>-210</v>
      </c>
    </row>
    <row r="49" spans="1:29">
      <c r="A49" s="4">
        <v>38</v>
      </c>
      <c r="B49" s="5">
        <f>_xlfn.XLOOKUP(G49,Sheet1!E:E,Sheet1!A:A)</f>
        <v>3184</v>
      </c>
      <c r="C49" s="5">
        <v>201</v>
      </c>
      <c r="D49" s="5" t="str">
        <f>_xlfn.XLOOKUP(G49,'规范整合泌尿系统医疗服务价格映射表12.11 (2)'!T:T,'规范整合泌尿系统医疗服务价格映射表12.11 (2)'!A:A)</f>
        <v>分项</v>
      </c>
      <c r="E49" s="8" t="s">
        <v>2129</v>
      </c>
      <c r="F49" s="9" t="str">
        <f>_xlfn.XLOOKUP(G49,Sheet1!F:F,Sheet1!G:G)</f>
        <v>小儿膀胱造瘘术</v>
      </c>
      <c r="G49" s="10" t="s">
        <v>484</v>
      </c>
      <c r="H49" s="11"/>
      <c r="I49" s="5">
        <v>1300</v>
      </c>
      <c r="J49" s="5">
        <v>1250</v>
      </c>
      <c r="K49" s="5">
        <v>1065</v>
      </c>
      <c r="L49" s="11"/>
      <c r="M49" s="5">
        <v>460</v>
      </c>
      <c r="N49" s="5">
        <v>416</v>
      </c>
      <c r="O49" s="5">
        <v>371</v>
      </c>
      <c r="P49" s="5">
        <v>1</v>
      </c>
      <c r="Q49" s="5">
        <v>1</v>
      </c>
      <c r="R49" s="5" t="s">
        <v>2111</v>
      </c>
      <c r="S49" s="5">
        <v>0</v>
      </c>
      <c r="T49" s="5">
        <v>4</v>
      </c>
      <c r="U49" s="5">
        <v>0</v>
      </c>
      <c r="V49" s="5">
        <v>0</v>
      </c>
      <c r="W49" s="5">
        <v>-3360</v>
      </c>
      <c r="X49" s="5">
        <v>0</v>
      </c>
      <c r="Y49" s="5">
        <v>0</v>
      </c>
      <c r="Z49" s="5">
        <v>-3360</v>
      </c>
      <c r="AA49" s="5">
        <v>0</v>
      </c>
      <c r="AB49" s="5">
        <v>0</v>
      </c>
      <c r="AC49">
        <f t="shared" si="0"/>
        <v>-3360</v>
      </c>
    </row>
    <row r="50" spans="1:29">
      <c r="A50" s="4">
        <v>109</v>
      </c>
      <c r="B50" s="5">
        <f>_xlfn.XLOOKUP(G50,Sheet1!E:E,Sheet1!A:A)</f>
        <v>3188</v>
      </c>
      <c r="C50" s="5">
        <v>201</v>
      </c>
      <c r="D50" s="5">
        <f>_xlfn.XLOOKUP(G50,'规范整合泌尿系统医疗服务价格映射表12.11 (2)'!T:T,'规范整合泌尿系统医疗服务价格映射表12.11 (2)'!A:A)</f>
        <v>37</v>
      </c>
      <c r="E50" s="8" t="s">
        <v>489</v>
      </c>
      <c r="F50" s="9" t="str">
        <f>_xlfn.XLOOKUP(G50,Sheet1!F:F,Sheet1!G:G)</f>
        <v>尿道瘘修补术</v>
      </c>
      <c r="G50" s="10" t="s">
        <v>497</v>
      </c>
      <c r="H50" s="11"/>
      <c r="I50" s="5">
        <v>1250</v>
      </c>
      <c r="J50" s="5">
        <v>1200</v>
      </c>
      <c r="K50" s="5">
        <v>1020</v>
      </c>
      <c r="L50" s="11"/>
      <c r="M50" s="5">
        <v>1360</v>
      </c>
      <c r="N50" s="5">
        <v>1225</v>
      </c>
      <c r="O50" s="5">
        <v>1050</v>
      </c>
      <c r="P50" s="5">
        <v>1</v>
      </c>
      <c r="Q50" s="5">
        <v>1</v>
      </c>
      <c r="R50" s="5" t="s">
        <v>2111</v>
      </c>
      <c r="S50" s="5">
        <v>0</v>
      </c>
      <c r="T50" s="5">
        <v>3</v>
      </c>
      <c r="U50" s="5">
        <v>0</v>
      </c>
      <c r="V50" s="5">
        <v>0</v>
      </c>
      <c r="W50" s="5">
        <v>330</v>
      </c>
      <c r="X50" s="5">
        <v>0</v>
      </c>
      <c r="Y50" s="5">
        <v>0</v>
      </c>
      <c r="Z50" s="5">
        <v>330</v>
      </c>
      <c r="AA50" s="5">
        <v>0</v>
      </c>
      <c r="AB50" s="5">
        <v>0</v>
      </c>
      <c r="AC50">
        <f t="shared" si="0"/>
        <v>330</v>
      </c>
    </row>
    <row r="51" spans="1:29">
      <c r="A51" s="4">
        <v>43</v>
      </c>
      <c r="B51" s="5">
        <f>_xlfn.XLOOKUP(G51,Sheet1!E:E,Sheet1!A:A)</f>
        <v>3189</v>
      </c>
      <c r="C51" s="5">
        <v>201</v>
      </c>
      <c r="D51" s="5" t="str">
        <f>_xlfn.XLOOKUP(G51,'规范整合泌尿系统医疗服务价格映射表12.11 (2)'!T:T,'规范整合泌尿系统医疗服务价格映射表12.11 (2)'!A:A)</f>
        <v>分项</v>
      </c>
      <c r="E51" s="8" t="s">
        <v>2130</v>
      </c>
      <c r="F51" s="9" t="str">
        <f>_xlfn.XLOOKUP(G51,Sheet1!F:F,Sheet1!G:G)</f>
        <v>小儿尿道直肠瘘修补术</v>
      </c>
      <c r="G51" s="10" t="s">
        <v>504</v>
      </c>
      <c r="H51" s="11"/>
      <c r="I51" s="5">
        <v>3290</v>
      </c>
      <c r="J51" s="5">
        <v>2965</v>
      </c>
      <c r="K51" s="5">
        <v>2520</v>
      </c>
      <c r="L51" s="11"/>
      <c r="M51" s="5">
        <v>1770</v>
      </c>
      <c r="N51" s="5">
        <v>1590</v>
      </c>
      <c r="O51" s="5">
        <v>1365</v>
      </c>
      <c r="P51" s="5">
        <v>1</v>
      </c>
      <c r="Q51" s="5">
        <v>1</v>
      </c>
      <c r="R51" s="5" t="s">
        <v>2111</v>
      </c>
      <c r="S51" s="5">
        <v>0</v>
      </c>
      <c r="T51" s="5">
        <v>1</v>
      </c>
      <c r="U51" s="5">
        <v>0</v>
      </c>
      <c r="V51" s="5">
        <v>0</v>
      </c>
      <c r="W51" s="5">
        <v>-1520</v>
      </c>
      <c r="X51" s="5">
        <v>0</v>
      </c>
      <c r="Y51" s="5">
        <v>0</v>
      </c>
      <c r="Z51" s="5">
        <v>125</v>
      </c>
      <c r="AA51" s="5">
        <v>0</v>
      </c>
      <c r="AB51" s="5">
        <v>0</v>
      </c>
      <c r="AC51">
        <f t="shared" si="0"/>
        <v>125</v>
      </c>
    </row>
    <row r="52" spans="1:29">
      <c r="A52" s="4">
        <v>127</v>
      </c>
      <c r="B52" s="5">
        <f>_xlfn.XLOOKUP(G52,Sheet1!E:E,Sheet1!A:A)</f>
        <v>3191</v>
      </c>
      <c r="C52" s="5">
        <v>201</v>
      </c>
      <c r="D52" s="5" t="str">
        <f>_xlfn.XLOOKUP(G52,'规范整合泌尿系统医疗服务价格映射表12.11 (2)'!T:T,'规范整合泌尿系统医疗服务价格映射表12.11 (2)'!A:A)</f>
        <v>分项</v>
      </c>
      <c r="E52" s="12"/>
      <c r="F52" s="9" t="str">
        <f>_xlfn.XLOOKUP(G52,Sheet1!F:F,Sheet1!G:G)</f>
        <v>小儿尿道瘘修补术</v>
      </c>
      <c r="G52" s="10" t="s">
        <v>508</v>
      </c>
      <c r="H52" s="11"/>
      <c r="I52" s="5">
        <v>1625</v>
      </c>
      <c r="J52" s="5">
        <v>1560</v>
      </c>
      <c r="K52" s="5">
        <v>1325</v>
      </c>
      <c r="L52" s="11"/>
      <c r="M52" s="5">
        <v>1770</v>
      </c>
      <c r="N52" s="5">
        <v>1590</v>
      </c>
      <c r="O52" s="5">
        <v>1365</v>
      </c>
      <c r="P52" s="5">
        <v>1</v>
      </c>
      <c r="Q52" s="5">
        <v>1</v>
      </c>
      <c r="R52" s="5" t="s">
        <v>2111</v>
      </c>
      <c r="S52" s="5">
        <v>0</v>
      </c>
      <c r="T52" s="5">
        <v>4</v>
      </c>
      <c r="U52" s="5">
        <v>0</v>
      </c>
      <c r="V52" s="5">
        <v>0</v>
      </c>
      <c r="W52" s="5">
        <v>580</v>
      </c>
      <c r="X52" s="5">
        <v>0</v>
      </c>
      <c r="Y52" s="5">
        <v>0</v>
      </c>
      <c r="Z52" s="5">
        <v>580</v>
      </c>
      <c r="AA52" s="5">
        <v>0</v>
      </c>
      <c r="AB52" s="5">
        <v>0</v>
      </c>
      <c r="AC52">
        <f t="shared" si="0"/>
        <v>580</v>
      </c>
    </row>
    <row r="53" spans="1:29">
      <c r="A53" s="4">
        <v>157</v>
      </c>
      <c r="B53" s="5">
        <f>_xlfn.XLOOKUP(G53,Sheet1!E:E,Sheet1!A:A)</f>
        <v>3192</v>
      </c>
      <c r="C53" s="5">
        <v>201</v>
      </c>
      <c r="D53" s="5">
        <f>_xlfn.XLOOKUP(G53,'规范整合泌尿系统医疗服务价格映射表12.11 (2)'!T:T,'规范整合泌尿系统医疗服务价格映射表12.11 (2)'!A:A)</f>
        <v>38</v>
      </c>
      <c r="E53" s="8" t="s">
        <v>511</v>
      </c>
      <c r="F53" s="9" t="str">
        <f>_xlfn.XLOOKUP(G53,Sheet1!F:F,Sheet1!G:G)</f>
        <v>肾穿刺术</v>
      </c>
      <c r="G53" s="10" t="s">
        <v>515</v>
      </c>
      <c r="H53" s="11"/>
      <c r="I53" s="5">
        <v>145</v>
      </c>
      <c r="J53" s="5">
        <v>130</v>
      </c>
      <c r="K53" s="5">
        <v>110</v>
      </c>
      <c r="L53" s="11"/>
      <c r="M53" s="5">
        <v>175</v>
      </c>
      <c r="N53" s="5">
        <v>160</v>
      </c>
      <c r="O53" s="5">
        <v>135</v>
      </c>
      <c r="P53" s="5">
        <v>1</v>
      </c>
      <c r="Q53" s="5">
        <v>1</v>
      </c>
      <c r="R53" s="5" t="s">
        <v>2111</v>
      </c>
      <c r="S53" s="5">
        <v>0</v>
      </c>
      <c r="T53" s="5">
        <v>931</v>
      </c>
      <c r="U53" s="5">
        <v>270</v>
      </c>
      <c r="V53" s="5">
        <v>6</v>
      </c>
      <c r="W53" s="5">
        <v>27930</v>
      </c>
      <c r="X53" s="5">
        <v>8100</v>
      </c>
      <c r="Y53" s="5">
        <v>150</v>
      </c>
      <c r="Z53" s="5">
        <v>27930</v>
      </c>
      <c r="AA53" s="5">
        <v>8100</v>
      </c>
      <c r="AB53" s="5">
        <v>150</v>
      </c>
      <c r="AC53">
        <f t="shared" si="0"/>
        <v>36180</v>
      </c>
    </row>
    <row r="54" spans="1:29">
      <c r="A54" s="4">
        <v>64</v>
      </c>
      <c r="B54" s="5">
        <f>_xlfn.XLOOKUP(G54,Sheet1!E:E,Sheet1!A:A)</f>
        <v>3193</v>
      </c>
      <c r="C54" s="5">
        <v>201</v>
      </c>
      <c r="D54" s="5" t="str">
        <f>_xlfn.XLOOKUP(G54,'规范整合泌尿系统医疗服务价格映射表12.11 (2)'!T:T,'规范整合泌尿系统医疗服务价格映射表12.11 (2)'!A:A)</f>
        <v>分项</v>
      </c>
      <c r="E54" s="8" t="s">
        <v>2131</v>
      </c>
      <c r="F54" s="9" t="str">
        <f>_xlfn.XLOOKUP(G54,Sheet1!F:F,Sheet1!G:G)</f>
        <v>肾周脓肿引流术</v>
      </c>
      <c r="G54" s="10" t="s">
        <v>521</v>
      </c>
      <c r="H54" s="11"/>
      <c r="I54" s="5">
        <v>220</v>
      </c>
      <c r="J54" s="5">
        <v>200</v>
      </c>
      <c r="K54" s="5">
        <v>170</v>
      </c>
      <c r="L54" s="11"/>
      <c r="M54" s="5">
        <v>235</v>
      </c>
      <c r="N54" s="5">
        <v>215</v>
      </c>
      <c r="O54" s="5">
        <v>182</v>
      </c>
      <c r="P54" s="5">
        <v>1</v>
      </c>
      <c r="Q54" s="5">
        <v>1</v>
      </c>
      <c r="R54" s="5" t="s">
        <v>2111</v>
      </c>
      <c r="S54" s="5">
        <v>0</v>
      </c>
      <c r="T54" s="5">
        <v>3</v>
      </c>
      <c r="U54" s="5">
        <v>66</v>
      </c>
      <c r="V54" s="5">
        <v>0</v>
      </c>
      <c r="W54" s="5">
        <v>45</v>
      </c>
      <c r="X54" s="5">
        <v>990</v>
      </c>
      <c r="Y54" s="5">
        <v>0</v>
      </c>
      <c r="Z54" s="5">
        <v>45</v>
      </c>
      <c r="AA54" s="5">
        <v>990</v>
      </c>
      <c r="AB54" s="5">
        <v>0</v>
      </c>
      <c r="AC54">
        <f t="shared" si="0"/>
        <v>1035</v>
      </c>
    </row>
    <row r="55" spans="1:29">
      <c r="A55" s="4">
        <v>120</v>
      </c>
      <c r="B55" s="5">
        <f>_xlfn.XLOOKUP(G55,Sheet1!E:E,Sheet1!A:A)</f>
        <v>3194</v>
      </c>
      <c r="C55" s="5">
        <v>201</v>
      </c>
      <c r="D55" s="5" t="str">
        <f>_xlfn.XLOOKUP(G55,'规范整合泌尿系统医疗服务价格映射表12.11 (2)'!T:T,'规范整合泌尿系统医疗服务价格映射表12.11 (2)'!A:A)</f>
        <v>分项</v>
      </c>
      <c r="E55" s="12"/>
      <c r="F55" s="9" t="str">
        <f>_xlfn.XLOOKUP(G55,Sheet1!F:F,Sheet1!G:G)</f>
        <v>肾周脓肿引流术（切开引流）</v>
      </c>
      <c r="G55" s="10" t="s">
        <v>525</v>
      </c>
      <c r="H55" s="11"/>
      <c r="I55" s="5">
        <v>880</v>
      </c>
      <c r="J55" s="5">
        <v>800</v>
      </c>
      <c r="K55" s="5">
        <v>680</v>
      </c>
      <c r="L55" s="11"/>
      <c r="M55" s="5">
        <v>235</v>
      </c>
      <c r="N55" s="5">
        <v>215</v>
      </c>
      <c r="O55" s="5">
        <v>182</v>
      </c>
      <c r="P55" s="5">
        <v>1</v>
      </c>
      <c r="Q55" s="5">
        <v>1</v>
      </c>
      <c r="R55" s="5" t="s">
        <v>2111</v>
      </c>
      <c r="S55" s="5">
        <v>0</v>
      </c>
      <c r="T55" s="5">
        <v>3</v>
      </c>
      <c r="U55" s="5">
        <v>1</v>
      </c>
      <c r="V55" s="5">
        <v>0</v>
      </c>
      <c r="W55" s="5">
        <v>-1935</v>
      </c>
      <c r="X55" s="5">
        <v>-585</v>
      </c>
      <c r="Y55" s="5">
        <v>0</v>
      </c>
      <c r="Z55" s="5">
        <v>-1935</v>
      </c>
      <c r="AA55" s="5">
        <v>-585</v>
      </c>
      <c r="AB55" s="5">
        <v>0</v>
      </c>
      <c r="AC55">
        <f t="shared" si="0"/>
        <v>-2520</v>
      </c>
    </row>
    <row r="56" spans="1:29">
      <c r="A56" s="4">
        <v>218</v>
      </c>
      <c r="B56" s="5">
        <f>_xlfn.XLOOKUP(G56,Sheet1!E:E,Sheet1!A:A)</f>
        <v>3195</v>
      </c>
      <c r="C56" s="5">
        <v>201</v>
      </c>
      <c r="D56" s="5" t="str">
        <f>_xlfn.XLOOKUP(G56,'规范整合泌尿系统医疗服务价格映射表12.11 (2)'!T:T,'规范整合泌尿系统医疗服务价格映射表12.11 (2)'!A:A)</f>
        <v>分项</v>
      </c>
      <c r="E56" s="12"/>
      <c r="F56" s="9" t="str">
        <f>_xlfn.XLOOKUP(G56,Sheet1!F:F,Sheet1!G:G)</f>
        <v>肾周脓肿引流术（积液引流）</v>
      </c>
      <c r="G56" s="10" t="s">
        <v>528</v>
      </c>
      <c r="H56" s="11"/>
      <c r="I56" s="5">
        <v>220</v>
      </c>
      <c r="J56" s="5">
        <v>200</v>
      </c>
      <c r="K56" s="5">
        <v>170</v>
      </c>
      <c r="L56" s="11"/>
      <c r="M56" s="5">
        <v>235</v>
      </c>
      <c r="N56" s="5">
        <v>215</v>
      </c>
      <c r="O56" s="5">
        <v>182</v>
      </c>
      <c r="P56" s="5">
        <v>1</v>
      </c>
      <c r="Q56" s="5">
        <v>1</v>
      </c>
      <c r="R56" s="5" t="s">
        <v>2111</v>
      </c>
      <c r="S56" s="5">
        <v>0</v>
      </c>
      <c r="T56" s="5">
        <v>0</v>
      </c>
      <c r="U56" s="5">
        <v>11</v>
      </c>
      <c r="V56" s="5">
        <v>0</v>
      </c>
      <c r="W56" s="5">
        <v>0</v>
      </c>
      <c r="X56" s="5">
        <v>165</v>
      </c>
      <c r="Y56" s="5">
        <v>0</v>
      </c>
      <c r="Z56" s="5">
        <v>0</v>
      </c>
      <c r="AA56" s="5">
        <v>165</v>
      </c>
      <c r="AB56" s="5">
        <v>0</v>
      </c>
      <c r="AC56">
        <f t="shared" si="0"/>
        <v>165</v>
      </c>
    </row>
    <row r="57" spans="1:29">
      <c r="A57" s="4">
        <v>13</v>
      </c>
      <c r="B57" s="5">
        <f>_xlfn.XLOOKUP(G57,Sheet1!E:E,Sheet1!A:A)</f>
        <v>3199</v>
      </c>
      <c r="C57" s="5">
        <v>201</v>
      </c>
      <c r="D57" s="5">
        <f>_xlfn.XLOOKUP(G57,'规范整合泌尿系统医疗服务价格映射表12.11 (2)'!T:T,'规范整合泌尿系统医疗服务价格映射表12.11 (2)'!A:A)</f>
        <v>39</v>
      </c>
      <c r="E57" s="8" t="s">
        <v>540</v>
      </c>
      <c r="F57" s="9" t="str">
        <f>_xlfn.XLOOKUP(G57,Sheet1!F:F,Sheet1!G:G)</f>
        <v>经腹腔镜肾周围淋巴管剥脱术</v>
      </c>
      <c r="G57" s="10" t="s">
        <v>545</v>
      </c>
      <c r="H57" s="11"/>
      <c r="I57" s="5">
        <v>3155</v>
      </c>
      <c r="J57" s="5">
        <v>2880</v>
      </c>
      <c r="K57" s="5">
        <v>2450</v>
      </c>
      <c r="L57" s="11"/>
      <c r="M57" s="5">
        <v>3155</v>
      </c>
      <c r="N57" s="5">
        <v>2880</v>
      </c>
      <c r="O57" s="5">
        <v>2450</v>
      </c>
      <c r="P57" s="5">
        <v>1</v>
      </c>
      <c r="Q57" s="5">
        <v>1</v>
      </c>
      <c r="R57" s="5" t="s">
        <v>2111</v>
      </c>
      <c r="S57" s="5">
        <v>0</v>
      </c>
      <c r="T57" s="5">
        <v>9</v>
      </c>
      <c r="U57" s="5">
        <v>0</v>
      </c>
      <c r="V57" s="5">
        <v>0</v>
      </c>
      <c r="W57" s="5">
        <v>0</v>
      </c>
      <c r="X57" s="5">
        <v>0</v>
      </c>
      <c r="Y57" s="5">
        <v>0</v>
      </c>
      <c r="Z57" s="5">
        <v>0</v>
      </c>
      <c r="AA57" s="5">
        <v>0</v>
      </c>
      <c r="AB57" s="5">
        <v>0</v>
      </c>
      <c r="AC57">
        <f t="shared" si="0"/>
        <v>0</v>
      </c>
    </row>
    <row r="58" spans="1:29">
      <c r="A58" s="4">
        <v>221</v>
      </c>
      <c r="B58" s="5">
        <f>_xlfn.XLOOKUP(G58,Sheet1!E:E,Sheet1!A:A)</f>
        <v>3218</v>
      </c>
      <c r="C58" s="5">
        <v>201</v>
      </c>
      <c r="D58" s="5">
        <f>_xlfn.XLOOKUP(G58,'规范整合泌尿系统医疗服务价格映射表12.11 (2)'!T:T,'规范整合泌尿系统医疗服务价格映射表12.11 (2)'!A:A)</f>
        <v>43</v>
      </c>
      <c r="E58" s="8" t="s">
        <v>606</v>
      </c>
      <c r="F58" s="9" t="str">
        <f>_xlfn.XLOOKUP(G58,Sheet1!F:F,Sheet1!G:G)</f>
        <v>肾囊肿切除术</v>
      </c>
      <c r="G58" s="10" t="s">
        <v>609</v>
      </c>
      <c r="H58" s="11"/>
      <c r="I58" s="5">
        <v>1500</v>
      </c>
      <c r="J58" s="5">
        <v>1440</v>
      </c>
      <c r="K58" s="5">
        <v>1224</v>
      </c>
      <c r="L58" s="11"/>
      <c r="M58" s="5">
        <v>2000</v>
      </c>
      <c r="N58" s="5">
        <v>1850</v>
      </c>
      <c r="O58" s="5">
        <v>1580</v>
      </c>
      <c r="P58" s="5">
        <v>1</v>
      </c>
      <c r="Q58" s="5">
        <v>1</v>
      </c>
      <c r="R58" s="5" t="s">
        <v>2111</v>
      </c>
      <c r="S58" s="5">
        <v>0</v>
      </c>
      <c r="T58" s="5">
        <v>12.5</v>
      </c>
      <c r="U58" s="5">
        <v>6.5</v>
      </c>
      <c r="V58" s="5">
        <v>0.5</v>
      </c>
      <c r="W58" s="5">
        <v>6250</v>
      </c>
      <c r="X58" s="5">
        <v>2665</v>
      </c>
      <c r="Y58" s="5">
        <v>178</v>
      </c>
      <c r="Z58" s="5">
        <v>6250</v>
      </c>
      <c r="AA58" s="5">
        <v>2665</v>
      </c>
      <c r="AB58" s="5">
        <v>178</v>
      </c>
      <c r="AC58">
        <f t="shared" si="0"/>
        <v>9093</v>
      </c>
    </row>
    <row r="59" spans="1:29">
      <c r="A59" s="4">
        <v>163</v>
      </c>
      <c r="B59" s="5">
        <f>_xlfn.XLOOKUP(G59,Sheet1!E:E,Sheet1!A:A)</f>
        <v>3219</v>
      </c>
      <c r="C59" s="5">
        <v>201</v>
      </c>
      <c r="D59" s="5">
        <f>_xlfn.XLOOKUP(G59,'规范整合泌尿系统医疗服务价格映射表12.11 (2)'!T:T,'规范整合泌尿系统医疗服务价格映射表12.11 (2)'!A:A)</f>
        <v>43</v>
      </c>
      <c r="E59" s="12"/>
      <c r="F59" s="9" t="str">
        <f>_xlfn.XLOOKUP(G59,Sheet1!F:F,Sheet1!G:G)</f>
        <v>经腹腔镜肾囊肿切除术</v>
      </c>
      <c r="G59" s="10" t="s">
        <v>612</v>
      </c>
      <c r="H59" s="11"/>
      <c r="I59" s="5">
        <v>2125</v>
      </c>
      <c r="J59" s="5">
        <v>2040</v>
      </c>
      <c r="K59" s="5">
        <v>1734</v>
      </c>
      <c r="L59" s="11"/>
      <c r="M59" s="5">
        <v>2040</v>
      </c>
      <c r="N59" s="5">
        <v>1850</v>
      </c>
      <c r="O59" s="5">
        <v>1580</v>
      </c>
      <c r="P59" s="5">
        <v>1</v>
      </c>
      <c r="Q59" s="5">
        <v>1</v>
      </c>
      <c r="R59" s="5" t="s">
        <v>2111</v>
      </c>
      <c r="S59" s="5">
        <v>0</v>
      </c>
      <c r="T59" s="5">
        <v>209</v>
      </c>
      <c r="U59" s="5">
        <v>113</v>
      </c>
      <c r="V59" s="5">
        <v>5</v>
      </c>
      <c r="W59" s="5">
        <v>-26125</v>
      </c>
      <c r="X59" s="5">
        <v>-21470</v>
      </c>
      <c r="Y59" s="5">
        <v>-770</v>
      </c>
      <c r="Z59" s="5">
        <v>-26125</v>
      </c>
      <c r="AA59" s="5">
        <v>-21470</v>
      </c>
      <c r="AB59" s="5">
        <v>-770</v>
      </c>
      <c r="AC59">
        <f t="shared" si="0"/>
        <v>-48365</v>
      </c>
    </row>
    <row r="60" spans="1:29">
      <c r="A60" s="4">
        <v>132</v>
      </c>
      <c r="B60" s="5">
        <f>_xlfn.XLOOKUP(G60,Sheet1!E:E,Sheet1!A:A)</f>
        <v>3220</v>
      </c>
      <c r="C60" s="5">
        <v>201</v>
      </c>
      <c r="D60" s="5">
        <f>_xlfn.XLOOKUP(G60,'规范整合泌尿系统医疗服务价格映射表12.11 (2)'!T:T,'规范整合泌尿系统医疗服务价格映射表12.11 (2)'!A:A)</f>
        <v>43</v>
      </c>
      <c r="E60" s="12"/>
      <c r="F60" s="9" t="str">
        <f>_xlfn.XLOOKUP(G60,Sheet1!F:F,Sheet1!G:G)</f>
        <v>多囊肾去顶减压术</v>
      </c>
      <c r="G60" s="10" t="s">
        <v>614</v>
      </c>
      <c r="H60" s="11"/>
      <c r="I60" s="5">
        <v>2360</v>
      </c>
      <c r="J60" s="5">
        <v>2120</v>
      </c>
      <c r="K60" s="5">
        <v>1800</v>
      </c>
      <c r="L60" s="11"/>
      <c r="M60" s="5">
        <v>2000</v>
      </c>
      <c r="N60" s="5">
        <v>1850</v>
      </c>
      <c r="O60" s="5">
        <v>1580</v>
      </c>
      <c r="P60" s="5">
        <v>1</v>
      </c>
      <c r="Q60" s="5">
        <v>1</v>
      </c>
      <c r="R60" s="5" t="s">
        <v>2111</v>
      </c>
      <c r="S60" s="5">
        <v>0</v>
      </c>
      <c r="T60" s="5">
        <v>1</v>
      </c>
      <c r="U60" s="5">
        <v>1.5</v>
      </c>
      <c r="V60" s="5">
        <v>0</v>
      </c>
      <c r="W60" s="5">
        <v>-360</v>
      </c>
      <c r="X60" s="5">
        <v>-405</v>
      </c>
      <c r="Y60" s="5">
        <v>0</v>
      </c>
      <c r="Z60" s="5">
        <v>-360</v>
      </c>
      <c r="AA60" s="5">
        <v>-405</v>
      </c>
      <c r="AB60" s="5">
        <v>0</v>
      </c>
      <c r="AC60">
        <f t="shared" si="0"/>
        <v>-765</v>
      </c>
    </row>
    <row r="61" spans="1:29">
      <c r="A61" s="4">
        <v>207</v>
      </c>
      <c r="B61" s="5">
        <f>_xlfn.XLOOKUP(G61,Sheet1!E:E,Sheet1!A:A)</f>
        <v>3221</v>
      </c>
      <c r="C61" s="5">
        <v>201</v>
      </c>
      <c r="D61" s="5">
        <f>_xlfn.XLOOKUP(G61,'规范整合泌尿系统医疗服务价格映射表12.11 (2)'!T:T,'规范整合泌尿系统医疗服务价格映射表12.11 (2)'!A:A)</f>
        <v>43</v>
      </c>
      <c r="E61" s="12"/>
      <c r="F61" s="9" t="str">
        <f>_xlfn.XLOOKUP(G61,Sheet1!F:F,Sheet1!G:G)</f>
        <v>经腹腔镜多囊肾去顶减压术</v>
      </c>
      <c r="G61" s="10" t="s">
        <v>616</v>
      </c>
      <c r="H61" s="11"/>
      <c r="I61" s="5">
        <v>2985</v>
      </c>
      <c r="J61" s="5">
        <v>2720</v>
      </c>
      <c r="K61" s="5">
        <v>2310</v>
      </c>
      <c r="L61" s="11"/>
      <c r="M61" s="5">
        <v>2000</v>
      </c>
      <c r="N61" s="5">
        <v>1850</v>
      </c>
      <c r="O61" s="5">
        <v>1580</v>
      </c>
      <c r="P61" s="5">
        <v>1</v>
      </c>
      <c r="Q61" s="5">
        <v>1</v>
      </c>
      <c r="R61" s="5" t="s">
        <v>2111</v>
      </c>
      <c r="S61" s="5">
        <v>0</v>
      </c>
      <c r="T61" s="5">
        <v>7</v>
      </c>
      <c r="U61" s="5">
        <v>8</v>
      </c>
      <c r="V61" s="5">
        <v>0</v>
      </c>
      <c r="W61" s="5">
        <v>-6895</v>
      </c>
      <c r="X61" s="5">
        <v>-6960</v>
      </c>
      <c r="Y61" s="5">
        <v>0</v>
      </c>
      <c r="Z61" s="5">
        <v>-6895</v>
      </c>
      <c r="AA61" s="5">
        <v>-5730</v>
      </c>
      <c r="AB61" s="5">
        <v>0</v>
      </c>
      <c r="AC61">
        <f t="shared" si="0"/>
        <v>-12625</v>
      </c>
    </row>
    <row r="62" spans="1:29">
      <c r="A62" s="4">
        <v>137</v>
      </c>
      <c r="B62" s="5">
        <f>_xlfn.XLOOKUP(G62,Sheet1!E:E,Sheet1!A:A)</f>
        <v>3226</v>
      </c>
      <c r="C62" s="5">
        <v>201</v>
      </c>
      <c r="D62" s="5">
        <f>_xlfn.XLOOKUP(G62,'规范整合泌尿系统医疗服务价格映射表12.11 (2)'!T:T,'规范整合泌尿系统医疗服务价格映射表12.11 (2)'!A:A)</f>
        <v>44</v>
      </c>
      <c r="E62" s="8" t="s">
        <v>629</v>
      </c>
      <c r="F62" s="9" t="str">
        <f>_xlfn.XLOOKUP(G62,Sheet1!F:F,Sheet1!G:G)</f>
        <v>肾部分切除术</v>
      </c>
      <c r="G62" s="10" t="s">
        <v>633</v>
      </c>
      <c r="H62" s="11"/>
      <c r="I62" s="5">
        <v>3290</v>
      </c>
      <c r="J62" s="5">
        <v>2960</v>
      </c>
      <c r="K62" s="5">
        <v>2365</v>
      </c>
      <c r="L62" s="11"/>
      <c r="M62" s="5">
        <v>3200</v>
      </c>
      <c r="N62" s="5">
        <v>2900</v>
      </c>
      <c r="O62" s="5">
        <v>2500</v>
      </c>
      <c r="P62" s="5">
        <v>1</v>
      </c>
      <c r="Q62" s="5">
        <v>1</v>
      </c>
      <c r="R62" s="5" t="s">
        <v>2111</v>
      </c>
      <c r="S62" s="5">
        <v>0</v>
      </c>
      <c r="T62" s="5">
        <v>3</v>
      </c>
      <c r="U62" s="5">
        <v>3.5</v>
      </c>
      <c r="V62" s="5">
        <v>0</v>
      </c>
      <c r="W62" s="5">
        <v>-270</v>
      </c>
      <c r="X62" s="5">
        <v>-210</v>
      </c>
      <c r="Y62" s="5">
        <v>0</v>
      </c>
      <c r="Z62" s="5">
        <v>-270</v>
      </c>
      <c r="AA62" s="5">
        <v>-210</v>
      </c>
      <c r="AB62" s="5">
        <v>0</v>
      </c>
      <c r="AC62" s="16">
        <f t="shared" si="0"/>
        <v>-480</v>
      </c>
    </row>
    <row r="63" spans="1:29">
      <c r="A63" s="4">
        <v>72</v>
      </c>
      <c r="B63" s="5">
        <f>_xlfn.XLOOKUP(G63,Sheet1!E:E,Sheet1!A:A)</f>
        <v>3227</v>
      </c>
      <c r="C63" s="5">
        <v>201</v>
      </c>
      <c r="D63" s="5">
        <f>_xlfn.XLOOKUP(G63,'规范整合泌尿系统医疗服务价格映射表12.11 (2)'!T:T,'规范整合泌尿系统医疗服务价格映射表12.11 (2)'!A:A)</f>
        <v>44</v>
      </c>
      <c r="E63" s="12"/>
      <c r="F63" s="9" t="str">
        <f>_xlfn.XLOOKUP(G63,Sheet1!F:F,Sheet1!G:G)</f>
        <v>经腹腔镜肾部分切除术</v>
      </c>
      <c r="G63" s="10" t="s">
        <v>635</v>
      </c>
      <c r="H63" s="11"/>
      <c r="I63" s="5">
        <v>3915</v>
      </c>
      <c r="J63" s="5">
        <v>3560</v>
      </c>
      <c r="K63" s="5">
        <v>2875</v>
      </c>
      <c r="L63" s="11"/>
      <c r="M63" s="5">
        <v>3200</v>
      </c>
      <c r="N63" s="5">
        <v>2900</v>
      </c>
      <c r="O63" s="5">
        <v>2500</v>
      </c>
      <c r="P63" s="5">
        <v>1</v>
      </c>
      <c r="Q63" s="5">
        <v>1</v>
      </c>
      <c r="R63" s="5" t="s">
        <v>2111</v>
      </c>
      <c r="S63" s="5">
        <v>0</v>
      </c>
      <c r="T63" s="5">
        <v>151</v>
      </c>
      <c r="U63" s="5">
        <v>52</v>
      </c>
      <c r="V63" s="5">
        <v>0</v>
      </c>
      <c r="W63" s="5">
        <v>-107965</v>
      </c>
      <c r="X63" s="5">
        <v>-34320</v>
      </c>
      <c r="Y63" s="5">
        <v>0</v>
      </c>
      <c r="Z63" s="5">
        <v>-107965</v>
      </c>
      <c r="AA63" s="5">
        <v>-34320</v>
      </c>
      <c r="AB63" s="5">
        <v>0</v>
      </c>
      <c r="AC63" s="16">
        <f t="shared" si="0"/>
        <v>-142285</v>
      </c>
    </row>
    <row r="64" spans="1:29">
      <c r="A64" s="4">
        <v>83</v>
      </c>
      <c r="B64" s="5">
        <f>_xlfn.XLOOKUP(G64,Sheet1!E:E,Sheet1!A:A)</f>
        <v>3229</v>
      </c>
      <c r="C64" s="5">
        <v>201</v>
      </c>
      <c r="D64" s="5">
        <f>_xlfn.XLOOKUP(G64,'规范整合泌尿系统医疗服务价格映射表12.11 (2)'!T:T,'规范整合泌尿系统医疗服务价格映射表12.11 (2)'!A:A)</f>
        <v>44</v>
      </c>
      <c r="E64" s="12"/>
      <c r="F64" s="9" t="str">
        <f>_xlfn.XLOOKUP(G64,Sheet1!F:F,Sheet1!G:G)</f>
        <v>经腹腔镜肾肿瘤剔除术</v>
      </c>
      <c r="G64" s="10" t="s">
        <v>639</v>
      </c>
      <c r="H64" s="11"/>
      <c r="I64" s="5">
        <v>3665</v>
      </c>
      <c r="J64" s="5">
        <v>3340</v>
      </c>
      <c r="K64" s="5">
        <v>2840</v>
      </c>
      <c r="L64" s="11"/>
      <c r="M64" s="5">
        <v>3200</v>
      </c>
      <c r="N64" s="5">
        <v>2900</v>
      </c>
      <c r="O64" s="5">
        <v>2500</v>
      </c>
      <c r="P64" s="5">
        <v>1</v>
      </c>
      <c r="Q64" s="5">
        <v>1</v>
      </c>
      <c r="R64" s="5" t="s">
        <v>2111</v>
      </c>
      <c r="S64" s="5">
        <v>0</v>
      </c>
      <c r="T64" s="5">
        <v>1</v>
      </c>
      <c r="U64" s="5">
        <v>0</v>
      </c>
      <c r="V64" s="5">
        <v>1</v>
      </c>
      <c r="W64" s="5">
        <v>-465</v>
      </c>
      <c r="X64" s="5">
        <v>0</v>
      </c>
      <c r="Y64" s="5">
        <v>-340</v>
      </c>
      <c r="Z64" s="5">
        <v>-465</v>
      </c>
      <c r="AA64" s="5">
        <v>0</v>
      </c>
      <c r="AB64" s="5">
        <v>-340</v>
      </c>
      <c r="AC64" s="16">
        <f t="shared" si="0"/>
        <v>-805</v>
      </c>
    </row>
    <row r="65" spans="1:29">
      <c r="A65" s="4">
        <v>92</v>
      </c>
      <c r="B65" s="5">
        <f>_xlfn.XLOOKUP(G65,Sheet1!E:E,Sheet1!A:A)</f>
        <v>3230</v>
      </c>
      <c r="C65" s="5">
        <v>201</v>
      </c>
      <c r="D65" s="5">
        <f>_xlfn.XLOOKUP(G65,'规范整合泌尿系统医疗服务价格映射表12.11 (2)'!T:T,'规范整合泌尿系统医疗服务价格映射表12.11 (2)'!A:A)</f>
        <v>44</v>
      </c>
      <c r="E65" s="12"/>
      <c r="F65" s="9" t="str">
        <f>_xlfn.XLOOKUP(G65,Sheet1!F:F,Sheet1!G:G)</f>
        <v>肾肿瘤腔静脉内瘤栓切取术</v>
      </c>
      <c r="G65" s="10" t="s">
        <v>641</v>
      </c>
      <c r="H65" s="11"/>
      <c r="I65" s="5">
        <v>6240</v>
      </c>
      <c r="J65" s="5">
        <v>5620</v>
      </c>
      <c r="K65" s="5">
        <v>4780</v>
      </c>
      <c r="L65" s="11"/>
      <c r="M65" s="5">
        <v>0</v>
      </c>
      <c r="N65" s="5">
        <v>0</v>
      </c>
      <c r="O65" s="5">
        <v>0</v>
      </c>
      <c r="P65" s="5">
        <v>1</v>
      </c>
      <c r="Q65" s="5">
        <v>1</v>
      </c>
      <c r="R65" s="5" t="s">
        <v>2111</v>
      </c>
      <c r="S65" s="5">
        <v>0</v>
      </c>
      <c r="T65" s="5">
        <v>0.5</v>
      </c>
      <c r="U65" s="5">
        <v>0</v>
      </c>
      <c r="V65" s="5">
        <v>0</v>
      </c>
      <c r="W65" s="5">
        <v>-3120</v>
      </c>
      <c r="X65" s="5">
        <v>0</v>
      </c>
      <c r="Y65" s="5">
        <v>0</v>
      </c>
      <c r="Z65" s="5">
        <v>-3120</v>
      </c>
      <c r="AA65" s="5">
        <v>0</v>
      </c>
      <c r="AB65" s="5">
        <v>0</v>
      </c>
      <c r="AC65" s="16">
        <f t="shared" si="0"/>
        <v>-3120</v>
      </c>
    </row>
    <row r="66" spans="1:29">
      <c r="A66" s="4">
        <v>196</v>
      </c>
      <c r="B66" s="5">
        <f>_xlfn.XLOOKUP(G66,Sheet1!E:E,Sheet1!A:A)</f>
        <v>3242</v>
      </c>
      <c r="C66" s="5">
        <v>201</v>
      </c>
      <c r="D66" s="5">
        <f>_xlfn.XLOOKUP(G66,'规范整合泌尿系统医疗服务价格映射表12.11 (2)'!T:T,'规范整合泌尿系统医疗服务价格映射表12.11 (2)'!A:A)</f>
        <v>45</v>
      </c>
      <c r="E66" s="8" t="s">
        <v>673</v>
      </c>
      <c r="F66" s="9" t="str">
        <f>_xlfn.XLOOKUP(G66,Sheet1!F:F,Sheet1!G:G)</f>
        <v>经输尿管镜肿瘤切除术</v>
      </c>
      <c r="G66" s="10" t="s">
        <v>677</v>
      </c>
      <c r="H66" s="11"/>
      <c r="I66" s="5">
        <v>880</v>
      </c>
      <c r="J66" s="5">
        <v>800</v>
      </c>
      <c r="K66" s="5">
        <v>680</v>
      </c>
      <c r="L66" s="11"/>
      <c r="M66" s="5">
        <v>3100</v>
      </c>
      <c r="N66" s="5">
        <v>2800</v>
      </c>
      <c r="O66" s="5">
        <v>2400</v>
      </c>
      <c r="P66" s="5">
        <v>1</v>
      </c>
      <c r="Q66" s="5">
        <v>1</v>
      </c>
      <c r="R66" s="5" t="s">
        <v>2111</v>
      </c>
      <c r="S66" s="5">
        <v>0</v>
      </c>
      <c r="T66" s="5">
        <v>1</v>
      </c>
      <c r="U66" s="5">
        <v>1</v>
      </c>
      <c r="V66" s="5">
        <v>0</v>
      </c>
      <c r="W66" s="5">
        <v>2220</v>
      </c>
      <c r="X66" s="5">
        <v>2000</v>
      </c>
      <c r="Y66" s="5">
        <v>0</v>
      </c>
      <c r="Z66" s="5">
        <v>2220</v>
      </c>
      <c r="AA66" s="5">
        <v>2000</v>
      </c>
      <c r="AB66" s="5">
        <v>0</v>
      </c>
      <c r="AC66">
        <f t="shared" si="0"/>
        <v>4220</v>
      </c>
    </row>
    <row r="67" spans="1:29">
      <c r="A67" s="4">
        <v>77</v>
      </c>
      <c r="B67" s="5">
        <f>_xlfn.XLOOKUP(G67,Sheet1!E:E,Sheet1!A:A)</f>
        <v>3243</v>
      </c>
      <c r="C67" s="5">
        <v>201</v>
      </c>
      <c r="D67" s="5">
        <f>_xlfn.XLOOKUP(G67,'规范整合泌尿系统医疗服务价格映射表12.11 (2)'!T:T,'规范整合泌尿系统医疗服务价格映射表12.11 (2)'!A:A)</f>
        <v>45</v>
      </c>
      <c r="E67" s="12"/>
      <c r="F67" s="9" t="str">
        <f>_xlfn.XLOOKUP(G67,Sheet1!F:F,Sheet1!G:G)</f>
        <v>经输尿管镜肿瘤切除术（激光法、液电法）</v>
      </c>
      <c r="G67" s="10" t="s">
        <v>680</v>
      </c>
      <c r="H67" s="11"/>
      <c r="I67" s="5">
        <v>1100</v>
      </c>
      <c r="J67" s="5">
        <v>1000</v>
      </c>
      <c r="K67" s="5">
        <v>850</v>
      </c>
      <c r="L67" s="11"/>
      <c r="M67" s="5">
        <v>3100</v>
      </c>
      <c r="N67" s="5">
        <v>2800</v>
      </c>
      <c r="O67" s="5">
        <v>2400</v>
      </c>
      <c r="P67" s="5">
        <v>1</v>
      </c>
      <c r="Q67" s="5">
        <v>1</v>
      </c>
      <c r="R67" s="5" t="s">
        <v>2111</v>
      </c>
      <c r="S67" s="5">
        <v>0</v>
      </c>
      <c r="T67" s="5">
        <v>2</v>
      </c>
      <c r="U67" s="5">
        <v>1.5</v>
      </c>
      <c r="V67" s="5">
        <v>0</v>
      </c>
      <c r="W67" s="5">
        <v>4000</v>
      </c>
      <c r="X67" s="5">
        <v>2700</v>
      </c>
      <c r="Y67" s="5">
        <v>0</v>
      </c>
      <c r="Z67" s="5">
        <v>4000</v>
      </c>
      <c r="AA67" s="5">
        <v>2700</v>
      </c>
      <c r="AB67" s="5">
        <v>0</v>
      </c>
      <c r="AC67">
        <f t="shared" ref="AC67:AC130" si="1">Z67+AA67+AB67</f>
        <v>6700</v>
      </c>
    </row>
    <row r="68" spans="1:29">
      <c r="A68" s="4">
        <v>60</v>
      </c>
      <c r="B68" s="5">
        <f>_xlfn.XLOOKUP(G68,Sheet1!E:E,Sheet1!A:A)</f>
        <v>3244</v>
      </c>
      <c r="C68" s="5">
        <v>201</v>
      </c>
      <c r="D68" s="5">
        <f>_xlfn.XLOOKUP(G68,'规范整合泌尿系统医疗服务价格映射表12.11 (2)'!T:T,'规范整合泌尿系统医疗服务价格映射表12.11 (2)'!A:A)</f>
        <v>45</v>
      </c>
      <c r="E68" s="12"/>
      <c r="F68" s="9" t="str">
        <f>_xlfn.XLOOKUP(G68,Sheet1!F:F,Sheet1!G:G)</f>
        <v>根治性肾切除术</v>
      </c>
      <c r="G68" s="10" t="s">
        <v>683</v>
      </c>
      <c r="H68" s="11"/>
      <c r="I68" s="5">
        <v>4740</v>
      </c>
      <c r="J68" s="5">
        <v>4270</v>
      </c>
      <c r="K68" s="5">
        <v>3630</v>
      </c>
      <c r="L68" s="11"/>
      <c r="M68" s="5">
        <v>3100</v>
      </c>
      <c r="N68" s="5">
        <v>2800</v>
      </c>
      <c r="O68" s="5">
        <v>2400</v>
      </c>
      <c r="P68" s="5">
        <v>1</v>
      </c>
      <c r="Q68" s="5">
        <v>1</v>
      </c>
      <c r="R68" s="5" t="s">
        <v>2111</v>
      </c>
      <c r="S68" s="5">
        <v>0</v>
      </c>
      <c r="T68" s="5">
        <v>2</v>
      </c>
      <c r="U68" s="5">
        <v>2</v>
      </c>
      <c r="V68" s="5">
        <v>0</v>
      </c>
      <c r="W68" s="5">
        <v>-3280</v>
      </c>
      <c r="X68" s="5">
        <v>-2940</v>
      </c>
      <c r="Y68" s="5">
        <v>0</v>
      </c>
      <c r="Z68" s="5">
        <v>-3280</v>
      </c>
      <c r="AA68" s="5">
        <v>-2940</v>
      </c>
      <c r="AB68" s="5">
        <v>0</v>
      </c>
      <c r="AC68">
        <f t="shared" si="1"/>
        <v>-6220</v>
      </c>
    </row>
    <row r="69" spans="1:29">
      <c r="A69" s="4">
        <v>82</v>
      </c>
      <c r="B69" s="5">
        <f>_xlfn.XLOOKUP(G69,Sheet1!E:E,Sheet1!A:A)</f>
        <v>3245</v>
      </c>
      <c r="C69" s="5">
        <v>201</v>
      </c>
      <c r="D69" s="5">
        <f>_xlfn.XLOOKUP(G69,'规范整合泌尿系统医疗服务价格映射表12.11 (2)'!T:T,'规范整合泌尿系统医疗服务价格映射表12.11 (2)'!A:A)</f>
        <v>45</v>
      </c>
      <c r="E69" s="12"/>
      <c r="F69" s="9" t="str">
        <f>_xlfn.XLOOKUP(G69,Sheet1!F:F,Sheet1!G:G)</f>
        <v>经腹腔镜根治性肾切除术</v>
      </c>
      <c r="G69" s="10" t="s">
        <v>686</v>
      </c>
      <c r="H69" s="11"/>
      <c r="I69" s="5">
        <v>5365</v>
      </c>
      <c r="J69" s="5">
        <v>4870</v>
      </c>
      <c r="K69" s="5">
        <v>4140</v>
      </c>
      <c r="L69" s="11"/>
      <c r="M69" s="5">
        <v>3100</v>
      </c>
      <c r="N69" s="5">
        <v>2800</v>
      </c>
      <c r="O69" s="5">
        <v>2400</v>
      </c>
      <c r="P69" s="5">
        <v>1</v>
      </c>
      <c r="Q69" s="5">
        <v>1</v>
      </c>
      <c r="R69" s="5" t="s">
        <v>2111</v>
      </c>
      <c r="S69" s="5">
        <v>0</v>
      </c>
      <c r="T69" s="5">
        <v>88</v>
      </c>
      <c r="U69" s="5">
        <v>18</v>
      </c>
      <c r="V69" s="5">
        <v>0</v>
      </c>
      <c r="W69" s="5">
        <v>-199320</v>
      </c>
      <c r="X69" s="5">
        <v>-37260</v>
      </c>
      <c r="Y69" s="5">
        <v>0</v>
      </c>
      <c r="Z69" s="5">
        <v>-199320</v>
      </c>
      <c r="AA69" s="5">
        <v>-37260</v>
      </c>
      <c r="AB69" s="5">
        <v>0</v>
      </c>
      <c r="AC69">
        <f t="shared" si="1"/>
        <v>-236580</v>
      </c>
    </row>
    <row r="70" spans="1:29">
      <c r="A70" s="4">
        <v>27</v>
      </c>
      <c r="B70" s="5">
        <f>_xlfn.XLOOKUP(G70,Sheet1!E:E,Sheet1!A:A)</f>
        <v>3246</v>
      </c>
      <c r="C70" s="5">
        <v>201</v>
      </c>
      <c r="D70" s="5">
        <f>_xlfn.XLOOKUP(G70,'规范整合泌尿系统医疗服务价格映射表12.11 (2)'!T:T,'规范整合泌尿系统医疗服务价格映射表12.11 (2)'!A:A)</f>
        <v>45</v>
      </c>
      <c r="E70" s="12"/>
      <c r="F70" s="9" t="str">
        <f>_xlfn.XLOOKUP(G70,Sheet1!F:F,Sheet1!G:G)</f>
        <v>肾切除术</v>
      </c>
      <c r="G70" s="10" t="s">
        <v>688</v>
      </c>
      <c r="H70" s="11"/>
      <c r="I70" s="5">
        <v>2530</v>
      </c>
      <c r="J70" s="5">
        <v>2280</v>
      </c>
      <c r="K70" s="5">
        <v>1940</v>
      </c>
      <c r="L70" s="11"/>
      <c r="M70" s="5">
        <v>3100</v>
      </c>
      <c r="N70" s="5">
        <v>2800</v>
      </c>
      <c r="O70" s="5">
        <v>2400</v>
      </c>
      <c r="P70" s="5">
        <v>1</v>
      </c>
      <c r="Q70" s="5">
        <v>1</v>
      </c>
      <c r="R70" s="5" t="s">
        <v>2111</v>
      </c>
      <c r="S70" s="5">
        <v>0</v>
      </c>
      <c r="T70" s="5">
        <v>8</v>
      </c>
      <c r="U70" s="5">
        <v>6.5</v>
      </c>
      <c r="V70" s="5">
        <v>0</v>
      </c>
      <c r="W70" s="5">
        <v>4560</v>
      </c>
      <c r="X70" s="5">
        <v>3380</v>
      </c>
      <c r="Y70" s="5">
        <v>0</v>
      </c>
      <c r="Z70" s="5">
        <v>4560</v>
      </c>
      <c r="AA70" s="5">
        <v>3380</v>
      </c>
      <c r="AB70" s="5">
        <v>0</v>
      </c>
      <c r="AC70">
        <f t="shared" si="1"/>
        <v>7940</v>
      </c>
    </row>
    <row r="71" spans="1:29">
      <c r="A71" s="4">
        <v>40</v>
      </c>
      <c r="B71" s="5">
        <f>_xlfn.XLOOKUP(G71,Sheet1!E:E,Sheet1!A:A)</f>
        <v>3247</v>
      </c>
      <c r="C71" s="5">
        <v>201</v>
      </c>
      <c r="D71" s="5">
        <f>_xlfn.XLOOKUP(G71,'规范整合泌尿系统医疗服务价格映射表12.11 (2)'!T:T,'规范整合泌尿系统医疗服务价格映射表12.11 (2)'!A:A)</f>
        <v>45</v>
      </c>
      <c r="E71" s="12"/>
      <c r="F71" s="9" t="str">
        <f>_xlfn.XLOOKUP(G71,Sheet1!F:F,Sheet1!G:G)</f>
        <v>经腹腔镜肾切除术</v>
      </c>
      <c r="G71" s="10" t="s">
        <v>691</v>
      </c>
      <c r="H71" s="11"/>
      <c r="I71" s="5">
        <v>3155</v>
      </c>
      <c r="J71" s="5">
        <v>2880</v>
      </c>
      <c r="K71" s="5">
        <v>2450</v>
      </c>
      <c r="L71" s="11"/>
      <c r="M71" s="5">
        <v>3100</v>
      </c>
      <c r="N71" s="5">
        <v>2800</v>
      </c>
      <c r="O71" s="5">
        <v>2400</v>
      </c>
      <c r="P71" s="5">
        <v>1</v>
      </c>
      <c r="Q71" s="5">
        <v>1</v>
      </c>
      <c r="R71" s="5" t="s">
        <v>2111</v>
      </c>
      <c r="S71" s="5">
        <v>0</v>
      </c>
      <c r="T71" s="5">
        <v>69</v>
      </c>
      <c r="U71" s="5">
        <v>24</v>
      </c>
      <c r="V71" s="5">
        <v>1</v>
      </c>
      <c r="W71" s="5">
        <v>-3795</v>
      </c>
      <c r="X71" s="5">
        <v>-1920</v>
      </c>
      <c r="Y71" s="5">
        <v>-50</v>
      </c>
      <c r="Z71" s="5">
        <v>-3795</v>
      </c>
      <c r="AA71" s="5">
        <v>-1920</v>
      </c>
      <c r="AB71" s="5">
        <v>-50</v>
      </c>
      <c r="AC71">
        <f t="shared" si="1"/>
        <v>-5765</v>
      </c>
    </row>
    <row r="72" spans="1:29">
      <c r="A72" s="4">
        <v>186</v>
      </c>
      <c r="B72" s="5">
        <f>_xlfn.XLOOKUP(G72,Sheet1!E:E,Sheet1!A:A)</f>
        <v>3252</v>
      </c>
      <c r="C72" s="5">
        <v>201</v>
      </c>
      <c r="D72" s="5">
        <f>_xlfn.XLOOKUP(G72,'规范整合泌尿系统医疗服务价格映射表12.11 (2)'!T:T,'规范整合泌尿系统医疗服务价格映射表12.11 (2)'!A:A)</f>
        <v>46</v>
      </c>
      <c r="E72" s="8" t="s">
        <v>704</v>
      </c>
      <c r="F72" s="9" t="str">
        <f>_xlfn.XLOOKUP(G72,Sheet1!F:F,Sheet1!G:G)</f>
        <v>肾上腺切除术</v>
      </c>
      <c r="G72" s="10" t="s">
        <v>708</v>
      </c>
      <c r="H72" s="11"/>
      <c r="I72" s="5">
        <v>3090</v>
      </c>
      <c r="J72" s="5">
        <v>2780</v>
      </c>
      <c r="K72" s="5">
        <v>2360</v>
      </c>
      <c r="L72" s="11"/>
      <c r="M72" s="5">
        <v>3780</v>
      </c>
      <c r="N72" s="5">
        <v>3430</v>
      </c>
      <c r="O72" s="5">
        <v>2930</v>
      </c>
      <c r="P72" s="5">
        <v>1</v>
      </c>
      <c r="Q72" s="5">
        <v>1</v>
      </c>
      <c r="R72" s="5" t="s">
        <v>2111</v>
      </c>
      <c r="S72" s="5">
        <v>0</v>
      </c>
      <c r="T72" s="5">
        <v>4</v>
      </c>
      <c r="U72" s="5">
        <v>1.5</v>
      </c>
      <c r="V72" s="5">
        <v>0</v>
      </c>
      <c r="W72" s="5">
        <v>2760</v>
      </c>
      <c r="X72" s="5">
        <v>975</v>
      </c>
      <c r="Y72" s="5">
        <v>0</v>
      </c>
      <c r="Z72" s="5">
        <v>2760</v>
      </c>
      <c r="AA72" s="5">
        <v>975</v>
      </c>
      <c r="AB72" s="5">
        <v>0</v>
      </c>
      <c r="AC72">
        <f t="shared" si="1"/>
        <v>3735</v>
      </c>
    </row>
    <row r="73" spans="1:29">
      <c r="A73" s="4">
        <v>151</v>
      </c>
      <c r="B73" s="5">
        <f>_xlfn.XLOOKUP(G73,Sheet1!E:E,Sheet1!A:A)</f>
        <v>3253</v>
      </c>
      <c r="C73" s="5">
        <v>201</v>
      </c>
      <c r="D73" s="5">
        <f>_xlfn.XLOOKUP(G73,'规范整合泌尿系统医疗服务价格映射表12.11 (2)'!T:T,'规范整合泌尿系统医疗服务价格映射表12.11 (2)'!A:A)</f>
        <v>46</v>
      </c>
      <c r="E73" s="12"/>
      <c r="F73" s="9" t="str">
        <f>_xlfn.XLOOKUP(G73,Sheet1!F:F,Sheet1!G:G)</f>
        <v>经腹腔镜肾上腺切除术</v>
      </c>
      <c r="G73" s="10" t="s">
        <v>711</v>
      </c>
      <c r="H73" s="11"/>
      <c r="I73" s="5">
        <v>3715</v>
      </c>
      <c r="J73" s="5">
        <v>3380</v>
      </c>
      <c r="K73" s="5">
        <v>2870</v>
      </c>
      <c r="L73" s="11"/>
      <c r="M73" s="5">
        <v>3780</v>
      </c>
      <c r="N73" s="5">
        <v>3430</v>
      </c>
      <c r="O73" s="5">
        <v>2930</v>
      </c>
      <c r="P73" s="5">
        <v>1</v>
      </c>
      <c r="Q73" s="5">
        <v>1</v>
      </c>
      <c r="R73" s="5" t="s">
        <v>2111</v>
      </c>
      <c r="S73" s="5">
        <v>0</v>
      </c>
      <c r="T73" s="5">
        <v>201</v>
      </c>
      <c r="U73" s="5">
        <v>56</v>
      </c>
      <c r="V73" s="5">
        <v>0</v>
      </c>
      <c r="W73" s="5">
        <v>13065</v>
      </c>
      <c r="X73" s="5">
        <v>2800</v>
      </c>
      <c r="Y73" s="5">
        <v>0</v>
      </c>
      <c r="Z73" s="5">
        <v>13065</v>
      </c>
      <c r="AA73" s="5">
        <v>3310</v>
      </c>
      <c r="AB73" s="5">
        <v>0</v>
      </c>
      <c r="AC73">
        <f t="shared" si="1"/>
        <v>16375</v>
      </c>
    </row>
    <row r="74" spans="1:29">
      <c r="A74" s="4">
        <v>176</v>
      </c>
      <c r="B74" s="5">
        <f>_xlfn.XLOOKUP(G74,Sheet1!E:E,Sheet1!A:A)</f>
        <v>3255</v>
      </c>
      <c r="C74" s="5">
        <v>201</v>
      </c>
      <c r="D74" s="5" t="str">
        <f>_xlfn.XLOOKUP(G74,'规范整合泌尿系统医疗服务价格映射表12.11 (2)'!T:T,'规范整合泌尿系统医疗服务价格映射表12.11 (2)'!A:A)</f>
        <v>分项</v>
      </c>
      <c r="E74" s="8" t="s">
        <v>2132</v>
      </c>
      <c r="F74" s="9" t="str">
        <f>_xlfn.XLOOKUP(G74,Sheet1!F:F,Sheet1!G:G)</f>
        <v>经腹腔镜肾上腺嗜铬细胞瘤切除术</v>
      </c>
      <c r="G74" s="10" t="s">
        <v>718</v>
      </c>
      <c r="H74" s="11"/>
      <c r="I74" s="5">
        <v>4755</v>
      </c>
      <c r="J74" s="5">
        <v>4320</v>
      </c>
      <c r="K74" s="5">
        <v>3670</v>
      </c>
      <c r="L74" s="11"/>
      <c r="M74" s="5">
        <v>4755</v>
      </c>
      <c r="N74" s="5">
        <v>4320</v>
      </c>
      <c r="O74" s="5">
        <v>3680</v>
      </c>
      <c r="P74" s="5">
        <v>1</v>
      </c>
      <c r="Q74" s="5">
        <v>1</v>
      </c>
      <c r="R74" s="5" t="s">
        <v>2111</v>
      </c>
      <c r="S74" s="5">
        <v>0</v>
      </c>
      <c r="T74" s="5">
        <v>9</v>
      </c>
      <c r="U74" s="5">
        <v>6</v>
      </c>
      <c r="V74" s="5">
        <v>0</v>
      </c>
      <c r="W74" s="5">
        <v>0</v>
      </c>
      <c r="X74" s="5">
        <v>0</v>
      </c>
      <c r="Y74" s="5">
        <v>0</v>
      </c>
      <c r="Z74" s="5">
        <v>0</v>
      </c>
      <c r="AA74" s="5">
        <v>0</v>
      </c>
      <c r="AB74" s="5">
        <v>0</v>
      </c>
      <c r="AC74">
        <f t="shared" si="1"/>
        <v>0</v>
      </c>
    </row>
    <row r="75" spans="1:29">
      <c r="A75" s="4">
        <v>223</v>
      </c>
      <c r="B75" s="5">
        <f>_xlfn.XLOOKUP(G75,Sheet1!E:E,Sheet1!A:A)</f>
        <v>3262</v>
      </c>
      <c r="C75" s="5">
        <v>201</v>
      </c>
      <c r="D75" s="5">
        <f>_xlfn.XLOOKUP(G75,'规范整合泌尿系统医疗服务价格映射表12.11 (2)'!T:T,'规范整合泌尿系统医疗服务价格映射表12.11 (2)'!A:A)</f>
        <v>49</v>
      </c>
      <c r="E75" s="8" t="s">
        <v>753</v>
      </c>
      <c r="F75" s="9" t="str">
        <f>_xlfn.XLOOKUP(G75,Sheet1!F:F,Sheet1!G:G)</f>
        <v>输尿管狭窄段切除再吻合术</v>
      </c>
      <c r="G75" s="10" t="s">
        <v>757</v>
      </c>
      <c r="H75" s="11"/>
      <c r="I75" s="5">
        <v>2375</v>
      </c>
      <c r="J75" s="5">
        <v>2140</v>
      </c>
      <c r="K75" s="5">
        <v>1710</v>
      </c>
      <c r="L75" s="11"/>
      <c r="M75" s="5">
        <v>2900</v>
      </c>
      <c r="N75" s="5">
        <v>2600</v>
      </c>
      <c r="O75" s="5">
        <v>2250</v>
      </c>
      <c r="P75" s="5">
        <v>1</v>
      </c>
      <c r="Q75" s="5">
        <v>1</v>
      </c>
      <c r="R75" s="5" t="s">
        <v>2111</v>
      </c>
      <c r="S75" s="5">
        <v>0</v>
      </c>
      <c r="T75" s="5">
        <v>1.5</v>
      </c>
      <c r="U75" s="5">
        <v>0</v>
      </c>
      <c r="V75" s="5">
        <v>0</v>
      </c>
      <c r="W75" s="5">
        <v>787.5</v>
      </c>
      <c r="X75" s="5">
        <v>0</v>
      </c>
      <c r="Y75" s="5">
        <v>0</v>
      </c>
      <c r="Z75" s="5">
        <v>787.5</v>
      </c>
      <c r="AA75" s="5">
        <v>0</v>
      </c>
      <c r="AB75" s="5">
        <v>0</v>
      </c>
      <c r="AC75">
        <f t="shared" si="1"/>
        <v>787.5</v>
      </c>
    </row>
    <row r="76" spans="1:29">
      <c r="A76" s="4">
        <v>143</v>
      </c>
      <c r="B76" s="5">
        <f>_xlfn.XLOOKUP(G76,Sheet1!E:E,Sheet1!A:A)</f>
        <v>3263</v>
      </c>
      <c r="C76" s="5">
        <v>201</v>
      </c>
      <c r="D76" s="5">
        <f>_xlfn.XLOOKUP(G76,'规范整合泌尿系统医疗服务价格映射表12.11 (2)'!T:T,'规范整合泌尿系统医疗服务价格映射表12.11 (2)'!A:A)</f>
        <v>49</v>
      </c>
      <c r="E76" s="12"/>
      <c r="F76" s="9" t="str">
        <f>_xlfn.XLOOKUP(G76,Sheet1!F:F,Sheet1!G:G)</f>
        <v>经腹腔镜输尿管狭窄段切除再吻合术</v>
      </c>
      <c r="G76" s="10" t="s">
        <v>759</v>
      </c>
      <c r="H76" s="11"/>
      <c r="I76" s="5">
        <v>3000</v>
      </c>
      <c r="J76" s="5">
        <v>2740</v>
      </c>
      <c r="K76" s="5">
        <v>2220</v>
      </c>
      <c r="L76" s="11"/>
      <c r="M76" s="5">
        <v>2900</v>
      </c>
      <c r="N76" s="5">
        <v>2600</v>
      </c>
      <c r="O76" s="5">
        <v>2250</v>
      </c>
      <c r="P76" s="5">
        <v>1</v>
      </c>
      <c r="Q76" s="5">
        <v>1</v>
      </c>
      <c r="R76" s="5" t="s">
        <v>2111</v>
      </c>
      <c r="S76" s="5">
        <v>0</v>
      </c>
      <c r="T76" s="5">
        <v>12</v>
      </c>
      <c r="U76" s="5">
        <v>2</v>
      </c>
      <c r="V76" s="5">
        <v>0</v>
      </c>
      <c r="W76" s="5">
        <v>-1200</v>
      </c>
      <c r="X76" s="5">
        <v>-280</v>
      </c>
      <c r="Y76" s="5">
        <v>0</v>
      </c>
      <c r="Z76" s="5">
        <v>-1200</v>
      </c>
      <c r="AA76" s="5">
        <v>-280</v>
      </c>
      <c r="AB76" s="5">
        <v>0</v>
      </c>
      <c r="AC76">
        <f t="shared" si="1"/>
        <v>-1480</v>
      </c>
    </row>
    <row r="77" spans="1:29">
      <c r="A77" s="4">
        <v>201</v>
      </c>
      <c r="B77" s="5">
        <f>_xlfn.XLOOKUP(G77,Sheet1!E:E,Sheet1!A:A)</f>
        <v>3264</v>
      </c>
      <c r="C77" s="5">
        <v>201</v>
      </c>
      <c r="D77" s="5">
        <f>_xlfn.XLOOKUP(G77,'规范整合泌尿系统医疗服务价格映射表12.11 (2)'!T:T,'规范整合泌尿系统医疗服务价格映射表12.11 (2)'!A:A)</f>
        <v>49</v>
      </c>
      <c r="E77" s="12"/>
      <c r="F77" s="9" t="str">
        <f>_xlfn.XLOOKUP(G77,Sheet1!F:F,Sheet1!G:G)</f>
        <v>输尿管膀胱再植术</v>
      </c>
      <c r="G77" s="10" t="s">
        <v>761</v>
      </c>
      <c r="H77" s="11"/>
      <c r="I77" s="5">
        <v>1860</v>
      </c>
      <c r="J77" s="5">
        <v>1670</v>
      </c>
      <c r="K77" s="5">
        <v>1420</v>
      </c>
      <c r="L77" s="11"/>
      <c r="M77" s="5">
        <v>2900</v>
      </c>
      <c r="N77" s="5">
        <v>2600</v>
      </c>
      <c r="O77" s="5">
        <v>2250</v>
      </c>
      <c r="P77" s="5">
        <v>1</v>
      </c>
      <c r="Q77" s="5">
        <v>1</v>
      </c>
      <c r="R77" s="5" t="s">
        <v>2111</v>
      </c>
      <c r="S77" s="5">
        <v>0</v>
      </c>
      <c r="T77" s="5">
        <v>3</v>
      </c>
      <c r="U77" s="5">
        <v>4</v>
      </c>
      <c r="V77" s="5">
        <v>0.5</v>
      </c>
      <c r="W77" s="5">
        <v>3120</v>
      </c>
      <c r="X77" s="5">
        <v>3720</v>
      </c>
      <c r="Y77" s="5">
        <v>415</v>
      </c>
      <c r="Z77" s="5">
        <v>3120</v>
      </c>
      <c r="AA77" s="5">
        <v>3720</v>
      </c>
      <c r="AB77" s="5">
        <v>415</v>
      </c>
      <c r="AC77">
        <f t="shared" si="1"/>
        <v>7255</v>
      </c>
    </row>
    <row r="78" spans="1:29">
      <c r="A78" s="4">
        <v>133</v>
      </c>
      <c r="B78" s="5">
        <f>_xlfn.XLOOKUP(G78,Sheet1!E:E,Sheet1!A:A)</f>
        <v>3265</v>
      </c>
      <c r="C78" s="5">
        <v>201</v>
      </c>
      <c r="D78" s="5">
        <f>_xlfn.XLOOKUP(G78,'规范整合泌尿系统医疗服务价格映射表12.11 (2)'!T:T,'规范整合泌尿系统医疗服务价格映射表12.11 (2)'!A:A)</f>
        <v>49</v>
      </c>
      <c r="E78" s="12"/>
      <c r="F78" s="9" t="str">
        <f>_xlfn.XLOOKUP(G78,Sheet1!F:F,Sheet1!G:G)</f>
        <v>经腹腔镜输尿管膀胱再植术</v>
      </c>
      <c r="G78" s="10" t="s">
        <v>763</v>
      </c>
      <c r="H78" s="11"/>
      <c r="I78" s="5">
        <v>2485</v>
      </c>
      <c r="J78" s="5">
        <v>2270</v>
      </c>
      <c r="K78" s="5">
        <v>1930</v>
      </c>
      <c r="L78" s="11"/>
      <c r="M78" s="5">
        <v>2900</v>
      </c>
      <c r="N78" s="5">
        <v>2600</v>
      </c>
      <c r="O78" s="5">
        <v>2250</v>
      </c>
      <c r="P78" s="5">
        <v>1</v>
      </c>
      <c r="Q78" s="5">
        <v>1</v>
      </c>
      <c r="R78" s="5" t="s">
        <v>2111</v>
      </c>
      <c r="S78" s="5">
        <v>0</v>
      </c>
      <c r="T78" s="5">
        <v>11</v>
      </c>
      <c r="U78" s="5">
        <v>3</v>
      </c>
      <c r="V78" s="5">
        <v>1</v>
      </c>
      <c r="W78" s="5">
        <v>4565</v>
      </c>
      <c r="X78" s="5">
        <v>990</v>
      </c>
      <c r="Y78" s="5">
        <v>320</v>
      </c>
      <c r="Z78" s="5">
        <v>4565</v>
      </c>
      <c r="AA78" s="5">
        <v>990</v>
      </c>
      <c r="AB78" s="5">
        <v>320</v>
      </c>
      <c r="AC78">
        <f t="shared" si="1"/>
        <v>5875</v>
      </c>
    </row>
    <row r="79" spans="1:29">
      <c r="A79" s="4">
        <v>175</v>
      </c>
      <c r="B79" s="5">
        <f>_xlfn.XLOOKUP(G79,Sheet1!E:E,Sheet1!A:A)</f>
        <v>3270</v>
      </c>
      <c r="C79" s="5">
        <v>201</v>
      </c>
      <c r="D79" s="5">
        <f>_xlfn.XLOOKUP(G79,'规范整合泌尿系统医疗服务价格映射表12.11 (2)'!T:T,'规范整合泌尿系统医疗服务价格映射表12.11 (2)'!A:A)</f>
        <v>49</v>
      </c>
      <c r="E79" s="12"/>
      <c r="F79" s="9" t="str">
        <f>_xlfn.XLOOKUP(G79,Sheet1!F:F,Sheet1!G:G)</f>
        <v>输尿管损伤修补术</v>
      </c>
      <c r="G79" s="10" t="s">
        <v>773</v>
      </c>
      <c r="H79" s="11"/>
      <c r="I79" s="5">
        <v>1500</v>
      </c>
      <c r="J79" s="5">
        <v>1440</v>
      </c>
      <c r="K79" s="5">
        <v>1224</v>
      </c>
      <c r="L79" s="11"/>
      <c r="M79" s="5">
        <v>1478.75</v>
      </c>
      <c r="N79" s="5">
        <v>1312.5</v>
      </c>
      <c r="O79" s="5">
        <v>1155</v>
      </c>
      <c r="P79" s="5">
        <v>1</v>
      </c>
      <c r="Q79" s="5">
        <v>1</v>
      </c>
      <c r="R79" s="5" t="s">
        <v>2111</v>
      </c>
      <c r="S79" s="5">
        <v>0</v>
      </c>
      <c r="T79" s="5">
        <v>0</v>
      </c>
      <c r="U79" s="5">
        <v>1</v>
      </c>
      <c r="V79" s="5">
        <v>0</v>
      </c>
      <c r="W79" s="5">
        <v>0</v>
      </c>
      <c r="X79" s="5">
        <v>-127.5</v>
      </c>
      <c r="Y79" s="5">
        <v>0</v>
      </c>
      <c r="Z79" s="5">
        <v>0</v>
      </c>
      <c r="AA79" s="5">
        <v>-127.5</v>
      </c>
      <c r="AB79" s="5">
        <v>0</v>
      </c>
      <c r="AC79">
        <f t="shared" si="1"/>
        <v>-127.5</v>
      </c>
    </row>
    <row r="80" spans="1:29">
      <c r="A80" s="4">
        <v>8</v>
      </c>
      <c r="B80" s="5">
        <f>_xlfn.XLOOKUP(G80,Sheet1!E:E,Sheet1!A:A)</f>
        <v>3272</v>
      </c>
      <c r="C80" s="5">
        <v>201</v>
      </c>
      <c r="D80" s="5">
        <f>_xlfn.XLOOKUP(G80,'规范整合泌尿系统医疗服务价格映射表12.11 (2)'!T:T,'规范整合泌尿系统医疗服务价格映射表12.11 (2)'!A:A)</f>
        <v>49</v>
      </c>
      <c r="E80" s="12"/>
      <c r="F80" s="9" t="str">
        <f>_xlfn.XLOOKUP(G80,Sheet1!F:F,Sheet1!G:G)</f>
        <v>输尿管开口囊肿切除术</v>
      </c>
      <c r="G80" s="10" t="s">
        <v>777</v>
      </c>
      <c r="H80" s="11"/>
      <c r="I80" s="5">
        <v>1860</v>
      </c>
      <c r="J80" s="5">
        <v>1670</v>
      </c>
      <c r="K80" s="5">
        <v>1420</v>
      </c>
      <c r="L80" s="11"/>
      <c r="M80" s="5">
        <v>1478.75</v>
      </c>
      <c r="N80" s="5">
        <v>1312.5</v>
      </c>
      <c r="O80" s="5">
        <v>1155</v>
      </c>
      <c r="P80" s="5">
        <v>1</v>
      </c>
      <c r="Q80" s="5">
        <v>1</v>
      </c>
      <c r="R80" s="5" t="s">
        <v>2111</v>
      </c>
      <c r="S80" s="5">
        <v>0</v>
      </c>
      <c r="T80" s="5">
        <v>2</v>
      </c>
      <c r="U80" s="5">
        <v>6</v>
      </c>
      <c r="V80" s="5">
        <v>1.5</v>
      </c>
      <c r="W80" s="5">
        <v>-762.5</v>
      </c>
      <c r="X80" s="5">
        <v>-2145</v>
      </c>
      <c r="Y80" s="5">
        <v>-397.5</v>
      </c>
      <c r="Z80" s="5">
        <v>-762.5</v>
      </c>
      <c r="AA80" s="5">
        <v>-2145</v>
      </c>
      <c r="AB80" s="5">
        <v>-397.5</v>
      </c>
      <c r="AC80">
        <f t="shared" si="1"/>
        <v>-3305</v>
      </c>
    </row>
    <row r="81" spans="1:29">
      <c r="A81" s="4">
        <v>18</v>
      </c>
      <c r="B81" s="5">
        <f>_xlfn.XLOOKUP(G81,Sheet1!E:E,Sheet1!A:A)</f>
        <v>3274</v>
      </c>
      <c r="C81" s="5">
        <v>201</v>
      </c>
      <c r="D81" s="5">
        <f>_xlfn.XLOOKUP(G81,'规范整合泌尿系统医疗服务价格映射表12.11 (2)'!T:T,'规范整合泌尿系统医疗服务价格映射表12.11 (2)'!A:A)</f>
        <v>49</v>
      </c>
      <c r="E81" s="12"/>
      <c r="F81" s="9" t="str">
        <f>_xlfn.XLOOKUP(G81,Sheet1!F:F,Sheet1!G:G)</f>
        <v>输尿管残端切除术</v>
      </c>
      <c r="G81" s="10" t="s">
        <v>781</v>
      </c>
      <c r="H81" s="11"/>
      <c r="I81" s="5">
        <v>1250</v>
      </c>
      <c r="J81" s="5">
        <v>1200</v>
      </c>
      <c r="K81" s="5">
        <v>1020</v>
      </c>
      <c r="L81" s="11"/>
      <c r="M81" s="5">
        <v>1478.75</v>
      </c>
      <c r="N81" s="5">
        <v>1312.5</v>
      </c>
      <c r="O81" s="5">
        <v>1155</v>
      </c>
      <c r="P81" s="5">
        <v>1</v>
      </c>
      <c r="Q81" s="5">
        <v>1</v>
      </c>
      <c r="R81" s="5" t="s">
        <v>2111</v>
      </c>
      <c r="S81" s="5">
        <v>0</v>
      </c>
      <c r="T81" s="5">
        <v>9.5</v>
      </c>
      <c r="U81" s="5">
        <v>1.5</v>
      </c>
      <c r="V81" s="5">
        <v>0</v>
      </c>
      <c r="W81" s="5">
        <v>2173.125</v>
      </c>
      <c r="X81" s="5">
        <v>168.75</v>
      </c>
      <c r="Y81" s="5">
        <v>0</v>
      </c>
      <c r="Z81" s="5">
        <v>2173.125</v>
      </c>
      <c r="AA81" s="5">
        <v>168.75</v>
      </c>
      <c r="AB81" s="5">
        <v>0</v>
      </c>
      <c r="AC81">
        <f t="shared" si="1"/>
        <v>2341.875</v>
      </c>
    </row>
    <row r="82" spans="1:29">
      <c r="A82" s="4">
        <v>6</v>
      </c>
      <c r="B82" s="5">
        <f>_xlfn.XLOOKUP(G82,Sheet1!E:E,Sheet1!A:A)</f>
        <v>3277</v>
      </c>
      <c r="C82" s="5">
        <v>201</v>
      </c>
      <c r="D82" s="5">
        <f>_xlfn.XLOOKUP(G82,'规范整合泌尿系统医疗服务价格映射表12.11 (2)'!T:T,'规范整合泌尿系统医疗服务价格映射表12.11 (2)'!A:A)</f>
        <v>49</v>
      </c>
      <c r="E82" s="12"/>
      <c r="F82" s="9" t="str">
        <f>_xlfn.XLOOKUP(G82,Sheet1!F:F,Sheet1!G:G)</f>
        <v>经膀胱镜输尿管间嵴切除术</v>
      </c>
      <c r="G82" s="10" t="s">
        <v>787</v>
      </c>
      <c r="H82" s="11"/>
      <c r="I82" s="5">
        <v>1125</v>
      </c>
      <c r="J82" s="5">
        <v>1065</v>
      </c>
      <c r="K82" s="5">
        <v>904</v>
      </c>
      <c r="L82" s="11"/>
      <c r="M82" s="5">
        <v>1478.75</v>
      </c>
      <c r="N82" s="5">
        <v>1312.5</v>
      </c>
      <c r="O82" s="5">
        <v>1155</v>
      </c>
      <c r="P82" s="5">
        <v>1</v>
      </c>
      <c r="Q82" s="5">
        <v>1</v>
      </c>
      <c r="R82" s="5" t="s">
        <v>2111</v>
      </c>
      <c r="S82" s="5">
        <v>0</v>
      </c>
      <c r="T82" s="5">
        <v>0</v>
      </c>
      <c r="U82" s="5">
        <v>2</v>
      </c>
      <c r="V82" s="5">
        <v>0</v>
      </c>
      <c r="W82" s="5">
        <v>0</v>
      </c>
      <c r="X82" s="5">
        <v>495</v>
      </c>
      <c r="Y82" s="5">
        <v>0</v>
      </c>
      <c r="Z82" s="5">
        <v>0</v>
      </c>
      <c r="AA82" s="5">
        <v>495</v>
      </c>
      <c r="AB82" s="5">
        <v>0</v>
      </c>
      <c r="AC82">
        <f t="shared" si="1"/>
        <v>495</v>
      </c>
    </row>
    <row r="83" spans="1:29">
      <c r="A83" s="4">
        <v>117</v>
      </c>
      <c r="B83" s="5">
        <f>_xlfn.XLOOKUP(G83,Sheet1!E:E,Sheet1!A:A)</f>
        <v>3278</v>
      </c>
      <c r="C83" s="5">
        <v>201</v>
      </c>
      <c r="D83" s="5" t="str">
        <f>_xlfn.XLOOKUP(G83,'规范整合泌尿系统医疗服务价格映射表12.11 (2)'!T:T,'规范整合泌尿系统医疗服务价格映射表12.11 (2)'!A:A)</f>
        <v>分项</v>
      </c>
      <c r="E83" s="8" t="s">
        <v>2133</v>
      </c>
      <c r="F83" s="9" t="str">
        <f>_xlfn.XLOOKUP(G83,Sheet1!F:F,Sheet1!G:G)</f>
        <v>小儿输尿管膀胱再植术</v>
      </c>
      <c r="G83" s="10" t="s">
        <v>819</v>
      </c>
      <c r="H83" s="11"/>
      <c r="I83" s="5">
        <v>2420</v>
      </c>
      <c r="J83" s="5">
        <v>2170</v>
      </c>
      <c r="K83" s="5">
        <v>1845</v>
      </c>
      <c r="L83" s="11"/>
      <c r="M83" s="5">
        <v>3770</v>
      </c>
      <c r="N83" s="5">
        <v>3380</v>
      </c>
      <c r="O83" s="5">
        <v>2925</v>
      </c>
      <c r="P83" s="5">
        <v>1</v>
      </c>
      <c r="Q83" s="5">
        <v>1</v>
      </c>
      <c r="R83" s="5" t="s">
        <v>2111</v>
      </c>
      <c r="S83" s="5">
        <v>0</v>
      </c>
      <c r="T83" s="5">
        <v>1</v>
      </c>
      <c r="U83" s="5">
        <v>0</v>
      </c>
      <c r="V83" s="5">
        <v>0</v>
      </c>
      <c r="W83" s="5">
        <v>1350</v>
      </c>
      <c r="X83" s="5">
        <v>0</v>
      </c>
      <c r="Y83" s="5">
        <v>0</v>
      </c>
      <c r="Z83" s="5">
        <v>1350</v>
      </c>
      <c r="AA83" s="5">
        <v>0</v>
      </c>
      <c r="AB83" s="5">
        <v>0</v>
      </c>
      <c r="AC83">
        <f t="shared" si="1"/>
        <v>1350</v>
      </c>
    </row>
    <row r="84" spans="1:29">
      <c r="A84" s="4">
        <v>21</v>
      </c>
      <c r="B84" s="5">
        <f>_xlfn.XLOOKUP(G84,Sheet1!E:E,Sheet1!A:A)</f>
        <v>3279</v>
      </c>
      <c r="C84" s="5">
        <v>201</v>
      </c>
      <c r="D84" s="5" t="str">
        <f>_xlfn.XLOOKUP(G84,'规范整合泌尿系统医疗服务价格映射表12.11 (2)'!T:T,'规范整合泌尿系统医疗服务价格映射表12.11 (2)'!A:A)</f>
        <v>分项</v>
      </c>
      <c r="E84" s="12"/>
      <c r="F84" s="9" t="str">
        <f>_xlfn.XLOOKUP(G84,Sheet1!F:F,Sheet1!G:G)</f>
        <v>小儿经腹腔镜输尿管膀胱再植术</v>
      </c>
      <c r="G84" s="10" t="s">
        <v>821</v>
      </c>
      <c r="H84" s="11"/>
      <c r="I84" s="5">
        <v>3045</v>
      </c>
      <c r="J84" s="5">
        <v>2770</v>
      </c>
      <c r="K84" s="5">
        <v>2355</v>
      </c>
      <c r="L84" s="11"/>
      <c r="M84" s="5">
        <v>3770</v>
      </c>
      <c r="N84" s="5">
        <v>3380</v>
      </c>
      <c r="O84" s="5">
        <v>2925</v>
      </c>
      <c r="P84" s="5">
        <v>1</v>
      </c>
      <c r="Q84" s="5">
        <v>1</v>
      </c>
      <c r="R84" s="5" t="s">
        <v>2111</v>
      </c>
      <c r="S84" s="5">
        <v>0</v>
      </c>
      <c r="T84" s="5">
        <v>4</v>
      </c>
      <c r="U84" s="5">
        <v>0</v>
      </c>
      <c r="V84" s="5">
        <v>0</v>
      </c>
      <c r="W84" s="5">
        <v>2900</v>
      </c>
      <c r="X84" s="5">
        <v>0</v>
      </c>
      <c r="Y84" s="5">
        <v>0</v>
      </c>
      <c r="Z84" s="5">
        <v>2900</v>
      </c>
      <c r="AA84" s="5">
        <v>0</v>
      </c>
      <c r="AB84" s="5">
        <v>0</v>
      </c>
      <c r="AC84">
        <f t="shared" si="1"/>
        <v>2900</v>
      </c>
    </row>
    <row r="85" spans="1:29">
      <c r="A85" s="4">
        <v>91</v>
      </c>
      <c r="B85" s="5">
        <f>_xlfn.XLOOKUP(G85,Sheet1!E:E,Sheet1!A:A)</f>
        <v>3281</v>
      </c>
      <c r="C85" s="5">
        <v>201</v>
      </c>
      <c r="D85" s="5">
        <f>_xlfn.XLOOKUP(G85,'规范整合泌尿系统医疗服务价格映射表12.11 (2)'!T:T,'规范整合泌尿系统医疗服务价格映射表12.11 (2)'!A:A)</f>
        <v>50</v>
      </c>
      <c r="E85" s="8" t="s">
        <v>824</v>
      </c>
      <c r="F85" s="9" t="str">
        <f>_xlfn.XLOOKUP(G85,Sheet1!F:F,Sheet1!G:G)</f>
        <v>经腹腔镜重复肾重复输尿管切除术</v>
      </c>
      <c r="G85" s="10" t="s">
        <v>830</v>
      </c>
      <c r="H85" s="11"/>
      <c r="I85" s="5">
        <v>3665</v>
      </c>
      <c r="J85" s="5">
        <v>3340</v>
      </c>
      <c r="K85" s="5">
        <v>2840</v>
      </c>
      <c r="L85" s="11"/>
      <c r="M85" s="5">
        <v>3800</v>
      </c>
      <c r="N85" s="5">
        <v>3420</v>
      </c>
      <c r="O85" s="5">
        <v>2950</v>
      </c>
      <c r="P85" s="5">
        <v>1</v>
      </c>
      <c r="Q85" s="5">
        <v>1</v>
      </c>
      <c r="R85" s="5" t="s">
        <v>2111</v>
      </c>
      <c r="S85" s="5">
        <v>0</v>
      </c>
      <c r="T85" s="5">
        <v>4</v>
      </c>
      <c r="U85" s="5">
        <v>1</v>
      </c>
      <c r="V85" s="5">
        <v>0</v>
      </c>
      <c r="W85" s="5">
        <v>540</v>
      </c>
      <c r="X85" s="5">
        <v>80</v>
      </c>
      <c r="Y85" s="5">
        <v>0</v>
      </c>
      <c r="Z85" s="5">
        <v>540</v>
      </c>
      <c r="AA85" s="5">
        <v>80</v>
      </c>
      <c r="AB85" s="5">
        <v>0</v>
      </c>
      <c r="AC85" s="16">
        <f t="shared" si="1"/>
        <v>620</v>
      </c>
    </row>
    <row r="86" spans="1:29">
      <c r="A86" s="4">
        <v>190</v>
      </c>
      <c r="B86" s="5">
        <f>_xlfn.XLOOKUP(G86,Sheet1!E:E,Sheet1!A:A)</f>
        <v>3282</v>
      </c>
      <c r="C86" s="5">
        <v>201</v>
      </c>
      <c r="D86" s="5">
        <f>_xlfn.XLOOKUP(G86,'规范整合泌尿系统医疗服务价格映射表12.11 (2)'!T:T,'规范整合泌尿系统医疗服务价格映射表12.11 (2)'!A:A)</f>
        <v>50</v>
      </c>
      <c r="E86" s="12"/>
      <c r="F86" s="9" t="str">
        <f>_xlfn.XLOOKUP(G86,Sheet1!F:F,Sheet1!G:G)</f>
        <v>肾盂癌根治术</v>
      </c>
      <c r="G86" s="10" t="s">
        <v>832</v>
      </c>
      <c r="H86" s="11"/>
      <c r="I86" s="5">
        <v>4130</v>
      </c>
      <c r="J86" s="5">
        <v>3720</v>
      </c>
      <c r="K86" s="5">
        <v>3160</v>
      </c>
      <c r="L86" s="11"/>
      <c r="M86" s="5">
        <v>3800</v>
      </c>
      <c r="N86" s="5">
        <v>3420</v>
      </c>
      <c r="O86" s="5">
        <v>2950</v>
      </c>
      <c r="P86" s="5">
        <v>1</v>
      </c>
      <c r="Q86" s="5">
        <v>1</v>
      </c>
      <c r="R86" s="5" t="s">
        <v>2111</v>
      </c>
      <c r="S86" s="5">
        <v>0</v>
      </c>
      <c r="T86" s="5">
        <v>1</v>
      </c>
      <c r="U86" s="5">
        <v>1</v>
      </c>
      <c r="V86" s="5">
        <v>0</v>
      </c>
      <c r="W86" s="5">
        <v>-330</v>
      </c>
      <c r="X86" s="5">
        <v>-300</v>
      </c>
      <c r="Y86" s="5">
        <v>0</v>
      </c>
      <c r="Z86" s="5">
        <v>-330</v>
      </c>
      <c r="AA86" s="5">
        <v>-300</v>
      </c>
      <c r="AB86" s="5">
        <v>0</v>
      </c>
      <c r="AC86" s="16">
        <f t="shared" si="1"/>
        <v>-630</v>
      </c>
    </row>
    <row r="87" spans="1:29">
      <c r="A87" s="4">
        <v>4</v>
      </c>
      <c r="B87" s="5">
        <f>_xlfn.XLOOKUP(G87,Sheet1!E:E,Sheet1!A:A)</f>
        <v>3283</v>
      </c>
      <c r="C87" s="5">
        <v>201</v>
      </c>
      <c r="D87" s="5">
        <f>_xlfn.XLOOKUP(G87,'规范整合泌尿系统医疗服务价格映射表12.11 (2)'!T:T,'规范整合泌尿系统医疗服务价格映射表12.11 (2)'!A:A)</f>
        <v>50</v>
      </c>
      <c r="E87" s="12"/>
      <c r="F87" s="9" t="str">
        <f>_xlfn.XLOOKUP(G87,Sheet1!F:F,Sheet1!G:G)</f>
        <v>经腹腔镜肾盂癌根治术</v>
      </c>
      <c r="G87" s="10" t="s">
        <v>835</v>
      </c>
      <c r="H87" s="11"/>
      <c r="I87" s="5">
        <v>4755</v>
      </c>
      <c r="J87" s="5">
        <v>4320</v>
      </c>
      <c r="K87" s="5">
        <v>3670</v>
      </c>
      <c r="L87" s="11"/>
      <c r="M87" s="5">
        <v>3800</v>
      </c>
      <c r="N87" s="5">
        <v>3420</v>
      </c>
      <c r="O87" s="5">
        <v>2950</v>
      </c>
      <c r="P87" s="5">
        <v>1</v>
      </c>
      <c r="Q87" s="5">
        <v>1</v>
      </c>
      <c r="R87" s="5" t="s">
        <v>2111</v>
      </c>
      <c r="S87" s="5">
        <v>0</v>
      </c>
      <c r="T87" s="5">
        <v>28</v>
      </c>
      <c r="U87" s="5">
        <v>11</v>
      </c>
      <c r="V87" s="5">
        <v>1</v>
      </c>
      <c r="W87" s="5">
        <v>-26740</v>
      </c>
      <c r="X87" s="5">
        <v>-9900</v>
      </c>
      <c r="Y87" s="5">
        <v>-720</v>
      </c>
      <c r="Z87" s="5">
        <v>-26740</v>
      </c>
      <c r="AA87" s="5">
        <v>-9900</v>
      </c>
      <c r="AB87" s="5">
        <v>-720</v>
      </c>
      <c r="AC87" s="16">
        <f t="shared" si="1"/>
        <v>-37360</v>
      </c>
    </row>
    <row r="88" spans="1:29">
      <c r="A88" s="4">
        <v>34</v>
      </c>
      <c r="B88" s="5">
        <f>_xlfn.XLOOKUP(G88,Sheet1!E:E,Sheet1!A:A)</f>
        <v>3288</v>
      </c>
      <c r="C88" s="5">
        <v>201</v>
      </c>
      <c r="D88" s="5">
        <f>_xlfn.XLOOKUP(G88,'规范整合泌尿系统医疗服务价格映射表12.11 (2)'!T:T,'规范整合泌尿系统医疗服务价格映射表12.11 (2)'!A:A)</f>
        <v>51</v>
      </c>
      <c r="E88" s="8" t="s">
        <v>848</v>
      </c>
      <c r="F88" s="9" t="str">
        <f>_xlfn.XLOOKUP(G88,Sheet1!F:F,Sheet1!G:G)</f>
        <v>经膀胱镜输尿管支架置入术</v>
      </c>
      <c r="G88" s="10" t="s">
        <v>853</v>
      </c>
      <c r="H88" s="11"/>
      <c r="I88" s="5">
        <v>275</v>
      </c>
      <c r="J88" s="5">
        <v>250</v>
      </c>
      <c r="K88" s="5">
        <v>212.5</v>
      </c>
      <c r="L88" s="11"/>
      <c r="M88" s="5">
        <v>330</v>
      </c>
      <c r="N88" s="5">
        <v>300</v>
      </c>
      <c r="O88" s="5">
        <v>255</v>
      </c>
      <c r="P88" s="5">
        <v>1</v>
      </c>
      <c r="Q88" s="5">
        <v>1</v>
      </c>
      <c r="R88" s="5" t="s">
        <v>2111</v>
      </c>
      <c r="S88" s="5">
        <v>0</v>
      </c>
      <c r="T88" s="5">
        <v>369</v>
      </c>
      <c r="U88" s="5">
        <v>475</v>
      </c>
      <c r="V88" s="5">
        <v>433.5</v>
      </c>
      <c r="W88" s="5">
        <v>20295</v>
      </c>
      <c r="X88" s="5">
        <v>23750</v>
      </c>
      <c r="Y88" s="5">
        <v>18423.75</v>
      </c>
      <c r="Z88" s="5">
        <v>20295</v>
      </c>
      <c r="AA88" s="5">
        <v>23612.5</v>
      </c>
      <c r="AB88" s="5">
        <v>18423.75</v>
      </c>
      <c r="AC88" s="14">
        <f t="shared" si="1"/>
        <v>62331.25</v>
      </c>
    </row>
    <row r="89" spans="1:29">
      <c r="A89" s="4">
        <v>46</v>
      </c>
      <c r="B89" s="5">
        <f>_xlfn.XLOOKUP(G89,Sheet1!E:E,Sheet1!A:A)</f>
        <v>3289</v>
      </c>
      <c r="C89" s="5">
        <v>201</v>
      </c>
      <c r="D89" s="5">
        <f>_xlfn.XLOOKUP(G89,'规范整合泌尿系统医疗服务价格映射表12.11 (2)'!T:T,'规范整合泌尿系统医疗服务价格映射表12.11 (2)'!A:A)</f>
        <v>51</v>
      </c>
      <c r="E89" s="12"/>
      <c r="F89" s="9" t="str">
        <f>_xlfn.XLOOKUP(G89,Sheet1!F:F,Sheet1!G:G)</f>
        <v>输尿管支架管冲洗</v>
      </c>
      <c r="G89" s="10" t="s">
        <v>857</v>
      </c>
      <c r="H89" s="11"/>
      <c r="I89" s="5">
        <v>11</v>
      </c>
      <c r="J89" s="5">
        <v>10</v>
      </c>
      <c r="K89" s="5">
        <v>8.5</v>
      </c>
      <c r="L89" s="11"/>
      <c r="M89" s="5">
        <v>0</v>
      </c>
      <c r="N89" s="5">
        <v>0</v>
      </c>
      <c r="O89" s="5">
        <v>0</v>
      </c>
      <c r="P89" s="5">
        <v>1</v>
      </c>
      <c r="Q89" s="5">
        <v>1</v>
      </c>
      <c r="R89" s="5" t="s">
        <v>2111</v>
      </c>
      <c r="S89" s="5">
        <v>0</v>
      </c>
      <c r="T89" s="5">
        <v>1759</v>
      </c>
      <c r="U89" s="5">
        <v>80</v>
      </c>
      <c r="V89" s="5">
        <v>1320</v>
      </c>
      <c r="W89" s="5">
        <v>-19349</v>
      </c>
      <c r="X89" s="5">
        <v>-800</v>
      </c>
      <c r="Y89" s="5">
        <v>-11220</v>
      </c>
      <c r="Z89" s="5">
        <v>-19349</v>
      </c>
      <c r="AA89" s="5">
        <v>-800</v>
      </c>
      <c r="AB89" s="5">
        <v>-11220</v>
      </c>
      <c r="AC89" s="14">
        <f t="shared" si="1"/>
        <v>-31369</v>
      </c>
    </row>
    <row r="90" spans="1:29">
      <c r="A90" s="4">
        <v>129</v>
      </c>
      <c r="B90" s="5">
        <f>_xlfn.XLOOKUP(G90,Sheet1!E:E,Sheet1!A:A)</f>
        <v>3290</v>
      </c>
      <c r="C90" s="5">
        <v>201</v>
      </c>
      <c r="D90" s="5">
        <f>_xlfn.XLOOKUP(G90,'规范整合泌尿系统医疗服务价格映射表12.11 (2)'!T:T,'规范整合泌尿系统医疗服务价格映射表12.11 (2)'!A:A)</f>
        <v>51</v>
      </c>
      <c r="E90" s="12"/>
      <c r="F90" s="9" t="str">
        <f>_xlfn.XLOOKUP(G90,Sheet1!F:F,Sheet1!G:G)</f>
        <v>经膀胱镜输尿管插管术</v>
      </c>
      <c r="G90" s="10" t="s">
        <v>859</v>
      </c>
      <c r="H90" s="11"/>
      <c r="I90" s="5">
        <v>220</v>
      </c>
      <c r="J90" s="5">
        <v>200</v>
      </c>
      <c r="K90" s="5">
        <v>170</v>
      </c>
      <c r="L90" s="11"/>
      <c r="M90" s="5">
        <v>330</v>
      </c>
      <c r="N90" s="5">
        <v>300</v>
      </c>
      <c r="O90" s="5">
        <v>255</v>
      </c>
      <c r="P90" s="5">
        <v>1</v>
      </c>
      <c r="Q90" s="5">
        <v>1</v>
      </c>
      <c r="R90" s="5" t="s">
        <v>2111</v>
      </c>
      <c r="S90" s="5">
        <v>0</v>
      </c>
      <c r="T90" s="5">
        <v>35</v>
      </c>
      <c r="U90" s="5">
        <v>4.5</v>
      </c>
      <c r="V90" s="5">
        <v>0</v>
      </c>
      <c r="W90" s="5">
        <v>3850</v>
      </c>
      <c r="X90" s="5">
        <v>450</v>
      </c>
      <c r="Y90" s="5">
        <v>0</v>
      </c>
      <c r="Z90" s="5">
        <v>3850</v>
      </c>
      <c r="AA90" s="5">
        <v>450</v>
      </c>
      <c r="AB90" s="5">
        <v>0</v>
      </c>
      <c r="AC90" s="14">
        <f t="shared" si="1"/>
        <v>4300</v>
      </c>
    </row>
    <row r="91" spans="1:29">
      <c r="A91" s="4">
        <v>86</v>
      </c>
      <c r="B91" s="5">
        <f>_xlfn.XLOOKUP(G91,Sheet1!E:E,Sheet1!A:A)</f>
        <v>3291</v>
      </c>
      <c r="C91" s="5">
        <v>201</v>
      </c>
      <c r="D91" s="5">
        <f>_xlfn.XLOOKUP(G91,'规范整合泌尿系统医疗服务价格映射表12.11 (2)'!T:T,'规范整合泌尿系统医疗服务价格映射表12.11 (2)'!A:A)</f>
        <v>51</v>
      </c>
      <c r="E91" s="12"/>
      <c r="F91" s="9" t="str">
        <f>_xlfn.XLOOKUP(G91,Sheet1!F:F,Sheet1!G:G)</f>
        <v>经输尿管镜支架置入术</v>
      </c>
      <c r="G91" s="10" t="s">
        <v>861</v>
      </c>
      <c r="H91" s="11"/>
      <c r="I91" s="5">
        <v>220</v>
      </c>
      <c r="J91" s="5">
        <v>200</v>
      </c>
      <c r="K91" s="5">
        <v>170</v>
      </c>
      <c r="L91" s="11"/>
      <c r="M91" s="5">
        <v>330</v>
      </c>
      <c r="N91" s="5">
        <v>300</v>
      </c>
      <c r="O91" s="5">
        <v>255</v>
      </c>
      <c r="P91" s="5">
        <v>1</v>
      </c>
      <c r="Q91" s="5">
        <v>1</v>
      </c>
      <c r="R91" s="5" t="s">
        <v>2111</v>
      </c>
      <c r="S91" s="5">
        <v>0</v>
      </c>
      <c r="T91" s="5">
        <v>762.4</v>
      </c>
      <c r="U91" s="5">
        <v>486.8</v>
      </c>
      <c r="V91" s="5">
        <v>25.5</v>
      </c>
      <c r="W91" s="5">
        <v>83864</v>
      </c>
      <c r="X91" s="5">
        <v>48680</v>
      </c>
      <c r="Y91" s="5">
        <v>2167.5</v>
      </c>
      <c r="Z91" s="5">
        <v>83864</v>
      </c>
      <c r="AA91" s="5">
        <v>61805</v>
      </c>
      <c r="AB91" s="5">
        <v>2167.5</v>
      </c>
      <c r="AC91" s="14">
        <f t="shared" si="1"/>
        <v>147836.5</v>
      </c>
    </row>
    <row r="92" spans="1:29">
      <c r="A92" s="4">
        <v>106</v>
      </c>
      <c r="B92" s="5">
        <f>_xlfn.XLOOKUP(G92,Sheet1!E:E,Sheet1!A:A)</f>
        <v>3292</v>
      </c>
      <c r="C92" s="5">
        <v>201</v>
      </c>
      <c r="D92" s="5">
        <f>_xlfn.XLOOKUP(G92,'规范整合泌尿系统医疗服务价格映射表12.11 (2)'!T:T,'规范整合泌尿系统医疗服务价格映射表12.11 (2)'!A:A)</f>
        <v>52</v>
      </c>
      <c r="E92" s="8" t="s">
        <v>866</v>
      </c>
      <c r="F92" s="9" t="str">
        <f>_xlfn.XLOOKUP(G92,Sheet1!F:F,Sheet1!G:G)</f>
        <v>经输尿管镜支架取出术</v>
      </c>
      <c r="G92" s="10" t="s">
        <v>869</v>
      </c>
      <c r="H92" s="11"/>
      <c r="I92" s="5">
        <v>220</v>
      </c>
      <c r="J92" s="5">
        <v>200</v>
      </c>
      <c r="K92" s="5">
        <v>170</v>
      </c>
      <c r="L92" s="11"/>
      <c r="M92" s="5">
        <v>320</v>
      </c>
      <c r="N92" s="5">
        <v>290</v>
      </c>
      <c r="O92" s="5">
        <v>245</v>
      </c>
      <c r="P92" s="5">
        <v>1</v>
      </c>
      <c r="Q92" s="5">
        <v>1</v>
      </c>
      <c r="R92" s="5" t="s">
        <v>2111</v>
      </c>
      <c r="S92" s="5">
        <v>0</v>
      </c>
      <c r="T92" s="5">
        <v>877.7</v>
      </c>
      <c r="U92" s="5">
        <v>249</v>
      </c>
      <c r="V92" s="5">
        <v>37</v>
      </c>
      <c r="W92" s="5">
        <v>87770</v>
      </c>
      <c r="X92" s="5">
        <v>22410</v>
      </c>
      <c r="Y92" s="5">
        <v>2775</v>
      </c>
      <c r="Z92" s="5">
        <v>87770</v>
      </c>
      <c r="AA92" s="5">
        <v>22840</v>
      </c>
      <c r="AB92" s="5">
        <v>2775</v>
      </c>
      <c r="AC92">
        <f t="shared" si="1"/>
        <v>113385</v>
      </c>
    </row>
    <row r="93" spans="1:29">
      <c r="A93" s="4">
        <v>55</v>
      </c>
      <c r="B93" s="5">
        <f>_xlfn.XLOOKUP(G93,Sheet1!E:E,Sheet1!A:A)</f>
        <v>3293</v>
      </c>
      <c r="C93" s="5">
        <v>201</v>
      </c>
      <c r="D93" s="5">
        <f>_xlfn.XLOOKUP(G93,'规范整合泌尿系统医疗服务价格映射表12.11 (2)'!T:T,'规范整合泌尿系统医疗服务价格映射表12.11 (2)'!A:A)</f>
        <v>52</v>
      </c>
      <c r="E93" s="12"/>
      <c r="F93" s="9" t="str">
        <f>_xlfn.XLOOKUP(G93,Sheet1!F:F,Sheet1!G:G)</f>
        <v>经膀胱镜输尿管支架取出术</v>
      </c>
      <c r="G93" s="10" t="s">
        <v>872</v>
      </c>
      <c r="H93" s="11"/>
      <c r="I93" s="5">
        <v>275</v>
      </c>
      <c r="J93" s="5">
        <v>250</v>
      </c>
      <c r="K93" s="5">
        <v>212.5</v>
      </c>
      <c r="L93" s="11"/>
      <c r="M93" s="5">
        <v>320</v>
      </c>
      <c r="N93" s="5">
        <v>290</v>
      </c>
      <c r="O93" s="5">
        <v>245</v>
      </c>
      <c r="P93" s="5">
        <v>1</v>
      </c>
      <c r="Q93" s="5">
        <v>1</v>
      </c>
      <c r="R93" s="5" t="s">
        <v>2111</v>
      </c>
      <c r="S93" s="5">
        <v>0</v>
      </c>
      <c r="T93" s="5">
        <v>717</v>
      </c>
      <c r="U93" s="5">
        <v>1354</v>
      </c>
      <c r="V93" s="5">
        <v>376</v>
      </c>
      <c r="W93" s="5">
        <v>32265</v>
      </c>
      <c r="X93" s="5">
        <v>54160</v>
      </c>
      <c r="Y93" s="5">
        <v>12220</v>
      </c>
      <c r="Z93" s="5">
        <v>32265</v>
      </c>
      <c r="AA93" s="5">
        <v>54085</v>
      </c>
      <c r="AB93" s="5">
        <v>12220</v>
      </c>
      <c r="AC93">
        <f t="shared" si="1"/>
        <v>98570</v>
      </c>
    </row>
    <row r="94" spans="1:29">
      <c r="A94" s="4">
        <v>96</v>
      </c>
      <c r="B94" s="5">
        <f>_xlfn.XLOOKUP(G94,Sheet1!E:E,Sheet1!A:A)</f>
        <v>3294</v>
      </c>
      <c r="C94" s="5">
        <v>201</v>
      </c>
      <c r="D94" s="5">
        <f>_xlfn.XLOOKUP(G94,'规范整合泌尿系统医疗服务价格映射表12.11 (2)'!T:T,'规范整合泌尿系统医疗服务价格映射表12.11 (2)'!A:A)</f>
        <v>53</v>
      </c>
      <c r="E94" s="8" t="s">
        <v>2134</v>
      </c>
      <c r="F94" s="9" t="str">
        <f>_xlfn.XLOOKUP(G94,Sheet1!F:F,Sheet1!G:G)</f>
        <v>膀胱颈悬吊术</v>
      </c>
      <c r="G94" s="10" t="s">
        <v>881</v>
      </c>
      <c r="H94" s="11"/>
      <c r="I94" s="5">
        <v>1500</v>
      </c>
      <c r="J94" s="5">
        <v>1440</v>
      </c>
      <c r="K94" s="5">
        <v>1224</v>
      </c>
      <c r="L94" s="11"/>
      <c r="M94" s="5">
        <v>1070</v>
      </c>
      <c r="N94" s="5">
        <v>970</v>
      </c>
      <c r="O94" s="5">
        <v>820</v>
      </c>
      <c r="P94" s="5">
        <v>1</v>
      </c>
      <c r="Q94" s="5">
        <v>1</v>
      </c>
      <c r="R94" s="5" t="s">
        <v>2111</v>
      </c>
      <c r="S94" s="5">
        <v>0</v>
      </c>
      <c r="T94" s="5">
        <v>1.5</v>
      </c>
      <c r="U94" s="5">
        <v>13</v>
      </c>
      <c r="V94" s="5">
        <v>0</v>
      </c>
      <c r="W94" s="5">
        <v>-645</v>
      </c>
      <c r="X94" s="5">
        <v>-6110</v>
      </c>
      <c r="Y94" s="5">
        <v>0</v>
      </c>
      <c r="Z94" s="5">
        <v>-645</v>
      </c>
      <c r="AA94" s="5">
        <v>-5390</v>
      </c>
      <c r="AB94" s="5">
        <v>0</v>
      </c>
      <c r="AC94">
        <f t="shared" si="1"/>
        <v>-6035</v>
      </c>
    </row>
    <row r="95" spans="1:29">
      <c r="A95" s="4">
        <v>124</v>
      </c>
      <c r="B95" s="5">
        <f>_xlfn.XLOOKUP(G95,Sheet1!E:E,Sheet1!A:A)</f>
        <v>3295</v>
      </c>
      <c r="C95" s="5">
        <v>201</v>
      </c>
      <c r="D95" s="5">
        <f>_xlfn.XLOOKUP(G95,'规范整合泌尿系统医疗服务价格映射表12.11 (2)'!T:T,'规范整合泌尿系统医疗服务价格映射表12.11 (2)'!A:A)</f>
        <v>53</v>
      </c>
      <c r="E95" s="12"/>
      <c r="F95" s="9" t="str">
        <f>_xlfn.XLOOKUP(G95,Sheet1!F:F,Sheet1!G:G)</f>
        <v>经腹腔镜膀胱颈悬吊术</v>
      </c>
      <c r="G95" s="10" t="s">
        <v>884</v>
      </c>
      <c r="H95" s="11"/>
      <c r="I95" s="5">
        <v>2125</v>
      </c>
      <c r="J95" s="5">
        <v>2040</v>
      </c>
      <c r="K95" s="5">
        <v>1734</v>
      </c>
      <c r="L95" s="11"/>
      <c r="M95" s="5">
        <v>1070</v>
      </c>
      <c r="N95" s="5">
        <v>970</v>
      </c>
      <c r="O95" s="5">
        <v>820</v>
      </c>
      <c r="P95" s="5">
        <v>1</v>
      </c>
      <c r="Q95" s="5">
        <v>1</v>
      </c>
      <c r="R95" s="5" t="s">
        <v>2111</v>
      </c>
      <c r="S95" s="5">
        <v>0</v>
      </c>
      <c r="T95" s="5">
        <v>0</v>
      </c>
      <c r="U95" s="5">
        <v>1</v>
      </c>
      <c r="V95" s="5">
        <v>0</v>
      </c>
      <c r="W95" s="5">
        <v>0</v>
      </c>
      <c r="X95" s="5">
        <v>-1070</v>
      </c>
      <c r="Y95" s="5">
        <v>0</v>
      </c>
      <c r="Z95" s="5">
        <v>0</v>
      </c>
      <c r="AA95" s="5">
        <v>-1070</v>
      </c>
      <c r="AB95" s="5">
        <v>0</v>
      </c>
      <c r="AC95">
        <f t="shared" si="1"/>
        <v>-1070</v>
      </c>
    </row>
    <row r="96" spans="1:29">
      <c r="A96" s="4">
        <v>166</v>
      </c>
      <c r="B96" s="5">
        <f>_xlfn.XLOOKUP(G96,Sheet1!E:E,Sheet1!A:A)</f>
        <v>3296</v>
      </c>
      <c r="C96" s="5">
        <v>201</v>
      </c>
      <c r="D96" s="5">
        <f>_xlfn.XLOOKUP(G96,'规范整合泌尿系统医疗服务价格映射表12.11 (2)'!T:T,'规范整合泌尿系统医疗服务价格映射表12.11 (2)'!A:A)</f>
        <v>53</v>
      </c>
      <c r="E96" s="12"/>
      <c r="F96" s="9" t="str">
        <f>_xlfn.XLOOKUP(G96,Sheet1!F:F,Sheet1!G:G)</f>
        <v>尿道悬吊延长术</v>
      </c>
      <c r="G96" s="10" t="s">
        <v>886</v>
      </c>
      <c r="H96" s="11"/>
      <c r="I96" s="5">
        <v>750</v>
      </c>
      <c r="J96" s="5">
        <v>720</v>
      </c>
      <c r="K96" s="5">
        <v>612</v>
      </c>
      <c r="L96" s="11"/>
      <c r="M96" s="5">
        <v>1070</v>
      </c>
      <c r="N96" s="5">
        <v>970</v>
      </c>
      <c r="O96" s="5">
        <v>820</v>
      </c>
      <c r="P96" s="5">
        <v>1</v>
      </c>
      <c r="Q96" s="5">
        <v>1</v>
      </c>
      <c r="R96" s="5" t="s">
        <v>2111</v>
      </c>
      <c r="S96" s="5">
        <v>0</v>
      </c>
      <c r="T96" s="5">
        <v>54</v>
      </c>
      <c r="U96" s="5">
        <v>28.5</v>
      </c>
      <c r="V96" s="5">
        <v>0</v>
      </c>
      <c r="W96" s="5">
        <v>17280</v>
      </c>
      <c r="X96" s="5">
        <v>7125</v>
      </c>
      <c r="Y96" s="5">
        <v>0</v>
      </c>
      <c r="Z96" s="5">
        <v>17280</v>
      </c>
      <c r="AA96" s="5">
        <v>7647</v>
      </c>
      <c r="AB96" s="5">
        <v>0</v>
      </c>
      <c r="AC96">
        <f t="shared" si="1"/>
        <v>24927</v>
      </c>
    </row>
    <row r="97" spans="1:29">
      <c r="A97" s="4">
        <v>122</v>
      </c>
      <c r="B97" s="5">
        <f>_xlfn.XLOOKUP(G97,Sheet1!E:E,Sheet1!A:A)</f>
        <v>3302</v>
      </c>
      <c r="C97" s="5">
        <v>201</v>
      </c>
      <c r="D97" s="5">
        <f>_xlfn.XLOOKUP(G97,'规范整合泌尿系统医疗服务价格映射表12.11 (2)'!T:T,'规范整合泌尿系统医疗服务价格映射表12.11 (2)'!A:A)</f>
        <v>54</v>
      </c>
      <c r="E97" s="8" t="s">
        <v>902</v>
      </c>
      <c r="F97" s="9" t="str">
        <f>_xlfn.XLOOKUP(G97,Sheet1!F:F,Sheet1!G:G)</f>
        <v>膀胱灌注</v>
      </c>
      <c r="G97" s="10" t="s">
        <v>905</v>
      </c>
      <c r="H97" s="11"/>
      <c r="I97" s="5">
        <v>22</v>
      </c>
      <c r="J97" s="5">
        <v>20</v>
      </c>
      <c r="K97" s="5">
        <v>17</v>
      </c>
      <c r="L97" s="11"/>
      <c r="M97" s="5">
        <v>22</v>
      </c>
      <c r="N97" s="5">
        <v>20</v>
      </c>
      <c r="O97" s="5">
        <v>17</v>
      </c>
      <c r="P97" s="5">
        <v>1</v>
      </c>
      <c r="Q97" s="5">
        <v>1</v>
      </c>
      <c r="R97" s="5" t="s">
        <v>2111</v>
      </c>
      <c r="S97" s="5">
        <v>0</v>
      </c>
      <c r="T97" s="5">
        <v>1035.3</v>
      </c>
      <c r="U97" s="5">
        <v>1198.9</v>
      </c>
      <c r="V97" s="5">
        <v>58</v>
      </c>
      <c r="W97" s="5">
        <v>0</v>
      </c>
      <c r="X97" s="5">
        <v>0</v>
      </c>
      <c r="Y97" s="5">
        <v>0</v>
      </c>
      <c r="Z97" s="5">
        <v>0</v>
      </c>
      <c r="AA97" s="5">
        <v>-259.8</v>
      </c>
      <c r="AB97" s="5">
        <v>0</v>
      </c>
      <c r="AC97">
        <f t="shared" si="1"/>
        <v>-259.8</v>
      </c>
    </row>
    <row r="98" spans="1:29">
      <c r="A98" s="4">
        <v>150</v>
      </c>
      <c r="B98" s="5">
        <f>_xlfn.XLOOKUP(G98,Sheet1!E:E,Sheet1!A:A)</f>
        <v>3303</v>
      </c>
      <c r="C98" s="5">
        <v>201</v>
      </c>
      <c r="D98" s="5">
        <f>_xlfn.XLOOKUP(G98,'规范整合泌尿系统医疗服务价格映射表12.11 (2)'!T:T,'规范整合泌尿系统医疗服务价格映射表12.11 (2)'!A:A)</f>
        <v>55</v>
      </c>
      <c r="E98" s="8" t="s">
        <v>910</v>
      </c>
      <c r="F98" s="9" t="str">
        <f>_xlfn.XLOOKUP(G98,Sheet1!F:F,Sheet1!G:G)</f>
        <v>膀胱破裂修补术</v>
      </c>
      <c r="G98" s="10" t="s">
        <v>914</v>
      </c>
      <c r="H98" s="11"/>
      <c r="I98" s="5">
        <v>1125</v>
      </c>
      <c r="J98" s="5">
        <v>1080</v>
      </c>
      <c r="K98" s="5">
        <v>918</v>
      </c>
      <c r="L98" s="11"/>
      <c r="M98" s="5">
        <v>1270</v>
      </c>
      <c r="N98" s="5">
        <v>1200</v>
      </c>
      <c r="O98" s="5">
        <v>1020</v>
      </c>
      <c r="P98" s="5">
        <v>1</v>
      </c>
      <c r="Q98" s="5">
        <v>1</v>
      </c>
      <c r="R98" s="5" t="s">
        <v>2111</v>
      </c>
      <c r="S98" s="5">
        <v>0</v>
      </c>
      <c r="T98" s="5">
        <v>10.5</v>
      </c>
      <c r="U98" s="5">
        <v>3.5</v>
      </c>
      <c r="V98" s="5">
        <v>0</v>
      </c>
      <c r="W98" s="5">
        <v>1522.5</v>
      </c>
      <c r="X98" s="5">
        <v>420</v>
      </c>
      <c r="Y98" s="5">
        <v>0</v>
      </c>
      <c r="Z98" s="5">
        <v>1522.5</v>
      </c>
      <c r="AA98" s="5">
        <v>420</v>
      </c>
      <c r="AB98" s="5">
        <v>0</v>
      </c>
      <c r="AC98">
        <f t="shared" si="1"/>
        <v>1942.5</v>
      </c>
    </row>
    <row r="99" spans="1:29">
      <c r="A99" s="4">
        <v>45</v>
      </c>
      <c r="B99" s="5">
        <f>_xlfn.XLOOKUP(G99,Sheet1!E:E,Sheet1!A:A)</f>
        <v>3304</v>
      </c>
      <c r="C99" s="5">
        <v>201</v>
      </c>
      <c r="D99" s="5">
        <f>_xlfn.XLOOKUP(G99,'规范整合泌尿系统医疗服务价格映射表12.11 (2)'!T:T,'规范整合泌尿系统医疗服务价格映射表12.11 (2)'!A:A)</f>
        <v>55</v>
      </c>
      <c r="E99" s="12"/>
      <c r="F99" s="9" t="str">
        <f>_xlfn.XLOOKUP(G99,Sheet1!F:F,Sheet1!G:G)</f>
        <v>经腹腔镜膀胱破裂修补术</v>
      </c>
      <c r="G99" s="10" t="s">
        <v>916</v>
      </c>
      <c r="H99" s="11"/>
      <c r="I99" s="5">
        <v>1750</v>
      </c>
      <c r="J99" s="5">
        <v>1680</v>
      </c>
      <c r="K99" s="5">
        <v>1428</v>
      </c>
      <c r="L99" s="11"/>
      <c r="M99" s="5">
        <v>1270</v>
      </c>
      <c r="N99" s="5">
        <v>1200</v>
      </c>
      <c r="O99" s="5">
        <v>1020</v>
      </c>
      <c r="P99" s="5">
        <v>1</v>
      </c>
      <c r="Q99" s="5">
        <v>1</v>
      </c>
      <c r="R99" s="5" t="s">
        <v>2111</v>
      </c>
      <c r="S99" s="5">
        <v>0</v>
      </c>
      <c r="T99" s="5">
        <v>3</v>
      </c>
      <c r="U99" s="5">
        <v>3</v>
      </c>
      <c r="V99" s="5">
        <v>0</v>
      </c>
      <c r="W99" s="5">
        <v>-1440</v>
      </c>
      <c r="X99" s="5">
        <v>-1440</v>
      </c>
      <c r="Y99" s="5">
        <v>0</v>
      </c>
      <c r="Z99" s="5">
        <v>-1440</v>
      </c>
      <c r="AA99" s="5">
        <v>-1440</v>
      </c>
      <c r="AB99" s="5">
        <v>0</v>
      </c>
      <c r="AC99">
        <f t="shared" si="1"/>
        <v>-2880</v>
      </c>
    </row>
    <row r="100" spans="1:29">
      <c r="A100" s="4">
        <v>206</v>
      </c>
      <c r="B100" s="5">
        <f>_xlfn.XLOOKUP(G100,Sheet1!E:E,Sheet1!A:A)</f>
        <v>3305</v>
      </c>
      <c r="C100" s="5">
        <v>201</v>
      </c>
      <c r="D100" s="5">
        <f>_xlfn.XLOOKUP(G100,'规范整合泌尿系统医疗服务价格映射表12.11 (2)'!T:T,'规范整合泌尿系统医疗服务价格映射表12.11 (2)'!A:A)</f>
        <v>55</v>
      </c>
      <c r="E100" s="12"/>
      <c r="F100" s="9" t="str">
        <f>_xlfn.XLOOKUP(G100,Sheet1!F:F,Sheet1!G:G)</f>
        <v>膀胱膨出修补术</v>
      </c>
      <c r="G100" s="10" t="s">
        <v>918</v>
      </c>
      <c r="H100" s="11"/>
      <c r="I100" s="5">
        <v>1250</v>
      </c>
      <c r="J100" s="5">
        <v>1200</v>
      </c>
      <c r="K100" s="5">
        <v>1020</v>
      </c>
      <c r="L100" s="11"/>
      <c r="M100" s="5">
        <v>1270</v>
      </c>
      <c r="N100" s="5">
        <v>1200</v>
      </c>
      <c r="O100" s="5">
        <v>1020</v>
      </c>
      <c r="P100" s="5">
        <v>1</v>
      </c>
      <c r="Q100" s="5">
        <v>1</v>
      </c>
      <c r="R100" s="5" t="s">
        <v>2111</v>
      </c>
      <c r="S100" s="5">
        <v>0</v>
      </c>
      <c r="T100" s="5">
        <v>1</v>
      </c>
      <c r="U100" s="5">
        <v>1</v>
      </c>
      <c r="V100" s="5">
        <v>0</v>
      </c>
      <c r="W100" s="5">
        <v>20</v>
      </c>
      <c r="X100" s="5">
        <v>0</v>
      </c>
      <c r="Y100" s="5">
        <v>0</v>
      </c>
      <c r="Z100" s="5">
        <v>20</v>
      </c>
      <c r="AA100" s="5">
        <v>0</v>
      </c>
      <c r="AB100" s="5">
        <v>0</v>
      </c>
      <c r="AC100">
        <f t="shared" si="1"/>
        <v>20</v>
      </c>
    </row>
    <row r="101" spans="1:29">
      <c r="A101" s="4">
        <v>49</v>
      </c>
      <c r="B101" s="5">
        <f>_xlfn.XLOOKUP(G101,Sheet1!E:E,Sheet1!A:A)</f>
        <v>3315</v>
      </c>
      <c r="C101" s="5">
        <v>201</v>
      </c>
      <c r="D101" s="5">
        <f>_xlfn.XLOOKUP(G101,'规范整合泌尿系统医疗服务价格映射表12.11 (2)'!T:T,'规范整合泌尿系统医疗服务价格映射表12.11 (2)'!A:A)</f>
        <v>56</v>
      </c>
      <c r="E101" s="8" t="s">
        <v>942</v>
      </c>
      <c r="F101" s="9" t="str">
        <f>_xlfn.XLOOKUP(G101,Sheet1!F:F,Sheet1!G:G)</f>
        <v>膀胱颈重建术</v>
      </c>
      <c r="G101" s="10" t="s">
        <v>946</v>
      </c>
      <c r="H101" s="11"/>
      <c r="I101" s="5">
        <v>2190</v>
      </c>
      <c r="J101" s="5">
        <v>1970</v>
      </c>
      <c r="K101" s="5">
        <v>1670</v>
      </c>
      <c r="L101" s="11"/>
      <c r="M101" s="5">
        <v>2000</v>
      </c>
      <c r="N101" s="5">
        <v>1800</v>
      </c>
      <c r="O101" s="5">
        <v>1530</v>
      </c>
      <c r="P101" s="5">
        <v>1</v>
      </c>
      <c r="Q101" s="5">
        <v>1</v>
      </c>
      <c r="R101" s="5" t="s">
        <v>2111</v>
      </c>
      <c r="S101" s="5">
        <v>0</v>
      </c>
      <c r="T101" s="5">
        <v>0</v>
      </c>
      <c r="U101" s="5">
        <v>0.5</v>
      </c>
      <c r="V101" s="5">
        <v>0</v>
      </c>
      <c r="W101" s="5">
        <v>0</v>
      </c>
      <c r="X101" s="5">
        <v>-85</v>
      </c>
      <c r="Y101" s="5">
        <v>0</v>
      </c>
      <c r="Z101" s="5">
        <v>0</v>
      </c>
      <c r="AA101" s="5">
        <v>-85</v>
      </c>
      <c r="AB101" s="5">
        <v>0</v>
      </c>
      <c r="AC101">
        <f t="shared" si="1"/>
        <v>-85</v>
      </c>
    </row>
    <row r="102" spans="1:29">
      <c r="A102" s="4">
        <v>125</v>
      </c>
      <c r="B102" s="5">
        <f>_xlfn.XLOOKUP(G102,Sheet1!E:E,Sheet1!A:A)</f>
        <v>3323</v>
      </c>
      <c r="C102" s="5">
        <v>201</v>
      </c>
      <c r="D102" s="5">
        <f>_xlfn.XLOOKUP(G102,'规范整合泌尿系统医疗服务价格映射表12.11 (2)'!T:T,'规范整合泌尿系统医疗服务价格映射表12.11 (2)'!A:A)</f>
        <v>57</v>
      </c>
      <c r="E102" s="8" t="s">
        <v>966</v>
      </c>
      <c r="F102" s="9" t="str">
        <f>_xlfn.XLOOKUP(G102,Sheet1!F:F,Sheet1!G:G)</f>
        <v>膀胱部分切除术</v>
      </c>
      <c r="G102" s="10" t="s">
        <v>970</v>
      </c>
      <c r="H102" s="11"/>
      <c r="I102" s="5">
        <v>2030</v>
      </c>
      <c r="J102" s="5">
        <v>1830</v>
      </c>
      <c r="K102" s="5">
        <v>1560</v>
      </c>
      <c r="L102" s="11"/>
      <c r="M102" s="5">
        <v>2200</v>
      </c>
      <c r="N102" s="5">
        <v>2000</v>
      </c>
      <c r="O102" s="5">
        <v>1700</v>
      </c>
      <c r="P102" s="5">
        <v>1</v>
      </c>
      <c r="Q102" s="5">
        <v>1</v>
      </c>
      <c r="R102" s="5" t="s">
        <v>2111</v>
      </c>
      <c r="S102" s="5">
        <v>0</v>
      </c>
      <c r="T102" s="5">
        <v>10.5</v>
      </c>
      <c r="U102" s="5">
        <v>3.5</v>
      </c>
      <c r="V102" s="5">
        <v>0</v>
      </c>
      <c r="W102" s="5">
        <v>1785</v>
      </c>
      <c r="X102" s="5">
        <v>595</v>
      </c>
      <c r="Y102" s="5">
        <v>0</v>
      </c>
      <c r="Z102" s="5">
        <v>1785</v>
      </c>
      <c r="AA102" s="5">
        <v>595</v>
      </c>
      <c r="AB102" s="5">
        <v>0</v>
      </c>
      <c r="AC102">
        <f t="shared" si="1"/>
        <v>2380</v>
      </c>
    </row>
    <row r="103" spans="1:29">
      <c r="A103" s="4">
        <v>26</v>
      </c>
      <c r="B103" s="5">
        <f>_xlfn.XLOOKUP(G103,Sheet1!E:E,Sheet1!A:A)</f>
        <v>3324</v>
      </c>
      <c r="C103" s="5">
        <v>201</v>
      </c>
      <c r="D103" s="5">
        <f>_xlfn.XLOOKUP(G103,'规范整合泌尿系统医疗服务价格映射表12.11 (2)'!T:T,'规范整合泌尿系统医疗服务价格映射表12.11 (2)'!A:A)</f>
        <v>57</v>
      </c>
      <c r="E103" s="12"/>
      <c r="F103" s="9" t="str">
        <f>_xlfn.XLOOKUP(G103,Sheet1!F:F,Sheet1!G:G)</f>
        <v>经腹腔镜膀胱部分切除术</v>
      </c>
      <c r="G103" s="10" t="s">
        <v>972</v>
      </c>
      <c r="H103" s="11"/>
      <c r="I103" s="5">
        <v>2655</v>
      </c>
      <c r="J103" s="5">
        <v>2430</v>
      </c>
      <c r="K103" s="5">
        <v>2070</v>
      </c>
      <c r="L103" s="11"/>
      <c r="M103" s="5">
        <v>2200</v>
      </c>
      <c r="N103" s="5">
        <v>2000</v>
      </c>
      <c r="O103" s="5">
        <v>1700</v>
      </c>
      <c r="P103" s="5">
        <v>1</v>
      </c>
      <c r="Q103" s="5">
        <v>1</v>
      </c>
      <c r="R103" s="5" t="s">
        <v>2111</v>
      </c>
      <c r="S103" s="5">
        <v>0</v>
      </c>
      <c r="T103" s="5">
        <v>13</v>
      </c>
      <c r="U103" s="5">
        <v>0</v>
      </c>
      <c r="V103" s="5">
        <v>0</v>
      </c>
      <c r="W103" s="5">
        <v>-5915</v>
      </c>
      <c r="X103" s="5">
        <v>0</v>
      </c>
      <c r="Y103" s="5">
        <v>0</v>
      </c>
      <c r="Z103" s="5">
        <v>-5915</v>
      </c>
      <c r="AA103" s="5">
        <v>0</v>
      </c>
      <c r="AB103" s="5">
        <v>0</v>
      </c>
      <c r="AC103">
        <f t="shared" si="1"/>
        <v>-5915</v>
      </c>
    </row>
    <row r="104" spans="1:29">
      <c r="A104" s="4">
        <v>149</v>
      </c>
      <c r="B104" s="5">
        <f>_xlfn.XLOOKUP(G104,Sheet1!E:E,Sheet1!A:A)</f>
        <v>3325</v>
      </c>
      <c r="C104" s="5">
        <v>201</v>
      </c>
      <c r="D104" s="5">
        <f>_xlfn.XLOOKUP(G104,'规范整合泌尿系统医疗服务价格映射表12.11 (2)'!T:T,'规范整合泌尿系统医疗服务价格映射表12.11 (2)'!A:A)</f>
        <v>57</v>
      </c>
      <c r="E104" s="12"/>
      <c r="F104" s="9" t="str">
        <f>_xlfn.XLOOKUP(G104,Sheet1!F:F,Sheet1!G:G)</f>
        <v>膀胱憩室切除术</v>
      </c>
      <c r="G104" s="10" t="s">
        <v>974</v>
      </c>
      <c r="H104" s="11"/>
      <c r="I104" s="5">
        <v>1500</v>
      </c>
      <c r="J104" s="5">
        <v>1440</v>
      </c>
      <c r="K104" s="5">
        <v>1224</v>
      </c>
      <c r="L104" s="11"/>
      <c r="M104" s="5">
        <v>2200</v>
      </c>
      <c r="N104" s="5">
        <v>2000</v>
      </c>
      <c r="O104" s="5">
        <v>1700</v>
      </c>
      <c r="P104" s="5">
        <v>1</v>
      </c>
      <c r="Q104" s="5">
        <v>1</v>
      </c>
      <c r="R104" s="5" t="s">
        <v>2111</v>
      </c>
      <c r="S104" s="5">
        <v>0</v>
      </c>
      <c r="T104" s="5">
        <v>0.5</v>
      </c>
      <c r="U104" s="5">
        <v>2</v>
      </c>
      <c r="V104" s="5">
        <v>0</v>
      </c>
      <c r="W104" s="5">
        <v>350</v>
      </c>
      <c r="X104" s="5">
        <v>1120</v>
      </c>
      <c r="Y104" s="5">
        <v>0</v>
      </c>
      <c r="Z104" s="5">
        <v>350</v>
      </c>
      <c r="AA104" s="5">
        <v>1120</v>
      </c>
      <c r="AB104" s="5">
        <v>0</v>
      </c>
      <c r="AC104">
        <f t="shared" si="1"/>
        <v>1470</v>
      </c>
    </row>
    <row r="105" spans="1:29">
      <c r="A105" s="4">
        <v>97</v>
      </c>
      <c r="B105" s="5">
        <f>_xlfn.XLOOKUP(G105,Sheet1!E:E,Sheet1!A:A)</f>
        <v>3326</v>
      </c>
      <c r="C105" s="5">
        <v>201</v>
      </c>
      <c r="D105" s="5">
        <f>_xlfn.XLOOKUP(G105,'规范整合泌尿系统医疗服务价格映射表12.11 (2)'!T:T,'规范整合泌尿系统医疗服务价格映射表12.11 (2)'!A:A)</f>
        <v>57</v>
      </c>
      <c r="E105" s="12"/>
      <c r="F105" s="9" t="str">
        <f>_xlfn.XLOOKUP(G105,Sheet1!F:F,Sheet1!G:G)</f>
        <v>经腹腔镜膀胱憩室切除术</v>
      </c>
      <c r="G105" s="10" t="s">
        <v>976</v>
      </c>
      <c r="H105" s="11"/>
      <c r="I105" s="5">
        <v>2125</v>
      </c>
      <c r="J105" s="5">
        <v>2040</v>
      </c>
      <c r="K105" s="5">
        <v>1734</v>
      </c>
      <c r="L105" s="11"/>
      <c r="M105" s="5">
        <v>2200</v>
      </c>
      <c r="N105" s="5">
        <v>2000</v>
      </c>
      <c r="O105" s="5">
        <v>1700</v>
      </c>
      <c r="P105" s="5">
        <v>1</v>
      </c>
      <c r="Q105" s="5">
        <v>1</v>
      </c>
      <c r="R105" s="5" t="s">
        <v>2111</v>
      </c>
      <c r="S105" s="5">
        <v>0</v>
      </c>
      <c r="T105" s="5">
        <v>2</v>
      </c>
      <c r="U105" s="5">
        <v>2</v>
      </c>
      <c r="V105" s="5">
        <v>0</v>
      </c>
      <c r="W105" s="5">
        <v>150</v>
      </c>
      <c r="X105" s="5">
        <v>-80</v>
      </c>
      <c r="Y105" s="5">
        <v>0</v>
      </c>
      <c r="Z105" s="5">
        <v>150</v>
      </c>
      <c r="AA105" s="5">
        <v>-80</v>
      </c>
      <c r="AB105" s="5">
        <v>0</v>
      </c>
      <c r="AC105">
        <f t="shared" si="1"/>
        <v>70</v>
      </c>
    </row>
    <row r="106" spans="1:29">
      <c r="A106" s="4">
        <v>216</v>
      </c>
      <c r="B106" s="5">
        <f>_xlfn.XLOOKUP(G106,Sheet1!E:E,Sheet1!A:A)</f>
        <v>3327</v>
      </c>
      <c r="C106" s="5">
        <v>201</v>
      </c>
      <c r="D106" s="5">
        <f>_xlfn.XLOOKUP(G106,'规范整合泌尿系统医疗服务价格映射表12.11 (2)'!T:T,'规范整合泌尿系统医疗服务价格映射表12.11 (2)'!A:A)</f>
        <v>57</v>
      </c>
      <c r="E106" s="12"/>
      <c r="F106" s="9" t="str">
        <f>_xlfn.XLOOKUP(G106,Sheet1!F:F,Sheet1!G:G)</f>
        <v>膀胱瘘管切除术</v>
      </c>
      <c r="G106" s="10" t="s">
        <v>978</v>
      </c>
      <c r="H106" s="11"/>
      <c r="I106" s="5">
        <v>1000</v>
      </c>
      <c r="J106" s="5">
        <v>960</v>
      </c>
      <c r="K106" s="5">
        <v>816</v>
      </c>
      <c r="L106" s="11"/>
      <c r="M106" s="5">
        <v>2200</v>
      </c>
      <c r="N106" s="5">
        <v>2000</v>
      </c>
      <c r="O106" s="5">
        <v>1700</v>
      </c>
      <c r="P106" s="5">
        <v>1</v>
      </c>
      <c r="Q106" s="5">
        <v>1</v>
      </c>
      <c r="R106" s="5" t="s">
        <v>2111</v>
      </c>
      <c r="S106" s="5">
        <v>0</v>
      </c>
      <c r="T106" s="5">
        <v>0.5</v>
      </c>
      <c r="U106" s="5">
        <v>0</v>
      </c>
      <c r="V106" s="5">
        <v>0</v>
      </c>
      <c r="W106" s="5">
        <v>600</v>
      </c>
      <c r="X106" s="5">
        <v>0</v>
      </c>
      <c r="Y106" s="5">
        <v>0</v>
      </c>
      <c r="Z106" s="5">
        <v>600</v>
      </c>
      <c r="AA106" s="5">
        <v>0</v>
      </c>
      <c r="AB106" s="5">
        <v>0</v>
      </c>
      <c r="AC106">
        <f t="shared" si="1"/>
        <v>600</v>
      </c>
    </row>
    <row r="107" spans="1:29">
      <c r="A107" s="4">
        <v>214</v>
      </c>
      <c r="B107" s="5">
        <f>_xlfn.XLOOKUP(G107,Sheet1!E:E,Sheet1!A:A)</f>
        <v>3329</v>
      </c>
      <c r="C107" s="5">
        <v>201</v>
      </c>
      <c r="D107" s="5">
        <f>_xlfn.XLOOKUP(G107,'规范整合泌尿系统医疗服务价格映射表12.11 (2)'!T:T,'规范整合泌尿系统医疗服务价格映射表12.11 (2)'!A:A)</f>
        <v>57</v>
      </c>
      <c r="E107" s="12"/>
      <c r="F107" s="9" t="str">
        <f>_xlfn.XLOOKUP(G107,Sheet1!F:F,Sheet1!G:G)</f>
        <v>脐尿管瘘切除术</v>
      </c>
      <c r="G107" s="10" t="s">
        <v>982</v>
      </c>
      <c r="H107" s="11"/>
      <c r="I107" s="5">
        <v>1250</v>
      </c>
      <c r="J107" s="5">
        <v>1200</v>
      </c>
      <c r="K107" s="5">
        <v>1020</v>
      </c>
      <c r="L107" s="11"/>
      <c r="M107" s="5">
        <v>2200</v>
      </c>
      <c r="N107" s="5">
        <v>2000</v>
      </c>
      <c r="O107" s="5">
        <v>1700</v>
      </c>
      <c r="P107" s="5">
        <v>1</v>
      </c>
      <c r="Q107" s="5">
        <v>1</v>
      </c>
      <c r="R107" s="5" t="s">
        <v>2111</v>
      </c>
      <c r="S107" s="5">
        <v>0</v>
      </c>
      <c r="T107" s="5">
        <v>8.5</v>
      </c>
      <c r="U107" s="5">
        <v>6</v>
      </c>
      <c r="V107" s="5">
        <v>2</v>
      </c>
      <c r="W107" s="5">
        <v>8075</v>
      </c>
      <c r="X107" s="5">
        <v>4800</v>
      </c>
      <c r="Y107" s="5">
        <v>1360</v>
      </c>
      <c r="Z107" s="5">
        <v>8075</v>
      </c>
      <c r="AA107" s="5">
        <v>4980</v>
      </c>
      <c r="AB107" s="5">
        <v>1360</v>
      </c>
      <c r="AC107">
        <f t="shared" si="1"/>
        <v>14415</v>
      </c>
    </row>
    <row r="108" spans="1:29">
      <c r="A108" s="4">
        <v>22</v>
      </c>
      <c r="B108" s="5">
        <f>_xlfn.XLOOKUP(G108,Sheet1!E:E,Sheet1!A:A)</f>
        <v>3330</v>
      </c>
      <c r="C108" s="5">
        <v>201</v>
      </c>
      <c r="D108" s="5">
        <f>_xlfn.XLOOKUP(G108,'规范整合泌尿系统医疗服务价格映射表12.11 (2)'!T:T,'规范整合泌尿系统医疗服务价格映射表12.11 (2)'!A:A)</f>
        <v>57</v>
      </c>
      <c r="E108" s="12"/>
      <c r="F108" s="9" t="str">
        <f>_xlfn.XLOOKUP(G108,Sheet1!F:F,Sheet1!G:G)</f>
        <v>经腹腔镜脐尿管瘘切除术</v>
      </c>
      <c r="G108" s="10" t="s">
        <v>984</v>
      </c>
      <c r="H108" s="11"/>
      <c r="I108" s="5">
        <v>1875</v>
      </c>
      <c r="J108" s="5">
        <v>1800</v>
      </c>
      <c r="K108" s="5">
        <v>1530</v>
      </c>
      <c r="L108" s="11"/>
      <c r="M108" s="5">
        <v>2200</v>
      </c>
      <c r="N108" s="5">
        <v>2000</v>
      </c>
      <c r="O108" s="5">
        <v>1700</v>
      </c>
      <c r="P108" s="5">
        <v>1</v>
      </c>
      <c r="Q108" s="5">
        <v>1</v>
      </c>
      <c r="R108" s="5" t="s">
        <v>2111</v>
      </c>
      <c r="S108" s="5">
        <v>0</v>
      </c>
      <c r="T108" s="5">
        <v>2</v>
      </c>
      <c r="U108" s="5">
        <v>4</v>
      </c>
      <c r="V108" s="5">
        <v>0</v>
      </c>
      <c r="W108" s="5">
        <v>650</v>
      </c>
      <c r="X108" s="5">
        <v>800</v>
      </c>
      <c r="Y108" s="5">
        <v>0</v>
      </c>
      <c r="Z108" s="5">
        <v>650</v>
      </c>
      <c r="AA108" s="5">
        <v>800</v>
      </c>
      <c r="AB108" s="5">
        <v>0</v>
      </c>
      <c r="AC108">
        <f t="shared" si="1"/>
        <v>1450</v>
      </c>
    </row>
    <row r="109" spans="1:29">
      <c r="A109" s="4">
        <v>184</v>
      </c>
      <c r="B109" s="5">
        <f>_xlfn.XLOOKUP(G109,Sheet1!E:E,Sheet1!A:A)</f>
        <v>3333</v>
      </c>
      <c r="C109" s="5">
        <v>201</v>
      </c>
      <c r="D109" s="5">
        <f>_xlfn.XLOOKUP(G109,'规范整合泌尿系统医疗服务价格映射表12.11 (2)'!T:T,'规范整合泌尿系统医疗服务价格映射表12.11 (2)'!A:A)</f>
        <v>57</v>
      </c>
      <c r="E109" s="12"/>
      <c r="F109" s="9" t="str">
        <f>_xlfn.XLOOKUP(G109,Sheet1!F:F,Sheet1!G:G)</f>
        <v>经膀胱镜膀胱颈电切术</v>
      </c>
      <c r="G109" s="10" t="s">
        <v>990</v>
      </c>
      <c r="H109" s="11"/>
      <c r="I109" s="5">
        <v>2190</v>
      </c>
      <c r="J109" s="5">
        <v>1970</v>
      </c>
      <c r="K109" s="5">
        <v>1670</v>
      </c>
      <c r="L109" s="11"/>
      <c r="M109" s="5">
        <v>2200</v>
      </c>
      <c r="N109" s="5">
        <v>2000</v>
      </c>
      <c r="O109" s="5">
        <v>1700</v>
      </c>
      <c r="P109" s="5">
        <v>1</v>
      </c>
      <c r="Q109" s="5">
        <v>1</v>
      </c>
      <c r="R109" s="5" t="s">
        <v>2111</v>
      </c>
      <c r="S109" s="5">
        <v>0</v>
      </c>
      <c r="T109" s="5">
        <v>15.5</v>
      </c>
      <c r="U109" s="5">
        <v>15</v>
      </c>
      <c r="V109" s="5">
        <v>0</v>
      </c>
      <c r="W109" s="5">
        <v>155</v>
      </c>
      <c r="X109" s="5">
        <v>450</v>
      </c>
      <c r="Y109" s="5">
        <v>0</v>
      </c>
      <c r="Z109" s="5">
        <v>155</v>
      </c>
      <c r="AA109" s="5">
        <v>450</v>
      </c>
      <c r="AB109" s="5">
        <v>0</v>
      </c>
      <c r="AC109">
        <f t="shared" si="1"/>
        <v>605</v>
      </c>
    </row>
    <row r="110" spans="1:29">
      <c r="A110" s="4">
        <v>161</v>
      </c>
      <c r="B110" s="5">
        <f>_xlfn.XLOOKUP(G110,Sheet1!E:E,Sheet1!A:A)</f>
        <v>3334</v>
      </c>
      <c r="C110" s="5">
        <v>201</v>
      </c>
      <c r="D110" s="5" t="str">
        <f>_xlfn.XLOOKUP(G110,'规范整合泌尿系统医疗服务价格映射表12.11 (2)'!T:T,'规范整合泌尿系统医疗服务价格映射表12.11 (2)'!A:A)</f>
        <v>分项</v>
      </c>
      <c r="E110" s="8" t="s">
        <v>2135</v>
      </c>
      <c r="F110" s="9" t="str">
        <f>_xlfn.XLOOKUP(G110,Sheet1!F:F,Sheet1!G:G)</f>
        <v>脐尿管肿瘤切除术</v>
      </c>
      <c r="G110" s="10" t="s">
        <v>995</v>
      </c>
      <c r="H110" s="11"/>
      <c r="I110" s="5">
        <v>1625</v>
      </c>
      <c r="J110" s="5">
        <v>1560</v>
      </c>
      <c r="K110" s="5">
        <v>1326</v>
      </c>
      <c r="L110" s="11"/>
      <c r="M110" s="5">
        <v>2725</v>
      </c>
      <c r="N110" s="5">
        <v>2470</v>
      </c>
      <c r="O110" s="5">
        <v>2100</v>
      </c>
      <c r="P110" s="5">
        <v>1</v>
      </c>
      <c r="Q110" s="5">
        <v>1</v>
      </c>
      <c r="R110" s="5" t="s">
        <v>2111</v>
      </c>
      <c r="S110" s="5">
        <v>0</v>
      </c>
      <c r="T110" s="5">
        <v>0.5</v>
      </c>
      <c r="U110" s="5">
        <v>1</v>
      </c>
      <c r="V110" s="5">
        <v>0</v>
      </c>
      <c r="W110" s="5">
        <v>550</v>
      </c>
      <c r="X110" s="5">
        <v>910</v>
      </c>
      <c r="Y110" s="5">
        <v>0</v>
      </c>
      <c r="Z110" s="5">
        <v>550</v>
      </c>
      <c r="AA110" s="5">
        <v>910</v>
      </c>
      <c r="AB110" s="5">
        <v>0</v>
      </c>
      <c r="AC110">
        <f t="shared" si="1"/>
        <v>1460</v>
      </c>
    </row>
    <row r="111" spans="1:29">
      <c r="A111" s="4">
        <v>79</v>
      </c>
      <c r="B111" s="5">
        <f>_xlfn.XLOOKUP(G111,Sheet1!E:E,Sheet1!A:A)</f>
        <v>3336</v>
      </c>
      <c r="C111" s="5">
        <v>201</v>
      </c>
      <c r="D111" s="5" t="str">
        <f>_xlfn.XLOOKUP(G111,'规范整合泌尿系统医疗服务价格映射表12.11 (2)'!T:T,'规范整合泌尿系统医疗服务价格映射表12.11 (2)'!A:A)</f>
        <v>分项</v>
      </c>
      <c r="E111" s="12"/>
      <c r="F111" s="9" t="str">
        <f>_xlfn.XLOOKUP(G111,Sheet1!F:F,Sheet1!G:G)</f>
        <v>经腹腔镜脐尿管肿瘤切除术</v>
      </c>
      <c r="G111" s="10" t="s">
        <v>999</v>
      </c>
      <c r="H111" s="11"/>
      <c r="I111" s="5">
        <v>2250</v>
      </c>
      <c r="J111" s="5">
        <v>2160</v>
      </c>
      <c r="K111" s="5">
        <v>1836</v>
      </c>
      <c r="L111" s="11"/>
      <c r="M111" s="5">
        <v>2725</v>
      </c>
      <c r="N111" s="5">
        <v>2470</v>
      </c>
      <c r="O111" s="5">
        <v>2100</v>
      </c>
      <c r="P111" s="5">
        <v>1</v>
      </c>
      <c r="Q111" s="5">
        <v>1</v>
      </c>
      <c r="R111" s="5" t="s">
        <v>2111</v>
      </c>
      <c r="S111" s="5">
        <v>0</v>
      </c>
      <c r="T111" s="5">
        <v>1</v>
      </c>
      <c r="U111" s="5">
        <v>0</v>
      </c>
      <c r="V111" s="5">
        <v>0</v>
      </c>
      <c r="W111" s="5">
        <v>475</v>
      </c>
      <c r="X111" s="5">
        <v>0</v>
      </c>
      <c r="Y111" s="5">
        <v>0</v>
      </c>
      <c r="Z111" s="5">
        <v>475</v>
      </c>
      <c r="AA111" s="5">
        <v>0</v>
      </c>
      <c r="AB111" s="5">
        <v>0</v>
      </c>
      <c r="AC111">
        <f t="shared" si="1"/>
        <v>475</v>
      </c>
    </row>
    <row r="112" spans="1:29">
      <c r="A112" s="4">
        <v>153</v>
      </c>
      <c r="B112" s="5">
        <f>_xlfn.XLOOKUP(G112,Sheet1!E:E,Sheet1!A:A)</f>
        <v>3337</v>
      </c>
      <c r="C112" s="5">
        <v>201</v>
      </c>
      <c r="D112" s="5" t="str">
        <f>_xlfn.XLOOKUP(G112,'规范整合泌尿系统医疗服务价格映射表12.11 (2)'!T:T,'规范整合泌尿系统医疗服务价格映射表12.11 (2)'!A:A)</f>
        <v>分项</v>
      </c>
      <c r="E112" s="12"/>
      <c r="F112" s="9" t="str">
        <f>_xlfn.XLOOKUP(G112,Sheet1!F:F,Sheet1!G:G)</f>
        <v>小儿经腹腔镜脐尿管肿瘤切除术</v>
      </c>
      <c r="G112" s="10" t="s">
        <v>1001</v>
      </c>
      <c r="H112" s="11"/>
      <c r="I112" s="5">
        <v>2740</v>
      </c>
      <c r="J112" s="5">
        <v>2630</v>
      </c>
      <c r="K112" s="5">
        <v>2235</v>
      </c>
      <c r="L112" s="11"/>
      <c r="M112" s="5">
        <v>2725</v>
      </c>
      <c r="N112" s="5">
        <v>2470</v>
      </c>
      <c r="O112" s="5">
        <v>2100</v>
      </c>
      <c r="P112" s="5">
        <v>1</v>
      </c>
      <c r="Q112" s="5">
        <v>1</v>
      </c>
      <c r="R112" s="5" t="s">
        <v>2111</v>
      </c>
      <c r="S112" s="5">
        <v>0</v>
      </c>
      <c r="T112" s="5">
        <v>1</v>
      </c>
      <c r="U112" s="5">
        <v>0</v>
      </c>
      <c r="V112" s="5">
        <v>0</v>
      </c>
      <c r="W112" s="5">
        <v>-15</v>
      </c>
      <c r="X112" s="5">
        <v>0</v>
      </c>
      <c r="Y112" s="5">
        <v>0</v>
      </c>
      <c r="Z112" s="5">
        <v>-15</v>
      </c>
      <c r="AA112" s="5">
        <v>0</v>
      </c>
      <c r="AB112" s="5">
        <v>0</v>
      </c>
      <c r="AC112">
        <f t="shared" si="1"/>
        <v>-15</v>
      </c>
    </row>
    <row r="113" spans="1:29">
      <c r="A113" s="4">
        <v>167</v>
      </c>
      <c r="B113" s="5">
        <f>_xlfn.XLOOKUP(G113,Sheet1!E:E,Sheet1!A:A)</f>
        <v>3349</v>
      </c>
      <c r="C113" s="5">
        <v>201</v>
      </c>
      <c r="D113" s="5">
        <f>_xlfn.XLOOKUP(G113,'规范整合泌尿系统医疗服务价格映射表12.11 (2)'!T:T,'规范整合泌尿系统医疗服务价格映射表12.11 (2)'!A:A)</f>
        <v>58</v>
      </c>
      <c r="E113" s="8" t="s">
        <v>1028</v>
      </c>
      <c r="F113" s="9" t="str">
        <f>_xlfn.XLOOKUP(G113,Sheet1!F:F,Sheet1!G:G)</f>
        <v>膀胱尿道全切除术</v>
      </c>
      <c r="G113" s="10" t="s">
        <v>1030</v>
      </c>
      <c r="H113" s="11"/>
      <c r="I113" s="5">
        <v>3380</v>
      </c>
      <c r="J113" s="5">
        <v>3040</v>
      </c>
      <c r="K113" s="5">
        <v>2580</v>
      </c>
      <c r="L113" s="11"/>
      <c r="M113" s="5">
        <v>3400</v>
      </c>
      <c r="N113" s="5">
        <v>3050</v>
      </c>
      <c r="O113" s="5">
        <v>2600</v>
      </c>
      <c r="P113" s="5">
        <v>1</v>
      </c>
      <c r="Q113" s="5">
        <v>1</v>
      </c>
      <c r="R113" s="5" t="s">
        <v>2111</v>
      </c>
      <c r="S113" s="5">
        <v>0</v>
      </c>
      <c r="T113" s="5">
        <v>0</v>
      </c>
      <c r="U113" s="5">
        <v>1</v>
      </c>
      <c r="V113" s="5">
        <v>0</v>
      </c>
      <c r="W113" s="5">
        <v>0</v>
      </c>
      <c r="X113" s="5">
        <v>10</v>
      </c>
      <c r="Y113" s="5">
        <v>0</v>
      </c>
      <c r="Z113" s="5">
        <v>0</v>
      </c>
      <c r="AA113" s="5">
        <v>10</v>
      </c>
      <c r="AB113" s="5">
        <v>0</v>
      </c>
      <c r="AC113">
        <f t="shared" si="1"/>
        <v>10</v>
      </c>
    </row>
    <row r="114" spans="1:29">
      <c r="A114" s="4">
        <v>44</v>
      </c>
      <c r="B114" s="5">
        <f>_xlfn.XLOOKUP(G114,Sheet1!E:E,Sheet1!A:A)</f>
        <v>3353</v>
      </c>
      <c r="C114" s="5">
        <v>201</v>
      </c>
      <c r="D114" s="5">
        <f>_xlfn.XLOOKUP(G114,'规范整合泌尿系统医疗服务价格映射表12.11 (2)'!T:T,'规范整合泌尿系统医疗服务价格映射表12.11 (2)'!A:A)</f>
        <v>59</v>
      </c>
      <c r="E114" s="8" t="s">
        <v>1041</v>
      </c>
      <c r="F114" s="9" t="str">
        <f>_xlfn.XLOOKUP(G114,Sheet1!F:F,Sheet1!G:G)</f>
        <v>根治性膀胱全切除术</v>
      </c>
      <c r="G114" s="10" t="s">
        <v>1046</v>
      </c>
      <c r="H114" s="11"/>
      <c r="I114" s="5">
        <v>5090</v>
      </c>
      <c r="J114" s="5">
        <v>4580</v>
      </c>
      <c r="K114" s="5">
        <v>3890</v>
      </c>
      <c r="L114" s="11"/>
      <c r="M114" s="5">
        <v>6500</v>
      </c>
      <c r="N114" s="5">
        <v>5850</v>
      </c>
      <c r="O114" s="5">
        <v>4980</v>
      </c>
      <c r="P114" s="5">
        <v>1</v>
      </c>
      <c r="Q114" s="5">
        <v>1</v>
      </c>
      <c r="R114" s="5" t="s">
        <v>2111</v>
      </c>
      <c r="S114" s="5">
        <v>0</v>
      </c>
      <c r="T114" s="5">
        <v>3</v>
      </c>
      <c r="U114" s="5">
        <v>1</v>
      </c>
      <c r="V114" s="5">
        <v>0</v>
      </c>
      <c r="W114" s="5">
        <v>4230</v>
      </c>
      <c r="X114" s="5">
        <v>1270</v>
      </c>
      <c r="Y114" s="5">
        <v>0</v>
      </c>
      <c r="Z114" s="5">
        <v>4230</v>
      </c>
      <c r="AA114" s="5">
        <v>1270</v>
      </c>
      <c r="AB114" s="5">
        <v>0</v>
      </c>
      <c r="AC114">
        <f t="shared" si="1"/>
        <v>5500</v>
      </c>
    </row>
    <row r="115" spans="1:29">
      <c r="A115" s="4">
        <v>116</v>
      </c>
      <c r="B115" s="5">
        <f>_xlfn.XLOOKUP(G115,Sheet1!E:E,Sheet1!A:A)</f>
        <v>3354</v>
      </c>
      <c r="C115" s="5">
        <v>201</v>
      </c>
      <c r="D115" s="5">
        <f>_xlfn.XLOOKUP(G115,'规范整合泌尿系统医疗服务价格映射表12.11 (2)'!T:T,'规范整合泌尿系统医疗服务价格映射表12.11 (2)'!A:A)</f>
        <v>59</v>
      </c>
      <c r="E115" s="12"/>
      <c r="F115" s="9" t="str">
        <f>_xlfn.XLOOKUP(G115,Sheet1!F:F,Sheet1!G:G)</f>
        <v>经腹腔镜根治性膀胱全切除术</v>
      </c>
      <c r="G115" s="10" t="s">
        <v>1050</v>
      </c>
      <c r="H115" s="11"/>
      <c r="I115" s="5">
        <v>5715</v>
      </c>
      <c r="J115" s="5">
        <v>5180</v>
      </c>
      <c r="K115" s="5">
        <v>4400</v>
      </c>
      <c r="L115" s="11"/>
      <c r="M115" s="5">
        <v>6500</v>
      </c>
      <c r="N115" s="5">
        <v>5850</v>
      </c>
      <c r="O115" s="5">
        <v>4980</v>
      </c>
      <c r="P115" s="5">
        <v>1</v>
      </c>
      <c r="Q115" s="5">
        <v>1</v>
      </c>
      <c r="R115" s="5" t="s">
        <v>2111</v>
      </c>
      <c r="S115" s="5">
        <v>0</v>
      </c>
      <c r="T115" s="5">
        <v>13</v>
      </c>
      <c r="U115" s="5">
        <v>4</v>
      </c>
      <c r="V115" s="5">
        <v>1</v>
      </c>
      <c r="W115" s="5">
        <v>10205</v>
      </c>
      <c r="X115" s="5">
        <v>2680</v>
      </c>
      <c r="Y115" s="5">
        <v>580</v>
      </c>
      <c r="Z115" s="5">
        <v>10205</v>
      </c>
      <c r="AA115" s="5">
        <v>2680</v>
      </c>
      <c r="AB115" s="5">
        <v>580</v>
      </c>
      <c r="AC115">
        <f t="shared" si="1"/>
        <v>13465</v>
      </c>
    </row>
    <row r="116" spans="1:29">
      <c r="A116" s="4">
        <v>181</v>
      </c>
      <c r="B116" s="5">
        <f>_xlfn.XLOOKUP(G116,Sheet1!E:E,Sheet1!A:A)</f>
        <v>3357</v>
      </c>
      <c r="C116" s="5">
        <v>201</v>
      </c>
      <c r="D116" s="5">
        <f>_xlfn.XLOOKUP(G116,'规范整合泌尿系统医疗服务价格映射表12.11 (2)'!T:T,'规范整合泌尿系统医疗服务价格映射表12.11 (2)'!A:A)</f>
        <v>60</v>
      </c>
      <c r="E116" s="8" t="s">
        <v>1061</v>
      </c>
      <c r="F116" s="9" t="str">
        <f>_xlfn.XLOOKUP(G116,Sheet1!F:F,Sheet1!G:G)</f>
        <v>经尿道前列腺支架置入术</v>
      </c>
      <c r="G116" s="10" t="s">
        <v>1065</v>
      </c>
      <c r="H116" s="11"/>
      <c r="I116" s="5">
        <v>625</v>
      </c>
      <c r="J116" s="5">
        <v>600</v>
      </c>
      <c r="K116" s="5">
        <v>510</v>
      </c>
      <c r="L116" s="11"/>
      <c r="M116" s="5">
        <v>810</v>
      </c>
      <c r="N116" s="5">
        <v>730</v>
      </c>
      <c r="O116" s="5">
        <v>620</v>
      </c>
      <c r="P116" s="5">
        <v>1</v>
      </c>
      <c r="Q116" s="5">
        <v>1</v>
      </c>
      <c r="R116" s="5" t="s">
        <v>2111</v>
      </c>
      <c r="S116" s="5">
        <v>0</v>
      </c>
      <c r="T116" s="5">
        <v>1</v>
      </c>
      <c r="U116" s="5">
        <v>6</v>
      </c>
      <c r="V116" s="5">
        <v>0</v>
      </c>
      <c r="W116" s="5">
        <v>185</v>
      </c>
      <c r="X116" s="5">
        <v>780</v>
      </c>
      <c r="Y116" s="5">
        <v>0</v>
      </c>
      <c r="Z116" s="5">
        <v>185</v>
      </c>
      <c r="AA116" s="5">
        <v>780</v>
      </c>
      <c r="AB116" s="5">
        <v>0</v>
      </c>
      <c r="AC116">
        <f t="shared" si="1"/>
        <v>965</v>
      </c>
    </row>
    <row r="117" spans="1:29">
      <c r="A117" s="4">
        <v>53</v>
      </c>
      <c r="B117" s="5">
        <f>_xlfn.XLOOKUP(G117,Sheet1!E:E,Sheet1!A:A)</f>
        <v>3358</v>
      </c>
      <c r="C117" s="5">
        <v>201</v>
      </c>
      <c r="D117" s="5">
        <f>_xlfn.XLOOKUP(G117,'规范整合泌尿系统医疗服务价格映射表12.11 (2)'!T:T,'规范整合泌尿系统医疗服务价格映射表12.11 (2)'!A:A)</f>
        <v>60</v>
      </c>
      <c r="E117" s="12"/>
      <c r="F117" s="9" t="str">
        <f>_xlfn.XLOOKUP(G117,Sheet1!F:F,Sheet1!G:G)</f>
        <v>经膀胱镜下经尿道前列腺支架置入术</v>
      </c>
      <c r="G117" s="10" t="s">
        <v>1067</v>
      </c>
      <c r="H117" s="11"/>
      <c r="I117" s="5">
        <v>875</v>
      </c>
      <c r="J117" s="5">
        <v>825</v>
      </c>
      <c r="K117" s="5">
        <v>700</v>
      </c>
      <c r="L117" s="11"/>
      <c r="M117" s="5">
        <v>810</v>
      </c>
      <c r="N117" s="5">
        <v>730</v>
      </c>
      <c r="O117" s="5">
        <v>620</v>
      </c>
      <c r="P117" s="5">
        <v>1</v>
      </c>
      <c r="Q117" s="5">
        <v>1</v>
      </c>
      <c r="R117" s="5" t="s">
        <v>2111</v>
      </c>
      <c r="S117" s="5">
        <v>0</v>
      </c>
      <c r="T117" s="5">
        <v>0</v>
      </c>
      <c r="U117" s="5">
        <v>4.5</v>
      </c>
      <c r="V117" s="5">
        <v>0</v>
      </c>
      <c r="W117" s="5">
        <v>0</v>
      </c>
      <c r="X117" s="5">
        <v>-427.5</v>
      </c>
      <c r="Y117" s="5">
        <v>0</v>
      </c>
      <c r="Z117" s="5">
        <v>0</v>
      </c>
      <c r="AA117" s="5">
        <v>-427.5</v>
      </c>
      <c r="AB117" s="5">
        <v>0</v>
      </c>
      <c r="AC117">
        <f t="shared" si="1"/>
        <v>-427.5</v>
      </c>
    </row>
    <row r="118" spans="1:29">
      <c r="A118" s="4">
        <v>191</v>
      </c>
      <c r="B118" s="5">
        <f>_xlfn.XLOOKUP(G118,Sheet1!E:E,Sheet1!A:A)</f>
        <v>3362</v>
      </c>
      <c r="C118" s="5">
        <v>201</v>
      </c>
      <c r="D118" s="5">
        <f>_xlfn.XLOOKUP(G118,'规范整合泌尿系统医疗服务价格映射表12.11 (2)'!T:T,'规范整合泌尿系统医疗服务价格映射表12.11 (2)'!A:A)</f>
        <v>62</v>
      </c>
      <c r="E118" s="8" t="s">
        <v>1081</v>
      </c>
      <c r="F118" s="9" t="str">
        <f>_xlfn.XLOOKUP(G118,Sheet1!F:F,Sheet1!G:G)</f>
        <v>尿道旁腺囊肿摘除术</v>
      </c>
      <c r="G118" s="10" t="s">
        <v>1087</v>
      </c>
      <c r="H118" s="11"/>
      <c r="I118" s="5">
        <v>1000</v>
      </c>
      <c r="J118" s="5">
        <v>960</v>
      </c>
      <c r="K118" s="5">
        <v>816</v>
      </c>
      <c r="L118" s="11"/>
      <c r="M118" s="5">
        <v>1300</v>
      </c>
      <c r="N118" s="5">
        <v>1150</v>
      </c>
      <c r="O118" s="5">
        <v>950</v>
      </c>
      <c r="P118" s="5">
        <v>1</v>
      </c>
      <c r="Q118" s="5">
        <v>1</v>
      </c>
      <c r="R118" s="5" t="s">
        <v>2111</v>
      </c>
      <c r="S118" s="5">
        <v>0</v>
      </c>
      <c r="T118" s="5">
        <v>3</v>
      </c>
      <c r="U118" s="5">
        <v>6</v>
      </c>
      <c r="V118" s="5">
        <v>1</v>
      </c>
      <c r="W118" s="5">
        <v>900</v>
      </c>
      <c r="X118" s="5">
        <v>1140</v>
      </c>
      <c r="Y118" s="5">
        <v>134</v>
      </c>
      <c r="Z118" s="5">
        <v>900</v>
      </c>
      <c r="AA118" s="5">
        <v>1140</v>
      </c>
      <c r="AB118" s="5">
        <v>134</v>
      </c>
      <c r="AC118">
        <f t="shared" si="1"/>
        <v>2174</v>
      </c>
    </row>
    <row r="119" spans="1:29">
      <c r="A119" s="4">
        <v>204</v>
      </c>
      <c r="B119" s="5">
        <f>_xlfn.XLOOKUP(G119,Sheet1!E:E,Sheet1!A:A)</f>
        <v>3363</v>
      </c>
      <c r="C119" s="5">
        <v>201</v>
      </c>
      <c r="D119" s="5">
        <f>_xlfn.XLOOKUP(G119,'规范整合泌尿系统医疗服务价格映射表12.11 (2)'!T:T,'规范整合泌尿系统医疗服务价格映射表12.11 (2)'!A:A)</f>
        <v>62</v>
      </c>
      <c r="E119" s="12"/>
      <c r="F119" s="9" t="str">
        <f>_xlfn.XLOOKUP(G119,Sheet1!F:F,Sheet1!G:G)</f>
        <v>尿道狭窄瘢痕切除术</v>
      </c>
      <c r="G119" s="10" t="s">
        <v>1089</v>
      </c>
      <c r="H119" s="11"/>
      <c r="I119" s="5">
        <v>1500</v>
      </c>
      <c r="J119" s="5">
        <v>1440</v>
      </c>
      <c r="K119" s="5">
        <v>1224</v>
      </c>
      <c r="L119" s="11"/>
      <c r="M119" s="5">
        <v>1300</v>
      </c>
      <c r="N119" s="5">
        <v>1150</v>
      </c>
      <c r="O119" s="5">
        <v>950</v>
      </c>
      <c r="P119" s="5">
        <v>1</v>
      </c>
      <c r="Q119" s="5">
        <v>1</v>
      </c>
      <c r="R119" s="5" t="s">
        <v>2111</v>
      </c>
      <c r="S119" s="5">
        <v>0</v>
      </c>
      <c r="T119" s="5">
        <v>6.5</v>
      </c>
      <c r="U119" s="5">
        <v>5.5</v>
      </c>
      <c r="V119" s="5">
        <v>0</v>
      </c>
      <c r="W119" s="5">
        <v>-1300</v>
      </c>
      <c r="X119" s="5">
        <v>-1595</v>
      </c>
      <c r="Y119" s="5">
        <v>0</v>
      </c>
      <c r="Z119" s="5">
        <v>-1300</v>
      </c>
      <c r="AA119" s="5">
        <v>-1595</v>
      </c>
      <c r="AB119" s="5">
        <v>0</v>
      </c>
      <c r="AC119">
        <f t="shared" si="1"/>
        <v>-2895</v>
      </c>
    </row>
    <row r="120" spans="1:29">
      <c r="A120" s="4">
        <v>156</v>
      </c>
      <c r="B120" s="5">
        <f>_xlfn.XLOOKUP(G120,Sheet1!E:E,Sheet1!A:A)</f>
        <v>3364</v>
      </c>
      <c r="C120" s="5">
        <v>201</v>
      </c>
      <c r="D120" s="5">
        <f>_xlfn.XLOOKUP(G120,'规范整合泌尿系统医疗服务价格映射表12.11 (2)'!T:T,'规范整合泌尿系统医疗服务价格映射表12.11 (2)'!A:A)</f>
        <v>62</v>
      </c>
      <c r="E120" s="12"/>
      <c r="F120" s="9" t="str">
        <f>_xlfn.XLOOKUP(G120,Sheet1!F:F,Sheet1!G:G)</f>
        <v>经膀胱镜尿道狭窄瘢痕切除术</v>
      </c>
      <c r="G120" s="10" t="s">
        <v>1091</v>
      </c>
      <c r="H120" s="11"/>
      <c r="I120" s="5">
        <v>1750</v>
      </c>
      <c r="J120" s="5">
        <v>1665</v>
      </c>
      <c r="K120" s="5">
        <v>1414</v>
      </c>
      <c r="L120" s="11"/>
      <c r="M120" s="5">
        <v>1300</v>
      </c>
      <c r="N120" s="5">
        <v>1150</v>
      </c>
      <c r="O120" s="5">
        <v>950</v>
      </c>
      <c r="P120" s="5">
        <v>1</v>
      </c>
      <c r="Q120" s="5">
        <v>1</v>
      </c>
      <c r="R120" s="5" t="s">
        <v>2111</v>
      </c>
      <c r="S120" s="5">
        <v>0</v>
      </c>
      <c r="T120" s="5">
        <v>35.5</v>
      </c>
      <c r="U120" s="5">
        <v>15</v>
      </c>
      <c r="V120" s="5">
        <v>0</v>
      </c>
      <c r="W120" s="5">
        <v>-15975</v>
      </c>
      <c r="X120" s="5">
        <v>-7725</v>
      </c>
      <c r="Y120" s="5">
        <v>0</v>
      </c>
      <c r="Z120" s="5">
        <v>-15975</v>
      </c>
      <c r="AA120" s="5">
        <v>-6892.5</v>
      </c>
      <c r="AB120" s="5">
        <v>0</v>
      </c>
      <c r="AC120">
        <f t="shared" si="1"/>
        <v>-22867.5</v>
      </c>
    </row>
    <row r="121" spans="1:29">
      <c r="A121" s="4">
        <v>169</v>
      </c>
      <c r="B121" s="5">
        <f>_xlfn.XLOOKUP(G121,Sheet1!E:E,Sheet1!A:A)</f>
        <v>3366</v>
      </c>
      <c r="C121" s="5">
        <v>201</v>
      </c>
      <c r="D121" s="5">
        <f>_xlfn.XLOOKUP(G121,'规范整合泌尿系统医疗服务价格映射表12.11 (2)'!T:T,'规范整合泌尿系统医疗服务价格映射表12.11 (2)'!A:A)</f>
        <v>62</v>
      </c>
      <c r="E121" s="12"/>
      <c r="F121" s="9" t="str">
        <f>_xlfn.XLOOKUP(G121,Sheet1!F:F,Sheet1!G:G)</f>
        <v>尿道憩室切除术</v>
      </c>
      <c r="G121" s="10" t="s">
        <v>1095</v>
      </c>
      <c r="H121" s="11"/>
      <c r="I121" s="5">
        <v>1375</v>
      </c>
      <c r="J121" s="5">
        <v>1320</v>
      </c>
      <c r="K121" s="5">
        <v>1122</v>
      </c>
      <c r="L121" s="11"/>
      <c r="M121" s="5">
        <v>1300</v>
      </c>
      <c r="N121" s="5">
        <v>1150</v>
      </c>
      <c r="O121" s="5">
        <v>950</v>
      </c>
      <c r="P121" s="5">
        <v>1</v>
      </c>
      <c r="Q121" s="5">
        <v>1</v>
      </c>
      <c r="R121" s="5" t="s">
        <v>2111</v>
      </c>
      <c r="S121" s="5">
        <v>0</v>
      </c>
      <c r="T121" s="5">
        <v>2</v>
      </c>
      <c r="U121" s="5">
        <v>2</v>
      </c>
      <c r="V121" s="5">
        <v>0</v>
      </c>
      <c r="W121" s="5">
        <v>-150</v>
      </c>
      <c r="X121" s="5">
        <v>-340</v>
      </c>
      <c r="Y121" s="5">
        <v>0</v>
      </c>
      <c r="Z121" s="5">
        <v>-150</v>
      </c>
      <c r="AA121" s="5">
        <v>320</v>
      </c>
      <c r="AB121" s="5">
        <v>0</v>
      </c>
      <c r="AC121">
        <f t="shared" si="1"/>
        <v>170</v>
      </c>
    </row>
    <row r="122" spans="1:29">
      <c r="A122" s="4">
        <v>189</v>
      </c>
      <c r="B122" s="5">
        <f>_xlfn.XLOOKUP(G122,Sheet1!E:E,Sheet1!A:A)</f>
        <v>3367</v>
      </c>
      <c r="C122" s="5">
        <v>201</v>
      </c>
      <c r="D122" s="5">
        <f>_xlfn.XLOOKUP(G122,'规范整合泌尿系统医疗服务价格映射表12.11 (2)'!T:T,'规范整合泌尿系统医疗服务价格映射表12.11 (2)'!A:A)</f>
        <v>62</v>
      </c>
      <c r="E122" s="12"/>
      <c r="F122" s="9" t="str">
        <f>_xlfn.XLOOKUP(G122,Sheet1!F:F,Sheet1!G:G)</f>
        <v>经膀胱镜尿道憩室切除术</v>
      </c>
      <c r="G122" s="10" t="s">
        <v>1097</v>
      </c>
      <c r="H122" s="11"/>
      <c r="I122" s="5">
        <v>1625</v>
      </c>
      <c r="J122" s="5">
        <v>1545</v>
      </c>
      <c r="K122" s="5">
        <v>1312</v>
      </c>
      <c r="L122" s="11"/>
      <c r="M122" s="5">
        <v>1300</v>
      </c>
      <c r="N122" s="5">
        <v>1150</v>
      </c>
      <c r="O122" s="5">
        <v>950</v>
      </c>
      <c r="P122" s="5">
        <v>1</v>
      </c>
      <c r="Q122" s="5">
        <v>1</v>
      </c>
      <c r="R122" s="5" t="s">
        <v>2111</v>
      </c>
      <c r="S122" s="5">
        <v>0</v>
      </c>
      <c r="T122" s="5">
        <v>1</v>
      </c>
      <c r="U122" s="5">
        <v>0</v>
      </c>
      <c r="V122" s="5">
        <v>0</v>
      </c>
      <c r="W122" s="5">
        <v>-325</v>
      </c>
      <c r="X122" s="5">
        <v>0</v>
      </c>
      <c r="Y122" s="5">
        <v>0</v>
      </c>
      <c r="Z122" s="5">
        <v>-325</v>
      </c>
      <c r="AA122" s="5">
        <v>0</v>
      </c>
      <c r="AB122" s="5">
        <v>0</v>
      </c>
      <c r="AC122">
        <f t="shared" si="1"/>
        <v>-325</v>
      </c>
    </row>
    <row r="123" spans="1:29">
      <c r="A123" s="4">
        <v>19</v>
      </c>
      <c r="B123" s="5">
        <f>_xlfn.XLOOKUP(G123,Sheet1!E:E,Sheet1!A:A)</f>
        <v>3372</v>
      </c>
      <c r="C123" s="5">
        <v>201</v>
      </c>
      <c r="D123" s="5">
        <f>_xlfn.XLOOKUP(G123,'规范整合泌尿系统医疗服务价格映射表12.11 (2)'!T:T,'规范整合泌尿系统医疗服务价格映射表12.11 (2)'!A:A)</f>
        <v>62</v>
      </c>
      <c r="E123" s="12"/>
      <c r="F123" s="9" t="str">
        <f>_xlfn.XLOOKUP(G123,Sheet1!F:F,Sheet1!G:G)</f>
        <v>尿道良性肿物切除术</v>
      </c>
      <c r="G123" s="10" t="s">
        <v>1107</v>
      </c>
      <c r="H123" s="11"/>
      <c r="I123" s="5">
        <v>1000</v>
      </c>
      <c r="J123" s="5">
        <v>960</v>
      </c>
      <c r="K123" s="5">
        <v>816</v>
      </c>
      <c r="L123" s="11"/>
      <c r="M123" s="5">
        <v>1300</v>
      </c>
      <c r="N123" s="5">
        <v>1150</v>
      </c>
      <c r="O123" s="5">
        <v>950</v>
      </c>
      <c r="P123" s="5">
        <v>1</v>
      </c>
      <c r="Q123" s="5">
        <v>1</v>
      </c>
      <c r="R123" s="5" t="s">
        <v>2111</v>
      </c>
      <c r="S123" s="5">
        <v>0</v>
      </c>
      <c r="T123" s="5">
        <v>55</v>
      </c>
      <c r="U123" s="5">
        <v>50.5</v>
      </c>
      <c r="V123" s="5">
        <v>5</v>
      </c>
      <c r="W123" s="5">
        <v>16500</v>
      </c>
      <c r="X123" s="5">
        <v>9595</v>
      </c>
      <c r="Y123" s="5">
        <v>670</v>
      </c>
      <c r="Z123" s="5">
        <v>16500</v>
      </c>
      <c r="AA123" s="5">
        <v>9595</v>
      </c>
      <c r="AB123" s="5">
        <v>670</v>
      </c>
      <c r="AC123">
        <f t="shared" si="1"/>
        <v>26765</v>
      </c>
    </row>
    <row r="124" spans="1:29">
      <c r="A124" s="4">
        <v>89</v>
      </c>
      <c r="B124" s="5">
        <f>_xlfn.XLOOKUP(G124,Sheet1!E:E,Sheet1!A:A)</f>
        <v>3373</v>
      </c>
      <c r="C124" s="5">
        <v>201</v>
      </c>
      <c r="D124" s="5">
        <f>_xlfn.XLOOKUP(G124,'规范整合泌尿系统医疗服务价格映射表12.11 (2)'!T:T,'规范整合泌尿系统医疗服务价格映射表12.11 (2)'!A:A)</f>
        <v>62</v>
      </c>
      <c r="E124" s="12"/>
      <c r="F124" s="9" t="str">
        <f>_xlfn.XLOOKUP(G124,Sheet1!F:F,Sheet1!G:G)</f>
        <v>经膀胱镜尿道良性肿物切除术</v>
      </c>
      <c r="G124" s="10" t="s">
        <v>1109</v>
      </c>
      <c r="H124" s="11"/>
      <c r="I124" s="5">
        <v>1250</v>
      </c>
      <c r="J124" s="5">
        <v>1185</v>
      </c>
      <c r="K124" s="5">
        <v>1006</v>
      </c>
      <c r="L124" s="11"/>
      <c r="M124" s="5">
        <v>1300</v>
      </c>
      <c r="N124" s="5">
        <v>1150</v>
      </c>
      <c r="O124" s="5">
        <v>950</v>
      </c>
      <c r="P124" s="5">
        <v>1</v>
      </c>
      <c r="Q124" s="5">
        <v>1</v>
      </c>
      <c r="R124" s="5" t="s">
        <v>2111</v>
      </c>
      <c r="S124" s="5">
        <v>0</v>
      </c>
      <c r="T124" s="5">
        <v>1</v>
      </c>
      <c r="U124" s="5">
        <v>16</v>
      </c>
      <c r="V124" s="5">
        <v>1</v>
      </c>
      <c r="W124" s="5">
        <v>50</v>
      </c>
      <c r="X124" s="5">
        <v>-560</v>
      </c>
      <c r="Y124" s="5">
        <v>-56</v>
      </c>
      <c r="Z124" s="5">
        <v>50</v>
      </c>
      <c r="AA124" s="5">
        <v>-560</v>
      </c>
      <c r="AB124" s="5">
        <v>-56</v>
      </c>
      <c r="AC124">
        <f t="shared" si="1"/>
        <v>-566</v>
      </c>
    </row>
    <row r="125" spans="1:29">
      <c r="A125" s="4">
        <v>95</v>
      </c>
      <c r="B125" s="5">
        <f>_xlfn.XLOOKUP(G125,Sheet1!E:E,Sheet1!A:A)</f>
        <v>3385</v>
      </c>
      <c r="C125" s="5">
        <v>201</v>
      </c>
      <c r="D125" s="5" t="str">
        <f>_xlfn.XLOOKUP(G125,'规范整合泌尿系统医疗服务价格映射表12.11 (2)'!T:T,'规范整合泌尿系统医疗服务价格映射表12.11 (2)'!A:A)</f>
        <v>分项</v>
      </c>
      <c r="E125" s="8" t="s">
        <v>2136</v>
      </c>
      <c r="F125" s="9" t="str">
        <f>_xlfn.XLOOKUP(G125,Sheet1!F:F,Sheet1!G:G)</f>
        <v>小儿尿道良性肿物切除术</v>
      </c>
      <c r="G125" s="10" t="s">
        <v>1135</v>
      </c>
      <c r="H125" s="11"/>
      <c r="I125" s="5">
        <v>1300</v>
      </c>
      <c r="J125" s="5">
        <v>1250</v>
      </c>
      <c r="K125" s="5">
        <v>1065</v>
      </c>
      <c r="L125" s="11"/>
      <c r="M125" s="5">
        <v>1690</v>
      </c>
      <c r="N125" s="5">
        <v>1495</v>
      </c>
      <c r="O125" s="5">
        <v>1235</v>
      </c>
      <c r="P125" s="5">
        <v>1</v>
      </c>
      <c r="Q125" s="5">
        <v>1</v>
      </c>
      <c r="R125" s="5" t="s">
        <v>2111</v>
      </c>
      <c r="S125" s="5">
        <v>0</v>
      </c>
      <c r="T125" s="5">
        <v>0</v>
      </c>
      <c r="U125" s="5">
        <v>2</v>
      </c>
      <c r="V125" s="5">
        <v>0</v>
      </c>
      <c r="W125" s="5">
        <v>0</v>
      </c>
      <c r="X125" s="5">
        <v>490</v>
      </c>
      <c r="Y125" s="5">
        <v>0</v>
      </c>
      <c r="Z125" s="5">
        <v>0</v>
      </c>
      <c r="AA125" s="5">
        <v>490</v>
      </c>
      <c r="AB125" s="5">
        <v>0</v>
      </c>
      <c r="AC125">
        <f t="shared" si="1"/>
        <v>490</v>
      </c>
    </row>
    <row r="126" spans="1:29">
      <c r="A126" s="4">
        <v>112</v>
      </c>
      <c r="B126" s="5">
        <f>_xlfn.XLOOKUP(G126,Sheet1!E:E,Sheet1!A:A)</f>
        <v>3387</v>
      </c>
      <c r="C126" s="5">
        <v>201</v>
      </c>
      <c r="D126" s="5">
        <f>_xlfn.XLOOKUP(G126,'规范整合泌尿系统医疗服务价格映射表12.11 (2)'!T:T,'规范整合泌尿系统医疗服务价格映射表12.11 (2)'!A:A)</f>
        <v>63</v>
      </c>
      <c r="E126" s="8" t="s">
        <v>1140</v>
      </c>
      <c r="F126" s="9" t="str">
        <f>_xlfn.XLOOKUP(G126,Sheet1!F:F,Sheet1!G:G)</f>
        <v>尿道癌根治术</v>
      </c>
      <c r="G126" s="10" t="s">
        <v>1144</v>
      </c>
      <c r="H126" s="11"/>
      <c r="I126" s="5">
        <v>2190</v>
      </c>
      <c r="J126" s="5">
        <v>1970</v>
      </c>
      <c r="K126" s="5">
        <v>1670</v>
      </c>
      <c r="L126" s="11"/>
      <c r="M126" s="5">
        <v>2050</v>
      </c>
      <c r="N126" s="5">
        <v>1850</v>
      </c>
      <c r="O126" s="5">
        <v>1570</v>
      </c>
      <c r="P126" s="5">
        <v>1</v>
      </c>
      <c r="Q126" s="5">
        <v>1</v>
      </c>
      <c r="R126" s="5" t="s">
        <v>2111</v>
      </c>
      <c r="S126" s="5">
        <v>0</v>
      </c>
      <c r="T126" s="5">
        <v>0</v>
      </c>
      <c r="U126" s="5">
        <v>1</v>
      </c>
      <c r="V126" s="5">
        <v>0</v>
      </c>
      <c r="W126" s="5">
        <v>0</v>
      </c>
      <c r="X126" s="5">
        <v>-120</v>
      </c>
      <c r="Y126" s="5">
        <v>0</v>
      </c>
      <c r="Z126" s="5">
        <v>0</v>
      </c>
      <c r="AA126" s="5">
        <v>-120</v>
      </c>
      <c r="AB126" s="5">
        <v>0</v>
      </c>
      <c r="AC126">
        <f t="shared" si="1"/>
        <v>-120</v>
      </c>
    </row>
    <row r="127" spans="1:29">
      <c r="A127" s="4">
        <v>103</v>
      </c>
      <c r="B127" s="5">
        <f>_xlfn.XLOOKUP(G127,Sheet1!E:E,Sheet1!A:A)</f>
        <v>3395</v>
      </c>
      <c r="C127" s="5">
        <v>201</v>
      </c>
      <c r="D127" s="5">
        <f>_xlfn.XLOOKUP(G127,'规范整合泌尿系统医疗服务价格映射表12.11 (2)'!T:T,'规范整合泌尿系统医疗服务价格映射表12.11 (2)'!A:A)</f>
        <v>64</v>
      </c>
      <c r="E127" s="8" t="s">
        <v>1165</v>
      </c>
      <c r="F127" s="9" t="str">
        <f>_xlfn.XLOOKUP(G127,Sheet1!F:F,Sheet1!G:G)</f>
        <v>尿道狭窄扩张术</v>
      </c>
      <c r="G127" s="10" t="s">
        <v>1169</v>
      </c>
      <c r="H127" s="11"/>
      <c r="I127" s="5">
        <v>55</v>
      </c>
      <c r="J127" s="5">
        <v>50</v>
      </c>
      <c r="K127" s="5">
        <v>42.5</v>
      </c>
      <c r="L127" s="11"/>
      <c r="M127" s="5">
        <v>55</v>
      </c>
      <c r="N127" s="5">
        <v>50</v>
      </c>
      <c r="O127" s="5">
        <v>43</v>
      </c>
      <c r="P127" s="5">
        <v>1</v>
      </c>
      <c r="Q127" s="5">
        <v>1</v>
      </c>
      <c r="R127" s="5" t="s">
        <v>2111</v>
      </c>
      <c r="S127" s="5">
        <v>0</v>
      </c>
      <c r="T127" s="5">
        <v>131</v>
      </c>
      <c r="U127" s="5">
        <v>95.5</v>
      </c>
      <c r="V127" s="5">
        <v>2</v>
      </c>
      <c r="W127" s="5">
        <v>0</v>
      </c>
      <c r="X127" s="5">
        <v>0</v>
      </c>
      <c r="Y127" s="5">
        <v>1</v>
      </c>
      <c r="Z127" s="5">
        <v>0</v>
      </c>
      <c r="AA127" s="5">
        <v>0</v>
      </c>
      <c r="AB127" s="5">
        <v>1</v>
      </c>
      <c r="AC127">
        <f t="shared" si="1"/>
        <v>1</v>
      </c>
    </row>
    <row r="128" spans="1:29">
      <c r="A128" s="4">
        <v>33</v>
      </c>
      <c r="B128" s="5">
        <f>_xlfn.XLOOKUP(G128,Sheet1!E:E,Sheet1!A:A)</f>
        <v>3396</v>
      </c>
      <c r="C128" s="5">
        <v>201</v>
      </c>
      <c r="D128" s="5">
        <f>_xlfn.XLOOKUP(G128,'规范整合泌尿系统医疗服务价格映射表12.11 (2)'!T:T,'规范整合泌尿系统医疗服务价格映射表12.11 (2)'!A:A)</f>
        <v>65</v>
      </c>
      <c r="E128" s="8" t="s">
        <v>1175</v>
      </c>
      <c r="F128" s="9" t="str">
        <f>_xlfn.XLOOKUP(G128,Sheet1!F:F,Sheet1!G:G)</f>
        <v>尿道下裂修复术</v>
      </c>
      <c r="G128" s="10" t="s">
        <v>1179</v>
      </c>
      <c r="H128" s="11"/>
      <c r="I128" s="5">
        <v>2530</v>
      </c>
      <c r="J128" s="5">
        <v>2280</v>
      </c>
      <c r="K128" s="5">
        <v>1940</v>
      </c>
      <c r="L128" s="11"/>
      <c r="M128" s="5">
        <v>2400</v>
      </c>
      <c r="N128" s="5">
        <v>2280</v>
      </c>
      <c r="O128" s="5">
        <v>1950</v>
      </c>
      <c r="P128" s="5">
        <v>1</v>
      </c>
      <c r="Q128" s="5">
        <v>1</v>
      </c>
      <c r="R128" s="5" t="s">
        <v>2111</v>
      </c>
      <c r="S128" s="5">
        <v>0</v>
      </c>
      <c r="T128" s="5">
        <v>5</v>
      </c>
      <c r="U128" s="5">
        <v>1</v>
      </c>
      <c r="V128" s="5">
        <v>0</v>
      </c>
      <c r="W128" s="5">
        <v>-650</v>
      </c>
      <c r="X128" s="5">
        <v>0</v>
      </c>
      <c r="Y128" s="5">
        <v>0</v>
      </c>
      <c r="Z128" s="5">
        <v>-650</v>
      </c>
      <c r="AA128" s="5">
        <v>0</v>
      </c>
      <c r="AB128" s="5">
        <v>0</v>
      </c>
      <c r="AC128">
        <f t="shared" si="1"/>
        <v>-650</v>
      </c>
    </row>
    <row r="129" spans="1:29">
      <c r="A129" s="4">
        <v>180</v>
      </c>
      <c r="B129" s="5">
        <f>_xlfn.XLOOKUP(G129,Sheet1!E:E,Sheet1!A:A)</f>
        <v>3397</v>
      </c>
      <c r="C129" s="5">
        <v>201</v>
      </c>
      <c r="D129" s="5">
        <f>_xlfn.XLOOKUP(G129,'规范整合泌尿系统医疗服务价格映射表12.11 (2)'!T:T,'规范整合泌尿系统医疗服务价格映射表12.11 (2)'!A:A)</f>
        <v>65</v>
      </c>
      <c r="E129" s="12"/>
      <c r="F129" s="9" t="str">
        <f>_xlfn.XLOOKUP(G129,Sheet1!F:F,Sheet1!G:G)</f>
        <v>尿道下裂Ⅰ期成形术</v>
      </c>
      <c r="G129" s="10" t="s">
        <v>1182</v>
      </c>
      <c r="H129" s="11"/>
      <c r="I129" s="5">
        <v>2530</v>
      </c>
      <c r="J129" s="5">
        <v>2280</v>
      </c>
      <c r="K129" s="5">
        <v>1940</v>
      </c>
      <c r="L129" s="11"/>
      <c r="M129" s="5">
        <v>2400</v>
      </c>
      <c r="N129" s="5">
        <v>2280</v>
      </c>
      <c r="O129" s="5">
        <v>1950</v>
      </c>
      <c r="P129" s="5">
        <v>1</v>
      </c>
      <c r="Q129" s="5">
        <v>1</v>
      </c>
      <c r="R129" s="5" t="s">
        <v>2111</v>
      </c>
      <c r="S129" s="5">
        <v>0</v>
      </c>
      <c r="T129" s="5">
        <v>1</v>
      </c>
      <c r="U129" s="5">
        <v>1</v>
      </c>
      <c r="V129" s="5">
        <v>0</v>
      </c>
      <c r="W129" s="5">
        <v>-130</v>
      </c>
      <c r="X129" s="5">
        <v>0</v>
      </c>
      <c r="Y129" s="5">
        <v>0</v>
      </c>
      <c r="Z129" s="5">
        <v>-130</v>
      </c>
      <c r="AA129" s="5">
        <v>0</v>
      </c>
      <c r="AB129" s="5">
        <v>0</v>
      </c>
      <c r="AC129">
        <f t="shared" si="1"/>
        <v>-130</v>
      </c>
    </row>
    <row r="130" spans="1:29">
      <c r="A130" s="4">
        <v>198</v>
      </c>
      <c r="B130" s="5">
        <f>_xlfn.XLOOKUP(G130,Sheet1!E:E,Sheet1!A:A)</f>
        <v>3399</v>
      </c>
      <c r="C130" s="5">
        <v>201</v>
      </c>
      <c r="D130" s="5">
        <f>_xlfn.XLOOKUP(G130,'规范整合泌尿系统医疗服务价格映射表12.11 (2)'!T:T,'规范整合泌尿系统医疗服务价格映射表12.11 (2)'!A:A)</f>
        <v>65</v>
      </c>
      <c r="E130" s="12"/>
      <c r="F130" s="9" t="str">
        <f>_xlfn.XLOOKUP(G130,Sheet1!F:F,Sheet1!G:G)</f>
        <v>尿道下裂阴茎下弯矫治术</v>
      </c>
      <c r="G130" s="10" t="s">
        <v>1186</v>
      </c>
      <c r="H130" s="11"/>
      <c r="I130" s="5">
        <v>1000</v>
      </c>
      <c r="J130" s="5">
        <v>960</v>
      </c>
      <c r="K130" s="5">
        <v>816</v>
      </c>
      <c r="L130" s="11"/>
      <c r="M130" s="5">
        <v>2400</v>
      </c>
      <c r="N130" s="5">
        <v>2280</v>
      </c>
      <c r="O130" s="5">
        <v>1950</v>
      </c>
      <c r="P130" s="5">
        <v>1</v>
      </c>
      <c r="Q130" s="5">
        <v>1</v>
      </c>
      <c r="R130" s="5" t="s">
        <v>2111</v>
      </c>
      <c r="S130" s="5">
        <v>0</v>
      </c>
      <c r="T130" s="5">
        <v>1</v>
      </c>
      <c r="U130" s="5">
        <v>0</v>
      </c>
      <c r="V130" s="5">
        <v>0</v>
      </c>
      <c r="W130" s="5">
        <v>1400</v>
      </c>
      <c r="X130" s="5">
        <v>0</v>
      </c>
      <c r="Y130" s="5">
        <v>0</v>
      </c>
      <c r="Z130" s="5">
        <v>1400</v>
      </c>
      <c r="AA130" s="5">
        <v>0</v>
      </c>
      <c r="AB130" s="5">
        <v>0</v>
      </c>
      <c r="AC130">
        <f t="shared" si="1"/>
        <v>1400</v>
      </c>
    </row>
    <row r="131" spans="1:29">
      <c r="A131" s="4">
        <v>93</v>
      </c>
      <c r="B131" s="5">
        <f>_xlfn.XLOOKUP(G131,Sheet1!E:E,Sheet1!A:A)</f>
        <v>3403</v>
      </c>
      <c r="C131" s="5">
        <v>201</v>
      </c>
      <c r="D131" s="5" t="str">
        <f>_xlfn.XLOOKUP(G131,'规范整合泌尿系统医疗服务价格映射表12.11 (2)'!T:T,'规范整合泌尿系统医疗服务价格映射表12.11 (2)'!A:A)</f>
        <v>分项</v>
      </c>
      <c r="E131" s="8" t="s">
        <v>2137</v>
      </c>
      <c r="F131" s="9" t="str">
        <f>_xlfn.XLOOKUP(G131,Sheet1!F:F,Sheet1!G:G)</f>
        <v>小儿尿道下裂修复术</v>
      </c>
      <c r="G131" s="10" t="s">
        <v>1199</v>
      </c>
      <c r="H131" s="11"/>
      <c r="I131" s="5">
        <v>3290</v>
      </c>
      <c r="J131" s="5">
        <v>2965</v>
      </c>
      <c r="K131" s="5">
        <v>2520</v>
      </c>
      <c r="L131" s="11"/>
      <c r="M131" s="5">
        <v>3120</v>
      </c>
      <c r="N131" s="5">
        <v>2965</v>
      </c>
      <c r="O131" s="5">
        <v>2535</v>
      </c>
      <c r="P131" s="5">
        <v>1</v>
      </c>
      <c r="Q131" s="5">
        <v>1</v>
      </c>
      <c r="R131" s="5" t="s">
        <v>2111</v>
      </c>
      <c r="S131" s="5">
        <v>0</v>
      </c>
      <c r="T131" s="5">
        <v>9</v>
      </c>
      <c r="U131" s="5">
        <v>1</v>
      </c>
      <c r="V131" s="5">
        <v>0</v>
      </c>
      <c r="W131" s="5">
        <v>-1530</v>
      </c>
      <c r="X131" s="5">
        <v>0</v>
      </c>
      <c r="Y131" s="5">
        <v>0</v>
      </c>
      <c r="Z131" s="5">
        <v>-1530</v>
      </c>
      <c r="AA131" s="5">
        <v>0</v>
      </c>
      <c r="AB131" s="5">
        <v>0</v>
      </c>
      <c r="AC131">
        <f t="shared" ref="AC131:AC194" si="2">Z131+AA131+AB131</f>
        <v>-1530</v>
      </c>
    </row>
    <row r="132" spans="1:29">
      <c r="A132" s="4">
        <v>98</v>
      </c>
      <c r="B132" s="5">
        <f>_xlfn.XLOOKUP(G132,Sheet1!E:E,Sheet1!A:A)</f>
        <v>3404</v>
      </c>
      <c r="C132" s="5">
        <v>201</v>
      </c>
      <c r="D132" s="5" t="str">
        <f>_xlfn.XLOOKUP(G132,'规范整合泌尿系统医疗服务价格映射表12.11 (2)'!T:T,'规范整合泌尿系统医疗服务价格映射表12.11 (2)'!A:A)</f>
        <v>分项</v>
      </c>
      <c r="E132" s="12"/>
      <c r="F132" s="9" t="str">
        <f>_xlfn.XLOOKUP(G132,Sheet1!F:F,Sheet1!G:G)</f>
        <v>小儿尿道下裂Ⅰ期成形术</v>
      </c>
      <c r="G132" s="10" t="s">
        <v>1201</v>
      </c>
      <c r="H132" s="11"/>
      <c r="I132" s="5">
        <v>3290</v>
      </c>
      <c r="J132" s="5">
        <v>2965</v>
      </c>
      <c r="K132" s="5">
        <v>2520</v>
      </c>
      <c r="L132" s="11"/>
      <c r="M132" s="5">
        <v>3120</v>
      </c>
      <c r="N132" s="5">
        <v>2965</v>
      </c>
      <c r="O132" s="5">
        <v>2535</v>
      </c>
      <c r="P132" s="5">
        <v>1</v>
      </c>
      <c r="Q132" s="5">
        <v>1</v>
      </c>
      <c r="R132" s="5" t="s">
        <v>2111</v>
      </c>
      <c r="S132" s="5">
        <v>0</v>
      </c>
      <c r="T132" s="5">
        <v>3</v>
      </c>
      <c r="U132" s="5">
        <v>0</v>
      </c>
      <c r="V132" s="5">
        <v>0</v>
      </c>
      <c r="W132" s="5">
        <v>-510</v>
      </c>
      <c r="X132" s="5">
        <v>0</v>
      </c>
      <c r="Y132" s="5">
        <v>0</v>
      </c>
      <c r="Z132" s="5">
        <v>-510</v>
      </c>
      <c r="AA132" s="5">
        <v>0</v>
      </c>
      <c r="AB132" s="5">
        <v>0</v>
      </c>
      <c r="AC132">
        <f t="shared" si="2"/>
        <v>-510</v>
      </c>
    </row>
    <row r="133" spans="1:29">
      <c r="A133" s="4">
        <v>5</v>
      </c>
      <c r="B133" s="5">
        <f>_xlfn.XLOOKUP(G133,Sheet1!E:E,Sheet1!A:A)</f>
        <v>3405</v>
      </c>
      <c r="C133" s="5">
        <v>201</v>
      </c>
      <c r="D133" s="5" t="str">
        <f>_xlfn.XLOOKUP(G133,'规范整合泌尿系统医疗服务价格映射表12.11 (2)'!T:T,'规范整合泌尿系统医疗服务价格映射表12.11 (2)'!A:A)</f>
        <v>分项</v>
      </c>
      <c r="E133" s="12"/>
      <c r="F133" s="9" t="str">
        <f>_xlfn.XLOOKUP(G133,Sheet1!F:F,Sheet1!G:G)</f>
        <v>小儿尿道下裂Ⅱ期成形术</v>
      </c>
      <c r="G133" s="10" t="s">
        <v>1203</v>
      </c>
      <c r="H133" s="11"/>
      <c r="I133" s="5">
        <v>3290</v>
      </c>
      <c r="J133" s="5">
        <v>2965</v>
      </c>
      <c r="K133" s="5">
        <v>2520</v>
      </c>
      <c r="L133" s="11"/>
      <c r="M133" s="5">
        <v>3120</v>
      </c>
      <c r="N133" s="5">
        <v>2965</v>
      </c>
      <c r="O133" s="5">
        <v>2535</v>
      </c>
      <c r="P133" s="5">
        <v>1</v>
      </c>
      <c r="Q133" s="5">
        <v>1</v>
      </c>
      <c r="R133" s="5" t="s">
        <v>2111</v>
      </c>
      <c r="S133" s="5">
        <v>0</v>
      </c>
      <c r="T133" s="5">
        <v>1</v>
      </c>
      <c r="U133" s="5">
        <v>0</v>
      </c>
      <c r="V133" s="5">
        <v>0</v>
      </c>
      <c r="W133" s="5">
        <v>-170</v>
      </c>
      <c r="X133" s="5">
        <v>0</v>
      </c>
      <c r="Y133" s="5">
        <v>0</v>
      </c>
      <c r="Z133" s="5">
        <v>-170</v>
      </c>
      <c r="AA133" s="5">
        <v>0</v>
      </c>
      <c r="AB133" s="5">
        <v>0</v>
      </c>
      <c r="AC133">
        <f t="shared" si="2"/>
        <v>-170</v>
      </c>
    </row>
    <row r="134" spans="1:29">
      <c r="A134" s="4">
        <v>12</v>
      </c>
      <c r="B134" s="5">
        <f>_xlfn.XLOOKUP(G134,Sheet1!E:E,Sheet1!A:A)</f>
        <v>3406</v>
      </c>
      <c r="C134" s="5">
        <v>201</v>
      </c>
      <c r="D134" s="5" t="str">
        <f>_xlfn.XLOOKUP(G134,'规范整合泌尿系统医疗服务价格映射表12.11 (2)'!T:T,'规范整合泌尿系统医疗服务价格映射表12.11 (2)'!A:A)</f>
        <v>分项</v>
      </c>
      <c r="E134" s="12"/>
      <c r="F134" s="9" t="str">
        <f>_xlfn.XLOOKUP(G134,Sheet1!F:F,Sheet1!G:G)</f>
        <v>小儿尿道下裂阴茎下弯矫治术</v>
      </c>
      <c r="G134" s="10" t="s">
        <v>1205</v>
      </c>
      <c r="H134" s="11"/>
      <c r="I134" s="5">
        <v>1300</v>
      </c>
      <c r="J134" s="5">
        <v>1250</v>
      </c>
      <c r="K134" s="5">
        <v>1065</v>
      </c>
      <c r="L134" s="11"/>
      <c r="M134" s="5">
        <v>3120</v>
      </c>
      <c r="N134" s="5">
        <v>2965</v>
      </c>
      <c r="O134" s="5">
        <v>2535</v>
      </c>
      <c r="P134" s="5">
        <v>1</v>
      </c>
      <c r="Q134" s="5">
        <v>1</v>
      </c>
      <c r="R134" s="5" t="s">
        <v>2111</v>
      </c>
      <c r="S134" s="5">
        <v>0</v>
      </c>
      <c r="T134" s="5">
        <v>1</v>
      </c>
      <c r="U134" s="5">
        <v>0</v>
      </c>
      <c r="V134" s="5">
        <v>0</v>
      </c>
      <c r="W134" s="5">
        <v>1820</v>
      </c>
      <c r="X134" s="5">
        <v>0</v>
      </c>
      <c r="Y134" s="5">
        <v>0</v>
      </c>
      <c r="Z134" s="5">
        <v>1820</v>
      </c>
      <c r="AA134" s="5">
        <v>0</v>
      </c>
      <c r="AB134" s="5">
        <v>0</v>
      </c>
      <c r="AC134">
        <f t="shared" si="2"/>
        <v>1820</v>
      </c>
    </row>
    <row r="135" spans="1:29">
      <c r="A135" s="4">
        <v>194</v>
      </c>
      <c r="B135" s="5">
        <f>_xlfn.XLOOKUP(G135,Sheet1!E:E,Sheet1!A:A)</f>
        <v>3414</v>
      </c>
      <c r="C135" s="5">
        <v>201</v>
      </c>
      <c r="D135" s="5">
        <f>_xlfn.XLOOKUP(G135,'规范整合泌尿系统医疗服务价格映射表12.11 (2)'!T:T,'规范整合泌尿系统医疗服务价格映射表12.11 (2)'!A:A)</f>
        <v>67</v>
      </c>
      <c r="E135" s="8" t="s">
        <v>1220</v>
      </c>
      <c r="F135" s="9" t="str">
        <f>_xlfn.XLOOKUP(G135,Sheet1!F:F,Sheet1!G:G)</f>
        <v>回肠膀胱术</v>
      </c>
      <c r="G135" s="10" t="s">
        <v>1232</v>
      </c>
      <c r="H135" s="11"/>
      <c r="I135" s="5">
        <v>3040</v>
      </c>
      <c r="J135" s="5">
        <v>2740</v>
      </c>
      <c r="K135" s="5">
        <v>2330</v>
      </c>
      <c r="L135" s="11"/>
      <c r="M135" s="5">
        <v>3040</v>
      </c>
      <c r="N135" s="5">
        <v>2740</v>
      </c>
      <c r="O135" s="5">
        <v>2330</v>
      </c>
      <c r="P135" s="5">
        <v>1</v>
      </c>
      <c r="Q135" s="5">
        <v>1</v>
      </c>
      <c r="R135" s="5" t="s">
        <v>2111</v>
      </c>
      <c r="S135" s="5">
        <v>0</v>
      </c>
      <c r="T135" s="5">
        <v>4</v>
      </c>
      <c r="U135" s="5">
        <v>0</v>
      </c>
      <c r="V135" s="5">
        <v>0.5</v>
      </c>
      <c r="W135" s="5">
        <v>0</v>
      </c>
      <c r="X135" s="5">
        <v>0</v>
      </c>
      <c r="Y135" s="5">
        <v>0</v>
      </c>
      <c r="Z135" s="5">
        <v>0</v>
      </c>
      <c r="AA135" s="5">
        <v>0</v>
      </c>
      <c r="AB135" s="5">
        <v>0</v>
      </c>
      <c r="AC135">
        <f t="shared" si="2"/>
        <v>0</v>
      </c>
    </row>
    <row r="136" spans="1:29">
      <c r="A136" s="4">
        <v>2</v>
      </c>
      <c r="B136" s="5">
        <f>_xlfn.XLOOKUP(G136,Sheet1!E:E,Sheet1!A:A)</f>
        <v>3428</v>
      </c>
      <c r="C136" s="5">
        <v>201</v>
      </c>
      <c r="D136" s="5" t="str">
        <f>_xlfn.XLOOKUP(G136,'规范整合泌尿系统医疗服务价格映射表12.11 (2)'!T:T,'规范整合泌尿系统医疗服务价格映射表12.11 (2)'!A:A)</f>
        <v>分项</v>
      </c>
      <c r="E136" s="8" t="s">
        <v>2138</v>
      </c>
      <c r="F136" s="9" t="str">
        <f>_xlfn.XLOOKUP(G136,Sheet1!F:F,Sheet1!G:G)</f>
        <v>输尿管皮肤造口术</v>
      </c>
      <c r="G136" s="10" t="s">
        <v>1270</v>
      </c>
      <c r="H136" s="11"/>
      <c r="I136" s="5">
        <v>2190</v>
      </c>
      <c r="J136" s="5">
        <v>1970</v>
      </c>
      <c r="K136" s="5">
        <v>1670</v>
      </c>
      <c r="L136" s="11"/>
      <c r="M136" s="5">
        <v>740</v>
      </c>
      <c r="N136" s="5">
        <v>670</v>
      </c>
      <c r="O136" s="5">
        <v>570</v>
      </c>
      <c r="P136" s="5">
        <v>1</v>
      </c>
      <c r="Q136" s="5">
        <v>1</v>
      </c>
      <c r="R136" s="5" t="s">
        <v>2111</v>
      </c>
      <c r="S136" s="5">
        <v>0</v>
      </c>
      <c r="T136" s="5">
        <v>3.5</v>
      </c>
      <c r="U136" s="5">
        <v>2</v>
      </c>
      <c r="V136" s="5">
        <v>0</v>
      </c>
      <c r="W136" s="5">
        <v>-5075</v>
      </c>
      <c r="X136" s="5">
        <v>-2600</v>
      </c>
      <c r="Y136" s="5">
        <v>0</v>
      </c>
      <c r="Z136" s="5">
        <v>-5075</v>
      </c>
      <c r="AA136" s="5">
        <v>-2600</v>
      </c>
      <c r="AB136" s="5">
        <v>0</v>
      </c>
      <c r="AC136">
        <f t="shared" si="2"/>
        <v>-7675</v>
      </c>
    </row>
    <row r="137" spans="1:29">
      <c r="A137" s="4">
        <v>195</v>
      </c>
      <c r="B137" s="5">
        <f>_xlfn.XLOOKUP(G137,Sheet1!E:E,Sheet1!A:A)</f>
        <v>3442</v>
      </c>
      <c r="C137" s="5">
        <v>201</v>
      </c>
      <c r="D137" s="5">
        <f>_xlfn.XLOOKUP(G137,'规范整合泌尿系统医疗服务价格映射表12.11 (2)'!T:T,'规范整合泌尿系统医疗服务价格映射表12.11 (2)'!A:A)</f>
        <v>68</v>
      </c>
      <c r="E137" s="8" t="s">
        <v>1302</v>
      </c>
      <c r="F137" s="9" t="str">
        <f>_xlfn.XLOOKUP(G137,Sheet1!F:F,Sheet1!G:G)</f>
        <v>经皮肾镜或输尿管镜内切开成形术</v>
      </c>
      <c r="G137" s="10" t="s">
        <v>1306</v>
      </c>
      <c r="H137" s="11"/>
      <c r="I137" s="5">
        <v>2700</v>
      </c>
      <c r="J137" s="5">
        <v>2430</v>
      </c>
      <c r="K137" s="5">
        <v>2070</v>
      </c>
      <c r="L137" s="11"/>
      <c r="M137" s="5">
        <v>2550</v>
      </c>
      <c r="N137" s="5">
        <v>2390</v>
      </c>
      <c r="O137" s="5">
        <v>2000</v>
      </c>
      <c r="P137" s="5">
        <v>1</v>
      </c>
      <c r="Q137" s="5">
        <v>1</v>
      </c>
      <c r="R137" s="5" t="s">
        <v>2111</v>
      </c>
      <c r="S137" s="5">
        <v>0</v>
      </c>
      <c r="T137" s="5">
        <v>9</v>
      </c>
      <c r="U137" s="5">
        <v>56.5</v>
      </c>
      <c r="V137" s="5">
        <v>0</v>
      </c>
      <c r="W137" s="5">
        <v>-1350</v>
      </c>
      <c r="X137" s="5">
        <v>-2260</v>
      </c>
      <c r="Y137" s="5">
        <v>0</v>
      </c>
      <c r="Z137" s="5">
        <v>-1350</v>
      </c>
      <c r="AA137" s="5">
        <v>-1045</v>
      </c>
      <c r="AB137" s="5">
        <v>0</v>
      </c>
      <c r="AC137">
        <f t="shared" si="2"/>
        <v>-2395</v>
      </c>
    </row>
    <row r="138" spans="1:29">
      <c r="A138" s="4">
        <v>3</v>
      </c>
      <c r="B138" s="5">
        <f>_xlfn.XLOOKUP(G138,Sheet1!E:E,Sheet1!A:A)</f>
        <v>3443</v>
      </c>
      <c r="C138" s="5">
        <v>201</v>
      </c>
      <c r="D138" s="5">
        <f>_xlfn.XLOOKUP(G138,'规范整合泌尿系统医疗服务价格映射表12.11 (2)'!T:T,'规范整合泌尿系统医疗服务价格映射表12.11 (2)'!A:A)</f>
        <v>68</v>
      </c>
      <c r="E138" s="12"/>
      <c r="F138" s="9" t="str">
        <f>_xlfn.XLOOKUP(G138,Sheet1!F:F,Sheet1!G:G)</f>
        <v>肾盂输尿管成形术</v>
      </c>
      <c r="G138" s="10" t="s">
        <v>1309</v>
      </c>
      <c r="H138" s="11"/>
      <c r="I138" s="5">
        <v>2700</v>
      </c>
      <c r="J138" s="5">
        <v>2430</v>
      </c>
      <c r="K138" s="5">
        <v>2070</v>
      </c>
      <c r="L138" s="11"/>
      <c r="M138" s="5">
        <v>2550</v>
      </c>
      <c r="N138" s="5">
        <v>2390</v>
      </c>
      <c r="O138" s="5">
        <v>2000</v>
      </c>
      <c r="P138" s="5">
        <v>1</v>
      </c>
      <c r="Q138" s="5">
        <v>1</v>
      </c>
      <c r="R138" s="5" t="s">
        <v>2111</v>
      </c>
      <c r="S138" s="5">
        <v>0</v>
      </c>
      <c r="T138" s="5">
        <v>0.5</v>
      </c>
      <c r="U138" s="5">
        <v>1</v>
      </c>
      <c r="V138" s="5">
        <v>0</v>
      </c>
      <c r="W138" s="5">
        <v>-75</v>
      </c>
      <c r="X138" s="5">
        <v>-40</v>
      </c>
      <c r="Y138" s="5">
        <v>0</v>
      </c>
      <c r="Z138" s="5">
        <v>-75</v>
      </c>
      <c r="AA138" s="5">
        <v>-40</v>
      </c>
      <c r="AB138" s="5">
        <v>0</v>
      </c>
      <c r="AC138">
        <f t="shared" si="2"/>
        <v>-115</v>
      </c>
    </row>
    <row r="139" spans="1:29">
      <c r="A139" s="4">
        <v>123</v>
      </c>
      <c r="B139" s="5">
        <f>_xlfn.XLOOKUP(G139,Sheet1!E:E,Sheet1!A:A)</f>
        <v>3445</v>
      </c>
      <c r="C139" s="5">
        <v>201</v>
      </c>
      <c r="D139" s="5">
        <f>_xlfn.XLOOKUP(G139,'规范整合泌尿系统医疗服务价格映射表12.11 (2)'!T:T,'规范整合泌尿系统医疗服务价格映射表12.11 (2)'!A:A)</f>
        <v>68</v>
      </c>
      <c r="E139" s="12"/>
      <c r="F139" s="9" t="str">
        <f>_xlfn.XLOOKUP(G139,Sheet1!F:F,Sheet1!G:G)</f>
        <v>经腹腔镜肾盂输尿管成形术</v>
      </c>
      <c r="G139" s="10" t="s">
        <v>1316</v>
      </c>
      <c r="H139" s="11"/>
      <c r="I139" s="5">
        <v>3325</v>
      </c>
      <c r="J139" s="5">
        <v>3030</v>
      </c>
      <c r="K139" s="5">
        <v>2580</v>
      </c>
      <c r="L139" s="11"/>
      <c r="M139" s="5">
        <v>2550</v>
      </c>
      <c r="N139" s="5">
        <v>2390</v>
      </c>
      <c r="O139" s="5">
        <v>2000</v>
      </c>
      <c r="P139" s="5">
        <v>1</v>
      </c>
      <c r="Q139" s="5">
        <v>1</v>
      </c>
      <c r="R139" s="5" t="s">
        <v>2111</v>
      </c>
      <c r="S139" s="5">
        <v>0</v>
      </c>
      <c r="T139" s="5">
        <v>25.3</v>
      </c>
      <c r="U139" s="5">
        <v>2</v>
      </c>
      <c r="V139" s="5">
        <v>0</v>
      </c>
      <c r="W139" s="5">
        <v>-19607.5</v>
      </c>
      <c r="X139" s="5">
        <v>-1280</v>
      </c>
      <c r="Y139" s="5">
        <v>0</v>
      </c>
      <c r="Z139" s="5">
        <v>-19607.5</v>
      </c>
      <c r="AA139" s="5">
        <v>-1280</v>
      </c>
      <c r="AB139" s="5">
        <v>0</v>
      </c>
      <c r="AC139">
        <f t="shared" si="2"/>
        <v>-20887.5</v>
      </c>
    </row>
    <row r="140" spans="1:29">
      <c r="A140" s="4">
        <v>144</v>
      </c>
      <c r="B140" s="5">
        <f>_xlfn.XLOOKUP(G140,Sheet1!E:E,Sheet1!A:A)</f>
        <v>3447</v>
      </c>
      <c r="C140" s="5">
        <v>201</v>
      </c>
      <c r="D140" s="5">
        <f>_xlfn.XLOOKUP(G140,'规范整合泌尿系统医疗服务价格映射表12.11 (2)'!T:T,'规范整合泌尿系统医疗服务价格映射表12.11 (2)'!A:A)</f>
        <v>68</v>
      </c>
      <c r="E140" s="12"/>
      <c r="F140" s="9" t="str">
        <f>_xlfn.XLOOKUP(G140,Sheet1!F:F,Sheet1!G:G)</f>
        <v>输尿管松解术</v>
      </c>
      <c r="G140" s="10" t="s">
        <v>1320</v>
      </c>
      <c r="H140" s="11"/>
      <c r="I140" s="5">
        <v>1375</v>
      </c>
      <c r="J140" s="5">
        <v>1320</v>
      </c>
      <c r="K140" s="5">
        <v>1122</v>
      </c>
      <c r="L140" s="11"/>
      <c r="M140" s="5">
        <v>2550</v>
      </c>
      <c r="N140" s="5">
        <v>2390</v>
      </c>
      <c r="O140" s="5">
        <v>2000</v>
      </c>
      <c r="P140" s="5">
        <v>1</v>
      </c>
      <c r="Q140" s="5">
        <v>1</v>
      </c>
      <c r="R140" s="5" t="s">
        <v>2111</v>
      </c>
      <c r="S140" s="5">
        <v>0</v>
      </c>
      <c r="T140" s="5">
        <v>1</v>
      </c>
      <c r="U140" s="5">
        <v>1</v>
      </c>
      <c r="V140" s="5">
        <v>0</v>
      </c>
      <c r="W140" s="5">
        <v>1175</v>
      </c>
      <c r="X140" s="5">
        <v>1070</v>
      </c>
      <c r="Y140" s="5">
        <v>0</v>
      </c>
      <c r="Z140" s="5">
        <v>1175</v>
      </c>
      <c r="AA140" s="5">
        <v>1070</v>
      </c>
      <c r="AB140" s="5">
        <v>0</v>
      </c>
      <c r="AC140">
        <f t="shared" si="2"/>
        <v>2245</v>
      </c>
    </row>
    <row r="141" spans="1:29">
      <c r="A141" s="4">
        <v>222</v>
      </c>
      <c r="B141" s="5">
        <f>_xlfn.XLOOKUP(G141,Sheet1!E:E,Sheet1!A:A)</f>
        <v>3448</v>
      </c>
      <c r="C141" s="5">
        <v>201</v>
      </c>
      <c r="D141" s="5">
        <f>_xlfn.XLOOKUP(G141,'规范整合泌尿系统医疗服务价格映射表12.11 (2)'!T:T,'规范整合泌尿系统医疗服务价格映射表12.11 (2)'!A:A)</f>
        <v>68</v>
      </c>
      <c r="E141" s="12"/>
      <c r="F141" s="9" t="str">
        <f>_xlfn.XLOOKUP(G141,Sheet1!F:F,Sheet1!G:G)</f>
        <v>经腹腔镜输尿管松解术</v>
      </c>
      <c r="G141" s="10" t="s">
        <v>1322</v>
      </c>
      <c r="H141" s="11"/>
      <c r="I141" s="5">
        <v>2000</v>
      </c>
      <c r="J141" s="5">
        <v>1920</v>
      </c>
      <c r="K141" s="5">
        <v>1632</v>
      </c>
      <c r="L141" s="11"/>
      <c r="M141" s="5">
        <v>2550</v>
      </c>
      <c r="N141" s="5">
        <v>2390</v>
      </c>
      <c r="O141" s="5">
        <v>2000</v>
      </c>
      <c r="P141" s="5">
        <v>1</v>
      </c>
      <c r="Q141" s="5">
        <v>1</v>
      </c>
      <c r="R141" s="5" t="s">
        <v>2111</v>
      </c>
      <c r="S141" s="5">
        <v>0</v>
      </c>
      <c r="T141" s="5">
        <v>4</v>
      </c>
      <c r="U141" s="5">
        <v>0</v>
      </c>
      <c r="V141" s="5">
        <v>0</v>
      </c>
      <c r="W141" s="5">
        <v>2200</v>
      </c>
      <c r="X141" s="5">
        <v>0</v>
      </c>
      <c r="Y141" s="5">
        <v>0</v>
      </c>
      <c r="Z141" s="5">
        <v>2200</v>
      </c>
      <c r="AA141" s="5">
        <v>0</v>
      </c>
      <c r="AB141" s="5">
        <v>0</v>
      </c>
      <c r="AC141">
        <f t="shared" si="2"/>
        <v>2200</v>
      </c>
    </row>
    <row r="142" spans="1:29">
      <c r="A142" s="4">
        <v>171</v>
      </c>
      <c r="B142" s="5">
        <f>_xlfn.XLOOKUP(G142,Sheet1!E:E,Sheet1!A:A)</f>
        <v>3450</v>
      </c>
      <c r="C142" s="5">
        <v>201</v>
      </c>
      <c r="D142" s="5">
        <f>_xlfn.XLOOKUP(G142,'规范整合泌尿系统医疗服务价格映射表12.11 (2)'!T:T,'规范整合泌尿系统医疗服务价格映射表12.11 (2)'!A:A)</f>
        <v>68</v>
      </c>
      <c r="E142" s="12"/>
      <c r="F142" s="9" t="str">
        <f>_xlfn.XLOOKUP(G142,Sheet1!F:F,Sheet1!G:G)</f>
        <v>经腹腔镜输尿管整形术</v>
      </c>
      <c r="G142" s="10" t="s">
        <v>1326</v>
      </c>
      <c r="H142" s="11"/>
      <c r="I142" s="5">
        <v>2815</v>
      </c>
      <c r="J142" s="5">
        <v>2570</v>
      </c>
      <c r="K142" s="5">
        <v>2180</v>
      </c>
      <c r="L142" s="11"/>
      <c r="M142" s="5">
        <v>2550</v>
      </c>
      <c r="N142" s="5">
        <v>2390</v>
      </c>
      <c r="O142" s="5">
        <v>2000</v>
      </c>
      <c r="P142" s="5">
        <v>1</v>
      </c>
      <c r="Q142" s="5">
        <v>1</v>
      </c>
      <c r="R142" s="5" t="s">
        <v>2111</v>
      </c>
      <c r="S142" s="5">
        <v>0</v>
      </c>
      <c r="T142" s="5">
        <v>1</v>
      </c>
      <c r="U142" s="5">
        <v>1</v>
      </c>
      <c r="V142" s="5">
        <v>0</v>
      </c>
      <c r="W142" s="5">
        <v>-265</v>
      </c>
      <c r="X142" s="5">
        <v>-180</v>
      </c>
      <c r="Y142" s="5">
        <v>0</v>
      </c>
      <c r="Z142" s="5">
        <v>-265</v>
      </c>
      <c r="AA142" s="5">
        <v>-180</v>
      </c>
      <c r="AB142" s="5">
        <v>0</v>
      </c>
      <c r="AC142">
        <f t="shared" si="2"/>
        <v>-445</v>
      </c>
    </row>
    <row r="143" spans="1:29">
      <c r="A143" s="4">
        <v>115</v>
      </c>
      <c r="B143" s="5">
        <f>_xlfn.XLOOKUP(G143,Sheet1!E:E,Sheet1!A:A)</f>
        <v>3451</v>
      </c>
      <c r="C143" s="5">
        <v>201</v>
      </c>
      <c r="D143" s="5">
        <f>_xlfn.XLOOKUP(G143,'规范整合泌尿系统医疗服务价格映射表12.11 (2)'!T:T,'规范整合泌尿系统医疗服务价格映射表12.11 (2)'!A:A)</f>
        <v>68</v>
      </c>
      <c r="E143" s="12"/>
      <c r="F143" s="9" t="str">
        <f>_xlfn.XLOOKUP(G143,Sheet1!F:F,Sheet1!G:G)</f>
        <v>肾盂成形肾盂输尿管再吻合术</v>
      </c>
      <c r="G143" s="10" t="s">
        <v>1328</v>
      </c>
      <c r="H143" s="11"/>
      <c r="I143" s="5">
        <v>2700</v>
      </c>
      <c r="J143" s="5">
        <v>2430</v>
      </c>
      <c r="K143" s="5">
        <v>2070</v>
      </c>
      <c r="L143" s="11"/>
      <c r="M143" s="5">
        <v>2550</v>
      </c>
      <c r="N143" s="5">
        <v>2390</v>
      </c>
      <c r="O143" s="5">
        <v>2000</v>
      </c>
      <c r="P143" s="5">
        <v>1</v>
      </c>
      <c r="Q143" s="5">
        <v>1</v>
      </c>
      <c r="R143" s="5" t="s">
        <v>2111</v>
      </c>
      <c r="S143" s="5">
        <v>0</v>
      </c>
      <c r="T143" s="5">
        <v>0</v>
      </c>
      <c r="U143" s="5">
        <v>1</v>
      </c>
      <c r="V143" s="5">
        <v>0</v>
      </c>
      <c r="W143" s="5">
        <v>0</v>
      </c>
      <c r="X143" s="5">
        <v>-40</v>
      </c>
      <c r="Y143" s="5">
        <v>0</v>
      </c>
      <c r="Z143" s="5">
        <v>0</v>
      </c>
      <c r="AA143" s="5">
        <v>-40</v>
      </c>
      <c r="AB143" s="5">
        <v>0</v>
      </c>
      <c r="AC143">
        <f t="shared" si="2"/>
        <v>-40</v>
      </c>
    </row>
    <row r="144" spans="1:29">
      <c r="A144" s="4">
        <v>209</v>
      </c>
      <c r="B144" s="5">
        <f>_xlfn.XLOOKUP(G144,Sheet1!E:E,Sheet1!A:A)</f>
        <v>3452</v>
      </c>
      <c r="C144" s="5">
        <v>201</v>
      </c>
      <c r="D144" s="5">
        <f>_xlfn.XLOOKUP(G144,'规范整合泌尿系统医疗服务价格映射表12.11 (2)'!T:T,'规范整合泌尿系统医疗服务价格映射表12.11 (2)'!A:A)</f>
        <v>68</v>
      </c>
      <c r="E144" s="12"/>
      <c r="F144" s="9" t="str">
        <f>_xlfn.XLOOKUP(G144,Sheet1!F:F,Sheet1!G:G)</f>
        <v>经腹腔镜肾盂成形肾盂输尿管再吻合术</v>
      </c>
      <c r="G144" s="10" t="s">
        <v>1330</v>
      </c>
      <c r="H144" s="11"/>
      <c r="I144" s="5">
        <v>3325</v>
      </c>
      <c r="J144" s="5">
        <v>3030</v>
      </c>
      <c r="K144" s="5">
        <v>2580</v>
      </c>
      <c r="L144" s="11"/>
      <c r="M144" s="5">
        <v>2550</v>
      </c>
      <c r="N144" s="5">
        <v>2390</v>
      </c>
      <c r="O144" s="5">
        <v>2000</v>
      </c>
      <c r="P144" s="5">
        <v>1</v>
      </c>
      <c r="Q144" s="5">
        <v>1</v>
      </c>
      <c r="R144" s="5" t="s">
        <v>2111</v>
      </c>
      <c r="S144" s="5">
        <v>0</v>
      </c>
      <c r="T144" s="5">
        <v>6</v>
      </c>
      <c r="U144" s="5">
        <v>3</v>
      </c>
      <c r="V144" s="5">
        <v>0</v>
      </c>
      <c r="W144" s="5">
        <v>-4650</v>
      </c>
      <c r="X144" s="5">
        <v>-1920</v>
      </c>
      <c r="Y144" s="5">
        <v>0</v>
      </c>
      <c r="Z144" s="5">
        <v>-4650</v>
      </c>
      <c r="AA144" s="5">
        <v>-1920</v>
      </c>
      <c r="AB144" s="5">
        <v>0</v>
      </c>
      <c r="AC144">
        <f t="shared" si="2"/>
        <v>-6570</v>
      </c>
    </row>
    <row r="145" spans="1:29">
      <c r="A145" s="4">
        <v>47</v>
      </c>
      <c r="B145" s="5">
        <f>_xlfn.XLOOKUP(G145,Sheet1!E:E,Sheet1!A:A)</f>
        <v>3453</v>
      </c>
      <c r="C145" s="5">
        <v>201</v>
      </c>
      <c r="D145" s="5">
        <f>_xlfn.XLOOKUP(G145,'规范整合泌尿系统医疗服务价格映射表12.11 (2)'!T:T,'规范整合泌尿系统医疗服务价格映射表12.11 (2)'!A:A)</f>
        <v>68</v>
      </c>
      <c r="E145" s="12"/>
      <c r="F145" s="9" t="str">
        <f>_xlfn.XLOOKUP(G145,Sheet1!F:F,Sheet1!G:G)</f>
        <v>尿道外口整形术</v>
      </c>
      <c r="G145" s="10" t="s">
        <v>1332</v>
      </c>
      <c r="H145" s="11"/>
      <c r="I145" s="5">
        <v>1000</v>
      </c>
      <c r="J145" s="5">
        <v>960</v>
      </c>
      <c r="K145" s="5">
        <v>816</v>
      </c>
      <c r="L145" s="11"/>
      <c r="M145" s="5">
        <v>2550</v>
      </c>
      <c r="N145" s="5">
        <v>2390</v>
      </c>
      <c r="O145" s="5">
        <v>2000</v>
      </c>
      <c r="P145" s="5">
        <v>1</v>
      </c>
      <c r="Q145" s="5">
        <v>1</v>
      </c>
      <c r="R145" s="5" t="s">
        <v>2111</v>
      </c>
      <c r="S145" s="5">
        <v>0</v>
      </c>
      <c r="T145" s="5">
        <v>12.5</v>
      </c>
      <c r="U145" s="5">
        <v>8.5</v>
      </c>
      <c r="V145" s="5">
        <v>0</v>
      </c>
      <c r="W145" s="5">
        <v>19375</v>
      </c>
      <c r="X145" s="5">
        <v>12155</v>
      </c>
      <c r="Y145" s="5">
        <v>0</v>
      </c>
      <c r="Z145" s="5">
        <v>19375</v>
      </c>
      <c r="AA145" s="5">
        <v>13115</v>
      </c>
      <c r="AB145" s="5">
        <v>0</v>
      </c>
      <c r="AC145">
        <f t="shared" si="2"/>
        <v>32490</v>
      </c>
    </row>
    <row r="146" spans="1:29">
      <c r="A146" s="4">
        <v>187</v>
      </c>
      <c r="B146" s="5">
        <f>_xlfn.XLOOKUP(G146,Sheet1!E:E,Sheet1!A:A)</f>
        <v>3454</v>
      </c>
      <c r="C146" s="5">
        <v>201</v>
      </c>
      <c r="D146" s="5">
        <f>_xlfn.XLOOKUP(G146,'规范整合泌尿系统医疗服务价格映射表12.11 (2)'!T:T,'规范整合泌尿系统医疗服务价格映射表12.11 (2)'!A:A)</f>
        <v>68</v>
      </c>
      <c r="E146" s="12"/>
      <c r="F146" s="9" t="str">
        <f>_xlfn.XLOOKUP(G146,Sheet1!F:F,Sheet1!G:G)</f>
        <v>腔静脉后输尿管整形术</v>
      </c>
      <c r="G146" s="10" t="s">
        <v>1334</v>
      </c>
      <c r="H146" s="11"/>
      <c r="I146" s="5">
        <v>2360</v>
      </c>
      <c r="J146" s="5">
        <v>2120</v>
      </c>
      <c r="K146" s="5">
        <v>1800</v>
      </c>
      <c r="L146" s="11"/>
      <c r="M146" s="5">
        <v>2550</v>
      </c>
      <c r="N146" s="5">
        <v>2390</v>
      </c>
      <c r="O146" s="5">
        <v>2000</v>
      </c>
      <c r="P146" s="5">
        <v>1</v>
      </c>
      <c r="Q146" s="5">
        <v>1</v>
      </c>
      <c r="R146" s="5" t="s">
        <v>2111</v>
      </c>
      <c r="S146" s="5">
        <v>0</v>
      </c>
      <c r="T146" s="5">
        <v>0</v>
      </c>
      <c r="U146" s="5">
        <v>1</v>
      </c>
      <c r="V146" s="5">
        <v>0</v>
      </c>
      <c r="W146" s="5">
        <v>0</v>
      </c>
      <c r="X146" s="5">
        <v>270</v>
      </c>
      <c r="Y146" s="5">
        <v>0</v>
      </c>
      <c r="Z146" s="5">
        <v>0</v>
      </c>
      <c r="AA146" s="5">
        <v>270</v>
      </c>
      <c r="AB146" s="5">
        <v>0</v>
      </c>
      <c r="AC146">
        <f t="shared" si="2"/>
        <v>270</v>
      </c>
    </row>
    <row r="147" spans="1:29">
      <c r="A147" s="4">
        <v>100</v>
      </c>
      <c r="B147" s="5">
        <f>_xlfn.XLOOKUP(G147,Sheet1!E:E,Sheet1!A:A)</f>
        <v>3455</v>
      </c>
      <c r="C147" s="5">
        <v>201</v>
      </c>
      <c r="D147" s="5">
        <f>_xlfn.XLOOKUP(G147,'规范整合泌尿系统医疗服务价格映射表12.11 (2)'!T:T,'规范整合泌尿系统医疗服务价格映射表12.11 (2)'!A:A)</f>
        <v>68</v>
      </c>
      <c r="E147" s="12"/>
      <c r="F147" s="9" t="str">
        <f>_xlfn.XLOOKUP(G147,Sheet1!F:F,Sheet1!G:G)</f>
        <v>经腹腔镜腔静脉后输尿管整形术</v>
      </c>
      <c r="G147" s="10" t="s">
        <v>1336</v>
      </c>
      <c r="H147" s="11"/>
      <c r="I147" s="5">
        <v>2985</v>
      </c>
      <c r="J147" s="5">
        <v>2720</v>
      </c>
      <c r="K147" s="5">
        <v>2310</v>
      </c>
      <c r="L147" s="11"/>
      <c r="M147" s="5">
        <v>2550</v>
      </c>
      <c r="N147" s="5">
        <v>2390</v>
      </c>
      <c r="O147" s="5">
        <v>2000</v>
      </c>
      <c r="P147" s="5">
        <v>1</v>
      </c>
      <c r="Q147" s="5">
        <v>1</v>
      </c>
      <c r="R147" s="5" t="s">
        <v>2111</v>
      </c>
      <c r="S147" s="5">
        <v>0</v>
      </c>
      <c r="T147" s="5">
        <v>1</v>
      </c>
      <c r="U147" s="5">
        <v>1</v>
      </c>
      <c r="V147" s="5">
        <v>0</v>
      </c>
      <c r="W147" s="5">
        <v>-435</v>
      </c>
      <c r="X147" s="5">
        <v>-330</v>
      </c>
      <c r="Y147" s="5">
        <v>0</v>
      </c>
      <c r="Z147" s="5">
        <v>-435</v>
      </c>
      <c r="AA147" s="5">
        <v>-330</v>
      </c>
      <c r="AB147" s="5">
        <v>0</v>
      </c>
      <c r="AC147">
        <f t="shared" si="2"/>
        <v>-765</v>
      </c>
    </row>
    <row r="148" spans="1:29">
      <c r="A148" s="4">
        <v>213</v>
      </c>
      <c r="B148" s="5">
        <f>_xlfn.XLOOKUP(G148,Sheet1!E:E,Sheet1!A:A)</f>
        <v>3456</v>
      </c>
      <c r="C148" s="5">
        <v>201</v>
      </c>
      <c r="D148" s="5">
        <f>_xlfn.XLOOKUP(G148,'规范整合泌尿系统医疗服务价格映射表12.11 (2)'!T:T,'规范整合泌尿系统医疗服务价格映射表12.11 (2)'!A:A)</f>
        <v>68</v>
      </c>
      <c r="E148" s="12"/>
      <c r="F148" s="9" t="str">
        <f>_xlfn.XLOOKUP(G148,Sheet1!F:F,Sheet1!G:G)</f>
        <v>会阴阴囊皮瓣尿道成型术</v>
      </c>
      <c r="G148" s="10" t="s">
        <v>1338</v>
      </c>
      <c r="H148" s="11"/>
      <c r="I148" s="5">
        <v>2360</v>
      </c>
      <c r="J148" s="5">
        <v>2120</v>
      </c>
      <c r="K148" s="5">
        <v>1800</v>
      </c>
      <c r="L148" s="11"/>
      <c r="M148" s="5">
        <v>2550</v>
      </c>
      <c r="N148" s="5">
        <v>2390</v>
      </c>
      <c r="O148" s="5">
        <v>2000</v>
      </c>
      <c r="P148" s="5">
        <v>1</v>
      </c>
      <c r="Q148" s="5">
        <v>1</v>
      </c>
      <c r="R148" s="5" t="s">
        <v>2111</v>
      </c>
      <c r="S148" s="5">
        <v>0</v>
      </c>
      <c r="T148" s="5">
        <v>1</v>
      </c>
      <c r="U148" s="5">
        <v>0</v>
      </c>
      <c r="V148" s="5">
        <v>0</v>
      </c>
      <c r="W148" s="5">
        <v>190</v>
      </c>
      <c r="X148" s="5">
        <v>0</v>
      </c>
      <c r="Y148" s="5">
        <v>0</v>
      </c>
      <c r="Z148" s="5">
        <v>190</v>
      </c>
      <c r="AA148" s="5">
        <v>0</v>
      </c>
      <c r="AB148" s="5">
        <v>0</v>
      </c>
      <c r="AC148">
        <f t="shared" si="2"/>
        <v>190</v>
      </c>
    </row>
    <row r="149" spans="1:29">
      <c r="A149" s="4">
        <v>155</v>
      </c>
      <c r="B149" s="5">
        <f>_xlfn.XLOOKUP(G149,Sheet1!E:E,Sheet1!A:A)</f>
        <v>3459</v>
      </c>
      <c r="C149" s="5">
        <v>201</v>
      </c>
      <c r="D149" s="5">
        <f>_xlfn.XLOOKUP(G149,'规范整合泌尿系统医疗服务价格映射表12.11 (2)'!T:T,'规范整合泌尿系统医疗服务价格映射表12.11 (2)'!A:A)</f>
        <v>68</v>
      </c>
      <c r="E149" s="12"/>
      <c r="F149" s="9" t="str">
        <f>_xlfn.XLOOKUP(G149,Sheet1!F:F,Sheet1!G:G)</f>
        <v>尿道折叠术</v>
      </c>
      <c r="G149" s="10" t="s">
        <v>1344</v>
      </c>
      <c r="H149" s="11"/>
      <c r="I149" s="5">
        <v>1860</v>
      </c>
      <c r="J149" s="5">
        <v>1670</v>
      </c>
      <c r="K149" s="5">
        <v>1420</v>
      </c>
      <c r="L149" s="11"/>
      <c r="M149" s="5">
        <v>2550</v>
      </c>
      <c r="N149" s="5">
        <v>2390</v>
      </c>
      <c r="O149" s="5">
        <v>2000</v>
      </c>
      <c r="P149" s="5">
        <v>1</v>
      </c>
      <c r="Q149" s="5">
        <v>1</v>
      </c>
      <c r="R149" s="5" t="s">
        <v>2111</v>
      </c>
      <c r="S149" s="5">
        <v>0</v>
      </c>
      <c r="T149" s="5">
        <v>16</v>
      </c>
      <c r="U149" s="5">
        <v>3.5</v>
      </c>
      <c r="V149" s="5">
        <v>0</v>
      </c>
      <c r="W149" s="5">
        <v>11040</v>
      </c>
      <c r="X149" s="5">
        <v>2520</v>
      </c>
      <c r="Y149" s="5">
        <v>0</v>
      </c>
      <c r="Z149" s="5">
        <v>11040</v>
      </c>
      <c r="AA149" s="5">
        <v>2520</v>
      </c>
      <c r="AB149" s="5">
        <v>0</v>
      </c>
      <c r="AC149">
        <f t="shared" si="2"/>
        <v>13560</v>
      </c>
    </row>
    <row r="150" spans="1:29">
      <c r="A150" s="4">
        <v>56</v>
      </c>
      <c r="B150" s="5">
        <f>_xlfn.XLOOKUP(G150,Sheet1!E:E,Sheet1!A:A)</f>
        <v>3461</v>
      </c>
      <c r="C150" s="5">
        <v>201</v>
      </c>
      <c r="D150" s="5">
        <f>_xlfn.XLOOKUP(G150,'规范整合泌尿系统医疗服务价格映射表12.11 (2)'!T:T,'规范整合泌尿系统医疗服务价格映射表12.11 (2)'!A:A)</f>
        <v>68</v>
      </c>
      <c r="E150" s="12"/>
      <c r="F150" s="9" t="str">
        <f>_xlfn.XLOOKUP(G150,Sheet1!F:F,Sheet1!G:G)</f>
        <v>尿道修补术</v>
      </c>
      <c r="G150" s="10" t="s">
        <v>1348</v>
      </c>
      <c r="H150" s="11"/>
      <c r="I150" s="5">
        <v>2530</v>
      </c>
      <c r="J150" s="5">
        <v>2280</v>
      </c>
      <c r="K150" s="5">
        <v>1940</v>
      </c>
      <c r="L150" s="11"/>
      <c r="M150" s="5">
        <v>2550</v>
      </c>
      <c r="N150" s="5">
        <v>2390</v>
      </c>
      <c r="O150" s="5">
        <v>2000</v>
      </c>
      <c r="P150" s="5">
        <v>1</v>
      </c>
      <c r="Q150" s="5">
        <v>1</v>
      </c>
      <c r="R150" s="5" t="s">
        <v>2111</v>
      </c>
      <c r="S150" s="5">
        <v>0</v>
      </c>
      <c r="T150" s="5">
        <v>2</v>
      </c>
      <c r="U150" s="5">
        <v>2</v>
      </c>
      <c r="V150" s="5">
        <v>0</v>
      </c>
      <c r="W150" s="5">
        <v>40</v>
      </c>
      <c r="X150" s="5">
        <v>220</v>
      </c>
      <c r="Y150" s="5">
        <v>0</v>
      </c>
      <c r="Z150" s="5">
        <v>40</v>
      </c>
      <c r="AA150" s="5">
        <v>220</v>
      </c>
      <c r="AB150" s="5">
        <v>0</v>
      </c>
      <c r="AC150">
        <f t="shared" si="2"/>
        <v>260</v>
      </c>
    </row>
    <row r="151" spans="1:29">
      <c r="A151" s="4">
        <v>147</v>
      </c>
      <c r="B151" s="5">
        <f>_xlfn.XLOOKUP(G151,Sheet1!E:E,Sheet1!A:A)</f>
        <v>3463</v>
      </c>
      <c r="C151" s="5">
        <v>201</v>
      </c>
      <c r="D151" s="5">
        <f>_xlfn.XLOOKUP(G151,'规范整合泌尿系统医疗服务价格映射表12.11 (2)'!T:T,'规范整合泌尿系统医疗服务价格映射表12.11 (2)'!A:A)</f>
        <v>68</v>
      </c>
      <c r="E151" s="12"/>
      <c r="F151" s="9" t="str">
        <f>_xlfn.XLOOKUP(G151,Sheet1!F:F,Sheet1!G:G)</f>
        <v>尿道重建术</v>
      </c>
      <c r="G151" s="10" t="s">
        <v>1353</v>
      </c>
      <c r="H151" s="11"/>
      <c r="I151" s="5">
        <v>2530</v>
      </c>
      <c r="J151" s="5">
        <v>2280</v>
      </c>
      <c r="K151" s="5">
        <v>1940</v>
      </c>
      <c r="L151" s="11"/>
      <c r="M151" s="5">
        <v>2550</v>
      </c>
      <c r="N151" s="5">
        <v>2390</v>
      </c>
      <c r="O151" s="5">
        <v>2000</v>
      </c>
      <c r="P151" s="5">
        <v>1</v>
      </c>
      <c r="Q151" s="5">
        <v>1</v>
      </c>
      <c r="R151" s="5" t="s">
        <v>2111</v>
      </c>
      <c r="S151" s="5">
        <v>0</v>
      </c>
      <c r="T151" s="5">
        <v>0</v>
      </c>
      <c r="U151" s="5">
        <v>1</v>
      </c>
      <c r="V151" s="5">
        <v>0</v>
      </c>
      <c r="W151" s="5">
        <v>0</v>
      </c>
      <c r="X151" s="5">
        <v>110</v>
      </c>
      <c r="Y151" s="5">
        <v>0</v>
      </c>
      <c r="Z151" s="5">
        <v>0</v>
      </c>
      <c r="AA151" s="5">
        <v>110</v>
      </c>
      <c r="AB151" s="5">
        <v>0</v>
      </c>
      <c r="AC151">
        <f t="shared" si="2"/>
        <v>110</v>
      </c>
    </row>
    <row r="152" spans="1:29">
      <c r="A152" s="4">
        <v>71</v>
      </c>
      <c r="B152" s="5">
        <f>_xlfn.XLOOKUP(G152,Sheet1!E:E,Sheet1!A:A)</f>
        <v>3465</v>
      </c>
      <c r="C152" s="5">
        <v>201</v>
      </c>
      <c r="D152" s="5">
        <f>_xlfn.XLOOKUP(G152,'规范整合泌尿系统医疗服务价格映射表12.11 (2)'!T:T,'规范整合泌尿系统医疗服务价格映射表12.11 (2)'!A:A)</f>
        <v>68</v>
      </c>
      <c r="E152" s="12"/>
      <c r="F152" s="9" t="str">
        <f>_xlfn.XLOOKUP(G152,Sheet1!F:F,Sheet1!G:G)</f>
        <v>尿道会师术</v>
      </c>
      <c r="G152" s="10" t="s">
        <v>1358</v>
      </c>
      <c r="H152" s="11"/>
      <c r="I152" s="5">
        <v>1690</v>
      </c>
      <c r="J152" s="5">
        <v>1520</v>
      </c>
      <c r="K152" s="5">
        <v>1290</v>
      </c>
      <c r="L152" s="11"/>
      <c r="M152" s="5">
        <v>2550</v>
      </c>
      <c r="N152" s="5">
        <v>2390</v>
      </c>
      <c r="O152" s="5">
        <v>2000</v>
      </c>
      <c r="P152" s="5">
        <v>1</v>
      </c>
      <c r="Q152" s="5">
        <v>1</v>
      </c>
      <c r="R152" s="5" t="s">
        <v>2111</v>
      </c>
      <c r="S152" s="5">
        <v>0</v>
      </c>
      <c r="T152" s="5">
        <v>1.61</v>
      </c>
      <c r="U152" s="5">
        <v>0</v>
      </c>
      <c r="V152" s="5">
        <v>1</v>
      </c>
      <c r="W152" s="5">
        <v>1384.6</v>
      </c>
      <c r="X152" s="5">
        <v>0</v>
      </c>
      <c r="Y152" s="5">
        <v>710</v>
      </c>
      <c r="Z152" s="5">
        <v>1384.6</v>
      </c>
      <c r="AA152" s="5">
        <v>0</v>
      </c>
      <c r="AB152" s="5">
        <v>710</v>
      </c>
      <c r="AC152">
        <f t="shared" si="2"/>
        <v>2094.6</v>
      </c>
    </row>
    <row r="153" spans="1:29">
      <c r="A153" s="4">
        <v>94</v>
      </c>
      <c r="B153" s="5">
        <f>_xlfn.XLOOKUP(G153,Sheet1!E:E,Sheet1!A:A)</f>
        <v>3467</v>
      </c>
      <c r="C153" s="5">
        <v>201</v>
      </c>
      <c r="D153" s="5">
        <f>_xlfn.XLOOKUP(G153,'规范整合泌尿系统医疗服务价格映射表12.11 (2)'!T:T,'规范整合泌尿系统医疗服务价格映射表12.11 (2)'!A:A)</f>
        <v>68</v>
      </c>
      <c r="E153" s="12"/>
      <c r="F153" s="9" t="str">
        <f>_xlfn.XLOOKUP(G153,Sheet1!F:F,Sheet1!G:G)</f>
        <v>肾固定术</v>
      </c>
      <c r="G153" s="10" t="s">
        <v>1362</v>
      </c>
      <c r="H153" s="11"/>
      <c r="I153" s="5">
        <v>2030</v>
      </c>
      <c r="J153" s="5">
        <v>1830</v>
      </c>
      <c r="K153" s="5">
        <v>1560</v>
      </c>
      <c r="L153" s="11"/>
      <c r="M153" s="5">
        <v>0</v>
      </c>
      <c r="N153" s="5">
        <v>0</v>
      </c>
      <c r="O153" s="5">
        <v>0</v>
      </c>
      <c r="P153" s="5">
        <v>1</v>
      </c>
      <c r="Q153" s="5">
        <v>1</v>
      </c>
      <c r="R153" s="5" t="s">
        <v>2111</v>
      </c>
      <c r="S153" s="5">
        <v>0</v>
      </c>
      <c r="T153" s="5">
        <v>0</v>
      </c>
      <c r="U153" s="5">
        <v>5.5</v>
      </c>
      <c r="V153" s="5">
        <v>0</v>
      </c>
      <c r="W153" s="5">
        <v>0</v>
      </c>
      <c r="X153" s="5">
        <v>-10065</v>
      </c>
      <c r="Y153" s="5">
        <v>0</v>
      </c>
      <c r="Z153" s="5">
        <v>0</v>
      </c>
      <c r="AA153" s="5">
        <v>-10065</v>
      </c>
      <c r="AB153" s="5">
        <v>0</v>
      </c>
      <c r="AC153">
        <f t="shared" si="2"/>
        <v>-10065</v>
      </c>
    </row>
    <row r="154" spans="1:29">
      <c r="A154" s="4">
        <v>28</v>
      </c>
      <c r="B154" s="5">
        <f>_xlfn.XLOOKUP(G154,Sheet1!E:E,Sheet1!A:A)</f>
        <v>3474</v>
      </c>
      <c r="C154" s="5">
        <v>201</v>
      </c>
      <c r="D154" s="5" t="str">
        <f>_xlfn.XLOOKUP(G154,'规范整合泌尿系统医疗服务价格映射表12.11 (2)'!T:T,'规范整合泌尿系统医疗服务价格映射表12.11 (2)'!A:A)</f>
        <v>分项</v>
      </c>
      <c r="E154" s="8" t="s">
        <v>2139</v>
      </c>
      <c r="F154" s="9" t="str">
        <f>_xlfn.XLOOKUP(G154,Sheet1!F:F,Sheet1!G:G)</f>
        <v>小儿经腹腔镜肾盂输尿管成形术</v>
      </c>
      <c r="G154" s="10" t="s">
        <v>1378</v>
      </c>
      <c r="H154" s="11"/>
      <c r="I154" s="5">
        <v>4135</v>
      </c>
      <c r="J154" s="5">
        <v>3760</v>
      </c>
      <c r="K154" s="5">
        <v>3195</v>
      </c>
      <c r="L154" s="11"/>
      <c r="M154" s="5">
        <v>3315</v>
      </c>
      <c r="N154" s="5">
        <v>3105</v>
      </c>
      <c r="O154" s="5">
        <v>2600</v>
      </c>
      <c r="P154" s="5">
        <v>1</v>
      </c>
      <c r="Q154" s="5">
        <v>1</v>
      </c>
      <c r="R154" s="5" t="s">
        <v>2111</v>
      </c>
      <c r="S154" s="5">
        <v>0</v>
      </c>
      <c r="T154" s="5">
        <v>6</v>
      </c>
      <c r="U154" s="5">
        <v>1</v>
      </c>
      <c r="V154" s="5">
        <v>0</v>
      </c>
      <c r="W154" s="5">
        <v>-4920</v>
      </c>
      <c r="X154" s="5">
        <v>-655</v>
      </c>
      <c r="Y154" s="5">
        <v>0</v>
      </c>
      <c r="Z154" s="5">
        <v>-4920</v>
      </c>
      <c r="AA154" s="5">
        <v>-655</v>
      </c>
      <c r="AB154" s="5">
        <v>0</v>
      </c>
      <c r="AC154">
        <f t="shared" si="2"/>
        <v>-5575</v>
      </c>
    </row>
    <row r="155" spans="1:29">
      <c r="A155" s="4">
        <v>32</v>
      </c>
      <c r="B155" s="5">
        <f>_xlfn.XLOOKUP(G155,Sheet1!E:E,Sheet1!A:A)</f>
        <v>3477</v>
      </c>
      <c r="C155" s="5">
        <v>201</v>
      </c>
      <c r="D155" s="5" t="str">
        <f>_xlfn.XLOOKUP(G155,'规范整合泌尿系统医疗服务价格映射表12.11 (2)'!T:T,'规范整合泌尿系统医疗服务价格映射表12.11 (2)'!A:A)</f>
        <v>分项</v>
      </c>
      <c r="E155" s="12"/>
      <c r="F155" s="9" t="str">
        <f>_xlfn.XLOOKUP(G155,Sheet1!F:F,Sheet1!G:G)</f>
        <v>小儿经腹腔镜输尿管松解术</v>
      </c>
      <c r="G155" s="10" t="s">
        <v>1384</v>
      </c>
      <c r="H155" s="11"/>
      <c r="I155" s="5">
        <v>2415</v>
      </c>
      <c r="J155" s="5">
        <v>2315</v>
      </c>
      <c r="K155" s="5">
        <v>1970</v>
      </c>
      <c r="L155" s="11"/>
      <c r="M155" s="5">
        <v>3315</v>
      </c>
      <c r="N155" s="5">
        <v>3105</v>
      </c>
      <c r="O155" s="5">
        <v>2600</v>
      </c>
      <c r="P155" s="5">
        <v>1</v>
      </c>
      <c r="Q155" s="5">
        <v>1</v>
      </c>
      <c r="R155" s="5" t="s">
        <v>2111</v>
      </c>
      <c r="S155" s="5">
        <v>0</v>
      </c>
      <c r="T155" s="5">
        <v>1</v>
      </c>
      <c r="U155" s="5">
        <v>0</v>
      </c>
      <c r="V155" s="5">
        <v>0</v>
      </c>
      <c r="W155" s="5">
        <v>900</v>
      </c>
      <c r="X155" s="5">
        <v>0</v>
      </c>
      <c r="Y155" s="5">
        <v>0</v>
      </c>
      <c r="Z155" s="5">
        <v>900</v>
      </c>
      <c r="AA155" s="5">
        <v>0</v>
      </c>
      <c r="AB155" s="5">
        <v>0</v>
      </c>
      <c r="AC155">
        <f t="shared" si="2"/>
        <v>900</v>
      </c>
    </row>
    <row r="156" spans="1:29">
      <c r="A156" s="4">
        <v>202</v>
      </c>
      <c r="B156" s="5">
        <f>_xlfn.XLOOKUP(G156,Sheet1!E:E,Sheet1!A:A)</f>
        <v>3481</v>
      </c>
      <c r="C156" s="5">
        <v>201</v>
      </c>
      <c r="D156" s="5" t="str">
        <f>_xlfn.XLOOKUP(G156,'规范整合泌尿系统医疗服务价格映射表12.11 (2)'!T:T,'规范整合泌尿系统医疗服务价格映射表12.11 (2)'!A:A)</f>
        <v>分项</v>
      </c>
      <c r="E156" s="12"/>
      <c r="F156" s="9" t="str">
        <f>_xlfn.XLOOKUP(G156,Sheet1!F:F,Sheet1!G:G)</f>
        <v>小儿经腹腔镜肾盂成形肾盂输尿管再吻合术</v>
      </c>
      <c r="G156" s="10" t="s">
        <v>1392</v>
      </c>
      <c r="H156" s="11"/>
      <c r="I156" s="5">
        <v>4135</v>
      </c>
      <c r="J156" s="5">
        <v>3760</v>
      </c>
      <c r="K156" s="5">
        <v>3195</v>
      </c>
      <c r="L156" s="11"/>
      <c r="M156" s="5">
        <v>3315</v>
      </c>
      <c r="N156" s="5">
        <v>3105</v>
      </c>
      <c r="O156" s="5">
        <v>2600</v>
      </c>
      <c r="P156" s="5">
        <v>1</v>
      </c>
      <c r="Q156" s="5">
        <v>1</v>
      </c>
      <c r="R156" s="5" t="s">
        <v>2111</v>
      </c>
      <c r="S156" s="5">
        <v>0</v>
      </c>
      <c r="T156" s="5">
        <v>1</v>
      </c>
      <c r="U156" s="5">
        <v>0</v>
      </c>
      <c r="V156" s="5">
        <v>0</v>
      </c>
      <c r="W156" s="5">
        <v>-820</v>
      </c>
      <c r="X156" s="5">
        <v>0</v>
      </c>
      <c r="Y156" s="5">
        <v>0</v>
      </c>
      <c r="Z156" s="5">
        <v>-820</v>
      </c>
      <c r="AA156" s="5">
        <v>0</v>
      </c>
      <c r="AB156" s="5">
        <v>0</v>
      </c>
      <c r="AC156">
        <f t="shared" si="2"/>
        <v>-820</v>
      </c>
    </row>
    <row r="157" spans="1:29">
      <c r="A157" s="4">
        <v>113</v>
      </c>
      <c r="B157" s="5">
        <f>_xlfn.XLOOKUP(G157,Sheet1!E:E,Sheet1!A:A)</f>
        <v>3485</v>
      </c>
      <c r="C157" s="5">
        <v>201</v>
      </c>
      <c r="D157" s="5" t="str">
        <f>_xlfn.XLOOKUP(G157,'规范整合泌尿系统医疗服务价格映射表12.11 (2)'!T:T,'规范整合泌尿系统医疗服务价格映射表12.11 (2)'!A:A)</f>
        <v>分项</v>
      </c>
      <c r="E157" s="12"/>
      <c r="F157" s="9" t="str">
        <f>_xlfn.XLOOKUP(G157,Sheet1!F:F,Sheet1!G:G)</f>
        <v>小儿会阴阴囊皮瓣尿道成型术</v>
      </c>
      <c r="G157" s="10" t="s">
        <v>1400</v>
      </c>
      <c r="H157" s="11"/>
      <c r="I157" s="5">
        <v>3070</v>
      </c>
      <c r="J157" s="5">
        <v>2755</v>
      </c>
      <c r="K157" s="5">
        <v>2340</v>
      </c>
      <c r="L157" s="11"/>
      <c r="M157" s="5">
        <v>3315</v>
      </c>
      <c r="N157" s="5">
        <v>3105</v>
      </c>
      <c r="O157" s="5">
        <v>2600</v>
      </c>
      <c r="P157" s="5">
        <v>1</v>
      </c>
      <c r="Q157" s="5">
        <v>1</v>
      </c>
      <c r="R157" s="5" t="s">
        <v>2111</v>
      </c>
      <c r="S157" s="5">
        <v>0</v>
      </c>
      <c r="T157" s="5">
        <v>1</v>
      </c>
      <c r="U157" s="5">
        <v>0</v>
      </c>
      <c r="V157" s="5">
        <v>0</v>
      </c>
      <c r="W157" s="5">
        <v>245</v>
      </c>
      <c r="X157" s="5">
        <v>0</v>
      </c>
      <c r="Y157" s="5">
        <v>0</v>
      </c>
      <c r="Z157" s="5">
        <v>245</v>
      </c>
      <c r="AA157" s="5">
        <v>0</v>
      </c>
      <c r="AB157" s="5">
        <v>0</v>
      </c>
      <c r="AC157">
        <f t="shared" si="2"/>
        <v>245</v>
      </c>
    </row>
    <row r="158" spans="1:29">
      <c r="A158" s="4">
        <v>178</v>
      </c>
      <c r="B158" s="5">
        <f>_xlfn.XLOOKUP(G158,Sheet1!E:E,Sheet1!A:A)</f>
        <v>3490</v>
      </c>
      <c r="C158" s="5">
        <v>201</v>
      </c>
      <c r="D158" s="5" t="str">
        <f>_xlfn.XLOOKUP(G158,'规范整合泌尿系统医疗服务价格映射表12.11 (2)'!T:T,'规范整合泌尿系统医疗服务价格映射表12.11 (2)'!A:A)</f>
        <v>分项</v>
      </c>
      <c r="E158" s="12"/>
      <c r="F158" s="9" t="str">
        <f>_xlfn.XLOOKUP(G158,Sheet1!F:F,Sheet1!G:G)</f>
        <v>小儿尿道修补术</v>
      </c>
      <c r="G158" s="10" t="s">
        <v>1410</v>
      </c>
      <c r="H158" s="11"/>
      <c r="I158" s="5">
        <v>3290</v>
      </c>
      <c r="J158" s="5">
        <v>2965</v>
      </c>
      <c r="K158" s="5">
        <v>2520</v>
      </c>
      <c r="L158" s="11"/>
      <c r="M158" s="5">
        <v>3315</v>
      </c>
      <c r="N158" s="5">
        <v>3105</v>
      </c>
      <c r="O158" s="5">
        <v>2600</v>
      </c>
      <c r="P158" s="5">
        <v>1</v>
      </c>
      <c r="Q158" s="5">
        <v>1</v>
      </c>
      <c r="R158" s="5" t="s">
        <v>2111</v>
      </c>
      <c r="S158" s="5">
        <v>0</v>
      </c>
      <c r="T158" s="5">
        <v>2</v>
      </c>
      <c r="U158" s="5">
        <v>0</v>
      </c>
      <c r="V158" s="5">
        <v>0</v>
      </c>
      <c r="W158" s="5">
        <v>50</v>
      </c>
      <c r="X158" s="5">
        <v>0</v>
      </c>
      <c r="Y158" s="5">
        <v>0</v>
      </c>
      <c r="Z158" s="5">
        <v>50</v>
      </c>
      <c r="AA158" s="5">
        <v>0</v>
      </c>
      <c r="AB158" s="5">
        <v>0</v>
      </c>
      <c r="AC158">
        <f t="shared" si="2"/>
        <v>50</v>
      </c>
    </row>
    <row r="159" spans="1:29">
      <c r="A159" s="4">
        <v>138</v>
      </c>
      <c r="B159" s="5">
        <f>_xlfn.XLOOKUP(G159,Sheet1!E:E,Sheet1!A:A)</f>
        <v>3502</v>
      </c>
      <c r="C159" s="5">
        <v>201</v>
      </c>
      <c r="D159" s="5">
        <f>_xlfn.XLOOKUP(G159,'规范整合泌尿系统医疗服务价格映射表12.11 (2)'!T:T,'规范整合泌尿系统医疗服务价格映射表12.11 (2)'!A:A)</f>
        <v>69</v>
      </c>
      <c r="E159" s="8" t="s">
        <v>1431</v>
      </c>
      <c r="F159" s="9" t="str">
        <f>_xlfn.XLOOKUP(G159,Sheet1!F:F,Sheet1!G:G)</f>
        <v>膀胱瓣代输尿管术</v>
      </c>
      <c r="G159" s="10" t="s">
        <v>1439</v>
      </c>
      <c r="H159" s="11"/>
      <c r="I159" s="5">
        <v>2190</v>
      </c>
      <c r="J159" s="5">
        <v>1970</v>
      </c>
      <c r="K159" s="5">
        <v>1670</v>
      </c>
      <c r="L159" s="11"/>
      <c r="M159" s="5">
        <v>3150</v>
      </c>
      <c r="N159" s="5">
        <v>2970</v>
      </c>
      <c r="O159" s="5">
        <v>2480</v>
      </c>
      <c r="P159" s="5">
        <v>1</v>
      </c>
      <c r="Q159" s="5">
        <v>1</v>
      </c>
      <c r="R159" s="5" t="s">
        <v>2111</v>
      </c>
      <c r="S159" s="5">
        <v>0</v>
      </c>
      <c r="T159" s="5">
        <v>1</v>
      </c>
      <c r="U159" s="5">
        <v>1</v>
      </c>
      <c r="V159" s="5">
        <v>0</v>
      </c>
      <c r="W159" s="5">
        <v>960</v>
      </c>
      <c r="X159" s="5">
        <v>1000</v>
      </c>
      <c r="Y159" s="5">
        <v>0</v>
      </c>
      <c r="Z159" s="5">
        <v>960</v>
      </c>
      <c r="AA159" s="5">
        <v>1000</v>
      </c>
      <c r="AB159" s="5">
        <v>0</v>
      </c>
      <c r="AC159">
        <f t="shared" si="2"/>
        <v>1960</v>
      </c>
    </row>
    <row r="160" spans="1:29">
      <c r="A160" s="4">
        <v>90</v>
      </c>
      <c r="B160" s="5">
        <f>_xlfn.XLOOKUP(G160,Sheet1!E:E,Sheet1!A:A)</f>
        <v>3503</v>
      </c>
      <c r="C160" s="5">
        <v>201</v>
      </c>
      <c r="D160" s="5">
        <f>_xlfn.XLOOKUP(G160,'规范整合泌尿系统医疗服务价格映射表12.11 (2)'!T:T,'规范整合泌尿系统医疗服务价格映射表12.11 (2)'!A:A)</f>
        <v>69</v>
      </c>
      <c r="E160" s="12"/>
      <c r="F160" s="9" t="str">
        <f>_xlfn.XLOOKUP(G160,Sheet1!F:F,Sheet1!G:G)</f>
        <v>经腹腔镜膀胱瓣代输尿管术</v>
      </c>
      <c r="G160" s="10" t="s">
        <v>1441</v>
      </c>
      <c r="H160" s="11"/>
      <c r="I160" s="5">
        <v>2815</v>
      </c>
      <c r="J160" s="5">
        <v>2570</v>
      </c>
      <c r="K160" s="5">
        <v>2180</v>
      </c>
      <c r="L160" s="11"/>
      <c r="M160" s="5">
        <v>3150</v>
      </c>
      <c r="N160" s="5">
        <v>2970</v>
      </c>
      <c r="O160" s="5">
        <v>2480</v>
      </c>
      <c r="P160" s="5">
        <v>1</v>
      </c>
      <c r="Q160" s="5">
        <v>1</v>
      </c>
      <c r="R160" s="5" t="s">
        <v>2111</v>
      </c>
      <c r="S160" s="5">
        <v>0</v>
      </c>
      <c r="T160" s="5">
        <v>2</v>
      </c>
      <c r="U160" s="5">
        <v>0</v>
      </c>
      <c r="V160" s="5">
        <v>0</v>
      </c>
      <c r="W160" s="5">
        <v>670</v>
      </c>
      <c r="X160" s="5">
        <v>0</v>
      </c>
      <c r="Y160" s="5">
        <v>0</v>
      </c>
      <c r="Z160" s="5">
        <v>670</v>
      </c>
      <c r="AA160" s="5">
        <v>0</v>
      </c>
      <c r="AB160" s="5">
        <v>0</v>
      </c>
      <c r="AC160">
        <f t="shared" si="2"/>
        <v>670</v>
      </c>
    </row>
    <row r="161" spans="1:29">
      <c r="A161" s="4">
        <v>16</v>
      </c>
      <c r="B161" s="5">
        <f>_xlfn.XLOOKUP(G161,Sheet1!E:E,Sheet1!A:A)</f>
        <v>3510</v>
      </c>
      <c r="C161" s="5">
        <v>201</v>
      </c>
      <c r="D161" s="5" t="str">
        <f>_xlfn.XLOOKUP(G161,'规范整合泌尿系统医疗服务价格映射表12.11 (2)'!T:T,'规范整合泌尿系统医疗服务价格映射表12.11 (2)'!A:A)</f>
        <v>分项</v>
      </c>
      <c r="E161" s="8" t="s">
        <v>2140</v>
      </c>
      <c r="F161" s="9" t="str">
        <f>_xlfn.XLOOKUP(G161,Sheet1!F:F,Sheet1!G:G)</f>
        <v>高位隐睾下降固定术</v>
      </c>
      <c r="G161" s="10" t="s">
        <v>1493</v>
      </c>
      <c r="H161" s="11"/>
      <c r="I161" s="5">
        <v>1000</v>
      </c>
      <c r="J161" s="5">
        <v>960</v>
      </c>
      <c r="K161" s="5">
        <v>816</v>
      </c>
      <c r="L161" s="11"/>
      <c r="M161" s="5">
        <v>440</v>
      </c>
      <c r="N161" s="5">
        <v>400</v>
      </c>
      <c r="O161" s="5">
        <v>340</v>
      </c>
      <c r="P161" s="5">
        <v>1</v>
      </c>
      <c r="Q161" s="5">
        <v>1</v>
      </c>
      <c r="R161" s="5" t="s">
        <v>2111</v>
      </c>
      <c r="S161" s="5">
        <v>0</v>
      </c>
      <c r="T161" s="5">
        <v>4</v>
      </c>
      <c r="U161" s="5">
        <v>8.5</v>
      </c>
      <c r="V161" s="5">
        <v>0</v>
      </c>
      <c r="W161" s="5">
        <v>-2240</v>
      </c>
      <c r="X161" s="5">
        <v>-4760</v>
      </c>
      <c r="Y161" s="5">
        <v>0</v>
      </c>
      <c r="Z161" s="5">
        <v>-2240</v>
      </c>
      <c r="AA161" s="5">
        <v>-4760</v>
      </c>
      <c r="AB161" s="5">
        <v>0</v>
      </c>
      <c r="AC161">
        <f t="shared" si="2"/>
        <v>-7000</v>
      </c>
    </row>
    <row r="162" spans="1:29">
      <c r="A162" s="4">
        <v>119</v>
      </c>
      <c r="B162" s="5">
        <f>_xlfn.XLOOKUP(G162,Sheet1!E:E,Sheet1!A:A)</f>
        <v>3511</v>
      </c>
      <c r="C162" s="5">
        <v>201</v>
      </c>
      <c r="D162" s="5" t="str">
        <f>_xlfn.XLOOKUP(G162,'规范整合泌尿系统医疗服务价格映射表12.11 (2)'!T:T,'规范整合泌尿系统医疗服务价格映射表12.11 (2)'!A:A)</f>
        <v>分项</v>
      </c>
      <c r="E162" s="12"/>
      <c r="F162" s="9" t="str">
        <f>_xlfn.XLOOKUP(G162,Sheet1!F:F,Sheet1!G:G)</f>
        <v>小儿高位隐睾下降固定术</v>
      </c>
      <c r="G162" s="10" t="s">
        <v>1496</v>
      </c>
      <c r="H162" s="11"/>
      <c r="I162" s="5">
        <v>1300</v>
      </c>
      <c r="J162" s="5">
        <v>1250</v>
      </c>
      <c r="K162" s="5">
        <v>1065</v>
      </c>
      <c r="L162" s="11"/>
      <c r="M162" s="5">
        <v>440</v>
      </c>
      <c r="N162" s="5">
        <v>400</v>
      </c>
      <c r="O162" s="5">
        <v>340</v>
      </c>
      <c r="P162" s="5">
        <v>1</v>
      </c>
      <c r="Q162" s="5">
        <v>1</v>
      </c>
      <c r="R162" s="5" t="s">
        <v>2111</v>
      </c>
      <c r="S162" s="5">
        <v>0</v>
      </c>
      <c r="T162" s="5">
        <v>2</v>
      </c>
      <c r="U162" s="5">
        <v>6</v>
      </c>
      <c r="V162" s="5">
        <v>1</v>
      </c>
      <c r="W162" s="5">
        <v>-1720</v>
      </c>
      <c r="X162" s="5">
        <v>-5100</v>
      </c>
      <c r="Y162" s="5">
        <v>-725</v>
      </c>
      <c r="Z162" s="5">
        <v>-1720</v>
      </c>
      <c r="AA162" s="5">
        <v>-5100</v>
      </c>
      <c r="AB162" s="5">
        <v>-725</v>
      </c>
      <c r="AC162">
        <f t="shared" si="2"/>
        <v>-7545</v>
      </c>
    </row>
    <row r="163" spans="1:29">
      <c r="A163" s="4">
        <v>130</v>
      </c>
      <c r="B163" s="5">
        <f>_xlfn.XLOOKUP(G163,Sheet1!E:E,Sheet1!A:A)</f>
        <v>3513</v>
      </c>
      <c r="C163" s="5">
        <v>201</v>
      </c>
      <c r="D163" s="5" t="str">
        <f>_xlfn.XLOOKUP(G163,'规范整合泌尿系统医疗服务价格映射表12.11 (2)'!T:T,'规范整合泌尿系统医疗服务价格映射表12.11 (2)'!A:A)</f>
        <v>分项</v>
      </c>
      <c r="E163" s="12"/>
      <c r="F163" s="9" t="str">
        <f>_xlfn.XLOOKUP(G163,Sheet1!F:F,Sheet1!G:G)</f>
        <v>小儿经腹腔镜高位隐睾下降固定术</v>
      </c>
      <c r="G163" s="10" t="s">
        <v>1500</v>
      </c>
      <c r="H163" s="11"/>
      <c r="I163" s="5">
        <v>1925</v>
      </c>
      <c r="J163" s="5">
        <v>1850</v>
      </c>
      <c r="K163" s="5">
        <v>1575</v>
      </c>
      <c r="L163" s="11"/>
      <c r="M163" s="5">
        <v>440</v>
      </c>
      <c r="N163" s="5">
        <v>400</v>
      </c>
      <c r="O163" s="5">
        <v>340</v>
      </c>
      <c r="P163" s="5">
        <v>1</v>
      </c>
      <c r="Q163" s="5">
        <v>1</v>
      </c>
      <c r="R163" s="5" t="s">
        <v>2111</v>
      </c>
      <c r="S163" s="5">
        <v>0</v>
      </c>
      <c r="T163" s="5">
        <v>0</v>
      </c>
      <c r="U163" s="5">
        <v>3</v>
      </c>
      <c r="V163" s="5">
        <v>0</v>
      </c>
      <c r="W163" s="5">
        <v>0</v>
      </c>
      <c r="X163" s="5">
        <v>-4350</v>
      </c>
      <c r="Y163" s="5">
        <v>0</v>
      </c>
      <c r="Z163" s="5">
        <v>0</v>
      </c>
      <c r="AA163" s="5">
        <v>-4350</v>
      </c>
      <c r="AB163" s="5">
        <v>0</v>
      </c>
      <c r="AC163">
        <f t="shared" si="2"/>
        <v>-4350</v>
      </c>
    </row>
    <row r="164" spans="1:29">
      <c r="A164" s="4">
        <v>215</v>
      </c>
      <c r="B164" s="5">
        <f>_xlfn.XLOOKUP(G164,Sheet1!E:E,Sheet1!A:A)</f>
        <v>3514</v>
      </c>
      <c r="C164" s="5">
        <v>201</v>
      </c>
      <c r="D164" s="5">
        <f>_xlfn.XLOOKUP(G164,'规范整合泌尿系统医疗服务价格映射表12.11 (2)'!T:T,'规范整合泌尿系统医疗服务价格映射表12.11 (2)'!A:A)</f>
        <v>75</v>
      </c>
      <c r="E164" s="8" t="s">
        <v>1505</v>
      </c>
      <c r="F164" s="9" t="str">
        <f>_xlfn.XLOOKUP(G164,Sheet1!F:F,Sheet1!G:G)</f>
        <v>睾丸切除术</v>
      </c>
      <c r="G164" s="10" t="s">
        <v>1508</v>
      </c>
      <c r="H164" s="11"/>
      <c r="I164" s="5">
        <v>750</v>
      </c>
      <c r="J164" s="5">
        <v>720</v>
      </c>
      <c r="K164" s="5">
        <v>612</v>
      </c>
      <c r="L164" s="11"/>
      <c r="M164" s="5">
        <v>750</v>
      </c>
      <c r="N164" s="5">
        <v>705</v>
      </c>
      <c r="O164" s="5">
        <v>600</v>
      </c>
      <c r="P164" s="5">
        <v>1</v>
      </c>
      <c r="Q164" s="5">
        <v>1</v>
      </c>
      <c r="R164" s="5" t="s">
        <v>2111</v>
      </c>
      <c r="S164" s="5">
        <v>0</v>
      </c>
      <c r="T164" s="5">
        <v>47.5</v>
      </c>
      <c r="U164" s="5">
        <v>26</v>
      </c>
      <c r="V164" s="5">
        <v>2.5</v>
      </c>
      <c r="W164" s="5">
        <v>0</v>
      </c>
      <c r="X164" s="5">
        <v>-390</v>
      </c>
      <c r="Y164" s="5">
        <v>-30</v>
      </c>
      <c r="Z164" s="5">
        <v>0</v>
      </c>
      <c r="AA164" s="5">
        <v>330</v>
      </c>
      <c r="AB164" s="5">
        <v>-30</v>
      </c>
      <c r="AC164">
        <f t="shared" si="2"/>
        <v>300</v>
      </c>
    </row>
    <row r="165" spans="1:29">
      <c r="A165" s="4">
        <v>110</v>
      </c>
      <c r="B165" s="5">
        <f>_xlfn.XLOOKUP(G165,Sheet1!E:E,Sheet1!A:A)</f>
        <v>3515</v>
      </c>
      <c r="C165" s="5">
        <v>201</v>
      </c>
      <c r="D165" s="5" t="str">
        <f>_xlfn.XLOOKUP(G165,'规范整合泌尿系统医疗服务价格映射表12.11 (2)'!T:T,'规范整合泌尿系统医疗服务价格映射表12.11 (2)'!A:A)</f>
        <v>分项</v>
      </c>
      <c r="E165" s="8" t="s">
        <v>2141</v>
      </c>
      <c r="F165" s="9" t="str">
        <f>_xlfn.XLOOKUP(G165,Sheet1!F:F,Sheet1!G:G)</f>
        <v>附睾切除术</v>
      </c>
      <c r="G165" s="10" t="s">
        <v>1514</v>
      </c>
      <c r="H165" s="11"/>
      <c r="I165" s="5">
        <v>875</v>
      </c>
      <c r="J165" s="5">
        <v>840</v>
      </c>
      <c r="K165" s="5">
        <v>714</v>
      </c>
      <c r="L165" s="11"/>
      <c r="M165" s="5">
        <v>750</v>
      </c>
      <c r="N165" s="5">
        <v>705</v>
      </c>
      <c r="O165" s="5">
        <v>600</v>
      </c>
      <c r="P165" s="5">
        <v>1</v>
      </c>
      <c r="Q165" s="5">
        <v>1</v>
      </c>
      <c r="R165" s="5" t="s">
        <v>2111</v>
      </c>
      <c r="S165" s="5">
        <v>0</v>
      </c>
      <c r="T165" s="5">
        <v>29.5</v>
      </c>
      <c r="U165" s="5">
        <v>15</v>
      </c>
      <c r="V165" s="5">
        <v>1</v>
      </c>
      <c r="W165" s="5">
        <v>-3687.5</v>
      </c>
      <c r="X165" s="5">
        <v>-2025</v>
      </c>
      <c r="Y165" s="5">
        <v>-114</v>
      </c>
      <c r="Z165" s="5">
        <v>-3687.5</v>
      </c>
      <c r="AA165" s="5">
        <v>-2025</v>
      </c>
      <c r="AB165" s="5">
        <v>-114</v>
      </c>
      <c r="AC165">
        <f t="shared" si="2"/>
        <v>-5826.5</v>
      </c>
    </row>
    <row r="166" spans="1:29">
      <c r="A166" s="4">
        <v>87</v>
      </c>
      <c r="B166" s="5">
        <f>_xlfn.XLOOKUP(G166,Sheet1!E:E,Sheet1!A:A)</f>
        <v>3519</v>
      </c>
      <c r="C166" s="5">
        <v>201</v>
      </c>
      <c r="D166" s="5" t="str">
        <f>_xlfn.XLOOKUP(G166,'规范整合泌尿系统医疗服务价格映射表12.11 (2)'!T:T,'规范整合泌尿系统医疗服务价格映射表12.11 (2)'!A:A)</f>
        <v>分项</v>
      </c>
      <c r="E166" s="8" t="s">
        <v>2142</v>
      </c>
      <c r="F166" s="9" t="str">
        <f>_xlfn.XLOOKUP(G166,Sheet1!F:F,Sheet1!G:G)</f>
        <v>小儿睾丸切除术</v>
      </c>
      <c r="G166" s="10" t="s">
        <v>1525</v>
      </c>
      <c r="H166" s="11"/>
      <c r="I166" s="5">
        <v>975</v>
      </c>
      <c r="J166" s="5">
        <v>935</v>
      </c>
      <c r="K166" s="5">
        <v>795</v>
      </c>
      <c r="L166" s="11"/>
      <c r="M166" s="5">
        <v>975</v>
      </c>
      <c r="N166" s="5">
        <v>915</v>
      </c>
      <c r="O166" s="5">
        <v>780</v>
      </c>
      <c r="P166" s="5">
        <v>1</v>
      </c>
      <c r="Q166" s="5">
        <v>1</v>
      </c>
      <c r="R166" s="5" t="s">
        <v>2111</v>
      </c>
      <c r="S166" s="5">
        <v>0</v>
      </c>
      <c r="T166" s="5">
        <v>6</v>
      </c>
      <c r="U166" s="5">
        <v>0</v>
      </c>
      <c r="V166" s="5">
        <v>0</v>
      </c>
      <c r="W166" s="5">
        <v>0</v>
      </c>
      <c r="X166" s="5">
        <v>0</v>
      </c>
      <c r="Y166" s="5">
        <v>0</v>
      </c>
      <c r="Z166" s="5">
        <v>0</v>
      </c>
      <c r="AA166" s="5">
        <v>0</v>
      </c>
      <c r="AB166" s="5">
        <v>0</v>
      </c>
      <c r="AC166">
        <f t="shared" si="2"/>
        <v>0</v>
      </c>
    </row>
    <row r="167" spans="1:29">
      <c r="A167" s="4">
        <v>76</v>
      </c>
      <c r="B167" s="5">
        <f>_xlfn.XLOOKUP(G167,Sheet1!E:E,Sheet1!A:A)</f>
        <v>3520</v>
      </c>
      <c r="C167" s="5">
        <v>201</v>
      </c>
      <c r="D167" s="5">
        <f>_xlfn.XLOOKUP(G167,'规范整合泌尿系统医疗服务价格映射表12.11 (2)'!T:T,'规范整合泌尿系统医疗服务价格映射表12.11 (2)'!A:A)</f>
        <v>76</v>
      </c>
      <c r="E167" s="8" t="s">
        <v>1528</v>
      </c>
      <c r="F167" s="9" t="str">
        <f>_xlfn.XLOOKUP(G167,Sheet1!F:F,Sheet1!G:G)</f>
        <v>睾丸鞘膜翻转术</v>
      </c>
      <c r="G167" s="10" t="s">
        <v>1532</v>
      </c>
      <c r="H167" s="11"/>
      <c r="I167" s="5">
        <v>625</v>
      </c>
      <c r="J167" s="5">
        <v>600</v>
      </c>
      <c r="K167" s="5">
        <v>510</v>
      </c>
      <c r="L167" s="11"/>
      <c r="M167" s="5">
        <v>800</v>
      </c>
      <c r="N167" s="5">
        <v>720</v>
      </c>
      <c r="O167" s="5">
        <v>600</v>
      </c>
      <c r="P167" s="5">
        <v>1</v>
      </c>
      <c r="Q167" s="5">
        <v>1</v>
      </c>
      <c r="R167" s="5" t="s">
        <v>2111</v>
      </c>
      <c r="S167" s="5">
        <v>0</v>
      </c>
      <c r="T167" s="5">
        <v>89</v>
      </c>
      <c r="U167" s="5">
        <v>102</v>
      </c>
      <c r="V167" s="5">
        <v>27</v>
      </c>
      <c r="W167" s="5">
        <v>15575</v>
      </c>
      <c r="X167" s="5">
        <v>12240</v>
      </c>
      <c r="Y167" s="5">
        <v>2430</v>
      </c>
      <c r="Z167" s="5">
        <v>15575</v>
      </c>
      <c r="AA167" s="5">
        <v>12510</v>
      </c>
      <c r="AB167" s="5">
        <v>2430</v>
      </c>
      <c r="AC167">
        <f t="shared" si="2"/>
        <v>30515</v>
      </c>
    </row>
    <row r="168" spans="1:29">
      <c r="A168" s="4">
        <v>114</v>
      </c>
      <c r="B168" s="5">
        <f>_xlfn.XLOOKUP(G168,Sheet1!E:E,Sheet1!A:A)</f>
        <v>3522</v>
      </c>
      <c r="C168" s="5">
        <v>201</v>
      </c>
      <c r="D168" s="5">
        <f>_xlfn.XLOOKUP(G168,'规范整合泌尿系统医疗服务价格映射表12.11 (2)'!T:T,'规范整合泌尿系统医疗服务价格映射表12.11 (2)'!A:A)</f>
        <v>76</v>
      </c>
      <c r="E168" s="12"/>
      <c r="F168" s="9" t="str">
        <f>_xlfn.XLOOKUP(G168,Sheet1!F:F,Sheet1!G:G)</f>
        <v>交通性鞘膜积液修补术</v>
      </c>
      <c r="G168" s="10" t="s">
        <v>1536</v>
      </c>
      <c r="H168" s="11"/>
      <c r="I168" s="5">
        <v>875</v>
      </c>
      <c r="J168" s="5">
        <v>840</v>
      </c>
      <c r="K168" s="5">
        <v>714</v>
      </c>
      <c r="L168" s="11"/>
      <c r="M168" s="5">
        <v>800</v>
      </c>
      <c r="N168" s="5">
        <v>720</v>
      </c>
      <c r="O168" s="5">
        <v>600</v>
      </c>
      <c r="P168" s="5">
        <v>1</v>
      </c>
      <c r="Q168" s="5">
        <v>1</v>
      </c>
      <c r="R168" s="5" t="s">
        <v>2111</v>
      </c>
      <c r="S168" s="5">
        <v>0</v>
      </c>
      <c r="T168" s="5">
        <v>26.5</v>
      </c>
      <c r="U168" s="5">
        <v>23.5</v>
      </c>
      <c r="V168" s="5">
        <v>4</v>
      </c>
      <c r="W168" s="5">
        <v>-1987.5</v>
      </c>
      <c r="X168" s="5">
        <v>-2820</v>
      </c>
      <c r="Y168" s="5">
        <v>-456</v>
      </c>
      <c r="Z168" s="5">
        <v>-1987.5</v>
      </c>
      <c r="AA168" s="5">
        <v>-2568</v>
      </c>
      <c r="AB168" s="5">
        <v>-456</v>
      </c>
      <c r="AC168">
        <f t="shared" si="2"/>
        <v>-5011.5</v>
      </c>
    </row>
    <row r="169" spans="1:29">
      <c r="A169" s="4">
        <v>36</v>
      </c>
      <c r="B169" s="5">
        <f>_xlfn.XLOOKUP(G169,Sheet1!E:E,Sheet1!A:A)</f>
        <v>3523</v>
      </c>
      <c r="C169" s="5">
        <v>201</v>
      </c>
      <c r="D169" s="5">
        <f>_xlfn.XLOOKUP(G169,'规范整合泌尿系统医疗服务价格映射表12.11 (2)'!T:T,'规范整合泌尿系统医疗服务价格映射表12.11 (2)'!A:A)</f>
        <v>76</v>
      </c>
      <c r="E169" s="12"/>
      <c r="F169" s="9" t="str">
        <f>_xlfn.XLOOKUP(G169,Sheet1!F:F,Sheet1!G:G)</f>
        <v>经腹腔镜交通性鞘膜积液修补术</v>
      </c>
      <c r="G169" s="10" t="s">
        <v>1539</v>
      </c>
      <c r="H169" s="11"/>
      <c r="I169" s="5">
        <v>1500</v>
      </c>
      <c r="J169" s="5">
        <v>1440</v>
      </c>
      <c r="K169" s="5">
        <v>1224</v>
      </c>
      <c r="L169" s="11"/>
      <c r="M169" s="5">
        <v>800</v>
      </c>
      <c r="N169" s="5">
        <v>720</v>
      </c>
      <c r="O169" s="5">
        <v>600</v>
      </c>
      <c r="P169" s="5">
        <v>1</v>
      </c>
      <c r="Q169" s="5">
        <v>1</v>
      </c>
      <c r="R169" s="5" t="s">
        <v>2111</v>
      </c>
      <c r="S169" s="5">
        <v>0</v>
      </c>
      <c r="T169" s="5">
        <v>21</v>
      </c>
      <c r="U169" s="5">
        <v>1</v>
      </c>
      <c r="V169" s="5">
        <v>0</v>
      </c>
      <c r="W169" s="5">
        <v>-14700</v>
      </c>
      <c r="X169" s="5">
        <v>-720</v>
      </c>
      <c r="Y169" s="5">
        <v>0</v>
      </c>
      <c r="Z169" s="5">
        <v>-14700</v>
      </c>
      <c r="AA169" s="5">
        <v>-720</v>
      </c>
      <c r="AB169" s="5">
        <v>0</v>
      </c>
      <c r="AC169">
        <f t="shared" si="2"/>
        <v>-15420</v>
      </c>
    </row>
    <row r="170" spans="1:29">
      <c r="A170" s="4">
        <v>128</v>
      </c>
      <c r="B170" s="5">
        <f>_xlfn.XLOOKUP(G170,Sheet1!E:E,Sheet1!A:A)</f>
        <v>3524</v>
      </c>
      <c r="C170" s="5">
        <v>201</v>
      </c>
      <c r="D170" s="5">
        <f>_xlfn.XLOOKUP(G170,'规范整合泌尿系统医疗服务价格映射表12.11 (2)'!T:T,'规范整合泌尿系统医疗服务价格映射表12.11 (2)'!A:A)</f>
        <v>76</v>
      </c>
      <c r="E170" s="12"/>
      <c r="F170" s="9" t="str">
        <f>_xlfn.XLOOKUP(G170,Sheet1!F:F,Sheet1!G:G)</f>
        <v>睾丸鞘状突高位结扎术</v>
      </c>
      <c r="G170" s="10" t="s">
        <v>1541</v>
      </c>
      <c r="H170" s="11"/>
      <c r="I170" s="5">
        <v>525</v>
      </c>
      <c r="J170" s="5">
        <v>500</v>
      </c>
      <c r="K170" s="5">
        <v>425</v>
      </c>
      <c r="L170" s="11"/>
      <c r="M170" s="5">
        <v>800</v>
      </c>
      <c r="N170" s="5">
        <v>720</v>
      </c>
      <c r="O170" s="5">
        <v>600</v>
      </c>
      <c r="P170" s="5">
        <v>1</v>
      </c>
      <c r="Q170" s="5">
        <v>1</v>
      </c>
      <c r="R170" s="5" t="s">
        <v>2111</v>
      </c>
      <c r="S170" s="5">
        <v>0</v>
      </c>
      <c r="T170" s="5">
        <v>7.5</v>
      </c>
      <c r="U170" s="5">
        <v>6.5</v>
      </c>
      <c r="V170" s="5">
        <v>1</v>
      </c>
      <c r="W170" s="5">
        <v>2062.5</v>
      </c>
      <c r="X170" s="5">
        <v>1430</v>
      </c>
      <c r="Y170" s="5">
        <v>175</v>
      </c>
      <c r="Z170" s="5">
        <v>2062.5</v>
      </c>
      <c r="AA170" s="5">
        <v>1430</v>
      </c>
      <c r="AB170" s="5">
        <v>175</v>
      </c>
      <c r="AC170">
        <f t="shared" si="2"/>
        <v>3667.5</v>
      </c>
    </row>
    <row r="171" spans="1:29">
      <c r="A171" s="4">
        <v>81</v>
      </c>
      <c r="B171" s="5">
        <f>_xlfn.XLOOKUP(G171,Sheet1!E:E,Sheet1!A:A)</f>
        <v>3525</v>
      </c>
      <c r="C171" s="5">
        <v>201</v>
      </c>
      <c r="D171" s="5" t="str">
        <f>_xlfn.XLOOKUP(G171,'规范整合泌尿系统医疗服务价格映射表12.11 (2)'!T:T,'规范整合泌尿系统医疗服务价格映射表12.11 (2)'!A:A)</f>
        <v>分项</v>
      </c>
      <c r="E171" s="8" t="s">
        <v>2143</v>
      </c>
      <c r="F171" s="9" t="str">
        <f>_xlfn.XLOOKUP(G171,Sheet1!F:F,Sheet1!G:G)</f>
        <v>小儿睾丸鞘膜翻转术</v>
      </c>
      <c r="G171" s="10" t="s">
        <v>1545</v>
      </c>
      <c r="H171" s="11"/>
      <c r="I171" s="5">
        <v>815</v>
      </c>
      <c r="J171" s="5">
        <v>780</v>
      </c>
      <c r="K171" s="5">
        <v>665</v>
      </c>
      <c r="L171" s="11"/>
      <c r="M171" s="5">
        <v>1040</v>
      </c>
      <c r="N171" s="5">
        <v>935</v>
      </c>
      <c r="O171" s="5">
        <v>780</v>
      </c>
      <c r="P171" s="5">
        <v>1</v>
      </c>
      <c r="Q171" s="5">
        <v>1</v>
      </c>
      <c r="R171" s="5" t="s">
        <v>2111</v>
      </c>
      <c r="S171" s="5">
        <v>0</v>
      </c>
      <c r="T171" s="5">
        <v>10.5</v>
      </c>
      <c r="U171" s="5">
        <v>12</v>
      </c>
      <c r="V171" s="5">
        <v>0</v>
      </c>
      <c r="W171" s="5">
        <v>2362.5</v>
      </c>
      <c r="X171" s="5">
        <v>1860</v>
      </c>
      <c r="Y171" s="5">
        <v>0</v>
      </c>
      <c r="Z171" s="5">
        <v>2362.5</v>
      </c>
      <c r="AA171" s="5">
        <v>2250</v>
      </c>
      <c r="AB171" s="5">
        <v>0</v>
      </c>
      <c r="AC171">
        <f t="shared" si="2"/>
        <v>4612.5</v>
      </c>
    </row>
    <row r="172" spans="1:29">
      <c r="A172" s="4">
        <v>14</v>
      </c>
      <c r="B172" s="5">
        <f>_xlfn.XLOOKUP(G172,Sheet1!E:E,Sheet1!A:A)</f>
        <v>3527</v>
      </c>
      <c r="C172" s="5">
        <v>201</v>
      </c>
      <c r="D172" s="5" t="str">
        <f>_xlfn.XLOOKUP(G172,'规范整合泌尿系统医疗服务价格映射表12.11 (2)'!T:T,'规范整合泌尿系统医疗服务价格映射表12.11 (2)'!A:A)</f>
        <v>分项</v>
      </c>
      <c r="E172" s="12"/>
      <c r="F172" s="9" t="str">
        <f>_xlfn.XLOOKUP(G172,Sheet1!F:F,Sheet1!G:G)</f>
        <v>小儿交通性鞘膜积液修补术</v>
      </c>
      <c r="G172" s="10" t="s">
        <v>1549</v>
      </c>
      <c r="H172" s="11"/>
      <c r="I172" s="5">
        <v>1140</v>
      </c>
      <c r="J172" s="5">
        <v>1090</v>
      </c>
      <c r="K172" s="5">
        <v>925</v>
      </c>
      <c r="L172" s="11"/>
      <c r="M172" s="5">
        <v>1040</v>
      </c>
      <c r="N172" s="5">
        <v>935</v>
      </c>
      <c r="O172" s="5">
        <v>780</v>
      </c>
      <c r="P172" s="5">
        <v>1</v>
      </c>
      <c r="Q172" s="5">
        <v>1</v>
      </c>
      <c r="R172" s="5" t="s">
        <v>2111</v>
      </c>
      <c r="S172" s="5">
        <v>0</v>
      </c>
      <c r="T172" s="5">
        <v>85.5</v>
      </c>
      <c r="U172" s="5">
        <v>30.5</v>
      </c>
      <c r="V172" s="5">
        <v>5</v>
      </c>
      <c r="W172" s="5">
        <v>-8550</v>
      </c>
      <c r="X172" s="5">
        <v>-4727.5</v>
      </c>
      <c r="Y172" s="5">
        <v>-725</v>
      </c>
      <c r="Z172" s="5">
        <v>-8550</v>
      </c>
      <c r="AA172" s="5">
        <v>-4182.5</v>
      </c>
      <c r="AB172" s="5">
        <v>-725</v>
      </c>
      <c r="AC172">
        <f t="shared" si="2"/>
        <v>-13457.5</v>
      </c>
    </row>
    <row r="173" spans="1:29">
      <c r="A173" s="4">
        <v>37</v>
      </c>
      <c r="B173" s="5">
        <f>_xlfn.XLOOKUP(G173,Sheet1!E:E,Sheet1!A:A)</f>
        <v>3528</v>
      </c>
      <c r="C173" s="5">
        <v>201</v>
      </c>
      <c r="D173" s="5" t="str">
        <f>_xlfn.XLOOKUP(G173,'规范整合泌尿系统医疗服务价格映射表12.11 (2)'!T:T,'规范整合泌尿系统医疗服务价格映射表12.11 (2)'!A:A)</f>
        <v>分项</v>
      </c>
      <c r="E173" s="12"/>
      <c r="F173" s="9" t="str">
        <f>_xlfn.XLOOKUP(G173,Sheet1!F:F,Sheet1!G:G)</f>
        <v>小儿经腹腔镜交通性鞘膜积液修补术</v>
      </c>
      <c r="G173" s="10" t="s">
        <v>1551</v>
      </c>
      <c r="H173" s="11"/>
      <c r="I173" s="5">
        <v>1765</v>
      </c>
      <c r="J173" s="5">
        <v>1690</v>
      </c>
      <c r="K173" s="5">
        <v>1435</v>
      </c>
      <c r="L173" s="11"/>
      <c r="M173" s="5">
        <v>1040</v>
      </c>
      <c r="N173" s="5">
        <v>935</v>
      </c>
      <c r="O173" s="5">
        <v>780</v>
      </c>
      <c r="P173" s="5">
        <v>1</v>
      </c>
      <c r="Q173" s="5">
        <v>1</v>
      </c>
      <c r="R173" s="5" t="s">
        <v>2111</v>
      </c>
      <c r="S173" s="5">
        <v>0</v>
      </c>
      <c r="T173" s="5">
        <v>229.5</v>
      </c>
      <c r="U173" s="5">
        <v>2</v>
      </c>
      <c r="V173" s="5">
        <v>0</v>
      </c>
      <c r="W173" s="5">
        <v>-166387.5</v>
      </c>
      <c r="X173" s="5">
        <v>-1510</v>
      </c>
      <c r="Y173" s="5">
        <v>0</v>
      </c>
      <c r="Z173" s="5">
        <v>-166387.5</v>
      </c>
      <c r="AA173" s="5">
        <v>-1510</v>
      </c>
      <c r="AB173" s="5">
        <v>0</v>
      </c>
      <c r="AC173">
        <f t="shared" si="2"/>
        <v>-167897.5</v>
      </c>
    </row>
    <row r="174" spans="1:29">
      <c r="A174" s="4">
        <v>9</v>
      </c>
      <c r="B174" s="5">
        <f>_xlfn.XLOOKUP(G174,Sheet1!E:E,Sheet1!A:A)</f>
        <v>3529</v>
      </c>
      <c r="C174" s="5">
        <v>201</v>
      </c>
      <c r="D174" s="5" t="str">
        <f>_xlfn.XLOOKUP(G174,'规范整合泌尿系统医疗服务价格映射表12.11 (2)'!T:T,'规范整合泌尿系统医疗服务价格映射表12.11 (2)'!A:A)</f>
        <v>分项</v>
      </c>
      <c r="E174" s="12"/>
      <c r="F174" s="9" t="str">
        <f>_xlfn.XLOOKUP(G174,Sheet1!F:F,Sheet1!G:G)</f>
        <v>小儿睾丸鞘状突高位结扎术</v>
      </c>
      <c r="G174" s="10" t="s">
        <v>1553</v>
      </c>
      <c r="H174" s="11"/>
      <c r="I174" s="5">
        <v>685</v>
      </c>
      <c r="J174" s="5">
        <v>650</v>
      </c>
      <c r="K174" s="5">
        <v>555</v>
      </c>
      <c r="L174" s="11"/>
      <c r="M174" s="5">
        <v>1040</v>
      </c>
      <c r="N174" s="5">
        <v>935</v>
      </c>
      <c r="O174" s="5">
        <v>780</v>
      </c>
      <c r="P174" s="5">
        <v>1</v>
      </c>
      <c r="Q174" s="5">
        <v>1</v>
      </c>
      <c r="R174" s="5" t="s">
        <v>2111</v>
      </c>
      <c r="S174" s="5">
        <v>0</v>
      </c>
      <c r="T174" s="5">
        <v>18</v>
      </c>
      <c r="U174" s="5">
        <v>12</v>
      </c>
      <c r="V174" s="5">
        <v>0</v>
      </c>
      <c r="W174" s="5">
        <v>6390</v>
      </c>
      <c r="X174" s="5">
        <v>3420</v>
      </c>
      <c r="Y174" s="5">
        <v>0</v>
      </c>
      <c r="Z174" s="5">
        <v>6390</v>
      </c>
      <c r="AA174" s="5">
        <v>3745</v>
      </c>
      <c r="AB174" s="5">
        <v>0</v>
      </c>
      <c r="AC174">
        <f t="shared" si="2"/>
        <v>10135</v>
      </c>
    </row>
    <row r="175" spans="1:29">
      <c r="A175" s="4">
        <v>85</v>
      </c>
      <c r="B175" s="5">
        <f>_xlfn.XLOOKUP(G175,Sheet1!E:E,Sheet1!A:A)</f>
        <v>3530</v>
      </c>
      <c r="C175" s="5">
        <v>201</v>
      </c>
      <c r="D175" s="5">
        <f>_xlfn.XLOOKUP(G175,'规范整合泌尿系统医疗服务价格映射表12.11 (2)'!T:T,'规范整合泌尿系统医疗服务价格映射表12.11 (2)'!A:A)</f>
        <v>77</v>
      </c>
      <c r="E175" s="8" t="s">
        <v>1556</v>
      </c>
      <c r="F175" s="9" t="str">
        <f>_xlfn.XLOOKUP(G175,Sheet1!F:F,Sheet1!G:G)</f>
        <v>睾丸破裂修补术</v>
      </c>
      <c r="G175" s="10" t="s">
        <v>1560</v>
      </c>
      <c r="H175" s="11"/>
      <c r="I175" s="5">
        <v>1000</v>
      </c>
      <c r="J175" s="5">
        <v>960</v>
      </c>
      <c r="K175" s="5">
        <v>816</v>
      </c>
      <c r="L175" s="11"/>
      <c r="M175" s="5">
        <v>950</v>
      </c>
      <c r="N175" s="5">
        <v>900</v>
      </c>
      <c r="O175" s="5">
        <v>770</v>
      </c>
      <c r="P175" s="5">
        <v>1</v>
      </c>
      <c r="Q175" s="5">
        <v>1</v>
      </c>
      <c r="R175" s="5" t="s">
        <v>2111</v>
      </c>
      <c r="S175" s="5">
        <v>0</v>
      </c>
      <c r="T175" s="5">
        <v>1.5</v>
      </c>
      <c r="U175" s="5">
        <v>2</v>
      </c>
      <c r="V175" s="5">
        <v>0</v>
      </c>
      <c r="W175" s="5">
        <v>-75</v>
      </c>
      <c r="X175" s="5">
        <v>-120</v>
      </c>
      <c r="Y175" s="5">
        <v>0</v>
      </c>
      <c r="Z175" s="5">
        <v>-75</v>
      </c>
      <c r="AA175" s="5">
        <v>-120</v>
      </c>
      <c r="AB175" s="5">
        <v>0</v>
      </c>
      <c r="AC175">
        <f t="shared" si="2"/>
        <v>-195</v>
      </c>
    </row>
    <row r="176" spans="1:29">
      <c r="A176" s="4">
        <v>65</v>
      </c>
      <c r="B176" s="5">
        <f>_xlfn.XLOOKUP(G176,Sheet1!E:E,Sheet1!A:A)</f>
        <v>3534</v>
      </c>
      <c r="C176" s="5">
        <v>201</v>
      </c>
      <c r="D176" s="5">
        <f>_xlfn.XLOOKUP(G176,'规范整合泌尿系统医疗服务价格映射表12.11 (2)'!T:T,'规范整合泌尿系统医疗服务价格映射表12.11 (2)'!A:A)</f>
        <v>78</v>
      </c>
      <c r="E176" s="8" t="s">
        <v>1571</v>
      </c>
      <c r="F176" s="9" t="str">
        <f>_xlfn.XLOOKUP(G176,Sheet1!F:F,Sheet1!G:G)</f>
        <v>睾丸固定术</v>
      </c>
      <c r="G176" s="10" t="s">
        <v>1574</v>
      </c>
      <c r="H176" s="11"/>
      <c r="I176" s="5">
        <v>1000</v>
      </c>
      <c r="J176" s="5">
        <v>960</v>
      </c>
      <c r="K176" s="5">
        <v>816</v>
      </c>
      <c r="L176" s="11"/>
      <c r="M176" s="5">
        <v>1125</v>
      </c>
      <c r="N176" s="5">
        <v>1000</v>
      </c>
      <c r="O176" s="5">
        <v>850</v>
      </c>
      <c r="P176" s="5">
        <v>1</v>
      </c>
      <c r="Q176" s="5">
        <v>1</v>
      </c>
      <c r="R176" s="5" t="s">
        <v>2111</v>
      </c>
      <c r="S176" s="5">
        <v>0</v>
      </c>
      <c r="T176" s="5">
        <v>120</v>
      </c>
      <c r="U176" s="5">
        <v>59</v>
      </c>
      <c r="V176" s="5">
        <v>1</v>
      </c>
      <c r="W176" s="5">
        <v>15000</v>
      </c>
      <c r="X176" s="5">
        <v>2360</v>
      </c>
      <c r="Y176" s="5">
        <v>34</v>
      </c>
      <c r="Z176" s="5">
        <v>15000</v>
      </c>
      <c r="AA176" s="5">
        <v>2984</v>
      </c>
      <c r="AB176" s="5">
        <v>34</v>
      </c>
      <c r="AC176">
        <f t="shared" si="2"/>
        <v>18018</v>
      </c>
    </row>
    <row r="177" spans="1:29">
      <c r="A177" s="4">
        <v>41</v>
      </c>
      <c r="B177" s="5">
        <f>_xlfn.XLOOKUP(G177,Sheet1!E:E,Sheet1!A:A)</f>
        <v>3535</v>
      </c>
      <c r="C177" s="5">
        <v>201</v>
      </c>
      <c r="D177" s="5">
        <f>_xlfn.XLOOKUP(G177,'规范整合泌尿系统医疗服务价格映射表12.11 (2)'!T:T,'规范整合泌尿系统医疗服务价格映射表12.11 (2)'!A:A)</f>
        <v>78</v>
      </c>
      <c r="E177" s="12"/>
      <c r="F177" s="9" t="str">
        <f>_xlfn.XLOOKUP(G177,Sheet1!F:F,Sheet1!G:G)</f>
        <v>经腹腔镜睾丸固定术</v>
      </c>
      <c r="G177" s="10" t="s">
        <v>1577</v>
      </c>
      <c r="H177" s="11"/>
      <c r="I177" s="5">
        <v>1625</v>
      </c>
      <c r="J177" s="5">
        <v>1560</v>
      </c>
      <c r="K177" s="5">
        <v>1326</v>
      </c>
      <c r="L177" s="11"/>
      <c r="M177" s="5">
        <v>1125</v>
      </c>
      <c r="N177" s="5">
        <v>1000</v>
      </c>
      <c r="O177" s="5">
        <v>850</v>
      </c>
      <c r="P177" s="5">
        <v>1</v>
      </c>
      <c r="Q177" s="5">
        <v>1</v>
      </c>
      <c r="R177" s="5" t="s">
        <v>2111</v>
      </c>
      <c r="S177" s="5">
        <v>0</v>
      </c>
      <c r="T177" s="5">
        <v>11</v>
      </c>
      <c r="U177" s="5">
        <v>6</v>
      </c>
      <c r="V177" s="5">
        <v>0</v>
      </c>
      <c r="W177" s="5">
        <v>-5500</v>
      </c>
      <c r="X177" s="5">
        <v>-3360</v>
      </c>
      <c r="Y177" s="5">
        <v>0</v>
      </c>
      <c r="Z177" s="5">
        <v>-5500</v>
      </c>
      <c r="AA177" s="5">
        <v>-3360</v>
      </c>
      <c r="AB177" s="5">
        <v>0</v>
      </c>
      <c r="AC177">
        <f t="shared" si="2"/>
        <v>-8860</v>
      </c>
    </row>
    <row r="178" spans="1:29">
      <c r="A178" s="4">
        <v>179</v>
      </c>
      <c r="B178" s="5">
        <f>_xlfn.XLOOKUP(G178,Sheet1!E:E,Sheet1!A:A)</f>
        <v>3536</v>
      </c>
      <c r="C178" s="5">
        <v>201</v>
      </c>
      <c r="D178" s="5">
        <f>_xlfn.XLOOKUP(G178,'规范整合泌尿系统医疗服务价格映射表12.11 (2)'!T:T,'规范整合泌尿系统医疗服务价格映射表12.11 (2)'!A:A)</f>
        <v>78</v>
      </c>
      <c r="E178" s="12"/>
      <c r="F178" s="9" t="str">
        <f>_xlfn.XLOOKUP(G178,Sheet1!F:F,Sheet1!G:G)</f>
        <v>睾丸附件扭转探查术</v>
      </c>
      <c r="G178" s="10" t="s">
        <v>1579</v>
      </c>
      <c r="H178" s="11"/>
      <c r="I178" s="5">
        <v>875</v>
      </c>
      <c r="J178" s="5">
        <v>840</v>
      </c>
      <c r="K178" s="5">
        <v>714</v>
      </c>
      <c r="L178" s="11"/>
      <c r="M178" s="5">
        <v>1125</v>
      </c>
      <c r="N178" s="5">
        <v>1000</v>
      </c>
      <c r="O178" s="5">
        <v>850</v>
      </c>
      <c r="P178" s="5">
        <v>1</v>
      </c>
      <c r="Q178" s="5">
        <v>1</v>
      </c>
      <c r="R178" s="5" t="s">
        <v>2111</v>
      </c>
      <c r="S178" s="5">
        <v>0</v>
      </c>
      <c r="T178" s="5">
        <v>24</v>
      </c>
      <c r="U178" s="5">
        <v>13</v>
      </c>
      <c r="V178" s="5">
        <v>0</v>
      </c>
      <c r="W178" s="5">
        <v>6000</v>
      </c>
      <c r="X178" s="5">
        <v>2080</v>
      </c>
      <c r="Y178" s="5">
        <v>0</v>
      </c>
      <c r="Z178" s="5">
        <v>6000</v>
      </c>
      <c r="AA178" s="5">
        <v>2626</v>
      </c>
      <c r="AB178" s="5">
        <v>0</v>
      </c>
      <c r="AC178">
        <f t="shared" si="2"/>
        <v>8626</v>
      </c>
    </row>
    <row r="179" spans="1:29">
      <c r="A179" s="4">
        <v>39</v>
      </c>
      <c r="B179" s="5">
        <f>_xlfn.XLOOKUP(G179,Sheet1!E:E,Sheet1!A:A)</f>
        <v>3538</v>
      </c>
      <c r="C179" s="5">
        <v>201</v>
      </c>
      <c r="D179" s="5">
        <f>_xlfn.XLOOKUP(G179,'规范整合泌尿系统医疗服务价格映射表12.11 (2)'!T:T,'规范整合泌尿系统医疗服务价格映射表12.11 (2)'!A:A)</f>
        <v>78</v>
      </c>
      <c r="E179" s="12"/>
      <c r="F179" s="9" t="str">
        <f>_xlfn.XLOOKUP(G179,Sheet1!F:F,Sheet1!G:G)</f>
        <v>经腹腔镜隐睾探查术</v>
      </c>
      <c r="G179" s="10" t="s">
        <v>1584</v>
      </c>
      <c r="H179" s="11"/>
      <c r="I179" s="5">
        <v>2530</v>
      </c>
      <c r="J179" s="5">
        <v>2280</v>
      </c>
      <c r="K179" s="5">
        <v>1940</v>
      </c>
      <c r="L179" s="11"/>
      <c r="M179" s="5">
        <v>1125</v>
      </c>
      <c r="N179" s="5">
        <v>1000</v>
      </c>
      <c r="O179" s="5">
        <v>850</v>
      </c>
      <c r="P179" s="5">
        <v>1</v>
      </c>
      <c r="Q179" s="5">
        <v>1</v>
      </c>
      <c r="R179" s="5" t="s">
        <v>2111</v>
      </c>
      <c r="S179" s="5">
        <v>0</v>
      </c>
      <c r="T179" s="5">
        <v>11</v>
      </c>
      <c r="U179" s="5">
        <v>0</v>
      </c>
      <c r="V179" s="5">
        <v>0</v>
      </c>
      <c r="W179" s="5">
        <v>-15455</v>
      </c>
      <c r="X179" s="5">
        <v>0</v>
      </c>
      <c r="Y179" s="5">
        <v>0</v>
      </c>
      <c r="Z179" s="5">
        <v>-15455</v>
      </c>
      <c r="AA179" s="5">
        <v>0</v>
      </c>
      <c r="AB179" s="5">
        <v>0</v>
      </c>
      <c r="AC179">
        <f t="shared" si="2"/>
        <v>-15455</v>
      </c>
    </row>
    <row r="180" spans="1:29">
      <c r="A180" s="4">
        <v>141</v>
      </c>
      <c r="B180" s="5">
        <f>_xlfn.XLOOKUP(G180,Sheet1!E:E,Sheet1!A:A)</f>
        <v>3539</v>
      </c>
      <c r="C180" s="5">
        <v>201</v>
      </c>
      <c r="D180" s="5" t="str">
        <f>_xlfn.XLOOKUP(G180,'规范整合泌尿系统医疗服务价格映射表12.11 (2)'!T:T,'规范整合泌尿系统医疗服务价格映射表12.11 (2)'!A:A)</f>
        <v>分项</v>
      </c>
      <c r="E180" s="8" t="s">
        <v>2144</v>
      </c>
      <c r="F180" s="9" t="str">
        <f>_xlfn.XLOOKUP(G180,Sheet1!F:F,Sheet1!G:G)</f>
        <v>小儿睾丸固定术</v>
      </c>
      <c r="G180" s="10" t="s">
        <v>1589</v>
      </c>
      <c r="H180" s="11"/>
      <c r="I180" s="5">
        <v>1300</v>
      </c>
      <c r="J180" s="5">
        <v>1250</v>
      </c>
      <c r="K180" s="5">
        <v>1065</v>
      </c>
      <c r="L180" s="11"/>
      <c r="M180" s="5">
        <v>1465</v>
      </c>
      <c r="N180" s="5">
        <v>1300</v>
      </c>
      <c r="O180" s="5">
        <v>1105</v>
      </c>
      <c r="P180" s="5">
        <v>1</v>
      </c>
      <c r="Q180" s="5">
        <v>1</v>
      </c>
      <c r="R180" s="5" t="s">
        <v>2111</v>
      </c>
      <c r="S180" s="5">
        <v>0</v>
      </c>
      <c r="T180" s="5">
        <v>102.5</v>
      </c>
      <c r="U180" s="5">
        <v>14</v>
      </c>
      <c r="V180" s="5">
        <v>0</v>
      </c>
      <c r="W180" s="5">
        <v>16912.5</v>
      </c>
      <c r="X180" s="5">
        <v>700</v>
      </c>
      <c r="Y180" s="5">
        <v>0</v>
      </c>
      <c r="Z180" s="5">
        <v>16912.5</v>
      </c>
      <c r="AA180" s="5">
        <v>700</v>
      </c>
      <c r="AB180" s="5">
        <v>0</v>
      </c>
      <c r="AC180">
        <f t="shared" si="2"/>
        <v>17612.5</v>
      </c>
    </row>
    <row r="181" spans="1:29">
      <c r="A181" s="4">
        <v>174</v>
      </c>
      <c r="B181" s="5">
        <f>_xlfn.XLOOKUP(G181,Sheet1!E:E,Sheet1!A:A)</f>
        <v>3540</v>
      </c>
      <c r="C181" s="5">
        <v>201</v>
      </c>
      <c r="D181" s="5" t="str">
        <f>_xlfn.XLOOKUP(G181,'规范整合泌尿系统医疗服务价格映射表12.11 (2)'!T:T,'规范整合泌尿系统医疗服务价格映射表12.11 (2)'!A:A)</f>
        <v>分项</v>
      </c>
      <c r="E181" s="12"/>
      <c r="F181" s="9" t="str">
        <f>_xlfn.XLOOKUP(G181,Sheet1!F:F,Sheet1!G:G)</f>
        <v>小儿经腹腔镜睾丸固定术</v>
      </c>
      <c r="G181" s="10" t="s">
        <v>1591</v>
      </c>
      <c r="H181" s="11"/>
      <c r="I181" s="5">
        <v>1925</v>
      </c>
      <c r="J181" s="5">
        <v>1850</v>
      </c>
      <c r="K181" s="5">
        <v>1575</v>
      </c>
      <c r="L181" s="11"/>
      <c r="M181" s="5">
        <v>1465</v>
      </c>
      <c r="N181" s="5">
        <v>1300</v>
      </c>
      <c r="O181" s="5">
        <v>1105</v>
      </c>
      <c r="P181" s="5">
        <v>1</v>
      </c>
      <c r="Q181" s="5">
        <v>1</v>
      </c>
      <c r="R181" s="5" t="s">
        <v>2111</v>
      </c>
      <c r="S181" s="5">
        <v>0</v>
      </c>
      <c r="T181" s="5">
        <v>69</v>
      </c>
      <c r="U181" s="5">
        <v>2</v>
      </c>
      <c r="V181" s="5">
        <v>0</v>
      </c>
      <c r="W181" s="5">
        <v>-31740</v>
      </c>
      <c r="X181" s="5">
        <v>-1100</v>
      </c>
      <c r="Y181" s="5">
        <v>0</v>
      </c>
      <c r="Z181" s="5">
        <v>-31740</v>
      </c>
      <c r="AA181" s="5">
        <v>-1100</v>
      </c>
      <c r="AB181" s="5">
        <v>0</v>
      </c>
      <c r="AC181">
        <f t="shared" si="2"/>
        <v>-32840</v>
      </c>
    </row>
    <row r="182" spans="1:29">
      <c r="A182" s="4">
        <v>188</v>
      </c>
      <c r="B182" s="5">
        <f>_xlfn.XLOOKUP(G182,Sheet1!E:E,Sheet1!A:A)</f>
        <v>3541</v>
      </c>
      <c r="C182" s="5">
        <v>201</v>
      </c>
      <c r="D182" s="5" t="str">
        <f>_xlfn.XLOOKUP(G182,'规范整合泌尿系统医疗服务价格映射表12.11 (2)'!T:T,'规范整合泌尿系统医疗服务价格映射表12.11 (2)'!A:A)</f>
        <v>分项</v>
      </c>
      <c r="E182" s="12"/>
      <c r="F182" s="9" t="str">
        <f>_xlfn.XLOOKUP(G182,Sheet1!F:F,Sheet1!G:G)</f>
        <v>小儿睾丸附件扭转探查术</v>
      </c>
      <c r="G182" s="10" t="s">
        <v>1593</v>
      </c>
      <c r="H182" s="11"/>
      <c r="I182" s="5">
        <v>1140</v>
      </c>
      <c r="J182" s="5">
        <v>1090</v>
      </c>
      <c r="K182" s="5">
        <v>925</v>
      </c>
      <c r="L182" s="11"/>
      <c r="M182" s="5">
        <v>1465</v>
      </c>
      <c r="N182" s="5">
        <v>1300</v>
      </c>
      <c r="O182" s="5">
        <v>1105</v>
      </c>
      <c r="P182" s="5">
        <v>1</v>
      </c>
      <c r="Q182" s="5">
        <v>1</v>
      </c>
      <c r="R182" s="5" t="s">
        <v>2111</v>
      </c>
      <c r="S182" s="5">
        <v>0</v>
      </c>
      <c r="T182" s="5">
        <v>2</v>
      </c>
      <c r="U182" s="5">
        <v>0</v>
      </c>
      <c r="V182" s="5">
        <v>0</v>
      </c>
      <c r="W182" s="5">
        <v>650</v>
      </c>
      <c r="X182" s="5">
        <v>0</v>
      </c>
      <c r="Y182" s="5">
        <v>0</v>
      </c>
      <c r="Z182" s="5">
        <v>650</v>
      </c>
      <c r="AA182" s="5">
        <v>0</v>
      </c>
      <c r="AB182" s="5">
        <v>0</v>
      </c>
      <c r="AC182">
        <f t="shared" si="2"/>
        <v>650</v>
      </c>
    </row>
    <row r="183" spans="1:29">
      <c r="A183" s="4">
        <v>135</v>
      </c>
      <c r="B183" s="5">
        <f>_xlfn.XLOOKUP(G183,Sheet1!E:E,Sheet1!A:A)</f>
        <v>3543</v>
      </c>
      <c r="C183" s="5">
        <v>201</v>
      </c>
      <c r="D183" s="5" t="str">
        <f>_xlfn.XLOOKUP(G183,'规范整合泌尿系统医疗服务价格映射表12.11 (2)'!T:T,'规范整合泌尿系统医疗服务价格映射表12.11 (2)'!A:A)</f>
        <v>分项</v>
      </c>
      <c r="E183" s="12"/>
      <c r="F183" s="9" t="str">
        <f>_xlfn.XLOOKUP(G183,Sheet1!F:F,Sheet1!G:G)</f>
        <v>小儿经腹腔镜隐睾探查术</v>
      </c>
      <c r="G183" s="10" t="s">
        <v>1597</v>
      </c>
      <c r="H183" s="11"/>
      <c r="I183" s="5">
        <v>4135</v>
      </c>
      <c r="J183" s="5">
        <v>3760</v>
      </c>
      <c r="K183" s="5">
        <v>3195</v>
      </c>
      <c r="L183" s="11"/>
      <c r="M183" s="5">
        <v>1465</v>
      </c>
      <c r="N183" s="5">
        <v>1300</v>
      </c>
      <c r="O183" s="5">
        <v>1105</v>
      </c>
      <c r="P183" s="5">
        <v>1</v>
      </c>
      <c r="Q183" s="5">
        <v>1</v>
      </c>
      <c r="R183" s="5" t="s">
        <v>2111</v>
      </c>
      <c r="S183" s="5">
        <v>0</v>
      </c>
      <c r="T183" s="5">
        <v>15</v>
      </c>
      <c r="U183" s="5">
        <v>0</v>
      </c>
      <c r="V183" s="5">
        <v>0</v>
      </c>
      <c r="W183" s="5">
        <v>-40050</v>
      </c>
      <c r="X183" s="5">
        <v>0</v>
      </c>
      <c r="Y183" s="5">
        <v>0</v>
      </c>
      <c r="Z183" s="5">
        <v>-40050</v>
      </c>
      <c r="AA183" s="5">
        <v>0</v>
      </c>
      <c r="AB183" s="5">
        <v>0</v>
      </c>
      <c r="AC183">
        <f t="shared" si="2"/>
        <v>-40050</v>
      </c>
    </row>
    <row r="184" spans="1:29">
      <c r="A184" s="4">
        <v>219</v>
      </c>
      <c r="B184" s="5">
        <f>_xlfn.XLOOKUP(G184,Sheet1!E:E,Sheet1!A:A)</f>
        <v>3546</v>
      </c>
      <c r="C184" s="5">
        <v>201</v>
      </c>
      <c r="D184" s="5">
        <f>_xlfn.XLOOKUP(G184,'规范整合泌尿系统医疗服务价格映射表12.11 (2)'!T:T,'规范整合泌尿系统医疗服务价格映射表12.11 (2)'!A:A)</f>
        <v>80</v>
      </c>
      <c r="E184" s="8" t="s">
        <v>1612</v>
      </c>
      <c r="F184" s="9" t="str">
        <f>_xlfn.XLOOKUP(G184,Sheet1!F:F,Sheet1!G:G)</f>
        <v>输精管结扎术</v>
      </c>
      <c r="G184" s="10" t="s">
        <v>1617</v>
      </c>
      <c r="H184" s="11"/>
      <c r="I184" s="5">
        <v>500</v>
      </c>
      <c r="J184" s="5">
        <v>480</v>
      </c>
      <c r="K184" s="5">
        <v>408</v>
      </c>
      <c r="L184" s="11"/>
      <c r="M184" s="5">
        <v>285</v>
      </c>
      <c r="N184" s="5">
        <v>270</v>
      </c>
      <c r="O184" s="5">
        <v>230</v>
      </c>
      <c r="P184" s="5">
        <v>1</v>
      </c>
      <c r="Q184" s="5">
        <v>1</v>
      </c>
      <c r="R184" s="5" t="s">
        <v>2111</v>
      </c>
      <c r="S184" s="5">
        <v>0</v>
      </c>
      <c r="T184" s="5">
        <v>17</v>
      </c>
      <c r="U184" s="5">
        <v>18</v>
      </c>
      <c r="V184" s="5">
        <v>0</v>
      </c>
      <c r="W184" s="5">
        <v>-3655</v>
      </c>
      <c r="X184" s="5">
        <v>-3780</v>
      </c>
      <c r="Y184" s="5">
        <v>0</v>
      </c>
      <c r="Z184" s="5">
        <v>-3655</v>
      </c>
      <c r="AA184" s="5">
        <v>-3780</v>
      </c>
      <c r="AB184" s="5">
        <v>0</v>
      </c>
      <c r="AC184">
        <f t="shared" si="2"/>
        <v>-7435</v>
      </c>
    </row>
    <row r="185" spans="1:29">
      <c r="A185" s="4">
        <v>159</v>
      </c>
      <c r="B185" s="5">
        <f>_xlfn.XLOOKUP(G185,Sheet1!E:E,Sheet1!A:A)</f>
        <v>3558</v>
      </c>
      <c r="C185" s="5">
        <v>201</v>
      </c>
      <c r="D185" s="5">
        <f>_xlfn.XLOOKUP(G185,'规范整合泌尿系统医疗服务价格映射表12.11 (2)'!T:T,'规范整合泌尿系统医疗服务价格映射表12.11 (2)'!A:A)</f>
        <v>82</v>
      </c>
      <c r="E185" s="8" t="s">
        <v>1655</v>
      </c>
      <c r="F185" s="9" t="str">
        <f>_xlfn.XLOOKUP(G185,Sheet1!F:F,Sheet1!G:G)</f>
        <v>输精管插管术</v>
      </c>
      <c r="G185" s="10" t="s">
        <v>1659</v>
      </c>
      <c r="H185" s="11"/>
      <c r="I185" s="5">
        <v>500</v>
      </c>
      <c r="J185" s="5">
        <v>480</v>
      </c>
      <c r="K185" s="5">
        <v>408</v>
      </c>
      <c r="L185" s="11"/>
      <c r="M185" s="5">
        <v>590</v>
      </c>
      <c r="N185" s="5">
        <v>530</v>
      </c>
      <c r="O185" s="5">
        <v>450</v>
      </c>
      <c r="P185" s="5">
        <v>1</v>
      </c>
      <c r="Q185" s="5">
        <v>1</v>
      </c>
      <c r="R185" s="5" t="s">
        <v>2111</v>
      </c>
      <c r="S185" s="5">
        <v>0</v>
      </c>
      <c r="T185" s="5">
        <v>1</v>
      </c>
      <c r="U185" s="5">
        <v>0</v>
      </c>
      <c r="V185" s="5">
        <v>0</v>
      </c>
      <c r="W185" s="5">
        <v>90</v>
      </c>
      <c r="X185" s="5">
        <v>0</v>
      </c>
      <c r="Y185" s="5">
        <v>0</v>
      </c>
      <c r="Z185" s="5">
        <v>90</v>
      </c>
      <c r="AA185" s="5">
        <v>0</v>
      </c>
      <c r="AB185" s="5">
        <v>0</v>
      </c>
      <c r="AC185">
        <f t="shared" si="2"/>
        <v>90</v>
      </c>
    </row>
    <row r="186" spans="1:29">
      <c r="A186" s="4">
        <v>52</v>
      </c>
      <c r="B186" s="5">
        <f>_xlfn.XLOOKUP(G186,Sheet1!E:E,Sheet1!A:A)</f>
        <v>3565</v>
      </c>
      <c r="C186" s="5">
        <v>201</v>
      </c>
      <c r="D186" s="5">
        <f>_xlfn.XLOOKUP(G186,'规范整合泌尿系统医疗服务价格映射表12.11 (2)'!T:T,'规范整合泌尿系统医疗服务价格映射表12.11 (2)'!A:A)</f>
        <v>84</v>
      </c>
      <c r="E186" s="8" t="s">
        <v>1681</v>
      </c>
      <c r="F186" s="9" t="str">
        <f>_xlfn.XLOOKUP(G186,Sheet1!F:F,Sheet1!G:G)</f>
        <v>经腹腔镜精囊肿物切除术</v>
      </c>
      <c r="G186" s="10" t="s">
        <v>1686</v>
      </c>
      <c r="H186" s="11"/>
      <c r="I186" s="5">
        <v>2315</v>
      </c>
      <c r="J186" s="5">
        <v>2120</v>
      </c>
      <c r="K186" s="5">
        <v>1300</v>
      </c>
      <c r="L186" s="11"/>
      <c r="M186" s="5">
        <v>1950</v>
      </c>
      <c r="N186" s="5">
        <v>1850</v>
      </c>
      <c r="O186" s="5">
        <v>1550</v>
      </c>
      <c r="P186" s="5">
        <v>1</v>
      </c>
      <c r="Q186" s="5">
        <v>1</v>
      </c>
      <c r="R186" s="5" t="s">
        <v>2111</v>
      </c>
      <c r="S186" s="5">
        <v>0</v>
      </c>
      <c r="T186" s="5">
        <v>0</v>
      </c>
      <c r="U186" s="5">
        <v>1</v>
      </c>
      <c r="V186" s="5">
        <v>0</v>
      </c>
      <c r="W186" s="5">
        <v>0</v>
      </c>
      <c r="X186" s="5">
        <v>-270</v>
      </c>
      <c r="Y186" s="5">
        <v>0</v>
      </c>
      <c r="Z186" s="5">
        <v>0</v>
      </c>
      <c r="AA186" s="5">
        <v>-270</v>
      </c>
      <c r="AB186" s="5">
        <v>0</v>
      </c>
      <c r="AC186">
        <f t="shared" si="2"/>
        <v>-270</v>
      </c>
    </row>
    <row r="187" spans="1:29">
      <c r="A187" s="4">
        <v>170</v>
      </c>
      <c r="B187" s="5">
        <f>_xlfn.XLOOKUP(G187,Sheet1!E:E,Sheet1!A:A)</f>
        <v>3568</v>
      </c>
      <c r="C187" s="5">
        <v>201</v>
      </c>
      <c r="D187" s="5">
        <f>_xlfn.XLOOKUP(G187,'规范整合泌尿系统医疗服务价格映射表12.11 (2)'!T:T,'规范整合泌尿系统医疗服务价格映射表12.11 (2)'!A:A)</f>
        <v>85</v>
      </c>
      <c r="E187" s="8" t="s">
        <v>1697</v>
      </c>
      <c r="F187" s="9" t="str">
        <f>_xlfn.XLOOKUP(G187,Sheet1!F:F,Sheet1!G:G)</f>
        <v>精索静脉曲张结扎术</v>
      </c>
      <c r="G187" s="10" t="s">
        <v>1700</v>
      </c>
      <c r="H187" s="11"/>
      <c r="I187" s="5">
        <v>750</v>
      </c>
      <c r="J187" s="5">
        <v>720</v>
      </c>
      <c r="K187" s="5">
        <v>612</v>
      </c>
      <c r="L187" s="11"/>
      <c r="M187" s="5">
        <v>900</v>
      </c>
      <c r="N187" s="5">
        <v>860</v>
      </c>
      <c r="O187" s="5">
        <v>750</v>
      </c>
      <c r="P187" s="5">
        <v>1</v>
      </c>
      <c r="Q187" s="5">
        <v>1</v>
      </c>
      <c r="R187" s="5" t="s">
        <v>2111</v>
      </c>
      <c r="S187" s="5">
        <v>0</v>
      </c>
      <c r="T187" s="5">
        <v>107</v>
      </c>
      <c r="U187" s="5">
        <v>60.5</v>
      </c>
      <c r="V187" s="5">
        <v>2</v>
      </c>
      <c r="W187" s="5">
        <v>16050</v>
      </c>
      <c r="X187" s="5">
        <v>8470</v>
      </c>
      <c r="Y187" s="5">
        <v>276</v>
      </c>
      <c r="Z187" s="5">
        <v>16050</v>
      </c>
      <c r="AA187" s="5">
        <v>8470</v>
      </c>
      <c r="AB187" s="5">
        <v>276</v>
      </c>
      <c r="AC187">
        <f t="shared" si="2"/>
        <v>24796</v>
      </c>
    </row>
    <row r="188" spans="1:29">
      <c r="A188" s="4">
        <v>210</v>
      </c>
      <c r="B188" s="5">
        <f>_xlfn.XLOOKUP(G188,Sheet1!E:E,Sheet1!A:A)</f>
        <v>3570</v>
      </c>
      <c r="C188" s="5">
        <v>201</v>
      </c>
      <c r="D188" s="5">
        <f>_xlfn.XLOOKUP(G188,'规范整合泌尿系统医疗服务价格映射表12.11 (2)'!T:T,'规范整合泌尿系统医疗服务价格映射表12.11 (2)'!A:A)</f>
        <v>85</v>
      </c>
      <c r="E188" s="12"/>
      <c r="F188" s="9" t="str">
        <f>_xlfn.XLOOKUP(G188,Sheet1!F:F,Sheet1!G:G)</f>
        <v>经腹腔镜精索静脉曲张结扎术</v>
      </c>
      <c r="G188" s="10" t="s">
        <v>1706</v>
      </c>
      <c r="H188" s="11"/>
      <c r="I188" s="5">
        <v>1375</v>
      </c>
      <c r="J188" s="5">
        <v>1320</v>
      </c>
      <c r="K188" s="5">
        <v>1122</v>
      </c>
      <c r="L188" s="11"/>
      <c r="M188" s="5">
        <v>900</v>
      </c>
      <c r="N188" s="5">
        <v>860</v>
      </c>
      <c r="O188" s="5">
        <v>750</v>
      </c>
      <c r="P188" s="5">
        <v>1</v>
      </c>
      <c r="Q188" s="5">
        <v>1</v>
      </c>
      <c r="R188" s="5" t="s">
        <v>2111</v>
      </c>
      <c r="S188" s="5">
        <v>0</v>
      </c>
      <c r="T188" s="5">
        <v>25</v>
      </c>
      <c r="U188" s="5">
        <v>22</v>
      </c>
      <c r="V188" s="5">
        <v>1</v>
      </c>
      <c r="W188" s="5">
        <v>-11875</v>
      </c>
      <c r="X188" s="5">
        <v>-10120</v>
      </c>
      <c r="Y188" s="5">
        <v>-372</v>
      </c>
      <c r="Z188" s="5">
        <v>-11875</v>
      </c>
      <c r="AA188" s="5">
        <v>-10120</v>
      </c>
      <c r="AB188" s="5">
        <v>-372</v>
      </c>
      <c r="AC188">
        <f t="shared" si="2"/>
        <v>-22367</v>
      </c>
    </row>
    <row r="189" spans="1:29">
      <c r="A189" s="4">
        <v>192</v>
      </c>
      <c r="B189" s="5">
        <f>_xlfn.XLOOKUP(G189,Sheet1!E:E,Sheet1!A:A)</f>
        <v>3573</v>
      </c>
      <c r="C189" s="5">
        <v>201</v>
      </c>
      <c r="D189" s="5" t="str">
        <f>_xlfn.XLOOKUP(G189,'规范整合泌尿系统医疗服务价格映射表12.11 (2)'!T:T,'规范整合泌尿系统医疗服务价格映射表12.11 (2)'!A:A)</f>
        <v>分项</v>
      </c>
      <c r="E189" s="8" t="s">
        <v>2145</v>
      </c>
      <c r="F189" s="9" t="str">
        <f>_xlfn.XLOOKUP(G189,Sheet1!F:F,Sheet1!G:G)</f>
        <v>精索静脉瘤切除术</v>
      </c>
      <c r="G189" s="10" t="s">
        <v>1714</v>
      </c>
      <c r="H189" s="11"/>
      <c r="I189" s="5">
        <v>875</v>
      </c>
      <c r="J189" s="5">
        <v>840</v>
      </c>
      <c r="K189" s="5">
        <v>714</v>
      </c>
      <c r="L189" s="11"/>
      <c r="M189" s="5">
        <v>900</v>
      </c>
      <c r="N189" s="5">
        <v>860</v>
      </c>
      <c r="O189" s="5">
        <v>750</v>
      </c>
      <c r="P189" s="5">
        <v>1</v>
      </c>
      <c r="Q189" s="5">
        <v>1</v>
      </c>
      <c r="R189" s="5" t="s">
        <v>2111</v>
      </c>
      <c r="S189" s="5">
        <v>0</v>
      </c>
      <c r="T189" s="5">
        <v>71</v>
      </c>
      <c r="U189" s="5">
        <v>0</v>
      </c>
      <c r="V189" s="5">
        <v>0</v>
      </c>
      <c r="W189" s="5">
        <v>1775</v>
      </c>
      <c r="X189" s="5">
        <v>0</v>
      </c>
      <c r="Y189" s="5">
        <v>0</v>
      </c>
      <c r="Z189" s="5">
        <v>1775</v>
      </c>
      <c r="AA189" s="5">
        <v>0</v>
      </c>
      <c r="AB189" s="5">
        <v>0</v>
      </c>
      <c r="AC189">
        <f t="shared" si="2"/>
        <v>1775</v>
      </c>
    </row>
    <row r="190" spans="1:29">
      <c r="A190" s="4">
        <v>185</v>
      </c>
      <c r="B190" s="5">
        <f>_xlfn.XLOOKUP(G190,Sheet1!E:E,Sheet1!A:A)</f>
        <v>3582</v>
      </c>
      <c r="C190" s="5">
        <v>201</v>
      </c>
      <c r="D190" s="5">
        <f>_xlfn.XLOOKUP(G190,'规范整合泌尿系统医疗服务价格映射表12.11 (2)'!T:T,'规范整合泌尿系统医疗服务价格映射表12.11 (2)'!A:A)</f>
        <v>87</v>
      </c>
      <c r="E190" s="8" t="s">
        <v>1742</v>
      </c>
      <c r="F190" s="9" t="str">
        <f>_xlfn.XLOOKUP(G190,Sheet1!F:F,Sheet1!G:G)</f>
        <v>前列腺按摩</v>
      </c>
      <c r="G190" s="10" t="s">
        <v>1746</v>
      </c>
      <c r="H190" s="11"/>
      <c r="I190" s="5">
        <v>22</v>
      </c>
      <c r="J190" s="5">
        <v>20</v>
      </c>
      <c r="K190" s="5">
        <v>17</v>
      </c>
      <c r="L190" s="11"/>
      <c r="M190" s="5">
        <v>22</v>
      </c>
      <c r="N190" s="5">
        <v>20</v>
      </c>
      <c r="O190" s="5">
        <v>17</v>
      </c>
      <c r="P190" s="5">
        <v>1</v>
      </c>
      <c r="Q190" s="5">
        <v>1</v>
      </c>
      <c r="R190" s="5" t="s">
        <v>2111</v>
      </c>
      <c r="S190" s="5">
        <v>0</v>
      </c>
      <c r="T190" s="5">
        <v>9</v>
      </c>
      <c r="U190" s="5">
        <v>2</v>
      </c>
      <c r="V190" s="5">
        <v>0</v>
      </c>
      <c r="W190" s="5">
        <v>0</v>
      </c>
      <c r="X190" s="5">
        <v>0</v>
      </c>
      <c r="Y190" s="5">
        <v>0</v>
      </c>
      <c r="Z190" s="5">
        <v>0</v>
      </c>
      <c r="AA190" s="5">
        <v>0</v>
      </c>
      <c r="AB190" s="5">
        <v>0</v>
      </c>
      <c r="AC190">
        <f t="shared" si="2"/>
        <v>0</v>
      </c>
    </row>
    <row r="191" spans="1:29">
      <c r="A191" s="4">
        <v>160</v>
      </c>
      <c r="B191" s="5">
        <f>_xlfn.XLOOKUP(G191,Sheet1!E:E,Sheet1!A:A)</f>
        <v>3584</v>
      </c>
      <c r="C191" s="5">
        <v>201</v>
      </c>
      <c r="D191" s="5">
        <f>_xlfn.XLOOKUP(G191,'规范整合泌尿系统医疗服务价格映射表12.11 (2)'!T:T,'规范整合泌尿系统医疗服务价格映射表12.11 (2)'!A:A)</f>
        <v>89</v>
      </c>
      <c r="E191" s="8" t="s">
        <v>1756</v>
      </c>
      <c r="F191" s="9" t="str">
        <f>_xlfn.XLOOKUP(G191,Sheet1!F:F,Sheet1!G:G)</f>
        <v>耻骨上前列腺切除术</v>
      </c>
      <c r="G191" s="10" t="s">
        <v>1760</v>
      </c>
      <c r="H191" s="11"/>
      <c r="I191" s="5">
        <v>2530</v>
      </c>
      <c r="J191" s="5">
        <v>2280</v>
      </c>
      <c r="K191" s="5">
        <v>1940</v>
      </c>
      <c r="L191" s="11"/>
      <c r="M191" s="5">
        <v>2680</v>
      </c>
      <c r="N191" s="5">
        <v>2430</v>
      </c>
      <c r="O191" s="5">
        <v>2070</v>
      </c>
      <c r="P191" s="5">
        <v>1</v>
      </c>
      <c r="Q191" s="5">
        <v>1</v>
      </c>
      <c r="R191" s="5" t="s">
        <v>2111</v>
      </c>
      <c r="S191" s="5">
        <v>0</v>
      </c>
      <c r="T191" s="5">
        <v>1</v>
      </c>
      <c r="U191" s="5">
        <v>1</v>
      </c>
      <c r="V191" s="5">
        <v>0</v>
      </c>
      <c r="W191" s="5">
        <v>150</v>
      </c>
      <c r="X191" s="5">
        <v>150</v>
      </c>
      <c r="Y191" s="5">
        <v>0</v>
      </c>
      <c r="Z191" s="5">
        <v>150</v>
      </c>
      <c r="AA191" s="5">
        <v>150</v>
      </c>
      <c r="AB191" s="5">
        <v>0</v>
      </c>
      <c r="AC191">
        <f t="shared" si="2"/>
        <v>300</v>
      </c>
    </row>
    <row r="192" spans="1:29">
      <c r="A192" s="4">
        <v>54</v>
      </c>
      <c r="B192" s="5">
        <f>_xlfn.XLOOKUP(G192,Sheet1!E:E,Sheet1!A:A)</f>
        <v>3585</v>
      </c>
      <c r="C192" s="5">
        <v>201</v>
      </c>
      <c r="D192" s="5">
        <f>_xlfn.XLOOKUP(G192,'规范整合泌尿系统医疗服务价格映射表12.11 (2)'!T:T,'规范整合泌尿系统医疗服务价格映射表12.11 (2)'!A:A)</f>
        <v>89</v>
      </c>
      <c r="E192" s="12"/>
      <c r="F192" s="9" t="str">
        <f>_xlfn.XLOOKUP(G192,Sheet1!F:F,Sheet1!G:G)</f>
        <v>耻骨后前列腺切除术</v>
      </c>
      <c r="G192" s="10" t="s">
        <v>1762</v>
      </c>
      <c r="H192" s="11"/>
      <c r="I192" s="5">
        <v>2530</v>
      </c>
      <c r="J192" s="5">
        <v>2280</v>
      </c>
      <c r="K192" s="5">
        <v>1940</v>
      </c>
      <c r="L192" s="11"/>
      <c r="M192" s="5">
        <v>2680</v>
      </c>
      <c r="N192" s="5">
        <v>2430</v>
      </c>
      <c r="O192" s="5">
        <v>2070</v>
      </c>
      <c r="P192" s="5">
        <v>1</v>
      </c>
      <c r="Q192" s="5">
        <v>1</v>
      </c>
      <c r="R192" s="5" t="s">
        <v>2111</v>
      </c>
      <c r="S192" s="5">
        <v>0</v>
      </c>
      <c r="T192" s="5">
        <v>0</v>
      </c>
      <c r="U192" s="5">
        <v>2</v>
      </c>
      <c r="V192" s="5">
        <v>0</v>
      </c>
      <c r="W192" s="5">
        <v>0</v>
      </c>
      <c r="X192" s="5">
        <v>300</v>
      </c>
      <c r="Y192" s="5">
        <v>0</v>
      </c>
      <c r="Z192" s="5">
        <v>0</v>
      </c>
      <c r="AA192" s="5">
        <v>300</v>
      </c>
      <c r="AB192" s="5">
        <v>0</v>
      </c>
      <c r="AC192">
        <f t="shared" si="2"/>
        <v>300</v>
      </c>
    </row>
    <row r="193" spans="1:29">
      <c r="A193" s="4">
        <v>102</v>
      </c>
      <c r="B193" s="5">
        <f>_xlfn.XLOOKUP(G193,Sheet1!E:E,Sheet1!A:A)</f>
        <v>3586</v>
      </c>
      <c r="C193" s="5">
        <v>201</v>
      </c>
      <c r="D193" s="5">
        <f>_xlfn.XLOOKUP(G193,'规范整合泌尿系统医疗服务价格映射表12.11 (2)'!T:T,'规范整合泌尿系统医疗服务价格映射表12.11 (2)'!A:A)</f>
        <v>89</v>
      </c>
      <c r="E193" s="12"/>
      <c r="F193" s="9" t="str">
        <f>_xlfn.XLOOKUP(G193,Sheet1!F:F,Sheet1!G:G)</f>
        <v>经腹腔镜耻骨后前列腺切除术</v>
      </c>
      <c r="G193" s="10" t="s">
        <v>1764</v>
      </c>
      <c r="H193" s="11"/>
      <c r="I193" s="5">
        <v>3155</v>
      </c>
      <c r="J193" s="5">
        <v>2880</v>
      </c>
      <c r="K193" s="5">
        <v>2450</v>
      </c>
      <c r="L193" s="11"/>
      <c r="M193" s="5">
        <v>2680</v>
      </c>
      <c r="N193" s="5">
        <v>2430</v>
      </c>
      <c r="O193" s="5">
        <v>2070</v>
      </c>
      <c r="P193" s="5">
        <v>1</v>
      </c>
      <c r="Q193" s="5">
        <v>1</v>
      </c>
      <c r="R193" s="5" t="s">
        <v>2111</v>
      </c>
      <c r="S193" s="5">
        <v>0</v>
      </c>
      <c r="T193" s="5">
        <v>0</v>
      </c>
      <c r="U193" s="5">
        <v>1</v>
      </c>
      <c r="V193" s="5">
        <v>0</v>
      </c>
      <c r="W193" s="5">
        <v>0</v>
      </c>
      <c r="X193" s="5">
        <v>-450</v>
      </c>
      <c r="Y193" s="5">
        <v>0</v>
      </c>
      <c r="Z193" s="5">
        <v>0</v>
      </c>
      <c r="AA193" s="5">
        <v>-450</v>
      </c>
      <c r="AB193" s="5">
        <v>0</v>
      </c>
      <c r="AC193">
        <f t="shared" si="2"/>
        <v>-450</v>
      </c>
    </row>
    <row r="194" spans="1:29">
      <c r="A194" s="4">
        <v>173</v>
      </c>
      <c r="B194" s="5">
        <f>_xlfn.XLOOKUP(G194,Sheet1!E:E,Sheet1!A:A)</f>
        <v>3591</v>
      </c>
      <c r="C194" s="5">
        <v>201</v>
      </c>
      <c r="D194" s="5">
        <f>_xlfn.XLOOKUP(G194,'规范整合泌尿系统医疗服务价格映射表12.11 (2)'!T:T,'规范整合泌尿系统医疗服务价格映射表12.11 (2)'!A:A)</f>
        <v>90</v>
      </c>
      <c r="E194" s="8" t="s">
        <v>1775</v>
      </c>
      <c r="F194" s="9" t="str">
        <f>_xlfn.XLOOKUP(G194,Sheet1!F:F,Sheet1!G:G)</f>
        <v>经腹腔镜前列腺癌根治术</v>
      </c>
      <c r="G194" s="10" t="s">
        <v>1782</v>
      </c>
      <c r="H194" s="11"/>
      <c r="I194" s="5">
        <v>5165</v>
      </c>
      <c r="J194" s="5">
        <v>4690</v>
      </c>
      <c r="K194" s="5">
        <v>3990</v>
      </c>
      <c r="L194" s="11"/>
      <c r="M194" s="5">
        <v>5337.5</v>
      </c>
      <c r="N194" s="5">
        <v>4815</v>
      </c>
      <c r="O194" s="5">
        <v>4080</v>
      </c>
      <c r="P194" s="5">
        <v>1</v>
      </c>
      <c r="Q194" s="5">
        <v>1</v>
      </c>
      <c r="R194" s="5" t="s">
        <v>2111</v>
      </c>
      <c r="S194" s="5">
        <v>0</v>
      </c>
      <c r="T194" s="5">
        <v>110</v>
      </c>
      <c r="U194" s="5">
        <v>39</v>
      </c>
      <c r="V194" s="5">
        <v>1</v>
      </c>
      <c r="W194" s="5">
        <v>18975</v>
      </c>
      <c r="X194" s="5">
        <v>4875</v>
      </c>
      <c r="Y194" s="5">
        <v>90</v>
      </c>
      <c r="Z194" s="5">
        <v>18975</v>
      </c>
      <c r="AA194" s="5">
        <v>4875</v>
      </c>
      <c r="AB194" s="5">
        <v>90</v>
      </c>
      <c r="AC194">
        <f t="shared" si="2"/>
        <v>23940</v>
      </c>
    </row>
    <row r="195" spans="1:29">
      <c r="A195" s="4">
        <v>131</v>
      </c>
      <c r="B195" s="5">
        <f>_xlfn.XLOOKUP(G195,Sheet1!E:E,Sheet1!A:A)</f>
        <v>3610</v>
      </c>
      <c r="C195" s="5">
        <v>201</v>
      </c>
      <c r="D195" s="5">
        <f>_xlfn.XLOOKUP(G195,'规范整合泌尿系统医疗服务价格映射表12.11 (2)'!T:T,'规范整合泌尿系统医疗服务价格映射表12.11 (2)'!A:A)</f>
        <v>92</v>
      </c>
      <c r="E195" s="8" t="s">
        <v>1838</v>
      </c>
      <c r="F195" s="9" t="str">
        <f>_xlfn.XLOOKUP(G195,Sheet1!F:F,Sheet1!G:G)</f>
        <v>阴囊肿物切除术</v>
      </c>
      <c r="G195" s="10" t="s">
        <v>1841</v>
      </c>
      <c r="H195" s="11"/>
      <c r="I195" s="5">
        <v>625</v>
      </c>
      <c r="J195" s="5">
        <v>600</v>
      </c>
      <c r="K195" s="5">
        <v>510</v>
      </c>
      <c r="L195" s="11"/>
      <c r="M195" s="5">
        <v>600</v>
      </c>
      <c r="N195" s="5">
        <v>560</v>
      </c>
      <c r="O195" s="5">
        <v>480</v>
      </c>
      <c r="P195" s="5">
        <v>1</v>
      </c>
      <c r="Q195" s="5">
        <v>1</v>
      </c>
      <c r="R195" s="5" t="s">
        <v>2111</v>
      </c>
      <c r="S195" s="5">
        <v>0</v>
      </c>
      <c r="T195" s="5">
        <v>35</v>
      </c>
      <c r="U195" s="5">
        <v>23.5</v>
      </c>
      <c r="V195" s="5">
        <v>6</v>
      </c>
      <c r="W195" s="5">
        <v>-875</v>
      </c>
      <c r="X195" s="5">
        <v>-940</v>
      </c>
      <c r="Y195" s="5">
        <v>-180</v>
      </c>
      <c r="Z195" s="5">
        <v>-875</v>
      </c>
      <c r="AA195" s="5">
        <v>-850</v>
      </c>
      <c r="AB195" s="5">
        <v>-180</v>
      </c>
      <c r="AC195">
        <f>Z195+AA195+AB195</f>
        <v>-1905</v>
      </c>
    </row>
    <row r="196" spans="1:29">
      <c r="A196" s="4">
        <v>17</v>
      </c>
      <c r="B196" s="5">
        <f>_xlfn.XLOOKUP(G196,Sheet1!E:E,Sheet1!A:A)</f>
        <v>3611</v>
      </c>
      <c r="C196" s="5">
        <v>201</v>
      </c>
      <c r="D196" s="5" t="str">
        <f>_xlfn.XLOOKUP(G196,'规范整合泌尿系统医疗服务价格映射表12.11 (2)'!T:T,'规范整合泌尿系统医疗服务价格映射表12.11 (2)'!A:A)</f>
        <v>分项</v>
      </c>
      <c r="E196" s="8" t="s">
        <v>2146</v>
      </c>
      <c r="F196" s="9" t="str">
        <f>_xlfn.XLOOKUP(G196,Sheet1!F:F,Sheet1!G:G)</f>
        <v>小儿阴囊肿物切除术</v>
      </c>
      <c r="G196" s="10" t="s">
        <v>1847</v>
      </c>
      <c r="H196" s="11"/>
      <c r="I196" s="5">
        <v>815</v>
      </c>
      <c r="J196" s="5">
        <v>780</v>
      </c>
      <c r="K196" s="5">
        <v>665</v>
      </c>
      <c r="L196" s="11"/>
      <c r="M196" s="5">
        <v>780</v>
      </c>
      <c r="N196" s="5">
        <v>725</v>
      </c>
      <c r="O196" s="5">
        <v>625</v>
      </c>
      <c r="P196" s="5">
        <v>1</v>
      </c>
      <c r="Q196" s="5">
        <v>1</v>
      </c>
      <c r="R196" s="5" t="s">
        <v>2111</v>
      </c>
      <c r="S196" s="5">
        <v>0</v>
      </c>
      <c r="T196" s="5">
        <v>3</v>
      </c>
      <c r="U196" s="5">
        <v>0</v>
      </c>
      <c r="V196" s="5">
        <v>0</v>
      </c>
      <c r="W196" s="5">
        <v>-105</v>
      </c>
      <c r="X196" s="5">
        <v>0</v>
      </c>
      <c r="Y196" s="5">
        <v>0</v>
      </c>
      <c r="Z196" s="5">
        <v>-105</v>
      </c>
      <c r="AA196" s="5">
        <v>0</v>
      </c>
      <c r="AB196" s="5">
        <v>0</v>
      </c>
      <c r="AC196">
        <f>Z196+AA196+AB196</f>
        <v>-105</v>
      </c>
    </row>
    <row r="197" spans="1:29">
      <c r="A197" s="4">
        <v>200</v>
      </c>
      <c r="B197" s="5">
        <f>_xlfn.XLOOKUP(G197,Sheet1!E:E,Sheet1!A:A)</f>
        <v>3612</v>
      </c>
      <c r="C197" s="5">
        <v>201</v>
      </c>
      <c r="D197" s="5">
        <f>_xlfn.XLOOKUP(G197,'规范整合泌尿系统医疗服务价格映射表12.11 (2)'!T:T,'规范整合泌尿系统医疗服务价格映射表12.11 (2)'!A:A)</f>
        <v>93</v>
      </c>
      <c r="E197" s="8" t="s">
        <v>1850</v>
      </c>
      <c r="F197" s="9" t="str">
        <f>_xlfn.XLOOKUP(G197,Sheet1!F:F,Sheet1!G:G)</f>
        <v>阴囊坏死扩创术</v>
      </c>
      <c r="G197" s="10" t="s">
        <v>1853</v>
      </c>
      <c r="H197" s="11"/>
      <c r="I197" s="5">
        <v>250</v>
      </c>
      <c r="J197" s="5">
        <v>240</v>
      </c>
      <c r="K197" s="5">
        <v>204</v>
      </c>
      <c r="L197" s="11"/>
      <c r="M197" s="5">
        <v>250</v>
      </c>
      <c r="N197" s="5">
        <v>225</v>
      </c>
      <c r="O197" s="5">
        <v>190</v>
      </c>
      <c r="P197" s="5">
        <v>1</v>
      </c>
      <c r="Q197" s="5">
        <v>1</v>
      </c>
      <c r="R197" s="5" t="s">
        <v>2111</v>
      </c>
      <c r="S197" s="5">
        <v>0</v>
      </c>
      <c r="T197" s="5">
        <v>5</v>
      </c>
      <c r="U197" s="5">
        <v>0</v>
      </c>
      <c r="V197" s="5">
        <v>0</v>
      </c>
      <c r="W197" s="5">
        <v>0</v>
      </c>
      <c r="X197" s="5">
        <v>0</v>
      </c>
      <c r="Y197" s="5">
        <v>0</v>
      </c>
      <c r="Z197" s="5">
        <v>0</v>
      </c>
      <c r="AA197" s="5">
        <v>0</v>
      </c>
      <c r="AB197" s="5">
        <v>0</v>
      </c>
      <c r="AC197">
        <f>Z197+AA197+AB197</f>
        <v>0</v>
      </c>
    </row>
    <row r="198" spans="1:29">
      <c r="A198" s="4">
        <v>118</v>
      </c>
      <c r="B198" s="5">
        <f>_xlfn.XLOOKUP(G198,Sheet1!E:E,Sheet1!A:A)</f>
        <v>3613</v>
      </c>
      <c r="C198" s="5">
        <v>201</v>
      </c>
      <c r="D198" s="5">
        <f>_xlfn.XLOOKUP(G198,'规范整合泌尿系统医疗服务价格映射表12.11 (2)'!T:T,'规范整合泌尿系统医疗服务价格映射表12.11 (2)'!A:A)</f>
        <v>93</v>
      </c>
      <c r="E198" s="12"/>
      <c r="F198" s="9" t="str">
        <f>_xlfn.XLOOKUP(G198,Sheet1!F:F,Sheet1!G:G)</f>
        <v>阴囊脓肿引流术</v>
      </c>
      <c r="G198" s="10" t="s">
        <v>1855</v>
      </c>
      <c r="H198" s="11"/>
      <c r="I198" s="5">
        <v>250</v>
      </c>
      <c r="J198" s="5">
        <v>240</v>
      </c>
      <c r="K198" s="5">
        <v>204</v>
      </c>
      <c r="L198" s="11"/>
      <c r="M198" s="5">
        <v>250</v>
      </c>
      <c r="N198" s="5">
        <v>225</v>
      </c>
      <c r="O198" s="5">
        <v>190</v>
      </c>
      <c r="P198" s="5">
        <v>1</v>
      </c>
      <c r="Q198" s="5">
        <v>1</v>
      </c>
      <c r="R198" s="5" t="s">
        <v>2111</v>
      </c>
      <c r="S198" s="5">
        <v>0</v>
      </c>
      <c r="T198" s="5">
        <v>16.5</v>
      </c>
      <c r="U198" s="5">
        <v>12.3</v>
      </c>
      <c r="V198" s="5">
        <v>4</v>
      </c>
      <c r="W198" s="5">
        <v>0</v>
      </c>
      <c r="X198" s="5">
        <v>-184.5</v>
      </c>
      <c r="Y198" s="5">
        <v>-56</v>
      </c>
      <c r="Z198" s="5">
        <v>0</v>
      </c>
      <c r="AA198" s="5">
        <v>-148.5</v>
      </c>
      <c r="AB198" s="5">
        <v>-56</v>
      </c>
      <c r="AC198">
        <f>Z198+AA198+AB198</f>
        <v>-204.5</v>
      </c>
    </row>
    <row r="199" spans="1:29">
      <c r="A199" s="4">
        <v>67</v>
      </c>
      <c r="B199" s="5">
        <f>_xlfn.XLOOKUP(G199,Sheet1!E:E,Sheet1!A:A)</f>
        <v>3618</v>
      </c>
      <c r="C199" s="5">
        <v>201</v>
      </c>
      <c r="D199" s="5">
        <f>_xlfn.XLOOKUP(G199,'规范整合泌尿系统医疗服务价格映射表12.11 (2)'!T:T,'规范整合泌尿系统医疗服务价格映射表12.11 (2)'!A:A)</f>
        <v>96</v>
      </c>
      <c r="E199" s="8" t="s">
        <v>1877</v>
      </c>
      <c r="F199" s="9" t="str">
        <f>_xlfn.XLOOKUP(G199,Sheet1!F:F,Sheet1!G:G)</f>
        <v>阴茎部分切除术</v>
      </c>
      <c r="G199" s="10" t="s">
        <v>1880</v>
      </c>
      <c r="H199" s="11"/>
      <c r="I199" s="5">
        <v>1000</v>
      </c>
      <c r="J199" s="5">
        <v>960</v>
      </c>
      <c r="K199" s="5">
        <v>816</v>
      </c>
      <c r="L199" s="11"/>
      <c r="M199" s="5">
        <v>890</v>
      </c>
      <c r="N199" s="5">
        <v>816</v>
      </c>
      <c r="O199" s="5">
        <v>695</v>
      </c>
      <c r="P199" s="5">
        <v>1</v>
      </c>
      <c r="Q199" s="5">
        <v>1</v>
      </c>
      <c r="R199" s="5" t="s">
        <v>2111</v>
      </c>
      <c r="S199" s="5">
        <v>0</v>
      </c>
      <c r="T199" s="5">
        <v>22</v>
      </c>
      <c r="U199" s="5">
        <v>6</v>
      </c>
      <c r="V199" s="5">
        <v>0</v>
      </c>
      <c r="W199" s="5">
        <v>-2420</v>
      </c>
      <c r="X199" s="5">
        <v>-864</v>
      </c>
      <c r="Y199" s="5">
        <v>0</v>
      </c>
      <c r="Z199" s="5">
        <v>-2420</v>
      </c>
      <c r="AA199" s="5">
        <v>-864</v>
      </c>
      <c r="AB199" s="5">
        <v>0</v>
      </c>
      <c r="AC199">
        <f>Z199+AA199+AB199</f>
        <v>-3284</v>
      </c>
    </row>
    <row r="200" spans="1:29">
      <c r="A200" s="4">
        <v>59</v>
      </c>
      <c r="B200" s="5">
        <f>_xlfn.XLOOKUP(G200,Sheet1!E:E,Sheet1!A:A)</f>
        <v>3619</v>
      </c>
      <c r="C200" s="5">
        <v>201</v>
      </c>
      <c r="D200" s="5">
        <f>_xlfn.XLOOKUP(G200,'规范整合泌尿系统医疗服务价格映射表12.11 (2)'!T:T,'规范整合泌尿系统医疗服务价格映射表12.11 (2)'!A:A)</f>
        <v>96</v>
      </c>
      <c r="E200" s="12"/>
      <c r="F200" s="9" t="str">
        <f>_xlfn.XLOOKUP(G200,Sheet1!F:F,Sheet1!G:G)</f>
        <v>阴茎囊肿切除术</v>
      </c>
      <c r="G200" s="10" t="s">
        <v>1883</v>
      </c>
      <c r="H200" s="11"/>
      <c r="I200" s="5">
        <v>750</v>
      </c>
      <c r="J200" s="5">
        <v>720</v>
      </c>
      <c r="K200" s="5">
        <v>612</v>
      </c>
      <c r="L200" s="11"/>
      <c r="M200" s="5">
        <v>890</v>
      </c>
      <c r="N200" s="5">
        <v>816</v>
      </c>
      <c r="O200" s="5">
        <v>695</v>
      </c>
      <c r="P200" s="5">
        <v>1</v>
      </c>
      <c r="Q200" s="5">
        <v>1</v>
      </c>
      <c r="R200" s="5" t="s">
        <v>2111</v>
      </c>
      <c r="S200" s="5">
        <v>0</v>
      </c>
      <c r="T200" s="5">
        <v>12.5</v>
      </c>
      <c r="U200" s="5">
        <v>11</v>
      </c>
      <c r="V200" s="5">
        <v>0</v>
      </c>
      <c r="W200" s="5">
        <v>1750</v>
      </c>
      <c r="X200" s="5">
        <v>1056</v>
      </c>
      <c r="Y200" s="5">
        <v>0</v>
      </c>
      <c r="Z200" s="5">
        <v>1750</v>
      </c>
      <c r="AA200" s="5">
        <v>1776</v>
      </c>
      <c r="AB200" s="5">
        <v>0</v>
      </c>
      <c r="AC200">
        <f>Z200+AA200+AB200</f>
        <v>3526</v>
      </c>
    </row>
    <row r="201" spans="1:29">
      <c r="A201" s="4">
        <v>145</v>
      </c>
      <c r="B201" s="5">
        <f>_xlfn.XLOOKUP(G201,Sheet1!E:E,Sheet1!A:A)</f>
        <v>3622</v>
      </c>
      <c r="C201" s="5">
        <v>201</v>
      </c>
      <c r="D201" s="5">
        <f>_xlfn.XLOOKUP(G201,'规范整合泌尿系统医疗服务价格映射表12.11 (2)'!T:T,'规范整合泌尿系统医疗服务价格映射表12.11 (2)'!A:A)</f>
        <v>97</v>
      </c>
      <c r="E201" s="8" t="s">
        <v>1893</v>
      </c>
      <c r="F201" s="9" t="str">
        <f>_xlfn.XLOOKUP(G201,Sheet1!F:F,Sheet1!G:G)</f>
        <v>阴茎全切术</v>
      </c>
      <c r="G201" s="10" t="s">
        <v>1897</v>
      </c>
      <c r="H201" s="11"/>
      <c r="I201" s="5">
        <v>1250</v>
      </c>
      <c r="J201" s="5">
        <v>1200</v>
      </c>
      <c r="K201" s="5">
        <v>1020</v>
      </c>
      <c r="L201" s="11"/>
      <c r="M201" s="5">
        <v>1500</v>
      </c>
      <c r="N201" s="5">
        <v>1350</v>
      </c>
      <c r="O201" s="5">
        <v>1150</v>
      </c>
      <c r="P201" s="5">
        <v>1</v>
      </c>
      <c r="Q201" s="5">
        <v>1</v>
      </c>
      <c r="R201" s="5" t="s">
        <v>2111</v>
      </c>
      <c r="S201" s="5">
        <v>0</v>
      </c>
      <c r="T201" s="5">
        <v>0</v>
      </c>
      <c r="U201" s="5">
        <v>2</v>
      </c>
      <c r="V201" s="5">
        <v>0</v>
      </c>
      <c r="W201" s="5">
        <v>0</v>
      </c>
      <c r="X201" s="5">
        <v>300</v>
      </c>
      <c r="Y201" s="5">
        <v>0</v>
      </c>
      <c r="Z201" s="5">
        <v>0</v>
      </c>
      <c r="AA201" s="5">
        <v>300</v>
      </c>
      <c r="AB201" s="5">
        <v>0</v>
      </c>
      <c r="AC201">
        <f>Z201+AA201+AB201</f>
        <v>300</v>
      </c>
    </row>
    <row r="202" spans="1:29">
      <c r="A202" s="4">
        <v>162</v>
      </c>
      <c r="B202" s="5">
        <f>_xlfn.XLOOKUP(G202,Sheet1!E:E,Sheet1!A:A)</f>
        <v>3628</v>
      </c>
      <c r="C202" s="5">
        <v>201</v>
      </c>
      <c r="D202" s="5">
        <f>_xlfn.XLOOKUP(G202,'规范整合泌尿系统医疗服务价格映射表12.11 (2)'!T:T,'规范整合泌尿系统医疗服务价格映射表12.11 (2)'!A:A)</f>
        <v>98</v>
      </c>
      <c r="E202" s="8" t="s">
        <v>1917</v>
      </c>
      <c r="F202" s="9" t="str">
        <f>_xlfn.XLOOKUP(G202,Sheet1!F:F,Sheet1!G:G)</f>
        <v>阴茎假体置放术</v>
      </c>
      <c r="G202" s="10" t="s">
        <v>1921</v>
      </c>
      <c r="H202" s="11"/>
      <c r="I202" s="5">
        <v>1250</v>
      </c>
      <c r="J202" s="5">
        <v>1200</v>
      </c>
      <c r="K202" s="5">
        <v>1020</v>
      </c>
      <c r="L202" s="11"/>
      <c r="M202" s="5">
        <v>1250</v>
      </c>
      <c r="N202" s="5">
        <v>1200</v>
      </c>
      <c r="O202" s="5">
        <v>1020</v>
      </c>
      <c r="P202" s="5">
        <v>1</v>
      </c>
      <c r="Q202" s="5">
        <v>1</v>
      </c>
      <c r="R202" s="5" t="s">
        <v>2111</v>
      </c>
      <c r="S202" s="5">
        <v>0</v>
      </c>
      <c r="T202" s="5">
        <v>0</v>
      </c>
      <c r="U202" s="5">
        <v>1</v>
      </c>
      <c r="V202" s="5">
        <v>0</v>
      </c>
      <c r="W202" s="5">
        <v>0</v>
      </c>
      <c r="X202" s="5">
        <v>0</v>
      </c>
      <c r="Y202" s="5">
        <v>0</v>
      </c>
      <c r="Z202" s="5">
        <v>0</v>
      </c>
      <c r="AA202" s="5">
        <v>0</v>
      </c>
      <c r="AB202" s="5">
        <v>0</v>
      </c>
      <c r="AC202">
        <f>Z202+AA202+AB202</f>
        <v>0</v>
      </c>
    </row>
    <row r="203" spans="1:29">
      <c r="A203" s="4">
        <v>63</v>
      </c>
      <c r="B203" s="5">
        <f>_xlfn.XLOOKUP(G203,Sheet1!E:E,Sheet1!A:A)</f>
        <v>3634</v>
      </c>
      <c r="C203" s="5">
        <v>201</v>
      </c>
      <c r="D203" s="5">
        <f>_xlfn.XLOOKUP(G203,'规范整合泌尿系统医疗服务价格映射表12.11 (2)'!T:T,'规范整合泌尿系统医疗服务价格映射表12.11 (2)'!A:A)</f>
        <v>102</v>
      </c>
      <c r="E203" s="8" t="s">
        <v>1960</v>
      </c>
      <c r="F203" s="9" t="str">
        <f>_xlfn.XLOOKUP(G203,Sheet1!F:F,Sheet1!G:G)</f>
        <v>阴茎延长术</v>
      </c>
      <c r="G203" s="10" t="s">
        <v>1964</v>
      </c>
      <c r="H203" s="11"/>
      <c r="I203" s="5">
        <v>1690</v>
      </c>
      <c r="J203" s="5">
        <v>1520</v>
      </c>
      <c r="K203" s="5">
        <v>1290</v>
      </c>
      <c r="L203" s="11"/>
      <c r="M203" s="5">
        <v>1710</v>
      </c>
      <c r="N203" s="5">
        <v>1539</v>
      </c>
      <c r="O203" s="5">
        <v>1290</v>
      </c>
      <c r="P203" s="5">
        <v>1</v>
      </c>
      <c r="Q203" s="5">
        <v>1</v>
      </c>
      <c r="R203" s="5" t="s">
        <v>2111</v>
      </c>
      <c r="S203" s="5">
        <v>0</v>
      </c>
      <c r="T203" s="5">
        <v>397</v>
      </c>
      <c r="U203" s="5">
        <v>131</v>
      </c>
      <c r="V203" s="5">
        <v>2</v>
      </c>
      <c r="W203" s="5">
        <v>7940</v>
      </c>
      <c r="X203" s="5">
        <v>2489</v>
      </c>
      <c r="Y203" s="5">
        <v>0</v>
      </c>
      <c r="Z203" s="5">
        <v>7940</v>
      </c>
      <c r="AA203" s="5">
        <v>2489</v>
      </c>
      <c r="AB203" s="5">
        <v>0</v>
      </c>
      <c r="AC203">
        <f>Z203+AA203+AB203</f>
        <v>10429</v>
      </c>
    </row>
    <row r="204" spans="1:29">
      <c r="A204" s="4">
        <v>7</v>
      </c>
      <c r="B204" s="5">
        <f>_xlfn.XLOOKUP(G204,Sheet1!E:E,Sheet1!A:A)</f>
        <v>3635</v>
      </c>
      <c r="C204" s="5">
        <v>201</v>
      </c>
      <c r="D204" s="5">
        <f>_xlfn.XLOOKUP(G204,'规范整合泌尿系统医疗服务价格映射表12.11 (2)'!T:T,'规范整合泌尿系统医疗服务价格映射表12.11 (2)'!A:A)</f>
        <v>102</v>
      </c>
      <c r="E204" s="12"/>
      <c r="F204" s="9" t="str">
        <f>_xlfn.XLOOKUP(G204,Sheet1!F:F,Sheet1!G:G)</f>
        <v>阴茎畸型整形术</v>
      </c>
      <c r="G204" s="10" t="s">
        <v>1967</v>
      </c>
      <c r="H204" s="11"/>
      <c r="I204" s="5">
        <v>1690</v>
      </c>
      <c r="J204" s="5">
        <v>1520</v>
      </c>
      <c r="K204" s="5">
        <v>1290</v>
      </c>
      <c r="L204" s="11"/>
      <c r="M204" s="5">
        <v>1710</v>
      </c>
      <c r="N204" s="5">
        <v>1539</v>
      </c>
      <c r="O204" s="5">
        <v>1290</v>
      </c>
      <c r="P204" s="5">
        <v>1</v>
      </c>
      <c r="Q204" s="5">
        <v>1</v>
      </c>
      <c r="R204" s="5" t="s">
        <v>2111</v>
      </c>
      <c r="S204" s="5">
        <v>0</v>
      </c>
      <c r="T204" s="5">
        <v>63.5</v>
      </c>
      <c r="U204" s="5">
        <v>26.5</v>
      </c>
      <c r="V204" s="5">
        <v>1</v>
      </c>
      <c r="W204" s="5">
        <v>1270</v>
      </c>
      <c r="X204" s="5">
        <v>503.5</v>
      </c>
      <c r="Y204" s="5">
        <v>0</v>
      </c>
      <c r="Z204" s="5">
        <v>1270</v>
      </c>
      <c r="AA204" s="5">
        <v>503.5</v>
      </c>
      <c r="AB204" s="5">
        <v>0</v>
      </c>
      <c r="AC204">
        <f>Z204+AA204+AB204</f>
        <v>1773.5</v>
      </c>
    </row>
    <row r="205" spans="1:29">
      <c r="A205" s="4">
        <v>50</v>
      </c>
      <c r="B205" s="5">
        <f>_xlfn.XLOOKUP(G205,Sheet1!E:E,Sheet1!A:A)</f>
        <v>3636</v>
      </c>
      <c r="C205" s="5">
        <v>201</v>
      </c>
      <c r="D205" s="5">
        <f>_xlfn.XLOOKUP(G205,'规范整合泌尿系统医疗服务价格映射表12.11 (2)'!T:T,'规范整合泌尿系统医疗服务价格映射表12.11 (2)'!A:A)</f>
        <v>102</v>
      </c>
      <c r="E205" s="12"/>
      <c r="F205" s="9" t="str">
        <f>_xlfn.XLOOKUP(G205,Sheet1!F:F,Sheet1!G:G)</f>
        <v>阴茎阴囊移位整形术</v>
      </c>
      <c r="G205" s="10" t="s">
        <v>1970</v>
      </c>
      <c r="H205" s="11"/>
      <c r="I205" s="5">
        <v>2530</v>
      </c>
      <c r="J205" s="5">
        <v>2280</v>
      </c>
      <c r="K205" s="5">
        <v>1940</v>
      </c>
      <c r="L205" s="11"/>
      <c r="M205" s="5">
        <v>1710</v>
      </c>
      <c r="N205" s="5">
        <v>1539</v>
      </c>
      <c r="O205" s="5">
        <v>1290</v>
      </c>
      <c r="P205" s="5">
        <v>1</v>
      </c>
      <c r="Q205" s="5">
        <v>1</v>
      </c>
      <c r="R205" s="5" t="s">
        <v>2111</v>
      </c>
      <c r="S205" s="5">
        <v>0</v>
      </c>
      <c r="T205" s="5">
        <v>1</v>
      </c>
      <c r="U205" s="5">
        <v>1</v>
      </c>
      <c r="V205" s="5">
        <v>0</v>
      </c>
      <c r="W205" s="5">
        <v>-820</v>
      </c>
      <c r="X205" s="5">
        <v>-741</v>
      </c>
      <c r="Y205" s="5">
        <v>0</v>
      </c>
      <c r="Z205" s="5">
        <v>-820</v>
      </c>
      <c r="AA205" s="5">
        <v>-741</v>
      </c>
      <c r="AB205" s="5">
        <v>0</v>
      </c>
      <c r="AC205">
        <f>Z205+AA205+AB205</f>
        <v>-1561</v>
      </c>
    </row>
    <row r="206" spans="1:29">
      <c r="A206" s="4">
        <v>220</v>
      </c>
      <c r="B206" s="5">
        <f>_xlfn.XLOOKUP(G206,Sheet1!E:E,Sheet1!A:A)</f>
        <v>3638</v>
      </c>
      <c r="C206" s="5">
        <v>201</v>
      </c>
      <c r="D206" s="5">
        <f>_xlfn.XLOOKUP(G206,'规范整合泌尿系统医疗服务价格映射表12.11 (2)'!T:T,'规范整合泌尿系统医疗服务价格映射表12.11 (2)'!A:A)</f>
        <v>102</v>
      </c>
      <c r="E206" s="12"/>
      <c r="F206" s="9" t="str">
        <f>_xlfn.XLOOKUP(G206,Sheet1!F:F,Sheet1!G:G)</f>
        <v>阴茎重建成形术</v>
      </c>
      <c r="G206" s="10" t="s">
        <v>1976</v>
      </c>
      <c r="H206" s="11"/>
      <c r="I206" s="5">
        <v>3040</v>
      </c>
      <c r="J206" s="5">
        <v>2740</v>
      </c>
      <c r="K206" s="5">
        <v>2330</v>
      </c>
      <c r="L206" s="11"/>
      <c r="M206" s="5">
        <v>1710</v>
      </c>
      <c r="N206" s="5">
        <v>1539</v>
      </c>
      <c r="O206" s="5">
        <v>1290</v>
      </c>
      <c r="P206" s="5">
        <v>1</v>
      </c>
      <c r="Q206" s="5">
        <v>1</v>
      </c>
      <c r="R206" s="5" t="s">
        <v>2111</v>
      </c>
      <c r="S206" s="5">
        <v>0</v>
      </c>
      <c r="T206" s="5">
        <v>0</v>
      </c>
      <c r="U206" s="5">
        <v>1</v>
      </c>
      <c r="V206" s="5">
        <v>0</v>
      </c>
      <c r="W206" s="5">
        <v>0</v>
      </c>
      <c r="X206" s="5">
        <v>-1201</v>
      </c>
      <c r="Y206" s="5">
        <v>0</v>
      </c>
      <c r="Z206" s="5">
        <v>0</v>
      </c>
      <c r="AA206" s="5">
        <v>-1201</v>
      </c>
      <c r="AB206" s="5">
        <v>0</v>
      </c>
      <c r="AC206">
        <f>Z206+AA206+AB206</f>
        <v>-1201</v>
      </c>
    </row>
    <row r="207" spans="1:29">
      <c r="A207" s="4">
        <v>101</v>
      </c>
      <c r="B207" s="5">
        <f>_xlfn.XLOOKUP(G207,Sheet1!E:E,Sheet1!A:A)</f>
        <v>3641</v>
      </c>
      <c r="C207" s="5">
        <v>201</v>
      </c>
      <c r="D207" s="5" t="str">
        <f>_xlfn.XLOOKUP(G207,'规范整合泌尿系统医疗服务价格映射表12.11 (2)'!T:T,'规范整合泌尿系统医疗服务价格映射表12.11 (2)'!A:A)</f>
        <v>分项</v>
      </c>
      <c r="E207" s="8" t="s">
        <v>2147</v>
      </c>
      <c r="F207" s="9" t="str">
        <f>_xlfn.XLOOKUP(G207,Sheet1!F:F,Sheet1!G:G)</f>
        <v>小儿阴茎延长术</v>
      </c>
      <c r="G207" s="10" t="s">
        <v>1986</v>
      </c>
      <c r="H207" s="11"/>
      <c r="I207" s="5">
        <v>2195</v>
      </c>
      <c r="J207" s="5">
        <v>1975</v>
      </c>
      <c r="K207" s="5">
        <v>1680</v>
      </c>
      <c r="L207" s="11"/>
      <c r="M207" s="5">
        <v>2225</v>
      </c>
      <c r="N207" s="5">
        <v>1999</v>
      </c>
      <c r="O207" s="5">
        <v>1675</v>
      </c>
      <c r="P207" s="5">
        <v>1</v>
      </c>
      <c r="Q207" s="5">
        <v>1</v>
      </c>
      <c r="R207" s="5" t="s">
        <v>2111</v>
      </c>
      <c r="S207" s="5">
        <v>0</v>
      </c>
      <c r="T207" s="5">
        <v>26</v>
      </c>
      <c r="U207" s="5">
        <v>2</v>
      </c>
      <c r="V207" s="5">
        <v>0</v>
      </c>
      <c r="W207" s="5">
        <v>780</v>
      </c>
      <c r="X207" s="5">
        <v>48</v>
      </c>
      <c r="Y207" s="5">
        <v>0</v>
      </c>
      <c r="Z207" s="5">
        <v>780</v>
      </c>
      <c r="AA207" s="5">
        <v>48</v>
      </c>
      <c r="AB207" s="5">
        <v>0</v>
      </c>
      <c r="AC207">
        <f>Z207+AA207+AB207</f>
        <v>828</v>
      </c>
    </row>
    <row r="208" spans="1:29">
      <c r="A208" s="4">
        <v>25</v>
      </c>
      <c r="B208" s="5">
        <f>_xlfn.XLOOKUP(G208,Sheet1!E:E,Sheet1!A:A)</f>
        <v>3642</v>
      </c>
      <c r="C208" s="5">
        <v>201</v>
      </c>
      <c r="D208" s="5" t="str">
        <f>_xlfn.XLOOKUP(G208,'规范整合泌尿系统医疗服务价格映射表12.11 (2)'!T:T,'规范整合泌尿系统医疗服务价格映射表12.11 (2)'!A:A)</f>
        <v>分项</v>
      </c>
      <c r="E208" s="12"/>
      <c r="F208" s="9" t="str">
        <f>_xlfn.XLOOKUP(G208,Sheet1!F:F,Sheet1!G:G)</f>
        <v>小儿阴茎畸型整形术</v>
      </c>
      <c r="G208" s="10" t="s">
        <v>1988</v>
      </c>
      <c r="H208" s="11"/>
      <c r="I208" s="5">
        <v>2195</v>
      </c>
      <c r="J208" s="5">
        <v>1975</v>
      </c>
      <c r="K208" s="5">
        <v>1680</v>
      </c>
      <c r="L208" s="11"/>
      <c r="M208" s="5">
        <v>2225</v>
      </c>
      <c r="N208" s="5">
        <v>1999</v>
      </c>
      <c r="O208" s="5">
        <v>1675</v>
      </c>
      <c r="P208" s="5">
        <v>1</v>
      </c>
      <c r="Q208" s="5">
        <v>1</v>
      </c>
      <c r="R208" s="5" t="s">
        <v>2111</v>
      </c>
      <c r="S208" s="5">
        <v>0</v>
      </c>
      <c r="T208" s="5">
        <v>5</v>
      </c>
      <c r="U208" s="5">
        <v>0</v>
      </c>
      <c r="V208" s="5">
        <v>0</v>
      </c>
      <c r="W208" s="5">
        <v>150</v>
      </c>
      <c r="X208" s="5">
        <v>0</v>
      </c>
      <c r="Y208" s="5">
        <v>0</v>
      </c>
      <c r="Z208" s="5">
        <v>150</v>
      </c>
      <c r="AA208" s="5">
        <v>0</v>
      </c>
      <c r="AB208" s="5">
        <v>0</v>
      </c>
      <c r="AC208">
        <f>Z208+AA208+AB208</f>
        <v>150</v>
      </c>
    </row>
    <row r="209" spans="1:29">
      <c r="A209" s="4">
        <v>42</v>
      </c>
      <c r="B209" s="5">
        <f>_xlfn.XLOOKUP(G209,Sheet1!E:E,Sheet1!A:A)</f>
        <v>3652</v>
      </c>
      <c r="C209" s="5">
        <v>201</v>
      </c>
      <c r="D209" s="5">
        <f>_xlfn.XLOOKUP(G209,'规范整合泌尿系统医疗服务价格映射表12.11 (2)'!T:T,'规范整合泌尿系统医疗服务价格映射表12.11 (2)'!A:A)</f>
        <v>104</v>
      </c>
      <c r="E209" s="8" t="s">
        <v>2015</v>
      </c>
      <c r="F209" s="9" t="str">
        <f>_xlfn.XLOOKUP(G209,Sheet1!F:F,Sheet1!G:G)</f>
        <v>阴茎外伤清创术</v>
      </c>
      <c r="G209" s="10" t="s">
        <v>2019</v>
      </c>
      <c r="H209" s="11"/>
      <c r="I209" s="5">
        <v>250</v>
      </c>
      <c r="J209" s="5">
        <v>240</v>
      </c>
      <c r="K209" s="5">
        <v>204</v>
      </c>
      <c r="L209" s="11"/>
      <c r="M209" s="5">
        <v>0</v>
      </c>
      <c r="N209" s="5">
        <v>0</v>
      </c>
      <c r="O209" s="5">
        <v>0</v>
      </c>
      <c r="P209" s="5">
        <v>1</v>
      </c>
      <c r="Q209" s="5">
        <v>1</v>
      </c>
      <c r="R209" s="5" t="s">
        <v>2111</v>
      </c>
      <c r="S209" s="5">
        <v>0</v>
      </c>
      <c r="T209" s="5">
        <v>5</v>
      </c>
      <c r="U209" s="5">
        <v>3.5</v>
      </c>
      <c r="V209" s="5">
        <v>0</v>
      </c>
      <c r="W209" s="5">
        <v>-1250</v>
      </c>
      <c r="X209" s="5">
        <v>-840</v>
      </c>
      <c r="Y209" s="5">
        <v>0</v>
      </c>
      <c r="Z209" s="5">
        <v>-1250</v>
      </c>
      <c r="AA209" s="5">
        <v>-840</v>
      </c>
      <c r="AB209" s="5">
        <v>0</v>
      </c>
      <c r="AC209">
        <f>Z209+AA209+AB209</f>
        <v>-2090</v>
      </c>
    </row>
    <row r="210" spans="1:29">
      <c r="A210" s="4">
        <v>183</v>
      </c>
      <c r="B210" s="5">
        <f>_xlfn.XLOOKUP(G210,Sheet1!E:E,Sheet1!A:A)</f>
        <v>3655</v>
      </c>
      <c r="C210" s="5">
        <v>201</v>
      </c>
      <c r="D210" s="5">
        <f>_xlfn.XLOOKUP(G210,'规范整合泌尿系统医疗服务价格映射表12.11 (2)'!T:T,'规范整合泌尿系统医疗服务价格映射表12.11 (2)'!A:A)</f>
        <v>105</v>
      </c>
      <c r="E210" s="8" t="s">
        <v>2026</v>
      </c>
      <c r="F210" s="9" t="str">
        <f>_xlfn.XLOOKUP(G210,Sheet1!F:F,Sheet1!G:G)</f>
        <v>嵌顿包茎手法复位术</v>
      </c>
      <c r="G210" s="10" t="s">
        <v>2033</v>
      </c>
      <c r="H210" s="11"/>
      <c r="I210" s="5">
        <v>55</v>
      </c>
      <c r="J210" s="5">
        <v>50</v>
      </c>
      <c r="K210" s="5">
        <v>42.5</v>
      </c>
      <c r="L210" s="11"/>
      <c r="M210" s="5">
        <v>55</v>
      </c>
      <c r="N210" s="5">
        <v>50</v>
      </c>
      <c r="O210" s="5">
        <v>43</v>
      </c>
      <c r="P210" s="5">
        <v>1</v>
      </c>
      <c r="Q210" s="5">
        <v>1</v>
      </c>
      <c r="R210" s="5" t="s">
        <v>2111</v>
      </c>
      <c r="S210" s="5">
        <v>0</v>
      </c>
      <c r="T210" s="5">
        <v>1</v>
      </c>
      <c r="U210" s="5">
        <v>1</v>
      </c>
      <c r="V210" s="5">
        <v>0</v>
      </c>
      <c r="W210" s="5">
        <v>0</v>
      </c>
      <c r="X210" s="5">
        <v>0</v>
      </c>
      <c r="Y210" s="5">
        <v>0</v>
      </c>
      <c r="Z210" s="5">
        <v>0</v>
      </c>
      <c r="AA210" s="5">
        <v>0</v>
      </c>
      <c r="AB210" s="5">
        <v>0</v>
      </c>
      <c r="AC210">
        <f>Z210+AA210+AB210</f>
        <v>0</v>
      </c>
    </row>
    <row r="211" spans="1:29">
      <c r="A211" s="4">
        <v>177</v>
      </c>
      <c r="B211" s="5">
        <f>_xlfn.XLOOKUP(G211,Sheet1!E:E,Sheet1!A:A)</f>
        <v>3656</v>
      </c>
      <c r="C211" s="5">
        <v>201</v>
      </c>
      <c r="D211" s="5">
        <f>_xlfn.XLOOKUP(G211,'规范整合泌尿系统医疗服务价格映射表12.11 (2)'!T:T,'规范整合泌尿系统医疗服务价格映射表12.11 (2)'!A:A)</f>
        <v>106</v>
      </c>
      <c r="E211" s="8" t="s">
        <v>2036</v>
      </c>
      <c r="F211" s="9" t="str">
        <f>_xlfn.XLOOKUP(G211,Sheet1!F:F,Sheet1!G:G)</f>
        <v>嵌顿包茎松解术</v>
      </c>
      <c r="G211" s="10" t="s">
        <v>2039</v>
      </c>
      <c r="H211" s="11"/>
      <c r="I211" s="5">
        <v>250</v>
      </c>
      <c r="J211" s="5">
        <v>240</v>
      </c>
      <c r="K211" s="5">
        <v>204</v>
      </c>
      <c r="L211" s="11"/>
      <c r="M211" s="5">
        <v>250</v>
      </c>
      <c r="N211" s="5">
        <v>225</v>
      </c>
      <c r="O211" s="5">
        <v>190</v>
      </c>
      <c r="P211" s="5">
        <v>1</v>
      </c>
      <c r="Q211" s="5">
        <v>1</v>
      </c>
      <c r="R211" s="5" t="s">
        <v>2111</v>
      </c>
      <c r="S211" s="5">
        <v>0</v>
      </c>
      <c r="T211" s="5">
        <v>36.5</v>
      </c>
      <c r="U211" s="5">
        <v>52</v>
      </c>
      <c r="V211" s="5">
        <v>32.6</v>
      </c>
      <c r="W211" s="5">
        <v>0</v>
      </c>
      <c r="X211" s="5">
        <v>-780</v>
      </c>
      <c r="Y211" s="5">
        <v>-456.4</v>
      </c>
      <c r="Z211" s="5">
        <v>0</v>
      </c>
      <c r="AA211" s="5">
        <v>-780</v>
      </c>
      <c r="AB211" s="5">
        <v>-456.4</v>
      </c>
      <c r="AC211">
        <f>Z211+AA211+AB211</f>
        <v>-1236.4</v>
      </c>
    </row>
    <row r="212" spans="1:29">
      <c r="A212" s="4">
        <v>136</v>
      </c>
      <c r="B212" s="5">
        <f>_xlfn.XLOOKUP(G212,Sheet1!E:E,Sheet1!A:A)</f>
        <v>3657</v>
      </c>
      <c r="C212" s="5">
        <v>201</v>
      </c>
      <c r="D212" s="5">
        <f>_xlfn.XLOOKUP(G212,'规范整合泌尿系统医疗服务价格映射表12.11 (2)'!T:T,'规范整合泌尿系统医疗服务价格映射表12.11 (2)'!A:A)</f>
        <v>106</v>
      </c>
      <c r="E212" s="12"/>
      <c r="F212" s="9" t="str">
        <f>_xlfn.XLOOKUP(G212,Sheet1!F:F,Sheet1!G:G)</f>
        <v>嵌顿包茎松解术-包皮扩张分离术</v>
      </c>
      <c r="G212" s="10" t="s">
        <v>2042</v>
      </c>
      <c r="H212" s="11"/>
      <c r="I212" s="5">
        <v>250</v>
      </c>
      <c r="J212" s="5">
        <v>240</v>
      </c>
      <c r="K212" s="5">
        <v>204</v>
      </c>
      <c r="L212" s="11"/>
      <c r="M212" s="5">
        <v>250</v>
      </c>
      <c r="N212" s="5">
        <v>225</v>
      </c>
      <c r="O212" s="5">
        <v>190</v>
      </c>
      <c r="P212" s="5">
        <v>1</v>
      </c>
      <c r="Q212" s="5">
        <v>1</v>
      </c>
      <c r="R212" s="5" t="s">
        <v>2111</v>
      </c>
      <c r="S212" s="5">
        <v>0</v>
      </c>
      <c r="T212" s="5">
        <v>2</v>
      </c>
      <c r="U212" s="5">
        <v>12</v>
      </c>
      <c r="V212" s="5">
        <v>6.7</v>
      </c>
      <c r="W212" s="5">
        <v>0</v>
      </c>
      <c r="X212" s="5">
        <v>-180</v>
      </c>
      <c r="Y212" s="5">
        <v>-93.8</v>
      </c>
      <c r="Z212" s="5">
        <v>0</v>
      </c>
      <c r="AA212" s="5">
        <v>-180</v>
      </c>
      <c r="AB212" s="5">
        <v>-93.8</v>
      </c>
      <c r="AC212">
        <f>Z212+AA212+AB212</f>
        <v>-273.8</v>
      </c>
    </row>
    <row r="213" spans="1:29">
      <c r="A213" s="4">
        <v>66</v>
      </c>
      <c r="B213" s="5">
        <f>_xlfn.XLOOKUP(G213,Sheet1!E:E,Sheet1!A:A)</f>
        <v>3658</v>
      </c>
      <c r="C213" s="5">
        <v>201</v>
      </c>
      <c r="D213" s="5" t="str">
        <f>_xlfn.XLOOKUP(G213,'规范整合泌尿系统医疗服务价格映射表12.11 (2)'!T:T,'规范整合泌尿系统医疗服务价格映射表12.11 (2)'!A:A)</f>
        <v>分项</v>
      </c>
      <c r="E213" s="8" t="s">
        <v>2148</v>
      </c>
      <c r="F213" s="9" t="str">
        <f>_xlfn.XLOOKUP(G213,Sheet1!F:F,Sheet1!G:G)</f>
        <v>小儿嵌顿包茎松解术</v>
      </c>
      <c r="G213" s="10" t="s">
        <v>2047</v>
      </c>
      <c r="H213" s="11"/>
      <c r="I213" s="5">
        <v>325</v>
      </c>
      <c r="J213" s="5">
        <v>310</v>
      </c>
      <c r="K213" s="5">
        <v>265</v>
      </c>
      <c r="L213" s="11"/>
      <c r="M213" s="5">
        <v>325</v>
      </c>
      <c r="N213" s="5">
        <v>293</v>
      </c>
      <c r="O213" s="5">
        <v>247</v>
      </c>
      <c r="P213" s="5">
        <v>1</v>
      </c>
      <c r="Q213" s="5">
        <v>1</v>
      </c>
      <c r="R213" s="5" t="s">
        <v>2111</v>
      </c>
      <c r="S213" s="5">
        <v>0</v>
      </c>
      <c r="T213" s="5">
        <v>0</v>
      </c>
      <c r="U213" s="5">
        <v>0.5</v>
      </c>
      <c r="V213" s="5">
        <v>0</v>
      </c>
      <c r="W213" s="5">
        <v>0</v>
      </c>
      <c r="X213" s="5">
        <v>-8.5</v>
      </c>
      <c r="Y213" s="5">
        <v>0</v>
      </c>
      <c r="Z213" s="5">
        <v>0</v>
      </c>
      <c r="AA213" s="5">
        <v>-8.5</v>
      </c>
      <c r="AB213" s="5">
        <v>0</v>
      </c>
      <c r="AC213">
        <f>Z213+AA213+AB213</f>
        <v>-8.5</v>
      </c>
    </row>
    <row r="214" spans="1:29">
      <c r="A214" s="4">
        <v>15</v>
      </c>
      <c r="B214" s="5">
        <f>_xlfn.XLOOKUP(G214,Sheet1!E:E,Sheet1!A:A)</f>
        <v>3660</v>
      </c>
      <c r="C214" s="5">
        <v>201</v>
      </c>
      <c r="D214" s="5">
        <f>_xlfn.XLOOKUP(G214,'规范整合泌尿系统医疗服务价格映射表12.11 (2)'!T:T,'规范整合泌尿系统医疗服务价格映射表12.11 (2)'!A:A)</f>
        <v>107</v>
      </c>
      <c r="E214" s="8" t="s">
        <v>2052</v>
      </c>
      <c r="F214" s="9" t="str">
        <f>_xlfn.XLOOKUP(G214,Sheet1!F:F,Sheet1!G:G)</f>
        <v>包皮环切术</v>
      </c>
      <c r="G214" s="10" t="s">
        <v>2056</v>
      </c>
      <c r="H214" s="11"/>
      <c r="I214" s="5">
        <v>250</v>
      </c>
      <c r="J214" s="5">
        <v>240</v>
      </c>
      <c r="K214" s="5">
        <v>204</v>
      </c>
      <c r="L214" s="11"/>
      <c r="M214" s="5">
        <v>250</v>
      </c>
      <c r="N214" s="5">
        <v>225</v>
      </c>
      <c r="O214" s="5">
        <v>190</v>
      </c>
      <c r="P214" s="5">
        <v>1</v>
      </c>
      <c r="Q214" s="5">
        <v>1</v>
      </c>
      <c r="R214" s="5" t="s">
        <v>2111</v>
      </c>
      <c r="S214" s="5">
        <v>0</v>
      </c>
      <c r="T214" s="5">
        <v>1548.5</v>
      </c>
      <c r="U214" s="5">
        <v>3398</v>
      </c>
      <c r="V214" s="5">
        <v>620.7</v>
      </c>
      <c r="W214" s="5">
        <v>0</v>
      </c>
      <c r="X214" s="5">
        <v>-50970</v>
      </c>
      <c r="Y214" s="5">
        <v>-8689.8</v>
      </c>
      <c r="Z214" s="5">
        <v>0</v>
      </c>
      <c r="AA214" s="5">
        <v>-47218</v>
      </c>
      <c r="AB214" s="5">
        <v>-8689.8</v>
      </c>
      <c r="AC214">
        <f>Z214+AA214+AB214</f>
        <v>-55907.8</v>
      </c>
    </row>
    <row r="215" spans="1:29">
      <c r="A215" s="4">
        <v>205</v>
      </c>
      <c r="B215" s="5">
        <f>_xlfn.XLOOKUP(G215,Sheet1!E:E,Sheet1!A:A)</f>
        <v>3661</v>
      </c>
      <c r="C215" s="5">
        <v>201</v>
      </c>
      <c r="D215" s="5">
        <f>_xlfn.XLOOKUP(G215,'规范整合泌尿系统医疗服务价格映射表12.11 (2)'!T:T,'规范整合泌尿系统医疗服务价格映射表12.11 (2)'!A:A)</f>
        <v>107</v>
      </c>
      <c r="E215" s="12"/>
      <c r="F215" s="9" t="str">
        <f>_xlfn.XLOOKUP(G215,Sheet1!F:F,Sheet1!G:G)</f>
        <v>阴茎包皮过短整形术</v>
      </c>
      <c r="G215" s="10" t="s">
        <v>2058</v>
      </c>
      <c r="H215" s="11"/>
      <c r="I215" s="5">
        <v>625</v>
      </c>
      <c r="J215" s="5">
        <v>600</v>
      </c>
      <c r="K215" s="5">
        <v>510</v>
      </c>
      <c r="L215" s="11"/>
      <c r="M215" s="5">
        <v>250</v>
      </c>
      <c r="N215" s="5">
        <v>225</v>
      </c>
      <c r="O215" s="5">
        <v>190</v>
      </c>
      <c r="P215" s="5">
        <v>1</v>
      </c>
      <c r="Q215" s="5">
        <v>1</v>
      </c>
      <c r="R215" s="5" t="s">
        <v>2111</v>
      </c>
      <c r="S215" s="5">
        <v>0</v>
      </c>
      <c r="T215" s="5">
        <v>0</v>
      </c>
      <c r="U215" s="5">
        <v>1</v>
      </c>
      <c r="V215" s="5">
        <v>0</v>
      </c>
      <c r="W215" s="5">
        <v>0</v>
      </c>
      <c r="X215" s="5">
        <v>-375</v>
      </c>
      <c r="Y215" s="5">
        <v>0</v>
      </c>
      <c r="Z215" s="5">
        <v>0</v>
      </c>
      <c r="AA215" s="5">
        <v>-375</v>
      </c>
      <c r="AB215" s="5">
        <v>0</v>
      </c>
      <c r="AC215">
        <f>Z215+AA215+AB215</f>
        <v>-375</v>
      </c>
    </row>
    <row r="216" spans="1:29">
      <c r="A216" s="4">
        <v>168</v>
      </c>
      <c r="B216" s="5">
        <f>_xlfn.XLOOKUP(G216,Sheet1!E:E,Sheet1!A:A)</f>
        <v>3662</v>
      </c>
      <c r="C216" s="5">
        <v>201</v>
      </c>
      <c r="D216" s="5" t="str">
        <f>_xlfn.XLOOKUP(G216,'规范整合泌尿系统医疗服务价格映射表12.11 (2)'!T:T,'规范整合泌尿系统医疗服务价格映射表12.11 (2)'!A:A)</f>
        <v>分项</v>
      </c>
      <c r="E216" s="8" t="s">
        <v>2149</v>
      </c>
      <c r="F216" s="9" t="str">
        <f>_xlfn.XLOOKUP(G216,Sheet1!F:F,Sheet1!G:G)</f>
        <v>小儿包皮环切术</v>
      </c>
      <c r="G216" s="10" t="s">
        <v>2062</v>
      </c>
      <c r="H216" s="11"/>
      <c r="I216" s="5">
        <v>325</v>
      </c>
      <c r="J216" s="5">
        <v>310</v>
      </c>
      <c r="K216" s="5">
        <v>265</v>
      </c>
      <c r="L216" s="11"/>
      <c r="M216" s="5">
        <v>325</v>
      </c>
      <c r="N216" s="5">
        <v>293</v>
      </c>
      <c r="O216" s="5">
        <v>247</v>
      </c>
      <c r="P216" s="5">
        <v>1</v>
      </c>
      <c r="Q216" s="5">
        <v>1</v>
      </c>
      <c r="R216" s="5" t="s">
        <v>2111</v>
      </c>
      <c r="S216" s="5">
        <v>0</v>
      </c>
      <c r="T216" s="5">
        <v>70.5</v>
      </c>
      <c r="U216" s="5">
        <v>24.5</v>
      </c>
      <c r="V216" s="5">
        <v>1</v>
      </c>
      <c r="W216" s="5">
        <v>0</v>
      </c>
      <c r="X216" s="5">
        <v>-416.5</v>
      </c>
      <c r="Y216" s="5">
        <v>-18</v>
      </c>
      <c r="Z216" s="5">
        <v>0</v>
      </c>
      <c r="AA216" s="5">
        <v>-386.5</v>
      </c>
      <c r="AB216" s="5">
        <v>-18</v>
      </c>
      <c r="AC216">
        <f>Z216+AA216+AB216</f>
        <v>-404.5</v>
      </c>
    </row>
    <row r="217" spans="1:29">
      <c r="A217" s="4">
        <v>134</v>
      </c>
      <c r="B217" s="5">
        <f>_xlfn.XLOOKUP(G217,Sheet1!E:E,Sheet1!A:A)</f>
        <v>3664</v>
      </c>
      <c r="C217" s="5">
        <v>201</v>
      </c>
      <c r="D217" s="5">
        <f>_xlfn.XLOOKUP(G217,'规范整合泌尿系统医疗服务价格映射表12.11 (2)'!T:T,'规范整合泌尿系统医疗服务价格映射表12.11 (2)'!A:A)</f>
        <v>108</v>
      </c>
      <c r="E217" s="8" t="s">
        <v>2067</v>
      </c>
      <c r="F217" s="9" t="str">
        <f>_xlfn.XLOOKUP(G217,Sheet1!F:F,Sheet1!G:G)</f>
        <v>腹膜后肿瘤切除术</v>
      </c>
      <c r="G217" s="10" t="s">
        <v>2070</v>
      </c>
      <c r="H217" s="11"/>
      <c r="I217" s="5">
        <v>3380</v>
      </c>
      <c r="J217" s="5">
        <v>3040</v>
      </c>
      <c r="K217" s="5">
        <v>2580</v>
      </c>
      <c r="L217" s="11"/>
      <c r="M217" s="5">
        <v>4200</v>
      </c>
      <c r="N217" s="5">
        <v>3750</v>
      </c>
      <c r="O217" s="5">
        <v>3180</v>
      </c>
      <c r="P217" s="5">
        <v>1</v>
      </c>
      <c r="Q217" s="5">
        <v>1</v>
      </c>
      <c r="R217" s="5" t="s">
        <v>2111</v>
      </c>
      <c r="S217" s="5">
        <v>0</v>
      </c>
      <c r="T217" s="5">
        <v>18.25</v>
      </c>
      <c r="U217" s="5">
        <v>8</v>
      </c>
      <c r="V217" s="5">
        <v>0</v>
      </c>
      <c r="W217" s="5">
        <v>14965</v>
      </c>
      <c r="X217" s="5">
        <v>5680</v>
      </c>
      <c r="Y217" s="5">
        <v>0</v>
      </c>
      <c r="Z217" s="5">
        <v>14965</v>
      </c>
      <c r="AA217" s="5">
        <v>5680</v>
      </c>
      <c r="AB217" s="5">
        <v>0</v>
      </c>
      <c r="AC217">
        <f>Z217+AA217+AB217</f>
        <v>20645</v>
      </c>
    </row>
    <row r="218" spans="1:29">
      <c r="A218" s="4">
        <v>172</v>
      </c>
      <c r="B218" s="5">
        <f>_xlfn.XLOOKUP(G218,Sheet1!E:E,Sheet1!A:A)</f>
        <v>3665</v>
      </c>
      <c r="C218" s="5">
        <v>201</v>
      </c>
      <c r="D218" s="5">
        <f>_xlfn.XLOOKUP(G218,'规范整合泌尿系统医疗服务价格映射表12.11 (2)'!T:T,'规范整合泌尿系统医疗服务价格映射表12.11 (2)'!A:A)</f>
        <v>108</v>
      </c>
      <c r="E218" s="12"/>
      <c r="F218" s="9" t="str">
        <f>_xlfn.XLOOKUP(G218,Sheet1!F:F,Sheet1!G:G)</f>
        <v>经腹腔镜腹膜后肿瘤切除术</v>
      </c>
      <c r="G218" s="10" t="s">
        <v>2073</v>
      </c>
      <c r="H218" s="11"/>
      <c r="I218" s="5">
        <v>4005</v>
      </c>
      <c r="J218" s="5">
        <v>3640</v>
      </c>
      <c r="K218" s="5">
        <v>3090</v>
      </c>
      <c r="L218" s="11"/>
      <c r="M218" s="5">
        <v>4200</v>
      </c>
      <c r="N218" s="5">
        <v>3750</v>
      </c>
      <c r="O218" s="5">
        <v>3180</v>
      </c>
      <c r="P218" s="5">
        <v>1</v>
      </c>
      <c r="Q218" s="5">
        <v>1</v>
      </c>
      <c r="R218" s="5" t="s">
        <v>2111</v>
      </c>
      <c r="S218" s="5">
        <v>0</v>
      </c>
      <c r="T218" s="5">
        <v>50</v>
      </c>
      <c r="U218" s="5">
        <v>11</v>
      </c>
      <c r="V218" s="5">
        <v>0</v>
      </c>
      <c r="W218" s="5">
        <v>9750</v>
      </c>
      <c r="X218" s="5">
        <v>1210</v>
      </c>
      <c r="Y218" s="5">
        <v>0</v>
      </c>
      <c r="Z218" s="5">
        <v>9750</v>
      </c>
      <c r="AA218" s="5">
        <v>1210</v>
      </c>
      <c r="AB218" s="5">
        <v>0</v>
      </c>
      <c r="AC218">
        <f>Z218+AA218+AB218</f>
        <v>10960</v>
      </c>
    </row>
    <row r="219" spans="1:29">
      <c r="A219" s="4">
        <v>104</v>
      </c>
      <c r="B219" s="5">
        <f>_xlfn.XLOOKUP(G219,Sheet1!E:E,Sheet1!A:A)</f>
        <v>3666</v>
      </c>
      <c r="C219" s="5">
        <v>201</v>
      </c>
      <c r="D219" s="5" t="str">
        <f>_xlfn.XLOOKUP(G219,'规范整合泌尿系统医疗服务价格映射表12.11 (2)'!T:T,'规范整合泌尿系统医疗服务价格映射表12.11 (2)'!A:A)</f>
        <v>分项</v>
      </c>
      <c r="E219" s="8" t="s">
        <v>2150</v>
      </c>
      <c r="F219" s="9" t="str">
        <f>_xlfn.XLOOKUP(G219,Sheet1!F:F,Sheet1!G:G)</f>
        <v>小儿腹膜后肿瘤切除术</v>
      </c>
      <c r="G219" s="10" t="s">
        <v>2079</v>
      </c>
      <c r="H219" s="11"/>
      <c r="I219" s="5">
        <v>4395</v>
      </c>
      <c r="J219" s="5">
        <v>3950</v>
      </c>
      <c r="K219" s="5">
        <v>3360</v>
      </c>
      <c r="L219" s="11"/>
      <c r="M219" s="5">
        <v>5460</v>
      </c>
      <c r="N219" s="5">
        <v>4875</v>
      </c>
      <c r="O219" s="5">
        <v>4135</v>
      </c>
      <c r="P219" s="5">
        <v>1</v>
      </c>
      <c r="Q219" s="5">
        <v>1</v>
      </c>
      <c r="R219" s="5" t="s">
        <v>2111</v>
      </c>
      <c r="S219" s="5">
        <v>0</v>
      </c>
      <c r="T219" s="5">
        <v>1</v>
      </c>
      <c r="U219" s="5">
        <v>0</v>
      </c>
      <c r="V219" s="5">
        <v>0</v>
      </c>
      <c r="W219" s="5">
        <v>1065</v>
      </c>
      <c r="X219" s="5">
        <v>0</v>
      </c>
      <c r="Y219" s="5">
        <v>0</v>
      </c>
      <c r="Z219" s="5">
        <v>1065</v>
      </c>
      <c r="AA219" s="5">
        <v>0</v>
      </c>
      <c r="AB219" s="5">
        <v>0</v>
      </c>
      <c r="AC219">
        <f>Z219+AA219+AB219</f>
        <v>1065</v>
      </c>
    </row>
    <row r="220" spans="1:29">
      <c r="A220" s="4">
        <v>23</v>
      </c>
      <c r="B220" s="5" t="e">
        <f>_xlfn.XLOOKUP(G220,Sheet1!E:E,Sheet1!A:A)</f>
        <v>#N/A</v>
      </c>
      <c r="C220" s="5">
        <v>201</v>
      </c>
      <c r="D220" s="5" t="e">
        <f>_xlfn.XLOOKUP(G220,'规范整合泌尿系统医疗服务价格映射表12.11 (2)'!T:T,'规范整合泌尿系统医疗服务价格映射表12.11 (2)'!A:A)</f>
        <v>#N/A</v>
      </c>
      <c r="E220" s="12" t="e">
        <v>#N/A</v>
      </c>
      <c r="F220" s="17" t="e">
        <f>_xlfn.XLOOKUP(G220,Sheet1!F:F,Sheet1!G:G)</f>
        <v>#N/A</v>
      </c>
      <c r="G220" s="10">
        <v>13110000170000</v>
      </c>
      <c r="H220" s="11"/>
      <c r="I220" s="5">
        <v>400</v>
      </c>
      <c r="J220" s="5">
        <v>400</v>
      </c>
      <c r="K220" s="5">
        <v>340</v>
      </c>
      <c r="L220" s="11"/>
      <c r="M220" s="5">
        <v>420</v>
      </c>
      <c r="N220" s="5">
        <v>395</v>
      </c>
      <c r="O220" s="5">
        <v>340</v>
      </c>
      <c r="P220" s="5">
        <v>1</v>
      </c>
      <c r="Q220" s="5">
        <v>1</v>
      </c>
      <c r="R220" s="5" t="s">
        <v>2111</v>
      </c>
      <c r="S220" s="5">
        <v>0</v>
      </c>
      <c r="T220" s="5">
        <v>14</v>
      </c>
      <c r="U220" s="5">
        <v>6.5</v>
      </c>
      <c r="V220" s="5">
        <v>0</v>
      </c>
      <c r="W220" s="5">
        <v>280</v>
      </c>
      <c r="X220" s="5">
        <v>-32.5</v>
      </c>
      <c r="Y220" s="5">
        <v>0</v>
      </c>
      <c r="Z220" s="5">
        <v>280</v>
      </c>
      <c r="AA220" s="5">
        <v>-32.5</v>
      </c>
      <c r="AB220" s="5">
        <v>0</v>
      </c>
      <c r="AC220">
        <f>Z220+AA220+AB220</f>
        <v>247.5</v>
      </c>
    </row>
    <row r="221" spans="1:29">
      <c r="A221" s="4">
        <v>30</v>
      </c>
      <c r="B221" s="5" t="e">
        <f>_xlfn.XLOOKUP(G221,Sheet1!E:E,Sheet1!A:A)</f>
        <v>#N/A</v>
      </c>
      <c r="C221" s="5">
        <v>201</v>
      </c>
      <c r="D221" s="5" t="e">
        <f>_xlfn.XLOOKUP(G221,'规范整合泌尿系统医疗服务价格映射表12.11 (2)'!T:T,'规范整合泌尿系统医疗服务价格映射表12.11 (2)'!A:A)</f>
        <v>#N/A</v>
      </c>
      <c r="E221" s="12" t="e">
        <v>#N/A</v>
      </c>
      <c r="F221" s="17" t="e">
        <f>_xlfn.XLOOKUP(G221,Sheet1!F:F,Sheet1!G:G)</f>
        <v>#N/A</v>
      </c>
      <c r="G221" s="10">
        <v>13311000020000</v>
      </c>
      <c r="H221" s="11"/>
      <c r="I221" s="5">
        <v>420</v>
      </c>
      <c r="J221" s="5">
        <v>420</v>
      </c>
      <c r="K221" s="5">
        <v>360</v>
      </c>
      <c r="L221" s="11"/>
      <c r="M221" s="5">
        <v>420</v>
      </c>
      <c r="N221" s="5">
        <v>395</v>
      </c>
      <c r="O221" s="5">
        <v>340</v>
      </c>
      <c r="P221" s="5">
        <v>1</v>
      </c>
      <c r="Q221" s="5">
        <v>1</v>
      </c>
      <c r="R221" s="5" t="s">
        <v>2111</v>
      </c>
      <c r="S221" s="5">
        <v>0</v>
      </c>
      <c r="T221" s="5">
        <v>104</v>
      </c>
      <c r="U221" s="5">
        <v>106</v>
      </c>
      <c r="V221" s="5">
        <v>0</v>
      </c>
      <c r="W221" s="5">
        <v>0</v>
      </c>
      <c r="X221" s="5">
        <v>-2650</v>
      </c>
      <c r="Y221" s="5">
        <v>0</v>
      </c>
      <c r="Z221" s="5">
        <v>38000</v>
      </c>
      <c r="AA221" s="5">
        <v>37630</v>
      </c>
      <c r="AB221" s="5">
        <v>0</v>
      </c>
      <c r="AC221">
        <f>Z221+AA221+AB221</f>
        <v>75630</v>
      </c>
    </row>
    <row r="222" spans="1:29">
      <c r="A222" s="4">
        <v>31</v>
      </c>
      <c r="B222" s="5" t="e">
        <f>_xlfn.XLOOKUP(G222,Sheet1!E:E,Sheet1!A:A)</f>
        <v>#N/A</v>
      </c>
      <c r="C222" s="5">
        <v>201</v>
      </c>
      <c r="D222" s="5" t="e">
        <f>_xlfn.XLOOKUP(G222,'规范整合泌尿系统医疗服务价格映射表12.11 (2)'!T:T,'规范整合泌尿系统医疗服务价格映射表12.11 (2)'!A:A)</f>
        <v>#N/A</v>
      </c>
      <c r="E222" s="12" t="e">
        <v>#N/A</v>
      </c>
      <c r="F222" s="17" t="e">
        <f>_xlfn.XLOOKUP(G222,Sheet1!F:F,Sheet1!G:G)</f>
        <v>#N/A</v>
      </c>
      <c r="G222" s="10">
        <v>13110000060000</v>
      </c>
      <c r="H222" s="11"/>
      <c r="I222" s="5">
        <v>2450</v>
      </c>
      <c r="J222" s="5">
        <v>2325</v>
      </c>
      <c r="K222" s="5">
        <v>2000</v>
      </c>
      <c r="L222" s="11"/>
      <c r="M222" s="5">
        <v>3200</v>
      </c>
      <c r="N222" s="5">
        <v>3025</v>
      </c>
      <c r="O222" s="5">
        <v>2595</v>
      </c>
      <c r="P222" s="5">
        <v>1</v>
      </c>
      <c r="Q222" s="5">
        <v>1</v>
      </c>
      <c r="R222" s="5" t="s">
        <v>2111</v>
      </c>
      <c r="S222" s="5">
        <v>0</v>
      </c>
      <c r="T222" s="5">
        <v>229</v>
      </c>
      <c r="U222" s="5">
        <v>28</v>
      </c>
      <c r="V222" s="5">
        <v>0</v>
      </c>
      <c r="W222" s="5">
        <v>171750</v>
      </c>
      <c r="X222" s="5">
        <v>19600</v>
      </c>
      <c r="Y222" s="5">
        <v>0</v>
      </c>
      <c r="Z222" s="5">
        <v>171750</v>
      </c>
      <c r="AA222" s="5">
        <v>19600</v>
      </c>
      <c r="AB222" s="5">
        <v>0</v>
      </c>
      <c r="AC222">
        <f>Z222+AA222+AB222</f>
        <v>191350</v>
      </c>
    </row>
    <row r="223" spans="1:29">
      <c r="A223" s="4">
        <v>197</v>
      </c>
      <c r="B223" s="5" t="e">
        <f>_xlfn.XLOOKUP(G223,Sheet1!E:E,Sheet1!A:A)</f>
        <v>#N/A</v>
      </c>
      <c r="C223" s="5">
        <v>201</v>
      </c>
      <c r="D223" s="5" t="e">
        <f>_xlfn.XLOOKUP(G223,'规范整合泌尿系统医疗服务价格映射表12.11 (2)'!T:T,'规范整合泌尿系统医疗服务价格映射表12.11 (2)'!A:A)</f>
        <v>#N/A</v>
      </c>
      <c r="E223" s="12" t="e">
        <v>#N/A</v>
      </c>
      <c r="F223" s="17" t="e">
        <f>_xlfn.XLOOKUP(G223,Sheet1!F:F,Sheet1!G:G)</f>
        <v>#N/A</v>
      </c>
      <c r="G223" s="10">
        <v>13311000010000</v>
      </c>
      <c r="H223" s="11"/>
      <c r="I223" s="5">
        <v>400</v>
      </c>
      <c r="J223" s="5">
        <v>400</v>
      </c>
      <c r="K223" s="5">
        <v>340</v>
      </c>
      <c r="L223" s="11"/>
      <c r="M223" s="5">
        <v>420</v>
      </c>
      <c r="N223" s="5">
        <v>395</v>
      </c>
      <c r="O223" s="5">
        <v>340</v>
      </c>
      <c r="P223" s="5">
        <v>1</v>
      </c>
      <c r="Q223" s="5">
        <v>1</v>
      </c>
      <c r="R223" s="5" t="s">
        <v>2111</v>
      </c>
      <c r="S223" s="5">
        <v>0</v>
      </c>
      <c r="T223" s="5">
        <v>33</v>
      </c>
      <c r="U223" s="5">
        <v>35</v>
      </c>
      <c r="V223" s="5">
        <v>0</v>
      </c>
      <c r="W223" s="5">
        <v>660</v>
      </c>
      <c r="X223" s="5">
        <v>-175</v>
      </c>
      <c r="Y223" s="5">
        <v>0</v>
      </c>
      <c r="Z223" s="5">
        <v>660</v>
      </c>
      <c r="AA223" s="5">
        <v>-175</v>
      </c>
      <c r="AB223" s="5">
        <v>0</v>
      </c>
      <c r="AC223">
        <f>Z223+AA223+AB223</f>
        <v>485</v>
      </c>
    </row>
    <row r="224" spans="1:29">
      <c r="A224" s="4">
        <v>203</v>
      </c>
      <c r="B224" s="5" t="e">
        <f>_xlfn.XLOOKUP(G224,Sheet1!E:E,Sheet1!A:A)</f>
        <v>#N/A</v>
      </c>
      <c r="C224" s="5">
        <v>201</v>
      </c>
      <c r="D224" s="5" t="e">
        <f>_xlfn.XLOOKUP(G224,'规范整合泌尿系统医疗服务价格映射表12.11 (2)'!T:T,'规范整合泌尿系统医疗服务价格映射表12.11 (2)'!A:A)</f>
        <v>#N/A</v>
      </c>
      <c r="E224" s="12" t="e">
        <v>#N/A</v>
      </c>
      <c r="F224" s="17" t="e">
        <f>_xlfn.XLOOKUP(G224,Sheet1!F:F,Sheet1!G:G)</f>
        <v>#N/A</v>
      </c>
      <c r="G224" s="10">
        <v>13110000150000</v>
      </c>
      <c r="H224" s="11"/>
      <c r="I224" s="5">
        <v>40</v>
      </c>
      <c r="J224" s="5">
        <v>40</v>
      </c>
      <c r="K224" s="5">
        <v>34</v>
      </c>
      <c r="L224" s="11"/>
      <c r="M224" s="5">
        <v>42</v>
      </c>
      <c r="N224" s="5">
        <v>40</v>
      </c>
      <c r="O224" s="5">
        <v>34</v>
      </c>
      <c r="P224" s="5">
        <v>1</v>
      </c>
      <c r="Q224" s="5">
        <v>1</v>
      </c>
      <c r="R224" s="5" t="s">
        <v>2111</v>
      </c>
      <c r="S224" s="5">
        <v>0</v>
      </c>
      <c r="T224" s="5">
        <v>57</v>
      </c>
      <c r="U224" s="5">
        <v>114</v>
      </c>
      <c r="V224" s="5">
        <v>77</v>
      </c>
      <c r="W224" s="5">
        <v>114</v>
      </c>
      <c r="X224" s="5">
        <v>0</v>
      </c>
      <c r="Y224" s="5">
        <v>0</v>
      </c>
      <c r="Z224" s="5">
        <v>114</v>
      </c>
      <c r="AA224" s="5">
        <v>0</v>
      </c>
      <c r="AB224" s="5">
        <v>0</v>
      </c>
      <c r="AC224">
        <f>Z224+AA224+AB224</f>
        <v>114</v>
      </c>
    </row>
  </sheetData>
  <autoFilter ref="A1:AB224">
    <sortState ref="A2:AB224">
      <sortCondition ref="B1"/>
    </sortState>
    <extLst/>
  </autoFilter>
  <mergeCells count="42">
    <mergeCell ref="E11:E12"/>
    <mergeCell ref="E16:E17"/>
    <mergeCell ref="E18:E37"/>
    <mergeCell ref="E40:E43"/>
    <mergeCell ref="E44:E47"/>
    <mergeCell ref="E51:E52"/>
    <mergeCell ref="E54:E56"/>
    <mergeCell ref="E58:E61"/>
    <mergeCell ref="E62:E65"/>
    <mergeCell ref="E66:E71"/>
    <mergeCell ref="E72:E73"/>
    <mergeCell ref="E75:E82"/>
    <mergeCell ref="E83:E84"/>
    <mergeCell ref="E85:E87"/>
    <mergeCell ref="E88:E91"/>
    <mergeCell ref="E92:E93"/>
    <mergeCell ref="E94:E96"/>
    <mergeCell ref="E98:E100"/>
    <mergeCell ref="E102:E109"/>
    <mergeCell ref="E110:E112"/>
    <mergeCell ref="E114:E115"/>
    <mergeCell ref="E116:E117"/>
    <mergeCell ref="E118:E124"/>
    <mergeCell ref="E128:E130"/>
    <mergeCell ref="E131:E134"/>
    <mergeCell ref="E137:E153"/>
    <mergeCell ref="E154:E158"/>
    <mergeCell ref="E159:E160"/>
    <mergeCell ref="E161:E163"/>
    <mergeCell ref="E167:E170"/>
    <mergeCell ref="E171:E174"/>
    <mergeCell ref="E176:E179"/>
    <mergeCell ref="E180:E183"/>
    <mergeCell ref="E187:E188"/>
    <mergeCell ref="E191:E193"/>
    <mergeCell ref="E197:E198"/>
    <mergeCell ref="E199:E200"/>
    <mergeCell ref="E203:E206"/>
    <mergeCell ref="E207:E208"/>
    <mergeCell ref="E211:E212"/>
    <mergeCell ref="E214:E215"/>
    <mergeCell ref="E217:E21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规范整合泌尿系统医疗服务价格映射表12.11</vt:lpstr>
      <vt:lpstr>规范整合泌尿系统医疗服务价格映射表12.11 (2)</vt:lpstr>
      <vt:lpstr>Sheet1</vt:lpstr>
      <vt:lpstr>Sheet4(非最新）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张圣和</dc:creator>
  <cp:lastModifiedBy>QHTF</cp:lastModifiedBy>
  <dcterms:created xsi:type="dcterms:W3CDTF">2022-08-28T16:44:00Z</dcterms:created>
  <dcterms:modified xsi:type="dcterms:W3CDTF">2026-04-29T16:27:05Z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96CC21B829230B9AAF81E869723C870A</vt:lpwstr>
  </property>
  <property fmtid="{D5CDD505-2E9C-101B-9397-08002B2CF9AE}" pid="3" name="KSOProductBuildVer">
    <vt:lpwstr>2052-11.8.2.12219</vt:lpwstr>
  </property>
  <property fmtid="{D5CDD505-2E9C-101B-9397-08002B2CF9AE}" pid="4" name="KSOReadingLayout">
    <vt:bool>true</vt:bool>
  </property>
</Properties>
</file>