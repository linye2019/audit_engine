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35" activeTab="3"/>
  </bookViews>
  <sheets>
    <sheet name="眼科项目" sheetId="1" r:id="rId1"/>
    <sheet name="眼科项目 (2)" sheetId="3" r:id="rId2"/>
    <sheet name="改变收费方式，测算医疗费用项目" sheetId="2" r:id="rId3"/>
    <sheet name="Sheet1" sheetId="4" r:id="rId4"/>
  </sheets>
  <definedNames>
    <definedName name="_xlnm._FilterDatabase" localSheetId="0" hidden="1">眼科项目!$A$3:$IN$485</definedName>
    <definedName name="_xlnm._FilterDatabase" localSheetId="1" hidden="1">'眼科项目 (2)'!$A$3:$AE$406</definedName>
    <definedName name="_xlnm._FilterDatabase" localSheetId="3" hidden="1">Sheet1!$A$1:$W$404</definedName>
    <definedName name="_xlnm.Print_Area" localSheetId="0">眼科项目!$A$3:$G$485</definedName>
    <definedName name="_xlnm.Print_Titles" localSheetId="0">眼科项目!$3:$3</definedName>
    <definedName name="_xlnm.Print_Area" localSheetId="1">'眼科项目 (2)'!$A$3:$G$406</definedName>
    <definedName name="_xlnm.Print_Titles" localSheetId="1">'眼科项目 (2)'!$3:$3</definedName>
  </definedNames>
  <calcPr calcId="144525"/>
</workbook>
</file>

<file path=xl/sharedStrings.xml><?xml version="1.0" encoding="utf-8"?>
<sst xmlns="http://schemas.openxmlformats.org/spreadsheetml/2006/main" count="13193" uniqueCount="1967">
  <si>
    <t>眼科类立项指南项目对应及拟定情况（征求意见稿）</t>
  </si>
  <si>
    <t>眼科类立项指南项目</t>
  </si>
  <si>
    <t>现行项目</t>
  </si>
  <si>
    <t>序号</t>
  </si>
  <si>
    <t>项目代码</t>
  </si>
  <si>
    <t>项目名称</t>
  </si>
  <si>
    <t>服务产出</t>
  </si>
  <si>
    <t>价格构成</t>
  </si>
  <si>
    <t>计价说明</t>
  </si>
  <si>
    <t>计价单位</t>
  </si>
  <si>
    <t>省三甲价格</t>
  </si>
  <si>
    <t>省三甲以下价格</t>
  </si>
  <si>
    <t>平移价格
(市级)</t>
  </si>
  <si>
    <t>平移价格
(县级)</t>
  </si>
  <si>
    <t>平移价格
(基层)</t>
  </si>
  <si>
    <t>拟定价格
(市级)</t>
  </si>
  <si>
    <t>拟定价格
(县级)</t>
  </si>
  <si>
    <t>拟定价格
(基层)</t>
  </si>
  <si>
    <t>医保
属性</t>
  </si>
  <si>
    <t>医保限定支付范围</t>
  </si>
  <si>
    <t>个人先行自付比例</t>
  </si>
  <si>
    <t>调整情况</t>
  </si>
  <si>
    <t>备注</t>
  </si>
  <si>
    <t>国家结算编码</t>
  </si>
  <si>
    <t>项目内涵</t>
  </si>
  <si>
    <t>除外内容</t>
  </si>
  <si>
    <t>说明</t>
  </si>
  <si>
    <t>价格
(市级)</t>
  </si>
  <si>
    <t>价格
(县级)</t>
  </si>
  <si>
    <t>价格
(基层)</t>
  </si>
  <si>
    <t>医保属性</t>
  </si>
  <si>
    <t>012403000010000</t>
  </si>
  <si>
    <t>视力检查费（普通）</t>
  </si>
  <si>
    <t>通过远视力、近视力、光机能（包括光感及光定位）、伪盲检查等多种方式对视力进行检查。</t>
  </si>
  <si>
    <t>所定价格涵盖眼部遮盖、检查、记录、出具结果报告等步骤所需的人力资源和基本物质资源消耗。</t>
  </si>
  <si>
    <t/>
  </si>
  <si>
    <t>次</t>
  </si>
  <si>
    <t>医保</t>
  </si>
  <si>
    <t>理顺</t>
  </si>
  <si>
    <t>平移后市级按不超过省级拟定，同质化项目，价格较低，市县基层同价</t>
  </si>
  <si>
    <t>003103000010000-310300001</t>
  </si>
  <si>
    <t>普通视力检查</t>
  </si>
  <si>
    <t>含远视力、近视力、光机能（包括光感及光定位）、伪盲检查</t>
  </si>
  <si>
    <t>012403000020000</t>
  </si>
  <si>
    <t>视力检查费（特殊）</t>
  </si>
  <si>
    <t>通过各种特殊方式对视力进行检查。</t>
  </si>
  <si>
    <t>所定价格涵盖设备准备、检查、记录、出具结果报告等步骤所需的人力资源和基本物质资源消耗。</t>
  </si>
  <si>
    <t>1.“特殊方式”是指应用图形视力表、点视力表、条栅视力卡、视动性眼球震颤设备的方式进行视力检查。2.阿姆斯勒(Amsler)表检查按此项目收费。</t>
  </si>
  <si>
    <t>同质化项目缩小价差</t>
  </si>
  <si>
    <t>003103000020000-310300002</t>
  </si>
  <si>
    <t>特殊视力检查</t>
  </si>
  <si>
    <t>包括儿童图形视力表，点视力表，条栅视力卡，视动性眼震仪</t>
  </si>
  <si>
    <t>项</t>
  </si>
  <si>
    <t>003103000020100-31030000201</t>
  </si>
  <si>
    <t>特殊视力检查（儿童图形视力表）</t>
  </si>
  <si>
    <t>儿童图形视力表</t>
  </si>
  <si>
    <t>003103000020200-31030000202</t>
  </si>
  <si>
    <t>特殊视力检查（点视力表）</t>
  </si>
  <si>
    <t>点视力表</t>
  </si>
  <si>
    <t>003103000020300-31030000203</t>
  </si>
  <si>
    <t>特殊视力检查（条栅视力卡）</t>
  </si>
  <si>
    <t>条栅视力卡</t>
  </si>
  <si>
    <t>003103000020400-31030000204</t>
  </si>
  <si>
    <t>特殊视力检查（视动性眼震仪）</t>
  </si>
  <si>
    <t>视动性眼震仪</t>
  </si>
  <si>
    <t>003103000030000-310300003</t>
  </si>
  <si>
    <t>选择性观看检查</t>
  </si>
  <si>
    <t>003103000040000-310300004</t>
  </si>
  <si>
    <t>视网膜视力检查</t>
  </si>
  <si>
    <t>003103000060000-310300006</t>
  </si>
  <si>
    <t>阿姆斯勒（Amsler）表检查</t>
  </si>
  <si>
    <t>次（单眼）</t>
  </si>
  <si>
    <t>003103000210000-310300021</t>
  </si>
  <si>
    <t>对比敏感度检查</t>
  </si>
  <si>
    <t>使用微机处理基层收12.8元，县级医院收15元，市级医院收15.8元</t>
  </si>
  <si>
    <t>003103000210000-31030002101</t>
  </si>
  <si>
    <t>对比敏感度检查（使用微机处理）</t>
  </si>
  <si>
    <t>使用微机处理</t>
  </si>
  <si>
    <t>003103000220000-310300022</t>
  </si>
  <si>
    <t>暗适应测定</t>
  </si>
  <si>
    <t>含图形及报告</t>
  </si>
  <si>
    <t>003103000230000-310300023</t>
  </si>
  <si>
    <t>明适应测定</t>
  </si>
  <si>
    <t>012403000030000</t>
  </si>
  <si>
    <t>散瞳验光费</t>
  </si>
  <si>
    <t>通过散瞳、电脑、检影等不同方式测量眼睛的屈光状态。</t>
  </si>
  <si>
    <t>所定价格涵盖散瞳、电脑及人工测视力、测瞳距、确定屈光度数、记录、出具结果报告等步骤所需的人力资源和基本物质资源消耗。</t>
  </si>
  <si>
    <t>同质化项目，缩小价差</t>
  </si>
  <si>
    <t>003103000070000-310300007</t>
  </si>
  <si>
    <t>验光</t>
  </si>
  <si>
    <t>包括检影，散瞳，云雾试验，试镜</t>
  </si>
  <si>
    <t>每增加一项基层加收1.7元，县级医院加收2元，市级医院加收2.1元</t>
  </si>
  <si>
    <t>003103000070001-31030000701</t>
  </si>
  <si>
    <t>验光（增加一项加收）</t>
  </si>
  <si>
    <t>每增加一项加收</t>
  </si>
  <si>
    <t>分项</t>
  </si>
  <si>
    <t>012403000030001</t>
  </si>
  <si>
    <t>散瞳验光费-儿童（加收）</t>
  </si>
  <si>
    <t>012403000040000</t>
  </si>
  <si>
    <t>显然验光费</t>
  </si>
  <si>
    <t>通过反复插试镜片，确定矫正视力度数。</t>
  </si>
  <si>
    <t>所定价格涵盖戴试镜架、插试镜片、调整度数、记录、出具结果报告等步骤所需的人力资源和基本物质资源消耗。</t>
  </si>
  <si>
    <t>根据项目间比价关系及省局定价原则，按照散瞳验光费的50%定价</t>
  </si>
  <si>
    <t>012403000040001</t>
  </si>
  <si>
    <t>显然验光费-儿童（加收）</t>
  </si>
  <si>
    <t>012403000050000</t>
  </si>
  <si>
    <t>眼压检查费</t>
  </si>
  <si>
    <t>通过接触或非接触方式进行眼压测量。</t>
  </si>
  <si>
    <t>所定价格涵盖检查、测量、记录、出具结果报告等步骤所需的人力资源和基本物质资源消耗。</t>
  </si>
  <si>
    <t>眼压日曲线描记按照眼压检查实际开展次数收费，每日单侧收费不超过4个计价单位。</t>
  </si>
  <si>
    <t>单侧</t>
  </si>
  <si>
    <t>平移后按不超过省级下调拟定</t>
  </si>
  <si>
    <t>003103000270000-310300027</t>
  </si>
  <si>
    <t>眼压检查</t>
  </si>
  <si>
    <t>包括Schiotz眼压计法，电眼压计法</t>
  </si>
  <si>
    <t>非接触眼压计法、压平眼压计法分别加收100%</t>
  </si>
  <si>
    <t>003103000270200-31030002701</t>
  </si>
  <si>
    <t>眼压检查（非接触眼压计法）</t>
  </si>
  <si>
    <t>非接触眼压计法</t>
  </si>
  <si>
    <t>003103000270400-31030002702</t>
  </si>
  <si>
    <t>眼压检查（压平眼压计法）</t>
  </si>
  <si>
    <t>压平眼压计法</t>
  </si>
  <si>
    <t>003103000290000-310300029</t>
  </si>
  <si>
    <t>眼压描记</t>
  </si>
  <si>
    <t>003103000280000-310300028</t>
  </si>
  <si>
    <t>眼压日曲线检查</t>
  </si>
  <si>
    <t>012403000060000</t>
  </si>
  <si>
    <t>眼压检查费（青光眼激发）</t>
  </si>
  <si>
    <t>指通过各种方式激发眼压升高后进行眼压测量。</t>
  </si>
  <si>
    <t>所定价格涵盖试验准备、眼压测量、诱导、再次测量、记录、出具结果报告等步骤所需的人力资源和基本物质资源消耗。</t>
  </si>
  <si>
    <t>不得与眼压检查费同时收取。</t>
  </si>
  <si>
    <t>理顺，降低</t>
  </si>
  <si>
    <t>平移后按不超过省级下调拟定，同质化检查项目持平省级</t>
  </si>
  <si>
    <t>003103000370000-310300037</t>
  </si>
  <si>
    <t>青光眼诱导试验</t>
  </si>
  <si>
    <t>包括饮水，暗室，妥拉苏林等</t>
  </si>
  <si>
    <t>012403000060001</t>
  </si>
  <si>
    <t>眼压检查费（青光眼激发）-饮水试验（加收）</t>
  </si>
  <si>
    <t>新增加收项目，为主项的50%</t>
  </si>
  <si>
    <t>012403000070000</t>
  </si>
  <si>
    <t>色觉检查费</t>
  </si>
  <si>
    <t>通过不同方式检查色弱、色盲情况。</t>
  </si>
  <si>
    <t>所定价格涵盖检查、记录、出具结果报告等步骤所需的人力资源和基本物质资源消耗。</t>
  </si>
  <si>
    <t>平移后市级按不超过省级下调拟定</t>
  </si>
  <si>
    <t>003103000200000-310300020</t>
  </si>
  <si>
    <t>色觉检查</t>
  </si>
  <si>
    <t>包括普通图谱法，FM-100Hue测试盒法，色觉仪法</t>
  </si>
  <si>
    <t>012403000080000</t>
  </si>
  <si>
    <t>视野检查费</t>
  </si>
  <si>
    <t>通过各种方式对视野进行评估。</t>
  </si>
  <si>
    <t>所定价格涵盖应用视野检查设备、记录、出具结果报告等步骤所需的人力资源和基本物质资源消耗。</t>
  </si>
  <si>
    <t>平移后市县按不超过省级下调拟定，基层按比价上调，同质化检查项目持平省级</t>
  </si>
  <si>
    <t>003103000050000-310300005</t>
  </si>
  <si>
    <t>视野检查</t>
  </si>
  <si>
    <t>普通视野计</t>
  </si>
  <si>
    <t>电脑视野计、动态(Goldmann)视野计加收200%</t>
  </si>
  <si>
    <t>003103000050200-31030000501</t>
  </si>
  <si>
    <t>视野检查（电脑视野计）</t>
  </si>
  <si>
    <t>电脑视野计</t>
  </si>
  <si>
    <t>003103000050100-31030000502</t>
  </si>
  <si>
    <t>视野检查（动态Goldmann视野计）</t>
  </si>
  <si>
    <t>动态(Goldmann)视野计</t>
  </si>
  <si>
    <t>012403000090000</t>
  </si>
  <si>
    <t>泪液分泌功能测定费</t>
  </si>
  <si>
    <t>通过各种方式对泪液分泌功能进行测定。</t>
  </si>
  <si>
    <t>所定价格涵盖放置纸条、测定滤纸浸湿长度、记录并分析结果等步骤所需的人力资源和基本物质资源消耗。</t>
  </si>
  <si>
    <t>003103000350000-310300035</t>
  </si>
  <si>
    <t>泪液分泌功能测定</t>
  </si>
  <si>
    <t>012403000100000</t>
  </si>
  <si>
    <t>泪膜分析测定费</t>
  </si>
  <si>
    <t>通过各种方式对泪膜进行分析测定。</t>
  </si>
  <si>
    <t>所定价格涵盖设备准备、检查、记录、分析、出具结果报告等步骤所需的人力资源和基本物质资源消耗。</t>
  </si>
  <si>
    <t>003103000340000-310300034</t>
  </si>
  <si>
    <t>泪膜破裂时间测定</t>
  </si>
  <si>
    <t>012403000110000</t>
  </si>
  <si>
    <t>复视检查费</t>
  </si>
  <si>
    <t>通过各种方式对复视情况进行检查。</t>
  </si>
  <si>
    <t>同质化检查项目持平省级</t>
  </si>
  <si>
    <t>003103000160000-310300016</t>
  </si>
  <si>
    <t>黑氏（Hess）屏检查</t>
  </si>
  <si>
    <t>003103000120000-310300012</t>
  </si>
  <si>
    <t>复视检查</t>
  </si>
  <si>
    <t>003103000150000-310300015</t>
  </si>
  <si>
    <t>线状镜检查</t>
  </si>
  <si>
    <t>012403000110001</t>
  </si>
  <si>
    <t>复视检查费-儿童（加收）</t>
  </si>
  <si>
    <t>儿童加收30%</t>
  </si>
  <si>
    <t>012403000120000</t>
  </si>
  <si>
    <t>斜视度测定费</t>
  </si>
  <si>
    <t>通过各种方式测定斜视度数。</t>
  </si>
  <si>
    <t>每日计费不超过3次。</t>
  </si>
  <si>
    <t>平移取整</t>
  </si>
  <si>
    <t>加权平移取整，同质化检查项目持平省级</t>
  </si>
  <si>
    <t>003103000130000-310300013</t>
  </si>
  <si>
    <t>斜视度测定</t>
  </si>
  <si>
    <t>含九个注视方向双眼分别注视时的斜度，看远及看近</t>
  </si>
  <si>
    <t>003103000140000-310300014</t>
  </si>
  <si>
    <t>三棱镜检查</t>
  </si>
  <si>
    <t>003103000240000-310300024</t>
  </si>
  <si>
    <t>正切尺检查</t>
  </si>
  <si>
    <t>003103000720000-310300072</t>
  </si>
  <si>
    <t>马氏（Maddox）杆试验</t>
  </si>
  <si>
    <t>012403000120001</t>
  </si>
  <si>
    <t>斜视度测定费-儿童（加收）</t>
  </si>
  <si>
    <t>012403000130000</t>
  </si>
  <si>
    <t>角膜地形图检查费</t>
  </si>
  <si>
    <t>通过各种方式或设备检测角膜形态。</t>
  </si>
  <si>
    <t>所定价格涵盖设备准备、扫描、记录、分析、出具结果报告等步骤所需的人力资源和基本物质资源消耗。</t>
  </si>
  <si>
    <t>平移后取整，县级按不超过省级下调拟定</t>
  </si>
  <si>
    <t>003103000400000-310300040</t>
  </si>
  <si>
    <t>角膜地形图检查</t>
  </si>
  <si>
    <t>角膜地形图检查费-单独行角膜厚度检查</t>
  </si>
  <si>
    <t>计价单位改变，单次（一般双眼检查）改为单侧，平移取整</t>
  </si>
  <si>
    <t>003103000420000-310300042</t>
  </si>
  <si>
    <t>角膜厚度检查</t>
  </si>
  <si>
    <t>包括裂隙灯法，超声法</t>
  </si>
  <si>
    <t>012403000140000</t>
  </si>
  <si>
    <t>角膜曲率测量费</t>
  </si>
  <si>
    <t>通过各种方式或设备测量角膜曲率。</t>
  </si>
  <si>
    <t>所定价格涵盖设备准备、测量、记录、分析、出具结果报告等步骤所需的人力资源和基本物质资源消耗。</t>
  </si>
  <si>
    <t>计价单位改变，单次（一般双眼检查）改为单侧，平移取整，同质化检查项目持平省级</t>
  </si>
  <si>
    <t>003103000390000-310300039</t>
  </si>
  <si>
    <t>角膜曲率测量</t>
  </si>
  <si>
    <t>012403000150000</t>
  </si>
  <si>
    <t>角膜/结膜取样费</t>
  </si>
  <si>
    <t>通过各种方式获取角膜、结膜标本。</t>
  </si>
  <si>
    <t>所定价格涵盖取样、送检、处理用物等步骤所需的人力资源和基本物质资源消耗。</t>
  </si>
  <si>
    <t>角膜、结膜分别获取标本可分别计价。</t>
  </si>
  <si>
    <t>加权平均后取整，基层理顺比价</t>
  </si>
  <si>
    <t>003103000710000-310300071</t>
  </si>
  <si>
    <t>结膜印痕细胞检查</t>
  </si>
  <si>
    <t>003103000760000-310300076</t>
  </si>
  <si>
    <t>角膜刮片检查</t>
  </si>
  <si>
    <t>不含微生物检查</t>
  </si>
  <si>
    <t>003103000770000-310300077</t>
  </si>
  <si>
    <t>结膜囊取材检查</t>
  </si>
  <si>
    <t>012403000160000</t>
  </si>
  <si>
    <t>眼活体细胞检查费</t>
  </si>
  <si>
    <t>通过各种设备观察眼部细胞。</t>
  </si>
  <si>
    <t>同时使用共焦激光显微镜、角膜内皮镜等不同设备开展此项检查时，每日单侧只能收费一次。</t>
  </si>
  <si>
    <t>加权平均后取整，县级按不超过省级拟定，基层理顺比价</t>
  </si>
  <si>
    <t>003103000410000-310300041</t>
  </si>
  <si>
    <t>角膜内皮镜检查</t>
  </si>
  <si>
    <t>录象记录加收50%</t>
  </si>
  <si>
    <t>003103000410001-31030004101</t>
  </si>
  <si>
    <t>角膜内皮镜检查（含录象记录）</t>
  </si>
  <si>
    <t>含录象记录</t>
  </si>
  <si>
    <t>003103000750000-310300075</t>
  </si>
  <si>
    <t>眼活体组织检查</t>
  </si>
  <si>
    <t>012403000170000</t>
  </si>
  <si>
    <t>牵拉试验费</t>
  </si>
  <si>
    <t>通过牵拉角膜缘外结膜，判断眼球运动、主动肌收缩力量和复视情况。</t>
  </si>
  <si>
    <t>所定价格涵盖牵拉、观察分析、记录、分析、出具结果报告等步骤所需的人力资源和基本物质资源消耗。</t>
  </si>
  <si>
    <t>003103000180000-310300018</t>
  </si>
  <si>
    <t>牵拉试验</t>
  </si>
  <si>
    <t>含有无复视及耐受程度，被动牵拉，主动收缩</t>
  </si>
  <si>
    <t>012403000170001</t>
  </si>
  <si>
    <t>牵拉试验费-儿童（加收）</t>
  </si>
  <si>
    <t>012403000180000</t>
  </si>
  <si>
    <t>上睑下垂检查费</t>
  </si>
  <si>
    <t>通过各种方式判断上睑下垂情况。</t>
  </si>
  <si>
    <t>所定价格涵盖准备、测量、记录、分析、出具结果报告以及必要时滴药等步骤所需的人力资源和基本物质资源消耗。</t>
  </si>
  <si>
    <t>003103000330000-310300033</t>
  </si>
  <si>
    <t>上睑下垂检查</t>
  </si>
  <si>
    <t>012403000190000</t>
  </si>
  <si>
    <t>双眼视觉功能检查费</t>
  </si>
  <si>
    <t>通过人工或设备，评估聚散功能、调节功能和立体视觉。</t>
  </si>
  <si>
    <t>所定价格涵盖设备准备、调节、检查、记录、分析、出具结果报告等步骤所需的人力资源和基本物质资源消耗。</t>
  </si>
  <si>
    <t>加权平移取整</t>
  </si>
  <si>
    <t>003103000100000-310300010</t>
  </si>
  <si>
    <t>主导眼检查</t>
  </si>
  <si>
    <t>纳入价格构成</t>
  </si>
  <si>
    <t>003103000190000-310300019</t>
  </si>
  <si>
    <t>双眼视觉检查</t>
  </si>
  <si>
    <t>含双眼同时知觉、双眼同时视、双眼融合功能、立体视功能</t>
  </si>
  <si>
    <t>003103000170000-310300017</t>
  </si>
  <si>
    <t>调节/集合测定</t>
  </si>
  <si>
    <t>003103000620000-310300062</t>
  </si>
  <si>
    <t>临界融合频率检查</t>
  </si>
  <si>
    <t>012403000190001</t>
  </si>
  <si>
    <t>双眼视觉功能检查费-儿童（加收）</t>
  </si>
  <si>
    <t>012403000200000</t>
  </si>
  <si>
    <t>眼部照相费</t>
  </si>
  <si>
    <t>通过照相机对眼部外观、眼位、眼球运动、眼内结构进行照相。</t>
  </si>
  <si>
    <t>所定价格涵盖设备准备、照相、记录、出具结果报告及必要时散瞳等步骤所需的人力资源和基本物质资源消耗。</t>
  </si>
  <si>
    <t>1.睑板腺、眼前节、眼底可分别计价。2.婴幼儿指0-3周岁。</t>
  </si>
  <si>
    <t>加权平移后按不超过省级拟定，同质化检查项目持平省级</t>
  </si>
  <si>
    <t>003103000510000-310300051</t>
  </si>
  <si>
    <t>眼位照相</t>
  </si>
  <si>
    <t>003103000520000-310300052</t>
  </si>
  <si>
    <t>眼前段照相</t>
  </si>
  <si>
    <t>003103000530000-310300053</t>
  </si>
  <si>
    <t>眼底照相</t>
  </si>
  <si>
    <t>003103000310000-310300031</t>
  </si>
  <si>
    <t>青光眼视网膜神经纤维层计算机图象分析</t>
  </si>
  <si>
    <t>含计算机图相分析；不含OCT、HRT及SLO</t>
  </si>
  <si>
    <t>增加定量分析基层加收17元，县级医院加收20元，市级医院加收21元</t>
  </si>
  <si>
    <t>003103000310001-31030003101</t>
  </si>
  <si>
    <t>青光眼视网膜神经纤维层计算机图象分析（含定量分析）</t>
  </si>
  <si>
    <t>含定量分析</t>
  </si>
  <si>
    <t>003103000570000-310300057</t>
  </si>
  <si>
    <t>扫描激光眼底检查（SLO）</t>
  </si>
  <si>
    <t>003103000660000-310300066</t>
  </si>
  <si>
    <t>视网膜地形图</t>
  </si>
  <si>
    <t>003103000550000-310300055</t>
  </si>
  <si>
    <t>裂隙灯下眼底视神经立体照相</t>
  </si>
  <si>
    <t>012403000200001</t>
  </si>
  <si>
    <t>眼部照相费-婴幼儿视网膜病变检查（加收）</t>
  </si>
  <si>
    <t>新增，按主项价格执行</t>
  </si>
  <si>
    <t>012403000200100</t>
  </si>
  <si>
    <t>眼部照相费-视盘立体照相（扩展）</t>
  </si>
  <si>
    <t>按主项价格执行</t>
  </si>
  <si>
    <t>012403000200200</t>
  </si>
  <si>
    <t>眼部照相费-眼底自发荧光检查（扩展）</t>
  </si>
  <si>
    <t>012403000210000</t>
  </si>
  <si>
    <t>眼底镜检查费</t>
  </si>
  <si>
    <t>通过眼底镜观察眼底结构。</t>
  </si>
  <si>
    <t>所定价格涵盖设备准备、观察、记录、出具结果报告等步骤所需的人力资源与基本物质资源消耗。</t>
  </si>
  <si>
    <t>003103000560000-310300056</t>
  </si>
  <si>
    <t>眼底检查</t>
  </si>
  <si>
    <t>包括直接、间接眼底镜法，不含散瞳</t>
  </si>
  <si>
    <t>003103000250000-310300025</t>
  </si>
  <si>
    <t>注视性质检查</t>
  </si>
  <si>
    <t>003103000580000-310300058</t>
  </si>
  <si>
    <t>视网膜裂孔定位检查</t>
  </si>
  <si>
    <t>包括直接检眼镜观察+测算、双目间接检眼镜观察+巩膜加压法</t>
  </si>
  <si>
    <t>003103000490000-310300049</t>
  </si>
  <si>
    <t>裂隙灯下眼底检查</t>
  </si>
  <si>
    <t>包括前置镜、三面镜、视网膜镜</t>
  </si>
  <si>
    <t>012403000220000</t>
  </si>
  <si>
    <t>眼底血管造影费</t>
  </si>
  <si>
    <t>通过设备获得造影后的眼底血管图像。</t>
  </si>
  <si>
    <t>所定价格涵盖散瞳、注射、拍照、记录、出具结果报告等步骤所需的人力资源和基本物质资源消耗。</t>
  </si>
  <si>
    <t>提高</t>
  </si>
  <si>
    <t>平移后按省级上浮原则提高，理顺比价</t>
  </si>
  <si>
    <t>003103000540000-310300054</t>
  </si>
  <si>
    <t>眼底血管造影</t>
  </si>
  <si>
    <t>包括眼底荧光血管造影(FFA)、靛青绿血管造影(ICGA)</t>
  </si>
  <si>
    <t>造影剂</t>
  </si>
  <si>
    <t>012403000220100</t>
  </si>
  <si>
    <t>眼底血管造影费-脉络膜血管造影费（扩展）</t>
  </si>
  <si>
    <t>003103000610000-310300061</t>
  </si>
  <si>
    <t>视网膜动脉压测定</t>
  </si>
  <si>
    <t>012403000230000</t>
  </si>
  <si>
    <t>眼部电生理检查费</t>
  </si>
  <si>
    <t>通过电生理设备检查视网膜和视神经功能。</t>
  </si>
  <si>
    <t>所定价格涵盖清洁皮肤、放置电极、刺激、采集数据、记录、出具结果报告等步骤所需的人力资源和基本物质资源消耗。</t>
  </si>
  <si>
    <t>1.图形视网膜电流图（P-ERG）、多焦视网膜电图（mf-ERG）、闪光视网膜电流图(F-ERG)、眼电图（EOG）、诱发电位（VEP）分别计价。2.单侧检查收费每日不超过三次。</t>
  </si>
  <si>
    <t>0.1</t>
  </si>
  <si>
    <t>加权平均后取整</t>
  </si>
  <si>
    <t>003103000650000-310300065</t>
  </si>
  <si>
    <t>视网膜电流图（ERG）</t>
  </si>
  <si>
    <t>包括图形视网膜电图（P-ERG）或多焦视网膜电图（m-ERG）</t>
  </si>
  <si>
    <t>003103000650200-31030006501</t>
  </si>
  <si>
    <t>视网膜电流图（多焦视网膜电图m-ERG）</t>
  </si>
  <si>
    <t>多焦视网膜电图(m-ERG)</t>
  </si>
  <si>
    <t>003103000650100-31030006502</t>
  </si>
  <si>
    <t>视网膜电流图（图形视网膜电图P-ERG）</t>
  </si>
  <si>
    <t>图形视网膜电图(P-ERG)</t>
  </si>
  <si>
    <t>003103000670000-310300067</t>
  </si>
  <si>
    <t>眼电图（EOG）</t>
  </si>
  <si>
    <t>含运动或感觉</t>
  </si>
  <si>
    <t>003103000680000-310300068</t>
  </si>
  <si>
    <t>视诱发电位（VEP）</t>
  </si>
  <si>
    <t>含单导、图形</t>
  </si>
  <si>
    <t>多焦VEP加收100%</t>
  </si>
  <si>
    <t>003103000680000-31030006801</t>
  </si>
  <si>
    <t>视诱发电位（多焦VEP）</t>
  </si>
  <si>
    <t>含多焦VEP</t>
  </si>
  <si>
    <t>012403000240000</t>
  </si>
  <si>
    <t>眼球突出度测量费</t>
  </si>
  <si>
    <t>通过各种方式测量眼球突出度。</t>
  </si>
  <si>
    <t>所定价格涵盖设备准备、观察测量、记录、出具结果报告等步骤所需的人力资源和基本物质资源消耗。</t>
  </si>
  <si>
    <t>平移后市级按不超过省级拟定，同质化项目，持平省级，缩小价差</t>
  </si>
  <si>
    <t>003103000300000-310300030</t>
  </si>
  <si>
    <t>眼球突出度测量</t>
  </si>
  <si>
    <t>包括米尺测量法、眼球突出计测量法</t>
  </si>
  <si>
    <t>012403000250000</t>
  </si>
  <si>
    <t>眼外肌功能检查费</t>
  </si>
  <si>
    <t>通过分析眼球运动轨迹，评估眼外肌功能。</t>
  </si>
  <si>
    <t>所定价格涵盖移动光源、观察、记录、出具结果报告所需的人力资源和基本物质资源消耗。</t>
  </si>
  <si>
    <t>平移</t>
  </si>
  <si>
    <t>003103000690000-310300069</t>
  </si>
  <si>
    <t>眼外肌功能检查</t>
  </si>
  <si>
    <t>含眼球运动、歪头试验、集合与散开</t>
  </si>
  <si>
    <t>003103000700000-310300070</t>
  </si>
  <si>
    <t>眼肌力检查</t>
  </si>
  <si>
    <t>012403000250001</t>
  </si>
  <si>
    <t>眼外肌功能检查费-儿童（加收）</t>
  </si>
  <si>
    <t>012403000260000</t>
  </si>
  <si>
    <t>眼像差检查费</t>
  </si>
  <si>
    <t>应用各种检查仪器分析视觉质量。</t>
  </si>
  <si>
    <t>所定价格涵盖设备准备、检查测定、记录、分析、出具结果报告等步骤所需的人力资源和基本物质资源消耗。</t>
  </si>
  <si>
    <t>平移后市级按不超过省级拟定，同质化项目，持平省级定价</t>
  </si>
  <si>
    <t>003103000260000-310300026</t>
  </si>
  <si>
    <t>眼象差检查</t>
  </si>
  <si>
    <t>012403000270000</t>
  </si>
  <si>
    <t>眼轴测量费</t>
  </si>
  <si>
    <t>应用各种检查仪器测定眼轴。</t>
  </si>
  <si>
    <t>所定价格涵盖消毒、设备准备、测量、重复多次、记录、分析、出具结果报告等步骤所需的人力资源和基本物质资源消耗。</t>
  </si>
  <si>
    <t>新增</t>
  </si>
  <si>
    <t>新增项目，同质化高的项目缩小比价</t>
  </si>
  <si>
    <t>012403000280000</t>
  </si>
  <si>
    <t>眼震电图费</t>
  </si>
  <si>
    <t>通过各种方式评估眼球运动功能和平衡机制。</t>
  </si>
  <si>
    <t>所定价格涵盖放置电极、检查、记录、分析、出具结果报告等步骤所需的人力资源和基本物质资源消耗。</t>
  </si>
  <si>
    <t>003104010210000-310401021</t>
  </si>
  <si>
    <t>眼震电图</t>
  </si>
  <si>
    <t>包括温度试验和自发眼震</t>
  </si>
  <si>
    <t>012403000290000</t>
  </si>
  <si>
    <t>代偿头位测定费</t>
  </si>
  <si>
    <t>通过各种方式检查头部偏斜情况。</t>
  </si>
  <si>
    <t>所定价格涵盖摆位、设备准备、调整头位、记录、分析、出具结果报告等步骤所需的人力资源和基本物质资源消耗。</t>
  </si>
  <si>
    <t>003103000110000-310300011</t>
  </si>
  <si>
    <t>代偿头位测定</t>
  </si>
  <si>
    <t>含使用头位检测仪</t>
  </si>
  <si>
    <t>012403000290001</t>
  </si>
  <si>
    <t>代偿头位测定费-儿童（加收）</t>
  </si>
  <si>
    <t>012403000300000</t>
  </si>
  <si>
    <t>房角镜检查费</t>
  </si>
  <si>
    <t>利用房角镜进行各类检查。</t>
  </si>
  <si>
    <t>所定价格涵盖摆位、设备准备、检查、记录、分析、出具结果报告等步骤所需的人力资源和基本物质资源消耗。</t>
  </si>
  <si>
    <t>003103000500000-310300050</t>
  </si>
  <si>
    <t>裂隙灯下房角镜检查</t>
  </si>
  <si>
    <t>012403000310000</t>
  </si>
  <si>
    <t>裂隙灯检查费</t>
  </si>
  <si>
    <t>通过应用裂隙灯显微镜进行各类检查。</t>
  </si>
  <si>
    <t>所定价格涵盖摆位、设备准备、测试、记录、分析、出具结果报告等步骤所需的人力资源和基本物质资源消耗。</t>
  </si>
  <si>
    <t>003103000480000-310300048</t>
  </si>
  <si>
    <t>裂隙灯检查</t>
  </si>
  <si>
    <t>003103000460000-310300046</t>
  </si>
  <si>
    <t>前房深度测量</t>
  </si>
  <si>
    <t>包括裂隙灯法(测量周边前房及轴部前房)，前房深度测量仪法</t>
  </si>
  <si>
    <t>012403000320000</t>
  </si>
  <si>
    <t>眼部超声生物显微镜检查费</t>
  </si>
  <si>
    <t>利用超声生物显微镜（UBM）检查眼内结构。</t>
  </si>
  <si>
    <t>所定价格涵盖设备准备、探头检查、图像采集存储、记录、分析、出具结果报告等步骤所需的人力资源和基本物质资源消耗。</t>
  </si>
  <si>
    <t>003103000630000-310300063</t>
  </si>
  <si>
    <t>超声生物显微镜检查（UBM）</t>
  </si>
  <si>
    <t>012403000330000</t>
  </si>
  <si>
    <t>眼部相干光断层扫描费</t>
  </si>
  <si>
    <t>通过相干光断层扫描设备对眼部进行扫描，辅助进行眼部疾病的鉴别和诊断。</t>
  </si>
  <si>
    <t>眼底、眼前节、眼底血管可分别计价。</t>
  </si>
  <si>
    <t>眼底可独立计价，则原项目可按立项后项目*2计算，原项目拆分平移
加权平移后按不超过省级下调拟定，同质化检查项目持平省级</t>
  </si>
  <si>
    <t>003103000640000-310300064</t>
  </si>
  <si>
    <t>光学相干断层成相（OCT）</t>
  </si>
  <si>
    <t>含测眼球后极组织厚度及断面相</t>
  </si>
  <si>
    <t>003103000590000-310300059</t>
  </si>
  <si>
    <t>海德堡视网膜厚度检查（HRT）</t>
  </si>
  <si>
    <t>013103000010000</t>
  </si>
  <si>
    <t>注射费（结膜下）</t>
  </si>
  <si>
    <t>通过对结膜下注射药物，达到治疗目的。</t>
  </si>
  <si>
    <t>所定价格涵盖核对信息、定位、消毒、穿刺、注射、拔针、按压、遮盖、观察用药反应、处理用物等步骤所需的人力资源和基本物质资源消耗。</t>
  </si>
  <si>
    <t>不与“眼内穿刺费”同时收取。</t>
  </si>
  <si>
    <t>003103000940000-310300094</t>
  </si>
  <si>
    <t>球结膜下注射</t>
  </si>
  <si>
    <t>013103000010001</t>
  </si>
  <si>
    <t>注射费（结膜下）-儿童（加收）</t>
  </si>
  <si>
    <t>013103000020000</t>
  </si>
  <si>
    <t>注射费（球后/球旁）</t>
  </si>
  <si>
    <t>通过对球后、球旁注射药物，达到治疗目的。</t>
  </si>
  <si>
    <t>003103000950000-310300095</t>
  </si>
  <si>
    <t>球后注射</t>
  </si>
  <si>
    <t>包括球周半球后，球旁</t>
  </si>
  <si>
    <t>003103000960000-310300096</t>
  </si>
  <si>
    <t>眶上神经封闭</t>
  </si>
  <si>
    <t>013103000020001</t>
  </si>
  <si>
    <t>注射费（球后/球旁）-儿童（加收）</t>
  </si>
  <si>
    <t>013103000030000</t>
  </si>
  <si>
    <t>睑板腺治疗费</t>
  </si>
  <si>
    <t>通过按摩睑板腺，缓解睑板腺功能障碍。</t>
  </si>
  <si>
    <t>所定价格涵盖表面麻醉、局部按摩、清洁等步骤所需的人力资源与基本物质资源消耗。</t>
  </si>
  <si>
    <t>单睑</t>
  </si>
  <si>
    <t>003103000870000-310300087</t>
  </si>
  <si>
    <t>睑板腺按摩</t>
  </si>
  <si>
    <t>013103000040000</t>
  </si>
  <si>
    <t>结膜磨擦挤压费</t>
  </si>
  <si>
    <t>通过摩擦挤压结膜，治疗结膜炎。</t>
  </si>
  <si>
    <t>所定价格涵盖表面麻醉、开睑、摩擦挤压等步骤所需的人力资源和基本物质资源消耗。</t>
  </si>
  <si>
    <t>003103000920000-310300092</t>
  </si>
  <si>
    <t>沙眼磨擦压挤术</t>
  </si>
  <si>
    <t>013103000050000</t>
  </si>
  <si>
    <t>泪道冲洗费</t>
  </si>
  <si>
    <t>通过冲洗泪道进行疏通。</t>
  </si>
  <si>
    <t>所定价格涵盖摆位、消毒、开睑、插入泪小点、冲洗、记录结果等步骤所需的人力资源和基本物质资源消耗。</t>
  </si>
  <si>
    <t>理顺，提高</t>
  </si>
  <si>
    <t>平移后按省级定价原则，根据项目间比价关系拟定（技术难度、风险程度与“注射费（结膜下）”相同）</t>
  </si>
  <si>
    <t>003103000360000-310300036</t>
  </si>
  <si>
    <t>泪道冲洗</t>
  </si>
  <si>
    <t>003103001050000-310300105</t>
  </si>
  <si>
    <t>泪小点扩张</t>
  </si>
  <si>
    <t>013103000050001</t>
  </si>
  <si>
    <t>泪道冲洗费-儿童（加收）</t>
  </si>
  <si>
    <t>013103000050011</t>
  </si>
  <si>
    <t>泪道冲洗费-泪管扩张（加收）</t>
  </si>
  <si>
    <t>003103001060000-310300106</t>
  </si>
  <si>
    <t>泪道探通术</t>
  </si>
  <si>
    <t>激光加收50%</t>
  </si>
  <si>
    <t>003103001060001-31030010601</t>
  </si>
  <si>
    <t>泪道探通术（激光）</t>
  </si>
  <si>
    <t>激光</t>
  </si>
  <si>
    <t>013103000060000</t>
  </si>
  <si>
    <t>结膜囊冲洗费</t>
  </si>
  <si>
    <t>通过冲洗结膜囊进行清洁。</t>
  </si>
  <si>
    <t>所定价格涵盖开睑、冲洗等步骤所需的人力资源和基本物质资源消耗。</t>
  </si>
  <si>
    <t>003103000880000-310300088</t>
  </si>
  <si>
    <t>冲洗结膜囊</t>
  </si>
  <si>
    <t>003103000890000-310300089</t>
  </si>
  <si>
    <t>睑结膜伪膜去除冲洗</t>
  </si>
  <si>
    <t>013103000060001</t>
  </si>
  <si>
    <t>结膜囊冲洗费-儿童（加收）</t>
  </si>
  <si>
    <t>013103000070000</t>
  </si>
  <si>
    <t>角膜/结膜异物取出费</t>
  </si>
  <si>
    <t>通过各种方式剔除或拨除角膜异物、结膜结石等异物。</t>
  </si>
  <si>
    <t>所定价格涵盖消毒、剔除或拨除、涂药等步骤所需的人力资源和基本物质资源消耗。</t>
  </si>
  <si>
    <t>单侧角膜异物取出按一个计价单位收取。</t>
  </si>
  <si>
    <t>平移后按省级定价原则，根据项目间比价关系拟定（技术难度、风险程度为“结膜囊冲洗费”2.15倍）</t>
  </si>
  <si>
    <t>003103000910000-310300091</t>
  </si>
  <si>
    <t>取结膜结石</t>
  </si>
  <si>
    <t>013103000070001</t>
  </si>
  <si>
    <t>角膜/结膜异物取出费-儿童（加收）</t>
  </si>
  <si>
    <t>013103000070100</t>
  </si>
  <si>
    <t>角膜/结膜异物取出费-倒睫拔除费（扩展）</t>
  </si>
  <si>
    <t>扩展项按主项定价</t>
  </si>
  <si>
    <t>013103000080000</t>
  </si>
  <si>
    <t>电解倒睫费</t>
  </si>
  <si>
    <t>通过电解方式拔除倒睫。</t>
  </si>
  <si>
    <t>所定价格涵盖消毒、放置电极、拔除等步骤所需的人力资源和基本物质资源消耗。</t>
  </si>
  <si>
    <t>003103000850000-310300085</t>
  </si>
  <si>
    <t>电解倒睫</t>
  </si>
  <si>
    <t>包括拔倒睫</t>
  </si>
  <si>
    <t>013103000090000</t>
  </si>
  <si>
    <t>眼内穿刺费</t>
  </si>
  <si>
    <t>通过穿刺眼内进行抽吸、引流、冲洗或注射等。</t>
  </si>
  <si>
    <t>所定价格涵盖消毒、穿刺、完成相应诊疗操作等步骤所需的人力资源和基本物质资源消耗。</t>
  </si>
  <si>
    <t>1.眼内包括但不限于前房、玻璃体等部位。前房、玻璃体不可分别计价。2.不与“注射费（结膜下）”、“注射费（球后/球旁）”同时收取。</t>
  </si>
  <si>
    <t>加权平移后，理顺各级比价关系</t>
  </si>
  <si>
    <t>003304090130000-330409013</t>
  </si>
  <si>
    <t>眶内血肿穿刺术</t>
  </si>
  <si>
    <t>003103001000000-310300100</t>
  </si>
  <si>
    <t>前房穿刺术</t>
  </si>
  <si>
    <t>包括前房冲洗术</t>
  </si>
  <si>
    <t>六岁及以下儿童在原价基础上加收30%</t>
  </si>
  <si>
    <t>003103001000100-31030010001</t>
  </si>
  <si>
    <t>前房穿刺术（前房冲洗术）</t>
  </si>
  <si>
    <t>前房冲洗术</t>
  </si>
  <si>
    <t>003103001010000-310300101</t>
  </si>
  <si>
    <t>前房注气术</t>
  </si>
  <si>
    <t>包括脉络膜上腔放液术</t>
  </si>
  <si>
    <t>003103001010100-31030010101</t>
  </si>
  <si>
    <t>前房注气术（脉络膜上腔放液术）</t>
  </si>
  <si>
    <t>脉络膜上腔放液术</t>
  </si>
  <si>
    <t>003304070010000-330407001</t>
  </si>
  <si>
    <t>玻璃体穿刺抽液术</t>
  </si>
  <si>
    <t>含玻璃体注气、注液、注药</t>
  </si>
  <si>
    <t>013103000090001</t>
  </si>
  <si>
    <t>眼内穿刺费-儿童（加收）</t>
  </si>
  <si>
    <t>003304090130000-33040901301</t>
  </si>
  <si>
    <t>小儿眶内血肿穿刺术</t>
  </si>
  <si>
    <t>003103001000000-31030010002</t>
  </si>
  <si>
    <t>小儿前房穿刺术</t>
  </si>
  <si>
    <t>003304070010000-33040700101</t>
  </si>
  <si>
    <t>小儿玻璃体穿刺抽液术</t>
  </si>
  <si>
    <t>013103000100000</t>
  </si>
  <si>
    <t>眼内能量精密治疗费</t>
  </si>
  <si>
    <t>通过各种能量设备消融或治疗眼球内病变。</t>
  </si>
  <si>
    <t>所定价格涵盖散瞳、设备准备、调整参数、能量治疗等步骤所需的人力资源和基本物质资源消耗。</t>
  </si>
  <si>
    <t>1.低功率、温热激光治疗等按照物理治疗项目收费；2.每日单侧仅收费一次；3.眼科光动力疗法，激光行晶体囊截开术、晶状体囊膜切开按此项收取；4.眼部冷冻治疗按15%收取。</t>
  </si>
  <si>
    <t>003103000810000-310300081</t>
  </si>
  <si>
    <t>激光治疗眼前节病</t>
  </si>
  <si>
    <t>包括治疗青光眼、晶状体囊膜切开、虹膜囊肿切除</t>
  </si>
  <si>
    <t>多波长激光加收50%</t>
  </si>
  <si>
    <t>003103000810001-31030008104</t>
  </si>
  <si>
    <t>激光治疗眼前节病（多波长激光加收）</t>
  </si>
  <si>
    <t>多波长激光加收</t>
  </si>
  <si>
    <t>003103000810100-31030008101</t>
  </si>
  <si>
    <t>激光治疗眼前节病（治疗青光眼）</t>
  </si>
  <si>
    <t>治疗青光眼</t>
  </si>
  <si>
    <t>003103000810200-31030008102</t>
  </si>
  <si>
    <t>激光治疗眼前节病（晶状体囊膜切开）</t>
  </si>
  <si>
    <t>晶状体囊膜切开</t>
  </si>
  <si>
    <t>003103000810300-31030008103</t>
  </si>
  <si>
    <t>激光治疗眼前节病（虹膜囊肿切除）</t>
  </si>
  <si>
    <t>虹膜囊肿切除</t>
  </si>
  <si>
    <t>003103000800000-310300080</t>
  </si>
  <si>
    <t>视网膜激光光凝术</t>
  </si>
  <si>
    <t>003103000800000-31030008001</t>
  </si>
  <si>
    <t>视网膜激光光凝术（多波长激光）</t>
  </si>
  <si>
    <t>多波长激光</t>
  </si>
  <si>
    <t>003304050100000-330405010</t>
  </si>
  <si>
    <t>睫状体特殊治疗</t>
  </si>
  <si>
    <t>指冷凝、透热法</t>
  </si>
  <si>
    <t>光凝法加收20%</t>
  </si>
  <si>
    <t>003304050100000-33040501001</t>
  </si>
  <si>
    <t>睫状体特殊治疗（光凝法）</t>
  </si>
  <si>
    <t>光凝法</t>
  </si>
  <si>
    <t>003304050100000-33040501002</t>
  </si>
  <si>
    <t>小儿睫状体特殊治疗</t>
  </si>
  <si>
    <t>003304050100000-33040501003</t>
  </si>
  <si>
    <t>小儿睫状体特殊治疗（光凝法）</t>
  </si>
  <si>
    <t>003304070130000-330407013</t>
  </si>
  <si>
    <t>内眼病冷凝术</t>
  </si>
  <si>
    <t>003304070130000-33040701301</t>
  </si>
  <si>
    <t>小儿内眼病冷凝术</t>
  </si>
  <si>
    <t>003103000900001-31030009001</t>
  </si>
  <si>
    <t>晶体囊截开术（激光）</t>
  </si>
  <si>
    <t>003103000860000-310300086</t>
  </si>
  <si>
    <t>光动力疗法（PDT）</t>
  </si>
  <si>
    <t>含光敏剂配置，微泵注入药物，激光治疗</t>
  </si>
  <si>
    <t>光敏剂</t>
  </si>
  <si>
    <t>眼内能量精密治疗费-眼部冷冻治疗</t>
  </si>
  <si>
    <t>包括治疗炎性肉芽肿、血管瘤、青光眼、角膜溃疡。</t>
  </si>
  <si>
    <t>根据省级定价原则，眼部冷冻治疗按主项15%收取</t>
  </si>
  <si>
    <t>003103001040000-310300104</t>
  </si>
  <si>
    <t>眼部冷冻治疗</t>
  </si>
  <si>
    <t>包括治疗炎性肉芽肿、血管瘤、青光眼、角膜溃疡</t>
  </si>
  <si>
    <t>013103000110000</t>
  </si>
  <si>
    <t>视功能训练费</t>
  </si>
  <si>
    <t>通过各种方式对弱视等视功能障碍进行训练。</t>
  </si>
  <si>
    <t>所定价格涵盖摆位、设备准备、实施训练等所需的人力资源与基本物质资源消耗。</t>
  </si>
  <si>
    <t>1.“次”按半小时为基础计价，每增加10分钟加收30%；2.每日限计费1小时。</t>
  </si>
  <si>
    <t>非医保</t>
  </si>
  <si>
    <t>省局根据区域间比价关系提高价格，我市根据比价关系提高理顺</t>
  </si>
  <si>
    <t>003103000980000-310300098</t>
  </si>
  <si>
    <t>协调器治疗</t>
  </si>
  <si>
    <t>003103001070000-310300107</t>
  </si>
  <si>
    <t>双眼单视功能训练</t>
  </si>
  <si>
    <t>含双眼同时视、辐辏外展、融合</t>
  </si>
  <si>
    <t>003103001080000-310300108</t>
  </si>
  <si>
    <t>弱视训练</t>
  </si>
  <si>
    <t>003103000990000-310300099</t>
  </si>
  <si>
    <t>后象治疗</t>
  </si>
  <si>
    <t>视功能训练费（每增加10分钟）加收30%</t>
  </si>
  <si>
    <t>加收30%</t>
  </si>
  <si>
    <t>013103000120000</t>
  </si>
  <si>
    <t>义眼片安装费</t>
  </si>
  <si>
    <t>将义眼片、义眼放置于患者眼窝。</t>
  </si>
  <si>
    <t>所定价格涵盖开睑、安装、调改、宣教等步骤所需的人力资源和基本物质资源消耗。</t>
  </si>
  <si>
    <t>无开展量，按比价拟定</t>
  </si>
  <si>
    <t>003304090100000-330409010</t>
  </si>
  <si>
    <t>义眼安装</t>
  </si>
  <si>
    <t>003304090100000-33040901001</t>
  </si>
  <si>
    <t>小儿义眼安装</t>
  </si>
  <si>
    <t>013103000130000</t>
  </si>
  <si>
    <t>人工泪管置管费</t>
  </si>
  <si>
    <t>通过放置人工泪管，疏通泪道。</t>
  </si>
  <si>
    <t>所定价格涵盖消毒、扩张、置管等步骤所需的人力资源和基本物质资源消耗。</t>
  </si>
  <si>
    <t>0.2</t>
  </si>
  <si>
    <t>新增项目，暂按省级90%拟定</t>
  </si>
  <si>
    <t>013103000130001</t>
  </si>
  <si>
    <t>人工泪管置管费-儿童（加收）</t>
  </si>
  <si>
    <t>013103000140000</t>
  </si>
  <si>
    <t>人工泪管取出费</t>
  </si>
  <si>
    <t>通过引导取出放置的人工泪管。</t>
  </si>
  <si>
    <t>所定价格涵盖消毒、扩张、取出等步骤所需的人力资源和基本物质资源消耗。</t>
  </si>
  <si>
    <t>013103000150000</t>
  </si>
  <si>
    <t>泪小点封闭费</t>
  </si>
  <si>
    <t>通过各种方式封闭泪小点或泪小管。</t>
  </si>
  <si>
    <t>所定价格涵盖消毒、扩张、封闭等步骤所需的人力资源和基本物质资源消耗。</t>
  </si>
  <si>
    <t>平移后按不超过省局调整</t>
  </si>
  <si>
    <t>003304020100000-330402010</t>
  </si>
  <si>
    <t>泪小管填塞术</t>
  </si>
  <si>
    <t>包括封闭术</t>
  </si>
  <si>
    <t>填塞材料</t>
  </si>
  <si>
    <t>单眼</t>
  </si>
  <si>
    <t>003304020100000-33040201002</t>
  </si>
  <si>
    <t>小儿泪小管填塞术</t>
  </si>
  <si>
    <t>003304020100100-33040201001</t>
  </si>
  <si>
    <t>泪小管填塞术（封闭术）</t>
  </si>
  <si>
    <t>封闭术</t>
  </si>
  <si>
    <t>013103000160000</t>
  </si>
  <si>
    <t>角膜/结膜拆线费</t>
  </si>
  <si>
    <t>通过各种方式拆除角膜/结膜缝线。</t>
  </si>
  <si>
    <t>所定价格涵盖消毒、拆线等步骤所需的人力资源和基本物质资源消耗。</t>
  </si>
  <si>
    <t>眼睑拆线按此项目收费。</t>
  </si>
  <si>
    <t>003304040040000-330404004</t>
  </si>
  <si>
    <t>角膜拆线</t>
  </si>
  <si>
    <t>指显微镜下</t>
  </si>
  <si>
    <t>013103000160001</t>
  </si>
  <si>
    <t>角膜/结膜拆线费-儿童（加收）</t>
  </si>
  <si>
    <t>003304040040000-33040400401</t>
  </si>
  <si>
    <t>小儿角膜拆线</t>
  </si>
  <si>
    <t>3304</t>
  </si>
  <si>
    <t>4.眼部（手术类项目）</t>
  </si>
  <si>
    <t>013304000010000</t>
  </si>
  <si>
    <t>晶状体摘除费</t>
  </si>
  <si>
    <t>通过超声乳化、娩核、晶状体切除或粉碎等各种方式完成病变晶状体摘除。</t>
  </si>
  <si>
    <t>所定价格涵盖手术计划、术区准备、切开、晶状体取出、缝合及必要时染色等步骤所需的人力资源和基本物质资源消耗。</t>
  </si>
  <si>
    <t>晶体囊截开术三甲医院按330元，三甲以下医院按297元收取。</t>
  </si>
  <si>
    <t>省局根据区域间比价关系提高价格；
加权平移后，结合医院日常反馈意见，提高理顺比价关系</t>
  </si>
  <si>
    <t>003304060010000-330406001</t>
  </si>
  <si>
    <t>白内障截囊吸取术</t>
  </si>
  <si>
    <t>003304060020000-330406002</t>
  </si>
  <si>
    <t>白内障囊膜切除术</t>
  </si>
  <si>
    <t>003304060030000-330406003</t>
  </si>
  <si>
    <t>白内障囊内摘除术</t>
  </si>
  <si>
    <t>003304060040000-330406004</t>
  </si>
  <si>
    <t>白内障囊外摘除术</t>
  </si>
  <si>
    <t>003304060050000-330406005</t>
  </si>
  <si>
    <t>白内障超声乳化摘除术</t>
  </si>
  <si>
    <t>包括飞秒激光白内障手术</t>
  </si>
  <si>
    <t>一次性乳化专用刀、一次性超乳包</t>
  </si>
  <si>
    <t>003304060050000-33040600502</t>
  </si>
  <si>
    <t>飞秒激光白内障手术</t>
  </si>
  <si>
    <t>003103000820000-310300082</t>
  </si>
  <si>
    <t>铒激光眼科手术</t>
  </si>
  <si>
    <t>包括治疗白内障、晶体囊膜切开、晶体摘除</t>
  </si>
  <si>
    <t>013304000010001</t>
  </si>
  <si>
    <t>晶状体摘除费-儿童（加收）</t>
  </si>
  <si>
    <t>003304060010000-33040600101</t>
  </si>
  <si>
    <t>小儿白内障截囊吸取术</t>
  </si>
  <si>
    <t>003304060020000-33040600201</t>
  </si>
  <si>
    <t>小儿白内障囊膜切除术</t>
  </si>
  <si>
    <t>003304060030000-33040600301</t>
  </si>
  <si>
    <t>小儿白内障囊内摘除术</t>
  </si>
  <si>
    <t>003304060040000-33040600401</t>
  </si>
  <si>
    <t>小儿白内障囊外摘除术</t>
  </si>
  <si>
    <t>003304060050000-33040600501</t>
  </si>
  <si>
    <t>小儿白内障超声乳化摘除术</t>
  </si>
  <si>
    <t>003304060050000-33040600503</t>
  </si>
  <si>
    <t>小儿飞秒激光白内障手术</t>
  </si>
  <si>
    <t>晶状体摘除费-晶体囊截开术</t>
  </si>
  <si>
    <t>003103000900000-310300090</t>
  </si>
  <si>
    <t>晶体囊截开术</t>
  </si>
  <si>
    <t>013304000020000</t>
  </si>
  <si>
    <t>人工晶状体取出费</t>
  </si>
  <si>
    <t>通过手术方式取出人工晶状体。</t>
  </si>
  <si>
    <t>003304060120000-330406012</t>
  </si>
  <si>
    <t>人工晶体取出术</t>
  </si>
  <si>
    <t>013304000020001</t>
  </si>
  <si>
    <t>人工晶状体取出费-儿童（加收）</t>
  </si>
  <si>
    <t>003304060120000-33040601201</t>
  </si>
  <si>
    <t>小儿人工晶体取出术</t>
  </si>
  <si>
    <t>013304000030000</t>
  </si>
  <si>
    <t>人工晶状体植入费（常规）</t>
  </si>
  <si>
    <t>通过手术方式完成人工晶状体植入。</t>
  </si>
  <si>
    <t>所定价格涵盖手术计划、术区准备、切口制作、注入粘弹剂、植入、缝合等步骤所需的人力资源和基本物质资源消耗。</t>
  </si>
  <si>
    <t>同时行晶状体摘除术的可按晶状体摘除费、人工晶状体植入费（常规）分别收取。</t>
  </si>
  <si>
    <t>平移后按省级定价原则，根据项目间比价关系拟定（技术难度、风险程度为“人工晶状体取出费”1.2倍）</t>
  </si>
  <si>
    <t>003304060090000-330406009</t>
  </si>
  <si>
    <t>二期人工晶体植入术</t>
  </si>
  <si>
    <t>013304000030001</t>
  </si>
  <si>
    <t>人工晶状体植入费（常规）-儿童（加收）</t>
  </si>
  <si>
    <t>003304060090000-33040600901</t>
  </si>
  <si>
    <t>小儿二期人工晶体植入术</t>
  </si>
  <si>
    <t>013304000040000</t>
  </si>
  <si>
    <t>人工晶状体植入费（复杂）</t>
  </si>
  <si>
    <t>通过手术方式完成复杂情况下的人工晶状体植入。</t>
  </si>
  <si>
    <t>所定价格涵盖手术计划、术区准备、切口制作、注入粘弹剂、植入、缝合、必要时固定等步骤所需的人力资源和基本物质资源消耗。</t>
  </si>
  <si>
    <r>
      <rPr>
        <sz val="10"/>
        <rFont val="仿宋"/>
        <charset val="134"/>
      </rPr>
      <t>复杂情况指</t>
    </r>
    <r>
      <rPr>
        <sz val="10"/>
        <color rgb="FFFF0000"/>
        <rFont val="仿宋"/>
        <charset val="134"/>
      </rPr>
      <t>植入有晶状体眼、人工晶体悬吊、张力环置入等</t>
    </r>
    <r>
      <rPr>
        <sz val="10"/>
        <rFont val="仿宋"/>
        <charset val="134"/>
      </rPr>
      <t>情况。同时行晶状体摘除术的可按晶状体摘除费、人工晶状体植入费（复杂）分别收取。</t>
    </r>
  </si>
  <si>
    <t>按省级定价原则，根据项目间比价关系拟定（技术难度、风险程度为“人工晶状体植入费（常规）”1.5倍）</t>
  </si>
  <si>
    <t>003304060210000-330406021</t>
  </si>
  <si>
    <t>人工晶体悬吊术</t>
  </si>
  <si>
    <t>003304060110000-330406011</t>
  </si>
  <si>
    <t>人工晶体睫状沟固定术</t>
  </si>
  <si>
    <t>013304000040001</t>
  </si>
  <si>
    <t>人工晶状体植入费（复杂）-儿童（加收）</t>
  </si>
  <si>
    <t>003304060200000-33040602001</t>
  </si>
  <si>
    <t>小儿晶体张力环置入术</t>
  </si>
  <si>
    <t>003304060210000-33040602101</t>
  </si>
  <si>
    <t>小儿人工晶体悬吊术</t>
  </si>
  <si>
    <t>003304060110000-33040601101</t>
  </si>
  <si>
    <t>小儿人工晶体睫状沟固定术</t>
  </si>
  <si>
    <t>013304000050000</t>
  </si>
  <si>
    <t>人工晶状体调位费（常规）</t>
  </si>
  <si>
    <t>通过手术方式调整已植入的人工晶状体位置。</t>
  </si>
  <si>
    <t>所定价格涵盖手术计划、术区准备、切开、穿刺、注入粘弹剂、调整、必要时缝合等步骤所需的人力资源和基本物质资源消耗。</t>
  </si>
  <si>
    <t>加权平移后按不超过省级拟定</t>
  </si>
  <si>
    <t>003304060070000-330406007</t>
  </si>
  <si>
    <t>人工晶体复位术</t>
  </si>
  <si>
    <t>003304060190000-330406019</t>
  </si>
  <si>
    <t>非正常晶体手术</t>
  </si>
  <si>
    <t>包括晶体半脱位、晶体切除、瞳孔广泛粘连强直或闭锁、抗青光眼术后</t>
  </si>
  <si>
    <t>玻璃体切割头、一次性超乳包、一次性瞳孔扩张器、一次性囊袋张气环</t>
  </si>
  <si>
    <t>013304000050001</t>
  </si>
  <si>
    <t>人工晶状体调位费（常规）-儿童（加收）</t>
  </si>
  <si>
    <t>003304060070000-33040600701</t>
  </si>
  <si>
    <t>小儿人工晶体复位术</t>
  </si>
  <si>
    <t>003304060190000-33040601901</t>
  </si>
  <si>
    <t>小儿非正常晶体手术</t>
  </si>
  <si>
    <t>013304000060000</t>
  </si>
  <si>
    <t>人工晶状体调位费（复杂）</t>
  </si>
  <si>
    <t>通过手术方式从玻璃体腔取出人工晶状体并完成复位。</t>
  </si>
  <si>
    <t>不与“玻璃体切除费”同时收取。</t>
  </si>
  <si>
    <t>按省级定价原则，根据项目间比价关系拟定（技术难度、风险程度为常规手术的2.3倍）</t>
  </si>
  <si>
    <t>013304000060001</t>
  </si>
  <si>
    <t>人工晶状体调位费（复杂）-儿童（加收）</t>
  </si>
  <si>
    <t>013304000070000</t>
  </si>
  <si>
    <t>玻璃体切除费</t>
  </si>
  <si>
    <t>通过各种手术方式切除玻璃体。</t>
  </si>
  <si>
    <t>所定价格涵盖手术计划、术区准备、切开、穿刺、灌注、切除、必要时缝合等步骤所需的人力资源和基本物质资源消耗。</t>
  </si>
  <si>
    <t>003304070020000-330407002</t>
  </si>
  <si>
    <t>玻璃体切除术</t>
  </si>
  <si>
    <t>玻璃体切割头、膨胀气体、硅油、重水</t>
  </si>
  <si>
    <t>013304000070001</t>
  </si>
  <si>
    <t>玻璃体切除费-儿童（加收）</t>
  </si>
  <si>
    <t>003304070020000-33040700201</t>
  </si>
  <si>
    <t>小儿玻璃体切除术</t>
  </si>
  <si>
    <t>013304000080000</t>
  </si>
  <si>
    <t>玻璃体腔填充费</t>
  </si>
  <si>
    <t>通过在玻璃体腔填充替代物，支撑玻璃体腔。</t>
  </si>
  <si>
    <t>所定价格涵盖气液交换、填充、缝合等步骤所需的人力资源和基本物质资源消耗。</t>
  </si>
  <si>
    <t>玻璃体替代物包括但不限于空气、膨胀气体、硅油、重水、人工玻璃体等。</t>
  </si>
  <si>
    <t>013304000080001</t>
  </si>
  <si>
    <t>玻璃体腔填充费-儿童（加收）</t>
  </si>
  <si>
    <t>013304000090000</t>
  </si>
  <si>
    <t>玻璃体腔填充物取出费</t>
  </si>
  <si>
    <t>从玻璃体腔中取出已置入的玻璃体替代物。</t>
  </si>
  <si>
    <t>所定价格涵盖气液交换、取出、缝合等步骤所需的人力资源和基本物质资源消耗。</t>
  </si>
  <si>
    <t>003304070140000-330407014</t>
  </si>
  <si>
    <t>硅油取出术</t>
  </si>
  <si>
    <t>013304000090001</t>
  </si>
  <si>
    <t>玻璃体腔填充物取出费-儿童（加收）</t>
  </si>
  <si>
    <t>003304070140000-33040701401</t>
  </si>
  <si>
    <t>小儿硅油取出术</t>
  </si>
  <si>
    <t>013304000100000</t>
  </si>
  <si>
    <t>小梁切除费（常规）</t>
  </si>
  <si>
    <t>通过去除小梁网或深层角巩膜组织，建立新的房水引流通道。</t>
  </si>
  <si>
    <t>所定价格涵盖手术计划、术区准备、切开、分离、穿刺、注入、切除、固定等步骤所需的人力资源和基本物质资源消耗。</t>
  </si>
  <si>
    <t>不与“虹膜切除费”同时收取。</t>
  </si>
  <si>
    <t>加权平移后，县级调整理顺</t>
  </si>
  <si>
    <t>003304050130000-330405013</t>
  </si>
  <si>
    <t>青光眼滤过术</t>
  </si>
  <si>
    <t>包括小梁切除、虹膜嵌顿、巩膜灼滤</t>
  </si>
  <si>
    <t>003304050160000-330405016</t>
  </si>
  <si>
    <t>小梁切开联合小梁切除术</t>
  </si>
  <si>
    <t>013304000100001</t>
  </si>
  <si>
    <t>小梁切除费（常规）-儿童（加收）</t>
  </si>
  <si>
    <t>003304050130000-33040501301</t>
  </si>
  <si>
    <t>小儿青光眼滤过术</t>
  </si>
  <si>
    <t>003304050160000-33040501601</t>
  </si>
  <si>
    <t>小儿小梁切开联合小梁切除术</t>
  </si>
  <si>
    <t>013304000110000</t>
  </si>
  <si>
    <t>小梁切除费（复杂）</t>
  </si>
  <si>
    <t>通过去除复杂情况下的小梁网或深层角巩膜组织，建立新的房水引流通道。</t>
  </si>
  <si>
    <t>1.复杂情况指术中使用抗代谢药物的难治性青光眼。2.不与“虹膜切除费”同时收取。</t>
  </si>
  <si>
    <t>按省级定价原则，根据项目间比价关系拟定（技术难度、风险程度为常规手术的1.5倍）</t>
  </si>
  <si>
    <t>013304000110001</t>
  </si>
  <si>
    <t>小梁切除费（复杂）-儿童（加收）</t>
  </si>
  <si>
    <t>013304000120000</t>
  </si>
  <si>
    <t>小梁切开费</t>
  </si>
  <si>
    <t>通过切开房角或小梁网，建立新的房水引流通道。</t>
  </si>
  <si>
    <t>所定价格涵盖手术计划、术区准备、切开、分离、穿刺、注入、固定等步骤所需的人力资源和基本物质资源消耗。</t>
  </si>
  <si>
    <t>003304050150000-330405015</t>
  </si>
  <si>
    <t>小梁切开术</t>
  </si>
  <si>
    <t>一次性刀</t>
  </si>
  <si>
    <t>013304000120001</t>
  </si>
  <si>
    <t>小梁切开费-儿童（加收）</t>
  </si>
  <si>
    <t>003304050150000-33040501501</t>
  </si>
  <si>
    <t>小儿小梁切开术</t>
  </si>
  <si>
    <t>013304000130000</t>
  </si>
  <si>
    <t>非穿透小梁手术费</t>
  </si>
  <si>
    <t>通过不穿透前房手术，形成巩膜池，建立巩膜内新的房水引流通道。</t>
  </si>
  <si>
    <t>所定价格涵盖手术计划、术区准备、制备、切除、缝合、必要时植入等步骤所需的人力资源和基本物质资源消耗。</t>
  </si>
  <si>
    <t>按省级定价原则，根据项目间比价关系拟定（技术难度、风险程度为原项目“小梁切开费”1.15倍）</t>
  </si>
  <si>
    <t>003304050140000-330405014</t>
  </si>
  <si>
    <t>非穿透性小梁切除＋透明质酸钠凝胶充填术</t>
  </si>
  <si>
    <t>胶原膜</t>
  </si>
  <si>
    <t>003304050110000-330405011</t>
  </si>
  <si>
    <t>前房角切开术</t>
  </si>
  <si>
    <t>包括前房积血清除、房角粘连分离术</t>
  </si>
  <si>
    <t>使用特殊仪器(前房角镜等)时市级医院加收115元，县级医院加收105元，基层加收90元</t>
  </si>
  <si>
    <t>003304050110200-33040501102</t>
  </si>
  <si>
    <t>前房角切开术（房角粘连分离术）</t>
  </si>
  <si>
    <t>013304000130001</t>
  </si>
  <si>
    <t>非穿透小梁手术费-儿童（加收）</t>
  </si>
  <si>
    <t>003304050140000-33040501401</t>
  </si>
  <si>
    <t>小儿非穿透性小梁切除＋透明质酸钠凝胶充填术</t>
  </si>
  <si>
    <t>003304050110000-33040501103</t>
  </si>
  <si>
    <t>小儿前房角切开术</t>
  </si>
  <si>
    <t>013304000140000</t>
  </si>
  <si>
    <t>施莱姆氏管成形费</t>
  </si>
  <si>
    <t>通过扩张或切开施莱姆氏管（schlemm管）重建房水流出通道。</t>
  </si>
  <si>
    <t>所定价格涵盖手术计划、术区准备、切开、置入、成形、缝合、止血等手术步骤的人力资源和基本物质资源消耗。</t>
  </si>
  <si>
    <t>限14周岁以下儿童青光眼患者</t>
  </si>
  <si>
    <t>013304000140001</t>
  </si>
  <si>
    <t>施莱姆氏管成形费-儿童（加收）</t>
  </si>
  <si>
    <t>013304000150000</t>
  </si>
  <si>
    <t>结膜滤过泡修补费</t>
  </si>
  <si>
    <t>通过手术对结膜滤过泡进行修补、调整或切除。</t>
  </si>
  <si>
    <t>所定价格涵盖手术计划、术区准备、滤过泡处理、缝合、恢复前房等步骤所需的人力资源和基本物质资源消耗。</t>
  </si>
  <si>
    <t>根据省局定价规则，平移“青光眼滤过泡修补术”价格</t>
  </si>
  <si>
    <t>003304050200000-330405020</t>
  </si>
  <si>
    <t>青光眼滤过泡修补术</t>
  </si>
  <si>
    <t>供体</t>
  </si>
  <si>
    <t>003304050180000-330405018</t>
  </si>
  <si>
    <t>青光眼滤帘修复术</t>
  </si>
  <si>
    <t>小梁网</t>
  </si>
  <si>
    <t>003304050190000-330405019</t>
  </si>
  <si>
    <t>青光眼滤过泡分离术</t>
  </si>
  <si>
    <t>013304000150001</t>
  </si>
  <si>
    <t>结膜滤过泡修补费-儿童（加收）</t>
  </si>
  <si>
    <t>003304050200000-33040502001</t>
  </si>
  <si>
    <t>小儿青光眼滤过泡修补术</t>
  </si>
  <si>
    <t>003304050180000-33040501801</t>
  </si>
  <si>
    <t>小儿青光眼滤帘修复术</t>
  </si>
  <si>
    <t>003304050190000-33040501901</t>
  </si>
  <si>
    <t>小儿青光眼滤过泡分离术</t>
  </si>
  <si>
    <t>013304000160000</t>
  </si>
  <si>
    <t>房水引流物植入费</t>
  </si>
  <si>
    <t>通过手术植入引流物，建立新的房水引流通道。</t>
  </si>
  <si>
    <t>所定价格涵盖手术计划、术区准备、切开、注入粘弹剂、植入引流物、调整位置、缝合等步骤所需的人力资源和基本物质资源消耗。</t>
  </si>
  <si>
    <t>003304050170000-330405017</t>
  </si>
  <si>
    <t>青光眼硅管植入术</t>
  </si>
  <si>
    <t>硅管、青光眼阀巩膜片、粘弹剂</t>
  </si>
  <si>
    <t>013304000160001</t>
  </si>
  <si>
    <t>房水引流物植入费-儿童（加收）</t>
  </si>
  <si>
    <t>003304050170000-33040501701</t>
  </si>
  <si>
    <t>小儿青光眼硅管植入术</t>
  </si>
  <si>
    <t>013304000170000</t>
  </si>
  <si>
    <t>房水引流物取出费</t>
  </si>
  <si>
    <t>通过手术取出房水引流物。</t>
  </si>
  <si>
    <t>所定价格涵盖手术计划、术区准备、切开、取出引流物、调整位置、缝合等步骤所需的人力资源和基本物质资源消耗。</t>
  </si>
  <si>
    <t>013304000170001</t>
  </si>
  <si>
    <t>房水引流物取出费-儿童（加收）</t>
  </si>
  <si>
    <t>013304000180000</t>
  </si>
  <si>
    <t>房水引流物调位费</t>
  </si>
  <si>
    <t>通过手术对位置不佳、功能不全的引流物进行调整，恢复引流功能。</t>
  </si>
  <si>
    <t>所定价格涵盖手术计划、术区准备、切开、注入粘弹剂、调整引流物、缝合等步骤所需的人力资源和基本物质资源消耗。</t>
  </si>
  <si>
    <t>不与“房水引流物植入费”同时收取。</t>
  </si>
  <si>
    <t>013304000180001</t>
  </si>
  <si>
    <t>房水引流物调位费-儿童（加收）</t>
  </si>
  <si>
    <t>013304000190000</t>
  </si>
  <si>
    <t>视网膜脱离修复费（常规）</t>
  </si>
  <si>
    <t>通过各种手术方式促使视网膜复位。</t>
  </si>
  <si>
    <t>所定价格涵盖手术计划、术区准备、设备准备、切开、穿刺、玻璃体切除、气液交换、复位、缝合等步骤所需的人力资源和基本物质资源消耗。</t>
  </si>
  <si>
    <t>不与玻璃体切除费同时收取。</t>
  </si>
  <si>
    <t>003304070040000-330407004</t>
  </si>
  <si>
    <t>视网膜脱离修复术</t>
  </si>
  <si>
    <t>包括外加压、环扎术、内加压；指冷凝、电凝法</t>
  </si>
  <si>
    <t>硅胶植入物、膨胀气体</t>
  </si>
  <si>
    <t>激光法市级医院1300元，县级医院1170元，基层995元</t>
  </si>
  <si>
    <t>003304070040400-33040700401</t>
  </si>
  <si>
    <t>视网膜脱离修复术（激光法）</t>
  </si>
  <si>
    <t>激光法</t>
  </si>
  <si>
    <t>013304000190001</t>
  </si>
  <si>
    <t>视网膜脱离修复费（常规）-儿童（加收）</t>
  </si>
  <si>
    <t>003304070040000-33040700402</t>
  </si>
  <si>
    <t>小儿视网膜脱离修复术</t>
  </si>
  <si>
    <t>003304070040400-33040700403</t>
  </si>
  <si>
    <t>小儿视网膜脱离修复术（激光法）</t>
  </si>
  <si>
    <t>013304000200000</t>
  </si>
  <si>
    <t>视网膜脱离修复费（复杂）</t>
  </si>
  <si>
    <t>通过各种手术方式促使复杂情况下的视网膜脱离复位。</t>
  </si>
  <si>
    <t>1.不与“玻璃体切除费”同时收取。2.复杂情况指：巨大裂孔、黄斑裂孔、取增殖膜/视网膜下膜、剥黄斑前膜情况下的视网膜脱离修复。</t>
  </si>
  <si>
    <t>加权平移取整，县级按不超过省级调整</t>
  </si>
  <si>
    <t>003304070050000-330407005</t>
  </si>
  <si>
    <t>复杂视网膜脱离修复术</t>
  </si>
  <si>
    <t>指冷凝、电凝法，包括巨大裂孔、黄斑裂孔、膜增殖、视网膜下膜取出术、硅油充填、球内注气、前膜剥膜。</t>
  </si>
  <si>
    <t>玻璃体切割头、硅胶、膨胀气体、重水、硅油、人工玻璃体</t>
  </si>
  <si>
    <r>
      <rPr>
        <sz val="10"/>
        <rFont val="仿宋"/>
        <charset val="134"/>
      </rPr>
      <t>激光法市级4500元，县级4275元，基层3650元。</t>
    </r>
    <r>
      <rPr>
        <sz val="10"/>
        <color rgb="FFFF0000"/>
        <rFont val="仿宋"/>
        <charset val="134"/>
      </rPr>
      <t>人工玻璃体球囊置入术参照执行。</t>
    </r>
  </si>
  <si>
    <t>003304070050000-33040700501</t>
  </si>
  <si>
    <t>复杂视网膜脱离修复术（激光法）</t>
  </si>
  <si>
    <t>353304070150100-33040700504</t>
  </si>
  <si>
    <t>人工玻璃体球囊置入术</t>
  </si>
  <si>
    <t>麻醉，消毒铺巾，开睑，在手术显微镜下剪开球结膜，能量设备止血，行巩膜穿刺，应用玻璃体切除机建立眼内灌注，角膜缘后4毫米制备巩膜切口，植入器植入折叠式人工玻璃体球囊，球囊内注入硅油，结扎固定球囊引流阀于巩膜壁，粘弹剂注入前房成形，缝合切口，消毒纱布包眼。</t>
  </si>
  <si>
    <t>人工玻璃体</t>
  </si>
  <si>
    <t>晚期玻璃体视网膜病变适用</t>
  </si>
  <si>
    <t>003304070060000-330407006</t>
  </si>
  <si>
    <t>黄斑裂孔注气术</t>
  </si>
  <si>
    <t>膨胀气体</t>
  </si>
  <si>
    <t>003304070070000-330407007</t>
  </si>
  <si>
    <t>黄斑裂孔封闭术</t>
  </si>
  <si>
    <t>003304070080000-330407008</t>
  </si>
  <si>
    <t>黄斑前膜术</t>
  </si>
  <si>
    <t>003304070090000-330407009</t>
  </si>
  <si>
    <t>黄斑下膜取出术</t>
  </si>
  <si>
    <t>003304070100000-330407010</t>
  </si>
  <si>
    <t>黄斑转位术</t>
  </si>
  <si>
    <t>013304000200001</t>
  </si>
  <si>
    <t>视网膜脱离修复费（复杂）-儿童（加收）</t>
  </si>
  <si>
    <t>003304070050000-33040700502</t>
  </si>
  <si>
    <t>小儿复杂视网膜脱离修复术</t>
  </si>
  <si>
    <t>003304070050000-33040700503</t>
  </si>
  <si>
    <t>小儿复杂视网膜脱离修复术（激光法）</t>
  </si>
  <si>
    <t>353304070150100-33040700505</t>
  </si>
  <si>
    <t>小儿人工玻璃体球囊置入术</t>
  </si>
  <si>
    <t>003304070060000-33040700601</t>
  </si>
  <si>
    <t>小儿黄斑裂孔注气术</t>
  </si>
  <si>
    <t>003304070070000-33040700701</t>
  </si>
  <si>
    <t>小儿黄斑裂孔封闭术</t>
  </si>
  <si>
    <t>003304070080000-33040700801</t>
  </si>
  <si>
    <t>小儿黄斑前膜术</t>
  </si>
  <si>
    <t>003304070090000-33040700901</t>
  </si>
  <si>
    <t>小儿黄斑下膜取出术</t>
  </si>
  <si>
    <t>003304070100000-33040701001</t>
  </si>
  <si>
    <t>小儿黄斑转位术</t>
  </si>
  <si>
    <t>013304000210000</t>
  </si>
  <si>
    <t>视网膜部分切除费</t>
  </si>
  <si>
    <t>通过手术方式切除部分视网膜，治疗视网膜相关疾病。</t>
  </si>
  <si>
    <t>所定价格涵盖手术计划、术区准备、设备准备、切开、穿刺、切除视网膜或病灶、缝合等步骤所需的人力资源和基本物质资源消耗。</t>
  </si>
  <si>
    <t>不与“视网膜脱离修复费（常规、复杂）”同时收取。</t>
  </si>
  <si>
    <t>013304000210001</t>
  </si>
  <si>
    <t>视网膜部分切除费-儿童（加收）</t>
  </si>
  <si>
    <t>013304000220000</t>
  </si>
  <si>
    <t>视网膜组织移植费</t>
  </si>
  <si>
    <t>在玻璃体切除基础上，将视网膜色素上皮细胞等组织植入视网膜下。</t>
  </si>
  <si>
    <t>所定价格涵盖移植组织准备、植入组织、复位、封闭、缝合等步骤所需的人力资源和基本物质资源消耗。</t>
  </si>
  <si>
    <t>技术难度、风险程度和“视网膜脱离修复费（复杂）”相似，参照定价</t>
  </si>
  <si>
    <t>013304000220001</t>
  </si>
  <si>
    <t>视网膜组织移植费-儿童（加收）</t>
  </si>
  <si>
    <t>013304000230000</t>
  </si>
  <si>
    <t>睫状体脉络膜上腔穿刺费</t>
  </si>
  <si>
    <t>通过各种方式穿刺睫状体脉络膜上腔，进行抽吸、引流、冲洗或注射等。</t>
  </si>
  <si>
    <t>所定价格涵盖手术计划、术区准备、切开结膜、穿刺、完成相应诊疗操作、缝合、恢复前房等步骤所需的人力资源和基本物质资源消耗。</t>
  </si>
  <si>
    <t>003304050090000-330405009</t>
  </si>
  <si>
    <t>睫状体及脉络膜上腔放液术</t>
  </si>
  <si>
    <t>013304000230001</t>
  </si>
  <si>
    <t>睫状体脉络膜上腔穿刺费-儿童（加收）</t>
  </si>
  <si>
    <t>003304050090000-33040500901</t>
  </si>
  <si>
    <t>小儿睫状体及脉络膜上腔放液术</t>
  </si>
  <si>
    <t>013304000230011</t>
  </si>
  <si>
    <t>睫状体脉络膜上腔穿刺费-视网膜下穿刺费（加收）</t>
  </si>
  <si>
    <t>013304000240000</t>
  </si>
  <si>
    <t>脉络膜病损切除费</t>
  </si>
  <si>
    <t>通过手术方式切除脉络膜病损部分。</t>
  </si>
  <si>
    <t>所定价格涵盖手术计划、术区准备、切开结膜、分离、制作巩膜瓣、切除病损、缝合等步骤所需的人力资源和基本物质资源消耗。</t>
  </si>
  <si>
    <t>无开展量，平移后理顺比价关系</t>
  </si>
  <si>
    <t>003304070110000-330407011</t>
  </si>
  <si>
    <t>色素膜肿物切除术</t>
  </si>
  <si>
    <t>013304000240001</t>
  </si>
  <si>
    <t>脉络膜病损切除费-儿童（加收）</t>
  </si>
  <si>
    <t>003304070110000-33040701101</t>
  </si>
  <si>
    <t>小儿色素膜肿物切除术</t>
  </si>
  <si>
    <t>013304000250000</t>
  </si>
  <si>
    <t>巩膜部分切除费</t>
  </si>
  <si>
    <t>通过各种手术方式切除部分巩膜。</t>
  </si>
  <si>
    <t>所定价格涵盖手术计划、术区准备、切开、牵引、切除、缝合等步骤所需的人力资源和基本物质资源消耗。</t>
  </si>
  <si>
    <t>平移“巩膜缩短术”项目价格</t>
  </si>
  <si>
    <t>003304050210000-330405021</t>
  </si>
  <si>
    <t>巩膜缩短术</t>
  </si>
  <si>
    <t>003103000830000-310300083</t>
  </si>
  <si>
    <t>钬激光巩膜切除手术</t>
  </si>
  <si>
    <t>013304000250001</t>
  </si>
  <si>
    <t>巩膜部分切除费-儿童（加收）</t>
  </si>
  <si>
    <t>003304050210000-33040502101</t>
  </si>
  <si>
    <t>小儿巩膜缩短术</t>
  </si>
  <si>
    <t>013304000250100</t>
  </si>
  <si>
    <t>巩膜部分切除费-巩膜开窗费（扩展）</t>
  </si>
  <si>
    <t>013304000260000</t>
  </si>
  <si>
    <t>巩膜加压费</t>
  </si>
  <si>
    <t>通过各种手术方式对巩膜进行加压，使脱离的视网膜复位。</t>
  </si>
  <si>
    <t>所定价格涵盖手术计划、术区准备、切开、牵引、加压固定、缝合等步骤所需的人力资源和基本物质资源消耗。</t>
  </si>
  <si>
    <t>003304070120000-330407012</t>
  </si>
  <si>
    <t>巩膜后兜带术</t>
  </si>
  <si>
    <t>含阔筋膜取材、黄斑裂孔兜带</t>
  </si>
  <si>
    <t>013304000260001</t>
  </si>
  <si>
    <t>巩膜加压费-儿童（加收）</t>
  </si>
  <si>
    <t>003304070120000-33040701201</t>
  </si>
  <si>
    <t>小儿巩膜后兜带术</t>
  </si>
  <si>
    <t>013304000270000</t>
  </si>
  <si>
    <t>巩膜加压物取出费</t>
  </si>
  <si>
    <t>通过各种手术方式取出放置的巩膜加压物。</t>
  </si>
  <si>
    <t>所定价格涵盖手术计划、术区准备、切开、牵引、取出、缝合等步骤所需的人力资源和基本物质资源消耗。</t>
  </si>
  <si>
    <t>013304000270001</t>
  </si>
  <si>
    <t>巩膜加压物取出费-儿童（加收）</t>
  </si>
  <si>
    <t>013304000280000</t>
  </si>
  <si>
    <t>巩膜移植费</t>
  </si>
  <si>
    <t>通过各种手术方式实现患者原位巩膜切除和供体巩膜植入。</t>
  </si>
  <si>
    <t>所定价格涵盖手术计划、术区准备、患者原位巩膜切除、供体巩膜整复、巩膜植入、缝合等手术步骤的人力资源和基本物质资源消耗。</t>
  </si>
  <si>
    <t>不与“巩膜部分切除费”同时收取。</t>
  </si>
  <si>
    <t>013304000280001</t>
  </si>
  <si>
    <t>巩膜移植费-儿童（加收）</t>
  </si>
  <si>
    <t>013304000280100</t>
  </si>
  <si>
    <t>巩膜移植费-异种组织（扩展）</t>
  </si>
  <si>
    <t>013304000290000</t>
  </si>
  <si>
    <t>虹膜修复费</t>
  </si>
  <si>
    <t>通过手术恢复虹膜结构。</t>
  </si>
  <si>
    <t>所定价格涵盖手术计划、术区准备、切开结膜、注入粘弹剂、修复虹膜、缝合及必要时植入人工虹膜隔等步骤所需的人力资源和基本物质资源消耗。</t>
  </si>
  <si>
    <t>不与“瞳孔成形费”同时收取。</t>
  </si>
  <si>
    <t>平移“虹膜根部离断修复术”项目价格</t>
  </si>
  <si>
    <t>003304050030000-330405003</t>
  </si>
  <si>
    <t>虹膜根部离断修复术</t>
  </si>
  <si>
    <t>003304050060000-330405006</t>
  </si>
  <si>
    <t>人工虹膜隔植入术</t>
  </si>
  <si>
    <t>人工虹膜隔、粘弹剂</t>
  </si>
  <si>
    <t>013304000290001</t>
  </si>
  <si>
    <t>虹膜修复费-儿童（加收）</t>
  </si>
  <si>
    <t>003304050030000-33040500301</t>
  </si>
  <si>
    <t>小儿虹膜根部离断修复术</t>
  </si>
  <si>
    <t>003304050060000-33040500601</t>
  </si>
  <si>
    <t>小儿人工虹膜隔植入术</t>
  </si>
  <si>
    <t>013304000300000</t>
  </si>
  <si>
    <t>虹膜切除费</t>
  </si>
  <si>
    <t>通过手术对虹膜进行全切或部分切除。</t>
  </si>
  <si>
    <t>所定价格涵盖手术计划、术区准备、切开结膜、切除虹膜、恢复前房、缝合等步骤所需的人力资源和基本物质资源消耗。</t>
  </si>
  <si>
    <t>003304050010000-330405001</t>
  </si>
  <si>
    <t>虹膜全切除术</t>
  </si>
  <si>
    <t>003304050050000-330405005</t>
  </si>
  <si>
    <t>虹膜囊肿切除术</t>
  </si>
  <si>
    <t>粘弹剂</t>
  </si>
  <si>
    <t>003304050020000-330405002</t>
  </si>
  <si>
    <t>虹膜周边切除术</t>
  </si>
  <si>
    <t>003304050040000-330405004</t>
  </si>
  <si>
    <t>虹膜贯穿术</t>
  </si>
  <si>
    <t>013304000300001</t>
  </si>
  <si>
    <t>虹膜切除费-儿童（加收）</t>
  </si>
  <si>
    <t>003304050010000-33040500101</t>
  </si>
  <si>
    <t>小儿虹膜全切除术</t>
  </si>
  <si>
    <t>003304050050000-33040500501</t>
  </si>
  <si>
    <t>小儿虹膜囊肿切除术</t>
  </si>
  <si>
    <t>003304050020000-33040500201</t>
  </si>
  <si>
    <t>小儿虹膜周边切除术</t>
  </si>
  <si>
    <t>003304050040000-33040500401</t>
  </si>
  <si>
    <t>小儿虹膜贯穿术</t>
  </si>
  <si>
    <t>013304000310000</t>
  </si>
  <si>
    <t>瞳孔成形费</t>
  </si>
  <si>
    <t>通过手术改变瞳孔形态。</t>
  </si>
  <si>
    <t>所定价格涵盖手术计划、术区准备、切开结膜、注入粘弹剂、调整瞳孔、缝合等步骤所需的人力资源和基本物质资源消耗。</t>
  </si>
  <si>
    <t>不与“虹膜修复费”同时收取。</t>
  </si>
  <si>
    <t>003304040130000-330404013</t>
  </si>
  <si>
    <t>瞳孔再造术</t>
  </si>
  <si>
    <t>包括瞳孔开大术</t>
  </si>
  <si>
    <t>003304040130000-33040401302</t>
  </si>
  <si>
    <t>瞳孔开大术</t>
  </si>
  <si>
    <t>013304000310001</t>
  </si>
  <si>
    <t>瞳孔成形费-儿童（加收）</t>
  </si>
  <si>
    <t>003304040130000-33040401301</t>
  </si>
  <si>
    <t>小儿瞳孔再造术</t>
  </si>
  <si>
    <t>003304040130000-33040401303</t>
  </si>
  <si>
    <t>小儿瞳孔开大术</t>
  </si>
  <si>
    <t>013304000310100</t>
  </si>
  <si>
    <t>瞳孔成形费-前房成形费（扩展）</t>
  </si>
  <si>
    <t>003304050120000-330405012</t>
  </si>
  <si>
    <t>前房成形术</t>
  </si>
  <si>
    <t>003304050120000-33040501201</t>
  </si>
  <si>
    <t>小儿前房成形术</t>
  </si>
  <si>
    <t>013304000320000</t>
  </si>
  <si>
    <t>睑成形费（常规）</t>
  </si>
  <si>
    <t>通过手术矫正、恢复眼睑功能或结构形态。</t>
  </si>
  <si>
    <t>所定价格涵盖手术计划、术区准备、消毒、切开或穿刺、缝合、必要时悬吊等步骤所需的人力资源和基本物质资源消耗。</t>
  </si>
  <si>
    <t>限工伤保险或14周岁以下</t>
  </si>
  <si>
    <t>县级开展量大于市级。县级不超过省级定价，市级、基层按比价调整拟定</t>
  </si>
  <si>
    <t>003304010050000-330401005</t>
  </si>
  <si>
    <t>睑下垂矫正联合眦整形术</t>
  </si>
  <si>
    <t>003304010100000-330401010</t>
  </si>
  <si>
    <t>游离植皮睑成形术</t>
  </si>
  <si>
    <t>003304010170000-330401017</t>
  </si>
  <si>
    <t>睑凹陷畸形矫正术</t>
  </si>
  <si>
    <t>不含吸脂术</t>
  </si>
  <si>
    <t>特殊植入材料</t>
  </si>
  <si>
    <t>每个部位</t>
  </si>
  <si>
    <t>003304010140000-330401014</t>
  </si>
  <si>
    <t>双行睫矫正术</t>
  </si>
  <si>
    <t>013304000320001</t>
  </si>
  <si>
    <t>睑成形费（常规）-儿童（加收）</t>
  </si>
  <si>
    <t>限14周岁以下</t>
  </si>
  <si>
    <t>003304010050000-33040100501</t>
  </si>
  <si>
    <t>小儿睑下垂矫正联合眦整形术</t>
  </si>
  <si>
    <t>003304010100000-33040101001</t>
  </si>
  <si>
    <t>小儿游离植皮睑成形术</t>
  </si>
  <si>
    <t>003304010170000-33040101701</t>
  </si>
  <si>
    <t>小儿睑凹陷畸形矫正术</t>
  </si>
  <si>
    <t>003304010140000-33040101401</t>
  </si>
  <si>
    <t>小儿双行睫矫正术</t>
  </si>
  <si>
    <t>013304000330000</t>
  </si>
  <si>
    <t>睑成形费（复杂）</t>
  </si>
  <si>
    <t>通过手术矫正、恢复复杂情况下的眼睑功能或结构形态。</t>
  </si>
  <si>
    <t>复杂情况指：上睑下垂、睑退缩、睑外翻、倒睫、全眼睑重建。</t>
  </si>
  <si>
    <t>平移后理顺比价关系</t>
  </si>
  <si>
    <t>003304010040000-330401004</t>
  </si>
  <si>
    <t>上睑下垂矫正术</t>
  </si>
  <si>
    <t>包括提上睑肌缩短术，悬吊术</t>
  </si>
  <si>
    <t>特殊悬吊材料</t>
  </si>
  <si>
    <t>肌瓣移植时加收20%</t>
  </si>
  <si>
    <t>003304010040001-33040100401</t>
  </si>
  <si>
    <t>上睑下垂矫正术（肌瓣移植时）</t>
  </si>
  <si>
    <t>肌瓣移植时</t>
  </si>
  <si>
    <t>003304010060000-330401006</t>
  </si>
  <si>
    <t>睑退缩矫正术</t>
  </si>
  <si>
    <t>包括上睑、下睑；包括额肌悬吊、提上睑肌缩短、睑板再造、异体巩膜移植或植皮、眼睑缺损整形术</t>
  </si>
  <si>
    <t>睫毛再造和肌瓣移植时加收20%</t>
  </si>
  <si>
    <t>003304010060001-33040100601</t>
  </si>
  <si>
    <t>睑退缩矫正术（睫毛再造和肌瓣移植）</t>
  </si>
  <si>
    <t>睫毛再造和肌瓣移植时</t>
  </si>
  <si>
    <t>003304010070000-330401007</t>
  </si>
  <si>
    <t>睑内翻矫正术</t>
  </si>
  <si>
    <t>缝线法</t>
  </si>
  <si>
    <t>切开矫正法加收100%</t>
  </si>
  <si>
    <t>003304010070000-33040100701</t>
  </si>
  <si>
    <t>睑内翻矫正术（切开矫正法）</t>
  </si>
  <si>
    <t>切开矫正法</t>
  </si>
  <si>
    <t>003304010080000-330401008</t>
  </si>
  <si>
    <t>睑外翻矫正术</t>
  </si>
  <si>
    <t>植皮时加收20%</t>
  </si>
  <si>
    <t>003304010080001-33040100801</t>
  </si>
  <si>
    <t>睑外翻矫正术（植皮时）</t>
  </si>
  <si>
    <t>植皮时</t>
  </si>
  <si>
    <t>013304000330001</t>
  </si>
  <si>
    <t>睑成形费（复杂）-儿童（加收）</t>
  </si>
  <si>
    <t>003304010040000-33040100402</t>
  </si>
  <si>
    <t>小儿上睑下垂矫正术</t>
  </si>
  <si>
    <t>003304010040001-33040100403</t>
  </si>
  <si>
    <t>小儿上睑下垂矫正术（肌瓣移植时）</t>
  </si>
  <si>
    <t>003304010060000-33040100602</t>
  </si>
  <si>
    <t>小儿睑退缩矫正术</t>
  </si>
  <si>
    <t>003304010060001-33040100603</t>
  </si>
  <si>
    <t>小儿睑退缩矫正术（睫毛再造和肌瓣移植）</t>
  </si>
  <si>
    <t>003304010070000-33040100702</t>
  </si>
  <si>
    <t>小儿睑内翻矫正术</t>
  </si>
  <si>
    <t>003304010070000-33040100703</t>
  </si>
  <si>
    <t>小儿睑内翻矫正术（切开矫正法）</t>
  </si>
  <si>
    <t>003304010080000-33040100802</t>
  </si>
  <si>
    <t>小儿睑外翻矫正术</t>
  </si>
  <si>
    <t>003304010080001-33040100803</t>
  </si>
  <si>
    <t>小儿睑外翻矫正术（植皮时）</t>
  </si>
  <si>
    <t>013304000340000</t>
  </si>
  <si>
    <t>内外眦成形费</t>
  </si>
  <si>
    <t>通过各种方式矫正内眦、外眦畸形。</t>
  </si>
  <si>
    <t>所定价格涵盖手术计划、术区准备、消毒、切开或穿刺、必要时去除部分组织、缝合等步骤所需的人力资源和基本物质资源消耗。</t>
  </si>
  <si>
    <t>单独开展内眦或外眦成形的，按50%收取。</t>
  </si>
  <si>
    <t>平移取整，县级不超过省级拟定</t>
  </si>
  <si>
    <t>003304010160000-330401016</t>
  </si>
  <si>
    <t>内外眦成形术</t>
  </si>
  <si>
    <t>003304010110000-330401011</t>
  </si>
  <si>
    <t>内眦赘皮矫治术</t>
  </si>
  <si>
    <t>003304010030000-330401003</t>
  </si>
  <si>
    <t>内眦韧带断裂修复术</t>
  </si>
  <si>
    <t>特殊固定材料</t>
  </si>
  <si>
    <t>003304020010000-330402001</t>
  </si>
  <si>
    <t>泪阜部肿瘤单纯切除术</t>
  </si>
  <si>
    <t>内外眦成形费（单独开展内眦或外眦成形）</t>
  </si>
  <si>
    <t>主项减半收费</t>
  </si>
  <si>
    <t>013304000340001</t>
  </si>
  <si>
    <t>内外眦成形费-儿童（加收）</t>
  </si>
  <si>
    <t>003304010160000-33040101601</t>
  </si>
  <si>
    <t>小儿内外眦成形术</t>
  </si>
  <si>
    <t>003304010110000-33040101101</t>
  </si>
  <si>
    <t>小儿内眦赘皮矫治术</t>
  </si>
  <si>
    <t>003304010030000-33040100301</t>
  </si>
  <si>
    <t>小儿内眦韧带断裂修复术</t>
  </si>
  <si>
    <t>003304020010000-33040200101</t>
  </si>
  <si>
    <t>小儿泪阜部肿瘤单纯切除术</t>
  </si>
  <si>
    <t>013304000340100</t>
  </si>
  <si>
    <t>内外眦成形费-内外眦病损切除费（扩展）</t>
  </si>
  <si>
    <t>013304000340200</t>
  </si>
  <si>
    <t>内外眦成形费-内外眦韧带修复费（扩展）</t>
  </si>
  <si>
    <t>013304000350000</t>
  </si>
  <si>
    <t>睑球粘连分离费</t>
  </si>
  <si>
    <t>通过手术分离睑球粘连，改善眼球运动。</t>
  </si>
  <si>
    <t>所定价格涵盖手术计划、术区准备、消毒、分离、缝合等步骤所需的人力资源和基本物质资源消耗。</t>
  </si>
  <si>
    <t>003304030010000-330403001</t>
  </si>
  <si>
    <t>睑球粘连分离术</t>
  </si>
  <si>
    <t>包括自体粘膜移植术及结膜移植术</t>
  </si>
  <si>
    <t>羊膜</t>
  </si>
  <si>
    <t>013304000350001</t>
  </si>
  <si>
    <t>睑球粘连分离费-儿童（加收）</t>
  </si>
  <si>
    <t>003304030010000-33040300101</t>
  </si>
  <si>
    <t>小儿睑球粘连分离术</t>
  </si>
  <si>
    <t>013304000350011</t>
  </si>
  <si>
    <t>睑球粘连分离费-睑缘粘连分离费（减收）</t>
  </si>
  <si>
    <t>睑缘粘连分离费按50%收费</t>
  </si>
  <si>
    <t>003304010180000-330401018</t>
  </si>
  <si>
    <t>睑缘粘连术</t>
  </si>
  <si>
    <t>含粘连分离</t>
  </si>
  <si>
    <t>003304010180000-33040101801</t>
  </si>
  <si>
    <t>小儿睑缘粘连术</t>
  </si>
  <si>
    <t>013304000360000</t>
  </si>
  <si>
    <t>结膜囊成形费</t>
  </si>
  <si>
    <t>通过手术恢复结膜囊功能或结构。</t>
  </si>
  <si>
    <t>所定价格涵盖手术计划、术区准备、切开、分离、成形、缝合及必要时生物组织材料移植等步骤所需的人力资源和基本物质资源消耗。</t>
  </si>
  <si>
    <t>“结膜部分切除费”不与“结膜囊成形费”同时收取。</t>
  </si>
  <si>
    <t>003304030040000-330403004</t>
  </si>
  <si>
    <t>结膜囊成形术</t>
  </si>
  <si>
    <t>义眼模、羊膜</t>
  </si>
  <si>
    <t>013304000360001</t>
  </si>
  <si>
    <t>结膜囊成形费-儿童（加收）</t>
  </si>
  <si>
    <t>003304030040000-33040300401</t>
  </si>
  <si>
    <t>小儿结膜囊成形术</t>
  </si>
  <si>
    <t>013304000360011</t>
  </si>
  <si>
    <t>结膜囊成形费-结膜部分切除费（减收）</t>
  </si>
  <si>
    <t>结膜部分切除减收7%。</t>
  </si>
  <si>
    <t>主项拟定价格扣除映射项目价格，得出减收价格</t>
  </si>
  <si>
    <t>003304030020000-330403002</t>
  </si>
  <si>
    <t>结膜肿物切除术</t>
  </si>
  <si>
    <t>包括结膜色素痣</t>
  </si>
  <si>
    <t>组织移植加收60%</t>
  </si>
  <si>
    <t>003304030020001-33040300201</t>
  </si>
  <si>
    <t>结膜肿物切除术（组织移植）</t>
  </si>
  <si>
    <t>组织移植</t>
  </si>
  <si>
    <t>003304030020100-33040300202</t>
  </si>
  <si>
    <t>结膜肿物切除术（结膜色素痣）</t>
  </si>
  <si>
    <t>结膜色素痣</t>
  </si>
  <si>
    <t>003304030020000-33040300203</t>
  </si>
  <si>
    <t>小儿结膜肿物切除术</t>
  </si>
  <si>
    <t>003304030020001-33040300204</t>
  </si>
  <si>
    <t>小儿结膜肿物切除术（组织移植）</t>
  </si>
  <si>
    <t>003304030030000-330403003</t>
  </si>
  <si>
    <t>结膜淋巴管积液清除术</t>
  </si>
  <si>
    <t>003304030030000-33040300301</t>
  </si>
  <si>
    <t>小儿结膜淋巴管积液清除术</t>
  </si>
  <si>
    <t>003304030050000-330403005</t>
  </si>
  <si>
    <t>球结膜瓣复盖术</t>
  </si>
  <si>
    <t>003304030050000-33040300501</t>
  </si>
  <si>
    <t>小儿球结膜瓣复盖术</t>
  </si>
  <si>
    <t>013304000370000</t>
  </si>
  <si>
    <t>眼睑裂伤缝合费（常规）</t>
  </si>
  <si>
    <t>通过手术对不累及睑缘和睑板的眼睑裂伤进行缝合。</t>
  </si>
  <si>
    <t>所定价格涵盖手术计划、术区准备、消毒、清创、缝合等步骤所需的人力资源和基本物质资源消耗。</t>
  </si>
  <si>
    <t>003304010020000-330401002</t>
  </si>
  <si>
    <t>眼睑结膜裂伤缝合术</t>
  </si>
  <si>
    <t>003304010090000-330401009</t>
  </si>
  <si>
    <t>睑裂缝合术</t>
  </si>
  <si>
    <t>013304000370001</t>
  </si>
  <si>
    <t>眼睑裂伤缝合费（常规）-儿童（加收）</t>
  </si>
  <si>
    <t>003304010020000-33040100201</t>
  </si>
  <si>
    <t>小儿眼睑结膜裂伤缝合术</t>
  </si>
  <si>
    <t>003304010090000-33040100901</t>
  </si>
  <si>
    <t>小儿睑裂缝合术</t>
  </si>
  <si>
    <t>013304000380000</t>
  </si>
  <si>
    <t>眼睑裂伤缝合费（复杂）</t>
  </si>
  <si>
    <t>通过手术对复杂情况下的眼睑裂伤进行缝合。</t>
  </si>
  <si>
    <t>复杂情况指：累及睑缘或睑板的眼睑多发裂伤。</t>
  </si>
  <si>
    <t>根据项目间比价关系，为常规的1.22倍。</t>
  </si>
  <si>
    <t>013304000380001</t>
  </si>
  <si>
    <t>眼睑裂伤缝合费（复杂）-儿童（加收）</t>
  </si>
  <si>
    <t>013304000390000</t>
  </si>
  <si>
    <t>眼睑病变切除费</t>
  </si>
  <si>
    <t>通过手术去除眼睑肿物等病变。</t>
  </si>
  <si>
    <t>所定价格涵盖手术计划、术区准备、消毒、切除、缝合等步骤所需的人力资源和基本物质资源消耗。</t>
  </si>
  <si>
    <t>1.不与“眼睑裂伤缝合费（常规、复杂）”同时收取；2.麦粒肿切除三甲医院100元/次，三甲以下医院90元/次。</t>
  </si>
  <si>
    <t>003304010010000-330401001</t>
  </si>
  <si>
    <t>眼睑肿物切除术</t>
  </si>
  <si>
    <t>需植皮时加收20%</t>
  </si>
  <si>
    <t>003304010010001-33040100101</t>
  </si>
  <si>
    <t>眼睑肿物切除术（需植皮时）</t>
  </si>
  <si>
    <t>需植皮时</t>
  </si>
  <si>
    <t>眼睑病变切除费（麦粒肿切除术）</t>
  </si>
  <si>
    <t>平移后县级按不超过省级下调拟定</t>
  </si>
  <si>
    <t>003304030060000-330403006</t>
  </si>
  <si>
    <t>麦粒肿切除术</t>
  </si>
  <si>
    <t>包括切开术</t>
  </si>
  <si>
    <t>003304030060000-33040300601</t>
  </si>
  <si>
    <t>小儿麦粒肿切除术</t>
  </si>
  <si>
    <t>013304000390001</t>
  </si>
  <si>
    <t>眼睑病变切除费-儿童（加收）</t>
  </si>
  <si>
    <t>003304010010000-33040100102</t>
  </si>
  <si>
    <t>小儿眼睑肿物切除术</t>
  </si>
  <si>
    <t>003304010010001-33040100103</t>
  </si>
  <si>
    <t>小儿眼睑肿物切除术（需植皮时）</t>
  </si>
  <si>
    <t>013304000400000</t>
  </si>
  <si>
    <t>眼表重建费</t>
  </si>
  <si>
    <t>通过手术修复或重建受损的眼表结构。</t>
  </si>
  <si>
    <t>平移后，结合医疗机构日常意见，稍提高理顺比价</t>
  </si>
  <si>
    <t>003304090230000-330409023</t>
  </si>
  <si>
    <t>眼前段重建术</t>
  </si>
  <si>
    <t>013304000400001</t>
  </si>
  <si>
    <t>眼表重建费-儿童（加收）</t>
  </si>
  <si>
    <t>003304090230000-33040902301</t>
  </si>
  <si>
    <t>小儿眼前段重建术</t>
  </si>
  <si>
    <t>眼表重建费-翼状胬肉切除术</t>
  </si>
  <si>
    <t>003304040070000-330404007</t>
  </si>
  <si>
    <t>翼状胬肉切除术</t>
  </si>
  <si>
    <t>包括单纯切除，转位术、单纯角膜肿物切除</t>
  </si>
  <si>
    <t>干细胞移植市级医院650元，县级医院585元，基层500元</t>
  </si>
  <si>
    <t>003304040070000-33040400702</t>
  </si>
  <si>
    <t>小儿翼状胬肉切除术</t>
  </si>
  <si>
    <t>眼表重建费-翼状胬肉切除术（干细胞移植）</t>
  </si>
  <si>
    <t>003304040070000-33040400701</t>
  </si>
  <si>
    <t>翼状胬肉切除术（干细胞移植）</t>
  </si>
  <si>
    <t>干细胞移植</t>
  </si>
  <si>
    <t>003304040070000-33040400703</t>
  </si>
  <si>
    <t>小儿翼状胬肉切除术（干细胞移植）</t>
  </si>
  <si>
    <t>013304000410000</t>
  </si>
  <si>
    <t>羊膜置入费</t>
  </si>
  <si>
    <t>通过手术置入羊膜组织来修复或重建受损的眼表结构</t>
  </si>
  <si>
    <t>所定价格涵盖手术计划、术区准备、消毒、置入、缝合等步骤所需的人力资源和基本物质资源消耗。</t>
  </si>
  <si>
    <t>003304040110000-330404011</t>
  </si>
  <si>
    <t>羊膜移植术</t>
  </si>
  <si>
    <t>013304000410001</t>
  </si>
  <si>
    <t>羊膜置入费-儿童（加收）</t>
  </si>
  <si>
    <t>003304040110000-33040401101</t>
  </si>
  <si>
    <t>小儿羊膜移植术</t>
  </si>
  <si>
    <t>013304000420000</t>
  </si>
  <si>
    <t>角膜层间冲洗费</t>
  </si>
  <si>
    <t>通过各种方式对角膜层间进行冲洗。</t>
  </si>
  <si>
    <t>所定价格涵盖消毒、贴膜、穿刺、冲洗等步骤所需的人力资源和基本物质资源消耗。</t>
  </si>
  <si>
    <t>013304000420001</t>
  </si>
  <si>
    <t>角膜层间冲洗费-儿童（加收）</t>
  </si>
  <si>
    <t>013304000430000</t>
  </si>
  <si>
    <t>浅层角膜损伤修复费</t>
  </si>
  <si>
    <t>通过各种方式修复浅层角膜损伤。</t>
  </si>
  <si>
    <t>所定价格涵盖手术计划、术区准备、消毒、修复、涂药等步骤所需的人力资源和基本物质资源消耗。</t>
  </si>
  <si>
    <t>003103001020000-310300102</t>
  </si>
  <si>
    <t>角膜异物剔除术</t>
  </si>
  <si>
    <t>003103001030000-310300103</t>
  </si>
  <si>
    <t>角膜溃疡灼烙术</t>
  </si>
  <si>
    <t>013304000430001</t>
  </si>
  <si>
    <t>浅层角膜损伤修复费-儿童（加收）</t>
  </si>
  <si>
    <t>013304000440000</t>
  </si>
  <si>
    <t>角膜部分切除费</t>
  </si>
  <si>
    <t>通过手术切除部分角膜。</t>
  </si>
  <si>
    <t>所定价格涵盖手术计划、术区准备、切除、缝合及必要时生物组织材料移植等步骤所需的人力资源和基本物质资源消耗。</t>
  </si>
  <si>
    <t>新增项目，技术难度、风险程度同“羊膜置入费”，按同一定价</t>
  </si>
  <si>
    <t>013304000440001</t>
  </si>
  <si>
    <t>角膜部分切除费-儿童（加收）</t>
  </si>
  <si>
    <t>013304000450000</t>
  </si>
  <si>
    <t>角膜切削费</t>
  </si>
  <si>
    <t>通过手术对角膜进行切削。</t>
  </si>
  <si>
    <t>所定价格涵盖手术计划、术区准备、切削、复位等步骤所需的人力资源和基本物质资源消耗。</t>
  </si>
  <si>
    <t>自主定价</t>
  </si>
  <si>
    <t>003304040010000-330404001</t>
  </si>
  <si>
    <t>表层角膜镜片镶嵌术</t>
  </si>
  <si>
    <t>供体角膜片</t>
  </si>
  <si>
    <t>003304040020000-330404002</t>
  </si>
  <si>
    <t>近视性放射状角膜切开术</t>
  </si>
  <si>
    <t>003103000780000-310300078</t>
  </si>
  <si>
    <t>准分子激光屈光性角膜矫正术（PRK）</t>
  </si>
  <si>
    <t>包括准分子激光治疗性角膜矫正术(PTK)</t>
  </si>
  <si>
    <t>013304000450001</t>
  </si>
  <si>
    <t>角膜切削费-儿童（加收）</t>
  </si>
  <si>
    <t>003304040010000-33040400101</t>
  </si>
  <si>
    <t>小儿表层角膜镜片镶嵌术</t>
  </si>
  <si>
    <t>013304000460000</t>
  </si>
  <si>
    <t>角膜基质透镜取出费</t>
  </si>
  <si>
    <t>通过手术制作角膜基质透镜并取出。</t>
  </si>
  <si>
    <t>所定价格涵盖手术计划、术区准备、制作角膜基质透镜、取出等步骤所需的人力资源和基本物质资源消耗。</t>
  </si>
  <si>
    <t>013304000460001</t>
  </si>
  <si>
    <t>角膜基质透镜取出费-儿童（加收）</t>
  </si>
  <si>
    <t>013304000470000</t>
  </si>
  <si>
    <t>角膜磨镶费</t>
  </si>
  <si>
    <t>通过手术对角膜进行磨镶。</t>
  </si>
  <si>
    <t>所定价格涵盖手术计划、术区准备、制作角膜瓣、切削、冲洗、复位等步骤所需的人力资源和基本物质资源消耗。</t>
  </si>
  <si>
    <t>003103000790000-310300079</t>
  </si>
  <si>
    <t>激光原位角膜磨镶术（LASIK）</t>
  </si>
  <si>
    <t>微型角膜板层刀</t>
  </si>
  <si>
    <t>003103000780100-330404014</t>
  </si>
  <si>
    <t>飞秒激光角膜切削术</t>
  </si>
  <si>
    <t>调试飞秒激光机，输入患者信息及角膜参数。眼部表面麻醉，置手术贴膜，开睑。在显微镜下进行操作。负压吸引，固定角膜接触镜，用应用飞秒激光切削。结束时放置一次性角膜接触镜及透明眼罩。</t>
  </si>
  <si>
    <t>自主定价；全飞秒激光</t>
  </si>
  <si>
    <t>013304000470001</t>
  </si>
  <si>
    <t>角膜磨镶费-儿童（加收）</t>
  </si>
  <si>
    <t>003304040050000-330404005</t>
  </si>
  <si>
    <t>角膜基质环植入术</t>
  </si>
  <si>
    <t>013304000480000</t>
  </si>
  <si>
    <t>自体角膜转位费</t>
  </si>
  <si>
    <t>通过手术改变角膜位置。</t>
  </si>
  <si>
    <t>所定价格涵盖手术计划、术区准备、切割、旋转、缝合、形成前房等步骤所需的人力资源和基本物质资源消耗。</t>
  </si>
  <si>
    <t>013304000480001</t>
  </si>
  <si>
    <t>自体角膜转位费-儿童（加收）</t>
  </si>
  <si>
    <t>013304000490000</t>
  </si>
  <si>
    <t>角膜加固费</t>
  </si>
  <si>
    <t>通过交联反应等各种方式，增加角膜强度、韧度和硬度。</t>
  </si>
  <si>
    <t>所定价格涵盖手术计划、术区准备、去角膜上皮、浸泡、能量照射等步骤所需的人力资源和基本物质资源消耗。</t>
  </si>
  <si>
    <t>003304040030000-330404003</t>
  </si>
  <si>
    <t>角膜缝环固定术</t>
  </si>
  <si>
    <t>013304000490001</t>
  </si>
  <si>
    <t>角膜加固费-儿童（加收）</t>
  </si>
  <si>
    <t>003304040030000-33040400301</t>
  </si>
  <si>
    <t>小儿角膜缝环固定术</t>
  </si>
  <si>
    <t>013304000500000</t>
  </si>
  <si>
    <t>角膜深层异物取出费</t>
  </si>
  <si>
    <t>利用各种方式，取出深层角膜异物。</t>
  </si>
  <si>
    <t>所定价格涵盖手术计划、术区准备、消毒、切开角膜、取出异物、缝合等步骤所需的人力资源和基本物质资源消耗。</t>
  </si>
  <si>
    <t>003304040060000-330404006</t>
  </si>
  <si>
    <t>角膜深层异物取出术</t>
  </si>
  <si>
    <t>013304000500001</t>
  </si>
  <si>
    <t>角膜深层异物取出费-儿童（加收）</t>
  </si>
  <si>
    <t>003304040060000-33040400601</t>
  </si>
  <si>
    <t>小儿角膜深层异物取出术</t>
  </si>
  <si>
    <t>013304000510000</t>
  </si>
  <si>
    <t>睫状体断离复位费</t>
  </si>
  <si>
    <t>通过手术对断离或脱离睫状体进行复位。</t>
  </si>
  <si>
    <t>所定价格涵盖手术计划、术区准备、切开、断离修复、缝合等步骤所需的人力资源和基本物质资源消耗。</t>
  </si>
  <si>
    <t>003304050080000-330405008</t>
  </si>
  <si>
    <t>睫状体断离复位术</t>
  </si>
  <si>
    <t>不含视网膜周边部脱离复位术</t>
  </si>
  <si>
    <t>013304000510001</t>
  </si>
  <si>
    <t>睫状体断离复位费-儿童（加收）</t>
  </si>
  <si>
    <t>003304050080000-33040500801</t>
  </si>
  <si>
    <t>小儿睫状体断离复位术</t>
  </si>
  <si>
    <t>013304000520000</t>
  </si>
  <si>
    <t>睫状体部分切除费</t>
  </si>
  <si>
    <t>通过手术切除部分睫状体。</t>
  </si>
  <si>
    <t>所定价格涵盖手术计划、术区准备、切开、切除、缝合等步骤所需的人力资源和基本物质资源消耗。</t>
  </si>
  <si>
    <t>003304050070000-330405007</t>
  </si>
  <si>
    <t>睫状体剥离术</t>
  </si>
  <si>
    <t>013304000520001</t>
  </si>
  <si>
    <t>睫状体部分切除费-儿童（加收）</t>
  </si>
  <si>
    <t>003304050070000-33040500701</t>
  </si>
  <si>
    <t>小儿睫状体剥离术</t>
  </si>
  <si>
    <t>013304000530000</t>
  </si>
  <si>
    <t>眶壁修复费</t>
  </si>
  <si>
    <t>通过手术修复损伤的眼眶或眶壁。</t>
  </si>
  <si>
    <t>所定价格涵盖手术计划、术区准备、消毒、切开、分离、去除受损组织、复位、固定、缝合及必要时植入修复材料等步骤所需的人力资源和基本物质资源消耗。</t>
  </si>
  <si>
    <t>不与“眶隔修复费”同时收取。两眶壁及以上加收80%。</t>
  </si>
  <si>
    <t>003304090190000-330409019</t>
  </si>
  <si>
    <t>眼眶壁骨折整复术</t>
  </si>
  <si>
    <t>包括外侧开眶钛钉、钛板固定术</t>
  </si>
  <si>
    <t>硅胶板、羟基磷灰石板</t>
  </si>
  <si>
    <t>003304090190200-33040901901</t>
  </si>
  <si>
    <t>眼眶壁骨折整复术（外侧开眶钛板固定术）</t>
  </si>
  <si>
    <t>外侧开眶钛板固定术</t>
  </si>
  <si>
    <t>003304090190100-33040901902</t>
  </si>
  <si>
    <t>眼眶壁骨折整复术（外侧开眶钛钉固定术）</t>
  </si>
  <si>
    <t>外侧开眶钛钉固定术</t>
  </si>
  <si>
    <t>003304090200000-330409020</t>
  </si>
  <si>
    <t>眶骨缺损修复术</t>
  </si>
  <si>
    <t>羟基磷灰石板</t>
  </si>
  <si>
    <t>013304000530001</t>
  </si>
  <si>
    <t>眶壁修复费-儿童（加收）</t>
  </si>
  <si>
    <t>003304090190000-33040901903</t>
  </si>
  <si>
    <t>小儿眼眶壁骨折整复术</t>
  </si>
  <si>
    <t>003304090200000-33040902001</t>
  </si>
  <si>
    <t>小儿眶骨缺损修复术</t>
  </si>
  <si>
    <t>013304000530011</t>
  </si>
  <si>
    <t>眶壁修复费-两眶壁及以上（加收）</t>
  </si>
  <si>
    <t>加收80%</t>
  </si>
  <si>
    <t>013304000540000</t>
  </si>
  <si>
    <t>眶隔修复费</t>
  </si>
  <si>
    <t>通过手术修复或调整眶隔脂肪或纤维组织。</t>
  </si>
  <si>
    <t>所定价格涵盖手术计划、术区准备、消毒、切开、修复、缝合等步骤所需的人力资源和基本物质资源消耗。</t>
  </si>
  <si>
    <t>003304090210000-330409021</t>
  </si>
  <si>
    <t>眶膈修补术</t>
  </si>
  <si>
    <t>013304000540001</t>
  </si>
  <si>
    <t>眶隔修复费-儿童（加收）</t>
  </si>
  <si>
    <t>003304090210000-33040902101</t>
  </si>
  <si>
    <t>小儿眶膈修补术</t>
  </si>
  <si>
    <t>013304000550000</t>
  </si>
  <si>
    <t>眼内容物摘除费</t>
  </si>
  <si>
    <t>通过手术去除所有眼内容物。</t>
  </si>
  <si>
    <t>所定价格涵盖手术计划、术区准备、切开、分离、去除全部眼内容物、处理眼窝、缝合等步骤所需的人力资源和基本物质资源消耗。</t>
  </si>
  <si>
    <t>不与“眼窝再造费”同时收费。</t>
  </si>
  <si>
    <t>003304090070000-330409007</t>
  </si>
  <si>
    <t>眼内容摘除术</t>
  </si>
  <si>
    <t>羟基磷灰石眼台</t>
  </si>
  <si>
    <t>013304000550001</t>
  </si>
  <si>
    <t>眼内容物摘除费-儿童（加收）</t>
  </si>
  <si>
    <t>003304090070000-33040900701</t>
  </si>
  <si>
    <t>小儿眼内容摘除术</t>
  </si>
  <si>
    <t>013304000560000</t>
  </si>
  <si>
    <t>眼球摘除费</t>
  </si>
  <si>
    <t>通过手术摘除整个眼球。</t>
  </si>
  <si>
    <t>所定价格涵盖手术计划、术区准备、切开、分离、摘除眼球、处理眼窝、缝合等步骤所需的人力资源和基本物质资源消耗。</t>
  </si>
  <si>
    <t>1.不与“眼窝再造费”同时收费；
2.“眶内容物摘除”不得和“眶内病变摘除费”同时收取；
3.眶内容物摘除加收50%。</t>
  </si>
  <si>
    <t>开展量仅11例，平移后市级按不超过省级拟定，县级调整比价</t>
  </si>
  <si>
    <t>003304090080000-330409008</t>
  </si>
  <si>
    <t>眼球摘除术</t>
  </si>
  <si>
    <t>003304090090000-330409009</t>
  </si>
  <si>
    <t>眼球摘除+植入术</t>
  </si>
  <si>
    <t>含取真皮脂肪垫</t>
  </si>
  <si>
    <t>003304090160000-330409016</t>
  </si>
  <si>
    <t>上颌骨切除合并眶内容摘除术</t>
  </si>
  <si>
    <t>013304000560001</t>
  </si>
  <si>
    <t>眼球摘除费-儿童（加收）</t>
  </si>
  <si>
    <t>003304090080000-33040900801</t>
  </si>
  <si>
    <t>小儿眼球摘除术</t>
  </si>
  <si>
    <t>003304090090000-33040900901</t>
  </si>
  <si>
    <t>小儿眼球摘除+植入术</t>
  </si>
  <si>
    <t>003304090160000-33040901601</t>
  </si>
  <si>
    <t>小儿上颌骨切除合并眶内容摘除术</t>
  </si>
  <si>
    <t>013304000560011</t>
  </si>
  <si>
    <t>眼球摘除费-眶内容物摘除（加收）</t>
  </si>
  <si>
    <t>加收50%</t>
  </si>
  <si>
    <t>003304090150000-330409015</t>
  </si>
  <si>
    <t>眶内容摘除术</t>
  </si>
  <si>
    <t>不含植皮</t>
  </si>
  <si>
    <t>003304090150000-33040901501</t>
  </si>
  <si>
    <t>小儿眶内容摘除术</t>
  </si>
  <si>
    <t>013304000570000</t>
  </si>
  <si>
    <t>眶内病变摘除费（常规）</t>
  </si>
  <si>
    <t>通过手术方式摘除眶内肿物等病变。</t>
  </si>
  <si>
    <t>所定价格涵盖手术计划、术区准备、消毒、切开、分离、摘除、缝合等步骤所需的人力资源和基本物质资源消耗。</t>
  </si>
  <si>
    <t>003304090140000-330409014</t>
  </si>
  <si>
    <t>眶内肿物摘除术</t>
  </si>
  <si>
    <t>包括前路摘除及侧劈开眶术、眶尖部肿物摘除术</t>
  </si>
  <si>
    <t>侧劈开眶术市级医院1620元，县级医院1460元，基层1240元</t>
  </si>
  <si>
    <t>013304000570001</t>
  </si>
  <si>
    <t>眶内病变摘除费（常规）-儿童（加收）</t>
  </si>
  <si>
    <t>003304090140000-33040901402</t>
  </si>
  <si>
    <t>小儿眶内肿物摘除术</t>
  </si>
  <si>
    <t>013304000580000</t>
  </si>
  <si>
    <t>眶内病变摘除费（复杂）</t>
  </si>
  <si>
    <t>通过手术方式实现复杂情况下的眶内肿物等病变摘除。</t>
  </si>
  <si>
    <t>所定价格涵盖手术计划、术区准备、消毒、切开眶壁、分离、摘除、修补充填、再造成形、缝合等步骤所需的人力资源和基本物质资源消耗。</t>
  </si>
  <si>
    <t>1.复杂情况指：眼球赤道后病变的摘除；2.不与“眼窝填充费”、“眼窝再造费”同时收取。</t>
  </si>
  <si>
    <t>003304090140001-33040901401</t>
  </si>
  <si>
    <t>眶内肿物摘除术-侧劈开眶术</t>
  </si>
  <si>
    <t>侧劈开眶术</t>
  </si>
  <si>
    <t>013304000580001</t>
  </si>
  <si>
    <t>眶内病变摘除费（复杂）-儿童（加收）</t>
  </si>
  <si>
    <t>003304090140001-33040901403</t>
  </si>
  <si>
    <t>小儿眶内肿物摘除术-侧劈开眶术</t>
  </si>
  <si>
    <t>013304000590000</t>
  </si>
  <si>
    <t>眼眶减压费</t>
  </si>
  <si>
    <t>通过各种手术方式调整眶部组织，减轻压力。</t>
  </si>
  <si>
    <t>所定价格涵盖手术计划、术区准备、消毒、切开、分离、减压、修补充填、再造成形、缝合等步骤所需的人力资源和基本物质资源消耗。</t>
  </si>
  <si>
    <t>开展量仅10例，调整价格理顺比价</t>
  </si>
  <si>
    <t>003304090060000-330409006</t>
  </si>
  <si>
    <t>甲状腺突眼矫正术</t>
  </si>
  <si>
    <t>003304090220000-330409022</t>
  </si>
  <si>
    <t>眼眶减压术</t>
  </si>
  <si>
    <t>003304090240000-330409024</t>
  </si>
  <si>
    <t>视神经减压术</t>
  </si>
  <si>
    <t>一次性磨头</t>
  </si>
  <si>
    <t>013304000590001</t>
  </si>
  <si>
    <t>眼眶减压费-儿童（加收）</t>
  </si>
  <si>
    <t>003304090060000-33040900601</t>
  </si>
  <si>
    <t>小儿甲状腺突眼矫正术</t>
  </si>
  <si>
    <t>003304090220000-33040902201</t>
  </si>
  <si>
    <t>小儿眼眶减压术</t>
  </si>
  <si>
    <t>003304090240000-33040902401</t>
  </si>
  <si>
    <t>小儿视神经减压术</t>
  </si>
  <si>
    <t>013304000590011</t>
  </si>
  <si>
    <t>眼眶减压费-两眶壁及以上（加收）</t>
  </si>
  <si>
    <t>按照省局定价规则，加收80%</t>
  </si>
  <si>
    <t>013304000600000</t>
  </si>
  <si>
    <t>眶内异物取出费</t>
  </si>
  <si>
    <t>通过各种手术方式取出眼球与眼眶之间的异物。</t>
  </si>
  <si>
    <t>所定价格涵盖手术计划、术区准备、消毒、切开、分离、取出异物、缝合等步骤所需的人力资源和基本物质资源消耗。</t>
  </si>
  <si>
    <t>003304090040000-330409004</t>
  </si>
  <si>
    <t>眶内异物取出术</t>
  </si>
  <si>
    <t>013304000600001</t>
  </si>
  <si>
    <t>眶内异物取出费-儿童（加收）</t>
  </si>
  <si>
    <t>003304090040000-33040900401</t>
  </si>
  <si>
    <t>小儿眶内异物取出术</t>
  </si>
  <si>
    <t>013304000610000</t>
  </si>
  <si>
    <t>球内异物取出费</t>
  </si>
  <si>
    <t>通过各种手术方式取出眼球内异物。</t>
  </si>
  <si>
    <t>所定价格涵盖手术计划、术区准备、消毒、定位、切开、取出异物、缝合等步骤所需的人力资源和基本物质资源消耗。</t>
  </si>
  <si>
    <t>003304070030000-330407003</t>
  </si>
  <si>
    <t>玻璃体内猪囊尾蚴取出术</t>
  </si>
  <si>
    <t>玻璃体切割头</t>
  </si>
  <si>
    <t>003304090010000-330409001</t>
  </si>
  <si>
    <t>球内磁性异物取出术</t>
  </si>
  <si>
    <t>003304090020000-330409002</t>
  </si>
  <si>
    <t>球内非磁性异物取出术</t>
  </si>
  <si>
    <t>003304090030000-330409003</t>
  </si>
  <si>
    <t>球壁异物取出术</t>
  </si>
  <si>
    <t>003103000730000-310300073</t>
  </si>
  <si>
    <t>球内异物定位</t>
  </si>
  <si>
    <t>含眼科操作部分</t>
  </si>
  <si>
    <t>013304000610001</t>
  </si>
  <si>
    <t>球内异物取出费-儿童（加收）</t>
  </si>
  <si>
    <t>003304070030000-33040700301</t>
  </si>
  <si>
    <t>小儿玻璃体内猪囊尾蚴取出术</t>
  </si>
  <si>
    <t>003304090010000-33040900101</t>
  </si>
  <si>
    <t>小儿球内磁性异物取出术</t>
  </si>
  <si>
    <t>003304090020000-33040900201</t>
  </si>
  <si>
    <t>小儿球内非磁性异物取出术</t>
  </si>
  <si>
    <t>003304090030000-33040900301</t>
  </si>
  <si>
    <t>小儿球壁异物取出术</t>
  </si>
  <si>
    <t>013304000620000</t>
  </si>
  <si>
    <t>眼窝填充费</t>
  </si>
  <si>
    <t>通过各种手术方式填充义眼台等，恢复塌陷的眼窝。</t>
  </si>
  <si>
    <t>所定价格涵盖手术计划、术区准备、切开、填充、缝合等步骤所需的人力资源和基本物质资源消耗。</t>
  </si>
  <si>
    <t>平移后，县级按不超过省级下调拟定</t>
  </si>
  <si>
    <t>003304090170000-330409017</t>
  </si>
  <si>
    <t>眼窝填充术</t>
  </si>
  <si>
    <t>003304090120000-330409012</t>
  </si>
  <si>
    <t>活动性义眼眼座植入术</t>
  </si>
  <si>
    <t>眼座</t>
  </si>
  <si>
    <t>003304090110000-330409011</t>
  </si>
  <si>
    <t>义眼台打孔术</t>
  </si>
  <si>
    <t>013304000620001</t>
  </si>
  <si>
    <t>眼窝填充费-儿童（加收）</t>
  </si>
  <si>
    <t>003304090170000-33040901701</t>
  </si>
  <si>
    <t>小儿眼窝填充术</t>
  </si>
  <si>
    <t>003304090120000-33040901201</t>
  </si>
  <si>
    <t>小儿活动性义眼眼座植入术</t>
  </si>
  <si>
    <t>003304090110000-33040901101</t>
  </si>
  <si>
    <t>小儿义眼台打孔术</t>
  </si>
  <si>
    <t>013304000630000</t>
  </si>
  <si>
    <t>眼窝再造费</t>
  </si>
  <si>
    <t>通过各种手术方式重建眼窝的生理结构及形态。</t>
  </si>
  <si>
    <t>所定价格涵盖手术计划、术区准备、消毒、切开、分离、骨质重建、软组织修复、缝合等步骤所需的人力资源和基本物质资源消耗。</t>
  </si>
  <si>
    <t>不与“眼球摘除费”同时收取。</t>
  </si>
  <si>
    <t>003304090180000-330409018</t>
  </si>
  <si>
    <t>眼窝再造术</t>
  </si>
  <si>
    <t>球后假体材料</t>
  </si>
  <si>
    <t>013304000630001</t>
  </si>
  <si>
    <t>眼窝再造费-儿童（加收）</t>
  </si>
  <si>
    <t>003304090180000-33040901801</t>
  </si>
  <si>
    <t>小儿眼窝再造术</t>
  </si>
  <si>
    <t>013304000640000</t>
  </si>
  <si>
    <t>泪道成形费</t>
  </si>
  <si>
    <t>通过各种手术方式改善或重建泪道结构。</t>
  </si>
  <si>
    <t>所定价格涵盖手术计划、术区准备、消毒、切开、扩张、疏通、重建、缝合及必要时放置植入物等步骤所需的人力资源和基本物质资源消耗。</t>
  </si>
  <si>
    <t>使用微动力辅助三甲医院加收600元，三甲以下医院加收540元。</t>
  </si>
  <si>
    <t>平移取整，县级不超过省级</t>
  </si>
  <si>
    <t>003304020060000-330402006</t>
  </si>
  <si>
    <t>泪囊结膜囊吻合术</t>
  </si>
  <si>
    <t>硅胶管或金属管</t>
  </si>
  <si>
    <t>003304020030000-330402003</t>
  </si>
  <si>
    <t>泪小管吻合术</t>
  </si>
  <si>
    <t>003304020070000-330402007</t>
  </si>
  <si>
    <t>鼻腔泪囊吻合术</t>
  </si>
  <si>
    <t>使用微动力进行软组织切割或骨组织磨除市级加收540元，县级加收485元，基层加收415元。</t>
  </si>
  <si>
    <t>003304020080000-330402008</t>
  </si>
  <si>
    <t>鼻泪道再通术</t>
  </si>
  <si>
    <t>包括穿线或义管植入</t>
  </si>
  <si>
    <t>003304020090000-330402009</t>
  </si>
  <si>
    <t>泪道成形术</t>
  </si>
  <si>
    <t>含泪小点切开术</t>
  </si>
  <si>
    <t>激光市级医院575元，县级医院520元，基层445元</t>
  </si>
  <si>
    <t>003304020090000-33040200901</t>
  </si>
  <si>
    <t>泪道成形术（激光）</t>
  </si>
  <si>
    <t>013304000640001</t>
  </si>
  <si>
    <t>泪道成形费-儿童（加收）</t>
  </si>
  <si>
    <t>003304020060000-33040200601</t>
  </si>
  <si>
    <t>小儿泪囊结膜囊吻合术</t>
  </si>
  <si>
    <t>003304020030000-33040200301</t>
  </si>
  <si>
    <t>小儿泪小管吻合术</t>
  </si>
  <si>
    <t>003304020070000-33040200701</t>
  </si>
  <si>
    <t>小儿鼻腔泪囊吻合术</t>
  </si>
  <si>
    <t>003304020080000-33040200801</t>
  </si>
  <si>
    <t>小儿鼻泪道再通术</t>
  </si>
  <si>
    <t>003304020090000-33040200902</t>
  </si>
  <si>
    <t>小儿泪道成形术</t>
  </si>
  <si>
    <t>003304020090000-33040200903</t>
  </si>
  <si>
    <t>小儿泪道成形术（激光）</t>
  </si>
  <si>
    <t>013304000640011</t>
  </si>
  <si>
    <t>泪道成形费-泪小点外翻矫正术（减收）</t>
  </si>
  <si>
    <t>无开展量，按主项60%减收</t>
  </si>
  <si>
    <t>003304020040100-33040200401</t>
  </si>
  <si>
    <t>泪囊摘除术（泪囊瘘管摘除）</t>
  </si>
  <si>
    <t>泪囊瘘管摘除术</t>
  </si>
  <si>
    <t>泪道成形费-微动力辅助加收</t>
  </si>
  <si>
    <t>353300000010000-33040200702</t>
  </si>
  <si>
    <t>鼻腔泪囊吻合术微动力辅助加收</t>
  </si>
  <si>
    <t>013304000650000</t>
  </si>
  <si>
    <t>泪道病变切除费</t>
  </si>
  <si>
    <t>通过各种手术方式切除泪道病变或部分泪道。</t>
  </si>
  <si>
    <t>所定价格涵盖手术计划、术区准备、消毒、切开、分离、切除、缝合等步骤所需的人力资源和基本物质资源消耗。</t>
  </si>
  <si>
    <t>开展量仅3例，平移后稍提高，理顺比价</t>
  </si>
  <si>
    <t>003304020040000-330402004</t>
  </si>
  <si>
    <t>泪囊摘除术</t>
  </si>
  <si>
    <t>包括泪囊瘘管摘除术</t>
  </si>
  <si>
    <t>013304000650001</t>
  </si>
  <si>
    <t>泪道病变切除费-儿童（加收）</t>
  </si>
  <si>
    <t>003304020040000-33040200402</t>
  </si>
  <si>
    <t>小儿泪囊摘除术</t>
  </si>
  <si>
    <t>013304000650100</t>
  </si>
  <si>
    <t>泪道病变切除费-泪囊摘除费（扩展）</t>
  </si>
  <si>
    <t>无开展量，扩展项按主项定价</t>
  </si>
  <si>
    <t>003304020050000-330402005</t>
  </si>
  <si>
    <t>睑部泪腺摘除术</t>
  </si>
  <si>
    <t>包括泪腺部分切除、泪腺肿瘤摘除</t>
  </si>
  <si>
    <t>003304020050100-33040200501</t>
  </si>
  <si>
    <t>睑部泪腺摘除术（泪腺部分切除）</t>
  </si>
  <si>
    <t>泪腺部分切除</t>
  </si>
  <si>
    <t>003304020050200-33040200502</t>
  </si>
  <si>
    <t>睑部泪腺摘除术（泪腺肿瘤摘除）</t>
  </si>
  <si>
    <t>泪腺肿瘤摘除</t>
  </si>
  <si>
    <t>003304020050000-33040200503</t>
  </si>
  <si>
    <t>小儿睑部泪腺摘除术</t>
  </si>
  <si>
    <t>013304000660000</t>
  </si>
  <si>
    <t>泪腺脱垂复位费</t>
  </si>
  <si>
    <t>通过各种手术方式复位脱垂的泪腺。</t>
  </si>
  <si>
    <t>所定价格涵盖手术计划、术区准备、消毒、切开、固定缝合等步骤所需的人力资源和基本物质资源消耗。</t>
  </si>
  <si>
    <t>003304020020000-330402002</t>
  </si>
  <si>
    <t>泪小点外翻矫正术</t>
  </si>
  <si>
    <t>包括泪腺脱垂矫正术</t>
  </si>
  <si>
    <t>013304000660001</t>
  </si>
  <si>
    <t>泪腺脱垂复位费-儿童（加收）</t>
  </si>
  <si>
    <t>003304020020000-33040200201</t>
  </si>
  <si>
    <t>小儿泪小点外翻矫正术</t>
  </si>
  <si>
    <t>013304000670000</t>
  </si>
  <si>
    <t>眼球裂伤缝合费</t>
  </si>
  <si>
    <t>通过各种手术方式修复眼球裂伤。</t>
  </si>
  <si>
    <t>所定价格涵盖手术计划、术区准备、探查、清创、缝合等步骤所需的人力资源和基本物质资源消耗。</t>
  </si>
  <si>
    <t>003304090050000-330409005</t>
  </si>
  <si>
    <t>眼球裂伤缝合术</t>
  </si>
  <si>
    <t>包括角膜、巩膜裂伤缝合及巩膜探查术</t>
  </si>
  <si>
    <t>013304000670001</t>
  </si>
  <si>
    <t>眼球裂伤缝合费-儿童（加收）</t>
  </si>
  <si>
    <t>003304090050000-33040900503</t>
  </si>
  <si>
    <t>小儿眼球裂伤缝合术</t>
  </si>
  <si>
    <t>013304000670011</t>
  </si>
  <si>
    <t>眼球裂伤缝合费-裂伤累及视网膜（加收）</t>
  </si>
  <si>
    <t>按照省局定价规则，加收30%</t>
  </si>
  <si>
    <t>003304090050100-33040900501</t>
  </si>
  <si>
    <t>眼球裂伤缝合术（角膜、巩膜裂伤缝合）</t>
  </si>
  <si>
    <t>003304090050300-33040900502</t>
  </si>
  <si>
    <t>眼球裂伤缝合术（巩膜探查术）</t>
  </si>
  <si>
    <t>013304000680000</t>
  </si>
  <si>
    <t>眼外肌调整矫治费</t>
  </si>
  <si>
    <t>通过各种手术方式调整眼外肌位置或张力。</t>
  </si>
  <si>
    <t>所定价格涵盖手术计划、术区准备、消毒、切开、分离、调整、缝合等步骤所需的人力资源和基本物质资源消耗。</t>
  </si>
  <si>
    <t>每条肌肉</t>
  </si>
  <si>
    <t>003304080010000-330408001</t>
  </si>
  <si>
    <t>共同性斜视矫正术</t>
  </si>
  <si>
    <t>含水平眼外肌后徙、边缘切开、断腱、前徙、缩短、折叠；包括六条眼外肌</t>
  </si>
  <si>
    <t>次和一条肌肉</t>
  </si>
  <si>
    <t>超过一条肌肉及二次手术或伴有另一种斜视同时手术市级加收437.5元，县级加收420元，基层加收357元；超过一条肌肉及二次手术或伴有另一种斜视同时手术加收后，多次手术市级再加收218.8元，县级再加收210元，基层再加收178.5元。</t>
  </si>
  <si>
    <t>003304080010001-33040800101</t>
  </si>
  <si>
    <t>共同性斜视矫正术（二次手术）</t>
  </si>
  <si>
    <t>超过一条肌肉及二次手术或伴有另一种斜视同时手术</t>
  </si>
  <si>
    <t>003304080010002-33040800102</t>
  </si>
  <si>
    <t>共同性斜视矫正术（多次手术）</t>
  </si>
  <si>
    <t>超过一条肌肉及二次手术或伴有另一种斜视同时手术加收后，多次手术</t>
  </si>
  <si>
    <t>003304080020000-330408002</t>
  </si>
  <si>
    <t>非共同性斜视矫正术</t>
  </si>
  <si>
    <t>含结膜及结膜下组织分离、松解、肌肉分离及共同性斜视矫正术；包括6条眼外肌</t>
  </si>
  <si>
    <t>超过一条肌肉及二次手术、结膜、肌肉及眼眶修复，二种斜视同时存在，非常规眼外肌手术市级医院加收505元，县级医院加收455元，基层加收385元；超过一条肌肉及二次手术、结膜、肌肉及眼眶修复，二种斜视同时存在，非常规眼外肌手术加收后，多次手术市级医院再加收250元，县级医院加收225元，基层加收190元</t>
  </si>
  <si>
    <t>003304080020001-33040800201</t>
  </si>
  <si>
    <t>非共同性斜视矫正术（二次手术）</t>
  </si>
  <si>
    <t>超过一条肌肉及二次手术、结膜、肌肉及眼眶修复，二种斜视同时存在，非常规眼外肌手术</t>
  </si>
  <si>
    <t>003304080020002-33040800202</t>
  </si>
  <si>
    <t>非共同性斜视矫正术（多次手术）</t>
  </si>
  <si>
    <t>超过一条肌肉及二次手术、结膜、肌肉及眼眶修复，二种斜视同时存在，非常规眼外肌手术加收后，多次手术</t>
  </si>
  <si>
    <t>003304080030000-330408003</t>
  </si>
  <si>
    <t>非常规眼外肌手术</t>
  </si>
  <si>
    <t>包括肌肉联扎术、移位术、延长术、调整缝线术、眶壁固定术</t>
  </si>
  <si>
    <t>每增加一个手术加收50%</t>
  </si>
  <si>
    <t>003304080030001-33040800301</t>
  </si>
  <si>
    <t>非常规眼外肌手术（每增加一个手术加收）</t>
  </si>
  <si>
    <t>每增加一个手术加收</t>
  </si>
  <si>
    <t>003304080040000-330408004</t>
  </si>
  <si>
    <t>眼震矫正术</t>
  </si>
  <si>
    <t>013304000680001</t>
  </si>
  <si>
    <t>眼外肌调整矫治费-儿童（加收）</t>
  </si>
  <si>
    <t>003304080010000-33040800103</t>
  </si>
  <si>
    <t>小儿共同性斜视矫正术</t>
  </si>
  <si>
    <t>003304080010001-33040800104</t>
  </si>
  <si>
    <t>小儿共同性斜视矫正术（二次手术）</t>
  </si>
  <si>
    <t>003304080010002-33040800105</t>
  </si>
  <si>
    <t>小儿共同性斜视矫正术（多次手术）</t>
  </si>
  <si>
    <t>003304080020000-33040800203</t>
  </si>
  <si>
    <t>小儿非共同性斜视矫正术</t>
  </si>
  <si>
    <t>003304080020001-33040800204</t>
  </si>
  <si>
    <t>小儿非共同性斜视矫正术（二次手术）</t>
  </si>
  <si>
    <t>003304080020002-33040800205</t>
  </si>
  <si>
    <t>小儿非共同性斜视矫正术（多次手术）</t>
  </si>
  <si>
    <t>003304080030000-33040800302</t>
  </si>
  <si>
    <t>小儿非常规眼外肌手术</t>
  </si>
  <si>
    <t>003304080030001-33040800303</t>
  </si>
  <si>
    <t>小儿非常规眼外肌手术（每增加一个手术加收）</t>
  </si>
  <si>
    <t>003304080040000-33040800401</t>
  </si>
  <si>
    <t>小儿眼震矫正术</t>
  </si>
  <si>
    <t>013304000690000</t>
  </si>
  <si>
    <t>义眼台修复费</t>
  </si>
  <si>
    <t>通过各种手术方式修复义眼台。</t>
  </si>
  <si>
    <t>所定价格涵盖手术计划、术区准备、切开、分离、修整、固定、缝合等步骤所需的人力资源和基本物质资源消耗。</t>
  </si>
  <si>
    <t>013304000690001</t>
  </si>
  <si>
    <t>义眼台修复费-儿童（加收）</t>
  </si>
  <si>
    <t>013304000700000</t>
  </si>
  <si>
    <t>眶内感染清创/引流费</t>
  </si>
  <si>
    <t>通过各种手术方式清除眶内感染性病变。</t>
  </si>
  <si>
    <t>所定价格涵盖手术计划、术区准备、切开、清创、引流、缝合等步骤所需的人力资源和基本物质资源消耗。</t>
  </si>
  <si>
    <t>按省级定价原则，根据项目间比价关系拟定（技术难度、风险程度为原项目“眼部脓肿切开引流术”2.5倍）</t>
  </si>
  <si>
    <t>003103000930000-310300093</t>
  </si>
  <si>
    <t>眼部脓肿切开引流术</t>
  </si>
  <si>
    <t>013304000700001</t>
  </si>
  <si>
    <t>眶内感染清创/引流费-儿童（加收）</t>
  </si>
  <si>
    <t>013304000710000</t>
  </si>
  <si>
    <t>球结膜切开冲洗费</t>
  </si>
  <si>
    <t>通过各种手术方式切开并冲洗球结膜，清除有害物质或改善血运。</t>
  </si>
  <si>
    <t>所定价格涵盖手术计划、术区准备、切开、冲洗、必要时缝合等步骤所需的人力资源和基本物质资源消耗。</t>
  </si>
  <si>
    <t>003304030080000-330403008</t>
  </si>
  <si>
    <t>球结膜放射状切开冲洗+减压术</t>
  </si>
  <si>
    <t>包括眼突减压、酸碱烧伤减压冲洗</t>
  </si>
  <si>
    <t>013304000710001</t>
  </si>
  <si>
    <t>球结膜切开冲洗费-儿童（加收）</t>
  </si>
  <si>
    <t>003304030080000-33040300801</t>
  </si>
  <si>
    <t>小儿球结膜放射状切开冲洗+减压术</t>
  </si>
  <si>
    <t>013304000720000</t>
  </si>
  <si>
    <t>眼袋整形费</t>
  </si>
  <si>
    <t>通过各种手术方式去除眼睑脂肪、皮肤、肌肉。</t>
  </si>
  <si>
    <t>美容整形常用项目。</t>
  </si>
  <si>
    <t>003304010150000-330401015</t>
  </si>
  <si>
    <t>眼袋整形术</t>
  </si>
  <si>
    <t>双侧</t>
  </si>
  <si>
    <t>013304000730000</t>
  </si>
  <si>
    <t>重睑成形费</t>
  </si>
  <si>
    <t>通过各种手术方式实现重睑成形。</t>
  </si>
  <si>
    <t>003304010120000-330401012</t>
  </si>
  <si>
    <t>重睑成形术</t>
  </si>
  <si>
    <t>包括切开法、非缝线法；不含内外眦成形</t>
  </si>
  <si>
    <t>003304010130000-330401013</t>
  </si>
  <si>
    <t>激光重睑整形术</t>
  </si>
  <si>
    <t>013304000740000</t>
  </si>
  <si>
    <t>眶距矫正费</t>
  </si>
  <si>
    <t>通过各种手术方式矫正眶距。</t>
  </si>
  <si>
    <t>所定价格涵盖手术计划、术区准备、消毒、切开、截骨/植骨、固定、缝合等步骤所需的人力资源和基本物质资源消耗。</t>
  </si>
  <si>
    <t>003304090250000-330409025</t>
  </si>
  <si>
    <t>眶距增宽症整形术</t>
  </si>
  <si>
    <t>003304090250000-33040902501</t>
  </si>
  <si>
    <t>小儿眶距增宽症整形术</t>
  </si>
  <si>
    <t>013304000750000</t>
  </si>
  <si>
    <t>隆眉弓手术费</t>
  </si>
  <si>
    <t>通过各种手术方式增加眉弓高度和立体感，改善面部轮廓。</t>
  </si>
  <si>
    <t>所定价格涵盖手术计划、术区准备、切开、冲洗、缝合等步骤所需的人力资源和基本物质资源消耗。</t>
  </si>
  <si>
    <t>003304090260000-330409026</t>
  </si>
  <si>
    <t>隆眉弓术</t>
  </si>
  <si>
    <t>硅油或硅板填充剂</t>
  </si>
  <si>
    <t>013304000760000</t>
  </si>
  <si>
    <t>眉矫正手术费</t>
  </si>
  <si>
    <t>通过各种手术方式调整眉毛位置并改善其形态。</t>
  </si>
  <si>
    <t>003304090270000-330409027</t>
  </si>
  <si>
    <t>眉畸形矫正术</t>
  </si>
  <si>
    <t>包括“八”字眉、眉移位等</t>
  </si>
  <si>
    <t>003304090280000-330409028</t>
  </si>
  <si>
    <t>眉缺损修复术</t>
  </si>
  <si>
    <t>包括部分缺损、全部缺损</t>
  </si>
  <si>
    <t>现行收费方式</t>
  </si>
  <si>
    <t>立项指南收费方式</t>
  </si>
  <si>
    <t>省属三甲价格（元）</t>
  </si>
  <si>
    <t>省属三甲以下价格（元）</t>
  </si>
  <si>
    <t>改变后价格
(市级)</t>
  </si>
  <si>
    <t>改变后价格
(县级)</t>
  </si>
  <si>
    <t>改变后价格
(基层)</t>
  </si>
  <si>
    <t>003103000450000-310300045</t>
  </si>
  <si>
    <t>人工晶体度数测量</t>
  </si>
  <si>
    <t>003103000090000-310300009</t>
  </si>
  <si>
    <t>隐形眼镜配置</t>
  </si>
  <si>
    <t>含验光、角膜曲率测量、泪液分泌功能(Schirmer)测定</t>
  </si>
  <si>
    <t>003304060150000-330406015</t>
  </si>
  <si>
    <t>白内障囊外摘除联合青光眼人工晶体植入术</t>
  </si>
  <si>
    <t>003304060150000-33040601501</t>
  </si>
  <si>
    <t>小儿白内障囊外摘除联合青光眼人工晶体植入术</t>
  </si>
  <si>
    <t>003304060170000-330406017</t>
  </si>
  <si>
    <t>白内障摘除联合玻璃体切割术</t>
  </si>
  <si>
    <t>包括前路摘晶体，后路摘晶体</t>
  </si>
  <si>
    <t>003304060170000-33040601701</t>
  </si>
  <si>
    <t>小儿白内障摘除联合玻璃体切割术</t>
  </si>
  <si>
    <t>003304060060000-330406006</t>
  </si>
  <si>
    <t>白内障囊外摘除+人工晶体植入术</t>
  </si>
  <si>
    <t>003304060060000-33040600601</t>
  </si>
  <si>
    <t>小儿白内障囊外摘除+人工晶体植入术</t>
  </si>
  <si>
    <t>003304060100000-330406010</t>
  </si>
  <si>
    <t>白内障超声乳化摘除术+人工晶体植入术</t>
  </si>
  <si>
    <t>003304060100000-33040601001</t>
  </si>
  <si>
    <t>小儿白内障超声乳化摘除术+人工晶体植入术</t>
  </si>
  <si>
    <t>003304060180000-330406018</t>
  </si>
  <si>
    <t>球内异物取出术联合晶体玻璃体切除及人工晶体植入术（四联术）</t>
  </si>
  <si>
    <t>玻璃体切割头、膨胀气体、硅油、重水、一次性超乳包</t>
  </si>
  <si>
    <t>003304060180000-33040601801</t>
  </si>
  <si>
    <t>小儿球内异物取出术联合晶体玻璃体切除及人工晶体植入术（四联术）</t>
  </si>
  <si>
    <t>003304060080000-330406008</t>
  </si>
  <si>
    <t>人工晶体置换术</t>
  </si>
  <si>
    <t>003304060080000-33040600801</t>
  </si>
  <si>
    <t>小儿人工晶体置换术</t>
  </si>
  <si>
    <t>003304060130000-330406013</t>
  </si>
  <si>
    <t>白内障青光眼联合手术</t>
  </si>
  <si>
    <t>003304060130000-33040601301</t>
  </si>
  <si>
    <t>小儿白内障青光眼联合手术</t>
  </si>
  <si>
    <t>003304060140000-330406014</t>
  </si>
  <si>
    <t>白内障摘除联合青光眼硅管植入术</t>
  </si>
  <si>
    <t>003304060140000-33040601401</t>
  </si>
  <si>
    <t>小儿白内障摘除联合青光眼硅管植入术</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</si>
  <si>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</si>
  <si>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</si>
  <si>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</si>
  <si>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</si>
  <si>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</si>
  <si>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</si>
  <si>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</si>
  <si>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</si>
  <si>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</si>
  <si>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</si>
  <si>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</si>
  <si>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</si>
  <si>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</si>
  <si>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</si>
  <si>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</si>
  <si>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</si>
  <si>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</si>
  <si>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</si>
  <si>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</si>
  <si>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</si>
  <si>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</si>
  <si>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</si>
  <si>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null</t>
  </si>
  <si>
    <t>2026-03-24 00:00:00</t>
  </si>
  <si>
    <t>normal</t>
  </si>
  <si>
    <t>main</t>
  </si>
</sst>
</file>

<file path=xl/styles.xml><?xml version="1.0" encoding="utf-8"?>
<styleSheet xmlns="http://schemas.openxmlformats.org/spreadsheetml/2006/main">
  <numFmts count="6">
    <numFmt numFmtId="176" formatCode="#\ ?/?"/>
    <numFmt numFmtId="41" formatCode="_ * #,##0_ ;_ * \-#,##0_ ;_ * &quot;-&quot;_ ;_ @_ "/>
    <numFmt numFmtId="177" formatCode="0.00_);[Red]\(0.00\)"/>
    <numFmt numFmtId="43" formatCode="_ * #,##0.00_ ;_ * \-#,##0.00_ ;_ * &quot;-&quot;??_ ;_ @_ "/>
    <numFmt numFmtId="42" formatCode="_ &quot;￥&quot;* #,##0_ ;_ &quot;￥&quot;* \-#,##0_ ;_ &quot;￥&quot;* &quot;-&quot;_ ;_ @_ "/>
    <numFmt numFmtId="44" formatCode="_ &quot;￥&quot;* #,##0.00_ ;_ &quot;￥&quot;* \-#,##0.00_ ;_ &quot;￥&quot;* &quot;-&quot;??_ ;_ @_ "/>
  </numFmts>
  <fonts count="41">
    <font>
      <sz val="11"/>
      <color theme="1"/>
      <name val="宋体"/>
      <charset val="134"/>
      <scheme val="minor"/>
    </font>
    <font>
      <b/>
      <sz val="10"/>
      <color theme="1"/>
      <name val="Arial Unicode MS"/>
      <charset val="134"/>
    </font>
    <font>
      <sz val="11"/>
      <color theme="1"/>
      <name val="仿宋"/>
      <charset val="134"/>
    </font>
    <font>
      <sz val="11"/>
      <color rgb="FFC00000"/>
      <name val="仿宋"/>
      <charset val="134"/>
    </font>
    <font>
      <sz val="11"/>
      <color rgb="FFC00000"/>
      <name val="宋体"/>
      <charset val="134"/>
      <scheme val="minor"/>
    </font>
    <font>
      <b/>
      <sz val="10"/>
      <name val="仿宋"/>
      <charset val="134"/>
    </font>
    <font>
      <sz val="10"/>
      <name val="仿宋"/>
      <charset val="134"/>
    </font>
    <font>
      <b/>
      <sz val="10"/>
      <color rgb="FFC00000"/>
      <name val="仿宋"/>
      <charset val="134"/>
    </font>
    <font>
      <sz val="10"/>
      <color rgb="FFC00000"/>
      <name val="仿宋"/>
      <charset val="134"/>
    </font>
    <font>
      <sz val="9"/>
      <color theme="1"/>
      <name val="仿宋"/>
      <charset val="134"/>
    </font>
    <font>
      <sz val="11"/>
      <name val="宋体"/>
      <charset val="134"/>
      <scheme val="minor"/>
    </font>
    <font>
      <sz val="11"/>
      <name val="楷体"/>
      <charset val="134"/>
    </font>
    <font>
      <sz val="12"/>
      <name val="CESI宋体-GB2312"/>
      <charset val="134"/>
    </font>
    <font>
      <sz val="12"/>
      <color theme="1"/>
      <name val="CESI宋体-GB2312"/>
      <charset val="134"/>
    </font>
    <font>
      <sz val="18"/>
      <name val="方正小标宋简体"/>
      <charset val="134"/>
    </font>
    <font>
      <sz val="18"/>
      <name val="楷体"/>
      <charset val="134"/>
    </font>
    <font>
      <b/>
      <sz val="10"/>
      <color theme="1"/>
      <name val="仿宋"/>
      <charset val="134"/>
    </font>
    <font>
      <sz val="10"/>
      <color theme="1"/>
      <name val="仿宋"/>
      <charset val="134"/>
    </font>
    <font>
      <sz val="10"/>
      <color rgb="FFFF0000"/>
      <name val="仿宋"/>
      <charset val="134"/>
    </font>
    <font>
      <sz val="14"/>
      <color theme="1"/>
      <name val="宋体"/>
      <charset val="134"/>
      <scheme val="minor"/>
    </font>
    <font>
      <sz val="12"/>
      <color rgb="FFC00000"/>
      <name val="CESI宋体-GB2312"/>
      <charset val="134"/>
    </font>
    <font>
      <sz val="12"/>
      <name val="楷体"/>
      <charset val="134"/>
    </font>
    <font>
      <sz val="11"/>
      <color rgb="FFFA7D00"/>
      <name val="宋体"/>
      <charset val="134"/>
      <scheme val="minor"/>
    </font>
    <font>
      <b/>
      <sz val="11"/>
      <color theme="3"/>
      <name val="宋体"/>
      <charset val="134"/>
      <scheme val="minor"/>
    </font>
    <font>
      <b/>
      <sz val="11"/>
      <color theme="1"/>
      <name val="宋体"/>
      <charset val="134"/>
      <scheme val="minor"/>
    </font>
    <font>
      <sz val="10"/>
      <name val="Arial"/>
      <charset val="0"/>
    </font>
    <font>
      <sz val="11"/>
      <color theme="0"/>
      <name val="宋体"/>
      <charset val="134"/>
      <scheme val="minor"/>
    </font>
    <font>
      <i/>
      <sz val="11"/>
      <color rgb="FF7F7F7F"/>
      <name val="宋体"/>
      <charset val="134"/>
      <scheme val="minor"/>
    </font>
    <font>
      <b/>
      <sz val="18"/>
      <color theme="3"/>
      <name val="宋体"/>
      <charset val="134"/>
      <scheme val="minor"/>
    </font>
    <font>
      <b/>
      <sz val="11"/>
      <color rgb="FF3F3F3F"/>
      <name val="宋体"/>
      <charset val="134"/>
      <scheme val="minor"/>
    </font>
    <font>
      <b/>
      <sz val="13"/>
      <color theme="3"/>
      <name val="宋体"/>
      <charset val="134"/>
      <scheme val="minor"/>
    </font>
    <font>
      <b/>
      <sz val="11"/>
      <color rgb="FFFFFFFF"/>
      <name val="宋体"/>
      <charset val="134"/>
      <scheme val="minor"/>
    </font>
    <font>
      <sz val="11"/>
      <color rgb="FF9C0006"/>
      <name val="宋体"/>
      <charset val="134"/>
      <scheme val="minor"/>
    </font>
    <font>
      <sz val="11"/>
      <color rgb="FF006100"/>
      <name val="宋体"/>
      <charset val="134"/>
      <scheme val="minor"/>
    </font>
    <font>
      <sz val="11"/>
      <color rgb="FF9C6500"/>
      <name val="宋体"/>
      <charset val="134"/>
      <scheme val="minor"/>
    </font>
    <font>
      <b/>
      <sz val="11"/>
      <color rgb="FFFA7D00"/>
      <name val="宋体"/>
      <charset val="134"/>
      <scheme val="minor"/>
    </font>
    <font>
      <sz val="11"/>
      <color rgb="FFFF0000"/>
      <name val="宋体"/>
      <charset val="134"/>
      <scheme val="minor"/>
    </font>
    <font>
      <u/>
      <sz val="11"/>
      <color rgb="FF800080"/>
      <name val="宋体"/>
      <charset val="134"/>
      <scheme val="minor"/>
    </font>
    <font>
      <b/>
      <sz val="15"/>
      <color theme="3"/>
      <name val="宋体"/>
      <charset val="134"/>
      <scheme val="minor"/>
    </font>
    <font>
      <sz val="11"/>
      <color rgb="FF3F3F76"/>
      <name val="宋体"/>
      <charset val="134"/>
      <scheme val="minor"/>
    </font>
    <font>
      <u/>
      <sz val="11"/>
      <color rgb="FF0000FF"/>
      <name val="宋体"/>
      <charset val="134"/>
      <scheme val="minor"/>
    </font>
  </fonts>
  <fills count="37">
    <fill>
      <patternFill patternType="none"/>
    </fill>
    <fill>
      <patternFill patternType="gray125"/>
    </fill>
    <fill>
      <patternFill patternType="solid">
        <fgColor theme="7" tint="0.8"/>
        <bgColor indexed="64"/>
      </patternFill>
    </fill>
    <fill>
      <patternFill patternType="solid">
        <fgColor theme="5" tint="0.8"/>
        <bgColor indexed="64"/>
      </patternFill>
    </fill>
    <fill>
      <patternFill patternType="solid">
        <fgColor theme="4" tint="0.8"/>
        <bgColor indexed="64"/>
      </patternFill>
    </fill>
    <fill>
      <patternFill patternType="solid">
        <fgColor theme="0" tint="-0.05"/>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theme="8" tint="0.799981688894314"/>
        <bgColor indexed="64"/>
      </patternFill>
    </fill>
    <fill>
      <patternFill patternType="solid">
        <fgColor theme="9"/>
        <bgColor indexed="64"/>
      </patternFill>
    </fill>
    <fill>
      <patternFill patternType="solid">
        <fgColor theme="4" tint="0.399975585192419"/>
        <bgColor indexed="64"/>
      </patternFill>
    </fill>
    <fill>
      <patternFill patternType="solid">
        <fgColor theme="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6"/>
        <bgColor indexed="64"/>
      </patternFill>
    </fill>
    <fill>
      <patternFill patternType="solid">
        <fgColor theme="6" tint="0.799981688894314"/>
        <bgColor indexed="64"/>
      </patternFill>
    </fill>
    <fill>
      <patternFill patternType="solid">
        <fgColor rgb="FFFFCC99"/>
        <bgColor indexed="64"/>
      </patternFill>
    </fill>
    <fill>
      <patternFill patternType="solid">
        <fgColor theme="7"/>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s>
  <cellStyleXfs count="50">
    <xf numFmtId="0" fontId="0" fillId="0" borderId="0">
      <alignment vertical="center"/>
    </xf>
    <xf numFmtId="0" fontId="26" fillId="29" borderId="0" applyNumberFormat="0" applyBorder="0" applyAlignment="0" applyProtection="0">
      <alignment vertical="center"/>
    </xf>
    <xf numFmtId="0" fontId="0" fillId="23" borderId="0" applyNumberFormat="0" applyBorder="0" applyAlignment="0" applyProtection="0">
      <alignment vertical="center"/>
    </xf>
    <xf numFmtId="0" fontId="26" fillId="36" borderId="0" applyNumberFormat="0" applyBorder="0" applyAlignment="0" applyProtection="0">
      <alignment vertical="center"/>
    </xf>
    <xf numFmtId="0" fontId="39" fillId="35" borderId="14" applyNumberFormat="0" applyAlignment="0" applyProtection="0">
      <alignment vertical="center"/>
    </xf>
    <xf numFmtId="0" fontId="0" fillId="22" borderId="0" applyNumberFormat="0" applyBorder="0" applyAlignment="0" applyProtection="0">
      <alignment vertical="center"/>
    </xf>
    <xf numFmtId="0" fontId="0" fillId="34" borderId="0" applyNumberFormat="0" applyBorder="0" applyAlignment="0" applyProtection="0">
      <alignment vertical="center"/>
    </xf>
    <xf numFmtId="44" fontId="0" fillId="0" borderId="0" applyFont="0" applyFill="0" applyBorder="0" applyAlignment="0" applyProtection="0">
      <alignment vertical="center"/>
    </xf>
    <xf numFmtId="0" fontId="26" fillId="33" borderId="0" applyNumberFormat="0" applyBorder="0" applyAlignment="0" applyProtection="0">
      <alignment vertical="center"/>
    </xf>
    <xf numFmtId="9" fontId="0" fillId="0" borderId="0" applyFont="0" applyFill="0" applyBorder="0" applyAlignment="0" applyProtection="0">
      <alignment vertical="center"/>
    </xf>
    <xf numFmtId="0" fontId="26" fillId="31" borderId="0" applyNumberFormat="0" applyBorder="0" applyAlignment="0" applyProtection="0">
      <alignment vertical="center"/>
    </xf>
    <xf numFmtId="0" fontId="26" fillId="30" borderId="0" applyNumberFormat="0" applyBorder="0" applyAlignment="0" applyProtection="0">
      <alignment vertical="center"/>
    </xf>
    <xf numFmtId="0" fontId="26" fillId="28" borderId="0" applyNumberFormat="0" applyBorder="0" applyAlignment="0" applyProtection="0">
      <alignment vertical="center"/>
    </xf>
    <xf numFmtId="0" fontId="26" fillId="27" borderId="0" applyNumberFormat="0" applyBorder="0" applyAlignment="0" applyProtection="0">
      <alignment vertical="center"/>
    </xf>
    <xf numFmtId="0" fontId="26" fillId="16" borderId="0" applyNumberFormat="0" applyBorder="0" applyAlignment="0" applyProtection="0">
      <alignment vertical="center"/>
    </xf>
    <xf numFmtId="0" fontId="35" fillId="17" borderId="14" applyNumberFormat="0" applyAlignment="0" applyProtection="0">
      <alignment vertical="center"/>
    </xf>
    <xf numFmtId="0" fontId="26" fillId="24" borderId="0" applyNumberFormat="0" applyBorder="0" applyAlignment="0" applyProtection="0">
      <alignment vertical="center"/>
    </xf>
    <xf numFmtId="0" fontId="34" fillId="21" borderId="0" applyNumberFormat="0" applyBorder="0" applyAlignment="0" applyProtection="0">
      <alignment vertical="center"/>
    </xf>
    <xf numFmtId="0" fontId="0" fillId="25" borderId="0" applyNumberFormat="0" applyBorder="0" applyAlignment="0" applyProtection="0">
      <alignment vertical="center"/>
    </xf>
    <xf numFmtId="0" fontId="33" fillId="20" borderId="0" applyNumberFormat="0" applyBorder="0" applyAlignment="0" applyProtection="0">
      <alignment vertical="center"/>
    </xf>
    <xf numFmtId="0" fontId="0" fillId="32" borderId="0" applyNumberFormat="0" applyBorder="0" applyAlignment="0" applyProtection="0">
      <alignment vertical="center"/>
    </xf>
    <xf numFmtId="0" fontId="24" fillId="0" borderId="9" applyNumberFormat="0" applyFill="0" applyAlignment="0" applyProtection="0">
      <alignment vertical="center"/>
    </xf>
    <xf numFmtId="0" fontId="32" fillId="19" borderId="0" applyNumberFormat="0" applyBorder="0" applyAlignment="0" applyProtection="0">
      <alignment vertical="center"/>
    </xf>
    <xf numFmtId="0" fontId="31" fillId="18" borderId="13" applyNumberFormat="0" applyAlignment="0" applyProtection="0">
      <alignment vertical="center"/>
    </xf>
    <xf numFmtId="0" fontId="29" fillId="17" borderId="11" applyNumberFormat="0" applyAlignment="0" applyProtection="0">
      <alignment vertical="center"/>
    </xf>
    <xf numFmtId="0" fontId="38" fillId="0" borderId="12" applyNumberFormat="0" applyFill="0" applyAlignment="0" applyProtection="0">
      <alignment vertical="center"/>
    </xf>
    <xf numFmtId="0" fontId="27" fillId="0" borderId="0" applyNumberFormat="0" applyFill="0" applyBorder="0" applyAlignment="0" applyProtection="0">
      <alignment vertical="center"/>
    </xf>
    <xf numFmtId="0" fontId="0" fillId="15" borderId="0" applyNumberFormat="0" applyBorder="0" applyAlignment="0" applyProtection="0">
      <alignment vertical="center"/>
    </xf>
    <xf numFmtId="0" fontId="23" fillId="0" borderId="0" applyNumberFormat="0" applyFill="0" applyBorder="0" applyAlignment="0" applyProtection="0">
      <alignment vertical="center"/>
    </xf>
    <xf numFmtId="0" fontId="25" fillId="0" borderId="0"/>
    <xf numFmtId="42" fontId="0" fillId="0" borderId="0" applyFont="0" applyFill="0" applyBorder="0" applyAlignment="0" applyProtection="0">
      <alignment vertical="center"/>
    </xf>
    <xf numFmtId="0" fontId="0" fillId="14" borderId="0" applyNumberFormat="0" applyBorder="0" applyAlignment="0" applyProtection="0">
      <alignment vertical="center"/>
    </xf>
    <xf numFmtId="43"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3" borderId="0" applyNumberFormat="0" applyBorder="0" applyAlignment="0" applyProtection="0">
      <alignment vertical="center"/>
    </xf>
    <xf numFmtId="0" fontId="36" fillId="0" borderId="0" applyNumberFormat="0" applyFill="0" applyBorder="0" applyAlignment="0" applyProtection="0">
      <alignment vertical="center"/>
    </xf>
    <xf numFmtId="0" fontId="26" fillId="12" borderId="0" applyNumberFormat="0" applyBorder="0" applyAlignment="0" applyProtection="0">
      <alignment vertical="center"/>
    </xf>
    <xf numFmtId="0" fontId="0" fillId="11" borderId="10" applyNumberFormat="0" applyFont="0" applyAlignment="0" applyProtection="0">
      <alignment vertical="center"/>
    </xf>
    <xf numFmtId="0" fontId="0" fillId="10" borderId="0" applyNumberFormat="0" applyBorder="0" applyAlignment="0" applyProtection="0">
      <alignment vertical="center"/>
    </xf>
    <xf numFmtId="0" fontId="26" fillId="9" borderId="0" applyNumberFormat="0" applyBorder="0" applyAlignment="0" applyProtection="0">
      <alignment vertical="center"/>
    </xf>
    <xf numFmtId="0" fontId="0" fillId="8" borderId="0" applyNumberFormat="0" applyBorder="0" applyAlignment="0" applyProtection="0">
      <alignment vertical="center"/>
    </xf>
    <xf numFmtId="0" fontId="40" fillId="0" borderId="0" applyNumberFormat="0" applyFill="0" applyBorder="0" applyAlignment="0" applyProtection="0">
      <alignment vertical="center"/>
    </xf>
    <xf numFmtId="41" fontId="0" fillId="0" borderId="0" applyFont="0" applyFill="0" applyBorder="0" applyAlignment="0" applyProtection="0">
      <alignment vertical="center"/>
    </xf>
    <xf numFmtId="0" fontId="30" fillId="0" borderId="12" applyNumberFormat="0" applyFill="0" applyAlignment="0" applyProtection="0">
      <alignment vertical="center"/>
    </xf>
    <xf numFmtId="0" fontId="0" fillId="7" borderId="0" applyNumberFormat="0" applyBorder="0" applyAlignment="0" applyProtection="0">
      <alignment vertical="center"/>
    </xf>
    <xf numFmtId="0" fontId="23" fillId="0" borderId="8" applyNumberFormat="0" applyFill="0" applyAlignment="0" applyProtection="0">
      <alignment vertical="center"/>
    </xf>
    <xf numFmtId="0" fontId="26" fillId="26" borderId="0" applyNumberFormat="0" applyBorder="0" applyAlignment="0" applyProtection="0">
      <alignment vertical="center"/>
    </xf>
    <xf numFmtId="0" fontId="0" fillId="6" borderId="0" applyNumberFormat="0" applyBorder="0" applyAlignment="0" applyProtection="0">
      <alignment vertical="center"/>
    </xf>
    <xf numFmtId="0" fontId="22" fillId="0" borderId="7" applyNumberFormat="0" applyFill="0" applyAlignment="0" applyProtection="0">
      <alignment vertical="center"/>
    </xf>
  </cellStyleXfs>
  <cellXfs count="163">
    <xf numFmtId="0" fontId="0" fillId="0" borderId="0" xfId="0">
      <alignment vertical="center"/>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0" fillId="0" borderId="0" xfId="0" applyNumberFormat="1" applyFont="1" applyFill="1" applyBorder="1" applyAlignment="1">
      <alignment vertical="center"/>
    </xf>
    <xf numFmtId="0" fontId="0" fillId="0" borderId="0" xfId="0" applyFont="1" applyFill="1" applyAlignment="1">
      <alignment vertical="center"/>
    </xf>
    <xf numFmtId="0" fontId="0" fillId="0" borderId="0" xfId="0" applyFill="1" applyBorder="1" applyAlignment="1">
      <alignment vertical="center"/>
    </xf>
    <xf numFmtId="0" fontId="0" fillId="0" borderId="0" xfId="0" applyFont="1" applyFill="1" applyBorder="1" applyAlignment="1">
      <alignment vertical="center"/>
    </xf>
    <xf numFmtId="0" fontId="0" fillId="0" borderId="0" xfId="0" applyFill="1">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4" fillId="0" borderId="0" xfId="0" applyFont="1">
      <alignment vertical="center"/>
    </xf>
    <xf numFmtId="0" fontId="2" fillId="0" borderId="0" xfId="0" applyFont="1" applyAlignment="1">
      <alignment horizontal="center" vertical="center"/>
    </xf>
    <xf numFmtId="0" fontId="5" fillId="0" borderId="1" xfId="29" applyFont="1" applyFill="1" applyBorder="1" applyAlignment="1" applyProtection="1">
      <alignment horizontal="center" vertical="center" wrapText="1"/>
      <protection locked="0"/>
    </xf>
    <xf numFmtId="43" fontId="5" fillId="0" borderId="1" xfId="32" applyNumberFormat="1" applyFont="1" applyFill="1" applyBorder="1" applyAlignment="1" applyProtection="1">
      <alignment horizontal="center" vertical="center" wrapText="1"/>
      <protection locked="0"/>
    </xf>
    <xf numFmtId="0" fontId="6" fillId="2" borderId="1" xfId="29" applyFont="1" applyFill="1" applyBorder="1" applyAlignment="1" applyProtection="1">
      <alignment horizontal="center" vertical="center" wrapText="1"/>
      <protection locked="0"/>
    </xf>
    <xf numFmtId="0" fontId="6" fillId="3" borderId="1" xfId="29" applyFont="1" applyFill="1" applyBorder="1" applyAlignment="1" applyProtection="1">
      <alignment horizontal="center" vertical="center" wrapText="1"/>
      <protection locked="0"/>
    </xf>
    <xf numFmtId="0" fontId="6" fillId="2" borderId="2" xfId="29" applyFont="1" applyFill="1" applyBorder="1" applyAlignment="1" applyProtection="1">
      <alignment horizontal="center" vertical="center" wrapText="1"/>
      <protection locked="0"/>
    </xf>
    <xf numFmtId="0" fontId="6" fillId="2" borderId="3" xfId="29" applyFont="1" applyFill="1" applyBorder="1" applyAlignment="1" applyProtection="1">
      <alignment horizontal="center" vertical="center" wrapText="1"/>
      <protection locked="0"/>
    </xf>
    <xf numFmtId="0" fontId="6" fillId="3" borderId="2" xfId="29" applyFont="1" applyFill="1" applyBorder="1" applyAlignment="1" applyProtection="1">
      <alignment horizontal="center" vertical="center" wrapText="1"/>
      <protection locked="0"/>
    </xf>
    <xf numFmtId="0" fontId="6" fillId="3" borderId="4" xfId="29" applyFont="1" applyFill="1" applyBorder="1" applyAlignment="1" applyProtection="1">
      <alignment horizontal="center" vertical="center" wrapText="1"/>
      <protection locked="0"/>
    </xf>
    <xf numFmtId="0" fontId="6" fillId="3" borderId="3" xfId="29" applyFont="1" applyFill="1" applyBorder="1" applyAlignment="1" applyProtection="1">
      <alignment horizontal="center" vertical="center" wrapText="1"/>
      <protection locked="0"/>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3" fillId="0" borderId="0" xfId="0" applyFont="1" applyAlignment="1">
      <alignment horizontal="center" vertical="center"/>
    </xf>
    <xf numFmtId="0" fontId="7" fillId="0" borderId="1" xfId="0" applyFont="1" applyFill="1" applyBorder="1" applyAlignment="1">
      <alignment horizontal="center" vertical="center" wrapText="1"/>
    </xf>
    <xf numFmtId="0" fontId="8" fillId="2" borderId="1" xfId="29" applyFont="1" applyFill="1" applyBorder="1" applyAlignment="1" applyProtection="1">
      <alignment horizontal="center" vertical="center" wrapText="1"/>
      <protection locked="0"/>
    </xf>
    <xf numFmtId="0" fontId="8" fillId="3" borderId="1" xfId="29" applyFont="1" applyFill="1" applyBorder="1" applyAlignment="1" applyProtection="1">
      <alignment horizontal="center" vertical="center" wrapText="1"/>
      <protection locked="0"/>
    </xf>
    <xf numFmtId="0" fontId="8" fillId="2" borderId="2" xfId="29" applyFont="1" applyFill="1" applyBorder="1" applyAlignment="1" applyProtection="1">
      <alignment horizontal="center" vertical="center" wrapText="1"/>
      <protection locked="0"/>
    </xf>
    <xf numFmtId="0" fontId="8" fillId="2" borderId="3" xfId="29" applyFont="1" applyFill="1" applyBorder="1" applyAlignment="1" applyProtection="1">
      <alignment horizontal="center" vertical="center" wrapText="1"/>
      <protection locked="0"/>
    </xf>
    <xf numFmtId="0" fontId="8" fillId="3" borderId="2" xfId="29" applyFont="1" applyFill="1" applyBorder="1" applyAlignment="1" applyProtection="1">
      <alignment horizontal="center" vertical="center" wrapText="1"/>
      <protection locked="0"/>
    </xf>
    <xf numFmtId="0" fontId="8" fillId="3" borderId="4" xfId="29" applyFont="1" applyFill="1" applyBorder="1" applyAlignment="1" applyProtection="1">
      <alignment horizontal="center" vertical="center" wrapText="1"/>
      <protection locked="0"/>
    </xf>
    <xf numFmtId="0" fontId="8" fillId="3" borderId="3" xfId="29" applyFont="1" applyFill="1" applyBorder="1" applyAlignment="1" applyProtection="1">
      <alignment horizontal="center" vertical="center" wrapText="1"/>
      <protection locked="0"/>
    </xf>
    <xf numFmtId="0" fontId="8" fillId="2" borderId="2"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2" fillId="0" borderId="0" xfId="0" applyFont="1" applyAlignment="1">
      <alignment horizontal="center" vertical="center" wrapText="1"/>
    </xf>
    <xf numFmtId="0" fontId="5" fillId="0"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wrapText="1"/>
    </xf>
    <xf numFmtId="0" fontId="10" fillId="0" borderId="0" xfId="0" applyFont="1" applyFill="1">
      <alignment vertical="center"/>
    </xf>
    <xf numFmtId="0" fontId="11" fillId="0" borderId="0" xfId="0" applyFont="1" applyFill="1">
      <alignment vertical="center"/>
    </xf>
    <xf numFmtId="0" fontId="12" fillId="0" borderId="0" xfId="0" applyFont="1" applyFill="1" applyAlignment="1">
      <alignment horizontal="center" vertical="center" wrapText="1"/>
    </xf>
    <xf numFmtId="0" fontId="12" fillId="0" borderId="0" xfId="0" applyFont="1" applyFill="1">
      <alignment vertical="center"/>
    </xf>
    <xf numFmtId="0" fontId="12" fillId="0" borderId="0" xfId="0" applyFont="1" applyFill="1" applyAlignment="1">
      <alignment horizontal="center" vertical="center"/>
    </xf>
    <xf numFmtId="0" fontId="12" fillId="0" borderId="0" xfId="0" applyFont="1" applyFill="1" applyAlignment="1">
      <alignment horizontal="left" vertical="center"/>
    </xf>
    <xf numFmtId="0" fontId="12" fillId="0" borderId="0" xfId="0" applyFont="1" applyFill="1" applyAlignment="1">
      <alignment vertical="center" wrapText="1"/>
    </xf>
    <xf numFmtId="0" fontId="13" fillId="0" borderId="0" xfId="0" applyFont="1" applyFill="1" applyAlignment="1">
      <alignment horizontal="left" vertical="center" wrapText="1"/>
    </xf>
    <xf numFmtId="0" fontId="12" fillId="0" borderId="0" xfId="0" applyFont="1" applyFill="1" applyAlignment="1">
      <alignment horizontal="left" vertical="center" wrapText="1"/>
    </xf>
    <xf numFmtId="0" fontId="14" fillId="0" borderId="0" xfId="0" applyFont="1" applyFill="1" applyAlignment="1">
      <alignment horizontal="center" vertical="center"/>
    </xf>
    <xf numFmtId="0" fontId="15" fillId="4" borderId="0" xfId="0" applyFont="1" applyFill="1" applyAlignment="1">
      <alignment horizontal="center" vertical="center"/>
    </xf>
    <xf numFmtId="0" fontId="16"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vertical="center" wrapText="1"/>
    </xf>
    <xf numFmtId="0" fontId="17"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4" xfId="0" applyFont="1" applyFill="1" applyBorder="1" applyAlignment="1">
      <alignment vertical="center" wrapText="1"/>
    </xf>
    <xf numFmtId="0" fontId="17" fillId="0" borderId="4"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3" xfId="0" applyFont="1" applyFill="1" applyBorder="1" applyAlignment="1">
      <alignment vertical="center" wrapText="1"/>
    </xf>
    <xf numFmtId="0" fontId="17" fillId="0" borderId="3"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6" fillId="3" borderId="2" xfId="0" applyNumberFormat="1" applyFont="1" applyFill="1" applyBorder="1" applyAlignment="1">
      <alignment horizontal="center" vertical="center" wrapText="1"/>
    </xf>
    <xf numFmtId="0" fontId="6" fillId="3" borderId="4" xfId="0" applyNumberFormat="1" applyFont="1" applyFill="1" applyBorder="1" applyAlignment="1">
      <alignment horizontal="center" vertical="center" wrapText="1"/>
    </xf>
    <xf numFmtId="0" fontId="6" fillId="3" borderId="3"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177" fontId="6" fillId="5" borderId="1" xfId="0" applyNumberFormat="1" applyFont="1" applyFill="1" applyBorder="1" applyAlignment="1">
      <alignment horizontal="center" vertical="center" wrapText="1"/>
    </xf>
    <xf numFmtId="177" fontId="6" fillId="5" borderId="2" xfId="0" applyNumberFormat="1" applyFont="1" applyFill="1" applyBorder="1" applyAlignment="1">
      <alignment horizontal="center" vertical="center" wrapText="1"/>
    </xf>
    <xf numFmtId="177" fontId="6" fillId="5" borderId="4" xfId="0" applyNumberFormat="1" applyFont="1" applyFill="1" applyBorder="1" applyAlignment="1">
      <alignment horizontal="center" vertical="center" wrapText="1"/>
    </xf>
    <xf numFmtId="177" fontId="6" fillId="5" borderId="3"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6" fillId="2" borderId="1" xfId="0" applyFont="1" applyFill="1" applyBorder="1" applyAlignment="1">
      <alignment vertical="center" wrapText="1"/>
    </xf>
    <xf numFmtId="0" fontId="8" fillId="2" borderId="1" xfId="0" applyFont="1" applyFill="1" applyBorder="1" applyAlignment="1">
      <alignment vertical="center" wrapText="1"/>
    </xf>
    <xf numFmtId="0" fontId="6" fillId="2" borderId="1" xfId="0" applyFont="1" applyFill="1" applyBorder="1" applyAlignment="1">
      <alignment vertical="center"/>
    </xf>
    <xf numFmtId="0" fontId="18" fillId="2" borderId="1" xfId="0" applyFont="1" applyFill="1" applyBorder="1" applyAlignment="1">
      <alignment horizontal="center" vertical="center" wrapText="1"/>
    </xf>
    <xf numFmtId="0" fontId="8" fillId="2" borderId="1" xfId="0" applyFont="1" applyFill="1" applyBorder="1" applyAlignment="1">
      <alignment vertical="center"/>
    </xf>
    <xf numFmtId="0" fontId="18" fillId="2" borderId="1" xfId="0" applyFont="1" applyFill="1" applyBorder="1" applyAlignment="1">
      <alignment horizontal="center" vertical="center"/>
    </xf>
    <xf numFmtId="0" fontId="18" fillId="2" borderId="2" xfId="0" applyFont="1" applyFill="1" applyBorder="1" applyAlignment="1">
      <alignment vertical="center" wrapText="1"/>
    </xf>
    <xf numFmtId="0" fontId="18" fillId="2" borderId="2" xfId="0" applyFont="1" applyFill="1" applyBorder="1" applyAlignment="1">
      <alignment vertical="center"/>
    </xf>
    <xf numFmtId="0" fontId="18" fillId="2" borderId="4" xfId="0" applyFont="1" applyFill="1" applyBorder="1" applyAlignment="1">
      <alignment vertical="center" wrapText="1"/>
    </xf>
    <xf numFmtId="0" fontId="18" fillId="2" borderId="4" xfId="0" applyFont="1" applyFill="1" applyBorder="1" applyAlignment="1">
      <alignment vertical="center"/>
    </xf>
    <xf numFmtId="0" fontId="18" fillId="2" borderId="3" xfId="0" applyFont="1" applyFill="1" applyBorder="1" applyAlignment="1">
      <alignment vertical="center" wrapText="1"/>
    </xf>
    <xf numFmtId="0" fontId="18" fillId="2" borderId="3" xfId="0" applyFont="1" applyFill="1" applyBorder="1" applyAlignment="1">
      <alignment vertical="center"/>
    </xf>
    <xf numFmtId="0" fontId="15" fillId="3" borderId="0" xfId="0" applyFont="1" applyFill="1" applyAlignment="1">
      <alignment horizontal="center" vertical="center"/>
    </xf>
    <xf numFmtId="0" fontId="8" fillId="0" borderId="1" xfId="0" applyFont="1" applyFill="1" applyBorder="1" applyAlignment="1">
      <alignment horizontal="left" vertical="center" wrapText="1"/>
    </xf>
    <xf numFmtId="0" fontId="6" fillId="0" borderId="1" xfId="29" applyFont="1" applyFill="1" applyBorder="1" applyAlignment="1" applyProtection="1">
      <alignment horizontal="center" vertical="center" wrapText="1"/>
      <protection locked="0"/>
    </xf>
    <xf numFmtId="43" fontId="6" fillId="0" borderId="1" xfId="32" applyNumberFormat="1" applyFont="1" applyFill="1" applyBorder="1" applyAlignment="1" applyProtection="1">
      <alignment horizontal="center" vertical="center" wrapText="1"/>
      <protection locked="0"/>
    </xf>
    <xf numFmtId="0" fontId="6" fillId="0" borderId="2"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1" xfId="29" applyFont="1" applyFill="1" applyBorder="1" applyAlignment="1" applyProtection="1">
      <alignment horizontal="left" vertical="center" wrapText="1"/>
      <protection locked="0"/>
    </xf>
    <xf numFmtId="0" fontId="19" fillId="0" borderId="0" xfId="0" applyFont="1" applyFill="1" applyAlignment="1">
      <alignment vertical="center"/>
    </xf>
    <xf numFmtId="0" fontId="6" fillId="0" borderId="1" xfId="0" applyFont="1" applyFill="1" applyBorder="1" applyAlignment="1">
      <alignment horizontal="center" vertical="center"/>
    </xf>
    <xf numFmtId="0" fontId="18" fillId="2" borderId="1" xfId="0" applyFont="1" applyFill="1" applyBorder="1" applyAlignment="1">
      <alignment vertical="center" wrapText="1"/>
    </xf>
    <xf numFmtId="0" fontId="18" fillId="2" borderId="1" xfId="0" applyFont="1" applyFill="1" applyBorder="1" applyAlignment="1">
      <alignment vertical="center"/>
    </xf>
    <xf numFmtId="0" fontId="17" fillId="0" borderId="1" xfId="29" applyFont="1" applyFill="1" applyBorder="1" applyAlignment="1" applyProtection="1">
      <alignment horizontal="center" vertical="center" wrapText="1"/>
      <protection locked="0"/>
    </xf>
    <xf numFmtId="43" fontId="17" fillId="0" borderId="1" xfId="32" applyNumberFormat="1" applyFont="1" applyFill="1" applyBorder="1" applyAlignment="1" applyProtection="1">
      <alignment horizontal="center" vertical="center" wrapText="1"/>
      <protection locked="0"/>
    </xf>
    <xf numFmtId="0" fontId="18" fillId="0" borderId="1" xfId="29" applyFont="1" applyFill="1" applyBorder="1" applyAlignment="1" applyProtection="1">
      <alignment horizontal="center" vertical="center" wrapText="1"/>
      <protection locked="0"/>
    </xf>
    <xf numFmtId="43" fontId="18" fillId="0" borderId="1" xfId="32" applyNumberFormat="1" applyFont="1" applyFill="1" applyBorder="1" applyAlignment="1" applyProtection="1">
      <alignment horizontal="center" vertical="center" wrapText="1"/>
      <protection locked="0"/>
    </xf>
    <xf numFmtId="0" fontId="17" fillId="0" borderId="1" xfId="29" applyFont="1" applyFill="1" applyBorder="1" applyAlignment="1" applyProtection="1">
      <alignment horizontal="left" vertical="center" wrapText="1"/>
      <protection locked="0"/>
    </xf>
    <xf numFmtId="0" fontId="18" fillId="0" borderId="1" xfId="29" applyFont="1" applyFill="1" applyBorder="1" applyAlignment="1" applyProtection="1">
      <alignment horizontal="left" vertical="center" wrapText="1"/>
      <protection locked="0"/>
    </xf>
    <xf numFmtId="0" fontId="17" fillId="2" borderId="1" xfId="0" applyFont="1" applyFill="1" applyBorder="1" applyAlignment="1">
      <alignment horizontal="center" vertical="center"/>
    </xf>
    <xf numFmtId="0" fontId="17" fillId="0"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49" fontId="6" fillId="0" borderId="1" xfId="29" applyNumberFormat="1" applyFont="1" applyFill="1" applyBorder="1" applyAlignment="1" applyProtection="1">
      <alignment horizontal="center" vertical="center" wrapText="1"/>
      <protection locked="0"/>
    </xf>
    <xf numFmtId="0" fontId="8" fillId="5" borderId="1" xfId="0" applyFont="1" applyFill="1" applyBorder="1" applyAlignment="1">
      <alignment horizontal="center" vertical="center" wrapText="1"/>
    </xf>
    <xf numFmtId="0" fontId="17" fillId="0" borderId="1" xfId="0" applyFont="1" applyFill="1" applyBorder="1" applyAlignment="1">
      <alignment horizontal="left" vertical="center"/>
    </xf>
    <xf numFmtId="43" fontId="6" fillId="0" borderId="1" xfId="32" applyNumberFormat="1" applyFont="1" applyFill="1" applyBorder="1" applyAlignment="1" applyProtection="1">
      <alignment vertical="center" wrapText="1"/>
      <protection locked="0"/>
    </xf>
    <xf numFmtId="0" fontId="6" fillId="3" borderId="1" xfId="0" applyNumberFormat="1" applyFont="1" applyFill="1" applyBorder="1" applyAlignment="1">
      <alignment horizontal="center" vertical="center"/>
    </xf>
    <xf numFmtId="0" fontId="6" fillId="0" borderId="1" xfId="0" applyFont="1" applyFill="1" applyBorder="1" applyAlignment="1">
      <alignment horizontal="left" vertical="center"/>
    </xf>
    <xf numFmtId="177" fontId="6" fillId="5"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6" fillId="5" borderId="1" xfId="29" applyFont="1" applyFill="1" applyBorder="1" applyAlignment="1" applyProtection="1">
      <alignment horizontal="center" vertical="center" wrapText="1"/>
      <protection locked="0"/>
    </xf>
    <xf numFmtId="0" fontId="6" fillId="2" borderId="1" xfId="29" applyFont="1" applyFill="1" applyBorder="1" applyAlignment="1" applyProtection="1">
      <alignment vertical="center" wrapText="1"/>
      <protection locked="0"/>
    </xf>
    <xf numFmtId="0" fontId="6" fillId="2" borderId="1" xfId="29" applyFont="1" applyFill="1" applyBorder="1" applyAlignment="1" applyProtection="1">
      <alignment vertical="center"/>
      <protection locked="0"/>
    </xf>
    <xf numFmtId="0" fontId="8" fillId="2" borderId="1" xfId="29" applyFont="1" applyFill="1" applyBorder="1" applyAlignment="1" applyProtection="1">
      <alignment vertical="center" wrapText="1"/>
      <protection locked="0"/>
    </xf>
    <xf numFmtId="0" fontId="8" fillId="2" borderId="1" xfId="29" applyFont="1" applyFill="1" applyBorder="1" applyAlignment="1" applyProtection="1">
      <alignment vertical="center"/>
      <protection locked="0"/>
    </xf>
    <xf numFmtId="0" fontId="8" fillId="0" borderId="1" xfId="29" applyFont="1" applyFill="1" applyBorder="1" applyAlignment="1" applyProtection="1">
      <alignment horizontal="left" vertical="center" wrapText="1"/>
      <protection locked="0"/>
    </xf>
    <xf numFmtId="0" fontId="20" fillId="0" borderId="0" xfId="0" applyFont="1" applyFill="1" applyAlignment="1">
      <alignment vertical="center" wrapText="1"/>
    </xf>
    <xf numFmtId="177" fontId="8" fillId="5" borderId="1" xfId="0" applyNumberFormat="1" applyFont="1" applyFill="1" applyBorder="1" applyAlignment="1">
      <alignment horizontal="center" vertical="center" wrapText="1"/>
    </xf>
    <xf numFmtId="0" fontId="18" fillId="2" borderId="2"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0" borderId="1" xfId="0" applyFont="1" applyFill="1" applyBorder="1" applyAlignment="1">
      <alignment horizontal="center" vertical="center"/>
    </xf>
    <xf numFmtId="0" fontId="15" fillId="0" borderId="0" xfId="0" applyFont="1" applyFill="1" applyAlignment="1">
      <alignment horizontal="center" vertical="center"/>
    </xf>
    <xf numFmtId="0" fontId="21" fillId="0" borderId="0" xfId="0" applyFont="1" applyFill="1" applyAlignment="1">
      <alignment horizontal="left" vertical="center" wrapText="1"/>
    </xf>
    <xf numFmtId="0" fontId="21" fillId="0" borderId="0" xfId="0" applyFont="1" applyFill="1">
      <alignment vertical="center"/>
    </xf>
    <xf numFmtId="0" fontId="10" fillId="0" borderId="0" xfId="0" applyFont="1" applyFill="1" applyAlignment="1">
      <alignment horizontal="center" vertical="center"/>
    </xf>
    <xf numFmtId="0" fontId="8" fillId="0" borderId="1" xfId="0" applyFont="1" applyFill="1" applyBorder="1" applyAlignment="1">
      <alignment horizontal="center" vertical="center" wrapText="1"/>
    </xf>
    <xf numFmtId="0" fontId="0" fillId="0" borderId="0" xfId="0" applyAlignment="1">
      <alignment horizontal="left" vertical="center" wrapText="1"/>
    </xf>
    <xf numFmtId="0" fontId="6" fillId="0" borderId="6" xfId="0" applyFont="1" applyFill="1" applyBorder="1" applyAlignment="1">
      <alignment horizontal="center" vertical="center"/>
    </xf>
    <xf numFmtId="0" fontId="6" fillId="0" borderId="0" xfId="0" applyFont="1" applyFill="1" applyBorder="1" applyAlignment="1">
      <alignment horizontal="left" vertical="center" wrapText="1"/>
    </xf>
    <xf numFmtId="176" fontId="6" fillId="5" borderId="1" xfId="0" applyNumberFormat="1" applyFont="1" applyFill="1" applyBorder="1" applyAlignment="1">
      <alignment horizontal="center" vertical="center" wrapText="1"/>
    </xf>
    <xf numFmtId="0" fontId="12" fillId="0" borderId="1" xfId="0" applyFont="1" applyFill="1" applyBorder="1">
      <alignment vertical="center"/>
    </xf>
    <xf numFmtId="0" fontId="12" fillId="0" borderId="1" xfId="0" applyFont="1" applyFill="1" applyBorder="1" applyAlignment="1">
      <alignment horizontal="left" vertical="center"/>
    </xf>
    <xf numFmtId="0" fontId="12" fillId="0" borderId="1" xfId="0" applyFont="1" applyFill="1" applyBorder="1" applyAlignment="1">
      <alignment vertical="center" wrapText="1"/>
    </xf>
    <xf numFmtId="0" fontId="12" fillId="0" borderId="1" xfId="0" applyFont="1" applyFill="1" applyBorder="1" applyAlignment="1">
      <alignment horizontal="left" vertical="center" wrapText="1"/>
    </xf>
    <xf numFmtId="0" fontId="12" fillId="2" borderId="1" xfId="0" applyFont="1" applyFill="1" applyBorder="1">
      <alignment vertical="center"/>
    </xf>
    <xf numFmtId="0" fontId="18" fillId="0" borderId="6" xfId="0" applyFont="1" applyFill="1" applyBorder="1" applyAlignment="1">
      <alignment horizontal="center" vertical="center"/>
    </xf>
    <xf numFmtId="0" fontId="6" fillId="0" borderId="0" xfId="0" applyFont="1" applyFill="1" applyBorder="1" applyAlignment="1">
      <alignment horizontal="center" vertical="center"/>
    </xf>
    <xf numFmtId="9" fontId="6" fillId="0" borderId="1" xfId="0" applyNumberFormat="1"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0" borderId="1" xfId="0" applyFont="1" applyFill="1" applyBorder="1" applyAlignment="1" quotePrefix="1">
      <alignment horizontal="center" vertical="center" wrapText="1"/>
    </xf>
    <xf numFmtId="0" fontId="6" fillId="0" borderId="1" xfId="0" applyFont="1" applyFill="1" applyBorder="1" applyAlignment="1" quotePrefix="1">
      <alignment horizontal="center" vertical="center"/>
    </xf>
    <xf numFmtId="0" fontId="6" fillId="3" borderId="1" xfId="0" applyFont="1" applyFill="1" applyBorder="1" applyAlignment="1" quotePrefix="1">
      <alignment horizontal="center" vertical="center" wrapText="1"/>
    </xf>
    <xf numFmtId="0" fontId="6" fillId="3" borderId="5" xfId="0" applyFont="1" applyFill="1" applyBorder="1" applyAlignment="1" quotePrefix="1">
      <alignment horizontal="center" vertical="center" wrapText="1"/>
    </xf>
    <xf numFmtId="0" fontId="6" fillId="2" borderId="1" xfId="0" applyFont="1" applyFill="1" applyBorder="1" applyAlignment="1" quotePrefix="1">
      <alignment horizontal="center" vertical="center"/>
    </xf>
    <xf numFmtId="0" fontId="6" fillId="2" borderId="1" xfId="0" applyFont="1" applyFill="1" applyBorder="1" applyAlignment="1" quotePrefix="1">
      <alignment horizontal="center" vertical="center" wrapText="1"/>
    </xf>
  </cellXfs>
  <cellStyles count="50">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常规 10" xfId="2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链接单元格" xfId="49" builtinId="24"/>
  </cellStyles>
  <tableStyles count="0" defaultTableStyle="TableStyleMedium2" defaultPivotStyle="PivotStyleLight16"/>
  <colors>
    <mruColors>
      <color rgb="00FFF2CC"/>
      <color rgb="00C0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N486"/>
  <sheetViews>
    <sheetView workbookViewId="0">
      <pane ySplit="3" topLeftCell="A473" activePane="bottomLeft" state="frozen"/>
      <selection/>
      <selection pane="bottomLeft" activeCell="U480" sqref="U480"/>
    </sheetView>
  </sheetViews>
  <sheetFormatPr defaultColWidth="9" defaultRowHeight="15.75"/>
  <cols>
    <col min="1" max="1" width="6.10833333333333" style="56" customWidth="1"/>
    <col min="2" max="2" width="15.375" style="57" customWidth="1"/>
    <col min="3" max="3" width="21.125" style="58" customWidth="1"/>
    <col min="4" max="4" width="19.625" style="59" customWidth="1"/>
    <col min="5" max="5" width="24.5" style="60" customWidth="1"/>
    <col min="6" max="6" width="23" style="60" customWidth="1"/>
    <col min="7" max="7" width="5.3" style="58" customWidth="1"/>
    <col min="8" max="15" width="8" style="58" customWidth="1"/>
    <col min="16" max="16" width="5.25" style="58" hidden="1" customWidth="1"/>
    <col min="17" max="18" width="8" style="58" hidden="1" customWidth="1"/>
    <col min="19" max="19" width="8" style="58" customWidth="1"/>
    <col min="20" max="20" width="25.875" style="60" customWidth="1"/>
    <col min="21" max="21" width="15.625" style="55" customWidth="1"/>
    <col min="22" max="22" width="13.375" style="55" hidden="1" customWidth="1"/>
    <col min="23" max="23" width="27.125" style="57" customWidth="1"/>
    <col min="24" max="24" width="27" style="58" hidden="1" customWidth="1"/>
    <col min="25" max="25" width="16.75" style="55" hidden="1" customWidth="1"/>
    <col min="26" max="26" width="6.125" style="55" customWidth="1"/>
    <col min="27" max="27" width="23.125" style="60" hidden="1" customWidth="1"/>
    <col min="28" max="30" width="7.875" style="55" customWidth="1"/>
    <col min="31" max="31" width="9" style="55" hidden="1" customWidth="1"/>
    <col min="32" max="32" width="49.75" style="60" customWidth="1"/>
    <col min="33" max="34" width="9" style="55"/>
    <col min="35" max="232" width="3.89166666666667" style="55" hidden="1" customWidth="1"/>
    <col min="233" max="238" width="9" style="55" hidden="1" customWidth="1"/>
    <col min="239" max="16374" width="9" style="52" hidden="1" customWidth="1"/>
    <col min="16375" max="16384" width="9" style="52"/>
  </cols>
  <sheetData>
    <row r="1" s="52" customFormat="1" ht="53" customHeight="1" spans="1:238">
      <c r="A1" s="61" t="s">
        <v>0</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0"/>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c r="EZ1" s="55"/>
      <c r="FA1" s="55"/>
      <c r="FB1" s="55"/>
      <c r="FC1" s="55"/>
      <c r="FD1" s="55"/>
      <c r="FE1" s="55"/>
      <c r="FF1" s="55"/>
      <c r="FG1" s="55"/>
      <c r="FH1" s="55"/>
      <c r="FI1" s="55"/>
      <c r="FJ1" s="55"/>
      <c r="FK1" s="55"/>
      <c r="FL1" s="55"/>
      <c r="FM1" s="55"/>
      <c r="FN1" s="55"/>
      <c r="FO1" s="55"/>
      <c r="FP1" s="55"/>
      <c r="FQ1" s="55"/>
      <c r="FR1" s="55"/>
      <c r="FS1" s="55"/>
      <c r="FT1" s="55"/>
      <c r="FU1" s="55"/>
      <c r="FV1" s="55"/>
      <c r="FW1" s="55"/>
      <c r="FX1" s="55"/>
      <c r="FY1" s="55"/>
      <c r="FZ1" s="55"/>
      <c r="GA1" s="55"/>
      <c r="GB1" s="55"/>
      <c r="GC1" s="55"/>
      <c r="GD1" s="55"/>
      <c r="GE1" s="55"/>
      <c r="GF1" s="55"/>
      <c r="GG1" s="55"/>
      <c r="GH1" s="55"/>
      <c r="GI1" s="55"/>
      <c r="GJ1" s="55"/>
      <c r="GK1" s="55"/>
      <c r="GL1" s="55"/>
      <c r="GM1" s="55"/>
      <c r="GN1" s="55"/>
      <c r="GO1" s="55"/>
      <c r="GP1" s="55"/>
      <c r="GQ1" s="55"/>
      <c r="GR1" s="55"/>
      <c r="GS1" s="55"/>
      <c r="GT1" s="55"/>
      <c r="GU1" s="55"/>
      <c r="GV1" s="55"/>
      <c r="GW1" s="55"/>
      <c r="GX1" s="55"/>
      <c r="GY1" s="55"/>
      <c r="GZ1" s="55"/>
      <c r="HA1" s="55"/>
      <c r="HB1" s="55"/>
      <c r="HC1" s="55"/>
      <c r="HD1" s="55"/>
      <c r="HE1" s="55"/>
      <c r="HF1" s="55"/>
      <c r="HG1" s="55"/>
      <c r="HH1" s="55"/>
      <c r="HI1" s="55"/>
      <c r="HJ1" s="55"/>
      <c r="HK1" s="55"/>
      <c r="HL1" s="55"/>
      <c r="HM1" s="55"/>
      <c r="HN1" s="55"/>
      <c r="HO1" s="55"/>
      <c r="HP1" s="55"/>
      <c r="HQ1" s="55"/>
      <c r="HR1" s="55"/>
      <c r="HS1" s="55"/>
      <c r="HT1" s="55"/>
      <c r="HU1" s="55"/>
      <c r="HV1" s="55"/>
      <c r="HW1" s="55"/>
      <c r="HX1" s="55"/>
      <c r="HY1" s="55"/>
      <c r="HZ1" s="55"/>
      <c r="IA1" s="55"/>
      <c r="IB1" s="55"/>
      <c r="IC1" s="55"/>
      <c r="ID1" s="55"/>
    </row>
    <row r="2" s="53" customFormat="1" ht="43" customHeight="1" spans="1:238">
      <c r="A2" s="62" t="s">
        <v>1</v>
      </c>
      <c r="B2" s="62"/>
      <c r="C2" s="62"/>
      <c r="D2" s="62"/>
      <c r="E2" s="62"/>
      <c r="F2" s="62"/>
      <c r="G2" s="62"/>
      <c r="H2" s="62"/>
      <c r="I2" s="62"/>
      <c r="J2" s="62"/>
      <c r="K2" s="62"/>
      <c r="L2" s="62"/>
      <c r="M2" s="62"/>
      <c r="N2" s="62"/>
      <c r="O2" s="62"/>
      <c r="P2" s="62"/>
      <c r="Q2" s="62"/>
      <c r="R2" s="62"/>
      <c r="S2" s="62"/>
      <c r="T2" s="62"/>
      <c r="U2" s="103" t="s">
        <v>2</v>
      </c>
      <c r="V2" s="103"/>
      <c r="W2" s="103"/>
      <c r="X2" s="103"/>
      <c r="Y2" s="103"/>
      <c r="Z2" s="103"/>
      <c r="AA2" s="103"/>
      <c r="AB2" s="103"/>
      <c r="AC2" s="103"/>
      <c r="AD2" s="103"/>
      <c r="AE2" s="144"/>
      <c r="AF2" s="145"/>
      <c r="AG2" s="146"/>
      <c r="AH2" s="146"/>
      <c r="AI2" s="146"/>
      <c r="AJ2" s="146"/>
      <c r="AK2" s="146"/>
      <c r="AL2" s="146"/>
      <c r="AM2" s="146"/>
      <c r="AN2" s="146"/>
      <c r="AO2" s="146"/>
      <c r="AP2" s="146"/>
      <c r="AQ2" s="146"/>
      <c r="AR2" s="146"/>
      <c r="AS2" s="146"/>
      <c r="AT2" s="146"/>
      <c r="AU2" s="146"/>
      <c r="AV2" s="146"/>
      <c r="AW2" s="146"/>
      <c r="AX2" s="146"/>
      <c r="AY2" s="146"/>
      <c r="AZ2" s="146"/>
      <c r="BA2" s="146"/>
      <c r="BB2" s="146"/>
      <c r="BC2" s="146"/>
      <c r="BD2" s="146"/>
      <c r="BE2" s="146"/>
      <c r="BF2" s="146"/>
      <c r="BG2" s="146"/>
      <c r="BH2" s="146"/>
      <c r="BI2" s="146"/>
      <c r="BJ2" s="146"/>
      <c r="BK2" s="146"/>
      <c r="BL2" s="146"/>
      <c r="BM2" s="146"/>
      <c r="BN2" s="146"/>
      <c r="BO2" s="146"/>
      <c r="BP2" s="146"/>
      <c r="BQ2" s="146"/>
      <c r="BR2" s="146"/>
      <c r="BS2" s="146"/>
      <c r="BT2" s="146"/>
      <c r="BU2" s="146"/>
      <c r="BV2" s="146"/>
      <c r="BW2" s="146"/>
      <c r="BX2" s="146"/>
      <c r="BY2" s="146"/>
      <c r="BZ2" s="146"/>
      <c r="CA2" s="146"/>
      <c r="CB2" s="146"/>
      <c r="CC2" s="146"/>
      <c r="CD2" s="146"/>
      <c r="CE2" s="146"/>
      <c r="CF2" s="146"/>
      <c r="CG2" s="146"/>
      <c r="CH2" s="146"/>
      <c r="CI2" s="146"/>
      <c r="CJ2" s="146"/>
      <c r="CK2" s="146"/>
      <c r="CL2" s="146"/>
      <c r="CM2" s="146"/>
      <c r="CN2" s="146"/>
      <c r="CO2" s="146"/>
      <c r="CP2" s="146"/>
      <c r="CQ2" s="146"/>
      <c r="CR2" s="146"/>
      <c r="CS2" s="146"/>
      <c r="CT2" s="146"/>
      <c r="CU2" s="146"/>
      <c r="CV2" s="146"/>
      <c r="CW2" s="146"/>
      <c r="CX2" s="146"/>
      <c r="CY2" s="146"/>
      <c r="CZ2" s="146"/>
      <c r="DA2" s="146"/>
      <c r="DB2" s="146"/>
      <c r="DC2" s="146"/>
      <c r="DD2" s="146"/>
      <c r="DE2" s="146"/>
      <c r="DF2" s="146"/>
      <c r="DG2" s="146"/>
      <c r="DH2" s="146"/>
      <c r="DI2" s="146"/>
      <c r="DJ2" s="146"/>
      <c r="DK2" s="146"/>
      <c r="DL2" s="146"/>
      <c r="DM2" s="146"/>
      <c r="DN2" s="146"/>
      <c r="DO2" s="146"/>
      <c r="DP2" s="146"/>
      <c r="DQ2" s="146"/>
      <c r="DR2" s="146"/>
      <c r="DS2" s="146"/>
      <c r="DT2" s="146"/>
      <c r="DU2" s="146"/>
      <c r="DV2" s="146"/>
      <c r="DW2" s="146"/>
      <c r="DX2" s="146"/>
      <c r="DY2" s="146"/>
      <c r="DZ2" s="146"/>
      <c r="EA2" s="146"/>
      <c r="EB2" s="146"/>
      <c r="EC2" s="146"/>
      <c r="ED2" s="146"/>
      <c r="EE2" s="146"/>
      <c r="EF2" s="146"/>
      <c r="EG2" s="146"/>
      <c r="EH2" s="146"/>
      <c r="EI2" s="146"/>
      <c r="EJ2" s="146"/>
      <c r="EK2" s="146"/>
      <c r="EL2" s="146"/>
      <c r="EM2" s="146"/>
      <c r="EN2" s="146"/>
      <c r="EO2" s="146"/>
      <c r="EP2" s="146"/>
      <c r="EQ2" s="146"/>
      <c r="ER2" s="146"/>
      <c r="ES2" s="146"/>
      <c r="ET2" s="146"/>
      <c r="EU2" s="146"/>
      <c r="EV2" s="146"/>
      <c r="EW2" s="146"/>
      <c r="EX2" s="146"/>
      <c r="EY2" s="146"/>
      <c r="EZ2" s="146"/>
      <c r="FA2" s="146"/>
      <c r="FB2" s="146"/>
      <c r="FC2" s="146"/>
      <c r="FD2" s="146"/>
      <c r="FE2" s="146"/>
      <c r="FF2" s="146"/>
      <c r="FG2" s="146"/>
      <c r="FH2" s="146"/>
      <c r="FI2" s="146"/>
      <c r="FJ2" s="146"/>
      <c r="FK2" s="146"/>
      <c r="FL2" s="146"/>
      <c r="FM2" s="146"/>
      <c r="FN2" s="146"/>
      <c r="FO2" s="146"/>
      <c r="FP2" s="146"/>
      <c r="FQ2" s="146"/>
      <c r="FR2" s="146"/>
      <c r="FS2" s="146"/>
      <c r="FT2" s="146"/>
      <c r="FU2" s="146"/>
      <c r="FV2" s="146"/>
      <c r="FW2" s="146"/>
      <c r="FX2" s="146"/>
      <c r="FY2" s="146"/>
      <c r="FZ2" s="146"/>
      <c r="GA2" s="146"/>
      <c r="GB2" s="146"/>
      <c r="GC2" s="146"/>
      <c r="GD2" s="146"/>
      <c r="GE2" s="146"/>
      <c r="GF2" s="146"/>
      <c r="GG2" s="146"/>
      <c r="GH2" s="146"/>
      <c r="GI2" s="146"/>
      <c r="GJ2" s="146"/>
      <c r="GK2" s="146"/>
      <c r="GL2" s="146"/>
      <c r="GM2" s="146"/>
      <c r="GN2" s="146"/>
      <c r="GO2" s="146"/>
      <c r="GP2" s="146"/>
      <c r="GQ2" s="146"/>
      <c r="GR2" s="146"/>
      <c r="GS2" s="146"/>
      <c r="GT2" s="146"/>
      <c r="GU2" s="146"/>
      <c r="GV2" s="146"/>
      <c r="GW2" s="146"/>
      <c r="GX2" s="146"/>
      <c r="GY2" s="146"/>
      <c r="GZ2" s="146"/>
      <c r="HA2" s="146"/>
      <c r="HB2" s="146"/>
      <c r="HC2" s="146"/>
      <c r="HD2" s="146"/>
      <c r="HE2" s="146"/>
      <c r="HF2" s="146"/>
      <c r="HG2" s="146"/>
      <c r="HH2" s="146"/>
      <c r="HI2" s="146"/>
      <c r="HJ2" s="146"/>
      <c r="HK2" s="146"/>
      <c r="HL2" s="146"/>
      <c r="HM2" s="146"/>
      <c r="HN2" s="146"/>
      <c r="HO2" s="146"/>
      <c r="HP2" s="146"/>
      <c r="HQ2" s="146"/>
      <c r="HR2" s="146"/>
      <c r="HS2" s="146"/>
      <c r="HT2" s="146"/>
      <c r="HU2" s="146"/>
      <c r="HV2" s="146"/>
      <c r="HW2" s="146"/>
      <c r="HX2" s="146"/>
      <c r="HY2" s="146"/>
      <c r="HZ2" s="146"/>
      <c r="IA2" s="146"/>
      <c r="IB2" s="146"/>
      <c r="IC2" s="146"/>
      <c r="ID2" s="146"/>
    </row>
    <row r="3" s="54" customFormat="1" ht="53" customHeight="1" spans="1:248">
      <c r="A3" s="40" t="s">
        <v>3</v>
      </c>
      <c r="B3" s="40" t="s">
        <v>4</v>
      </c>
      <c r="C3" s="40" t="s">
        <v>5</v>
      </c>
      <c r="D3" s="63" t="s">
        <v>6</v>
      </c>
      <c r="E3" s="40" t="s">
        <v>7</v>
      </c>
      <c r="F3" s="40" t="s">
        <v>8</v>
      </c>
      <c r="G3" s="40" t="s">
        <v>9</v>
      </c>
      <c r="H3" s="76" t="s">
        <v>10</v>
      </c>
      <c r="I3" s="76" t="s">
        <v>11</v>
      </c>
      <c r="J3" s="82" t="s">
        <v>12</v>
      </c>
      <c r="K3" s="82" t="s">
        <v>13</v>
      </c>
      <c r="L3" s="82" t="s">
        <v>14</v>
      </c>
      <c r="M3" s="88" t="s">
        <v>15</v>
      </c>
      <c r="N3" s="88" t="s">
        <v>16</v>
      </c>
      <c r="O3" s="88" t="s">
        <v>17</v>
      </c>
      <c r="P3" s="40" t="s">
        <v>18</v>
      </c>
      <c r="Q3" s="40" t="s">
        <v>19</v>
      </c>
      <c r="R3" s="40" t="s">
        <v>20</v>
      </c>
      <c r="S3" s="82" t="s">
        <v>21</v>
      </c>
      <c r="T3" s="40" t="s">
        <v>22</v>
      </c>
      <c r="U3" s="14" t="s">
        <v>23</v>
      </c>
      <c r="V3" s="14" t="s">
        <v>4</v>
      </c>
      <c r="W3" s="15" t="s">
        <v>5</v>
      </c>
      <c r="X3" s="14" t="s">
        <v>24</v>
      </c>
      <c r="Y3" s="14" t="s">
        <v>25</v>
      </c>
      <c r="Z3" s="14" t="s">
        <v>9</v>
      </c>
      <c r="AA3" s="14" t="s">
        <v>26</v>
      </c>
      <c r="AB3" s="88" t="s">
        <v>27</v>
      </c>
      <c r="AC3" s="88" t="s">
        <v>28</v>
      </c>
      <c r="AD3" s="88" t="s">
        <v>29</v>
      </c>
      <c r="AE3" s="40" t="s">
        <v>30</v>
      </c>
      <c r="AF3" s="60"/>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c r="FF3" s="56"/>
      <c r="FG3" s="56"/>
      <c r="FH3" s="56"/>
      <c r="FI3" s="56"/>
      <c r="FJ3" s="56"/>
      <c r="FK3" s="56"/>
      <c r="FL3" s="56"/>
      <c r="FM3" s="56"/>
      <c r="FN3" s="56"/>
      <c r="FO3" s="56"/>
      <c r="FP3" s="56"/>
      <c r="FQ3" s="56"/>
      <c r="FR3" s="56"/>
      <c r="FS3" s="56"/>
      <c r="FT3" s="56"/>
      <c r="FU3" s="56"/>
      <c r="FV3" s="56"/>
      <c r="FW3" s="56"/>
      <c r="FX3" s="56"/>
      <c r="FY3" s="56"/>
      <c r="FZ3" s="56"/>
      <c r="GA3" s="56"/>
      <c r="GB3" s="56"/>
      <c r="GC3" s="56"/>
      <c r="GD3" s="56"/>
      <c r="GE3" s="56"/>
      <c r="GF3" s="56"/>
      <c r="GG3" s="56"/>
      <c r="GH3" s="56"/>
      <c r="GI3" s="56"/>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147"/>
      <c r="IF3" s="147"/>
      <c r="IG3" s="147"/>
      <c r="IH3" s="147"/>
      <c r="II3" s="147"/>
      <c r="IJ3" s="147"/>
      <c r="IK3" s="147"/>
      <c r="IL3" s="147"/>
      <c r="IM3" s="147"/>
      <c r="IN3" s="147"/>
    </row>
    <row r="4" s="52" customFormat="1" ht="51" spans="1:238">
      <c r="A4" s="64">
        <v>1</v>
      </c>
      <c r="B4" s="64" t="s">
        <v>31</v>
      </c>
      <c r="C4" s="64" t="s">
        <v>32</v>
      </c>
      <c r="D4" s="65" t="s">
        <v>33</v>
      </c>
      <c r="E4" s="77" t="s">
        <v>34</v>
      </c>
      <c r="F4" s="77" t="s">
        <v>35</v>
      </c>
      <c r="G4" s="64" t="s">
        <v>36</v>
      </c>
      <c r="H4" s="78">
        <v>1</v>
      </c>
      <c r="I4" s="78">
        <v>1</v>
      </c>
      <c r="J4" s="83">
        <v>1.1</v>
      </c>
      <c r="K4" s="83">
        <v>1</v>
      </c>
      <c r="L4" s="83">
        <v>0.9</v>
      </c>
      <c r="M4" s="89">
        <v>1</v>
      </c>
      <c r="N4" s="41">
        <v>1</v>
      </c>
      <c r="O4" s="89">
        <v>1</v>
      </c>
      <c r="P4" s="64" t="s">
        <v>37</v>
      </c>
      <c r="Q4" s="64" t="s">
        <v>35</v>
      </c>
      <c r="R4" s="64" t="s">
        <v>35</v>
      </c>
      <c r="S4" s="83" t="s">
        <v>38</v>
      </c>
      <c r="T4" s="104" t="s">
        <v>39</v>
      </c>
      <c r="U4" s="105" t="s">
        <v>40</v>
      </c>
      <c r="V4" s="105">
        <v>310300001</v>
      </c>
      <c r="W4" s="106" t="s">
        <v>41</v>
      </c>
      <c r="X4" s="105" t="s">
        <v>42</v>
      </c>
      <c r="Y4" s="105"/>
      <c r="Z4" s="105" t="s">
        <v>36</v>
      </c>
      <c r="AA4" s="110" t="s">
        <v>35</v>
      </c>
      <c r="AB4" s="50">
        <v>1.1</v>
      </c>
      <c r="AC4" s="50">
        <v>1</v>
      </c>
      <c r="AD4" s="50">
        <v>0.9</v>
      </c>
      <c r="AE4" s="112" t="s">
        <v>37</v>
      </c>
      <c r="AF4" s="60"/>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c r="FJ4" s="55"/>
      <c r="FK4" s="55"/>
      <c r="FL4" s="55"/>
      <c r="FM4" s="55"/>
      <c r="FN4" s="55"/>
      <c r="FO4" s="55"/>
      <c r="FP4" s="55"/>
      <c r="FQ4" s="55"/>
      <c r="FR4" s="55"/>
      <c r="FS4" s="55"/>
      <c r="FT4" s="55"/>
      <c r="FU4" s="55"/>
      <c r="FV4" s="55"/>
      <c r="FW4" s="55"/>
      <c r="FX4" s="55"/>
      <c r="FY4" s="55"/>
      <c r="FZ4" s="55"/>
      <c r="GA4" s="55"/>
      <c r="GB4" s="55"/>
      <c r="GC4" s="55"/>
      <c r="GD4" s="55"/>
      <c r="GE4" s="55"/>
      <c r="GF4" s="55"/>
      <c r="GG4" s="55"/>
      <c r="GH4" s="55"/>
      <c r="GI4" s="55"/>
      <c r="GJ4" s="55"/>
      <c r="GK4" s="55"/>
      <c r="GL4" s="55"/>
      <c r="GM4" s="55"/>
      <c r="GN4" s="55"/>
      <c r="GO4" s="55"/>
      <c r="GP4" s="55"/>
      <c r="GQ4" s="55"/>
      <c r="GR4" s="55"/>
      <c r="GS4" s="55"/>
      <c r="GT4" s="55"/>
      <c r="GU4" s="55"/>
      <c r="GV4" s="55"/>
      <c r="GW4" s="55"/>
      <c r="GX4" s="55"/>
      <c r="GY4" s="55"/>
      <c r="GZ4" s="55"/>
      <c r="HA4" s="55"/>
      <c r="HB4" s="55"/>
      <c r="HC4" s="55"/>
      <c r="HD4" s="55"/>
      <c r="HE4" s="55"/>
      <c r="HF4" s="55"/>
      <c r="HG4" s="55"/>
      <c r="HH4" s="55"/>
      <c r="HI4" s="55"/>
      <c r="HJ4" s="55"/>
      <c r="HK4" s="55"/>
      <c r="HL4" s="55"/>
      <c r="HM4" s="55"/>
      <c r="HN4" s="55"/>
      <c r="HO4" s="55"/>
      <c r="HP4" s="55"/>
      <c r="HQ4" s="55"/>
      <c r="HR4" s="55"/>
      <c r="HS4" s="55"/>
      <c r="HT4" s="55"/>
      <c r="HU4" s="55"/>
      <c r="HV4" s="55"/>
      <c r="HW4" s="55"/>
      <c r="HX4" s="55"/>
      <c r="HY4" s="55"/>
      <c r="HZ4" s="55"/>
      <c r="IA4" s="55"/>
      <c r="IB4" s="55"/>
      <c r="IC4" s="55"/>
      <c r="ID4" s="55"/>
    </row>
    <row r="5" s="52" customFormat="1" ht="24" customHeight="1" spans="1:238">
      <c r="A5" s="64">
        <v>2</v>
      </c>
      <c r="B5" s="64" t="s">
        <v>43</v>
      </c>
      <c r="C5" s="64" t="s">
        <v>44</v>
      </c>
      <c r="D5" s="65" t="s">
        <v>45</v>
      </c>
      <c r="E5" s="77" t="s">
        <v>46</v>
      </c>
      <c r="F5" s="77" t="s">
        <v>47</v>
      </c>
      <c r="G5" s="64" t="s">
        <v>36</v>
      </c>
      <c r="H5" s="78">
        <v>13</v>
      </c>
      <c r="I5" s="78">
        <v>13</v>
      </c>
      <c r="J5" s="84">
        <v>11.8962808290916</v>
      </c>
      <c r="K5" s="84">
        <v>10.794874487974</v>
      </c>
      <c r="L5" s="84">
        <v>10.7977055449331</v>
      </c>
      <c r="M5" s="41">
        <v>12</v>
      </c>
      <c r="N5" s="89">
        <v>11.5</v>
      </c>
      <c r="O5" s="41">
        <v>11</v>
      </c>
      <c r="P5" s="64" t="s">
        <v>37</v>
      </c>
      <c r="Q5" s="64" t="s">
        <v>35</v>
      </c>
      <c r="R5" s="64" t="s">
        <v>35</v>
      </c>
      <c r="S5" s="84" t="s">
        <v>38</v>
      </c>
      <c r="T5" s="77" t="s">
        <v>48</v>
      </c>
      <c r="U5" s="105" t="s">
        <v>49</v>
      </c>
      <c r="V5" s="105">
        <v>310300002</v>
      </c>
      <c r="W5" s="105" t="s">
        <v>50</v>
      </c>
      <c r="X5" s="110" t="s">
        <v>51</v>
      </c>
      <c r="Y5" s="105"/>
      <c r="Z5" s="105" t="s">
        <v>52</v>
      </c>
      <c r="AA5" s="110" t="s">
        <v>35</v>
      </c>
      <c r="AB5" s="50">
        <v>2.1</v>
      </c>
      <c r="AC5" s="50">
        <v>2</v>
      </c>
      <c r="AD5" s="50">
        <v>1.7</v>
      </c>
      <c r="AE5" s="112" t="s">
        <v>37</v>
      </c>
      <c r="AF5" s="60"/>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c r="CX5" s="55"/>
      <c r="CY5" s="55"/>
      <c r="CZ5" s="55"/>
      <c r="DA5" s="55"/>
      <c r="DB5" s="55"/>
      <c r="DC5" s="55"/>
      <c r="DD5" s="55"/>
      <c r="DE5" s="55"/>
      <c r="DF5" s="55"/>
      <c r="DG5" s="55"/>
      <c r="DH5" s="55"/>
      <c r="DI5" s="55"/>
      <c r="DJ5" s="55"/>
      <c r="DK5" s="55"/>
      <c r="DL5" s="55"/>
      <c r="DM5" s="55"/>
      <c r="DN5" s="55"/>
      <c r="DO5" s="55"/>
      <c r="DP5" s="55"/>
      <c r="DQ5" s="55"/>
      <c r="DR5" s="55"/>
      <c r="DS5" s="55"/>
      <c r="DT5" s="55"/>
      <c r="DU5" s="55"/>
      <c r="DV5" s="55"/>
      <c r="DW5" s="55"/>
      <c r="DX5" s="55"/>
      <c r="DY5" s="55"/>
      <c r="DZ5" s="55"/>
      <c r="EA5" s="55"/>
      <c r="EB5" s="55"/>
      <c r="EC5" s="55"/>
      <c r="ED5" s="55"/>
      <c r="EE5" s="55"/>
      <c r="EF5" s="55"/>
      <c r="EG5" s="55"/>
      <c r="EH5" s="55"/>
      <c r="EI5" s="55"/>
      <c r="EJ5" s="55"/>
      <c r="EK5" s="55"/>
      <c r="EL5" s="55"/>
      <c r="EM5" s="55"/>
      <c r="EN5" s="55"/>
      <c r="EO5" s="55"/>
      <c r="EP5" s="55"/>
      <c r="EQ5" s="55"/>
      <c r="ER5" s="55"/>
      <c r="ES5" s="55"/>
      <c r="ET5" s="55"/>
      <c r="EU5" s="55"/>
      <c r="EV5" s="55"/>
      <c r="EW5" s="55"/>
      <c r="EX5" s="55"/>
      <c r="EY5" s="55"/>
      <c r="EZ5" s="55"/>
      <c r="FA5" s="55"/>
      <c r="FB5" s="55"/>
      <c r="FC5" s="55"/>
      <c r="FD5" s="55"/>
      <c r="FE5" s="55"/>
      <c r="FF5" s="55"/>
      <c r="FG5" s="55"/>
      <c r="FH5" s="55"/>
      <c r="FI5" s="55"/>
      <c r="FJ5" s="55"/>
      <c r="FK5" s="55"/>
      <c r="FL5" s="55"/>
      <c r="FM5" s="55"/>
      <c r="FN5" s="55"/>
      <c r="FO5" s="55"/>
      <c r="FP5" s="55"/>
      <c r="FQ5" s="55"/>
      <c r="FR5" s="55"/>
      <c r="FS5" s="55"/>
      <c r="FT5" s="55"/>
      <c r="FU5" s="55"/>
      <c r="FV5" s="55"/>
      <c r="FW5" s="55"/>
      <c r="FX5" s="55"/>
      <c r="FY5" s="55"/>
      <c r="FZ5" s="55"/>
      <c r="GA5" s="55"/>
      <c r="GB5" s="55"/>
      <c r="GC5" s="55"/>
      <c r="GD5" s="55"/>
      <c r="GE5" s="55"/>
      <c r="GF5" s="55"/>
      <c r="GG5" s="55"/>
      <c r="GH5" s="55"/>
      <c r="GI5" s="55"/>
      <c r="GJ5" s="55"/>
      <c r="GK5" s="55"/>
      <c r="GL5" s="55"/>
      <c r="GM5" s="55"/>
      <c r="GN5" s="55"/>
      <c r="GO5" s="55"/>
      <c r="GP5" s="55"/>
      <c r="GQ5" s="55"/>
      <c r="GR5" s="55"/>
      <c r="GS5" s="55"/>
      <c r="GT5" s="55"/>
      <c r="GU5" s="55"/>
      <c r="GV5" s="55"/>
      <c r="GW5" s="55"/>
      <c r="GX5" s="55"/>
      <c r="GY5" s="55"/>
      <c r="GZ5" s="55"/>
      <c r="HA5" s="55"/>
      <c r="HB5" s="55"/>
      <c r="HC5" s="55"/>
      <c r="HD5" s="55"/>
      <c r="HE5" s="55"/>
      <c r="HF5" s="55"/>
      <c r="HG5" s="55"/>
      <c r="HH5" s="55"/>
      <c r="HI5" s="55"/>
      <c r="HJ5" s="55"/>
      <c r="HK5" s="55"/>
      <c r="HL5" s="55"/>
      <c r="HM5" s="55"/>
      <c r="HN5" s="55"/>
      <c r="HO5" s="55"/>
      <c r="HP5" s="55"/>
      <c r="HQ5" s="55"/>
      <c r="HR5" s="55"/>
      <c r="HS5" s="55"/>
      <c r="HT5" s="55"/>
      <c r="HU5" s="55"/>
      <c r="HV5" s="55"/>
      <c r="HW5" s="55"/>
      <c r="HX5" s="55"/>
      <c r="HY5" s="55"/>
      <c r="HZ5" s="55"/>
      <c r="IA5" s="55"/>
      <c r="IB5" s="55"/>
      <c r="IC5" s="55"/>
      <c r="ID5" s="55"/>
    </row>
    <row r="6" s="52" customFormat="1" ht="24" customHeight="1" spans="1:238">
      <c r="A6" s="64"/>
      <c r="B6" s="64"/>
      <c r="C6" s="64"/>
      <c r="D6" s="65"/>
      <c r="E6" s="77"/>
      <c r="F6" s="77"/>
      <c r="G6" s="64"/>
      <c r="H6" s="42"/>
      <c r="I6" s="42"/>
      <c r="J6" s="84"/>
      <c r="K6" s="84"/>
      <c r="L6" s="84"/>
      <c r="M6" s="41"/>
      <c r="N6" s="89"/>
      <c r="O6" s="41"/>
      <c r="P6" s="64"/>
      <c r="Q6" s="64"/>
      <c r="R6" s="64"/>
      <c r="S6" s="84"/>
      <c r="T6" s="77"/>
      <c r="U6" s="105" t="s">
        <v>53</v>
      </c>
      <c r="V6" s="105">
        <v>31030000201</v>
      </c>
      <c r="W6" s="106" t="s">
        <v>54</v>
      </c>
      <c r="X6" s="105"/>
      <c r="Y6" s="105"/>
      <c r="Z6" s="105" t="s">
        <v>52</v>
      </c>
      <c r="AA6" s="110" t="s">
        <v>55</v>
      </c>
      <c r="AB6" s="50">
        <v>2.1</v>
      </c>
      <c r="AC6" s="50">
        <v>2</v>
      </c>
      <c r="AD6" s="50">
        <v>1.7</v>
      </c>
      <c r="AE6" s="112" t="s">
        <v>37</v>
      </c>
      <c r="AF6" s="60"/>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55"/>
      <c r="CR6" s="55"/>
      <c r="CS6" s="55"/>
      <c r="CT6" s="55"/>
      <c r="CU6" s="55"/>
      <c r="CV6" s="55"/>
      <c r="CW6" s="55"/>
      <c r="CX6" s="55"/>
      <c r="CY6" s="55"/>
      <c r="CZ6" s="55"/>
      <c r="DA6" s="55"/>
      <c r="DB6" s="55"/>
      <c r="DC6" s="55"/>
      <c r="DD6" s="55"/>
      <c r="DE6" s="55"/>
      <c r="DF6" s="55"/>
      <c r="DG6" s="55"/>
      <c r="DH6" s="55"/>
      <c r="DI6" s="55"/>
      <c r="DJ6" s="55"/>
      <c r="DK6" s="55"/>
      <c r="DL6" s="55"/>
      <c r="DM6" s="55"/>
      <c r="DN6" s="55"/>
      <c r="DO6" s="55"/>
      <c r="DP6" s="55"/>
      <c r="DQ6" s="55"/>
      <c r="DR6" s="55"/>
      <c r="DS6" s="55"/>
      <c r="DT6" s="55"/>
      <c r="DU6" s="55"/>
      <c r="DV6" s="55"/>
      <c r="DW6" s="55"/>
      <c r="DX6" s="55"/>
      <c r="DY6" s="55"/>
      <c r="DZ6" s="55"/>
      <c r="EA6" s="55"/>
      <c r="EB6" s="55"/>
      <c r="EC6" s="55"/>
      <c r="ED6" s="55"/>
      <c r="EE6" s="55"/>
      <c r="EF6" s="55"/>
      <c r="EG6" s="55"/>
      <c r="EH6" s="55"/>
      <c r="EI6" s="55"/>
      <c r="EJ6" s="55"/>
      <c r="EK6" s="55"/>
      <c r="EL6" s="55"/>
      <c r="EM6" s="55"/>
      <c r="EN6" s="55"/>
      <c r="EO6" s="55"/>
      <c r="EP6" s="55"/>
      <c r="EQ6" s="55"/>
      <c r="ER6" s="55"/>
      <c r="ES6" s="55"/>
      <c r="ET6" s="55"/>
      <c r="EU6" s="55"/>
      <c r="EV6" s="55"/>
      <c r="EW6" s="55"/>
      <c r="EX6" s="55"/>
      <c r="EY6" s="55"/>
      <c r="EZ6" s="55"/>
      <c r="FA6" s="55"/>
      <c r="FB6" s="55"/>
      <c r="FC6" s="55"/>
      <c r="FD6" s="55"/>
      <c r="FE6" s="55"/>
      <c r="FF6" s="55"/>
      <c r="FG6" s="55"/>
      <c r="FH6" s="55"/>
      <c r="FI6" s="55"/>
      <c r="FJ6" s="55"/>
      <c r="FK6" s="55"/>
      <c r="FL6" s="55"/>
      <c r="FM6" s="55"/>
      <c r="FN6" s="55"/>
      <c r="FO6" s="55"/>
      <c r="FP6" s="55"/>
      <c r="FQ6" s="55"/>
      <c r="FR6" s="55"/>
      <c r="FS6" s="55"/>
      <c r="FT6" s="55"/>
      <c r="FU6" s="55"/>
      <c r="FV6" s="55"/>
      <c r="FW6" s="55"/>
      <c r="FX6" s="55"/>
      <c r="FY6" s="55"/>
      <c r="FZ6" s="55"/>
      <c r="GA6" s="55"/>
      <c r="GB6" s="55"/>
      <c r="GC6" s="55"/>
      <c r="GD6" s="55"/>
      <c r="GE6" s="55"/>
      <c r="GF6" s="55"/>
      <c r="GG6" s="55"/>
      <c r="GH6" s="55"/>
      <c r="GI6" s="55"/>
      <c r="GJ6" s="55"/>
      <c r="GK6" s="55"/>
      <c r="GL6" s="55"/>
      <c r="GM6" s="55"/>
      <c r="GN6" s="55"/>
      <c r="GO6" s="55"/>
      <c r="GP6" s="55"/>
      <c r="GQ6" s="55"/>
      <c r="GR6" s="55"/>
      <c r="GS6" s="55"/>
      <c r="GT6" s="55"/>
      <c r="GU6" s="55"/>
      <c r="GV6" s="55"/>
      <c r="GW6" s="55"/>
      <c r="GX6" s="55"/>
      <c r="GY6" s="55"/>
      <c r="GZ6" s="55"/>
      <c r="HA6" s="55"/>
      <c r="HB6" s="55"/>
      <c r="HC6" s="55"/>
      <c r="HD6" s="55"/>
      <c r="HE6" s="55"/>
      <c r="HF6" s="55"/>
      <c r="HG6" s="55"/>
      <c r="HH6" s="55"/>
      <c r="HI6" s="55"/>
      <c r="HJ6" s="55"/>
      <c r="HK6" s="55"/>
      <c r="HL6" s="55"/>
      <c r="HM6" s="55"/>
      <c r="HN6" s="55"/>
      <c r="HO6" s="55"/>
      <c r="HP6" s="55"/>
      <c r="HQ6" s="55"/>
      <c r="HR6" s="55"/>
      <c r="HS6" s="55"/>
      <c r="HT6" s="55"/>
      <c r="HU6" s="55"/>
      <c r="HV6" s="55"/>
      <c r="HW6" s="55"/>
      <c r="HX6" s="55"/>
      <c r="HY6" s="55"/>
      <c r="HZ6" s="55"/>
      <c r="IA6" s="55"/>
      <c r="IB6" s="55"/>
      <c r="IC6" s="55"/>
      <c r="ID6" s="55"/>
    </row>
    <row r="7" s="52" customFormat="1" ht="24" customHeight="1" spans="1:238">
      <c r="A7" s="64"/>
      <c r="B7" s="64"/>
      <c r="C7" s="64"/>
      <c r="D7" s="65"/>
      <c r="E7" s="77"/>
      <c r="F7" s="77"/>
      <c r="G7" s="64"/>
      <c r="H7" s="42"/>
      <c r="I7" s="42"/>
      <c r="J7" s="84"/>
      <c r="K7" s="84"/>
      <c r="L7" s="84"/>
      <c r="M7" s="41"/>
      <c r="N7" s="89"/>
      <c r="O7" s="41"/>
      <c r="P7" s="64"/>
      <c r="Q7" s="64"/>
      <c r="R7" s="64"/>
      <c r="S7" s="84"/>
      <c r="T7" s="77"/>
      <c r="U7" s="105" t="s">
        <v>56</v>
      </c>
      <c r="V7" s="105">
        <v>31030000202</v>
      </c>
      <c r="W7" s="106" t="s">
        <v>57</v>
      </c>
      <c r="X7" s="105"/>
      <c r="Y7" s="105"/>
      <c r="Z7" s="105" t="s">
        <v>52</v>
      </c>
      <c r="AA7" s="110" t="s">
        <v>58</v>
      </c>
      <c r="AB7" s="50">
        <v>2.1</v>
      </c>
      <c r="AC7" s="50">
        <v>2</v>
      </c>
      <c r="AD7" s="50">
        <v>1.7</v>
      </c>
      <c r="AE7" s="112" t="s">
        <v>37</v>
      </c>
      <c r="AF7" s="60"/>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c r="DZ7" s="55"/>
      <c r="EA7" s="55"/>
      <c r="EB7" s="55"/>
      <c r="EC7" s="55"/>
      <c r="ED7" s="55"/>
      <c r="EE7" s="55"/>
      <c r="EF7" s="55"/>
      <c r="EG7" s="55"/>
      <c r="EH7" s="55"/>
      <c r="EI7" s="55"/>
      <c r="EJ7" s="55"/>
      <c r="EK7" s="55"/>
      <c r="EL7" s="55"/>
      <c r="EM7" s="55"/>
      <c r="EN7" s="55"/>
      <c r="EO7" s="55"/>
      <c r="EP7" s="55"/>
      <c r="EQ7" s="55"/>
      <c r="ER7" s="55"/>
      <c r="ES7" s="55"/>
      <c r="ET7" s="55"/>
      <c r="EU7" s="55"/>
      <c r="EV7" s="55"/>
      <c r="EW7" s="55"/>
      <c r="EX7" s="55"/>
      <c r="EY7" s="55"/>
      <c r="EZ7" s="55"/>
      <c r="FA7" s="55"/>
      <c r="FB7" s="55"/>
      <c r="FC7" s="55"/>
      <c r="FD7" s="55"/>
      <c r="FE7" s="55"/>
      <c r="FF7" s="55"/>
      <c r="FG7" s="55"/>
      <c r="FH7" s="55"/>
      <c r="FI7" s="55"/>
      <c r="FJ7" s="55"/>
      <c r="FK7" s="55"/>
      <c r="FL7" s="55"/>
      <c r="FM7" s="55"/>
      <c r="FN7" s="55"/>
      <c r="FO7" s="55"/>
      <c r="FP7" s="55"/>
      <c r="FQ7" s="55"/>
      <c r="FR7" s="55"/>
      <c r="FS7" s="55"/>
      <c r="FT7" s="55"/>
      <c r="FU7" s="55"/>
      <c r="FV7" s="55"/>
      <c r="FW7" s="55"/>
      <c r="FX7" s="55"/>
      <c r="FY7" s="55"/>
      <c r="FZ7" s="55"/>
      <c r="GA7" s="55"/>
      <c r="GB7" s="55"/>
      <c r="GC7" s="55"/>
      <c r="GD7" s="55"/>
      <c r="GE7" s="55"/>
      <c r="GF7" s="55"/>
      <c r="GG7" s="55"/>
      <c r="GH7" s="55"/>
      <c r="GI7" s="55"/>
      <c r="GJ7" s="55"/>
      <c r="GK7" s="55"/>
      <c r="GL7" s="55"/>
      <c r="GM7" s="55"/>
      <c r="GN7" s="55"/>
      <c r="GO7" s="55"/>
      <c r="GP7" s="55"/>
      <c r="GQ7" s="55"/>
      <c r="GR7" s="55"/>
      <c r="GS7" s="55"/>
      <c r="GT7" s="55"/>
      <c r="GU7" s="55"/>
      <c r="GV7" s="55"/>
      <c r="GW7" s="55"/>
      <c r="GX7" s="55"/>
      <c r="GY7" s="55"/>
      <c r="GZ7" s="55"/>
      <c r="HA7" s="55"/>
      <c r="HB7" s="55"/>
      <c r="HC7" s="55"/>
      <c r="HD7" s="55"/>
      <c r="HE7" s="55"/>
      <c r="HF7" s="55"/>
      <c r="HG7" s="55"/>
      <c r="HH7" s="55"/>
      <c r="HI7" s="55"/>
      <c r="HJ7" s="55"/>
      <c r="HK7" s="55"/>
      <c r="HL7" s="55"/>
      <c r="HM7" s="55"/>
      <c r="HN7" s="55"/>
      <c r="HO7" s="55"/>
      <c r="HP7" s="55"/>
      <c r="HQ7" s="55"/>
      <c r="HR7" s="55"/>
      <c r="HS7" s="55"/>
      <c r="HT7" s="55"/>
      <c r="HU7" s="55"/>
      <c r="HV7" s="55"/>
      <c r="HW7" s="55"/>
      <c r="HX7" s="55"/>
      <c r="HY7" s="55"/>
      <c r="HZ7" s="55"/>
      <c r="IA7" s="55"/>
      <c r="IB7" s="55"/>
      <c r="IC7" s="55"/>
      <c r="ID7" s="55"/>
    </row>
    <row r="8" s="52" customFormat="1" ht="24" customHeight="1" spans="1:238">
      <c r="A8" s="64"/>
      <c r="B8" s="64"/>
      <c r="C8" s="64"/>
      <c r="D8" s="65"/>
      <c r="E8" s="77"/>
      <c r="F8" s="77"/>
      <c r="G8" s="64"/>
      <c r="H8" s="42"/>
      <c r="I8" s="42"/>
      <c r="J8" s="84"/>
      <c r="K8" s="84"/>
      <c r="L8" s="84"/>
      <c r="M8" s="41"/>
      <c r="N8" s="89"/>
      <c r="O8" s="41"/>
      <c r="P8" s="64"/>
      <c r="Q8" s="64"/>
      <c r="R8" s="64"/>
      <c r="S8" s="84"/>
      <c r="T8" s="77"/>
      <c r="U8" s="105" t="s">
        <v>59</v>
      </c>
      <c r="V8" s="105">
        <v>31030000203</v>
      </c>
      <c r="W8" s="106" t="s">
        <v>60</v>
      </c>
      <c r="X8" s="105"/>
      <c r="Y8" s="105"/>
      <c r="Z8" s="105" t="s">
        <v>52</v>
      </c>
      <c r="AA8" s="110" t="s">
        <v>61</v>
      </c>
      <c r="AB8" s="50">
        <v>2.1</v>
      </c>
      <c r="AC8" s="50">
        <v>2</v>
      </c>
      <c r="AD8" s="50">
        <v>1.7</v>
      </c>
      <c r="AE8" s="112" t="s">
        <v>37</v>
      </c>
      <c r="AF8" s="60"/>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c r="CM8" s="55"/>
      <c r="CN8" s="55"/>
      <c r="CO8" s="55"/>
      <c r="CP8" s="55"/>
      <c r="CQ8" s="55"/>
      <c r="CR8" s="55"/>
      <c r="CS8" s="55"/>
      <c r="CT8" s="55"/>
      <c r="CU8" s="55"/>
      <c r="CV8" s="55"/>
      <c r="CW8" s="55"/>
      <c r="CX8" s="55"/>
      <c r="CY8" s="55"/>
      <c r="CZ8" s="55"/>
      <c r="DA8" s="55"/>
      <c r="DB8" s="55"/>
      <c r="DC8" s="55"/>
      <c r="DD8" s="55"/>
      <c r="DE8" s="55"/>
      <c r="DF8" s="55"/>
      <c r="DG8" s="55"/>
      <c r="DH8" s="55"/>
      <c r="DI8" s="55"/>
      <c r="DJ8" s="55"/>
      <c r="DK8" s="55"/>
      <c r="DL8" s="55"/>
      <c r="DM8" s="55"/>
      <c r="DN8" s="55"/>
      <c r="DO8" s="55"/>
      <c r="DP8" s="55"/>
      <c r="DQ8" s="55"/>
      <c r="DR8" s="55"/>
      <c r="DS8" s="55"/>
      <c r="DT8" s="55"/>
      <c r="DU8" s="55"/>
      <c r="DV8" s="55"/>
      <c r="DW8" s="55"/>
      <c r="DX8" s="55"/>
      <c r="DY8" s="55"/>
      <c r="DZ8" s="55"/>
      <c r="EA8" s="55"/>
      <c r="EB8" s="55"/>
      <c r="EC8" s="55"/>
      <c r="ED8" s="55"/>
      <c r="EE8" s="55"/>
      <c r="EF8" s="55"/>
      <c r="EG8" s="55"/>
      <c r="EH8" s="55"/>
      <c r="EI8" s="55"/>
      <c r="EJ8" s="55"/>
      <c r="EK8" s="55"/>
      <c r="EL8" s="55"/>
      <c r="EM8" s="55"/>
      <c r="EN8" s="55"/>
      <c r="EO8" s="55"/>
      <c r="EP8" s="55"/>
      <c r="EQ8" s="55"/>
      <c r="ER8" s="55"/>
      <c r="ES8" s="55"/>
      <c r="ET8" s="55"/>
      <c r="EU8" s="55"/>
      <c r="EV8" s="55"/>
      <c r="EW8" s="55"/>
      <c r="EX8" s="55"/>
      <c r="EY8" s="55"/>
      <c r="EZ8" s="55"/>
      <c r="FA8" s="55"/>
      <c r="FB8" s="55"/>
      <c r="FC8" s="55"/>
      <c r="FD8" s="55"/>
      <c r="FE8" s="55"/>
      <c r="FF8" s="55"/>
      <c r="FG8" s="55"/>
      <c r="FH8" s="55"/>
      <c r="FI8" s="55"/>
      <c r="FJ8" s="55"/>
      <c r="FK8" s="55"/>
      <c r="FL8" s="55"/>
      <c r="FM8" s="55"/>
      <c r="FN8" s="55"/>
      <c r="FO8" s="55"/>
      <c r="FP8" s="55"/>
      <c r="FQ8" s="55"/>
      <c r="FR8" s="55"/>
      <c r="FS8" s="55"/>
      <c r="FT8" s="55"/>
      <c r="FU8" s="55"/>
      <c r="FV8" s="55"/>
      <c r="FW8" s="55"/>
      <c r="FX8" s="55"/>
      <c r="FY8" s="55"/>
      <c r="FZ8" s="55"/>
      <c r="GA8" s="55"/>
      <c r="GB8" s="55"/>
      <c r="GC8" s="55"/>
      <c r="GD8" s="55"/>
      <c r="GE8" s="55"/>
      <c r="GF8" s="55"/>
      <c r="GG8" s="55"/>
      <c r="GH8" s="55"/>
      <c r="GI8" s="55"/>
      <c r="GJ8" s="55"/>
      <c r="GK8" s="55"/>
      <c r="GL8" s="55"/>
      <c r="GM8" s="55"/>
      <c r="GN8" s="55"/>
      <c r="GO8" s="55"/>
      <c r="GP8" s="55"/>
      <c r="GQ8" s="55"/>
      <c r="GR8" s="55"/>
      <c r="GS8" s="55"/>
      <c r="GT8" s="55"/>
      <c r="GU8" s="55"/>
      <c r="GV8" s="55"/>
      <c r="GW8" s="55"/>
      <c r="GX8" s="55"/>
      <c r="GY8" s="55"/>
      <c r="GZ8" s="55"/>
      <c r="HA8" s="55"/>
      <c r="HB8" s="55"/>
      <c r="HC8" s="55"/>
      <c r="HD8" s="55"/>
      <c r="HE8" s="55"/>
      <c r="HF8" s="55"/>
      <c r="HG8" s="55"/>
      <c r="HH8" s="55"/>
      <c r="HI8" s="55"/>
      <c r="HJ8" s="55"/>
      <c r="HK8" s="55"/>
      <c r="HL8" s="55"/>
      <c r="HM8" s="55"/>
      <c r="HN8" s="55"/>
      <c r="HO8" s="55"/>
      <c r="HP8" s="55"/>
      <c r="HQ8" s="55"/>
      <c r="HR8" s="55"/>
      <c r="HS8" s="55"/>
      <c r="HT8" s="55"/>
      <c r="HU8" s="55"/>
      <c r="HV8" s="55"/>
      <c r="HW8" s="55"/>
      <c r="HX8" s="55"/>
      <c r="HY8" s="55"/>
      <c r="HZ8" s="55"/>
      <c r="IA8" s="55"/>
      <c r="IB8" s="55"/>
      <c r="IC8" s="55"/>
      <c r="ID8" s="55"/>
    </row>
    <row r="9" s="52" customFormat="1" ht="24" customHeight="1" spans="1:238">
      <c r="A9" s="64"/>
      <c r="B9" s="64"/>
      <c r="C9" s="64"/>
      <c r="D9" s="65"/>
      <c r="E9" s="77"/>
      <c r="F9" s="77"/>
      <c r="G9" s="64"/>
      <c r="H9" s="42"/>
      <c r="I9" s="42"/>
      <c r="J9" s="84"/>
      <c r="K9" s="84"/>
      <c r="L9" s="84"/>
      <c r="M9" s="41"/>
      <c r="N9" s="89"/>
      <c r="O9" s="41"/>
      <c r="P9" s="64"/>
      <c r="Q9" s="64"/>
      <c r="R9" s="64"/>
      <c r="S9" s="84"/>
      <c r="T9" s="77"/>
      <c r="U9" s="105" t="s">
        <v>62</v>
      </c>
      <c r="V9" s="105">
        <v>31030000204</v>
      </c>
      <c r="W9" s="106" t="s">
        <v>63</v>
      </c>
      <c r="X9" s="105"/>
      <c r="Y9" s="105"/>
      <c r="Z9" s="105" t="s">
        <v>52</v>
      </c>
      <c r="AA9" s="110" t="s">
        <v>64</v>
      </c>
      <c r="AB9" s="50">
        <v>2.1</v>
      </c>
      <c r="AC9" s="50">
        <v>2</v>
      </c>
      <c r="AD9" s="50">
        <v>1.7</v>
      </c>
      <c r="AE9" s="112" t="s">
        <v>37</v>
      </c>
      <c r="AF9" s="60"/>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5"/>
      <c r="CR9" s="55"/>
      <c r="CS9" s="55"/>
      <c r="CT9" s="55"/>
      <c r="CU9" s="55"/>
      <c r="CV9" s="55"/>
      <c r="CW9" s="55"/>
      <c r="CX9" s="55"/>
      <c r="CY9" s="55"/>
      <c r="CZ9" s="55"/>
      <c r="DA9" s="55"/>
      <c r="DB9" s="55"/>
      <c r="DC9" s="55"/>
      <c r="DD9" s="55"/>
      <c r="DE9" s="55"/>
      <c r="DF9" s="55"/>
      <c r="DG9" s="55"/>
      <c r="DH9" s="55"/>
      <c r="DI9" s="55"/>
      <c r="DJ9" s="55"/>
      <c r="DK9" s="55"/>
      <c r="DL9" s="55"/>
      <c r="DM9" s="55"/>
      <c r="DN9" s="55"/>
      <c r="DO9" s="55"/>
      <c r="DP9" s="55"/>
      <c r="DQ9" s="55"/>
      <c r="DR9" s="55"/>
      <c r="DS9" s="55"/>
      <c r="DT9" s="55"/>
      <c r="DU9" s="55"/>
      <c r="DV9" s="55"/>
      <c r="DW9" s="55"/>
      <c r="DX9" s="55"/>
      <c r="DY9" s="55"/>
      <c r="DZ9" s="55"/>
      <c r="EA9" s="55"/>
      <c r="EB9" s="55"/>
      <c r="EC9" s="55"/>
      <c r="ED9" s="55"/>
      <c r="EE9" s="55"/>
      <c r="EF9" s="55"/>
      <c r="EG9" s="55"/>
      <c r="EH9" s="55"/>
      <c r="EI9" s="55"/>
      <c r="EJ9" s="55"/>
      <c r="EK9" s="55"/>
      <c r="EL9" s="55"/>
      <c r="EM9" s="55"/>
      <c r="EN9" s="55"/>
      <c r="EO9" s="55"/>
      <c r="EP9" s="55"/>
      <c r="EQ9" s="55"/>
      <c r="ER9" s="55"/>
      <c r="ES9" s="55"/>
      <c r="ET9" s="55"/>
      <c r="EU9" s="55"/>
      <c r="EV9" s="55"/>
      <c r="EW9" s="55"/>
      <c r="EX9" s="55"/>
      <c r="EY9" s="55"/>
      <c r="EZ9" s="55"/>
      <c r="FA9" s="55"/>
      <c r="FB9" s="55"/>
      <c r="FC9" s="55"/>
      <c r="FD9" s="55"/>
      <c r="FE9" s="55"/>
      <c r="FF9" s="55"/>
      <c r="FG9" s="55"/>
      <c r="FH9" s="55"/>
      <c r="FI9" s="55"/>
      <c r="FJ9" s="55"/>
      <c r="FK9" s="55"/>
      <c r="FL9" s="55"/>
      <c r="FM9" s="55"/>
      <c r="FN9" s="55"/>
      <c r="FO9" s="55"/>
      <c r="FP9" s="55"/>
      <c r="FQ9" s="55"/>
      <c r="FR9" s="55"/>
      <c r="FS9" s="55"/>
      <c r="FT9" s="55"/>
      <c r="FU9" s="55"/>
      <c r="FV9" s="55"/>
      <c r="FW9" s="55"/>
      <c r="FX9" s="55"/>
      <c r="FY9" s="55"/>
      <c r="FZ9" s="55"/>
      <c r="GA9" s="55"/>
      <c r="GB9" s="55"/>
      <c r="GC9" s="55"/>
      <c r="GD9" s="55"/>
      <c r="GE9" s="55"/>
      <c r="GF9" s="55"/>
      <c r="GG9" s="55"/>
      <c r="GH9" s="55"/>
      <c r="GI9" s="55"/>
      <c r="GJ9" s="55"/>
      <c r="GK9" s="55"/>
      <c r="GL9" s="55"/>
      <c r="GM9" s="55"/>
      <c r="GN9" s="55"/>
      <c r="GO9" s="55"/>
      <c r="GP9" s="55"/>
      <c r="GQ9" s="55"/>
      <c r="GR9" s="55"/>
      <c r="GS9" s="55"/>
      <c r="GT9" s="55"/>
      <c r="GU9" s="55"/>
      <c r="GV9" s="55"/>
      <c r="GW9" s="55"/>
      <c r="GX9" s="55"/>
      <c r="GY9" s="55"/>
      <c r="GZ9" s="55"/>
      <c r="HA9" s="55"/>
      <c r="HB9" s="55"/>
      <c r="HC9" s="55"/>
      <c r="HD9" s="55"/>
      <c r="HE9" s="55"/>
      <c r="HF9" s="55"/>
      <c r="HG9" s="55"/>
      <c r="HH9" s="55"/>
      <c r="HI9" s="55"/>
      <c r="HJ9" s="55"/>
      <c r="HK9" s="55"/>
      <c r="HL9" s="55"/>
      <c r="HM9" s="55"/>
      <c r="HN9" s="55"/>
      <c r="HO9" s="55"/>
      <c r="HP9" s="55"/>
      <c r="HQ9" s="55"/>
      <c r="HR9" s="55"/>
      <c r="HS9" s="55"/>
      <c r="HT9" s="55"/>
      <c r="HU9" s="55"/>
      <c r="HV9" s="55"/>
      <c r="HW9" s="55"/>
      <c r="HX9" s="55"/>
      <c r="HY9" s="55"/>
      <c r="HZ9" s="55"/>
      <c r="IA9" s="55"/>
      <c r="IB9" s="55"/>
      <c r="IC9" s="55"/>
      <c r="ID9" s="55"/>
    </row>
    <row r="10" s="52" customFormat="1" ht="24" customHeight="1" spans="1:238">
      <c r="A10" s="64"/>
      <c r="B10" s="64"/>
      <c r="C10" s="64"/>
      <c r="D10" s="65"/>
      <c r="E10" s="77"/>
      <c r="F10" s="77"/>
      <c r="G10" s="64"/>
      <c r="H10" s="42"/>
      <c r="I10" s="42"/>
      <c r="J10" s="84"/>
      <c r="K10" s="84"/>
      <c r="L10" s="84"/>
      <c r="M10" s="41"/>
      <c r="N10" s="89"/>
      <c r="O10" s="41"/>
      <c r="P10" s="64"/>
      <c r="Q10" s="64"/>
      <c r="R10" s="64"/>
      <c r="S10" s="84"/>
      <c r="T10" s="77"/>
      <c r="U10" s="105" t="s">
        <v>65</v>
      </c>
      <c r="V10" s="105">
        <v>310300003</v>
      </c>
      <c r="W10" s="106" t="s">
        <v>66</v>
      </c>
      <c r="X10" s="105"/>
      <c r="Y10" s="105"/>
      <c r="Z10" s="105" t="s">
        <v>36</v>
      </c>
      <c r="AA10" s="110" t="s">
        <v>35</v>
      </c>
      <c r="AB10" s="50">
        <v>2.1</v>
      </c>
      <c r="AC10" s="50">
        <v>2</v>
      </c>
      <c r="AD10" s="50">
        <v>1.7</v>
      </c>
      <c r="AE10" s="112" t="s">
        <v>37</v>
      </c>
      <c r="AF10" s="60"/>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55"/>
      <c r="CV10" s="55"/>
      <c r="CW10" s="55"/>
      <c r="CX10" s="55"/>
      <c r="CY10" s="55"/>
      <c r="CZ10" s="55"/>
      <c r="DA10" s="55"/>
      <c r="DB10" s="55"/>
      <c r="DC10" s="55"/>
      <c r="DD10" s="55"/>
      <c r="DE10" s="55"/>
      <c r="DF10" s="55"/>
      <c r="DG10" s="55"/>
      <c r="DH10" s="55"/>
      <c r="DI10" s="55"/>
      <c r="DJ10" s="55"/>
      <c r="DK10" s="55"/>
      <c r="DL10" s="55"/>
      <c r="DM10" s="55"/>
      <c r="DN10" s="55"/>
      <c r="DO10" s="55"/>
      <c r="DP10" s="55"/>
      <c r="DQ10" s="55"/>
      <c r="DR10" s="55"/>
      <c r="DS10" s="55"/>
      <c r="DT10" s="55"/>
      <c r="DU10" s="55"/>
      <c r="DV10" s="55"/>
      <c r="DW10" s="55"/>
      <c r="DX10" s="55"/>
      <c r="DY10" s="55"/>
      <c r="DZ10" s="55"/>
      <c r="EA10" s="55"/>
      <c r="EB10" s="55"/>
      <c r="EC10" s="55"/>
      <c r="ED10" s="55"/>
      <c r="EE10" s="55"/>
      <c r="EF10" s="55"/>
      <c r="EG10" s="55"/>
      <c r="EH10" s="55"/>
      <c r="EI10" s="55"/>
      <c r="EJ10" s="55"/>
      <c r="EK10" s="55"/>
      <c r="EL10" s="55"/>
      <c r="EM10" s="55"/>
      <c r="EN10" s="55"/>
      <c r="EO10" s="55"/>
      <c r="EP10" s="55"/>
      <c r="EQ10" s="55"/>
      <c r="ER10" s="55"/>
      <c r="ES10" s="55"/>
      <c r="ET10" s="55"/>
      <c r="EU10" s="55"/>
      <c r="EV10" s="55"/>
      <c r="EW10" s="55"/>
      <c r="EX10" s="55"/>
      <c r="EY10" s="55"/>
      <c r="EZ10" s="55"/>
      <c r="FA10" s="55"/>
      <c r="FB10" s="55"/>
      <c r="FC10" s="55"/>
      <c r="FD10" s="55"/>
      <c r="FE10" s="55"/>
      <c r="FF10" s="55"/>
      <c r="FG10" s="55"/>
      <c r="FH10" s="55"/>
      <c r="FI10" s="55"/>
      <c r="FJ10" s="55"/>
      <c r="FK10" s="55"/>
      <c r="FL10" s="55"/>
      <c r="FM10" s="55"/>
      <c r="FN10" s="55"/>
      <c r="FO10" s="55"/>
      <c r="FP10" s="55"/>
      <c r="FQ10" s="55"/>
      <c r="FR10" s="55"/>
      <c r="FS10" s="55"/>
      <c r="FT10" s="55"/>
      <c r="FU10" s="55"/>
      <c r="FV10" s="55"/>
      <c r="FW10" s="55"/>
      <c r="FX10" s="55"/>
      <c r="FY10" s="55"/>
      <c r="FZ10" s="55"/>
      <c r="GA10" s="55"/>
      <c r="GB10" s="55"/>
      <c r="GC10" s="55"/>
      <c r="GD10" s="55"/>
      <c r="GE10" s="55"/>
      <c r="GF10" s="55"/>
      <c r="GG10" s="55"/>
      <c r="GH10" s="55"/>
      <c r="GI10" s="55"/>
      <c r="GJ10" s="55"/>
      <c r="GK10" s="55"/>
      <c r="GL10" s="55"/>
      <c r="GM10" s="55"/>
      <c r="GN10" s="55"/>
      <c r="GO10" s="55"/>
      <c r="GP10" s="55"/>
      <c r="GQ10" s="55"/>
      <c r="GR10" s="55"/>
      <c r="GS10" s="55"/>
      <c r="GT10" s="55"/>
      <c r="GU10" s="55"/>
      <c r="GV10" s="55"/>
      <c r="GW10" s="55"/>
      <c r="GX10" s="55"/>
      <c r="GY10" s="55"/>
      <c r="GZ10" s="55"/>
      <c r="HA10" s="55"/>
      <c r="HB10" s="55"/>
      <c r="HC10" s="55"/>
      <c r="HD10" s="55"/>
      <c r="HE10" s="55"/>
      <c r="HF10" s="55"/>
      <c r="HG10" s="55"/>
      <c r="HH10" s="55"/>
      <c r="HI10" s="55"/>
      <c r="HJ10" s="55"/>
      <c r="HK10" s="55"/>
      <c r="HL10" s="55"/>
      <c r="HM10" s="55"/>
      <c r="HN10" s="55"/>
      <c r="HO10" s="55"/>
      <c r="HP10" s="55"/>
      <c r="HQ10" s="55"/>
      <c r="HR10" s="55"/>
      <c r="HS10" s="55"/>
      <c r="HT10" s="55"/>
      <c r="HU10" s="55"/>
      <c r="HV10" s="55"/>
      <c r="HW10" s="55"/>
      <c r="HX10" s="55"/>
      <c r="HY10" s="55"/>
      <c r="HZ10" s="55"/>
      <c r="IA10" s="55"/>
      <c r="IB10" s="55"/>
      <c r="IC10" s="55"/>
      <c r="ID10" s="55"/>
    </row>
    <row r="11" s="52" customFormat="1" ht="24" customHeight="1" spans="1:238">
      <c r="A11" s="64"/>
      <c r="B11" s="64"/>
      <c r="C11" s="64"/>
      <c r="D11" s="65"/>
      <c r="E11" s="77"/>
      <c r="F11" s="77"/>
      <c r="G11" s="64"/>
      <c r="H11" s="42"/>
      <c r="I11" s="42"/>
      <c r="J11" s="84"/>
      <c r="K11" s="84"/>
      <c r="L11" s="84"/>
      <c r="M11" s="41"/>
      <c r="N11" s="89"/>
      <c r="O11" s="41"/>
      <c r="P11" s="64"/>
      <c r="Q11" s="64"/>
      <c r="R11" s="64"/>
      <c r="S11" s="84"/>
      <c r="T11" s="77"/>
      <c r="U11" s="105" t="s">
        <v>67</v>
      </c>
      <c r="V11" s="105">
        <v>310300004</v>
      </c>
      <c r="W11" s="106" t="s">
        <v>68</v>
      </c>
      <c r="X11" s="105"/>
      <c r="Y11" s="105"/>
      <c r="Z11" s="105" t="s">
        <v>36</v>
      </c>
      <c r="AA11" s="110" t="s">
        <v>35</v>
      </c>
      <c r="AB11" s="50">
        <v>5.3</v>
      </c>
      <c r="AC11" s="50">
        <v>5</v>
      </c>
      <c r="AD11" s="50">
        <v>4.3</v>
      </c>
      <c r="AE11" s="112" t="s">
        <v>37</v>
      </c>
      <c r="AF11" s="60"/>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5"/>
      <c r="CP11" s="55"/>
      <c r="CQ11" s="55"/>
      <c r="CR11" s="55"/>
      <c r="CS11" s="55"/>
      <c r="CT11" s="55"/>
      <c r="CU11" s="55"/>
      <c r="CV11" s="55"/>
      <c r="CW11" s="55"/>
      <c r="CX11" s="55"/>
      <c r="CY11" s="55"/>
      <c r="CZ11" s="55"/>
      <c r="DA11" s="55"/>
      <c r="DB11" s="55"/>
      <c r="DC11" s="55"/>
      <c r="DD11" s="55"/>
      <c r="DE11" s="55"/>
      <c r="DF11" s="55"/>
      <c r="DG11" s="55"/>
      <c r="DH11" s="55"/>
      <c r="DI11" s="55"/>
      <c r="DJ11" s="55"/>
      <c r="DK11" s="55"/>
      <c r="DL11" s="55"/>
      <c r="DM11" s="55"/>
      <c r="DN11" s="55"/>
      <c r="DO11" s="55"/>
      <c r="DP11" s="55"/>
      <c r="DQ11" s="55"/>
      <c r="DR11" s="55"/>
      <c r="DS11" s="55"/>
      <c r="DT11" s="55"/>
      <c r="DU11" s="55"/>
      <c r="DV11" s="55"/>
      <c r="DW11" s="55"/>
      <c r="DX11" s="55"/>
      <c r="DY11" s="55"/>
      <c r="DZ11" s="55"/>
      <c r="EA11" s="55"/>
      <c r="EB11" s="55"/>
      <c r="EC11" s="55"/>
      <c r="ED11" s="55"/>
      <c r="EE11" s="55"/>
      <c r="EF11" s="55"/>
      <c r="EG11" s="55"/>
      <c r="EH11" s="55"/>
      <c r="EI11" s="55"/>
      <c r="EJ11" s="55"/>
      <c r="EK11" s="55"/>
      <c r="EL11" s="55"/>
      <c r="EM11" s="55"/>
      <c r="EN11" s="55"/>
      <c r="EO11" s="55"/>
      <c r="EP11" s="55"/>
      <c r="EQ11" s="55"/>
      <c r="ER11" s="55"/>
      <c r="ES11" s="55"/>
      <c r="ET11" s="55"/>
      <c r="EU11" s="55"/>
      <c r="EV11" s="55"/>
      <c r="EW11" s="55"/>
      <c r="EX11" s="55"/>
      <c r="EY11" s="55"/>
      <c r="EZ11" s="55"/>
      <c r="FA11" s="55"/>
      <c r="FB11" s="55"/>
      <c r="FC11" s="55"/>
      <c r="FD11" s="55"/>
      <c r="FE11" s="55"/>
      <c r="FF11" s="55"/>
      <c r="FG11" s="55"/>
      <c r="FH11" s="55"/>
      <c r="FI11" s="55"/>
      <c r="FJ11" s="55"/>
      <c r="FK11" s="55"/>
      <c r="FL11" s="55"/>
      <c r="FM11" s="55"/>
      <c r="FN11" s="55"/>
      <c r="FO11" s="55"/>
      <c r="FP11" s="55"/>
      <c r="FQ11" s="55"/>
      <c r="FR11" s="55"/>
      <c r="FS11" s="55"/>
      <c r="FT11" s="55"/>
      <c r="FU11" s="55"/>
      <c r="FV11" s="55"/>
      <c r="FW11" s="55"/>
      <c r="FX11" s="55"/>
      <c r="FY11" s="55"/>
      <c r="FZ11" s="55"/>
      <c r="GA11" s="55"/>
      <c r="GB11" s="55"/>
      <c r="GC11" s="55"/>
      <c r="GD11" s="55"/>
      <c r="GE11" s="55"/>
      <c r="GF11" s="55"/>
      <c r="GG11" s="55"/>
      <c r="GH11" s="55"/>
      <c r="GI11" s="55"/>
      <c r="GJ11" s="55"/>
      <c r="GK11" s="55"/>
      <c r="GL11" s="55"/>
      <c r="GM11" s="55"/>
      <c r="GN11" s="55"/>
      <c r="GO11" s="55"/>
      <c r="GP11" s="55"/>
      <c r="GQ11" s="55"/>
      <c r="GR11" s="55"/>
      <c r="GS11" s="55"/>
      <c r="GT11" s="55"/>
      <c r="GU11" s="55"/>
      <c r="GV11" s="55"/>
      <c r="GW11" s="55"/>
      <c r="GX11" s="55"/>
      <c r="GY11" s="55"/>
      <c r="GZ11" s="55"/>
      <c r="HA11" s="55"/>
      <c r="HB11" s="55"/>
      <c r="HC11" s="55"/>
      <c r="HD11" s="55"/>
      <c r="HE11" s="55"/>
      <c r="HF11" s="55"/>
      <c r="HG11" s="55"/>
      <c r="HH11" s="55"/>
      <c r="HI11" s="55"/>
      <c r="HJ11" s="55"/>
      <c r="HK11" s="55"/>
      <c r="HL11" s="55"/>
      <c r="HM11" s="55"/>
      <c r="HN11" s="55"/>
      <c r="HO11" s="55"/>
      <c r="HP11" s="55"/>
      <c r="HQ11" s="55"/>
      <c r="HR11" s="55"/>
      <c r="HS11" s="55"/>
      <c r="HT11" s="55"/>
      <c r="HU11" s="55"/>
      <c r="HV11" s="55"/>
      <c r="HW11" s="55"/>
      <c r="HX11" s="55"/>
      <c r="HY11" s="55"/>
      <c r="HZ11" s="55"/>
      <c r="IA11" s="55"/>
      <c r="IB11" s="55"/>
      <c r="IC11" s="55"/>
      <c r="ID11" s="55"/>
    </row>
    <row r="12" s="52" customFormat="1" ht="24" customHeight="1" spans="1:238">
      <c r="A12" s="64"/>
      <c r="B12" s="64"/>
      <c r="C12" s="64"/>
      <c r="D12" s="65"/>
      <c r="E12" s="77"/>
      <c r="F12" s="77"/>
      <c r="G12" s="64"/>
      <c r="H12" s="42"/>
      <c r="I12" s="42"/>
      <c r="J12" s="84"/>
      <c r="K12" s="84"/>
      <c r="L12" s="84"/>
      <c r="M12" s="41"/>
      <c r="N12" s="89"/>
      <c r="O12" s="41"/>
      <c r="P12" s="64"/>
      <c r="Q12" s="64"/>
      <c r="R12" s="64"/>
      <c r="S12" s="84"/>
      <c r="T12" s="77"/>
      <c r="U12" s="105" t="s">
        <v>69</v>
      </c>
      <c r="V12" s="105">
        <v>310300006</v>
      </c>
      <c r="W12" s="106" t="s">
        <v>70</v>
      </c>
      <c r="X12" s="105"/>
      <c r="Y12" s="105"/>
      <c r="Z12" s="105" t="s">
        <v>71</v>
      </c>
      <c r="AA12" s="110" t="s">
        <v>35</v>
      </c>
      <c r="AB12" s="50">
        <v>2.1</v>
      </c>
      <c r="AC12" s="50">
        <v>2</v>
      </c>
      <c r="AD12" s="50">
        <v>1.7</v>
      </c>
      <c r="AE12" s="112" t="s">
        <v>37</v>
      </c>
      <c r="AF12" s="60"/>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55"/>
      <c r="CV12" s="55"/>
      <c r="CW12" s="55"/>
      <c r="CX12" s="55"/>
      <c r="CY12" s="55"/>
      <c r="CZ12" s="55"/>
      <c r="DA12" s="55"/>
      <c r="DB12" s="55"/>
      <c r="DC12" s="55"/>
      <c r="DD12" s="55"/>
      <c r="DE12" s="55"/>
      <c r="DF12" s="55"/>
      <c r="DG12" s="55"/>
      <c r="DH12" s="55"/>
      <c r="DI12" s="55"/>
      <c r="DJ12" s="55"/>
      <c r="DK12" s="55"/>
      <c r="DL12" s="55"/>
      <c r="DM12" s="55"/>
      <c r="DN12" s="55"/>
      <c r="DO12" s="55"/>
      <c r="DP12" s="55"/>
      <c r="DQ12" s="55"/>
      <c r="DR12" s="55"/>
      <c r="DS12" s="55"/>
      <c r="DT12" s="55"/>
      <c r="DU12" s="55"/>
      <c r="DV12" s="55"/>
      <c r="DW12" s="55"/>
      <c r="DX12" s="55"/>
      <c r="DY12" s="55"/>
      <c r="DZ12" s="55"/>
      <c r="EA12" s="55"/>
      <c r="EB12" s="55"/>
      <c r="EC12" s="55"/>
      <c r="ED12" s="55"/>
      <c r="EE12" s="55"/>
      <c r="EF12" s="55"/>
      <c r="EG12" s="55"/>
      <c r="EH12" s="55"/>
      <c r="EI12" s="55"/>
      <c r="EJ12" s="55"/>
      <c r="EK12" s="55"/>
      <c r="EL12" s="55"/>
      <c r="EM12" s="55"/>
      <c r="EN12" s="55"/>
      <c r="EO12" s="55"/>
      <c r="EP12" s="55"/>
      <c r="EQ12" s="55"/>
      <c r="ER12" s="55"/>
      <c r="ES12" s="55"/>
      <c r="ET12" s="55"/>
      <c r="EU12" s="55"/>
      <c r="EV12" s="55"/>
      <c r="EW12" s="55"/>
      <c r="EX12" s="55"/>
      <c r="EY12" s="55"/>
      <c r="EZ12" s="55"/>
      <c r="FA12" s="55"/>
      <c r="FB12" s="55"/>
      <c r="FC12" s="55"/>
      <c r="FD12" s="55"/>
      <c r="FE12" s="55"/>
      <c r="FF12" s="55"/>
      <c r="FG12" s="55"/>
      <c r="FH12" s="55"/>
      <c r="FI12" s="55"/>
      <c r="FJ12" s="55"/>
      <c r="FK12" s="55"/>
      <c r="FL12" s="55"/>
      <c r="FM12" s="55"/>
      <c r="FN12" s="55"/>
      <c r="FO12" s="55"/>
      <c r="FP12" s="55"/>
      <c r="FQ12" s="55"/>
      <c r="FR12" s="55"/>
      <c r="FS12" s="55"/>
      <c r="FT12" s="55"/>
      <c r="FU12" s="55"/>
      <c r="FV12" s="55"/>
      <c r="FW12" s="55"/>
      <c r="FX12" s="55"/>
      <c r="FY12" s="55"/>
      <c r="FZ12" s="55"/>
      <c r="GA12" s="55"/>
      <c r="GB12" s="55"/>
      <c r="GC12" s="55"/>
      <c r="GD12" s="55"/>
      <c r="GE12" s="55"/>
      <c r="GF12" s="55"/>
      <c r="GG12" s="55"/>
      <c r="GH12" s="55"/>
      <c r="GI12" s="55"/>
      <c r="GJ12" s="55"/>
      <c r="GK12" s="55"/>
      <c r="GL12" s="55"/>
      <c r="GM12" s="55"/>
      <c r="GN12" s="55"/>
      <c r="GO12" s="55"/>
      <c r="GP12" s="55"/>
      <c r="GQ12" s="55"/>
      <c r="GR12" s="55"/>
      <c r="GS12" s="55"/>
      <c r="GT12" s="55"/>
      <c r="GU12" s="55"/>
      <c r="GV12" s="55"/>
      <c r="GW12" s="55"/>
      <c r="GX12" s="55"/>
      <c r="GY12" s="55"/>
      <c r="GZ12" s="55"/>
      <c r="HA12" s="55"/>
      <c r="HB12" s="55"/>
      <c r="HC12" s="55"/>
      <c r="HD12" s="55"/>
      <c r="HE12" s="55"/>
      <c r="HF12" s="55"/>
      <c r="HG12" s="55"/>
      <c r="HH12" s="55"/>
      <c r="HI12" s="55"/>
      <c r="HJ12" s="55"/>
      <c r="HK12" s="55"/>
      <c r="HL12" s="55"/>
      <c r="HM12" s="55"/>
      <c r="HN12" s="55"/>
      <c r="HO12" s="55"/>
      <c r="HP12" s="55"/>
      <c r="HQ12" s="55"/>
      <c r="HR12" s="55"/>
      <c r="HS12" s="55"/>
      <c r="HT12" s="55"/>
      <c r="HU12" s="55"/>
      <c r="HV12" s="55"/>
      <c r="HW12" s="55"/>
      <c r="HX12" s="55"/>
      <c r="HY12" s="55"/>
      <c r="HZ12" s="55"/>
      <c r="IA12" s="55"/>
      <c r="IB12" s="55"/>
      <c r="IC12" s="55"/>
      <c r="ID12" s="55"/>
    </row>
    <row r="13" s="52" customFormat="1" ht="24" customHeight="1" spans="1:238">
      <c r="A13" s="64"/>
      <c r="B13" s="64"/>
      <c r="C13" s="64"/>
      <c r="D13" s="65"/>
      <c r="E13" s="77"/>
      <c r="F13" s="77"/>
      <c r="G13" s="64"/>
      <c r="H13" s="42"/>
      <c r="I13" s="42"/>
      <c r="J13" s="84"/>
      <c r="K13" s="84"/>
      <c r="L13" s="84"/>
      <c r="M13" s="41"/>
      <c r="N13" s="89"/>
      <c r="O13" s="41"/>
      <c r="P13" s="64"/>
      <c r="Q13" s="64"/>
      <c r="R13" s="64"/>
      <c r="S13" s="84"/>
      <c r="T13" s="77"/>
      <c r="U13" s="105" t="s">
        <v>72</v>
      </c>
      <c r="V13" s="105">
        <v>310300021</v>
      </c>
      <c r="W13" s="106" t="s">
        <v>73</v>
      </c>
      <c r="X13" s="105"/>
      <c r="Y13" s="105"/>
      <c r="Z13" s="105" t="s">
        <v>36</v>
      </c>
      <c r="AA13" s="110" t="s">
        <v>74</v>
      </c>
      <c r="AB13" s="50">
        <v>3.2</v>
      </c>
      <c r="AC13" s="50">
        <v>3</v>
      </c>
      <c r="AD13" s="50">
        <v>2.6</v>
      </c>
      <c r="AE13" s="112" t="s">
        <v>37</v>
      </c>
      <c r="AF13" s="60"/>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c r="FN13" s="55"/>
      <c r="FO13" s="55"/>
      <c r="FP13" s="55"/>
      <c r="FQ13" s="55"/>
      <c r="FR13" s="55"/>
      <c r="FS13" s="55"/>
      <c r="FT13" s="55"/>
      <c r="FU13" s="55"/>
      <c r="FV13" s="55"/>
      <c r="FW13" s="55"/>
      <c r="FX13" s="55"/>
      <c r="FY13" s="55"/>
      <c r="FZ13" s="55"/>
      <c r="GA13" s="55"/>
      <c r="GB13" s="55"/>
      <c r="GC13" s="55"/>
      <c r="GD13" s="55"/>
      <c r="GE13" s="55"/>
      <c r="GF13" s="55"/>
      <c r="GG13" s="55"/>
      <c r="GH13" s="55"/>
      <c r="GI13" s="55"/>
      <c r="GJ13" s="55"/>
      <c r="GK13" s="55"/>
      <c r="GL13" s="55"/>
      <c r="GM13" s="55"/>
      <c r="GN13" s="55"/>
      <c r="GO13" s="55"/>
      <c r="GP13" s="55"/>
      <c r="GQ13" s="55"/>
      <c r="GR13" s="55"/>
      <c r="GS13" s="55"/>
      <c r="GT13" s="55"/>
      <c r="GU13" s="55"/>
      <c r="GV13" s="55"/>
      <c r="GW13" s="55"/>
      <c r="GX13" s="55"/>
      <c r="GY13" s="55"/>
      <c r="GZ13" s="55"/>
      <c r="HA13" s="55"/>
      <c r="HB13" s="55"/>
      <c r="HC13" s="55"/>
      <c r="HD13" s="55"/>
      <c r="HE13" s="55"/>
      <c r="HF13" s="55"/>
      <c r="HG13" s="55"/>
      <c r="HH13" s="55"/>
      <c r="HI13" s="55"/>
      <c r="HJ13" s="55"/>
      <c r="HK13" s="55"/>
      <c r="HL13" s="55"/>
      <c r="HM13" s="55"/>
      <c r="HN13" s="55"/>
      <c r="HO13" s="55"/>
      <c r="HP13" s="55"/>
      <c r="HQ13" s="55"/>
      <c r="HR13" s="55"/>
      <c r="HS13" s="55"/>
      <c r="HT13" s="55"/>
      <c r="HU13" s="55"/>
      <c r="HV13" s="55"/>
      <c r="HW13" s="55"/>
      <c r="HX13" s="55"/>
      <c r="HY13" s="55"/>
      <c r="HZ13" s="55"/>
      <c r="IA13" s="55"/>
      <c r="IB13" s="55"/>
      <c r="IC13" s="55"/>
      <c r="ID13" s="55"/>
    </row>
    <row r="14" s="52" customFormat="1" ht="24" customHeight="1" spans="1:238">
      <c r="A14" s="64"/>
      <c r="B14" s="64"/>
      <c r="C14" s="64"/>
      <c r="D14" s="65"/>
      <c r="E14" s="77"/>
      <c r="F14" s="77"/>
      <c r="G14" s="64"/>
      <c r="H14" s="42"/>
      <c r="I14" s="42"/>
      <c r="J14" s="84"/>
      <c r="K14" s="84"/>
      <c r="L14" s="84"/>
      <c r="M14" s="41"/>
      <c r="N14" s="89"/>
      <c r="O14" s="41"/>
      <c r="P14" s="64"/>
      <c r="Q14" s="64"/>
      <c r="R14" s="64"/>
      <c r="S14" s="84"/>
      <c r="T14" s="77"/>
      <c r="U14" s="105" t="s">
        <v>75</v>
      </c>
      <c r="V14" s="105">
        <v>31030002101</v>
      </c>
      <c r="W14" s="106" t="s">
        <v>76</v>
      </c>
      <c r="X14" s="105"/>
      <c r="Y14" s="105"/>
      <c r="Z14" s="105" t="s">
        <v>36</v>
      </c>
      <c r="AA14" s="110" t="s">
        <v>77</v>
      </c>
      <c r="AB14" s="50">
        <v>15.8</v>
      </c>
      <c r="AC14" s="50">
        <v>15</v>
      </c>
      <c r="AD14" s="50">
        <v>12.8</v>
      </c>
      <c r="AE14" s="112" t="s">
        <v>37</v>
      </c>
      <c r="AF14" s="60"/>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55"/>
      <c r="CX14" s="55"/>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c r="DZ14" s="55"/>
      <c r="EA14" s="55"/>
      <c r="EB14" s="55"/>
      <c r="EC14" s="55"/>
      <c r="ED14" s="55"/>
      <c r="EE14" s="55"/>
      <c r="EF14" s="55"/>
      <c r="EG14" s="55"/>
      <c r="EH14" s="55"/>
      <c r="EI14" s="55"/>
      <c r="EJ14" s="55"/>
      <c r="EK14" s="55"/>
      <c r="EL14" s="55"/>
      <c r="EM14" s="55"/>
      <c r="EN14" s="55"/>
      <c r="EO14" s="55"/>
      <c r="EP14" s="55"/>
      <c r="EQ14" s="55"/>
      <c r="ER14" s="55"/>
      <c r="ES14" s="55"/>
      <c r="ET14" s="55"/>
      <c r="EU14" s="55"/>
      <c r="EV14" s="55"/>
      <c r="EW14" s="55"/>
      <c r="EX14" s="55"/>
      <c r="EY14" s="55"/>
      <c r="EZ14" s="55"/>
      <c r="FA14" s="55"/>
      <c r="FB14" s="55"/>
      <c r="FC14" s="55"/>
      <c r="FD14" s="55"/>
      <c r="FE14" s="55"/>
      <c r="FF14" s="55"/>
      <c r="FG14" s="55"/>
      <c r="FH14" s="55"/>
      <c r="FI14" s="55"/>
      <c r="FJ14" s="55"/>
      <c r="FK14" s="55"/>
      <c r="FL14" s="55"/>
      <c r="FM14" s="55"/>
      <c r="FN14" s="55"/>
      <c r="FO14" s="55"/>
      <c r="FP14" s="55"/>
      <c r="FQ14" s="55"/>
      <c r="FR14" s="55"/>
      <c r="FS14" s="55"/>
      <c r="FT14" s="55"/>
      <c r="FU14" s="55"/>
      <c r="FV14" s="55"/>
      <c r="FW14" s="55"/>
      <c r="FX14" s="55"/>
      <c r="FY14" s="55"/>
      <c r="FZ14" s="55"/>
      <c r="GA14" s="55"/>
      <c r="GB14" s="55"/>
      <c r="GC14" s="55"/>
      <c r="GD14" s="55"/>
      <c r="GE14" s="55"/>
      <c r="GF14" s="55"/>
      <c r="GG14" s="55"/>
      <c r="GH14" s="55"/>
      <c r="GI14" s="55"/>
      <c r="GJ14" s="55"/>
      <c r="GK14" s="55"/>
      <c r="GL14" s="55"/>
      <c r="GM14" s="55"/>
      <c r="GN14" s="55"/>
      <c r="GO14" s="55"/>
      <c r="GP14" s="55"/>
      <c r="GQ14" s="55"/>
      <c r="GR14" s="55"/>
      <c r="GS14" s="55"/>
      <c r="GT14" s="55"/>
      <c r="GU14" s="55"/>
      <c r="GV14" s="55"/>
      <c r="GW14" s="55"/>
      <c r="GX14" s="55"/>
      <c r="GY14" s="55"/>
      <c r="GZ14" s="55"/>
      <c r="HA14" s="55"/>
      <c r="HB14" s="55"/>
      <c r="HC14" s="55"/>
      <c r="HD14" s="55"/>
      <c r="HE14" s="55"/>
      <c r="HF14" s="55"/>
      <c r="HG14" s="55"/>
      <c r="HH14" s="55"/>
      <c r="HI14" s="55"/>
      <c r="HJ14" s="55"/>
      <c r="HK14" s="55"/>
      <c r="HL14" s="55"/>
      <c r="HM14" s="55"/>
      <c r="HN14" s="55"/>
      <c r="HO14" s="55"/>
      <c r="HP14" s="55"/>
      <c r="HQ14" s="55"/>
      <c r="HR14" s="55"/>
      <c r="HS14" s="55"/>
      <c r="HT14" s="55"/>
      <c r="HU14" s="55"/>
      <c r="HV14" s="55"/>
      <c r="HW14" s="55"/>
      <c r="HX14" s="55"/>
      <c r="HY14" s="55"/>
      <c r="HZ14" s="55"/>
      <c r="IA14" s="55"/>
      <c r="IB14" s="55"/>
      <c r="IC14" s="55"/>
      <c r="ID14" s="55"/>
    </row>
    <row r="15" s="52" customFormat="1" ht="24" customHeight="1" spans="1:238">
      <c r="A15" s="64"/>
      <c r="B15" s="64"/>
      <c r="C15" s="64"/>
      <c r="D15" s="65"/>
      <c r="E15" s="77"/>
      <c r="F15" s="77"/>
      <c r="G15" s="64"/>
      <c r="H15" s="42"/>
      <c r="I15" s="42"/>
      <c r="J15" s="84"/>
      <c r="K15" s="84"/>
      <c r="L15" s="84"/>
      <c r="M15" s="41"/>
      <c r="N15" s="89"/>
      <c r="O15" s="41"/>
      <c r="P15" s="64"/>
      <c r="Q15" s="64"/>
      <c r="R15" s="64"/>
      <c r="S15" s="84"/>
      <c r="T15" s="77"/>
      <c r="U15" s="105" t="s">
        <v>78</v>
      </c>
      <c r="V15" s="105">
        <v>310300022</v>
      </c>
      <c r="W15" s="106" t="s">
        <v>79</v>
      </c>
      <c r="X15" s="105" t="s">
        <v>80</v>
      </c>
      <c r="Y15" s="105"/>
      <c r="Z15" s="105" t="s">
        <v>36</v>
      </c>
      <c r="AA15" s="110" t="s">
        <v>35</v>
      </c>
      <c r="AB15" s="50">
        <v>15.8</v>
      </c>
      <c r="AC15" s="50">
        <v>15</v>
      </c>
      <c r="AD15" s="50">
        <v>12.8</v>
      </c>
      <c r="AE15" s="112" t="s">
        <v>37</v>
      </c>
      <c r="AF15" s="60"/>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5"/>
      <c r="GU15" s="55"/>
      <c r="GV15" s="55"/>
      <c r="GW15" s="55"/>
      <c r="GX15" s="55"/>
      <c r="GY15" s="55"/>
      <c r="GZ15" s="55"/>
      <c r="HA15" s="55"/>
      <c r="HB15" s="55"/>
      <c r="HC15" s="55"/>
      <c r="HD15" s="55"/>
      <c r="HE15" s="55"/>
      <c r="HF15" s="55"/>
      <c r="HG15" s="55"/>
      <c r="HH15" s="55"/>
      <c r="HI15" s="55"/>
      <c r="HJ15" s="55"/>
      <c r="HK15" s="55"/>
      <c r="HL15" s="55"/>
      <c r="HM15" s="55"/>
      <c r="HN15" s="55"/>
      <c r="HO15" s="55"/>
      <c r="HP15" s="55"/>
      <c r="HQ15" s="55"/>
      <c r="HR15" s="55"/>
      <c r="HS15" s="55"/>
      <c r="HT15" s="55"/>
      <c r="HU15" s="55"/>
      <c r="HV15" s="55"/>
      <c r="HW15" s="55"/>
      <c r="HX15" s="55"/>
      <c r="HY15" s="55"/>
      <c r="HZ15" s="55"/>
      <c r="IA15" s="55"/>
      <c r="IB15" s="55"/>
      <c r="IC15" s="55"/>
      <c r="ID15" s="55"/>
    </row>
    <row r="16" s="55" customFormat="1" ht="24" customHeight="1" spans="1:32">
      <c r="A16" s="64"/>
      <c r="B16" s="64"/>
      <c r="C16" s="64"/>
      <c r="D16" s="65"/>
      <c r="E16" s="77"/>
      <c r="F16" s="77"/>
      <c r="G16" s="64"/>
      <c r="H16" s="42"/>
      <c r="I16" s="42"/>
      <c r="J16" s="84"/>
      <c r="K16" s="84"/>
      <c r="L16" s="84"/>
      <c r="M16" s="41"/>
      <c r="N16" s="89"/>
      <c r="O16" s="41"/>
      <c r="P16" s="64"/>
      <c r="Q16" s="64"/>
      <c r="R16" s="64"/>
      <c r="S16" s="84"/>
      <c r="T16" s="77"/>
      <c r="U16" s="105" t="s">
        <v>81</v>
      </c>
      <c r="V16" s="105">
        <v>310300023</v>
      </c>
      <c r="W16" s="106" t="s">
        <v>82</v>
      </c>
      <c r="X16" s="105"/>
      <c r="Y16" s="105"/>
      <c r="Z16" s="105" t="s">
        <v>36</v>
      </c>
      <c r="AA16" s="110" t="s">
        <v>35</v>
      </c>
      <c r="AB16" s="50">
        <v>15.8</v>
      </c>
      <c r="AC16" s="50">
        <v>15</v>
      </c>
      <c r="AD16" s="50">
        <v>12.8</v>
      </c>
      <c r="AE16" s="112" t="s">
        <v>37</v>
      </c>
      <c r="AF16" s="60"/>
    </row>
    <row r="17" s="52" customFormat="1" ht="58" customHeight="1" spans="1:238">
      <c r="A17" s="64">
        <v>3</v>
      </c>
      <c r="B17" s="64" t="s">
        <v>83</v>
      </c>
      <c r="C17" s="64" t="s">
        <v>84</v>
      </c>
      <c r="D17" s="65" t="s">
        <v>85</v>
      </c>
      <c r="E17" s="77" t="s">
        <v>86</v>
      </c>
      <c r="F17" s="77"/>
      <c r="G17" s="64" t="s">
        <v>36</v>
      </c>
      <c r="H17" s="78">
        <v>8</v>
      </c>
      <c r="I17" s="78">
        <v>8</v>
      </c>
      <c r="J17" s="84">
        <v>7.2693566816128</v>
      </c>
      <c r="K17" s="84">
        <v>6.07445620112714</v>
      </c>
      <c r="L17" s="84">
        <v>5.26667935480801</v>
      </c>
      <c r="M17" s="41">
        <v>7.5</v>
      </c>
      <c r="N17" s="41">
        <v>7</v>
      </c>
      <c r="O17" s="41">
        <v>6.5</v>
      </c>
      <c r="P17" s="64" t="s">
        <v>37</v>
      </c>
      <c r="Q17" s="64" t="s">
        <v>35</v>
      </c>
      <c r="R17" s="64" t="s">
        <v>35</v>
      </c>
      <c r="S17" s="83" t="s">
        <v>38</v>
      </c>
      <c r="T17" s="77" t="s">
        <v>87</v>
      </c>
      <c r="U17" s="105" t="s">
        <v>88</v>
      </c>
      <c r="V17" s="105">
        <v>310300007</v>
      </c>
      <c r="W17" s="106" t="s">
        <v>89</v>
      </c>
      <c r="X17" s="105" t="s">
        <v>90</v>
      </c>
      <c r="Y17" s="105"/>
      <c r="Z17" s="105" t="s">
        <v>52</v>
      </c>
      <c r="AA17" s="110" t="s">
        <v>91</v>
      </c>
      <c r="AB17" s="50">
        <v>5.3</v>
      </c>
      <c r="AC17" s="50">
        <v>5</v>
      </c>
      <c r="AD17" s="50">
        <v>4.3</v>
      </c>
      <c r="AE17" s="112" t="s">
        <v>37</v>
      </c>
      <c r="AF17" s="60"/>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55"/>
      <c r="CV17" s="55"/>
      <c r="CW17" s="55"/>
      <c r="CX17" s="55"/>
      <c r="CY17" s="55"/>
      <c r="CZ17" s="55"/>
      <c r="DA17" s="55"/>
      <c r="DB17" s="55"/>
      <c r="DC17" s="55"/>
      <c r="DD17" s="55"/>
      <c r="DE17" s="55"/>
      <c r="DF17" s="55"/>
      <c r="DG17" s="55"/>
      <c r="DH17" s="55"/>
      <c r="DI17" s="55"/>
      <c r="DJ17" s="55"/>
      <c r="DK17" s="55"/>
      <c r="DL17" s="55"/>
      <c r="DM17" s="55"/>
      <c r="DN17" s="55"/>
      <c r="DO17" s="55"/>
      <c r="DP17" s="55"/>
      <c r="DQ17" s="55"/>
      <c r="DR17" s="55"/>
      <c r="DS17" s="55"/>
      <c r="DT17" s="55"/>
      <c r="DU17" s="55"/>
      <c r="DV17" s="55"/>
      <c r="DW17" s="55"/>
      <c r="DX17" s="55"/>
      <c r="DY17" s="55"/>
      <c r="DZ17" s="55"/>
      <c r="EA17" s="55"/>
      <c r="EB17" s="55"/>
      <c r="EC17" s="55"/>
      <c r="ED17" s="55"/>
      <c r="EE17" s="55"/>
      <c r="EF17" s="55"/>
      <c r="EG17" s="55"/>
      <c r="EH17" s="55"/>
      <c r="EI17" s="55"/>
      <c r="EJ17" s="55"/>
      <c r="EK17" s="55"/>
      <c r="EL17" s="55"/>
      <c r="EM17" s="55"/>
      <c r="EN17" s="55"/>
      <c r="EO17" s="55"/>
      <c r="EP17" s="55"/>
      <c r="EQ17" s="55"/>
      <c r="ER17" s="55"/>
      <c r="ES17" s="55"/>
      <c r="ET17" s="55"/>
      <c r="EU17" s="55"/>
      <c r="EV17" s="55"/>
      <c r="EW17" s="55"/>
      <c r="EX17" s="55"/>
      <c r="EY17" s="55"/>
      <c r="EZ17" s="55"/>
      <c r="FA17" s="55"/>
      <c r="FB17" s="55"/>
      <c r="FC17" s="55"/>
      <c r="FD17" s="55"/>
      <c r="FE17" s="55"/>
      <c r="FF17" s="55"/>
      <c r="FG17" s="55"/>
      <c r="FH17" s="55"/>
      <c r="FI17" s="55"/>
      <c r="FJ17" s="55"/>
      <c r="FK17" s="55"/>
      <c r="FL17" s="55"/>
      <c r="FM17" s="55"/>
      <c r="FN17" s="55"/>
      <c r="FO17" s="55"/>
      <c r="FP17" s="55"/>
      <c r="FQ17" s="55"/>
      <c r="FR17" s="55"/>
      <c r="FS17" s="55"/>
      <c r="FT17" s="55"/>
      <c r="FU17" s="55"/>
      <c r="FV17" s="55"/>
      <c r="FW17" s="55"/>
      <c r="FX17" s="55"/>
      <c r="FY17" s="55"/>
      <c r="FZ17" s="55"/>
      <c r="GA17" s="55"/>
      <c r="GB17" s="55"/>
      <c r="GC17" s="55"/>
      <c r="GD17" s="55"/>
      <c r="GE17" s="55"/>
      <c r="GF17" s="55"/>
      <c r="GG17" s="55"/>
      <c r="GH17" s="55"/>
      <c r="GI17" s="55"/>
      <c r="GJ17" s="55"/>
      <c r="GK17" s="55"/>
      <c r="GL17" s="55"/>
      <c r="GM17" s="55"/>
      <c r="GN17" s="55"/>
      <c r="GO17" s="55"/>
      <c r="GP17" s="55"/>
      <c r="GQ17" s="55"/>
      <c r="GR17" s="55"/>
      <c r="GS17" s="55"/>
      <c r="GT17" s="55"/>
      <c r="GU17" s="55"/>
      <c r="GV17" s="55"/>
      <c r="GW17" s="55"/>
      <c r="GX17" s="55"/>
      <c r="GY17" s="55"/>
      <c r="GZ17" s="55"/>
      <c r="HA17" s="55"/>
      <c r="HB17" s="55"/>
      <c r="HC17" s="55"/>
      <c r="HD17" s="55"/>
      <c r="HE17" s="55"/>
      <c r="HF17" s="55"/>
      <c r="HG17" s="55"/>
      <c r="HH17" s="55"/>
      <c r="HI17" s="55"/>
      <c r="HJ17" s="55"/>
      <c r="HK17" s="55"/>
      <c r="HL17" s="55"/>
      <c r="HM17" s="55"/>
      <c r="HN17" s="55"/>
      <c r="HO17" s="55"/>
      <c r="HP17" s="55"/>
      <c r="HQ17" s="55"/>
      <c r="HR17" s="55"/>
      <c r="HS17" s="55"/>
      <c r="HT17" s="55"/>
      <c r="HU17" s="55"/>
      <c r="HV17" s="55"/>
      <c r="HW17" s="55"/>
      <c r="HX17" s="55"/>
      <c r="HY17" s="55"/>
      <c r="HZ17" s="55"/>
      <c r="IA17" s="55"/>
      <c r="IB17" s="55"/>
      <c r="IC17" s="55"/>
      <c r="ID17" s="55"/>
    </row>
    <row r="18" s="52" customFormat="1" ht="25.5" spans="1:238">
      <c r="A18" s="64"/>
      <c r="B18" s="64"/>
      <c r="C18" s="64"/>
      <c r="D18" s="65"/>
      <c r="E18" s="77"/>
      <c r="F18" s="77"/>
      <c r="G18" s="64"/>
      <c r="H18" s="42"/>
      <c r="I18" s="42"/>
      <c r="J18" s="84"/>
      <c r="K18" s="84"/>
      <c r="L18" s="84"/>
      <c r="M18" s="41"/>
      <c r="N18" s="41"/>
      <c r="O18" s="41"/>
      <c r="P18" s="64"/>
      <c r="Q18" s="64"/>
      <c r="R18" s="64"/>
      <c r="S18" s="83"/>
      <c r="T18" s="77"/>
      <c r="U18" s="105" t="s">
        <v>92</v>
      </c>
      <c r="V18" s="105">
        <v>31030000701</v>
      </c>
      <c r="W18" s="106" t="s">
        <v>93</v>
      </c>
      <c r="X18" s="105"/>
      <c r="Y18" s="105"/>
      <c r="Z18" s="105" t="s">
        <v>52</v>
      </c>
      <c r="AA18" s="110" t="s">
        <v>94</v>
      </c>
      <c r="AB18" s="50">
        <v>2.1</v>
      </c>
      <c r="AC18" s="50">
        <v>2</v>
      </c>
      <c r="AD18" s="50">
        <v>1.7</v>
      </c>
      <c r="AE18" s="112" t="s">
        <v>37</v>
      </c>
      <c r="AF18" s="60"/>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c r="EG18" s="55"/>
      <c r="EH18" s="55"/>
      <c r="EI18" s="55"/>
      <c r="EJ18" s="55"/>
      <c r="EK18" s="55"/>
      <c r="EL18" s="55"/>
      <c r="EM18" s="55"/>
      <c r="EN18" s="55"/>
      <c r="EO18" s="55"/>
      <c r="EP18" s="55"/>
      <c r="EQ18" s="55"/>
      <c r="ER18" s="55"/>
      <c r="ES18" s="55"/>
      <c r="ET18" s="55"/>
      <c r="EU18" s="55"/>
      <c r="EV18" s="55"/>
      <c r="EW18" s="55"/>
      <c r="EX18" s="55"/>
      <c r="EY18" s="55"/>
      <c r="EZ18" s="55"/>
      <c r="FA18" s="55"/>
      <c r="FB18" s="55"/>
      <c r="FC18" s="55"/>
      <c r="FD18" s="55"/>
      <c r="FE18" s="55"/>
      <c r="FF18" s="55"/>
      <c r="FG18" s="55"/>
      <c r="FH18" s="55"/>
      <c r="FI18" s="55"/>
      <c r="FJ18" s="55"/>
      <c r="FK18" s="55"/>
      <c r="FL18" s="55"/>
      <c r="FM18" s="55"/>
      <c r="FN18" s="55"/>
      <c r="FO18" s="55"/>
      <c r="FP18" s="55"/>
      <c r="FQ18" s="55"/>
      <c r="FR18" s="55"/>
      <c r="FS18" s="55"/>
      <c r="FT18" s="55"/>
      <c r="FU18" s="55"/>
      <c r="FV18" s="55"/>
      <c r="FW18" s="55"/>
      <c r="FX18" s="55"/>
      <c r="FY18" s="55"/>
      <c r="FZ18" s="55"/>
      <c r="GA18" s="55"/>
      <c r="GB18" s="55"/>
      <c r="GC18" s="55"/>
      <c r="GD18" s="55"/>
      <c r="GE18" s="55"/>
      <c r="GF18" s="55"/>
      <c r="GG18" s="55"/>
      <c r="GH18" s="55"/>
      <c r="GI18" s="55"/>
      <c r="GJ18" s="55"/>
      <c r="GK18" s="55"/>
      <c r="GL18" s="55"/>
      <c r="GM18" s="55"/>
      <c r="GN18" s="55"/>
      <c r="GO18" s="55"/>
      <c r="GP18" s="55"/>
      <c r="GQ18" s="55"/>
      <c r="GR18" s="55"/>
      <c r="GS18" s="55"/>
      <c r="GT18" s="55"/>
      <c r="GU18" s="55"/>
      <c r="GV18" s="55"/>
      <c r="GW18" s="55"/>
      <c r="GX18" s="55"/>
      <c r="GY18" s="55"/>
      <c r="GZ18" s="55"/>
      <c r="HA18" s="55"/>
      <c r="HB18" s="55"/>
      <c r="HC18" s="55"/>
      <c r="HD18" s="55"/>
      <c r="HE18" s="55"/>
      <c r="HF18" s="55"/>
      <c r="HG18" s="55"/>
      <c r="HH18" s="55"/>
      <c r="HI18" s="55"/>
      <c r="HJ18" s="55"/>
      <c r="HK18" s="55"/>
      <c r="HL18" s="55"/>
      <c r="HM18" s="55"/>
      <c r="HN18" s="55"/>
      <c r="HO18" s="55"/>
      <c r="HP18" s="55"/>
      <c r="HQ18" s="55"/>
      <c r="HR18" s="55"/>
      <c r="HS18" s="55"/>
      <c r="HT18" s="55"/>
      <c r="HU18" s="55"/>
      <c r="HV18" s="55"/>
      <c r="HW18" s="55"/>
      <c r="HX18" s="55"/>
      <c r="HY18" s="55"/>
      <c r="HZ18" s="55"/>
      <c r="IA18" s="55"/>
      <c r="IB18" s="55"/>
      <c r="IC18" s="55"/>
      <c r="ID18" s="55"/>
    </row>
    <row r="19" s="52" customFormat="1" ht="27" customHeight="1" spans="1:238">
      <c r="A19" s="64" t="s">
        <v>95</v>
      </c>
      <c r="B19" s="64" t="s">
        <v>96</v>
      </c>
      <c r="C19" s="64" t="s">
        <v>97</v>
      </c>
      <c r="D19" s="65"/>
      <c r="E19" s="77"/>
      <c r="F19" s="77"/>
      <c r="G19" s="64" t="s">
        <v>36</v>
      </c>
      <c r="H19" s="78">
        <v>2.4</v>
      </c>
      <c r="I19" s="78">
        <v>2.4</v>
      </c>
      <c r="J19" s="83"/>
      <c r="K19" s="83"/>
      <c r="L19" s="83"/>
      <c r="M19" s="41">
        <v>2.3</v>
      </c>
      <c r="N19" s="41">
        <v>2.1</v>
      </c>
      <c r="O19" s="41">
        <v>2</v>
      </c>
      <c r="P19" s="64" t="s">
        <v>37</v>
      </c>
      <c r="Q19" s="64" t="s">
        <v>35</v>
      </c>
      <c r="R19" s="64" t="s">
        <v>35</v>
      </c>
      <c r="S19" s="83"/>
      <c r="T19" s="77"/>
      <c r="U19" s="105"/>
      <c r="V19" s="105"/>
      <c r="W19" s="105"/>
      <c r="X19" s="105"/>
      <c r="Y19" s="105"/>
      <c r="Z19" s="105"/>
      <c r="AA19" s="110"/>
      <c r="AB19" s="50"/>
      <c r="AC19" s="50"/>
      <c r="AD19" s="50"/>
      <c r="AE19" s="112"/>
      <c r="AF19" s="60"/>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55"/>
      <c r="CV19" s="55"/>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c r="DZ19" s="55"/>
      <c r="EA19" s="55"/>
      <c r="EB19" s="55"/>
      <c r="EC19" s="55"/>
      <c r="ED19" s="55"/>
      <c r="EE19" s="55"/>
      <c r="EF19" s="55"/>
      <c r="EG19" s="55"/>
      <c r="EH19" s="55"/>
      <c r="EI19" s="55"/>
      <c r="EJ19" s="55"/>
      <c r="EK19" s="55"/>
      <c r="EL19" s="55"/>
      <c r="EM19" s="55"/>
      <c r="EN19" s="55"/>
      <c r="EO19" s="55"/>
      <c r="EP19" s="55"/>
      <c r="EQ19" s="55"/>
      <c r="ER19" s="55"/>
      <c r="ES19" s="55"/>
      <c r="ET19" s="55"/>
      <c r="EU19" s="55"/>
      <c r="EV19" s="55"/>
      <c r="EW19" s="55"/>
      <c r="EX19" s="55"/>
      <c r="EY19" s="55"/>
      <c r="EZ19" s="55"/>
      <c r="FA19" s="55"/>
      <c r="FB19" s="55"/>
      <c r="FC19" s="55"/>
      <c r="FD19" s="55"/>
      <c r="FE19" s="55"/>
      <c r="FF19" s="55"/>
      <c r="FG19" s="55"/>
      <c r="FH19" s="55"/>
      <c r="FI19" s="55"/>
      <c r="FJ19" s="55"/>
      <c r="FK19" s="55"/>
      <c r="FL19" s="55"/>
      <c r="FM19" s="55"/>
      <c r="FN19" s="55"/>
      <c r="FO19" s="55"/>
      <c r="FP19" s="55"/>
      <c r="FQ19" s="55"/>
      <c r="FR19" s="55"/>
      <c r="FS19" s="55"/>
      <c r="FT19" s="55"/>
      <c r="FU19" s="55"/>
      <c r="FV19" s="55"/>
      <c r="FW19" s="55"/>
      <c r="FX19" s="55"/>
      <c r="FY19" s="55"/>
      <c r="FZ19" s="55"/>
      <c r="GA19" s="55"/>
      <c r="GB19" s="55"/>
      <c r="GC19" s="55"/>
      <c r="GD19" s="55"/>
      <c r="GE19" s="55"/>
      <c r="GF19" s="55"/>
      <c r="GG19" s="55"/>
      <c r="GH19" s="55"/>
      <c r="GI19" s="55"/>
      <c r="GJ19" s="55"/>
      <c r="GK19" s="55"/>
      <c r="GL19" s="55"/>
      <c r="GM19" s="55"/>
      <c r="GN19" s="55"/>
      <c r="GO19" s="55"/>
      <c r="GP19" s="55"/>
      <c r="GQ19" s="55"/>
      <c r="GR19" s="55"/>
      <c r="GS19" s="55"/>
      <c r="GT19" s="55"/>
      <c r="GU19" s="55"/>
      <c r="GV19" s="55"/>
      <c r="GW19" s="55"/>
      <c r="GX19" s="55"/>
      <c r="GY19" s="55"/>
      <c r="GZ19" s="55"/>
      <c r="HA19" s="55"/>
      <c r="HB19" s="55"/>
      <c r="HC19" s="55"/>
      <c r="HD19" s="55"/>
      <c r="HE19" s="55"/>
      <c r="HF19" s="55"/>
      <c r="HG19" s="55"/>
      <c r="HH19" s="55"/>
      <c r="HI19" s="55"/>
      <c r="HJ19" s="55"/>
      <c r="HK19" s="55"/>
      <c r="HL19" s="55"/>
      <c r="HM19" s="55"/>
      <c r="HN19" s="55"/>
      <c r="HO19" s="55"/>
      <c r="HP19" s="55"/>
      <c r="HQ19" s="55"/>
      <c r="HR19" s="55"/>
      <c r="HS19" s="55"/>
      <c r="HT19" s="55"/>
      <c r="HU19" s="55"/>
      <c r="HV19" s="55"/>
      <c r="HW19" s="55"/>
      <c r="HX19" s="55"/>
      <c r="HY19" s="55"/>
      <c r="HZ19" s="55"/>
      <c r="IA19" s="55"/>
      <c r="IB19" s="55"/>
      <c r="IC19" s="55"/>
      <c r="ID19" s="55"/>
    </row>
    <row r="20" s="56" customFormat="1" ht="27" customHeight="1" spans="1:32">
      <c r="A20" s="64">
        <v>4</v>
      </c>
      <c r="B20" s="64" t="s">
        <v>98</v>
      </c>
      <c r="C20" s="64" t="s">
        <v>99</v>
      </c>
      <c r="D20" s="65" t="s">
        <v>100</v>
      </c>
      <c r="E20" s="77" t="s">
        <v>101</v>
      </c>
      <c r="F20" s="77" t="s">
        <v>35</v>
      </c>
      <c r="G20" s="64" t="s">
        <v>36</v>
      </c>
      <c r="H20" s="78">
        <v>4</v>
      </c>
      <c r="I20" s="78">
        <v>4</v>
      </c>
      <c r="J20" s="83"/>
      <c r="K20" s="83"/>
      <c r="L20" s="83"/>
      <c r="M20" s="41">
        <v>3.8</v>
      </c>
      <c r="N20" s="41">
        <v>3.5</v>
      </c>
      <c r="O20" s="41">
        <v>3.3</v>
      </c>
      <c r="P20" s="64" t="s">
        <v>37</v>
      </c>
      <c r="Q20" s="64" t="s">
        <v>35</v>
      </c>
      <c r="R20" s="64" t="s">
        <v>35</v>
      </c>
      <c r="S20" s="83" t="s">
        <v>38</v>
      </c>
      <c r="T20" s="77" t="s">
        <v>102</v>
      </c>
      <c r="U20" s="117"/>
      <c r="V20" s="117"/>
      <c r="W20" s="117"/>
      <c r="X20" s="117"/>
      <c r="Y20" s="117"/>
      <c r="Z20" s="117"/>
      <c r="AA20" s="120"/>
      <c r="AB20" s="143"/>
      <c r="AC20" s="143"/>
      <c r="AD20" s="143"/>
      <c r="AE20" s="143"/>
      <c r="AF20" s="60"/>
    </row>
    <row r="21" s="56" customFormat="1" ht="30" customHeight="1" spans="1:32">
      <c r="A21" s="64" t="s">
        <v>95</v>
      </c>
      <c r="B21" s="64" t="s">
        <v>103</v>
      </c>
      <c r="C21" s="64" t="s">
        <v>104</v>
      </c>
      <c r="D21" s="65"/>
      <c r="E21" s="77"/>
      <c r="F21" s="77" t="s">
        <v>35</v>
      </c>
      <c r="G21" s="64" t="s">
        <v>36</v>
      </c>
      <c r="H21" s="78">
        <v>1.2</v>
      </c>
      <c r="I21" s="78">
        <v>1.2</v>
      </c>
      <c r="J21" s="83"/>
      <c r="K21" s="83"/>
      <c r="L21" s="83"/>
      <c r="M21" s="41">
        <v>1.1</v>
      </c>
      <c r="N21" s="41">
        <v>1</v>
      </c>
      <c r="O21" s="41">
        <v>0.9</v>
      </c>
      <c r="P21" s="64" t="s">
        <v>37</v>
      </c>
      <c r="Q21" s="64" t="s">
        <v>35</v>
      </c>
      <c r="R21" s="64" t="s">
        <v>35</v>
      </c>
      <c r="S21" s="83"/>
      <c r="T21" s="77"/>
      <c r="U21" s="112"/>
      <c r="V21" s="112"/>
      <c r="W21" s="112"/>
      <c r="X21" s="64"/>
      <c r="Y21" s="112"/>
      <c r="Z21" s="112"/>
      <c r="AA21" s="110"/>
      <c r="AB21" s="50"/>
      <c r="AC21" s="50"/>
      <c r="AD21" s="50"/>
      <c r="AE21" s="112"/>
      <c r="AF21" s="60"/>
    </row>
    <row r="22" s="55" customFormat="1" ht="27" customHeight="1" spans="1:32">
      <c r="A22" s="64">
        <v>5</v>
      </c>
      <c r="B22" s="64" t="s">
        <v>105</v>
      </c>
      <c r="C22" s="64" t="s">
        <v>106</v>
      </c>
      <c r="D22" s="65" t="s">
        <v>107</v>
      </c>
      <c r="E22" s="77" t="s">
        <v>108</v>
      </c>
      <c r="F22" s="77" t="s">
        <v>109</v>
      </c>
      <c r="G22" s="64" t="s">
        <v>110</v>
      </c>
      <c r="H22" s="78">
        <v>8</v>
      </c>
      <c r="I22" s="78">
        <v>7</v>
      </c>
      <c r="J22" s="84">
        <v>8.39602734262716</v>
      </c>
      <c r="K22" s="84">
        <v>7.94769722669448</v>
      </c>
      <c r="L22" s="84">
        <v>6.77511482502148</v>
      </c>
      <c r="M22" s="41">
        <v>8</v>
      </c>
      <c r="N22" s="41">
        <v>7</v>
      </c>
      <c r="O22" s="41">
        <v>6.5</v>
      </c>
      <c r="P22" s="64" t="s">
        <v>37</v>
      </c>
      <c r="Q22" s="64" t="s">
        <v>35</v>
      </c>
      <c r="R22" s="64" t="s">
        <v>35</v>
      </c>
      <c r="S22" s="83" t="s">
        <v>38</v>
      </c>
      <c r="T22" s="77" t="s">
        <v>111</v>
      </c>
      <c r="U22" s="105" t="s">
        <v>112</v>
      </c>
      <c r="V22" s="105">
        <v>310300027</v>
      </c>
      <c r="W22" s="105" t="s">
        <v>113</v>
      </c>
      <c r="X22" s="105" t="s">
        <v>114</v>
      </c>
      <c r="Y22" s="105"/>
      <c r="Z22" s="105" t="s">
        <v>36</v>
      </c>
      <c r="AA22" s="110" t="s">
        <v>115</v>
      </c>
      <c r="AB22" s="50">
        <v>4.2</v>
      </c>
      <c r="AC22" s="50">
        <v>4</v>
      </c>
      <c r="AD22" s="50">
        <v>3.4</v>
      </c>
      <c r="AE22" s="112" t="s">
        <v>37</v>
      </c>
      <c r="AF22" s="60"/>
    </row>
    <row r="23" s="55" customFormat="1" ht="27" customHeight="1" spans="1:32">
      <c r="A23" s="64"/>
      <c r="B23" s="64"/>
      <c r="C23" s="64"/>
      <c r="D23" s="65"/>
      <c r="E23" s="77"/>
      <c r="F23" s="77"/>
      <c r="G23" s="64"/>
      <c r="H23" s="42"/>
      <c r="I23" s="42"/>
      <c r="J23" s="84"/>
      <c r="K23" s="84"/>
      <c r="L23" s="84"/>
      <c r="M23" s="41"/>
      <c r="N23" s="41"/>
      <c r="O23" s="41"/>
      <c r="P23" s="64"/>
      <c r="Q23" s="64"/>
      <c r="R23" s="64"/>
      <c r="S23" s="83"/>
      <c r="T23" s="77"/>
      <c r="U23" s="105" t="s">
        <v>116</v>
      </c>
      <c r="V23" s="105">
        <v>31030002701</v>
      </c>
      <c r="W23" s="106" t="s">
        <v>117</v>
      </c>
      <c r="X23" s="105"/>
      <c r="Y23" s="105"/>
      <c r="Z23" s="105" t="s">
        <v>36</v>
      </c>
      <c r="AA23" s="110" t="s">
        <v>118</v>
      </c>
      <c r="AB23" s="50">
        <v>8.4</v>
      </c>
      <c r="AC23" s="50">
        <v>8</v>
      </c>
      <c r="AD23" s="50">
        <v>6.8</v>
      </c>
      <c r="AE23" s="112" t="s">
        <v>37</v>
      </c>
      <c r="AF23" s="60"/>
    </row>
    <row r="24" s="55" customFormat="1" ht="27" customHeight="1" spans="1:32">
      <c r="A24" s="64"/>
      <c r="B24" s="64"/>
      <c r="C24" s="64"/>
      <c r="D24" s="65"/>
      <c r="E24" s="77"/>
      <c r="F24" s="77"/>
      <c r="G24" s="64"/>
      <c r="H24" s="42"/>
      <c r="I24" s="42"/>
      <c r="J24" s="84"/>
      <c r="K24" s="84"/>
      <c r="L24" s="84"/>
      <c r="M24" s="41"/>
      <c r="N24" s="41"/>
      <c r="O24" s="41"/>
      <c r="P24" s="64"/>
      <c r="Q24" s="64"/>
      <c r="R24" s="64"/>
      <c r="S24" s="83"/>
      <c r="T24" s="77"/>
      <c r="U24" s="105" t="s">
        <v>119</v>
      </c>
      <c r="V24" s="105">
        <v>31030002702</v>
      </c>
      <c r="W24" s="106" t="s">
        <v>120</v>
      </c>
      <c r="X24" s="105"/>
      <c r="Y24" s="105"/>
      <c r="Z24" s="105" t="s">
        <v>36</v>
      </c>
      <c r="AA24" s="110" t="s">
        <v>121</v>
      </c>
      <c r="AB24" s="50">
        <v>8.4</v>
      </c>
      <c r="AC24" s="50">
        <v>8</v>
      </c>
      <c r="AD24" s="50">
        <v>6.8</v>
      </c>
      <c r="AE24" s="112" t="s">
        <v>37</v>
      </c>
      <c r="AF24" s="60"/>
    </row>
    <row r="25" s="55" customFormat="1" ht="27" customHeight="1" spans="1:32">
      <c r="A25" s="64"/>
      <c r="B25" s="64"/>
      <c r="C25" s="64"/>
      <c r="D25" s="65"/>
      <c r="E25" s="77"/>
      <c r="F25" s="77"/>
      <c r="G25" s="64"/>
      <c r="H25" s="42"/>
      <c r="I25" s="42"/>
      <c r="J25" s="84"/>
      <c r="K25" s="84"/>
      <c r="L25" s="84"/>
      <c r="M25" s="41"/>
      <c r="N25" s="41"/>
      <c r="O25" s="41"/>
      <c r="P25" s="64"/>
      <c r="Q25" s="64"/>
      <c r="R25" s="64"/>
      <c r="S25" s="83"/>
      <c r="T25" s="77"/>
      <c r="U25" s="105" t="s">
        <v>122</v>
      </c>
      <c r="V25" s="105">
        <v>310300029</v>
      </c>
      <c r="W25" s="106" t="s">
        <v>123</v>
      </c>
      <c r="X25" s="105"/>
      <c r="Y25" s="105"/>
      <c r="Z25" s="105" t="s">
        <v>36</v>
      </c>
      <c r="AA25" s="110" t="s">
        <v>35</v>
      </c>
      <c r="AB25" s="50">
        <v>10.5</v>
      </c>
      <c r="AC25" s="50">
        <v>10</v>
      </c>
      <c r="AD25" s="50">
        <v>8.5</v>
      </c>
      <c r="AE25" s="112" t="s">
        <v>37</v>
      </c>
      <c r="AF25" s="60"/>
    </row>
    <row r="26" s="55" customFormat="1" ht="27" customHeight="1" spans="1:32">
      <c r="A26" s="64"/>
      <c r="B26" s="64"/>
      <c r="C26" s="64"/>
      <c r="D26" s="65"/>
      <c r="E26" s="77"/>
      <c r="F26" s="77"/>
      <c r="G26" s="64"/>
      <c r="H26" s="42"/>
      <c r="I26" s="42"/>
      <c r="J26" s="84"/>
      <c r="K26" s="84"/>
      <c r="L26" s="84"/>
      <c r="M26" s="41"/>
      <c r="N26" s="41"/>
      <c r="O26" s="41"/>
      <c r="P26" s="64"/>
      <c r="Q26" s="64"/>
      <c r="R26" s="64"/>
      <c r="S26" s="83"/>
      <c r="T26" s="77"/>
      <c r="U26" s="105" t="s">
        <v>124</v>
      </c>
      <c r="V26" s="105">
        <v>310300028</v>
      </c>
      <c r="W26" s="106" t="s">
        <v>125</v>
      </c>
      <c r="X26" s="105"/>
      <c r="Y26" s="105"/>
      <c r="Z26" s="105" t="s">
        <v>36</v>
      </c>
      <c r="AA26" s="110" t="s">
        <v>35</v>
      </c>
      <c r="AB26" s="50">
        <v>15.8</v>
      </c>
      <c r="AC26" s="50">
        <v>15</v>
      </c>
      <c r="AD26" s="50">
        <v>12.8</v>
      </c>
      <c r="AE26" s="112" t="s">
        <v>37</v>
      </c>
      <c r="AF26" s="60"/>
    </row>
    <row r="27" s="52" customFormat="1" ht="77" customHeight="1" spans="1:238">
      <c r="A27" s="64">
        <v>6</v>
      </c>
      <c r="B27" s="64" t="s">
        <v>126</v>
      </c>
      <c r="C27" s="64" t="s">
        <v>127</v>
      </c>
      <c r="D27" s="65" t="s">
        <v>128</v>
      </c>
      <c r="E27" s="77" t="s">
        <v>129</v>
      </c>
      <c r="F27" s="77" t="s">
        <v>130</v>
      </c>
      <c r="G27" s="64" t="s">
        <v>36</v>
      </c>
      <c r="H27" s="78">
        <v>15</v>
      </c>
      <c r="I27" s="78">
        <v>13.5</v>
      </c>
      <c r="J27" s="83">
        <v>15.8</v>
      </c>
      <c r="K27" s="83">
        <v>15</v>
      </c>
      <c r="L27" s="83">
        <v>12.8</v>
      </c>
      <c r="M27" s="94">
        <v>15</v>
      </c>
      <c r="N27" s="94">
        <v>13.5</v>
      </c>
      <c r="O27" s="41">
        <v>12</v>
      </c>
      <c r="P27" s="64" t="s">
        <v>37</v>
      </c>
      <c r="Q27" s="64" t="s">
        <v>35</v>
      </c>
      <c r="R27" s="64" t="s">
        <v>35</v>
      </c>
      <c r="S27" s="83" t="s">
        <v>131</v>
      </c>
      <c r="T27" s="77" t="s">
        <v>132</v>
      </c>
      <c r="U27" s="105" t="s">
        <v>133</v>
      </c>
      <c r="V27" s="105">
        <v>310300037</v>
      </c>
      <c r="W27" s="105" t="s">
        <v>134</v>
      </c>
      <c r="X27" s="110" t="s">
        <v>135</v>
      </c>
      <c r="Y27" s="105"/>
      <c r="Z27" s="105" t="s">
        <v>36</v>
      </c>
      <c r="AA27" s="105" t="s">
        <v>35</v>
      </c>
      <c r="AB27" s="50">
        <v>15.8</v>
      </c>
      <c r="AC27" s="50">
        <v>15</v>
      </c>
      <c r="AD27" s="50">
        <v>12.8</v>
      </c>
      <c r="AE27" s="112" t="s">
        <v>37</v>
      </c>
      <c r="AF27" s="60"/>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c r="DZ27" s="55"/>
      <c r="EA27" s="55"/>
      <c r="EB27" s="55"/>
      <c r="EC27" s="55"/>
      <c r="ED27" s="55"/>
      <c r="EE27" s="55"/>
      <c r="EF27" s="55"/>
      <c r="EG27" s="55"/>
      <c r="EH27" s="55"/>
      <c r="EI27" s="55"/>
      <c r="EJ27" s="55"/>
      <c r="EK27" s="55"/>
      <c r="EL27" s="55"/>
      <c r="EM27" s="55"/>
      <c r="EN27" s="55"/>
      <c r="EO27" s="55"/>
      <c r="EP27" s="55"/>
      <c r="EQ27" s="55"/>
      <c r="ER27" s="55"/>
      <c r="ES27" s="55"/>
      <c r="ET27" s="55"/>
      <c r="EU27" s="55"/>
      <c r="EV27" s="55"/>
      <c r="EW27" s="55"/>
      <c r="EX27" s="55"/>
      <c r="EY27" s="55"/>
      <c r="EZ27" s="55"/>
      <c r="FA27" s="55"/>
      <c r="FB27" s="55"/>
      <c r="FC27" s="55"/>
      <c r="FD27" s="55"/>
      <c r="FE27" s="55"/>
      <c r="FF27" s="55"/>
      <c r="FG27" s="55"/>
      <c r="FH27" s="55"/>
      <c r="FI27" s="55"/>
      <c r="FJ27" s="55"/>
      <c r="FK27" s="55"/>
      <c r="FL27" s="55"/>
      <c r="FM27" s="55"/>
      <c r="FN27" s="55"/>
      <c r="FO27" s="55"/>
      <c r="FP27" s="55"/>
      <c r="FQ27" s="55"/>
      <c r="FR27" s="55"/>
      <c r="FS27" s="55"/>
      <c r="FT27" s="55"/>
      <c r="FU27" s="55"/>
      <c r="FV27" s="55"/>
      <c r="FW27" s="55"/>
      <c r="FX27" s="55"/>
      <c r="FY27" s="55"/>
      <c r="FZ27" s="55"/>
      <c r="GA27" s="55"/>
      <c r="GB27" s="55"/>
      <c r="GC27" s="55"/>
      <c r="GD27" s="55"/>
      <c r="GE27" s="55"/>
      <c r="GF27" s="55"/>
      <c r="GG27" s="55"/>
      <c r="GH27" s="55"/>
      <c r="GI27" s="55"/>
      <c r="GJ27" s="55"/>
      <c r="GK27" s="55"/>
      <c r="GL27" s="55"/>
      <c r="GM27" s="55"/>
      <c r="GN27" s="55"/>
      <c r="GO27" s="55"/>
      <c r="GP27" s="55"/>
      <c r="GQ27" s="55"/>
      <c r="GR27" s="55"/>
      <c r="GS27" s="55"/>
      <c r="GT27" s="55"/>
      <c r="GU27" s="55"/>
      <c r="GV27" s="55"/>
      <c r="GW27" s="55"/>
      <c r="GX27" s="55"/>
      <c r="GY27" s="55"/>
      <c r="GZ27" s="55"/>
      <c r="HA27" s="55"/>
      <c r="HB27" s="55"/>
      <c r="HC27" s="55"/>
      <c r="HD27" s="55"/>
      <c r="HE27" s="55"/>
      <c r="HF27" s="55"/>
      <c r="HG27" s="55"/>
      <c r="HH27" s="55"/>
      <c r="HI27" s="55"/>
      <c r="HJ27" s="55"/>
      <c r="HK27" s="55"/>
      <c r="HL27" s="55"/>
      <c r="HM27" s="55"/>
      <c r="HN27" s="55"/>
      <c r="HO27" s="55"/>
      <c r="HP27" s="55"/>
      <c r="HQ27" s="55"/>
      <c r="HR27" s="55"/>
      <c r="HS27" s="55"/>
      <c r="HT27" s="55"/>
      <c r="HU27" s="55"/>
      <c r="HV27" s="55"/>
      <c r="HW27" s="55"/>
      <c r="HX27" s="55"/>
      <c r="HY27" s="55"/>
      <c r="HZ27" s="55"/>
      <c r="IA27" s="55"/>
      <c r="IB27" s="55"/>
      <c r="IC27" s="55"/>
      <c r="ID27" s="55"/>
    </row>
    <row r="28" s="52" customFormat="1" ht="63" customHeight="1" spans="1:238">
      <c r="A28" s="64" t="s">
        <v>95</v>
      </c>
      <c r="B28" s="64" t="s">
        <v>136</v>
      </c>
      <c r="C28" s="64" t="s">
        <v>137</v>
      </c>
      <c r="D28" s="65"/>
      <c r="E28" s="77"/>
      <c r="F28" s="77"/>
      <c r="G28" s="64" t="s">
        <v>36</v>
      </c>
      <c r="H28" s="78">
        <v>7.5</v>
      </c>
      <c r="I28" s="78">
        <v>7</v>
      </c>
      <c r="J28" s="83"/>
      <c r="K28" s="83"/>
      <c r="L28" s="83"/>
      <c r="M28" s="41">
        <v>7.5</v>
      </c>
      <c r="N28" s="41">
        <v>7</v>
      </c>
      <c r="O28" s="41">
        <v>6</v>
      </c>
      <c r="P28" s="64" t="s">
        <v>37</v>
      </c>
      <c r="Q28" s="64" t="s">
        <v>35</v>
      </c>
      <c r="R28" s="64" t="s">
        <v>35</v>
      </c>
      <c r="S28" s="83"/>
      <c r="T28" s="77" t="s">
        <v>138</v>
      </c>
      <c r="U28" s="105"/>
      <c r="V28" s="105"/>
      <c r="W28" s="105"/>
      <c r="X28" s="105"/>
      <c r="Y28" s="105"/>
      <c r="Z28" s="105"/>
      <c r="AA28" s="105"/>
      <c r="AB28" s="50"/>
      <c r="AC28" s="50"/>
      <c r="AD28" s="50"/>
      <c r="AE28" s="112"/>
      <c r="AF28" s="60"/>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5"/>
      <c r="EC28" s="55"/>
      <c r="ED28" s="55"/>
      <c r="EE28" s="55"/>
      <c r="EF28" s="55"/>
      <c r="EG28" s="55"/>
      <c r="EH28" s="55"/>
      <c r="EI28" s="55"/>
      <c r="EJ28" s="55"/>
      <c r="EK28" s="55"/>
      <c r="EL28" s="55"/>
      <c r="EM28" s="55"/>
      <c r="EN28" s="55"/>
      <c r="EO28" s="55"/>
      <c r="EP28" s="55"/>
      <c r="EQ28" s="55"/>
      <c r="ER28" s="55"/>
      <c r="ES28" s="55"/>
      <c r="ET28" s="55"/>
      <c r="EU28" s="55"/>
      <c r="EV28" s="55"/>
      <c r="EW28" s="55"/>
      <c r="EX28" s="55"/>
      <c r="EY28" s="55"/>
      <c r="EZ28" s="55"/>
      <c r="FA28" s="55"/>
      <c r="FB28" s="55"/>
      <c r="FC28" s="55"/>
      <c r="FD28" s="55"/>
      <c r="FE28" s="55"/>
      <c r="FF28" s="55"/>
      <c r="FG28" s="55"/>
      <c r="FH28" s="55"/>
      <c r="FI28" s="55"/>
      <c r="FJ28" s="55"/>
      <c r="FK28" s="55"/>
      <c r="FL28" s="55"/>
      <c r="FM28" s="55"/>
      <c r="FN28" s="55"/>
      <c r="FO28" s="55"/>
      <c r="FP28" s="55"/>
      <c r="FQ28" s="55"/>
      <c r="FR28" s="55"/>
      <c r="FS28" s="55"/>
      <c r="FT28" s="55"/>
      <c r="FU28" s="55"/>
      <c r="FV28" s="55"/>
      <c r="FW28" s="55"/>
      <c r="FX28" s="55"/>
      <c r="FY28" s="55"/>
      <c r="FZ28" s="55"/>
      <c r="GA28" s="55"/>
      <c r="GB28" s="55"/>
      <c r="GC28" s="55"/>
      <c r="GD28" s="55"/>
      <c r="GE28" s="55"/>
      <c r="GF28" s="55"/>
      <c r="GG28" s="55"/>
      <c r="GH28" s="55"/>
      <c r="GI28" s="55"/>
      <c r="GJ28" s="55"/>
      <c r="GK28" s="55"/>
      <c r="GL28" s="55"/>
      <c r="GM28" s="55"/>
      <c r="GN28" s="55"/>
      <c r="GO28" s="55"/>
      <c r="GP28" s="55"/>
      <c r="GQ28" s="55"/>
      <c r="GR28" s="55"/>
      <c r="GS28" s="55"/>
      <c r="GT28" s="55"/>
      <c r="GU28" s="55"/>
      <c r="GV28" s="55"/>
      <c r="GW28" s="55"/>
      <c r="GX28" s="55"/>
      <c r="GY28" s="55"/>
      <c r="GZ28" s="55"/>
      <c r="HA28" s="55"/>
      <c r="HB28" s="55"/>
      <c r="HC28" s="55"/>
      <c r="HD28" s="55"/>
      <c r="HE28" s="55"/>
      <c r="HF28" s="55"/>
      <c r="HG28" s="55"/>
      <c r="HH28" s="55"/>
      <c r="HI28" s="55"/>
      <c r="HJ28" s="55"/>
      <c r="HK28" s="55"/>
      <c r="HL28" s="55"/>
      <c r="HM28" s="55"/>
      <c r="HN28" s="55"/>
      <c r="HO28" s="55"/>
      <c r="HP28" s="55"/>
      <c r="HQ28" s="55"/>
      <c r="HR28" s="55"/>
      <c r="HS28" s="55"/>
      <c r="HT28" s="55"/>
      <c r="HU28" s="55"/>
      <c r="HV28" s="55"/>
      <c r="HW28" s="55"/>
      <c r="HX28" s="55"/>
      <c r="HY28" s="55"/>
      <c r="HZ28" s="55"/>
      <c r="IA28" s="55"/>
      <c r="IB28" s="55"/>
      <c r="IC28" s="55"/>
      <c r="ID28" s="55"/>
    </row>
    <row r="29" s="52" customFormat="1" ht="63" customHeight="1" spans="1:238">
      <c r="A29" s="64">
        <v>7</v>
      </c>
      <c r="B29" s="64" t="s">
        <v>139</v>
      </c>
      <c r="C29" s="64" t="s">
        <v>140</v>
      </c>
      <c r="D29" s="65" t="s">
        <v>141</v>
      </c>
      <c r="E29" s="77" t="s">
        <v>142</v>
      </c>
      <c r="F29" s="77" t="s">
        <v>35</v>
      </c>
      <c r="G29" s="64" t="s">
        <v>36</v>
      </c>
      <c r="H29" s="78">
        <v>5</v>
      </c>
      <c r="I29" s="78">
        <v>5</v>
      </c>
      <c r="J29" s="83">
        <v>5.3</v>
      </c>
      <c r="K29" s="83">
        <v>5</v>
      </c>
      <c r="L29" s="83">
        <v>4.3</v>
      </c>
      <c r="M29" s="94">
        <v>5</v>
      </c>
      <c r="N29" s="41">
        <v>5</v>
      </c>
      <c r="O29" s="41">
        <v>4.3</v>
      </c>
      <c r="P29" s="64" t="s">
        <v>37</v>
      </c>
      <c r="Q29" s="64" t="s">
        <v>35</v>
      </c>
      <c r="R29" s="64" t="s">
        <v>35</v>
      </c>
      <c r="S29" s="83" t="s">
        <v>131</v>
      </c>
      <c r="T29" s="77" t="s">
        <v>143</v>
      </c>
      <c r="U29" s="105" t="s">
        <v>144</v>
      </c>
      <c r="V29" s="105">
        <v>310300020</v>
      </c>
      <c r="W29" s="105" t="s">
        <v>145</v>
      </c>
      <c r="X29" s="105" t="s">
        <v>146</v>
      </c>
      <c r="Y29" s="105"/>
      <c r="Z29" s="105" t="s">
        <v>36</v>
      </c>
      <c r="AA29" s="110" t="s">
        <v>35</v>
      </c>
      <c r="AB29" s="50">
        <v>5.3</v>
      </c>
      <c r="AC29" s="50">
        <v>5</v>
      </c>
      <c r="AD29" s="50">
        <v>4.3</v>
      </c>
      <c r="AE29" s="112" t="s">
        <v>37</v>
      </c>
      <c r="AF29" s="60"/>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5"/>
      <c r="EJ29" s="55"/>
      <c r="EK29" s="55"/>
      <c r="EL29" s="55"/>
      <c r="EM29" s="55"/>
      <c r="EN29" s="55"/>
      <c r="EO29" s="55"/>
      <c r="EP29" s="55"/>
      <c r="EQ29" s="55"/>
      <c r="ER29" s="55"/>
      <c r="ES29" s="55"/>
      <c r="ET29" s="55"/>
      <c r="EU29" s="55"/>
      <c r="EV29" s="55"/>
      <c r="EW29" s="55"/>
      <c r="EX29" s="55"/>
      <c r="EY29" s="55"/>
      <c r="EZ29" s="55"/>
      <c r="FA29" s="55"/>
      <c r="FB29" s="55"/>
      <c r="FC29" s="55"/>
      <c r="FD29" s="55"/>
      <c r="FE29" s="55"/>
      <c r="FF29" s="55"/>
      <c r="FG29" s="55"/>
      <c r="FH29" s="55"/>
      <c r="FI29" s="55"/>
      <c r="FJ29" s="55"/>
      <c r="FK29" s="55"/>
      <c r="FL29" s="55"/>
      <c r="FM29" s="55"/>
      <c r="FN29" s="55"/>
      <c r="FO29" s="55"/>
      <c r="FP29" s="55"/>
      <c r="FQ29" s="55"/>
      <c r="FR29" s="55"/>
      <c r="FS29" s="55"/>
      <c r="FT29" s="55"/>
      <c r="FU29" s="55"/>
      <c r="FV29" s="55"/>
      <c r="FW29" s="55"/>
      <c r="FX29" s="55"/>
      <c r="FY29" s="55"/>
      <c r="FZ29" s="55"/>
      <c r="GA29" s="55"/>
      <c r="GB29" s="55"/>
      <c r="GC29" s="55"/>
      <c r="GD29" s="55"/>
      <c r="GE29" s="55"/>
      <c r="GF29" s="55"/>
      <c r="GG29" s="55"/>
      <c r="GH29" s="55"/>
      <c r="GI29" s="55"/>
      <c r="GJ29" s="55"/>
      <c r="GK29" s="55"/>
      <c r="GL29" s="55"/>
      <c r="GM29" s="55"/>
      <c r="GN29" s="55"/>
      <c r="GO29" s="55"/>
      <c r="GP29" s="55"/>
      <c r="GQ29" s="55"/>
      <c r="GR29" s="55"/>
      <c r="GS29" s="55"/>
      <c r="GT29" s="55"/>
      <c r="GU29" s="55"/>
      <c r="GV29" s="55"/>
      <c r="GW29" s="55"/>
      <c r="GX29" s="55"/>
      <c r="GY29" s="55"/>
      <c r="GZ29" s="55"/>
      <c r="HA29" s="55"/>
      <c r="HB29" s="55"/>
      <c r="HC29" s="55"/>
      <c r="HD29" s="55"/>
      <c r="HE29" s="55"/>
      <c r="HF29" s="55"/>
      <c r="HG29" s="55"/>
      <c r="HH29" s="55"/>
      <c r="HI29" s="55"/>
      <c r="HJ29" s="55"/>
      <c r="HK29" s="55"/>
      <c r="HL29" s="55"/>
      <c r="HM29" s="55"/>
      <c r="HN29" s="55"/>
      <c r="HO29" s="55"/>
      <c r="HP29" s="55"/>
      <c r="HQ29" s="55"/>
      <c r="HR29" s="55"/>
      <c r="HS29" s="55"/>
      <c r="HT29" s="55"/>
      <c r="HU29" s="55"/>
      <c r="HV29" s="55"/>
      <c r="HW29" s="55"/>
      <c r="HX29" s="55"/>
      <c r="HY29" s="55"/>
      <c r="HZ29" s="55"/>
      <c r="IA29" s="55"/>
      <c r="IB29" s="55"/>
      <c r="IC29" s="55"/>
      <c r="ID29" s="55"/>
    </row>
    <row r="30" s="52" customFormat="1" ht="25" customHeight="1" spans="1:238">
      <c r="A30" s="64">
        <v>8</v>
      </c>
      <c r="B30" s="64" t="s">
        <v>147</v>
      </c>
      <c r="C30" s="64" t="s">
        <v>148</v>
      </c>
      <c r="D30" s="65" t="s">
        <v>149</v>
      </c>
      <c r="E30" s="77" t="s">
        <v>150</v>
      </c>
      <c r="F30" s="77" t="s">
        <v>35</v>
      </c>
      <c r="G30" s="64" t="s">
        <v>110</v>
      </c>
      <c r="H30" s="78">
        <v>30</v>
      </c>
      <c r="I30" s="78">
        <v>27</v>
      </c>
      <c r="J30" s="84">
        <v>30.8149096791588</v>
      </c>
      <c r="K30" s="84">
        <v>29.8163030998852</v>
      </c>
      <c r="L30" s="84">
        <v>16.4252669039146</v>
      </c>
      <c r="M30" s="89">
        <v>30</v>
      </c>
      <c r="N30" s="89">
        <v>27</v>
      </c>
      <c r="O30" s="89">
        <v>22</v>
      </c>
      <c r="P30" s="64" t="s">
        <v>37</v>
      </c>
      <c r="Q30" s="64" t="s">
        <v>35</v>
      </c>
      <c r="R30" s="64" t="s">
        <v>35</v>
      </c>
      <c r="S30" s="83" t="s">
        <v>38</v>
      </c>
      <c r="T30" s="104" t="s">
        <v>151</v>
      </c>
      <c r="U30" s="105" t="s">
        <v>152</v>
      </c>
      <c r="V30" s="105">
        <v>310300005</v>
      </c>
      <c r="W30" s="106" t="s">
        <v>153</v>
      </c>
      <c r="X30" s="105" t="s">
        <v>154</v>
      </c>
      <c r="Y30" s="105"/>
      <c r="Z30" s="105" t="s">
        <v>71</v>
      </c>
      <c r="AA30" s="110" t="s">
        <v>155</v>
      </c>
      <c r="AB30" s="50">
        <v>10.5</v>
      </c>
      <c r="AC30" s="50">
        <v>10</v>
      </c>
      <c r="AD30" s="50">
        <v>8.5</v>
      </c>
      <c r="AE30" s="112" t="s">
        <v>37</v>
      </c>
      <c r="AF30" s="60"/>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c r="EN30" s="55"/>
      <c r="EO30" s="55"/>
      <c r="EP30" s="55"/>
      <c r="EQ30" s="55"/>
      <c r="ER30" s="55"/>
      <c r="ES30" s="55"/>
      <c r="ET30" s="55"/>
      <c r="EU30" s="55"/>
      <c r="EV30" s="55"/>
      <c r="EW30" s="55"/>
      <c r="EX30" s="55"/>
      <c r="EY30" s="55"/>
      <c r="EZ30" s="55"/>
      <c r="FA30" s="55"/>
      <c r="FB30" s="55"/>
      <c r="FC30" s="55"/>
      <c r="FD30" s="55"/>
      <c r="FE30" s="55"/>
      <c r="FF30" s="55"/>
      <c r="FG30" s="55"/>
      <c r="FH30" s="55"/>
      <c r="FI30" s="55"/>
      <c r="FJ30" s="55"/>
      <c r="FK30" s="55"/>
      <c r="FL30" s="55"/>
      <c r="FM30" s="55"/>
      <c r="FN30" s="55"/>
      <c r="FO30" s="55"/>
      <c r="FP30" s="55"/>
      <c r="FQ30" s="55"/>
      <c r="FR30" s="55"/>
      <c r="FS30" s="55"/>
      <c r="FT30" s="55"/>
      <c r="FU30" s="55"/>
      <c r="FV30" s="55"/>
      <c r="FW30" s="55"/>
      <c r="FX30" s="55"/>
      <c r="FY30" s="55"/>
      <c r="FZ30" s="55"/>
      <c r="GA30" s="55"/>
      <c r="GB30" s="55"/>
      <c r="GC30" s="55"/>
      <c r="GD30" s="55"/>
      <c r="GE30" s="55"/>
      <c r="GF30" s="55"/>
      <c r="GG30" s="55"/>
      <c r="GH30" s="55"/>
      <c r="GI30" s="55"/>
      <c r="GJ30" s="55"/>
      <c r="GK30" s="55"/>
      <c r="GL30" s="55"/>
      <c r="GM30" s="55"/>
      <c r="GN30" s="55"/>
      <c r="GO30" s="55"/>
      <c r="GP30" s="55"/>
      <c r="GQ30" s="55"/>
      <c r="GR30" s="55"/>
      <c r="GS30" s="55"/>
      <c r="GT30" s="55"/>
      <c r="GU30" s="55"/>
      <c r="GV30" s="55"/>
      <c r="GW30" s="55"/>
      <c r="GX30" s="55"/>
      <c r="GY30" s="55"/>
      <c r="GZ30" s="55"/>
      <c r="HA30" s="55"/>
      <c r="HB30" s="55"/>
      <c r="HC30" s="55"/>
      <c r="HD30" s="55"/>
      <c r="HE30" s="55"/>
      <c r="HF30" s="55"/>
      <c r="HG30" s="55"/>
      <c r="HH30" s="55"/>
      <c r="HI30" s="55"/>
      <c r="HJ30" s="55"/>
      <c r="HK30" s="55"/>
      <c r="HL30" s="55"/>
      <c r="HM30" s="55"/>
      <c r="HN30" s="55"/>
      <c r="HO30" s="55"/>
      <c r="HP30" s="55"/>
      <c r="HQ30" s="55"/>
      <c r="HR30" s="55"/>
      <c r="HS30" s="55"/>
      <c r="HT30" s="55"/>
      <c r="HU30" s="55"/>
      <c r="HV30" s="55"/>
      <c r="HW30" s="55"/>
      <c r="HX30" s="55"/>
      <c r="HY30" s="55"/>
      <c r="HZ30" s="55"/>
      <c r="IA30" s="55"/>
      <c r="IB30" s="55"/>
      <c r="IC30" s="55"/>
      <c r="ID30" s="55"/>
    </row>
    <row r="31" s="52" customFormat="1" ht="25" customHeight="1" spans="1:238">
      <c r="A31" s="64"/>
      <c r="B31" s="64"/>
      <c r="C31" s="64"/>
      <c r="D31" s="65"/>
      <c r="E31" s="77"/>
      <c r="F31" s="77"/>
      <c r="G31" s="64"/>
      <c r="H31" s="42"/>
      <c r="I31" s="42"/>
      <c r="J31" s="84"/>
      <c r="K31" s="84"/>
      <c r="L31" s="84"/>
      <c r="M31" s="89"/>
      <c r="N31" s="89"/>
      <c r="O31" s="89"/>
      <c r="P31" s="64"/>
      <c r="Q31" s="64"/>
      <c r="R31" s="64"/>
      <c r="S31" s="83"/>
      <c r="T31" s="104"/>
      <c r="U31" s="105" t="s">
        <v>156</v>
      </c>
      <c r="V31" s="105">
        <v>31030000501</v>
      </c>
      <c r="W31" s="106" t="s">
        <v>157</v>
      </c>
      <c r="X31" s="105"/>
      <c r="Y31" s="105"/>
      <c r="Z31" s="105" t="s">
        <v>71</v>
      </c>
      <c r="AA31" s="110" t="s">
        <v>158</v>
      </c>
      <c r="AB31" s="50">
        <v>31.5</v>
      </c>
      <c r="AC31" s="50">
        <v>30</v>
      </c>
      <c r="AD31" s="50">
        <v>25.5</v>
      </c>
      <c r="AE31" s="112" t="s">
        <v>37</v>
      </c>
      <c r="AF31" s="60"/>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5"/>
      <c r="EC31" s="55"/>
      <c r="ED31" s="55"/>
      <c r="EE31" s="55"/>
      <c r="EF31" s="55"/>
      <c r="EG31" s="55"/>
      <c r="EH31" s="55"/>
      <c r="EI31" s="55"/>
      <c r="EJ31" s="55"/>
      <c r="EK31" s="55"/>
      <c r="EL31" s="55"/>
      <c r="EM31" s="55"/>
      <c r="EN31" s="55"/>
      <c r="EO31" s="55"/>
      <c r="EP31" s="55"/>
      <c r="EQ31" s="55"/>
      <c r="ER31" s="55"/>
      <c r="ES31" s="55"/>
      <c r="ET31" s="55"/>
      <c r="EU31" s="55"/>
      <c r="EV31" s="55"/>
      <c r="EW31" s="55"/>
      <c r="EX31" s="55"/>
      <c r="EY31" s="55"/>
      <c r="EZ31" s="55"/>
      <c r="FA31" s="55"/>
      <c r="FB31" s="55"/>
      <c r="FC31" s="55"/>
      <c r="FD31" s="55"/>
      <c r="FE31" s="55"/>
      <c r="FF31" s="55"/>
      <c r="FG31" s="55"/>
      <c r="FH31" s="55"/>
      <c r="FI31" s="55"/>
      <c r="FJ31" s="55"/>
      <c r="FK31" s="55"/>
      <c r="FL31" s="55"/>
      <c r="FM31" s="55"/>
      <c r="FN31" s="55"/>
      <c r="FO31" s="55"/>
      <c r="FP31" s="55"/>
      <c r="FQ31" s="55"/>
      <c r="FR31" s="55"/>
      <c r="FS31" s="55"/>
      <c r="FT31" s="55"/>
      <c r="FU31" s="55"/>
      <c r="FV31" s="55"/>
      <c r="FW31" s="55"/>
      <c r="FX31" s="55"/>
      <c r="FY31" s="55"/>
      <c r="FZ31" s="55"/>
      <c r="GA31" s="55"/>
      <c r="GB31" s="55"/>
      <c r="GC31" s="55"/>
      <c r="GD31" s="55"/>
      <c r="GE31" s="55"/>
      <c r="GF31" s="55"/>
      <c r="GG31" s="55"/>
      <c r="GH31" s="55"/>
      <c r="GI31" s="55"/>
      <c r="GJ31" s="55"/>
      <c r="GK31" s="55"/>
      <c r="GL31" s="55"/>
      <c r="GM31" s="55"/>
      <c r="GN31" s="55"/>
      <c r="GO31" s="55"/>
      <c r="GP31" s="55"/>
      <c r="GQ31" s="55"/>
      <c r="GR31" s="55"/>
      <c r="GS31" s="55"/>
      <c r="GT31" s="55"/>
      <c r="GU31" s="55"/>
      <c r="GV31" s="55"/>
      <c r="GW31" s="55"/>
      <c r="GX31" s="55"/>
      <c r="GY31" s="55"/>
      <c r="GZ31" s="55"/>
      <c r="HA31" s="55"/>
      <c r="HB31" s="55"/>
      <c r="HC31" s="55"/>
      <c r="HD31" s="55"/>
      <c r="HE31" s="55"/>
      <c r="HF31" s="55"/>
      <c r="HG31" s="55"/>
      <c r="HH31" s="55"/>
      <c r="HI31" s="55"/>
      <c r="HJ31" s="55"/>
      <c r="HK31" s="55"/>
      <c r="HL31" s="55"/>
      <c r="HM31" s="55"/>
      <c r="HN31" s="55"/>
      <c r="HO31" s="55"/>
      <c r="HP31" s="55"/>
      <c r="HQ31" s="55"/>
      <c r="HR31" s="55"/>
      <c r="HS31" s="55"/>
      <c r="HT31" s="55"/>
      <c r="HU31" s="55"/>
      <c r="HV31" s="55"/>
      <c r="HW31" s="55"/>
      <c r="HX31" s="55"/>
      <c r="HY31" s="55"/>
      <c r="HZ31" s="55"/>
      <c r="IA31" s="55"/>
      <c r="IB31" s="55"/>
      <c r="IC31" s="55"/>
      <c r="ID31" s="55"/>
    </row>
    <row r="32" s="52" customFormat="1" ht="25" customHeight="1" spans="1:238">
      <c r="A32" s="64"/>
      <c r="B32" s="64"/>
      <c r="C32" s="64"/>
      <c r="D32" s="65"/>
      <c r="E32" s="77"/>
      <c r="F32" s="77"/>
      <c r="G32" s="64"/>
      <c r="H32" s="42"/>
      <c r="I32" s="42"/>
      <c r="J32" s="84"/>
      <c r="K32" s="84"/>
      <c r="L32" s="84"/>
      <c r="M32" s="89"/>
      <c r="N32" s="89"/>
      <c r="O32" s="89"/>
      <c r="P32" s="64"/>
      <c r="Q32" s="64"/>
      <c r="R32" s="64"/>
      <c r="S32" s="83"/>
      <c r="T32" s="104"/>
      <c r="U32" s="105" t="s">
        <v>159</v>
      </c>
      <c r="V32" s="105">
        <v>31030000502</v>
      </c>
      <c r="W32" s="106" t="s">
        <v>160</v>
      </c>
      <c r="X32" s="105"/>
      <c r="Y32" s="105"/>
      <c r="Z32" s="105" t="s">
        <v>71</v>
      </c>
      <c r="AA32" s="110" t="s">
        <v>161</v>
      </c>
      <c r="AB32" s="50">
        <v>31.5</v>
      </c>
      <c r="AC32" s="50">
        <v>30</v>
      </c>
      <c r="AD32" s="50">
        <v>25.5</v>
      </c>
      <c r="AE32" s="112" t="s">
        <v>37</v>
      </c>
      <c r="AF32" s="60"/>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55"/>
      <c r="CV32" s="55"/>
      <c r="CW32" s="55"/>
      <c r="CX32" s="55"/>
      <c r="CY32" s="55"/>
      <c r="CZ32" s="55"/>
      <c r="DA32" s="55"/>
      <c r="DB32" s="55"/>
      <c r="DC32" s="55"/>
      <c r="DD32" s="55"/>
      <c r="DE32" s="55"/>
      <c r="DF32" s="55"/>
      <c r="DG32" s="55"/>
      <c r="DH32" s="55"/>
      <c r="DI32" s="55"/>
      <c r="DJ32" s="55"/>
      <c r="DK32" s="55"/>
      <c r="DL32" s="55"/>
      <c r="DM32" s="55"/>
      <c r="DN32" s="55"/>
      <c r="DO32" s="55"/>
      <c r="DP32" s="55"/>
      <c r="DQ32" s="55"/>
      <c r="DR32" s="55"/>
      <c r="DS32" s="55"/>
      <c r="DT32" s="55"/>
      <c r="DU32" s="55"/>
      <c r="DV32" s="55"/>
      <c r="DW32" s="55"/>
      <c r="DX32" s="55"/>
      <c r="DY32" s="55"/>
      <c r="DZ32" s="55"/>
      <c r="EA32" s="55"/>
      <c r="EB32" s="55"/>
      <c r="EC32" s="55"/>
      <c r="ED32" s="55"/>
      <c r="EE32" s="55"/>
      <c r="EF32" s="55"/>
      <c r="EG32" s="55"/>
      <c r="EH32" s="55"/>
      <c r="EI32" s="55"/>
      <c r="EJ32" s="55"/>
      <c r="EK32" s="55"/>
      <c r="EL32" s="55"/>
      <c r="EM32" s="55"/>
      <c r="EN32" s="55"/>
      <c r="EO32" s="55"/>
      <c r="EP32" s="55"/>
      <c r="EQ32" s="55"/>
      <c r="ER32" s="55"/>
      <c r="ES32" s="55"/>
      <c r="ET32" s="55"/>
      <c r="EU32" s="55"/>
      <c r="EV32" s="55"/>
      <c r="EW32" s="55"/>
      <c r="EX32" s="55"/>
      <c r="EY32" s="55"/>
      <c r="EZ32" s="55"/>
      <c r="FA32" s="55"/>
      <c r="FB32" s="55"/>
      <c r="FC32" s="55"/>
      <c r="FD32" s="55"/>
      <c r="FE32" s="55"/>
      <c r="FF32" s="55"/>
      <c r="FG32" s="55"/>
      <c r="FH32" s="55"/>
      <c r="FI32" s="55"/>
      <c r="FJ32" s="55"/>
      <c r="FK32" s="55"/>
      <c r="FL32" s="55"/>
      <c r="FM32" s="55"/>
      <c r="FN32" s="55"/>
      <c r="FO32" s="55"/>
      <c r="FP32" s="55"/>
      <c r="FQ32" s="55"/>
      <c r="FR32" s="55"/>
      <c r="FS32" s="55"/>
      <c r="FT32" s="55"/>
      <c r="FU32" s="55"/>
      <c r="FV32" s="55"/>
      <c r="FW32" s="55"/>
      <c r="FX32" s="55"/>
      <c r="FY32" s="55"/>
      <c r="FZ32" s="55"/>
      <c r="GA32" s="55"/>
      <c r="GB32" s="55"/>
      <c r="GC32" s="55"/>
      <c r="GD32" s="55"/>
      <c r="GE32" s="55"/>
      <c r="GF32" s="55"/>
      <c r="GG32" s="55"/>
      <c r="GH32" s="55"/>
      <c r="GI32" s="55"/>
      <c r="GJ32" s="55"/>
      <c r="GK32" s="55"/>
      <c r="GL32" s="55"/>
      <c r="GM32" s="55"/>
      <c r="GN32" s="55"/>
      <c r="GO32" s="55"/>
      <c r="GP32" s="55"/>
      <c r="GQ32" s="55"/>
      <c r="GR32" s="55"/>
      <c r="GS32" s="55"/>
      <c r="GT32" s="55"/>
      <c r="GU32" s="55"/>
      <c r="GV32" s="55"/>
      <c r="GW32" s="55"/>
      <c r="GX32" s="55"/>
      <c r="GY32" s="55"/>
      <c r="GZ32" s="55"/>
      <c r="HA32" s="55"/>
      <c r="HB32" s="55"/>
      <c r="HC32" s="55"/>
      <c r="HD32" s="55"/>
      <c r="HE32" s="55"/>
      <c r="HF32" s="55"/>
      <c r="HG32" s="55"/>
      <c r="HH32" s="55"/>
      <c r="HI32" s="55"/>
      <c r="HJ32" s="55"/>
      <c r="HK32" s="55"/>
      <c r="HL32" s="55"/>
      <c r="HM32" s="55"/>
      <c r="HN32" s="55"/>
      <c r="HO32" s="55"/>
      <c r="HP32" s="55"/>
      <c r="HQ32" s="55"/>
      <c r="HR32" s="55"/>
      <c r="HS32" s="55"/>
      <c r="HT32" s="55"/>
      <c r="HU32" s="55"/>
      <c r="HV32" s="55"/>
      <c r="HW32" s="55"/>
      <c r="HX32" s="55"/>
      <c r="HY32" s="55"/>
      <c r="HZ32" s="55"/>
      <c r="IA32" s="55"/>
      <c r="IB32" s="55"/>
      <c r="IC32" s="55"/>
      <c r="ID32" s="55"/>
    </row>
    <row r="33" s="55" customFormat="1" ht="72" customHeight="1" spans="1:32">
      <c r="A33" s="64">
        <v>9</v>
      </c>
      <c r="B33" s="64" t="s">
        <v>162</v>
      </c>
      <c r="C33" s="64" t="s">
        <v>163</v>
      </c>
      <c r="D33" s="65" t="s">
        <v>164</v>
      </c>
      <c r="E33" s="77" t="s">
        <v>165</v>
      </c>
      <c r="F33" s="77" t="s">
        <v>35</v>
      </c>
      <c r="G33" s="64" t="s">
        <v>110</v>
      </c>
      <c r="H33" s="78">
        <v>8</v>
      </c>
      <c r="I33" s="78">
        <v>7</v>
      </c>
      <c r="J33" s="83">
        <v>8.4</v>
      </c>
      <c r="K33" s="83">
        <v>8</v>
      </c>
      <c r="L33" s="83">
        <v>6.8</v>
      </c>
      <c r="M33" s="94">
        <v>8</v>
      </c>
      <c r="N33" s="94">
        <v>7</v>
      </c>
      <c r="O33" s="94">
        <v>6</v>
      </c>
      <c r="P33" s="64" t="s">
        <v>37</v>
      </c>
      <c r="Q33" s="64" t="s">
        <v>35</v>
      </c>
      <c r="R33" s="64" t="s">
        <v>35</v>
      </c>
      <c r="S33" s="83" t="s">
        <v>38</v>
      </c>
      <c r="T33" s="77" t="s">
        <v>132</v>
      </c>
      <c r="U33" s="105" t="s">
        <v>166</v>
      </c>
      <c r="V33" s="105">
        <v>310300035</v>
      </c>
      <c r="W33" s="106" t="s">
        <v>167</v>
      </c>
      <c r="X33" s="105"/>
      <c r="Y33" s="105"/>
      <c r="Z33" s="105" t="s">
        <v>36</v>
      </c>
      <c r="AA33" s="110" t="s">
        <v>35</v>
      </c>
      <c r="AB33" s="50">
        <v>8.4</v>
      </c>
      <c r="AC33" s="50">
        <v>8</v>
      </c>
      <c r="AD33" s="50">
        <v>6.8</v>
      </c>
      <c r="AE33" s="112" t="s">
        <v>37</v>
      </c>
      <c r="AF33" s="60"/>
    </row>
    <row r="34" s="52" customFormat="1" ht="75" customHeight="1" spans="1:238">
      <c r="A34" s="64">
        <v>10</v>
      </c>
      <c r="B34" s="64" t="s">
        <v>168</v>
      </c>
      <c r="C34" s="64" t="s">
        <v>169</v>
      </c>
      <c r="D34" s="65" t="s">
        <v>170</v>
      </c>
      <c r="E34" s="77" t="s">
        <v>171</v>
      </c>
      <c r="F34" s="77" t="s">
        <v>35</v>
      </c>
      <c r="G34" s="64" t="s">
        <v>110</v>
      </c>
      <c r="H34" s="78">
        <v>10</v>
      </c>
      <c r="I34" s="78">
        <v>9</v>
      </c>
      <c r="J34" s="83">
        <v>10.5</v>
      </c>
      <c r="K34" s="83">
        <v>10</v>
      </c>
      <c r="L34" s="83">
        <v>8.5</v>
      </c>
      <c r="M34" s="94">
        <v>10</v>
      </c>
      <c r="N34" s="94">
        <v>9</v>
      </c>
      <c r="O34" s="94">
        <v>8</v>
      </c>
      <c r="P34" s="64" t="s">
        <v>37</v>
      </c>
      <c r="Q34" s="64" t="s">
        <v>35</v>
      </c>
      <c r="R34" s="64" t="s">
        <v>35</v>
      </c>
      <c r="S34" s="83" t="s">
        <v>38</v>
      </c>
      <c r="T34" s="77" t="s">
        <v>132</v>
      </c>
      <c r="U34" s="105" t="s">
        <v>172</v>
      </c>
      <c r="V34" s="105">
        <v>310300034</v>
      </c>
      <c r="W34" s="106" t="s">
        <v>173</v>
      </c>
      <c r="X34" s="105"/>
      <c r="Y34" s="105"/>
      <c r="Z34" s="105" t="s">
        <v>36</v>
      </c>
      <c r="AA34" s="110" t="s">
        <v>35</v>
      </c>
      <c r="AB34" s="50">
        <v>10.5</v>
      </c>
      <c r="AC34" s="50">
        <v>10</v>
      </c>
      <c r="AD34" s="50">
        <v>8.5</v>
      </c>
      <c r="AE34" s="112" t="s">
        <v>37</v>
      </c>
      <c r="AF34" s="60"/>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55"/>
      <c r="CV34" s="55"/>
      <c r="CW34" s="55"/>
      <c r="CX34" s="55"/>
      <c r="CY34" s="55"/>
      <c r="CZ34" s="55"/>
      <c r="DA34" s="55"/>
      <c r="DB34" s="55"/>
      <c r="DC34" s="55"/>
      <c r="DD34" s="55"/>
      <c r="DE34" s="55"/>
      <c r="DF34" s="55"/>
      <c r="DG34" s="55"/>
      <c r="DH34" s="55"/>
      <c r="DI34" s="55"/>
      <c r="DJ34" s="55"/>
      <c r="DK34" s="55"/>
      <c r="DL34" s="55"/>
      <c r="DM34" s="55"/>
      <c r="DN34" s="55"/>
      <c r="DO34" s="55"/>
      <c r="DP34" s="55"/>
      <c r="DQ34" s="55"/>
      <c r="DR34" s="55"/>
      <c r="DS34" s="55"/>
      <c r="DT34" s="55"/>
      <c r="DU34" s="55"/>
      <c r="DV34" s="55"/>
      <c r="DW34" s="55"/>
      <c r="DX34" s="55"/>
      <c r="DY34" s="55"/>
      <c r="DZ34" s="55"/>
      <c r="EA34" s="55"/>
      <c r="EB34" s="55"/>
      <c r="EC34" s="55"/>
      <c r="ED34" s="55"/>
      <c r="EE34" s="55"/>
      <c r="EF34" s="55"/>
      <c r="EG34" s="55"/>
      <c r="EH34" s="55"/>
      <c r="EI34" s="55"/>
      <c r="EJ34" s="55"/>
      <c r="EK34" s="55"/>
      <c r="EL34" s="55"/>
      <c r="EM34" s="55"/>
      <c r="EN34" s="55"/>
      <c r="EO34" s="55"/>
      <c r="EP34" s="55"/>
      <c r="EQ34" s="55"/>
      <c r="ER34" s="55"/>
      <c r="ES34" s="55"/>
      <c r="ET34" s="55"/>
      <c r="EU34" s="55"/>
      <c r="EV34" s="55"/>
      <c r="EW34" s="55"/>
      <c r="EX34" s="55"/>
      <c r="EY34" s="55"/>
      <c r="EZ34" s="55"/>
      <c r="FA34" s="55"/>
      <c r="FB34" s="55"/>
      <c r="FC34" s="55"/>
      <c r="FD34" s="55"/>
      <c r="FE34" s="55"/>
      <c r="FF34" s="55"/>
      <c r="FG34" s="55"/>
      <c r="FH34" s="55"/>
      <c r="FI34" s="55"/>
      <c r="FJ34" s="55"/>
      <c r="FK34" s="55"/>
      <c r="FL34" s="55"/>
      <c r="FM34" s="55"/>
      <c r="FN34" s="55"/>
      <c r="FO34" s="55"/>
      <c r="FP34" s="55"/>
      <c r="FQ34" s="55"/>
      <c r="FR34" s="55"/>
      <c r="FS34" s="55"/>
      <c r="FT34" s="55"/>
      <c r="FU34" s="55"/>
      <c r="FV34" s="55"/>
      <c r="FW34" s="55"/>
      <c r="FX34" s="55"/>
      <c r="FY34" s="55"/>
      <c r="FZ34" s="55"/>
      <c r="GA34" s="55"/>
      <c r="GB34" s="55"/>
      <c r="GC34" s="55"/>
      <c r="GD34" s="55"/>
      <c r="GE34" s="55"/>
      <c r="GF34" s="55"/>
      <c r="GG34" s="55"/>
      <c r="GH34" s="55"/>
      <c r="GI34" s="55"/>
      <c r="GJ34" s="55"/>
      <c r="GK34" s="55"/>
      <c r="GL34" s="55"/>
      <c r="GM34" s="55"/>
      <c r="GN34" s="55"/>
      <c r="GO34" s="55"/>
      <c r="GP34" s="55"/>
      <c r="GQ34" s="55"/>
      <c r="GR34" s="55"/>
      <c r="GS34" s="55"/>
      <c r="GT34" s="55"/>
      <c r="GU34" s="55"/>
      <c r="GV34" s="55"/>
      <c r="GW34" s="55"/>
      <c r="GX34" s="55"/>
      <c r="GY34" s="55"/>
      <c r="GZ34" s="55"/>
      <c r="HA34" s="55"/>
      <c r="HB34" s="55"/>
      <c r="HC34" s="55"/>
      <c r="HD34" s="55"/>
      <c r="HE34" s="55"/>
      <c r="HF34" s="55"/>
      <c r="HG34" s="55"/>
      <c r="HH34" s="55"/>
      <c r="HI34" s="55"/>
      <c r="HJ34" s="55"/>
      <c r="HK34" s="55"/>
      <c r="HL34" s="55"/>
      <c r="HM34" s="55"/>
      <c r="HN34" s="55"/>
      <c r="HO34" s="55"/>
      <c r="HP34" s="55"/>
      <c r="HQ34" s="55"/>
      <c r="HR34" s="55"/>
      <c r="HS34" s="55"/>
      <c r="HT34" s="55"/>
      <c r="HU34" s="55"/>
      <c r="HV34" s="55"/>
      <c r="HW34" s="55"/>
      <c r="HX34" s="55"/>
      <c r="HY34" s="55"/>
      <c r="HZ34" s="55"/>
      <c r="IA34" s="55"/>
      <c r="IB34" s="55"/>
      <c r="IC34" s="55"/>
      <c r="ID34" s="55"/>
    </row>
    <row r="35" s="52" customFormat="1" ht="39" customHeight="1" spans="1:238">
      <c r="A35" s="67">
        <v>11</v>
      </c>
      <c r="B35" s="67" t="s">
        <v>174</v>
      </c>
      <c r="C35" s="67" t="s">
        <v>175</v>
      </c>
      <c r="D35" s="69" t="s">
        <v>176</v>
      </c>
      <c r="E35" s="67" t="s">
        <v>171</v>
      </c>
      <c r="F35" s="67" t="s">
        <v>35</v>
      </c>
      <c r="G35" s="67" t="s">
        <v>36</v>
      </c>
      <c r="H35" s="79">
        <v>8</v>
      </c>
      <c r="I35" s="79">
        <v>7</v>
      </c>
      <c r="J35" s="85">
        <v>7.69687217851155</v>
      </c>
      <c r="K35" s="85">
        <v>7.98832684824903</v>
      </c>
      <c r="L35" s="85">
        <v>6.8</v>
      </c>
      <c r="M35" s="140">
        <v>8</v>
      </c>
      <c r="N35" s="140">
        <v>7</v>
      </c>
      <c r="O35" s="140">
        <v>6</v>
      </c>
      <c r="P35" s="64" t="s">
        <v>37</v>
      </c>
      <c r="Q35" s="64" t="s">
        <v>35</v>
      </c>
      <c r="R35" s="64" t="s">
        <v>35</v>
      </c>
      <c r="S35" s="85" t="s">
        <v>38</v>
      </c>
      <c r="T35" s="107" t="s">
        <v>177</v>
      </c>
      <c r="U35" s="105" t="s">
        <v>178</v>
      </c>
      <c r="V35" s="105">
        <v>310300016</v>
      </c>
      <c r="W35" s="106" t="s">
        <v>179</v>
      </c>
      <c r="X35" s="105"/>
      <c r="Y35" s="105"/>
      <c r="Z35" s="105" t="s">
        <v>36</v>
      </c>
      <c r="AA35" s="110" t="s">
        <v>35</v>
      </c>
      <c r="AB35" s="50">
        <v>8.4</v>
      </c>
      <c r="AC35" s="50">
        <v>8</v>
      </c>
      <c r="AD35" s="50">
        <v>6.8</v>
      </c>
      <c r="AE35" s="112" t="s">
        <v>37</v>
      </c>
      <c r="AF35" s="60"/>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55"/>
      <c r="CV35" s="55"/>
      <c r="CW35" s="55"/>
      <c r="CX35" s="55"/>
      <c r="CY35" s="55"/>
      <c r="CZ35" s="55"/>
      <c r="DA35" s="55"/>
      <c r="DB35" s="55"/>
      <c r="DC35" s="55"/>
      <c r="DD35" s="55"/>
      <c r="DE35" s="55"/>
      <c r="DF35" s="55"/>
      <c r="DG35" s="55"/>
      <c r="DH35" s="55"/>
      <c r="DI35" s="55"/>
      <c r="DJ35" s="55"/>
      <c r="DK35" s="55"/>
      <c r="DL35" s="55"/>
      <c r="DM35" s="55"/>
      <c r="DN35" s="55"/>
      <c r="DO35" s="55"/>
      <c r="DP35" s="55"/>
      <c r="DQ35" s="55"/>
      <c r="DR35" s="55"/>
      <c r="DS35" s="55"/>
      <c r="DT35" s="55"/>
      <c r="DU35" s="55"/>
      <c r="DV35" s="55"/>
      <c r="DW35" s="55"/>
      <c r="DX35" s="55"/>
      <c r="DY35" s="55"/>
      <c r="DZ35" s="55"/>
      <c r="EA35" s="55"/>
      <c r="EB35" s="55"/>
      <c r="EC35" s="55"/>
      <c r="ED35" s="55"/>
      <c r="EE35" s="55"/>
      <c r="EF35" s="55"/>
      <c r="EG35" s="55"/>
      <c r="EH35" s="55"/>
      <c r="EI35" s="55"/>
      <c r="EJ35" s="55"/>
      <c r="EK35" s="55"/>
      <c r="EL35" s="55"/>
      <c r="EM35" s="55"/>
      <c r="EN35" s="55"/>
      <c r="EO35" s="55"/>
      <c r="EP35" s="55"/>
      <c r="EQ35" s="55"/>
      <c r="ER35" s="55"/>
      <c r="ES35" s="55"/>
      <c r="ET35" s="55"/>
      <c r="EU35" s="55"/>
      <c r="EV35" s="55"/>
      <c r="EW35" s="55"/>
      <c r="EX35" s="55"/>
      <c r="EY35" s="55"/>
      <c r="EZ35" s="55"/>
      <c r="FA35" s="55"/>
      <c r="FB35" s="55"/>
      <c r="FC35" s="55"/>
      <c r="FD35" s="55"/>
      <c r="FE35" s="55"/>
      <c r="FF35" s="55"/>
      <c r="FG35" s="55"/>
      <c r="FH35" s="55"/>
      <c r="FI35" s="55"/>
      <c r="FJ35" s="55"/>
      <c r="FK35" s="55"/>
      <c r="FL35" s="55"/>
      <c r="FM35" s="55"/>
      <c r="FN35" s="55"/>
      <c r="FO35" s="55"/>
      <c r="FP35" s="55"/>
      <c r="FQ35" s="55"/>
      <c r="FR35" s="55"/>
      <c r="FS35" s="55"/>
      <c r="FT35" s="55"/>
      <c r="FU35" s="55"/>
      <c r="FV35" s="55"/>
      <c r="FW35" s="55"/>
      <c r="FX35" s="55"/>
      <c r="FY35" s="55"/>
      <c r="FZ35" s="55"/>
      <c r="GA35" s="55"/>
      <c r="GB35" s="55"/>
      <c r="GC35" s="55"/>
      <c r="GD35" s="55"/>
      <c r="GE35" s="55"/>
      <c r="GF35" s="55"/>
      <c r="GG35" s="55"/>
      <c r="GH35" s="55"/>
      <c r="GI35" s="55"/>
      <c r="GJ35" s="55"/>
      <c r="GK35" s="55"/>
      <c r="GL35" s="55"/>
      <c r="GM35" s="55"/>
      <c r="GN35" s="55"/>
      <c r="GO35" s="55"/>
      <c r="GP35" s="55"/>
      <c r="GQ35" s="55"/>
      <c r="GR35" s="55"/>
      <c r="GS35" s="55"/>
      <c r="GT35" s="55"/>
      <c r="GU35" s="55"/>
      <c r="GV35" s="55"/>
      <c r="GW35" s="55"/>
      <c r="GX35" s="55"/>
      <c r="GY35" s="55"/>
      <c r="GZ35" s="55"/>
      <c r="HA35" s="55"/>
      <c r="HB35" s="55"/>
      <c r="HC35" s="55"/>
      <c r="HD35" s="55"/>
      <c r="HE35" s="55"/>
      <c r="HF35" s="55"/>
      <c r="HG35" s="55"/>
      <c r="HH35" s="55"/>
      <c r="HI35" s="55"/>
      <c r="HJ35" s="55"/>
      <c r="HK35" s="55"/>
      <c r="HL35" s="55"/>
      <c r="HM35" s="55"/>
      <c r="HN35" s="55"/>
      <c r="HO35" s="55"/>
      <c r="HP35" s="55"/>
      <c r="HQ35" s="55"/>
      <c r="HR35" s="55"/>
      <c r="HS35" s="55"/>
      <c r="HT35" s="55"/>
      <c r="HU35" s="55"/>
      <c r="HV35" s="55"/>
      <c r="HW35" s="55"/>
      <c r="HX35" s="55"/>
      <c r="HY35" s="55"/>
      <c r="HZ35" s="55"/>
      <c r="IA35" s="55"/>
      <c r="IB35" s="55"/>
      <c r="IC35" s="55"/>
      <c r="ID35" s="55"/>
    </row>
    <row r="36" s="52" customFormat="1" ht="39" customHeight="1" spans="1:238">
      <c r="A36" s="70"/>
      <c r="B36" s="70"/>
      <c r="C36" s="70"/>
      <c r="D36" s="72"/>
      <c r="E36" s="70"/>
      <c r="F36" s="70"/>
      <c r="G36" s="70"/>
      <c r="H36" s="80"/>
      <c r="I36" s="80"/>
      <c r="J36" s="86"/>
      <c r="K36" s="86"/>
      <c r="L36" s="86"/>
      <c r="M36" s="141"/>
      <c r="N36" s="141"/>
      <c r="O36" s="141"/>
      <c r="P36" s="64"/>
      <c r="Q36" s="64"/>
      <c r="R36" s="64"/>
      <c r="S36" s="86"/>
      <c r="T36" s="108"/>
      <c r="U36" s="105" t="s">
        <v>180</v>
      </c>
      <c r="V36" s="105">
        <v>310300012</v>
      </c>
      <c r="W36" s="106" t="s">
        <v>181</v>
      </c>
      <c r="X36" s="105"/>
      <c r="Y36" s="105"/>
      <c r="Z36" s="105" t="s">
        <v>36</v>
      </c>
      <c r="AA36" s="110" t="s">
        <v>35</v>
      </c>
      <c r="AB36" s="50">
        <v>8.4</v>
      </c>
      <c r="AC36" s="50">
        <v>8</v>
      </c>
      <c r="AD36" s="50">
        <v>6.8</v>
      </c>
      <c r="AE36" s="112" t="s">
        <v>37</v>
      </c>
      <c r="AF36" s="60"/>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55"/>
      <c r="CV36" s="55"/>
      <c r="CW36" s="55"/>
      <c r="CX36" s="55"/>
      <c r="CY36" s="55"/>
      <c r="CZ36" s="55"/>
      <c r="DA36" s="55"/>
      <c r="DB36" s="55"/>
      <c r="DC36" s="55"/>
      <c r="DD36" s="55"/>
      <c r="DE36" s="55"/>
      <c r="DF36" s="55"/>
      <c r="DG36" s="55"/>
      <c r="DH36" s="55"/>
      <c r="DI36" s="55"/>
      <c r="DJ36" s="55"/>
      <c r="DK36" s="55"/>
      <c r="DL36" s="55"/>
      <c r="DM36" s="55"/>
      <c r="DN36" s="55"/>
      <c r="DO36" s="55"/>
      <c r="DP36" s="55"/>
      <c r="DQ36" s="55"/>
      <c r="DR36" s="55"/>
      <c r="DS36" s="55"/>
      <c r="DT36" s="55"/>
      <c r="DU36" s="55"/>
      <c r="DV36" s="55"/>
      <c r="DW36" s="55"/>
      <c r="DX36" s="55"/>
      <c r="DY36" s="55"/>
      <c r="DZ36" s="55"/>
      <c r="EA36" s="55"/>
      <c r="EB36" s="55"/>
      <c r="EC36" s="55"/>
      <c r="ED36" s="55"/>
      <c r="EE36" s="55"/>
      <c r="EF36" s="55"/>
      <c r="EG36" s="55"/>
      <c r="EH36" s="55"/>
      <c r="EI36" s="55"/>
      <c r="EJ36" s="55"/>
      <c r="EK36" s="55"/>
      <c r="EL36" s="55"/>
      <c r="EM36" s="55"/>
      <c r="EN36" s="55"/>
      <c r="EO36" s="55"/>
      <c r="EP36" s="55"/>
      <c r="EQ36" s="55"/>
      <c r="ER36" s="55"/>
      <c r="ES36" s="55"/>
      <c r="ET36" s="55"/>
      <c r="EU36" s="55"/>
      <c r="EV36" s="55"/>
      <c r="EW36" s="55"/>
      <c r="EX36" s="55"/>
      <c r="EY36" s="55"/>
      <c r="EZ36" s="55"/>
      <c r="FA36" s="55"/>
      <c r="FB36" s="55"/>
      <c r="FC36" s="55"/>
      <c r="FD36" s="55"/>
      <c r="FE36" s="55"/>
      <c r="FF36" s="55"/>
      <c r="FG36" s="55"/>
      <c r="FH36" s="55"/>
      <c r="FI36" s="55"/>
      <c r="FJ36" s="55"/>
      <c r="FK36" s="55"/>
      <c r="FL36" s="55"/>
      <c r="FM36" s="55"/>
      <c r="FN36" s="55"/>
      <c r="FO36" s="55"/>
      <c r="FP36" s="55"/>
      <c r="FQ36" s="55"/>
      <c r="FR36" s="55"/>
      <c r="FS36" s="55"/>
      <c r="FT36" s="55"/>
      <c r="FU36" s="55"/>
      <c r="FV36" s="55"/>
      <c r="FW36" s="55"/>
      <c r="FX36" s="55"/>
      <c r="FY36" s="55"/>
      <c r="FZ36" s="55"/>
      <c r="GA36" s="55"/>
      <c r="GB36" s="55"/>
      <c r="GC36" s="55"/>
      <c r="GD36" s="55"/>
      <c r="GE36" s="55"/>
      <c r="GF36" s="55"/>
      <c r="GG36" s="55"/>
      <c r="GH36" s="55"/>
      <c r="GI36" s="55"/>
      <c r="GJ36" s="55"/>
      <c r="GK36" s="55"/>
      <c r="GL36" s="55"/>
      <c r="GM36" s="55"/>
      <c r="GN36" s="55"/>
      <c r="GO36" s="55"/>
      <c r="GP36" s="55"/>
      <c r="GQ36" s="55"/>
      <c r="GR36" s="55"/>
      <c r="GS36" s="55"/>
      <c r="GT36" s="55"/>
      <c r="GU36" s="55"/>
      <c r="GV36" s="55"/>
      <c r="GW36" s="55"/>
      <c r="GX36" s="55"/>
      <c r="GY36" s="55"/>
      <c r="GZ36" s="55"/>
      <c r="HA36" s="55"/>
      <c r="HB36" s="55"/>
      <c r="HC36" s="55"/>
      <c r="HD36" s="55"/>
      <c r="HE36" s="55"/>
      <c r="HF36" s="55"/>
      <c r="HG36" s="55"/>
      <c r="HH36" s="55"/>
      <c r="HI36" s="55"/>
      <c r="HJ36" s="55"/>
      <c r="HK36" s="55"/>
      <c r="HL36" s="55"/>
      <c r="HM36" s="55"/>
      <c r="HN36" s="55"/>
      <c r="HO36" s="55"/>
      <c r="HP36" s="55"/>
      <c r="HQ36" s="55"/>
      <c r="HR36" s="55"/>
      <c r="HS36" s="55"/>
      <c r="HT36" s="55"/>
      <c r="HU36" s="55"/>
      <c r="HV36" s="55"/>
      <c r="HW36" s="55"/>
      <c r="HX36" s="55"/>
      <c r="HY36" s="55"/>
      <c r="HZ36" s="55"/>
      <c r="IA36" s="55"/>
      <c r="IB36" s="55"/>
      <c r="IC36" s="55"/>
      <c r="ID36" s="55"/>
    </row>
    <row r="37" s="52" customFormat="1" ht="39" customHeight="1" spans="1:238">
      <c r="A37" s="73"/>
      <c r="B37" s="73"/>
      <c r="C37" s="73"/>
      <c r="D37" s="75"/>
      <c r="E37" s="73"/>
      <c r="F37" s="73"/>
      <c r="G37" s="73"/>
      <c r="H37" s="81"/>
      <c r="I37" s="81"/>
      <c r="J37" s="87"/>
      <c r="K37" s="87"/>
      <c r="L37" s="87"/>
      <c r="M37" s="142"/>
      <c r="N37" s="142"/>
      <c r="O37" s="142"/>
      <c r="P37" s="64"/>
      <c r="Q37" s="64"/>
      <c r="R37" s="64"/>
      <c r="S37" s="87"/>
      <c r="T37" s="109"/>
      <c r="U37" s="105" t="s">
        <v>182</v>
      </c>
      <c r="V37" s="105">
        <v>310300015</v>
      </c>
      <c r="W37" s="106" t="s">
        <v>183</v>
      </c>
      <c r="X37" s="105"/>
      <c r="Y37" s="105"/>
      <c r="Z37" s="105" t="s">
        <v>36</v>
      </c>
      <c r="AA37" s="110" t="s">
        <v>35</v>
      </c>
      <c r="AB37" s="50">
        <v>5.3</v>
      </c>
      <c r="AC37" s="50">
        <v>5</v>
      </c>
      <c r="AD37" s="50">
        <v>4.3</v>
      </c>
      <c r="AE37" s="112" t="s">
        <v>37</v>
      </c>
      <c r="AF37" s="60"/>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c r="CV37" s="55"/>
      <c r="CW37" s="55"/>
      <c r="CX37" s="55"/>
      <c r="CY37" s="55"/>
      <c r="CZ37" s="55"/>
      <c r="DA37" s="55"/>
      <c r="DB37" s="55"/>
      <c r="DC37" s="55"/>
      <c r="DD37" s="55"/>
      <c r="DE37" s="55"/>
      <c r="DF37" s="55"/>
      <c r="DG37" s="55"/>
      <c r="DH37" s="55"/>
      <c r="DI37" s="55"/>
      <c r="DJ37" s="55"/>
      <c r="DK37" s="55"/>
      <c r="DL37" s="55"/>
      <c r="DM37" s="55"/>
      <c r="DN37" s="55"/>
      <c r="DO37" s="55"/>
      <c r="DP37" s="55"/>
      <c r="DQ37" s="55"/>
      <c r="DR37" s="55"/>
      <c r="DS37" s="55"/>
      <c r="DT37" s="55"/>
      <c r="DU37" s="55"/>
      <c r="DV37" s="55"/>
      <c r="DW37" s="55"/>
      <c r="DX37" s="55"/>
      <c r="DY37" s="55"/>
      <c r="DZ37" s="55"/>
      <c r="EA37" s="55"/>
      <c r="EB37" s="55"/>
      <c r="EC37" s="55"/>
      <c r="ED37" s="55"/>
      <c r="EE37" s="55"/>
      <c r="EF37" s="55"/>
      <c r="EG37" s="55"/>
      <c r="EH37" s="55"/>
      <c r="EI37" s="55"/>
      <c r="EJ37" s="55"/>
      <c r="EK37" s="55"/>
      <c r="EL37" s="55"/>
      <c r="EM37" s="55"/>
      <c r="EN37" s="55"/>
      <c r="EO37" s="55"/>
      <c r="EP37" s="55"/>
      <c r="EQ37" s="55"/>
      <c r="ER37" s="55"/>
      <c r="ES37" s="55"/>
      <c r="ET37" s="55"/>
      <c r="EU37" s="55"/>
      <c r="EV37" s="55"/>
      <c r="EW37" s="55"/>
      <c r="EX37" s="55"/>
      <c r="EY37" s="55"/>
      <c r="EZ37" s="55"/>
      <c r="FA37" s="55"/>
      <c r="FB37" s="55"/>
      <c r="FC37" s="55"/>
      <c r="FD37" s="55"/>
      <c r="FE37" s="55"/>
      <c r="FF37" s="55"/>
      <c r="FG37" s="55"/>
      <c r="FH37" s="55"/>
      <c r="FI37" s="55"/>
      <c r="FJ37" s="55"/>
      <c r="FK37" s="55"/>
      <c r="FL37" s="55"/>
      <c r="FM37" s="55"/>
      <c r="FN37" s="55"/>
      <c r="FO37" s="55"/>
      <c r="FP37" s="55"/>
      <c r="FQ37" s="55"/>
      <c r="FR37" s="55"/>
      <c r="FS37" s="55"/>
      <c r="FT37" s="55"/>
      <c r="FU37" s="55"/>
      <c r="FV37" s="55"/>
      <c r="FW37" s="55"/>
      <c r="FX37" s="55"/>
      <c r="FY37" s="55"/>
      <c r="FZ37" s="55"/>
      <c r="GA37" s="55"/>
      <c r="GB37" s="55"/>
      <c r="GC37" s="55"/>
      <c r="GD37" s="55"/>
      <c r="GE37" s="55"/>
      <c r="GF37" s="55"/>
      <c r="GG37" s="55"/>
      <c r="GH37" s="55"/>
      <c r="GI37" s="55"/>
      <c r="GJ37" s="55"/>
      <c r="GK37" s="55"/>
      <c r="GL37" s="55"/>
      <c r="GM37" s="55"/>
      <c r="GN37" s="55"/>
      <c r="GO37" s="55"/>
      <c r="GP37" s="55"/>
      <c r="GQ37" s="55"/>
      <c r="GR37" s="55"/>
      <c r="GS37" s="55"/>
      <c r="GT37" s="55"/>
      <c r="GU37" s="55"/>
      <c r="GV37" s="55"/>
      <c r="GW37" s="55"/>
      <c r="GX37" s="55"/>
      <c r="GY37" s="55"/>
      <c r="GZ37" s="55"/>
      <c r="HA37" s="55"/>
      <c r="HB37" s="55"/>
      <c r="HC37" s="55"/>
      <c r="HD37" s="55"/>
      <c r="HE37" s="55"/>
      <c r="HF37" s="55"/>
      <c r="HG37" s="55"/>
      <c r="HH37" s="55"/>
      <c r="HI37" s="55"/>
      <c r="HJ37" s="55"/>
      <c r="HK37" s="55"/>
      <c r="HL37" s="55"/>
      <c r="HM37" s="55"/>
      <c r="HN37" s="55"/>
      <c r="HO37" s="55"/>
      <c r="HP37" s="55"/>
      <c r="HQ37" s="55"/>
      <c r="HR37" s="55"/>
      <c r="HS37" s="55"/>
      <c r="HT37" s="55"/>
      <c r="HU37" s="55"/>
      <c r="HV37" s="55"/>
      <c r="HW37" s="55"/>
      <c r="HX37" s="55"/>
      <c r="HY37" s="55"/>
      <c r="HZ37" s="55"/>
      <c r="IA37" s="55"/>
      <c r="IB37" s="55"/>
      <c r="IC37" s="55"/>
      <c r="ID37" s="55"/>
    </row>
    <row r="38" s="52" customFormat="1" ht="53" customHeight="1" spans="1:238">
      <c r="A38" s="64" t="s">
        <v>95</v>
      </c>
      <c r="B38" s="64" t="s">
        <v>184</v>
      </c>
      <c r="C38" s="64" t="s">
        <v>185</v>
      </c>
      <c r="D38" s="65"/>
      <c r="E38" s="77"/>
      <c r="F38" s="77" t="s">
        <v>35</v>
      </c>
      <c r="G38" s="64" t="s">
        <v>36</v>
      </c>
      <c r="H38" s="78">
        <v>2.4</v>
      </c>
      <c r="I38" s="78">
        <v>2.1</v>
      </c>
      <c r="J38" s="83"/>
      <c r="K38" s="83"/>
      <c r="L38" s="83"/>
      <c r="M38" s="41">
        <v>2.4</v>
      </c>
      <c r="N38" s="41">
        <v>2.1</v>
      </c>
      <c r="O38" s="41">
        <v>1.8</v>
      </c>
      <c r="P38" s="64" t="s">
        <v>37</v>
      </c>
      <c r="Q38" s="64" t="s">
        <v>35</v>
      </c>
      <c r="R38" s="64" t="s">
        <v>35</v>
      </c>
      <c r="S38" s="83"/>
      <c r="T38" s="77" t="s">
        <v>186</v>
      </c>
      <c r="U38" s="105"/>
      <c r="V38" s="105"/>
      <c r="W38" s="106"/>
      <c r="X38" s="105"/>
      <c r="Y38" s="105"/>
      <c r="Z38" s="105"/>
      <c r="AA38" s="110"/>
      <c r="AB38" s="50"/>
      <c r="AC38" s="50"/>
      <c r="AD38" s="50"/>
      <c r="AE38" s="112"/>
      <c r="AF38" s="60"/>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55"/>
      <c r="CV38" s="55"/>
      <c r="CW38" s="55"/>
      <c r="CX38" s="55"/>
      <c r="CY38" s="55"/>
      <c r="CZ38" s="55"/>
      <c r="DA38" s="55"/>
      <c r="DB38" s="55"/>
      <c r="DC38" s="55"/>
      <c r="DD38" s="55"/>
      <c r="DE38" s="55"/>
      <c r="DF38" s="55"/>
      <c r="DG38" s="55"/>
      <c r="DH38" s="55"/>
      <c r="DI38" s="55"/>
      <c r="DJ38" s="55"/>
      <c r="DK38" s="55"/>
      <c r="DL38" s="55"/>
      <c r="DM38" s="55"/>
      <c r="DN38" s="55"/>
      <c r="DO38" s="55"/>
      <c r="DP38" s="55"/>
      <c r="DQ38" s="55"/>
      <c r="DR38" s="55"/>
      <c r="DS38" s="55"/>
      <c r="DT38" s="55"/>
      <c r="DU38" s="55"/>
      <c r="DV38" s="55"/>
      <c r="DW38" s="55"/>
      <c r="DX38" s="55"/>
      <c r="DY38" s="55"/>
      <c r="DZ38" s="55"/>
      <c r="EA38" s="55"/>
      <c r="EB38" s="55"/>
      <c r="EC38" s="55"/>
      <c r="ED38" s="55"/>
      <c r="EE38" s="55"/>
      <c r="EF38" s="55"/>
      <c r="EG38" s="55"/>
      <c r="EH38" s="55"/>
      <c r="EI38" s="55"/>
      <c r="EJ38" s="55"/>
      <c r="EK38" s="55"/>
      <c r="EL38" s="55"/>
      <c r="EM38" s="55"/>
      <c r="EN38" s="55"/>
      <c r="EO38" s="55"/>
      <c r="EP38" s="55"/>
      <c r="EQ38" s="55"/>
      <c r="ER38" s="55"/>
      <c r="ES38" s="55"/>
      <c r="ET38" s="55"/>
      <c r="EU38" s="55"/>
      <c r="EV38" s="55"/>
      <c r="EW38" s="55"/>
      <c r="EX38" s="55"/>
      <c r="EY38" s="55"/>
      <c r="EZ38" s="55"/>
      <c r="FA38" s="55"/>
      <c r="FB38" s="55"/>
      <c r="FC38" s="55"/>
      <c r="FD38" s="55"/>
      <c r="FE38" s="55"/>
      <c r="FF38" s="55"/>
      <c r="FG38" s="55"/>
      <c r="FH38" s="55"/>
      <c r="FI38" s="55"/>
      <c r="FJ38" s="55"/>
      <c r="FK38" s="55"/>
      <c r="FL38" s="55"/>
      <c r="FM38" s="55"/>
      <c r="FN38" s="55"/>
      <c r="FO38" s="55"/>
      <c r="FP38" s="55"/>
      <c r="FQ38" s="55"/>
      <c r="FR38" s="55"/>
      <c r="FS38" s="55"/>
      <c r="FT38" s="55"/>
      <c r="FU38" s="55"/>
      <c r="FV38" s="55"/>
      <c r="FW38" s="55"/>
      <c r="FX38" s="55"/>
      <c r="FY38" s="55"/>
      <c r="FZ38" s="55"/>
      <c r="GA38" s="55"/>
      <c r="GB38" s="55"/>
      <c r="GC38" s="55"/>
      <c r="GD38" s="55"/>
      <c r="GE38" s="55"/>
      <c r="GF38" s="55"/>
      <c r="GG38" s="55"/>
      <c r="GH38" s="55"/>
      <c r="GI38" s="55"/>
      <c r="GJ38" s="55"/>
      <c r="GK38" s="55"/>
      <c r="GL38" s="55"/>
      <c r="GM38" s="55"/>
      <c r="GN38" s="55"/>
      <c r="GO38" s="55"/>
      <c r="GP38" s="55"/>
      <c r="GQ38" s="55"/>
      <c r="GR38" s="55"/>
      <c r="GS38" s="55"/>
      <c r="GT38" s="55"/>
      <c r="GU38" s="55"/>
      <c r="GV38" s="55"/>
      <c r="GW38" s="55"/>
      <c r="GX38" s="55"/>
      <c r="GY38" s="55"/>
      <c r="GZ38" s="55"/>
      <c r="HA38" s="55"/>
      <c r="HB38" s="55"/>
      <c r="HC38" s="55"/>
      <c r="HD38" s="55"/>
      <c r="HE38" s="55"/>
      <c r="HF38" s="55"/>
      <c r="HG38" s="55"/>
      <c r="HH38" s="55"/>
      <c r="HI38" s="55"/>
      <c r="HJ38" s="55"/>
      <c r="HK38" s="55"/>
      <c r="HL38" s="55"/>
      <c r="HM38" s="55"/>
      <c r="HN38" s="55"/>
      <c r="HO38" s="55"/>
      <c r="HP38" s="55"/>
      <c r="HQ38" s="55"/>
      <c r="HR38" s="55"/>
      <c r="HS38" s="55"/>
      <c r="HT38" s="55"/>
      <c r="HU38" s="55"/>
      <c r="HV38" s="55"/>
      <c r="HW38" s="55"/>
      <c r="HX38" s="55"/>
      <c r="HY38" s="55"/>
      <c r="HZ38" s="55"/>
      <c r="IA38" s="55"/>
      <c r="IB38" s="55"/>
      <c r="IC38" s="55"/>
      <c r="ID38" s="55"/>
    </row>
    <row r="39" s="55" customFormat="1" ht="25.5" spans="1:32">
      <c r="A39" s="64">
        <v>12</v>
      </c>
      <c r="B39" s="64" t="s">
        <v>187</v>
      </c>
      <c r="C39" s="64" t="s">
        <v>188</v>
      </c>
      <c r="D39" s="65" t="s">
        <v>189</v>
      </c>
      <c r="E39" s="77" t="s">
        <v>171</v>
      </c>
      <c r="F39" s="77" t="s">
        <v>190</v>
      </c>
      <c r="G39" s="64" t="s">
        <v>36</v>
      </c>
      <c r="H39" s="78">
        <v>9</v>
      </c>
      <c r="I39" s="78">
        <v>8</v>
      </c>
      <c r="J39" s="84">
        <v>8.92906392147474</v>
      </c>
      <c r="K39" s="84">
        <v>7.65413267115999</v>
      </c>
      <c r="L39" s="84">
        <v>6.79846186712241</v>
      </c>
      <c r="M39" s="41">
        <v>9</v>
      </c>
      <c r="N39" s="41">
        <v>8</v>
      </c>
      <c r="O39" s="41">
        <v>7</v>
      </c>
      <c r="P39" s="64" t="s">
        <v>37</v>
      </c>
      <c r="Q39" s="64" t="s">
        <v>35</v>
      </c>
      <c r="R39" s="64" t="s">
        <v>35</v>
      </c>
      <c r="S39" s="83" t="s">
        <v>191</v>
      </c>
      <c r="T39" s="77" t="s">
        <v>192</v>
      </c>
      <c r="U39" s="105" t="s">
        <v>193</v>
      </c>
      <c r="V39" s="105">
        <v>310300013</v>
      </c>
      <c r="W39" s="106" t="s">
        <v>194</v>
      </c>
      <c r="X39" s="105" t="s">
        <v>195</v>
      </c>
      <c r="Y39" s="105"/>
      <c r="Z39" s="105" t="s">
        <v>36</v>
      </c>
      <c r="AA39" s="110" t="s">
        <v>35</v>
      </c>
      <c r="AB39" s="50">
        <v>8.4</v>
      </c>
      <c r="AC39" s="50">
        <v>8</v>
      </c>
      <c r="AD39" s="50">
        <v>6.8</v>
      </c>
      <c r="AE39" s="112" t="s">
        <v>37</v>
      </c>
      <c r="AF39" s="60"/>
    </row>
    <row r="40" s="55" customFormat="1" ht="25.5" spans="1:32">
      <c r="A40" s="64"/>
      <c r="B40" s="64"/>
      <c r="C40" s="64"/>
      <c r="D40" s="65"/>
      <c r="E40" s="77"/>
      <c r="F40" s="77"/>
      <c r="G40" s="64"/>
      <c r="H40" s="42"/>
      <c r="I40" s="42"/>
      <c r="J40" s="84"/>
      <c r="K40" s="84"/>
      <c r="L40" s="84"/>
      <c r="M40" s="41"/>
      <c r="N40" s="41"/>
      <c r="O40" s="41"/>
      <c r="P40" s="64"/>
      <c r="Q40" s="64"/>
      <c r="R40" s="64"/>
      <c r="S40" s="83"/>
      <c r="T40" s="77"/>
      <c r="U40" s="105" t="s">
        <v>196</v>
      </c>
      <c r="V40" s="105">
        <v>310300014</v>
      </c>
      <c r="W40" s="106" t="s">
        <v>197</v>
      </c>
      <c r="X40" s="105"/>
      <c r="Y40" s="105"/>
      <c r="Z40" s="105" t="s">
        <v>36</v>
      </c>
      <c r="AA40" s="110" t="s">
        <v>35</v>
      </c>
      <c r="AB40" s="50">
        <v>10.5</v>
      </c>
      <c r="AC40" s="50">
        <v>10</v>
      </c>
      <c r="AD40" s="50">
        <v>8.5</v>
      </c>
      <c r="AE40" s="112" t="s">
        <v>37</v>
      </c>
      <c r="AF40" s="60"/>
    </row>
    <row r="41" s="55" customFormat="1" ht="25.5" spans="1:32">
      <c r="A41" s="64"/>
      <c r="B41" s="64"/>
      <c r="C41" s="64"/>
      <c r="D41" s="65"/>
      <c r="E41" s="77"/>
      <c r="F41" s="77"/>
      <c r="G41" s="64"/>
      <c r="H41" s="42"/>
      <c r="I41" s="42"/>
      <c r="J41" s="84"/>
      <c r="K41" s="84"/>
      <c r="L41" s="84"/>
      <c r="M41" s="41"/>
      <c r="N41" s="41"/>
      <c r="O41" s="41"/>
      <c r="P41" s="64"/>
      <c r="Q41" s="64"/>
      <c r="R41" s="64"/>
      <c r="S41" s="83"/>
      <c r="T41" s="77"/>
      <c r="U41" s="105" t="s">
        <v>198</v>
      </c>
      <c r="V41" s="105">
        <v>310300024</v>
      </c>
      <c r="W41" s="106" t="s">
        <v>199</v>
      </c>
      <c r="X41" s="105"/>
      <c r="Y41" s="105"/>
      <c r="Z41" s="105" t="s">
        <v>36</v>
      </c>
      <c r="AA41" s="110" t="s">
        <v>35</v>
      </c>
      <c r="AB41" s="50">
        <v>3.2</v>
      </c>
      <c r="AC41" s="50">
        <v>3</v>
      </c>
      <c r="AD41" s="50">
        <v>2.6</v>
      </c>
      <c r="AE41" s="112" t="s">
        <v>37</v>
      </c>
      <c r="AF41" s="60"/>
    </row>
    <row r="42" s="55" customFormat="1" ht="25.5" spans="1:32">
      <c r="A42" s="64"/>
      <c r="B42" s="64"/>
      <c r="C42" s="64"/>
      <c r="D42" s="65"/>
      <c r="E42" s="77"/>
      <c r="F42" s="77"/>
      <c r="G42" s="64"/>
      <c r="H42" s="42"/>
      <c r="I42" s="42"/>
      <c r="J42" s="84"/>
      <c r="K42" s="84"/>
      <c r="L42" s="84"/>
      <c r="M42" s="41"/>
      <c r="N42" s="41"/>
      <c r="O42" s="41"/>
      <c r="P42" s="64"/>
      <c r="Q42" s="64"/>
      <c r="R42" s="64"/>
      <c r="S42" s="83"/>
      <c r="T42" s="77"/>
      <c r="U42" s="105" t="s">
        <v>200</v>
      </c>
      <c r="V42" s="105">
        <v>310300072</v>
      </c>
      <c r="W42" s="106" t="s">
        <v>201</v>
      </c>
      <c r="X42" s="105"/>
      <c r="Y42" s="105"/>
      <c r="Z42" s="105" t="s">
        <v>36</v>
      </c>
      <c r="AA42" s="110" t="s">
        <v>35</v>
      </c>
      <c r="AB42" s="50">
        <v>5.3</v>
      </c>
      <c r="AC42" s="50">
        <v>5</v>
      </c>
      <c r="AD42" s="50">
        <v>4.3</v>
      </c>
      <c r="AE42" s="112" t="s">
        <v>37</v>
      </c>
      <c r="AF42" s="60"/>
    </row>
    <row r="43" s="55" customFormat="1" ht="36" customHeight="1" spans="1:32">
      <c r="A43" s="64" t="s">
        <v>95</v>
      </c>
      <c r="B43" s="64" t="s">
        <v>202</v>
      </c>
      <c r="C43" s="64" t="s">
        <v>203</v>
      </c>
      <c r="D43" s="65"/>
      <c r="E43" s="77"/>
      <c r="F43" s="77" t="s">
        <v>35</v>
      </c>
      <c r="G43" s="64" t="s">
        <v>36</v>
      </c>
      <c r="H43" s="78">
        <v>2.7</v>
      </c>
      <c r="I43" s="78">
        <v>2.4</v>
      </c>
      <c r="J43" s="83"/>
      <c r="K43" s="83"/>
      <c r="L43" s="83"/>
      <c r="M43" s="41">
        <v>2.7</v>
      </c>
      <c r="N43" s="41">
        <v>2.4</v>
      </c>
      <c r="O43" s="41">
        <v>2.1</v>
      </c>
      <c r="P43" s="64" t="s">
        <v>37</v>
      </c>
      <c r="Q43" s="64" t="s">
        <v>35</v>
      </c>
      <c r="R43" s="64" t="s">
        <v>35</v>
      </c>
      <c r="S43" s="83"/>
      <c r="T43" s="77"/>
      <c r="U43" s="105"/>
      <c r="V43" s="105"/>
      <c r="W43" s="106"/>
      <c r="X43" s="105"/>
      <c r="Y43" s="105"/>
      <c r="Z43" s="105"/>
      <c r="AA43" s="110"/>
      <c r="AB43" s="50"/>
      <c r="AC43" s="50"/>
      <c r="AD43" s="50"/>
      <c r="AE43" s="112"/>
      <c r="AF43" s="60"/>
    </row>
    <row r="44" s="55" customFormat="1" ht="72" customHeight="1" spans="1:32">
      <c r="A44" s="64">
        <v>13</v>
      </c>
      <c r="B44" s="64" t="s">
        <v>204</v>
      </c>
      <c r="C44" s="64" t="s">
        <v>205</v>
      </c>
      <c r="D44" s="65" t="s">
        <v>206</v>
      </c>
      <c r="E44" s="77" t="s">
        <v>207</v>
      </c>
      <c r="F44" s="77" t="s">
        <v>35</v>
      </c>
      <c r="G44" s="64" t="s">
        <v>110</v>
      </c>
      <c r="H44" s="78">
        <v>77</v>
      </c>
      <c r="I44" s="78">
        <v>69</v>
      </c>
      <c r="J44" s="83">
        <v>73.5</v>
      </c>
      <c r="K44" s="83">
        <v>70</v>
      </c>
      <c r="L44" s="83">
        <v>59.5</v>
      </c>
      <c r="M44" s="94">
        <v>74</v>
      </c>
      <c r="N44" s="94">
        <v>69</v>
      </c>
      <c r="O44" s="94">
        <v>60</v>
      </c>
      <c r="P44" s="64" t="s">
        <v>37</v>
      </c>
      <c r="Q44" s="64" t="s">
        <v>35</v>
      </c>
      <c r="R44" s="64" t="s">
        <v>35</v>
      </c>
      <c r="S44" s="83" t="s">
        <v>38</v>
      </c>
      <c r="T44" s="77" t="s">
        <v>208</v>
      </c>
      <c r="U44" s="105" t="s">
        <v>209</v>
      </c>
      <c r="V44" s="105">
        <v>310300040</v>
      </c>
      <c r="W44" s="106" t="s">
        <v>210</v>
      </c>
      <c r="X44" s="105"/>
      <c r="Y44" s="105"/>
      <c r="Z44" s="105" t="s">
        <v>71</v>
      </c>
      <c r="AA44" s="110" t="s">
        <v>35</v>
      </c>
      <c r="AB44" s="50">
        <v>73.5</v>
      </c>
      <c r="AC44" s="50">
        <v>70</v>
      </c>
      <c r="AD44" s="50">
        <v>59.5</v>
      </c>
      <c r="AE44" s="112" t="s">
        <v>37</v>
      </c>
      <c r="AF44" s="60"/>
    </row>
    <row r="45" s="55" customFormat="1" ht="60" customHeight="1" spans="1:32">
      <c r="A45" s="64" t="s">
        <v>95</v>
      </c>
      <c r="B45" s="64" t="s">
        <v>204</v>
      </c>
      <c r="C45" s="64" t="s">
        <v>211</v>
      </c>
      <c r="D45" s="65"/>
      <c r="E45" s="77"/>
      <c r="F45" s="77" t="s">
        <v>35</v>
      </c>
      <c r="G45" s="64" t="s">
        <v>110</v>
      </c>
      <c r="H45" s="78">
        <v>16.5</v>
      </c>
      <c r="I45" s="78">
        <v>15</v>
      </c>
      <c r="J45" s="83">
        <v>15.75</v>
      </c>
      <c r="K45" s="83">
        <v>15</v>
      </c>
      <c r="L45" s="83">
        <v>12.75</v>
      </c>
      <c r="M45" s="94">
        <v>16</v>
      </c>
      <c r="N45" s="94">
        <v>15</v>
      </c>
      <c r="O45" s="94">
        <v>13</v>
      </c>
      <c r="P45" s="64" t="s">
        <v>37</v>
      </c>
      <c r="Q45" s="64" t="s">
        <v>35</v>
      </c>
      <c r="R45" s="64" t="s">
        <v>35</v>
      </c>
      <c r="S45" s="83"/>
      <c r="T45" s="77" t="s">
        <v>212</v>
      </c>
      <c r="U45" s="105" t="s">
        <v>213</v>
      </c>
      <c r="V45" s="105">
        <v>310300042</v>
      </c>
      <c r="W45" s="106" t="s">
        <v>214</v>
      </c>
      <c r="X45" s="105" t="s">
        <v>215</v>
      </c>
      <c r="Y45" s="105"/>
      <c r="Z45" s="105" t="s">
        <v>36</v>
      </c>
      <c r="AA45" s="110" t="s">
        <v>35</v>
      </c>
      <c r="AB45" s="50">
        <v>31.5</v>
      </c>
      <c r="AC45" s="50">
        <v>30</v>
      </c>
      <c r="AD45" s="50">
        <v>25.5</v>
      </c>
      <c r="AE45" s="112" t="s">
        <v>37</v>
      </c>
      <c r="AF45" s="60"/>
    </row>
    <row r="46" s="55" customFormat="1" ht="62" customHeight="1" spans="1:32">
      <c r="A46" s="64">
        <v>14</v>
      </c>
      <c r="B46" s="64" t="s">
        <v>216</v>
      </c>
      <c r="C46" s="64" t="s">
        <v>217</v>
      </c>
      <c r="D46" s="65" t="s">
        <v>218</v>
      </c>
      <c r="E46" s="77" t="s">
        <v>219</v>
      </c>
      <c r="F46" s="77" t="s">
        <v>35</v>
      </c>
      <c r="G46" s="64" t="s">
        <v>110</v>
      </c>
      <c r="H46" s="78">
        <v>3</v>
      </c>
      <c r="I46" s="78">
        <v>2.5</v>
      </c>
      <c r="J46" s="83">
        <v>2.65</v>
      </c>
      <c r="K46" s="83">
        <v>2.5</v>
      </c>
      <c r="L46" s="83">
        <v>2.15</v>
      </c>
      <c r="M46" s="94">
        <v>3</v>
      </c>
      <c r="N46" s="41">
        <v>2.5</v>
      </c>
      <c r="O46" s="94">
        <v>2</v>
      </c>
      <c r="P46" s="64" t="s">
        <v>37</v>
      </c>
      <c r="Q46" s="64" t="s">
        <v>35</v>
      </c>
      <c r="R46" s="64" t="s">
        <v>35</v>
      </c>
      <c r="S46" s="83" t="s">
        <v>191</v>
      </c>
      <c r="T46" s="77" t="s">
        <v>220</v>
      </c>
      <c r="U46" s="105" t="s">
        <v>221</v>
      </c>
      <c r="V46" s="105">
        <v>310300039</v>
      </c>
      <c r="W46" s="106" t="s">
        <v>222</v>
      </c>
      <c r="X46" s="105"/>
      <c r="Y46" s="105"/>
      <c r="Z46" s="105" t="s">
        <v>36</v>
      </c>
      <c r="AA46" s="110" t="s">
        <v>35</v>
      </c>
      <c r="AB46" s="50">
        <v>5.3</v>
      </c>
      <c r="AC46" s="50">
        <v>5</v>
      </c>
      <c r="AD46" s="50">
        <v>4.3</v>
      </c>
      <c r="AE46" s="112" t="s">
        <v>37</v>
      </c>
      <c r="AF46" s="60"/>
    </row>
    <row r="47" s="52" customFormat="1" ht="25.5" spans="1:238">
      <c r="A47" s="64">
        <v>15</v>
      </c>
      <c r="B47" s="64" t="s">
        <v>223</v>
      </c>
      <c r="C47" s="64" t="s">
        <v>224</v>
      </c>
      <c r="D47" s="65" t="s">
        <v>225</v>
      </c>
      <c r="E47" s="77" t="s">
        <v>226</v>
      </c>
      <c r="F47" s="77" t="s">
        <v>227</v>
      </c>
      <c r="G47" s="64" t="s">
        <v>110</v>
      </c>
      <c r="H47" s="78">
        <v>22</v>
      </c>
      <c r="I47" s="78">
        <v>20</v>
      </c>
      <c r="J47" s="84">
        <v>20.4158751696065</v>
      </c>
      <c r="K47" s="84">
        <v>19.9620924943139</v>
      </c>
      <c r="L47" s="83">
        <v>8.5</v>
      </c>
      <c r="M47" s="41">
        <v>21</v>
      </c>
      <c r="N47" s="41">
        <v>20</v>
      </c>
      <c r="O47" s="41">
        <v>16</v>
      </c>
      <c r="P47" s="64" t="s">
        <v>37</v>
      </c>
      <c r="Q47" s="64" t="s">
        <v>35</v>
      </c>
      <c r="R47" s="64" t="s">
        <v>35</v>
      </c>
      <c r="S47" s="83" t="s">
        <v>191</v>
      </c>
      <c r="T47" s="77" t="s">
        <v>228</v>
      </c>
      <c r="U47" s="105" t="s">
        <v>229</v>
      </c>
      <c r="V47" s="105">
        <v>310300071</v>
      </c>
      <c r="W47" s="106" t="s">
        <v>230</v>
      </c>
      <c r="X47" s="105"/>
      <c r="Y47" s="105"/>
      <c r="Z47" s="105" t="s">
        <v>36</v>
      </c>
      <c r="AA47" s="110" t="s">
        <v>35</v>
      </c>
      <c r="AB47" s="50">
        <v>21</v>
      </c>
      <c r="AC47" s="50">
        <v>20</v>
      </c>
      <c r="AD47" s="50">
        <v>17</v>
      </c>
      <c r="AE47" s="112" t="s">
        <v>37</v>
      </c>
      <c r="AF47" s="60"/>
      <c r="AG47" s="55"/>
      <c r="AH47" s="55"/>
      <c r="AI47" s="55"/>
      <c r="AJ47" s="55"/>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55"/>
      <c r="CV47" s="55"/>
      <c r="CW47" s="55"/>
      <c r="CX47" s="55"/>
      <c r="CY47" s="55"/>
      <c r="CZ47" s="55"/>
      <c r="DA47" s="55"/>
      <c r="DB47" s="55"/>
      <c r="DC47" s="55"/>
      <c r="DD47" s="55"/>
      <c r="DE47" s="55"/>
      <c r="DF47" s="55"/>
      <c r="DG47" s="55"/>
      <c r="DH47" s="55"/>
      <c r="DI47" s="55"/>
      <c r="DJ47" s="55"/>
      <c r="DK47" s="55"/>
      <c r="DL47" s="55"/>
      <c r="DM47" s="55"/>
      <c r="DN47" s="55"/>
      <c r="DO47" s="55"/>
      <c r="DP47" s="55"/>
      <c r="DQ47" s="55"/>
      <c r="DR47" s="55"/>
      <c r="DS47" s="55"/>
      <c r="DT47" s="55"/>
      <c r="DU47" s="55"/>
      <c r="DV47" s="55"/>
      <c r="DW47" s="55"/>
      <c r="DX47" s="55"/>
      <c r="DY47" s="55"/>
      <c r="DZ47" s="55"/>
      <c r="EA47" s="55"/>
      <c r="EB47" s="55"/>
      <c r="EC47" s="55"/>
      <c r="ED47" s="55"/>
      <c r="EE47" s="55"/>
      <c r="EF47" s="55"/>
      <c r="EG47" s="55"/>
      <c r="EH47" s="55"/>
      <c r="EI47" s="55"/>
      <c r="EJ47" s="55"/>
      <c r="EK47" s="55"/>
      <c r="EL47" s="55"/>
      <c r="EM47" s="55"/>
      <c r="EN47" s="55"/>
      <c r="EO47" s="55"/>
      <c r="EP47" s="55"/>
      <c r="EQ47" s="55"/>
      <c r="ER47" s="55"/>
      <c r="ES47" s="55"/>
      <c r="ET47" s="55"/>
      <c r="EU47" s="55"/>
      <c r="EV47" s="55"/>
      <c r="EW47" s="55"/>
      <c r="EX47" s="55"/>
      <c r="EY47" s="55"/>
      <c r="EZ47" s="55"/>
      <c r="FA47" s="55"/>
      <c r="FB47" s="55"/>
      <c r="FC47" s="55"/>
      <c r="FD47" s="55"/>
      <c r="FE47" s="55"/>
      <c r="FF47" s="55"/>
      <c r="FG47" s="55"/>
      <c r="FH47" s="55"/>
      <c r="FI47" s="55"/>
      <c r="FJ47" s="55"/>
      <c r="FK47" s="55"/>
      <c r="FL47" s="55"/>
      <c r="FM47" s="55"/>
      <c r="FN47" s="55"/>
      <c r="FO47" s="55"/>
      <c r="FP47" s="55"/>
      <c r="FQ47" s="55"/>
      <c r="FR47" s="55"/>
      <c r="FS47" s="55"/>
      <c r="FT47" s="55"/>
      <c r="FU47" s="55"/>
      <c r="FV47" s="55"/>
      <c r="FW47" s="55"/>
      <c r="FX47" s="55"/>
      <c r="FY47" s="55"/>
      <c r="FZ47" s="55"/>
      <c r="GA47" s="55"/>
      <c r="GB47" s="55"/>
      <c r="GC47" s="55"/>
      <c r="GD47" s="55"/>
      <c r="GE47" s="55"/>
      <c r="GF47" s="55"/>
      <c r="GG47" s="55"/>
      <c r="GH47" s="55"/>
      <c r="GI47" s="55"/>
      <c r="GJ47" s="55"/>
      <c r="GK47" s="55"/>
      <c r="GL47" s="55"/>
      <c r="GM47" s="55"/>
      <c r="GN47" s="55"/>
      <c r="GO47" s="55"/>
      <c r="GP47" s="55"/>
      <c r="GQ47" s="55"/>
      <c r="GR47" s="55"/>
      <c r="GS47" s="55"/>
      <c r="GT47" s="55"/>
      <c r="GU47" s="55"/>
      <c r="GV47" s="55"/>
      <c r="GW47" s="55"/>
      <c r="GX47" s="55"/>
      <c r="GY47" s="55"/>
      <c r="GZ47" s="55"/>
      <c r="HA47" s="55"/>
      <c r="HB47" s="55"/>
      <c r="HC47" s="55"/>
      <c r="HD47" s="55"/>
      <c r="HE47" s="55"/>
      <c r="HF47" s="55"/>
      <c r="HG47" s="55"/>
      <c r="HH47" s="55"/>
      <c r="HI47" s="55"/>
      <c r="HJ47" s="55"/>
      <c r="HK47" s="55"/>
      <c r="HL47" s="55"/>
      <c r="HM47" s="55"/>
      <c r="HN47" s="55"/>
      <c r="HO47" s="55"/>
      <c r="HP47" s="55"/>
      <c r="HQ47" s="55"/>
      <c r="HR47" s="55"/>
      <c r="HS47" s="55"/>
      <c r="HT47" s="55"/>
      <c r="HU47" s="55"/>
      <c r="HV47" s="55"/>
      <c r="HW47" s="55"/>
      <c r="HX47" s="55"/>
      <c r="HY47" s="55"/>
      <c r="HZ47" s="55"/>
      <c r="IA47" s="55"/>
      <c r="IB47" s="55"/>
      <c r="IC47" s="55"/>
      <c r="ID47" s="55"/>
    </row>
    <row r="48" s="52" customFormat="1" ht="25.5" spans="1:238">
      <c r="A48" s="64"/>
      <c r="B48" s="64"/>
      <c r="C48" s="64"/>
      <c r="D48" s="65"/>
      <c r="E48" s="77"/>
      <c r="F48" s="77"/>
      <c r="G48" s="64"/>
      <c r="H48" s="42"/>
      <c r="I48" s="42"/>
      <c r="J48" s="84"/>
      <c r="K48" s="84"/>
      <c r="L48" s="83"/>
      <c r="M48" s="41"/>
      <c r="N48" s="41"/>
      <c r="O48" s="41"/>
      <c r="P48" s="64"/>
      <c r="Q48" s="64"/>
      <c r="R48" s="64"/>
      <c r="S48" s="83"/>
      <c r="T48" s="77"/>
      <c r="U48" s="105" t="s">
        <v>231</v>
      </c>
      <c r="V48" s="105">
        <v>310300076</v>
      </c>
      <c r="W48" s="106" t="s">
        <v>232</v>
      </c>
      <c r="X48" s="105" t="s">
        <v>233</v>
      </c>
      <c r="Y48" s="105"/>
      <c r="Z48" s="105" t="s">
        <v>36</v>
      </c>
      <c r="AA48" s="110" t="s">
        <v>35</v>
      </c>
      <c r="AB48" s="50">
        <v>10.5</v>
      </c>
      <c r="AC48" s="50">
        <v>10</v>
      </c>
      <c r="AD48" s="50">
        <v>8.5</v>
      </c>
      <c r="AE48" s="112" t="s">
        <v>37</v>
      </c>
      <c r="AF48" s="60"/>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55"/>
      <c r="CV48" s="55"/>
      <c r="CW48" s="55"/>
      <c r="CX48" s="55"/>
      <c r="CY48" s="55"/>
      <c r="CZ48" s="55"/>
      <c r="DA48" s="55"/>
      <c r="DB48" s="55"/>
      <c r="DC48" s="55"/>
      <c r="DD48" s="55"/>
      <c r="DE48" s="55"/>
      <c r="DF48" s="55"/>
      <c r="DG48" s="55"/>
      <c r="DH48" s="55"/>
      <c r="DI48" s="55"/>
      <c r="DJ48" s="55"/>
      <c r="DK48" s="55"/>
      <c r="DL48" s="55"/>
      <c r="DM48" s="55"/>
      <c r="DN48" s="55"/>
      <c r="DO48" s="55"/>
      <c r="DP48" s="55"/>
      <c r="DQ48" s="55"/>
      <c r="DR48" s="55"/>
      <c r="DS48" s="55"/>
      <c r="DT48" s="55"/>
      <c r="DU48" s="55"/>
      <c r="DV48" s="55"/>
      <c r="DW48" s="55"/>
      <c r="DX48" s="55"/>
      <c r="DY48" s="55"/>
      <c r="DZ48" s="55"/>
      <c r="EA48" s="55"/>
      <c r="EB48" s="55"/>
      <c r="EC48" s="55"/>
      <c r="ED48" s="55"/>
      <c r="EE48" s="55"/>
      <c r="EF48" s="55"/>
      <c r="EG48" s="55"/>
      <c r="EH48" s="55"/>
      <c r="EI48" s="55"/>
      <c r="EJ48" s="55"/>
      <c r="EK48" s="55"/>
      <c r="EL48" s="55"/>
      <c r="EM48" s="55"/>
      <c r="EN48" s="55"/>
      <c r="EO48" s="55"/>
      <c r="EP48" s="55"/>
      <c r="EQ48" s="55"/>
      <c r="ER48" s="55"/>
      <c r="ES48" s="55"/>
      <c r="ET48" s="55"/>
      <c r="EU48" s="55"/>
      <c r="EV48" s="55"/>
      <c r="EW48" s="55"/>
      <c r="EX48" s="55"/>
      <c r="EY48" s="55"/>
      <c r="EZ48" s="55"/>
      <c r="FA48" s="55"/>
      <c r="FB48" s="55"/>
      <c r="FC48" s="55"/>
      <c r="FD48" s="55"/>
      <c r="FE48" s="55"/>
      <c r="FF48" s="55"/>
      <c r="FG48" s="55"/>
      <c r="FH48" s="55"/>
      <c r="FI48" s="55"/>
      <c r="FJ48" s="55"/>
      <c r="FK48" s="55"/>
      <c r="FL48" s="55"/>
      <c r="FM48" s="55"/>
      <c r="FN48" s="55"/>
      <c r="FO48" s="55"/>
      <c r="FP48" s="55"/>
      <c r="FQ48" s="55"/>
      <c r="FR48" s="55"/>
      <c r="FS48" s="55"/>
      <c r="FT48" s="55"/>
      <c r="FU48" s="55"/>
      <c r="FV48" s="55"/>
      <c r="FW48" s="55"/>
      <c r="FX48" s="55"/>
      <c r="FY48" s="55"/>
      <c r="FZ48" s="55"/>
      <c r="GA48" s="55"/>
      <c r="GB48" s="55"/>
      <c r="GC48" s="55"/>
      <c r="GD48" s="55"/>
      <c r="GE48" s="55"/>
      <c r="GF48" s="55"/>
      <c r="GG48" s="55"/>
      <c r="GH48" s="55"/>
      <c r="GI48" s="55"/>
      <c r="GJ48" s="55"/>
      <c r="GK48" s="55"/>
      <c r="GL48" s="55"/>
      <c r="GM48" s="55"/>
      <c r="GN48" s="55"/>
      <c r="GO48" s="55"/>
      <c r="GP48" s="55"/>
      <c r="GQ48" s="55"/>
      <c r="GR48" s="55"/>
      <c r="GS48" s="55"/>
      <c r="GT48" s="55"/>
      <c r="GU48" s="55"/>
      <c r="GV48" s="55"/>
      <c r="GW48" s="55"/>
      <c r="GX48" s="55"/>
      <c r="GY48" s="55"/>
      <c r="GZ48" s="55"/>
      <c r="HA48" s="55"/>
      <c r="HB48" s="55"/>
      <c r="HC48" s="55"/>
      <c r="HD48" s="55"/>
      <c r="HE48" s="55"/>
      <c r="HF48" s="55"/>
      <c r="HG48" s="55"/>
      <c r="HH48" s="55"/>
      <c r="HI48" s="55"/>
      <c r="HJ48" s="55"/>
      <c r="HK48" s="55"/>
      <c r="HL48" s="55"/>
      <c r="HM48" s="55"/>
      <c r="HN48" s="55"/>
      <c r="HO48" s="55"/>
      <c r="HP48" s="55"/>
      <c r="HQ48" s="55"/>
      <c r="HR48" s="55"/>
      <c r="HS48" s="55"/>
      <c r="HT48" s="55"/>
      <c r="HU48" s="55"/>
      <c r="HV48" s="55"/>
      <c r="HW48" s="55"/>
      <c r="HX48" s="55"/>
      <c r="HY48" s="55"/>
      <c r="HZ48" s="55"/>
      <c r="IA48" s="55"/>
      <c r="IB48" s="55"/>
      <c r="IC48" s="55"/>
      <c r="ID48" s="55"/>
    </row>
    <row r="49" s="52" customFormat="1" ht="25.5" spans="1:238">
      <c r="A49" s="64"/>
      <c r="B49" s="64"/>
      <c r="C49" s="64"/>
      <c r="D49" s="65"/>
      <c r="E49" s="77"/>
      <c r="F49" s="77"/>
      <c r="G49" s="64"/>
      <c r="H49" s="42"/>
      <c r="I49" s="42"/>
      <c r="J49" s="84"/>
      <c r="K49" s="84"/>
      <c r="L49" s="83"/>
      <c r="M49" s="41"/>
      <c r="N49" s="41"/>
      <c r="O49" s="41"/>
      <c r="P49" s="64"/>
      <c r="Q49" s="64"/>
      <c r="R49" s="64"/>
      <c r="S49" s="83"/>
      <c r="T49" s="77"/>
      <c r="U49" s="105" t="s">
        <v>234</v>
      </c>
      <c r="V49" s="105">
        <v>310300077</v>
      </c>
      <c r="W49" s="106" t="s">
        <v>235</v>
      </c>
      <c r="X49" s="105" t="s">
        <v>233</v>
      </c>
      <c r="Y49" s="105"/>
      <c r="Z49" s="105" t="s">
        <v>36</v>
      </c>
      <c r="AA49" s="110" t="s">
        <v>35</v>
      </c>
      <c r="AB49" s="50">
        <v>10.5</v>
      </c>
      <c r="AC49" s="50">
        <v>10</v>
      </c>
      <c r="AD49" s="50">
        <v>8.5</v>
      </c>
      <c r="AE49" s="112" t="s">
        <v>37</v>
      </c>
      <c r="AF49" s="60"/>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55"/>
      <c r="CV49" s="55"/>
      <c r="CW49" s="55"/>
      <c r="CX49" s="55"/>
      <c r="CY49" s="55"/>
      <c r="CZ49" s="55"/>
      <c r="DA49" s="55"/>
      <c r="DB49" s="55"/>
      <c r="DC49" s="55"/>
      <c r="DD49" s="55"/>
      <c r="DE49" s="55"/>
      <c r="DF49" s="55"/>
      <c r="DG49" s="55"/>
      <c r="DH49" s="55"/>
      <c r="DI49" s="55"/>
      <c r="DJ49" s="55"/>
      <c r="DK49" s="55"/>
      <c r="DL49" s="55"/>
      <c r="DM49" s="55"/>
      <c r="DN49" s="55"/>
      <c r="DO49" s="55"/>
      <c r="DP49" s="55"/>
      <c r="DQ49" s="55"/>
      <c r="DR49" s="55"/>
      <c r="DS49" s="55"/>
      <c r="DT49" s="55"/>
      <c r="DU49" s="55"/>
      <c r="DV49" s="55"/>
      <c r="DW49" s="55"/>
      <c r="DX49" s="55"/>
      <c r="DY49" s="55"/>
      <c r="DZ49" s="55"/>
      <c r="EA49" s="55"/>
      <c r="EB49" s="55"/>
      <c r="EC49" s="55"/>
      <c r="ED49" s="55"/>
      <c r="EE49" s="55"/>
      <c r="EF49" s="55"/>
      <c r="EG49" s="55"/>
      <c r="EH49" s="55"/>
      <c r="EI49" s="55"/>
      <c r="EJ49" s="55"/>
      <c r="EK49" s="55"/>
      <c r="EL49" s="55"/>
      <c r="EM49" s="55"/>
      <c r="EN49" s="55"/>
      <c r="EO49" s="55"/>
      <c r="EP49" s="55"/>
      <c r="EQ49" s="55"/>
      <c r="ER49" s="55"/>
      <c r="ES49" s="55"/>
      <c r="ET49" s="55"/>
      <c r="EU49" s="55"/>
      <c r="EV49" s="55"/>
      <c r="EW49" s="55"/>
      <c r="EX49" s="55"/>
      <c r="EY49" s="55"/>
      <c r="EZ49" s="55"/>
      <c r="FA49" s="55"/>
      <c r="FB49" s="55"/>
      <c r="FC49" s="55"/>
      <c r="FD49" s="55"/>
      <c r="FE49" s="55"/>
      <c r="FF49" s="55"/>
      <c r="FG49" s="55"/>
      <c r="FH49" s="55"/>
      <c r="FI49" s="55"/>
      <c r="FJ49" s="55"/>
      <c r="FK49" s="55"/>
      <c r="FL49" s="55"/>
      <c r="FM49" s="55"/>
      <c r="FN49" s="55"/>
      <c r="FO49" s="55"/>
      <c r="FP49" s="55"/>
      <c r="FQ49" s="55"/>
      <c r="FR49" s="55"/>
      <c r="FS49" s="55"/>
      <c r="FT49" s="55"/>
      <c r="FU49" s="55"/>
      <c r="FV49" s="55"/>
      <c r="FW49" s="55"/>
      <c r="FX49" s="55"/>
      <c r="FY49" s="55"/>
      <c r="FZ49" s="55"/>
      <c r="GA49" s="55"/>
      <c r="GB49" s="55"/>
      <c r="GC49" s="55"/>
      <c r="GD49" s="55"/>
      <c r="GE49" s="55"/>
      <c r="GF49" s="55"/>
      <c r="GG49" s="55"/>
      <c r="GH49" s="55"/>
      <c r="GI49" s="55"/>
      <c r="GJ49" s="55"/>
      <c r="GK49" s="55"/>
      <c r="GL49" s="55"/>
      <c r="GM49" s="55"/>
      <c r="GN49" s="55"/>
      <c r="GO49" s="55"/>
      <c r="GP49" s="55"/>
      <c r="GQ49" s="55"/>
      <c r="GR49" s="55"/>
      <c r="GS49" s="55"/>
      <c r="GT49" s="55"/>
      <c r="GU49" s="55"/>
      <c r="GV49" s="55"/>
      <c r="GW49" s="55"/>
      <c r="GX49" s="55"/>
      <c r="GY49" s="55"/>
      <c r="GZ49" s="55"/>
      <c r="HA49" s="55"/>
      <c r="HB49" s="55"/>
      <c r="HC49" s="55"/>
      <c r="HD49" s="55"/>
      <c r="HE49" s="55"/>
      <c r="HF49" s="55"/>
      <c r="HG49" s="55"/>
      <c r="HH49" s="55"/>
      <c r="HI49" s="55"/>
      <c r="HJ49" s="55"/>
      <c r="HK49" s="55"/>
      <c r="HL49" s="55"/>
      <c r="HM49" s="55"/>
      <c r="HN49" s="55"/>
      <c r="HO49" s="55"/>
      <c r="HP49" s="55"/>
      <c r="HQ49" s="55"/>
      <c r="HR49" s="55"/>
      <c r="HS49" s="55"/>
      <c r="HT49" s="55"/>
      <c r="HU49" s="55"/>
      <c r="HV49" s="55"/>
      <c r="HW49" s="55"/>
      <c r="HX49" s="55"/>
      <c r="HY49" s="55"/>
      <c r="HZ49" s="55"/>
      <c r="IA49" s="55"/>
      <c r="IB49" s="55"/>
      <c r="IC49" s="55"/>
      <c r="ID49" s="55"/>
    </row>
    <row r="50" s="55" customFormat="1" ht="25.5" spans="1:32">
      <c r="A50" s="64">
        <v>16</v>
      </c>
      <c r="B50" s="64" t="s">
        <v>236</v>
      </c>
      <c r="C50" s="64" t="s">
        <v>237</v>
      </c>
      <c r="D50" s="65" t="s">
        <v>238</v>
      </c>
      <c r="E50" s="77" t="s">
        <v>207</v>
      </c>
      <c r="F50" s="77" t="s">
        <v>239</v>
      </c>
      <c r="G50" s="64" t="s">
        <v>110</v>
      </c>
      <c r="H50" s="78">
        <v>55</v>
      </c>
      <c r="I50" s="78">
        <v>50</v>
      </c>
      <c r="J50" s="84">
        <v>52.5308949167023</v>
      </c>
      <c r="K50" s="84">
        <v>60.8243967828418</v>
      </c>
      <c r="L50" s="83">
        <v>42.5</v>
      </c>
      <c r="M50" s="41">
        <v>53</v>
      </c>
      <c r="N50" s="41">
        <v>50</v>
      </c>
      <c r="O50" s="41">
        <v>43</v>
      </c>
      <c r="P50" s="64" t="s">
        <v>37</v>
      </c>
      <c r="Q50" s="64" t="s">
        <v>35</v>
      </c>
      <c r="R50" s="64" t="s">
        <v>35</v>
      </c>
      <c r="S50" s="83" t="s">
        <v>38</v>
      </c>
      <c r="T50" s="77" t="s">
        <v>240</v>
      </c>
      <c r="U50" s="105" t="s">
        <v>241</v>
      </c>
      <c r="V50" s="105">
        <v>310300041</v>
      </c>
      <c r="W50" s="106" t="s">
        <v>242</v>
      </c>
      <c r="X50" s="105"/>
      <c r="Y50" s="105"/>
      <c r="Z50" s="105" t="s">
        <v>71</v>
      </c>
      <c r="AA50" s="110" t="s">
        <v>243</v>
      </c>
      <c r="AB50" s="50">
        <v>52.5</v>
      </c>
      <c r="AC50" s="50">
        <v>50</v>
      </c>
      <c r="AD50" s="50">
        <v>42.5</v>
      </c>
      <c r="AE50" s="112" t="s">
        <v>37</v>
      </c>
      <c r="AF50" s="60"/>
    </row>
    <row r="51" s="55" customFormat="1" ht="25.5" spans="1:32">
      <c r="A51" s="64"/>
      <c r="B51" s="64"/>
      <c r="C51" s="64"/>
      <c r="D51" s="65"/>
      <c r="E51" s="77"/>
      <c r="F51" s="77"/>
      <c r="G51" s="64"/>
      <c r="H51" s="42"/>
      <c r="I51" s="42"/>
      <c r="J51" s="84"/>
      <c r="K51" s="84"/>
      <c r="L51" s="83"/>
      <c r="M51" s="41"/>
      <c r="N51" s="41"/>
      <c r="O51" s="41"/>
      <c r="P51" s="64"/>
      <c r="Q51" s="64"/>
      <c r="R51" s="64"/>
      <c r="S51" s="83"/>
      <c r="T51" s="77"/>
      <c r="U51" s="105" t="s">
        <v>244</v>
      </c>
      <c r="V51" s="105">
        <v>31030004101</v>
      </c>
      <c r="W51" s="106" t="s">
        <v>245</v>
      </c>
      <c r="X51" s="105"/>
      <c r="Y51" s="105"/>
      <c r="Z51" s="105" t="s">
        <v>71</v>
      </c>
      <c r="AA51" s="110" t="s">
        <v>246</v>
      </c>
      <c r="AB51" s="50">
        <v>78.8</v>
      </c>
      <c r="AC51" s="50">
        <v>75</v>
      </c>
      <c r="AD51" s="50">
        <v>63.8</v>
      </c>
      <c r="AE51" s="112" t="s">
        <v>37</v>
      </c>
      <c r="AF51" s="60"/>
    </row>
    <row r="52" s="55" customFormat="1" ht="25.5" spans="1:32">
      <c r="A52" s="64"/>
      <c r="B52" s="64"/>
      <c r="C52" s="64"/>
      <c r="D52" s="65"/>
      <c r="E52" s="77"/>
      <c r="F52" s="77"/>
      <c r="G52" s="64"/>
      <c r="H52" s="42"/>
      <c r="I52" s="42"/>
      <c r="J52" s="84"/>
      <c r="K52" s="84"/>
      <c r="L52" s="83"/>
      <c r="M52" s="41"/>
      <c r="N52" s="41"/>
      <c r="O52" s="41"/>
      <c r="P52" s="64"/>
      <c r="Q52" s="64"/>
      <c r="R52" s="64"/>
      <c r="S52" s="83"/>
      <c r="T52" s="77"/>
      <c r="U52" s="105" t="s">
        <v>247</v>
      </c>
      <c r="V52" s="105">
        <v>310300075</v>
      </c>
      <c r="W52" s="106" t="s">
        <v>248</v>
      </c>
      <c r="X52" s="105"/>
      <c r="Y52" s="105"/>
      <c r="Z52" s="105" t="s">
        <v>36</v>
      </c>
      <c r="AA52" s="110" t="s">
        <v>35</v>
      </c>
      <c r="AB52" s="50">
        <v>52.5</v>
      </c>
      <c r="AC52" s="50">
        <v>50</v>
      </c>
      <c r="AD52" s="50">
        <v>42.5</v>
      </c>
      <c r="AE52" s="112" t="s">
        <v>37</v>
      </c>
      <c r="AF52" s="60"/>
    </row>
    <row r="53" s="52" customFormat="1" ht="77" customHeight="1" spans="1:238">
      <c r="A53" s="64">
        <v>17</v>
      </c>
      <c r="B53" s="64" t="s">
        <v>249</v>
      </c>
      <c r="C53" s="64" t="s">
        <v>250</v>
      </c>
      <c r="D53" s="65" t="s">
        <v>251</v>
      </c>
      <c r="E53" s="77" t="s">
        <v>252</v>
      </c>
      <c r="F53" s="77" t="s">
        <v>35</v>
      </c>
      <c r="G53" s="64" t="s">
        <v>110</v>
      </c>
      <c r="H53" s="78">
        <v>8</v>
      </c>
      <c r="I53" s="78">
        <v>7</v>
      </c>
      <c r="J53" s="83">
        <v>8.4</v>
      </c>
      <c r="K53" s="83">
        <v>8</v>
      </c>
      <c r="L53" s="83">
        <v>6.8</v>
      </c>
      <c r="M53" s="94">
        <v>8</v>
      </c>
      <c r="N53" s="94">
        <v>7</v>
      </c>
      <c r="O53" s="94">
        <v>6</v>
      </c>
      <c r="P53" s="64" t="s">
        <v>37</v>
      </c>
      <c r="Q53" s="64" t="s">
        <v>35</v>
      </c>
      <c r="R53" s="64" t="s">
        <v>35</v>
      </c>
      <c r="S53" s="83" t="s">
        <v>38</v>
      </c>
      <c r="T53" s="77" t="s">
        <v>132</v>
      </c>
      <c r="U53" s="105" t="s">
        <v>253</v>
      </c>
      <c r="V53" s="105">
        <v>310300018</v>
      </c>
      <c r="W53" s="106" t="s">
        <v>254</v>
      </c>
      <c r="X53" s="105" t="s">
        <v>255</v>
      </c>
      <c r="Y53" s="105"/>
      <c r="Z53" s="105" t="s">
        <v>36</v>
      </c>
      <c r="AA53" s="110" t="s">
        <v>35</v>
      </c>
      <c r="AB53" s="50">
        <v>8.4</v>
      </c>
      <c r="AC53" s="50">
        <v>8</v>
      </c>
      <c r="AD53" s="50">
        <v>6.8</v>
      </c>
      <c r="AE53" s="112" t="s">
        <v>37</v>
      </c>
      <c r="AF53" s="60"/>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55"/>
      <c r="CV53" s="55"/>
      <c r="CW53" s="55"/>
      <c r="CX53" s="55"/>
      <c r="CY53" s="55"/>
      <c r="CZ53" s="55"/>
      <c r="DA53" s="55"/>
      <c r="DB53" s="55"/>
      <c r="DC53" s="55"/>
      <c r="DD53" s="55"/>
      <c r="DE53" s="55"/>
      <c r="DF53" s="55"/>
      <c r="DG53" s="55"/>
      <c r="DH53" s="55"/>
      <c r="DI53" s="55"/>
      <c r="DJ53" s="55"/>
      <c r="DK53" s="55"/>
      <c r="DL53" s="55"/>
      <c r="DM53" s="55"/>
      <c r="DN53" s="55"/>
      <c r="DO53" s="55"/>
      <c r="DP53" s="55"/>
      <c r="DQ53" s="55"/>
      <c r="DR53" s="55"/>
      <c r="DS53" s="55"/>
      <c r="DT53" s="55"/>
      <c r="DU53" s="55"/>
      <c r="DV53" s="55"/>
      <c r="DW53" s="55"/>
      <c r="DX53" s="55"/>
      <c r="DY53" s="55"/>
      <c r="DZ53" s="55"/>
      <c r="EA53" s="55"/>
      <c r="EB53" s="55"/>
      <c r="EC53" s="55"/>
      <c r="ED53" s="55"/>
      <c r="EE53" s="55"/>
      <c r="EF53" s="55"/>
      <c r="EG53" s="55"/>
      <c r="EH53" s="55"/>
      <c r="EI53" s="55"/>
      <c r="EJ53" s="55"/>
      <c r="EK53" s="55"/>
      <c r="EL53" s="55"/>
      <c r="EM53" s="55"/>
      <c r="EN53" s="55"/>
      <c r="EO53" s="55"/>
      <c r="EP53" s="55"/>
      <c r="EQ53" s="55"/>
      <c r="ER53" s="55"/>
      <c r="ES53" s="55"/>
      <c r="ET53" s="55"/>
      <c r="EU53" s="55"/>
      <c r="EV53" s="55"/>
      <c r="EW53" s="55"/>
      <c r="EX53" s="55"/>
      <c r="EY53" s="55"/>
      <c r="EZ53" s="55"/>
      <c r="FA53" s="55"/>
      <c r="FB53" s="55"/>
      <c r="FC53" s="55"/>
      <c r="FD53" s="55"/>
      <c r="FE53" s="55"/>
      <c r="FF53" s="55"/>
      <c r="FG53" s="55"/>
      <c r="FH53" s="55"/>
      <c r="FI53" s="55"/>
      <c r="FJ53" s="55"/>
      <c r="FK53" s="55"/>
      <c r="FL53" s="55"/>
      <c r="FM53" s="55"/>
      <c r="FN53" s="55"/>
      <c r="FO53" s="55"/>
      <c r="FP53" s="55"/>
      <c r="FQ53" s="55"/>
      <c r="FR53" s="55"/>
      <c r="FS53" s="55"/>
      <c r="FT53" s="55"/>
      <c r="FU53" s="55"/>
      <c r="FV53" s="55"/>
      <c r="FW53" s="55"/>
      <c r="FX53" s="55"/>
      <c r="FY53" s="55"/>
      <c r="FZ53" s="55"/>
      <c r="GA53" s="55"/>
      <c r="GB53" s="55"/>
      <c r="GC53" s="55"/>
      <c r="GD53" s="55"/>
      <c r="GE53" s="55"/>
      <c r="GF53" s="55"/>
      <c r="GG53" s="55"/>
      <c r="GH53" s="55"/>
      <c r="GI53" s="55"/>
      <c r="GJ53" s="55"/>
      <c r="GK53" s="55"/>
      <c r="GL53" s="55"/>
      <c r="GM53" s="55"/>
      <c r="GN53" s="55"/>
      <c r="GO53" s="55"/>
      <c r="GP53" s="55"/>
      <c r="GQ53" s="55"/>
      <c r="GR53" s="55"/>
      <c r="GS53" s="55"/>
      <c r="GT53" s="55"/>
      <c r="GU53" s="55"/>
      <c r="GV53" s="55"/>
      <c r="GW53" s="55"/>
      <c r="GX53" s="55"/>
      <c r="GY53" s="55"/>
      <c r="GZ53" s="55"/>
      <c r="HA53" s="55"/>
      <c r="HB53" s="55"/>
      <c r="HC53" s="55"/>
      <c r="HD53" s="55"/>
      <c r="HE53" s="55"/>
      <c r="HF53" s="55"/>
      <c r="HG53" s="55"/>
      <c r="HH53" s="55"/>
      <c r="HI53" s="55"/>
      <c r="HJ53" s="55"/>
      <c r="HK53" s="55"/>
      <c r="HL53" s="55"/>
      <c r="HM53" s="55"/>
      <c r="HN53" s="55"/>
      <c r="HO53" s="55"/>
      <c r="HP53" s="55"/>
      <c r="HQ53" s="55"/>
      <c r="HR53" s="55"/>
      <c r="HS53" s="55"/>
      <c r="HT53" s="55"/>
      <c r="HU53" s="55"/>
      <c r="HV53" s="55"/>
      <c r="HW53" s="55"/>
      <c r="HX53" s="55"/>
      <c r="HY53" s="55"/>
      <c r="HZ53" s="55"/>
      <c r="IA53" s="55"/>
      <c r="IB53" s="55"/>
      <c r="IC53" s="55"/>
      <c r="ID53" s="55"/>
    </row>
    <row r="54" s="52" customFormat="1" ht="33" customHeight="1" spans="1:238">
      <c r="A54" s="64" t="s">
        <v>95</v>
      </c>
      <c r="B54" s="64" t="s">
        <v>256</v>
      </c>
      <c r="C54" s="64" t="s">
        <v>257</v>
      </c>
      <c r="D54" s="65"/>
      <c r="E54" s="77"/>
      <c r="F54" s="77" t="s">
        <v>35</v>
      </c>
      <c r="G54" s="64" t="s">
        <v>110</v>
      </c>
      <c r="H54" s="78">
        <v>2.4</v>
      </c>
      <c r="I54" s="78">
        <v>2.1</v>
      </c>
      <c r="J54" s="83"/>
      <c r="K54" s="83"/>
      <c r="L54" s="83"/>
      <c r="M54" s="41">
        <v>2.4</v>
      </c>
      <c r="N54" s="41">
        <v>2.1</v>
      </c>
      <c r="O54" s="41">
        <v>1.8</v>
      </c>
      <c r="P54" s="64" t="s">
        <v>37</v>
      </c>
      <c r="Q54" s="64" t="s">
        <v>35</v>
      </c>
      <c r="R54" s="64" t="s">
        <v>35</v>
      </c>
      <c r="S54" s="83"/>
      <c r="T54" s="77" t="s">
        <v>186</v>
      </c>
      <c r="U54" s="105"/>
      <c r="V54" s="105"/>
      <c r="W54" s="106"/>
      <c r="X54" s="105"/>
      <c r="Y54" s="105"/>
      <c r="Z54" s="105"/>
      <c r="AA54" s="110"/>
      <c r="AB54" s="50"/>
      <c r="AC54" s="50"/>
      <c r="AD54" s="50"/>
      <c r="AE54" s="112"/>
      <c r="AF54" s="60"/>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5"/>
      <c r="EC54" s="55"/>
      <c r="ED54" s="55"/>
      <c r="EE54" s="55"/>
      <c r="EF54" s="55"/>
      <c r="EG54" s="55"/>
      <c r="EH54" s="55"/>
      <c r="EI54" s="55"/>
      <c r="EJ54" s="55"/>
      <c r="EK54" s="55"/>
      <c r="EL54" s="55"/>
      <c r="EM54" s="55"/>
      <c r="EN54" s="55"/>
      <c r="EO54" s="55"/>
      <c r="EP54" s="55"/>
      <c r="EQ54" s="55"/>
      <c r="ER54" s="55"/>
      <c r="ES54" s="55"/>
      <c r="ET54" s="55"/>
      <c r="EU54" s="55"/>
      <c r="EV54" s="55"/>
      <c r="EW54" s="55"/>
      <c r="EX54" s="55"/>
      <c r="EY54" s="55"/>
      <c r="EZ54" s="55"/>
      <c r="FA54" s="55"/>
      <c r="FB54" s="55"/>
      <c r="FC54" s="55"/>
      <c r="FD54" s="55"/>
      <c r="FE54" s="55"/>
      <c r="FF54" s="55"/>
      <c r="FG54" s="55"/>
      <c r="FH54" s="55"/>
      <c r="FI54" s="55"/>
      <c r="FJ54" s="55"/>
      <c r="FK54" s="55"/>
      <c r="FL54" s="55"/>
      <c r="FM54" s="55"/>
      <c r="FN54" s="55"/>
      <c r="FO54" s="55"/>
      <c r="FP54" s="55"/>
      <c r="FQ54" s="55"/>
      <c r="FR54" s="55"/>
      <c r="FS54" s="55"/>
      <c r="FT54" s="55"/>
      <c r="FU54" s="55"/>
      <c r="FV54" s="55"/>
      <c r="FW54" s="55"/>
      <c r="FX54" s="55"/>
      <c r="FY54" s="55"/>
      <c r="FZ54" s="55"/>
      <c r="GA54" s="55"/>
      <c r="GB54" s="55"/>
      <c r="GC54" s="55"/>
      <c r="GD54" s="55"/>
      <c r="GE54" s="55"/>
      <c r="GF54" s="55"/>
      <c r="GG54" s="55"/>
      <c r="GH54" s="55"/>
      <c r="GI54" s="55"/>
      <c r="GJ54" s="55"/>
      <c r="GK54" s="55"/>
      <c r="GL54" s="55"/>
      <c r="GM54" s="55"/>
      <c r="GN54" s="55"/>
      <c r="GO54" s="55"/>
      <c r="GP54" s="55"/>
      <c r="GQ54" s="55"/>
      <c r="GR54" s="55"/>
      <c r="GS54" s="55"/>
      <c r="GT54" s="55"/>
      <c r="GU54" s="55"/>
      <c r="GV54" s="55"/>
      <c r="GW54" s="55"/>
      <c r="GX54" s="55"/>
      <c r="GY54" s="55"/>
      <c r="GZ54" s="55"/>
      <c r="HA54" s="55"/>
      <c r="HB54" s="55"/>
      <c r="HC54" s="55"/>
      <c r="HD54" s="55"/>
      <c r="HE54" s="55"/>
      <c r="HF54" s="55"/>
      <c r="HG54" s="55"/>
      <c r="HH54" s="55"/>
      <c r="HI54" s="55"/>
      <c r="HJ54" s="55"/>
      <c r="HK54" s="55"/>
      <c r="HL54" s="55"/>
      <c r="HM54" s="55"/>
      <c r="HN54" s="55"/>
      <c r="HO54" s="55"/>
      <c r="HP54" s="55"/>
      <c r="HQ54" s="55"/>
      <c r="HR54" s="55"/>
      <c r="HS54" s="55"/>
      <c r="HT54" s="55"/>
      <c r="HU54" s="55"/>
      <c r="HV54" s="55"/>
      <c r="HW54" s="55"/>
      <c r="HX54" s="55"/>
      <c r="HY54" s="55"/>
      <c r="HZ54" s="55"/>
      <c r="IA54" s="55"/>
      <c r="IB54" s="55"/>
      <c r="IC54" s="55"/>
      <c r="ID54" s="55"/>
    </row>
    <row r="55" s="52" customFormat="1" ht="70" customHeight="1" spans="1:238">
      <c r="A55" s="64">
        <v>18</v>
      </c>
      <c r="B55" s="64" t="s">
        <v>258</v>
      </c>
      <c r="C55" s="64" t="s">
        <v>259</v>
      </c>
      <c r="D55" s="65" t="s">
        <v>260</v>
      </c>
      <c r="E55" s="77" t="s">
        <v>261</v>
      </c>
      <c r="F55" s="77" t="s">
        <v>35</v>
      </c>
      <c r="G55" s="64" t="s">
        <v>110</v>
      </c>
      <c r="H55" s="78">
        <v>5</v>
      </c>
      <c r="I55" s="78">
        <v>5</v>
      </c>
      <c r="J55" s="83">
        <v>5.3</v>
      </c>
      <c r="K55" s="83">
        <v>5</v>
      </c>
      <c r="L55" s="83">
        <v>4.3</v>
      </c>
      <c r="M55" s="94">
        <v>5</v>
      </c>
      <c r="N55" s="41">
        <v>5</v>
      </c>
      <c r="O55" s="41">
        <v>4.3</v>
      </c>
      <c r="P55" s="64" t="s">
        <v>37</v>
      </c>
      <c r="Q55" s="64" t="s">
        <v>35</v>
      </c>
      <c r="R55" s="64" t="s">
        <v>35</v>
      </c>
      <c r="S55" s="83" t="s">
        <v>38</v>
      </c>
      <c r="T55" s="77" t="s">
        <v>132</v>
      </c>
      <c r="U55" s="105" t="s">
        <v>262</v>
      </c>
      <c r="V55" s="105">
        <v>310300033</v>
      </c>
      <c r="W55" s="106" t="s">
        <v>263</v>
      </c>
      <c r="X55" s="105"/>
      <c r="Y55" s="105"/>
      <c r="Z55" s="105" t="s">
        <v>36</v>
      </c>
      <c r="AA55" s="110" t="s">
        <v>35</v>
      </c>
      <c r="AB55" s="50">
        <v>5.3</v>
      </c>
      <c r="AC55" s="50">
        <v>5</v>
      </c>
      <c r="AD55" s="50">
        <v>4.3</v>
      </c>
      <c r="AE55" s="112" t="s">
        <v>37</v>
      </c>
      <c r="AF55" s="60"/>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c r="EC55" s="55"/>
      <c r="ED55" s="55"/>
      <c r="EE55" s="55"/>
      <c r="EF55" s="55"/>
      <c r="EG55" s="55"/>
      <c r="EH55" s="55"/>
      <c r="EI55" s="55"/>
      <c r="EJ55" s="55"/>
      <c r="EK55" s="55"/>
      <c r="EL55" s="55"/>
      <c r="EM55" s="55"/>
      <c r="EN55" s="55"/>
      <c r="EO55" s="55"/>
      <c r="EP55" s="55"/>
      <c r="EQ55" s="55"/>
      <c r="ER55" s="55"/>
      <c r="ES55" s="55"/>
      <c r="ET55" s="55"/>
      <c r="EU55" s="55"/>
      <c r="EV55" s="55"/>
      <c r="EW55" s="55"/>
      <c r="EX55" s="55"/>
      <c r="EY55" s="55"/>
      <c r="EZ55" s="55"/>
      <c r="FA55" s="55"/>
      <c r="FB55" s="55"/>
      <c r="FC55" s="55"/>
      <c r="FD55" s="55"/>
      <c r="FE55" s="55"/>
      <c r="FF55" s="55"/>
      <c r="FG55" s="55"/>
      <c r="FH55" s="55"/>
      <c r="FI55" s="55"/>
      <c r="FJ55" s="55"/>
      <c r="FK55" s="55"/>
      <c r="FL55" s="55"/>
      <c r="FM55" s="55"/>
      <c r="FN55" s="55"/>
      <c r="FO55" s="55"/>
      <c r="FP55" s="55"/>
      <c r="FQ55" s="55"/>
      <c r="FR55" s="55"/>
      <c r="FS55" s="55"/>
      <c r="FT55" s="55"/>
      <c r="FU55" s="55"/>
      <c r="FV55" s="55"/>
      <c r="FW55" s="55"/>
      <c r="FX55" s="55"/>
      <c r="FY55" s="55"/>
      <c r="FZ55" s="55"/>
      <c r="GA55" s="55"/>
      <c r="GB55" s="55"/>
      <c r="GC55" s="55"/>
      <c r="GD55" s="55"/>
      <c r="GE55" s="55"/>
      <c r="GF55" s="55"/>
      <c r="GG55" s="55"/>
      <c r="GH55" s="55"/>
      <c r="GI55" s="55"/>
      <c r="GJ55" s="55"/>
      <c r="GK55" s="55"/>
      <c r="GL55" s="55"/>
      <c r="GM55" s="55"/>
      <c r="GN55" s="55"/>
      <c r="GO55" s="55"/>
      <c r="GP55" s="55"/>
      <c r="GQ55" s="55"/>
      <c r="GR55" s="55"/>
      <c r="GS55" s="55"/>
      <c r="GT55" s="55"/>
      <c r="GU55" s="55"/>
      <c r="GV55" s="55"/>
      <c r="GW55" s="55"/>
      <c r="GX55" s="55"/>
      <c r="GY55" s="55"/>
      <c r="GZ55" s="55"/>
      <c r="HA55" s="55"/>
      <c r="HB55" s="55"/>
      <c r="HC55" s="55"/>
      <c r="HD55" s="55"/>
      <c r="HE55" s="55"/>
      <c r="HF55" s="55"/>
      <c r="HG55" s="55"/>
      <c r="HH55" s="55"/>
      <c r="HI55" s="55"/>
      <c r="HJ55" s="55"/>
      <c r="HK55" s="55"/>
      <c r="HL55" s="55"/>
      <c r="HM55" s="55"/>
      <c r="HN55" s="55"/>
      <c r="HO55" s="55"/>
      <c r="HP55" s="55"/>
      <c r="HQ55" s="55"/>
      <c r="HR55" s="55"/>
      <c r="HS55" s="55"/>
      <c r="HT55" s="55"/>
      <c r="HU55" s="55"/>
      <c r="HV55" s="55"/>
      <c r="HW55" s="55"/>
      <c r="HX55" s="55"/>
      <c r="HY55" s="55"/>
      <c r="HZ55" s="55"/>
      <c r="IA55" s="55"/>
      <c r="IB55" s="55"/>
      <c r="IC55" s="55"/>
      <c r="ID55" s="55"/>
    </row>
    <row r="56" s="55" customFormat="1" ht="30" customHeight="1" spans="1:32">
      <c r="A56" s="64">
        <v>19</v>
      </c>
      <c r="B56" s="163" t="s">
        <v>264</v>
      </c>
      <c r="C56" s="64" t="s">
        <v>265</v>
      </c>
      <c r="D56" s="65" t="s">
        <v>266</v>
      </c>
      <c r="E56" s="77" t="s">
        <v>267</v>
      </c>
      <c r="F56" s="77" t="s">
        <v>35</v>
      </c>
      <c r="G56" s="64" t="s">
        <v>36</v>
      </c>
      <c r="H56" s="78">
        <v>11</v>
      </c>
      <c r="I56" s="78">
        <v>10</v>
      </c>
      <c r="J56" s="84">
        <v>10.6566817160716</v>
      </c>
      <c r="K56" s="84">
        <v>10.1057585755036</v>
      </c>
      <c r="L56" s="84">
        <v>7.62891271056662</v>
      </c>
      <c r="M56" s="41">
        <v>10.5</v>
      </c>
      <c r="N56" s="41">
        <v>10</v>
      </c>
      <c r="O56" s="41">
        <v>8.5</v>
      </c>
      <c r="P56" s="64" t="s">
        <v>37</v>
      </c>
      <c r="Q56" s="64" t="s">
        <v>35</v>
      </c>
      <c r="R56" s="64" t="s">
        <v>35</v>
      </c>
      <c r="S56" s="83" t="s">
        <v>191</v>
      </c>
      <c r="T56" s="77" t="s">
        <v>268</v>
      </c>
      <c r="U56" s="105" t="s">
        <v>269</v>
      </c>
      <c r="V56" s="105">
        <v>310300010</v>
      </c>
      <c r="W56" s="106" t="s">
        <v>270</v>
      </c>
      <c r="X56" s="105"/>
      <c r="Y56" s="105"/>
      <c r="Z56" s="105" t="s">
        <v>36</v>
      </c>
      <c r="AA56" s="110" t="s">
        <v>35</v>
      </c>
      <c r="AB56" s="50">
        <v>2.1</v>
      </c>
      <c r="AC56" s="50">
        <v>2</v>
      </c>
      <c r="AD56" s="50">
        <v>1.7</v>
      </c>
      <c r="AE56" s="112" t="s">
        <v>37</v>
      </c>
      <c r="AF56" s="60" t="s">
        <v>271</v>
      </c>
    </row>
    <row r="57" s="55" customFormat="1" ht="30" customHeight="1" spans="1:32">
      <c r="A57" s="64"/>
      <c r="B57" s="64"/>
      <c r="C57" s="64"/>
      <c r="D57" s="65"/>
      <c r="E57" s="77"/>
      <c r="F57" s="77"/>
      <c r="G57" s="64"/>
      <c r="H57" s="42"/>
      <c r="I57" s="42"/>
      <c r="J57" s="84"/>
      <c r="K57" s="84"/>
      <c r="L57" s="84"/>
      <c r="M57" s="41"/>
      <c r="N57" s="41"/>
      <c r="O57" s="41"/>
      <c r="P57" s="64"/>
      <c r="Q57" s="64"/>
      <c r="R57" s="64"/>
      <c r="S57" s="83"/>
      <c r="T57" s="77"/>
      <c r="U57" s="105" t="s">
        <v>272</v>
      </c>
      <c r="V57" s="105">
        <v>310300019</v>
      </c>
      <c r="W57" s="106" t="s">
        <v>273</v>
      </c>
      <c r="X57" s="105" t="s">
        <v>274</v>
      </c>
      <c r="Y57" s="105"/>
      <c r="Z57" s="105" t="s">
        <v>36</v>
      </c>
      <c r="AA57" s="110" t="s">
        <v>35</v>
      </c>
      <c r="AB57" s="50">
        <v>10.5</v>
      </c>
      <c r="AC57" s="50">
        <v>10</v>
      </c>
      <c r="AD57" s="50">
        <v>8.5</v>
      </c>
      <c r="AE57" s="112" t="s">
        <v>37</v>
      </c>
      <c r="AF57" s="60"/>
    </row>
    <row r="58" s="55" customFormat="1" ht="30" customHeight="1" spans="1:32">
      <c r="A58" s="64"/>
      <c r="B58" s="64"/>
      <c r="C58" s="64"/>
      <c r="D58" s="65"/>
      <c r="E58" s="77"/>
      <c r="F58" s="77"/>
      <c r="G58" s="64"/>
      <c r="H58" s="42"/>
      <c r="I58" s="42"/>
      <c r="J58" s="84"/>
      <c r="K58" s="84"/>
      <c r="L58" s="84"/>
      <c r="M58" s="41"/>
      <c r="N58" s="41"/>
      <c r="O58" s="41"/>
      <c r="P58" s="64"/>
      <c r="Q58" s="64"/>
      <c r="R58" s="64"/>
      <c r="S58" s="83"/>
      <c r="T58" s="77"/>
      <c r="U58" s="105" t="s">
        <v>275</v>
      </c>
      <c r="V58" s="105">
        <v>310300017</v>
      </c>
      <c r="W58" s="106" t="s">
        <v>276</v>
      </c>
      <c r="X58" s="105"/>
      <c r="Y58" s="105"/>
      <c r="Z58" s="105" t="s">
        <v>36</v>
      </c>
      <c r="AA58" s="110" t="s">
        <v>35</v>
      </c>
      <c r="AB58" s="50">
        <v>8.4</v>
      </c>
      <c r="AC58" s="50">
        <v>8</v>
      </c>
      <c r="AD58" s="50">
        <v>6.8</v>
      </c>
      <c r="AE58" s="112"/>
      <c r="AF58" s="60"/>
    </row>
    <row r="59" s="55" customFormat="1" ht="30" customHeight="1" spans="1:32">
      <c r="A59" s="64"/>
      <c r="B59" s="64"/>
      <c r="C59" s="64"/>
      <c r="D59" s="65"/>
      <c r="E59" s="77"/>
      <c r="F59" s="77"/>
      <c r="G59" s="64"/>
      <c r="H59" s="42"/>
      <c r="I59" s="42"/>
      <c r="J59" s="84"/>
      <c r="K59" s="84"/>
      <c r="L59" s="84"/>
      <c r="M59" s="41"/>
      <c r="N59" s="41"/>
      <c r="O59" s="41"/>
      <c r="P59" s="64"/>
      <c r="Q59" s="64"/>
      <c r="R59" s="64"/>
      <c r="S59" s="83"/>
      <c r="T59" s="77"/>
      <c r="U59" s="105" t="s">
        <v>277</v>
      </c>
      <c r="V59" s="105">
        <v>310300062</v>
      </c>
      <c r="W59" s="106" t="s">
        <v>278</v>
      </c>
      <c r="X59" s="105"/>
      <c r="Y59" s="105"/>
      <c r="Z59" s="105" t="s">
        <v>36</v>
      </c>
      <c r="AA59" s="110" t="s">
        <v>35</v>
      </c>
      <c r="AB59" s="50"/>
      <c r="AC59" s="50"/>
      <c r="AD59" s="50"/>
      <c r="AE59" s="112"/>
      <c r="AF59" s="60"/>
    </row>
    <row r="60" s="55" customFormat="1" ht="37" customHeight="1" spans="1:32">
      <c r="A60" s="64" t="s">
        <v>95</v>
      </c>
      <c r="B60" s="64" t="s">
        <v>279</v>
      </c>
      <c r="C60" s="64" t="s">
        <v>280</v>
      </c>
      <c r="D60" s="65"/>
      <c r="E60" s="77"/>
      <c r="F60" s="77" t="s">
        <v>35</v>
      </c>
      <c r="G60" s="64" t="s">
        <v>36</v>
      </c>
      <c r="H60" s="78">
        <v>3.3</v>
      </c>
      <c r="I60" s="78">
        <v>3</v>
      </c>
      <c r="J60" s="83"/>
      <c r="K60" s="83"/>
      <c r="L60" s="83"/>
      <c r="M60" s="41">
        <v>3.2</v>
      </c>
      <c r="N60" s="41">
        <v>3</v>
      </c>
      <c r="O60" s="41">
        <v>2.6</v>
      </c>
      <c r="P60" s="64" t="s">
        <v>37</v>
      </c>
      <c r="Q60" s="64" t="s">
        <v>35</v>
      </c>
      <c r="R60" s="64" t="s">
        <v>35</v>
      </c>
      <c r="S60" s="83"/>
      <c r="T60" s="77" t="s">
        <v>186</v>
      </c>
      <c r="U60" s="105"/>
      <c r="V60" s="105"/>
      <c r="W60" s="106"/>
      <c r="X60" s="105"/>
      <c r="Y60" s="105"/>
      <c r="Z60" s="105"/>
      <c r="AA60" s="110"/>
      <c r="AB60" s="50"/>
      <c r="AC60" s="50"/>
      <c r="AD60" s="50"/>
      <c r="AE60" s="112"/>
      <c r="AF60" s="60"/>
    </row>
    <row r="61" s="55" customFormat="1" ht="27" customHeight="1" spans="1:32">
      <c r="A61" s="64">
        <v>20</v>
      </c>
      <c r="B61" s="64" t="s">
        <v>281</v>
      </c>
      <c r="C61" s="64" t="s">
        <v>282</v>
      </c>
      <c r="D61" s="65" t="s">
        <v>283</v>
      </c>
      <c r="E61" s="77" t="s">
        <v>284</v>
      </c>
      <c r="F61" s="77" t="s">
        <v>285</v>
      </c>
      <c r="G61" s="64" t="s">
        <v>110</v>
      </c>
      <c r="H61" s="78">
        <v>38</v>
      </c>
      <c r="I61" s="78">
        <v>34</v>
      </c>
      <c r="J61" s="84">
        <v>40.2841093073989</v>
      </c>
      <c r="K61" s="84">
        <v>37.7563484374521</v>
      </c>
      <c r="L61" s="84">
        <v>17.3216700302725</v>
      </c>
      <c r="M61" s="41">
        <v>38</v>
      </c>
      <c r="N61" s="41">
        <v>34</v>
      </c>
      <c r="O61" s="41">
        <v>29</v>
      </c>
      <c r="P61" s="64" t="s">
        <v>37</v>
      </c>
      <c r="Q61" s="64" t="s">
        <v>35</v>
      </c>
      <c r="R61" s="64" t="s">
        <v>35</v>
      </c>
      <c r="S61" s="83" t="s">
        <v>131</v>
      </c>
      <c r="T61" s="77" t="s">
        <v>286</v>
      </c>
      <c r="U61" s="105" t="s">
        <v>287</v>
      </c>
      <c r="V61" s="105">
        <v>310300051</v>
      </c>
      <c r="W61" s="106" t="s">
        <v>288</v>
      </c>
      <c r="X61" s="105"/>
      <c r="Y61" s="105"/>
      <c r="Z61" s="105" t="s">
        <v>36</v>
      </c>
      <c r="AA61" s="110" t="s">
        <v>35</v>
      </c>
      <c r="AB61" s="50">
        <v>15.8</v>
      </c>
      <c r="AC61" s="50">
        <v>15</v>
      </c>
      <c r="AD61" s="50">
        <v>12.8</v>
      </c>
      <c r="AE61" s="112" t="s">
        <v>37</v>
      </c>
      <c r="AF61" s="60"/>
    </row>
    <row r="62" s="55" customFormat="1" ht="27" customHeight="1" spans="1:32">
      <c r="A62" s="64"/>
      <c r="B62" s="64"/>
      <c r="C62" s="64"/>
      <c r="D62" s="65"/>
      <c r="E62" s="77"/>
      <c r="F62" s="77"/>
      <c r="G62" s="64"/>
      <c r="H62" s="42"/>
      <c r="I62" s="42"/>
      <c r="J62" s="84"/>
      <c r="K62" s="84"/>
      <c r="L62" s="84"/>
      <c r="M62" s="41"/>
      <c r="N62" s="41"/>
      <c r="O62" s="41"/>
      <c r="P62" s="64"/>
      <c r="Q62" s="64"/>
      <c r="R62" s="64"/>
      <c r="S62" s="83"/>
      <c r="T62" s="77"/>
      <c r="U62" s="105" t="s">
        <v>289</v>
      </c>
      <c r="V62" s="105">
        <v>310300052</v>
      </c>
      <c r="W62" s="106" t="s">
        <v>290</v>
      </c>
      <c r="X62" s="105"/>
      <c r="Y62" s="105"/>
      <c r="Z62" s="105" t="s">
        <v>36</v>
      </c>
      <c r="AA62" s="110" t="s">
        <v>35</v>
      </c>
      <c r="AB62" s="50">
        <v>15.8</v>
      </c>
      <c r="AC62" s="50">
        <v>15</v>
      </c>
      <c r="AD62" s="50">
        <v>12.8</v>
      </c>
      <c r="AE62" s="112" t="s">
        <v>37</v>
      </c>
      <c r="AF62" s="60"/>
    </row>
    <row r="63" s="55" customFormat="1" ht="27" customHeight="1" spans="1:32">
      <c r="A63" s="64"/>
      <c r="B63" s="64"/>
      <c r="C63" s="64"/>
      <c r="D63" s="65"/>
      <c r="E63" s="77"/>
      <c r="F63" s="77"/>
      <c r="G63" s="64"/>
      <c r="H63" s="42"/>
      <c r="I63" s="42"/>
      <c r="J63" s="84"/>
      <c r="K63" s="84"/>
      <c r="L63" s="84"/>
      <c r="M63" s="41"/>
      <c r="N63" s="41"/>
      <c r="O63" s="41"/>
      <c r="P63" s="64"/>
      <c r="Q63" s="64"/>
      <c r="R63" s="64"/>
      <c r="S63" s="83"/>
      <c r="T63" s="77"/>
      <c r="U63" s="105" t="s">
        <v>291</v>
      </c>
      <c r="V63" s="105">
        <v>310300053</v>
      </c>
      <c r="W63" s="106" t="s">
        <v>292</v>
      </c>
      <c r="X63" s="105"/>
      <c r="Y63" s="105"/>
      <c r="Z63" s="105" t="s">
        <v>71</v>
      </c>
      <c r="AA63" s="110" t="s">
        <v>35</v>
      </c>
      <c r="AB63" s="50">
        <v>21</v>
      </c>
      <c r="AC63" s="50">
        <v>20</v>
      </c>
      <c r="AD63" s="50">
        <v>17</v>
      </c>
      <c r="AE63" s="112" t="s">
        <v>37</v>
      </c>
      <c r="AF63" s="60"/>
    </row>
    <row r="64" s="55" customFormat="1" ht="27" customHeight="1" spans="1:32">
      <c r="A64" s="64"/>
      <c r="B64" s="64"/>
      <c r="C64" s="64"/>
      <c r="D64" s="65"/>
      <c r="E64" s="77"/>
      <c r="F64" s="77"/>
      <c r="G64" s="64"/>
      <c r="H64" s="42"/>
      <c r="I64" s="42"/>
      <c r="J64" s="84"/>
      <c r="K64" s="84"/>
      <c r="L64" s="84"/>
      <c r="M64" s="41"/>
      <c r="N64" s="41"/>
      <c r="O64" s="41"/>
      <c r="P64" s="64"/>
      <c r="Q64" s="64"/>
      <c r="R64" s="64"/>
      <c r="S64" s="83"/>
      <c r="T64" s="77"/>
      <c r="U64" s="105" t="s">
        <v>293</v>
      </c>
      <c r="V64" s="105">
        <v>310300031</v>
      </c>
      <c r="W64" s="106" t="s">
        <v>294</v>
      </c>
      <c r="X64" s="105" t="s">
        <v>295</v>
      </c>
      <c r="Y64" s="105"/>
      <c r="Z64" s="105" t="s">
        <v>71</v>
      </c>
      <c r="AA64" s="110" t="s">
        <v>296</v>
      </c>
      <c r="AB64" s="50">
        <v>31.5</v>
      </c>
      <c r="AC64" s="50">
        <v>30</v>
      </c>
      <c r="AD64" s="50">
        <v>25.5</v>
      </c>
      <c r="AE64" s="112" t="s">
        <v>37</v>
      </c>
      <c r="AF64" s="60"/>
    </row>
    <row r="65" s="55" customFormat="1" ht="27" customHeight="1" spans="1:32">
      <c r="A65" s="64"/>
      <c r="B65" s="64"/>
      <c r="C65" s="64"/>
      <c r="D65" s="65"/>
      <c r="E65" s="77"/>
      <c r="F65" s="77"/>
      <c r="G65" s="64"/>
      <c r="H65" s="42"/>
      <c r="I65" s="42"/>
      <c r="J65" s="84"/>
      <c r="K65" s="84"/>
      <c r="L65" s="84"/>
      <c r="M65" s="41"/>
      <c r="N65" s="41"/>
      <c r="O65" s="41"/>
      <c r="P65" s="64"/>
      <c r="Q65" s="64"/>
      <c r="R65" s="64"/>
      <c r="S65" s="83"/>
      <c r="T65" s="77"/>
      <c r="U65" s="105" t="s">
        <v>297</v>
      </c>
      <c r="V65" s="105">
        <v>31030003101</v>
      </c>
      <c r="W65" s="106" t="s">
        <v>298</v>
      </c>
      <c r="X65" s="105"/>
      <c r="Y65" s="105"/>
      <c r="Z65" s="105" t="s">
        <v>71</v>
      </c>
      <c r="AA65" s="110" t="s">
        <v>299</v>
      </c>
      <c r="AB65" s="50">
        <v>52.5</v>
      </c>
      <c r="AC65" s="50">
        <v>50</v>
      </c>
      <c r="AD65" s="50">
        <v>42.5</v>
      </c>
      <c r="AE65" s="112" t="s">
        <v>37</v>
      </c>
      <c r="AF65" s="60"/>
    </row>
    <row r="66" s="55" customFormat="1" ht="27" customHeight="1" spans="1:32">
      <c r="A66" s="64"/>
      <c r="B66" s="64"/>
      <c r="C66" s="64"/>
      <c r="D66" s="65"/>
      <c r="E66" s="77"/>
      <c r="F66" s="77"/>
      <c r="G66" s="64"/>
      <c r="H66" s="42"/>
      <c r="I66" s="42"/>
      <c r="J66" s="84"/>
      <c r="K66" s="84"/>
      <c r="L66" s="84"/>
      <c r="M66" s="41"/>
      <c r="N66" s="41"/>
      <c r="O66" s="41"/>
      <c r="P66" s="64"/>
      <c r="Q66" s="64"/>
      <c r="R66" s="64"/>
      <c r="S66" s="83"/>
      <c r="T66" s="77"/>
      <c r="U66" s="105" t="s">
        <v>300</v>
      </c>
      <c r="V66" s="105">
        <v>310300057</v>
      </c>
      <c r="W66" s="106" t="s">
        <v>301</v>
      </c>
      <c r="X66" s="105"/>
      <c r="Y66" s="105"/>
      <c r="Z66" s="105" t="s">
        <v>71</v>
      </c>
      <c r="AA66" s="110" t="s">
        <v>35</v>
      </c>
      <c r="AB66" s="50">
        <v>84</v>
      </c>
      <c r="AC66" s="50">
        <v>80</v>
      </c>
      <c r="AD66" s="50">
        <v>68</v>
      </c>
      <c r="AE66" s="112" t="s">
        <v>37</v>
      </c>
      <c r="AF66" s="60"/>
    </row>
    <row r="67" s="55" customFormat="1" ht="27" customHeight="1" spans="1:32">
      <c r="A67" s="64"/>
      <c r="B67" s="64"/>
      <c r="C67" s="64"/>
      <c r="D67" s="65"/>
      <c r="E67" s="77"/>
      <c r="F67" s="77"/>
      <c r="G67" s="64"/>
      <c r="H67" s="42"/>
      <c r="I67" s="42"/>
      <c r="J67" s="84"/>
      <c r="K67" s="84"/>
      <c r="L67" s="84"/>
      <c r="M67" s="41"/>
      <c r="N67" s="41"/>
      <c r="O67" s="41"/>
      <c r="P67" s="64"/>
      <c r="Q67" s="64"/>
      <c r="R67" s="64"/>
      <c r="S67" s="83"/>
      <c r="T67" s="77"/>
      <c r="U67" s="105" t="s">
        <v>302</v>
      </c>
      <c r="V67" s="105">
        <v>310300066</v>
      </c>
      <c r="W67" s="106" t="s">
        <v>303</v>
      </c>
      <c r="X67" s="105"/>
      <c r="Y67" s="105"/>
      <c r="Z67" s="105" t="s">
        <v>36</v>
      </c>
      <c r="AA67" s="110" t="s">
        <v>35</v>
      </c>
      <c r="AB67" s="50">
        <v>63</v>
      </c>
      <c r="AC67" s="50">
        <v>60</v>
      </c>
      <c r="AD67" s="50">
        <v>51</v>
      </c>
      <c r="AE67" s="112" t="s">
        <v>37</v>
      </c>
      <c r="AF67" s="60"/>
    </row>
    <row r="68" s="55" customFormat="1" ht="27" customHeight="1" spans="1:32">
      <c r="A68" s="64"/>
      <c r="B68" s="64"/>
      <c r="C68" s="64"/>
      <c r="D68" s="65"/>
      <c r="E68" s="77"/>
      <c r="F68" s="77"/>
      <c r="G68" s="64"/>
      <c r="H68" s="42"/>
      <c r="I68" s="42"/>
      <c r="J68" s="84"/>
      <c r="K68" s="84"/>
      <c r="L68" s="84"/>
      <c r="M68" s="41"/>
      <c r="N68" s="41"/>
      <c r="O68" s="41"/>
      <c r="P68" s="64"/>
      <c r="Q68" s="64"/>
      <c r="R68" s="64"/>
      <c r="S68" s="83"/>
      <c r="T68" s="77"/>
      <c r="U68" s="105" t="s">
        <v>304</v>
      </c>
      <c r="V68" s="105">
        <v>310300055</v>
      </c>
      <c r="W68" s="106" t="s">
        <v>305</v>
      </c>
      <c r="X68" s="105"/>
      <c r="Y68" s="105"/>
      <c r="Z68" s="105" t="s">
        <v>71</v>
      </c>
      <c r="AA68" s="110" t="s">
        <v>35</v>
      </c>
      <c r="AB68" s="50">
        <v>52.5</v>
      </c>
      <c r="AC68" s="50">
        <v>50</v>
      </c>
      <c r="AD68" s="50">
        <v>42.5</v>
      </c>
      <c r="AE68" s="112" t="s">
        <v>37</v>
      </c>
      <c r="AF68" s="60"/>
    </row>
    <row r="69" s="55" customFormat="1" ht="27" customHeight="1" spans="1:32">
      <c r="A69" s="64" t="s">
        <v>95</v>
      </c>
      <c r="B69" s="64" t="s">
        <v>306</v>
      </c>
      <c r="C69" s="64" t="s">
        <v>307</v>
      </c>
      <c r="D69" s="65"/>
      <c r="E69" s="77"/>
      <c r="F69" s="77" t="s">
        <v>35</v>
      </c>
      <c r="G69" s="64" t="s">
        <v>110</v>
      </c>
      <c r="H69" s="78">
        <v>38</v>
      </c>
      <c r="I69" s="78">
        <v>34</v>
      </c>
      <c r="J69" s="83"/>
      <c r="K69" s="83"/>
      <c r="L69" s="83"/>
      <c r="M69" s="41">
        <v>38</v>
      </c>
      <c r="N69" s="41">
        <v>34</v>
      </c>
      <c r="O69" s="41">
        <v>29</v>
      </c>
      <c r="P69" s="64" t="s">
        <v>37</v>
      </c>
      <c r="Q69" s="64" t="s">
        <v>35</v>
      </c>
      <c r="R69" s="64" t="s">
        <v>35</v>
      </c>
      <c r="S69" s="83"/>
      <c r="T69" s="77" t="s">
        <v>308</v>
      </c>
      <c r="U69" s="105"/>
      <c r="V69" s="105"/>
      <c r="W69" s="106"/>
      <c r="X69" s="105"/>
      <c r="Y69" s="105"/>
      <c r="Z69" s="105"/>
      <c r="AA69" s="110"/>
      <c r="AB69" s="50"/>
      <c r="AC69" s="50"/>
      <c r="AD69" s="50"/>
      <c r="AE69" s="112"/>
      <c r="AF69" s="60"/>
    </row>
    <row r="70" s="55" customFormat="1" ht="27" customHeight="1" spans="1:32">
      <c r="A70" s="64" t="s">
        <v>95</v>
      </c>
      <c r="B70" s="64" t="s">
        <v>309</v>
      </c>
      <c r="C70" s="64" t="s">
        <v>310</v>
      </c>
      <c r="D70" s="65"/>
      <c r="E70" s="77"/>
      <c r="F70" s="77" t="s">
        <v>35</v>
      </c>
      <c r="G70" s="64" t="s">
        <v>110</v>
      </c>
      <c r="H70" s="78">
        <v>38</v>
      </c>
      <c r="I70" s="78">
        <v>34</v>
      </c>
      <c r="J70" s="83"/>
      <c r="K70" s="83"/>
      <c r="L70" s="83"/>
      <c r="M70" s="41">
        <v>38</v>
      </c>
      <c r="N70" s="41">
        <v>34</v>
      </c>
      <c r="O70" s="41">
        <v>29</v>
      </c>
      <c r="P70" s="64" t="s">
        <v>37</v>
      </c>
      <c r="Q70" s="64" t="s">
        <v>35</v>
      </c>
      <c r="R70" s="64" t="s">
        <v>35</v>
      </c>
      <c r="S70" s="83"/>
      <c r="T70" s="77" t="s">
        <v>311</v>
      </c>
      <c r="U70" s="105"/>
      <c r="V70" s="105"/>
      <c r="W70" s="106"/>
      <c r="X70" s="105"/>
      <c r="Y70" s="105"/>
      <c r="Z70" s="105"/>
      <c r="AA70" s="110"/>
      <c r="AB70" s="50"/>
      <c r="AC70" s="50"/>
      <c r="AD70" s="50"/>
      <c r="AE70" s="112"/>
      <c r="AF70" s="60"/>
    </row>
    <row r="71" s="55" customFormat="1" ht="27" customHeight="1" spans="1:32">
      <c r="A71" s="64" t="s">
        <v>95</v>
      </c>
      <c r="B71" s="64" t="s">
        <v>312</v>
      </c>
      <c r="C71" s="64" t="s">
        <v>313</v>
      </c>
      <c r="D71" s="65"/>
      <c r="E71" s="77"/>
      <c r="F71" s="77" t="s">
        <v>35</v>
      </c>
      <c r="G71" s="64" t="s">
        <v>110</v>
      </c>
      <c r="H71" s="78">
        <v>38</v>
      </c>
      <c r="I71" s="78">
        <v>34</v>
      </c>
      <c r="J71" s="83"/>
      <c r="K71" s="83"/>
      <c r="L71" s="83"/>
      <c r="M71" s="41">
        <v>38</v>
      </c>
      <c r="N71" s="41">
        <v>34</v>
      </c>
      <c r="O71" s="41">
        <v>29</v>
      </c>
      <c r="P71" s="64" t="s">
        <v>37</v>
      </c>
      <c r="Q71" s="64" t="s">
        <v>35</v>
      </c>
      <c r="R71" s="64" t="s">
        <v>35</v>
      </c>
      <c r="S71" s="83"/>
      <c r="T71" s="77" t="s">
        <v>311</v>
      </c>
      <c r="U71" s="105"/>
      <c r="V71" s="105"/>
      <c r="W71" s="106"/>
      <c r="X71" s="105"/>
      <c r="Y71" s="105"/>
      <c r="Z71" s="105"/>
      <c r="AA71" s="110"/>
      <c r="AB71" s="50"/>
      <c r="AC71" s="50"/>
      <c r="AD71" s="50"/>
      <c r="AE71" s="112"/>
      <c r="AF71" s="60"/>
    </row>
    <row r="72" s="56" customFormat="1" ht="25.5" spans="1:32">
      <c r="A72" s="64">
        <v>21</v>
      </c>
      <c r="B72" s="64" t="s">
        <v>314</v>
      </c>
      <c r="C72" s="64" t="s">
        <v>315</v>
      </c>
      <c r="D72" s="65" t="s">
        <v>316</v>
      </c>
      <c r="E72" s="77" t="s">
        <v>317</v>
      </c>
      <c r="F72" s="77" t="s">
        <v>35</v>
      </c>
      <c r="G72" s="64" t="s">
        <v>110</v>
      </c>
      <c r="H72" s="78">
        <v>9</v>
      </c>
      <c r="I72" s="78">
        <v>8</v>
      </c>
      <c r="J72" s="84">
        <v>7.42168360376876</v>
      </c>
      <c r="K72" s="84">
        <v>8.13160452376745</v>
      </c>
      <c r="L72" s="84">
        <v>6.86656275342018</v>
      </c>
      <c r="M72" s="41">
        <v>8</v>
      </c>
      <c r="N72" s="41">
        <v>7</v>
      </c>
      <c r="O72" s="41">
        <v>6</v>
      </c>
      <c r="P72" s="64" t="s">
        <v>37</v>
      </c>
      <c r="Q72" s="64" t="s">
        <v>35</v>
      </c>
      <c r="R72" s="64" t="s">
        <v>35</v>
      </c>
      <c r="S72" s="83" t="s">
        <v>131</v>
      </c>
      <c r="T72" s="77" t="s">
        <v>240</v>
      </c>
      <c r="U72" s="105" t="s">
        <v>318</v>
      </c>
      <c r="V72" s="105">
        <v>310300056</v>
      </c>
      <c r="W72" s="105" t="s">
        <v>319</v>
      </c>
      <c r="X72" s="105" t="s">
        <v>320</v>
      </c>
      <c r="Y72" s="105"/>
      <c r="Z72" s="105" t="s">
        <v>36</v>
      </c>
      <c r="AA72" s="110" t="s">
        <v>35</v>
      </c>
      <c r="AB72" s="50">
        <v>5.3</v>
      </c>
      <c r="AC72" s="50">
        <v>5</v>
      </c>
      <c r="AD72" s="50">
        <v>4.3</v>
      </c>
      <c r="AE72" s="112" t="s">
        <v>37</v>
      </c>
      <c r="AF72" s="60"/>
    </row>
    <row r="73" s="56" customFormat="1" ht="25.5" spans="1:32">
      <c r="A73" s="64"/>
      <c r="B73" s="64"/>
      <c r="C73" s="64"/>
      <c r="D73" s="65"/>
      <c r="E73" s="77"/>
      <c r="F73" s="77"/>
      <c r="G73" s="64"/>
      <c r="H73" s="42"/>
      <c r="I73" s="42"/>
      <c r="J73" s="84"/>
      <c r="K73" s="84"/>
      <c r="L73" s="84"/>
      <c r="M73" s="41"/>
      <c r="N73" s="41"/>
      <c r="O73" s="41"/>
      <c r="P73" s="64"/>
      <c r="Q73" s="64"/>
      <c r="R73" s="64"/>
      <c r="S73" s="83"/>
      <c r="T73" s="77"/>
      <c r="U73" s="105" t="s">
        <v>321</v>
      </c>
      <c r="V73" s="105">
        <v>310300025</v>
      </c>
      <c r="W73" s="106" t="s">
        <v>322</v>
      </c>
      <c r="X73" s="105"/>
      <c r="Y73" s="105"/>
      <c r="Z73" s="105" t="s">
        <v>36</v>
      </c>
      <c r="AA73" s="110" t="s">
        <v>35</v>
      </c>
      <c r="AB73" s="50">
        <v>8.4</v>
      </c>
      <c r="AC73" s="50">
        <v>8</v>
      </c>
      <c r="AD73" s="50">
        <v>6.8</v>
      </c>
      <c r="AE73" s="112" t="s">
        <v>37</v>
      </c>
      <c r="AF73" s="60"/>
    </row>
    <row r="74" s="56" customFormat="1" ht="25.5" spans="1:32">
      <c r="A74" s="64"/>
      <c r="B74" s="64"/>
      <c r="C74" s="64"/>
      <c r="D74" s="65"/>
      <c r="E74" s="77"/>
      <c r="F74" s="77"/>
      <c r="G74" s="64"/>
      <c r="H74" s="42"/>
      <c r="I74" s="42"/>
      <c r="J74" s="84"/>
      <c r="K74" s="84"/>
      <c r="L74" s="84"/>
      <c r="M74" s="41"/>
      <c r="N74" s="41"/>
      <c r="O74" s="41"/>
      <c r="P74" s="64"/>
      <c r="Q74" s="64"/>
      <c r="R74" s="64"/>
      <c r="S74" s="83"/>
      <c r="T74" s="77"/>
      <c r="U74" s="105" t="s">
        <v>323</v>
      </c>
      <c r="V74" s="105">
        <v>310300058</v>
      </c>
      <c r="W74" s="105" t="s">
        <v>324</v>
      </c>
      <c r="X74" s="105" t="s">
        <v>325</v>
      </c>
      <c r="Y74" s="105"/>
      <c r="Z74" s="105" t="s">
        <v>36</v>
      </c>
      <c r="AA74" s="110" t="s">
        <v>35</v>
      </c>
      <c r="AB74" s="50">
        <v>10.5</v>
      </c>
      <c r="AC74" s="50">
        <v>10</v>
      </c>
      <c r="AD74" s="50">
        <v>8.5</v>
      </c>
      <c r="AE74" s="112" t="s">
        <v>37</v>
      </c>
      <c r="AF74" s="60"/>
    </row>
    <row r="75" s="56" customFormat="1" ht="25.5" spans="1:32">
      <c r="A75" s="64"/>
      <c r="B75" s="64"/>
      <c r="C75" s="64"/>
      <c r="D75" s="65"/>
      <c r="E75" s="77"/>
      <c r="F75" s="77"/>
      <c r="G75" s="64"/>
      <c r="H75" s="42"/>
      <c r="I75" s="42"/>
      <c r="J75" s="84"/>
      <c r="K75" s="84"/>
      <c r="L75" s="84"/>
      <c r="M75" s="41"/>
      <c r="N75" s="41"/>
      <c r="O75" s="41"/>
      <c r="P75" s="64"/>
      <c r="Q75" s="64"/>
      <c r="R75" s="64"/>
      <c r="S75" s="83"/>
      <c r="T75" s="77"/>
      <c r="U75" s="105" t="s">
        <v>326</v>
      </c>
      <c r="V75" s="105">
        <v>310300049</v>
      </c>
      <c r="W75" s="105" t="s">
        <v>327</v>
      </c>
      <c r="X75" s="105" t="s">
        <v>328</v>
      </c>
      <c r="Y75" s="105"/>
      <c r="Z75" s="105" t="s">
        <v>36</v>
      </c>
      <c r="AA75" s="110" t="s">
        <v>35</v>
      </c>
      <c r="AB75" s="50">
        <v>10.5</v>
      </c>
      <c r="AC75" s="50">
        <v>10</v>
      </c>
      <c r="AD75" s="50">
        <v>8.5</v>
      </c>
      <c r="AE75" s="112" t="s">
        <v>37</v>
      </c>
      <c r="AF75" s="60"/>
    </row>
    <row r="76" s="55" customFormat="1" ht="75" customHeight="1" spans="1:32">
      <c r="A76" s="64">
        <v>22</v>
      </c>
      <c r="B76" s="64" t="s">
        <v>329</v>
      </c>
      <c r="C76" s="64" t="s">
        <v>330</v>
      </c>
      <c r="D76" s="65" t="s">
        <v>331</v>
      </c>
      <c r="E76" s="77" t="s">
        <v>332</v>
      </c>
      <c r="F76" s="77" t="s">
        <v>35</v>
      </c>
      <c r="G76" s="64" t="s">
        <v>36</v>
      </c>
      <c r="H76" s="78">
        <v>114</v>
      </c>
      <c r="I76" s="78">
        <v>103</v>
      </c>
      <c r="J76" s="83">
        <v>84</v>
      </c>
      <c r="K76" s="83">
        <v>80</v>
      </c>
      <c r="L76" s="83">
        <v>68</v>
      </c>
      <c r="M76" s="41">
        <v>105</v>
      </c>
      <c r="N76" s="41">
        <v>95</v>
      </c>
      <c r="O76" s="41">
        <v>81</v>
      </c>
      <c r="P76" s="64" t="s">
        <v>37</v>
      </c>
      <c r="Q76" s="64" t="s">
        <v>35</v>
      </c>
      <c r="R76" s="64" t="s">
        <v>35</v>
      </c>
      <c r="S76" s="83" t="s">
        <v>333</v>
      </c>
      <c r="T76" s="77" t="s">
        <v>334</v>
      </c>
      <c r="U76" s="105" t="s">
        <v>335</v>
      </c>
      <c r="V76" s="105">
        <v>310300054</v>
      </c>
      <c r="W76" s="105" t="s">
        <v>336</v>
      </c>
      <c r="X76" s="105" t="s">
        <v>337</v>
      </c>
      <c r="Y76" s="105" t="s">
        <v>338</v>
      </c>
      <c r="Z76" s="105" t="s">
        <v>71</v>
      </c>
      <c r="AA76" s="110" t="s">
        <v>35</v>
      </c>
      <c r="AB76" s="50">
        <v>84</v>
      </c>
      <c r="AC76" s="50">
        <v>80</v>
      </c>
      <c r="AD76" s="50">
        <v>68</v>
      </c>
      <c r="AE76" s="112" t="s">
        <v>37</v>
      </c>
      <c r="AF76" s="60"/>
    </row>
    <row r="77" s="55" customFormat="1" ht="41" customHeight="1" spans="1:32">
      <c r="A77" s="64" t="s">
        <v>95</v>
      </c>
      <c r="B77" s="64" t="s">
        <v>339</v>
      </c>
      <c r="C77" s="64" t="s">
        <v>340</v>
      </c>
      <c r="D77" s="65"/>
      <c r="E77" s="77"/>
      <c r="F77" s="77" t="s">
        <v>35</v>
      </c>
      <c r="G77" s="64" t="s">
        <v>36</v>
      </c>
      <c r="H77" s="78">
        <v>114</v>
      </c>
      <c r="I77" s="78">
        <v>103</v>
      </c>
      <c r="J77" s="83"/>
      <c r="K77" s="83"/>
      <c r="L77" s="83"/>
      <c r="M77" s="41">
        <v>105</v>
      </c>
      <c r="N77" s="41">
        <v>95</v>
      </c>
      <c r="O77" s="41">
        <v>81</v>
      </c>
      <c r="P77" s="64" t="s">
        <v>37</v>
      </c>
      <c r="Q77" s="64" t="s">
        <v>35</v>
      </c>
      <c r="R77" s="64" t="s">
        <v>35</v>
      </c>
      <c r="S77" s="83"/>
      <c r="T77" s="77"/>
      <c r="U77" s="105" t="s">
        <v>341</v>
      </c>
      <c r="V77" s="105">
        <v>310300061</v>
      </c>
      <c r="W77" s="106" t="s">
        <v>342</v>
      </c>
      <c r="X77" s="105"/>
      <c r="Y77" s="105"/>
      <c r="Z77" s="105" t="s">
        <v>36</v>
      </c>
      <c r="AA77" s="110" t="s">
        <v>35</v>
      </c>
      <c r="AB77" s="50">
        <v>52.5</v>
      </c>
      <c r="AC77" s="50">
        <v>50</v>
      </c>
      <c r="AD77" s="50">
        <v>42.5</v>
      </c>
      <c r="AE77" s="112" t="s">
        <v>37</v>
      </c>
      <c r="AF77" s="60"/>
    </row>
    <row r="78" s="55" customFormat="1" ht="25.5" spans="1:32">
      <c r="A78" s="64">
        <v>23</v>
      </c>
      <c r="B78" s="64" t="s">
        <v>343</v>
      </c>
      <c r="C78" s="64" t="s">
        <v>344</v>
      </c>
      <c r="D78" s="65" t="s">
        <v>345</v>
      </c>
      <c r="E78" s="77" t="s">
        <v>346</v>
      </c>
      <c r="F78" s="77" t="s">
        <v>347</v>
      </c>
      <c r="G78" s="64" t="s">
        <v>110</v>
      </c>
      <c r="H78" s="78">
        <v>73</v>
      </c>
      <c r="I78" s="78">
        <v>66</v>
      </c>
      <c r="J78" s="84">
        <v>64.4993264481365</v>
      </c>
      <c r="K78" s="84">
        <v>58.3333333333333</v>
      </c>
      <c r="L78" s="83"/>
      <c r="M78" s="41">
        <v>65</v>
      </c>
      <c r="N78" s="41">
        <v>60</v>
      </c>
      <c r="O78" s="41">
        <v>50</v>
      </c>
      <c r="P78" s="64" t="s">
        <v>37</v>
      </c>
      <c r="Q78" s="64" t="s">
        <v>35</v>
      </c>
      <c r="R78" s="64" t="s">
        <v>348</v>
      </c>
      <c r="S78" s="83" t="s">
        <v>191</v>
      </c>
      <c r="T78" s="77" t="s">
        <v>349</v>
      </c>
      <c r="U78" s="105" t="s">
        <v>350</v>
      </c>
      <c r="V78" s="105">
        <v>310300065</v>
      </c>
      <c r="W78" s="106" t="s">
        <v>351</v>
      </c>
      <c r="X78" s="105" t="s">
        <v>352</v>
      </c>
      <c r="Y78" s="105"/>
      <c r="Z78" s="105" t="s">
        <v>71</v>
      </c>
      <c r="AA78" s="110" t="s">
        <v>35</v>
      </c>
      <c r="AB78" s="50">
        <v>52.5</v>
      </c>
      <c r="AC78" s="50">
        <v>50</v>
      </c>
      <c r="AD78" s="50">
        <v>42.5</v>
      </c>
      <c r="AE78" s="112" t="s">
        <v>37</v>
      </c>
      <c r="AF78" s="60"/>
    </row>
    <row r="79" s="55" customFormat="1" ht="25.5" spans="1:32">
      <c r="A79" s="64"/>
      <c r="B79" s="64"/>
      <c r="C79" s="64"/>
      <c r="D79" s="65"/>
      <c r="E79" s="77"/>
      <c r="F79" s="77"/>
      <c r="G79" s="64"/>
      <c r="H79" s="42"/>
      <c r="I79" s="42"/>
      <c r="J79" s="84"/>
      <c r="K79" s="84"/>
      <c r="L79" s="83"/>
      <c r="M79" s="41"/>
      <c r="N79" s="41"/>
      <c r="O79" s="41"/>
      <c r="P79" s="64"/>
      <c r="Q79" s="64"/>
      <c r="R79" s="64"/>
      <c r="S79" s="83"/>
      <c r="T79" s="77"/>
      <c r="U79" s="105" t="s">
        <v>353</v>
      </c>
      <c r="V79" s="105">
        <v>31030006501</v>
      </c>
      <c r="W79" s="106" t="s">
        <v>354</v>
      </c>
      <c r="X79" s="105"/>
      <c r="Y79" s="105"/>
      <c r="Z79" s="105" t="s">
        <v>71</v>
      </c>
      <c r="AA79" s="110" t="s">
        <v>355</v>
      </c>
      <c r="AB79" s="50">
        <v>52.5</v>
      </c>
      <c r="AC79" s="50">
        <v>50</v>
      </c>
      <c r="AD79" s="50">
        <v>42.5</v>
      </c>
      <c r="AE79" s="112" t="s">
        <v>37</v>
      </c>
      <c r="AF79" s="60"/>
    </row>
    <row r="80" s="55" customFormat="1" ht="25.5" spans="1:32">
      <c r="A80" s="64"/>
      <c r="B80" s="64"/>
      <c r="C80" s="64"/>
      <c r="D80" s="65"/>
      <c r="E80" s="77"/>
      <c r="F80" s="77"/>
      <c r="G80" s="64"/>
      <c r="H80" s="42"/>
      <c r="I80" s="42"/>
      <c r="J80" s="84"/>
      <c r="K80" s="84"/>
      <c r="L80" s="83"/>
      <c r="M80" s="41"/>
      <c r="N80" s="41"/>
      <c r="O80" s="41"/>
      <c r="P80" s="64"/>
      <c r="Q80" s="64"/>
      <c r="R80" s="64"/>
      <c r="S80" s="83"/>
      <c r="T80" s="77"/>
      <c r="U80" s="105" t="s">
        <v>356</v>
      </c>
      <c r="V80" s="105">
        <v>31030006502</v>
      </c>
      <c r="W80" s="106" t="s">
        <v>357</v>
      </c>
      <c r="X80" s="105"/>
      <c r="Y80" s="105"/>
      <c r="Z80" s="105" t="s">
        <v>71</v>
      </c>
      <c r="AA80" s="110" t="s">
        <v>358</v>
      </c>
      <c r="AB80" s="50">
        <v>52.5</v>
      </c>
      <c r="AC80" s="50">
        <v>50</v>
      </c>
      <c r="AD80" s="50">
        <v>42.5</v>
      </c>
      <c r="AE80" s="112" t="s">
        <v>37</v>
      </c>
      <c r="AF80" s="60"/>
    </row>
    <row r="81" s="55" customFormat="1" ht="25.5" spans="1:32">
      <c r="A81" s="64"/>
      <c r="B81" s="64"/>
      <c r="C81" s="64"/>
      <c r="D81" s="65"/>
      <c r="E81" s="77"/>
      <c r="F81" s="77"/>
      <c r="G81" s="64"/>
      <c r="H81" s="42"/>
      <c r="I81" s="42"/>
      <c r="J81" s="84"/>
      <c r="K81" s="84"/>
      <c r="L81" s="83"/>
      <c r="M81" s="41"/>
      <c r="N81" s="41"/>
      <c r="O81" s="41"/>
      <c r="P81" s="64"/>
      <c r="Q81" s="64"/>
      <c r="R81" s="64"/>
      <c r="S81" s="83"/>
      <c r="T81" s="77"/>
      <c r="U81" s="105" t="s">
        <v>359</v>
      </c>
      <c r="V81" s="105">
        <v>310300067</v>
      </c>
      <c r="W81" s="106" t="s">
        <v>360</v>
      </c>
      <c r="X81" s="105" t="s">
        <v>361</v>
      </c>
      <c r="Y81" s="105"/>
      <c r="Z81" s="105" t="s">
        <v>71</v>
      </c>
      <c r="AA81" s="110" t="s">
        <v>35</v>
      </c>
      <c r="AB81" s="50">
        <v>52.5</v>
      </c>
      <c r="AC81" s="50">
        <v>50</v>
      </c>
      <c r="AD81" s="50">
        <v>42.5</v>
      </c>
      <c r="AE81" s="112" t="s">
        <v>37</v>
      </c>
      <c r="AF81" s="60"/>
    </row>
    <row r="82" s="55" customFormat="1" ht="25.5" spans="1:32">
      <c r="A82" s="64"/>
      <c r="B82" s="64"/>
      <c r="C82" s="64"/>
      <c r="D82" s="65"/>
      <c r="E82" s="77"/>
      <c r="F82" s="77"/>
      <c r="G82" s="64"/>
      <c r="H82" s="42"/>
      <c r="I82" s="42"/>
      <c r="J82" s="84"/>
      <c r="K82" s="84"/>
      <c r="L82" s="83"/>
      <c r="M82" s="41"/>
      <c r="N82" s="41"/>
      <c r="O82" s="41"/>
      <c r="P82" s="64"/>
      <c r="Q82" s="64"/>
      <c r="R82" s="64"/>
      <c r="S82" s="83"/>
      <c r="T82" s="77"/>
      <c r="U82" s="105" t="s">
        <v>362</v>
      </c>
      <c r="V82" s="105">
        <v>310300068</v>
      </c>
      <c r="W82" s="106" t="s">
        <v>363</v>
      </c>
      <c r="X82" s="105" t="s">
        <v>364</v>
      </c>
      <c r="Y82" s="105"/>
      <c r="Z82" s="105" t="s">
        <v>71</v>
      </c>
      <c r="AA82" s="110" t="s">
        <v>365</v>
      </c>
      <c r="AB82" s="50">
        <v>52.5</v>
      </c>
      <c r="AC82" s="50">
        <v>50</v>
      </c>
      <c r="AD82" s="50">
        <v>42.5</v>
      </c>
      <c r="AE82" s="112" t="s">
        <v>37</v>
      </c>
      <c r="AF82" s="60"/>
    </row>
    <row r="83" s="55" customFormat="1" ht="25.5" spans="1:32">
      <c r="A83" s="64"/>
      <c r="B83" s="64"/>
      <c r="C83" s="64"/>
      <c r="D83" s="65"/>
      <c r="E83" s="77"/>
      <c r="F83" s="77"/>
      <c r="G83" s="64"/>
      <c r="H83" s="42"/>
      <c r="I83" s="42"/>
      <c r="J83" s="84"/>
      <c r="K83" s="84"/>
      <c r="L83" s="83"/>
      <c r="M83" s="41"/>
      <c r="N83" s="41"/>
      <c r="O83" s="41"/>
      <c r="P83" s="64"/>
      <c r="Q83" s="64"/>
      <c r="R83" s="64"/>
      <c r="S83" s="83"/>
      <c r="T83" s="77"/>
      <c r="U83" s="105" t="s">
        <v>366</v>
      </c>
      <c r="V83" s="105">
        <v>31030006801</v>
      </c>
      <c r="W83" s="106" t="s">
        <v>367</v>
      </c>
      <c r="X83" s="105"/>
      <c r="Y83" s="105"/>
      <c r="Z83" s="105" t="s">
        <v>71</v>
      </c>
      <c r="AA83" s="110" t="s">
        <v>368</v>
      </c>
      <c r="AB83" s="50">
        <v>105</v>
      </c>
      <c r="AC83" s="50">
        <v>100</v>
      </c>
      <c r="AD83" s="50">
        <v>85</v>
      </c>
      <c r="AE83" s="112" t="s">
        <v>37</v>
      </c>
      <c r="AF83" s="60"/>
    </row>
    <row r="84" s="55" customFormat="1" ht="51" spans="1:32">
      <c r="A84" s="64">
        <v>24</v>
      </c>
      <c r="B84" s="64" t="s">
        <v>369</v>
      </c>
      <c r="C84" s="64" t="s">
        <v>370</v>
      </c>
      <c r="D84" s="65" t="s">
        <v>371</v>
      </c>
      <c r="E84" s="77" t="s">
        <v>372</v>
      </c>
      <c r="F84" s="77" t="s">
        <v>35</v>
      </c>
      <c r="G84" s="64" t="s">
        <v>36</v>
      </c>
      <c r="H84" s="78">
        <v>5</v>
      </c>
      <c r="I84" s="78">
        <v>5</v>
      </c>
      <c r="J84" s="83">
        <v>5.3</v>
      </c>
      <c r="K84" s="83">
        <v>5</v>
      </c>
      <c r="L84" s="83">
        <v>4.3</v>
      </c>
      <c r="M84" s="94">
        <v>5</v>
      </c>
      <c r="N84" s="41">
        <v>4.8</v>
      </c>
      <c r="O84" s="41">
        <v>4.3</v>
      </c>
      <c r="P84" s="64" t="s">
        <v>37</v>
      </c>
      <c r="Q84" s="64" t="s">
        <v>35</v>
      </c>
      <c r="R84" s="64" t="s">
        <v>35</v>
      </c>
      <c r="S84" s="83" t="s">
        <v>38</v>
      </c>
      <c r="T84" s="77" t="s">
        <v>373</v>
      </c>
      <c r="U84" s="105" t="s">
        <v>374</v>
      </c>
      <c r="V84" s="105">
        <v>310300030</v>
      </c>
      <c r="W84" s="105" t="s">
        <v>375</v>
      </c>
      <c r="X84" s="105" t="s">
        <v>376</v>
      </c>
      <c r="Y84" s="105"/>
      <c r="Z84" s="105" t="s">
        <v>36</v>
      </c>
      <c r="AA84" s="110" t="s">
        <v>35</v>
      </c>
      <c r="AB84" s="50">
        <v>5.3</v>
      </c>
      <c r="AC84" s="50">
        <v>5</v>
      </c>
      <c r="AD84" s="50">
        <v>4.3</v>
      </c>
      <c r="AE84" s="112" t="s">
        <v>37</v>
      </c>
      <c r="AF84" s="60"/>
    </row>
    <row r="85" s="55" customFormat="1" ht="31" customHeight="1" spans="1:32">
      <c r="A85" s="64">
        <v>25</v>
      </c>
      <c r="B85" s="64" t="s">
        <v>377</v>
      </c>
      <c r="C85" s="64" t="s">
        <v>378</v>
      </c>
      <c r="D85" s="65" t="s">
        <v>379</v>
      </c>
      <c r="E85" s="77" t="s">
        <v>380</v>
      </c>
      <c r="F85" s="77" t="s">
        <v>35</v>
      </c>
      <c r="G85" s="64" t="s">
        <v>36</v>
      </c>
      <c r="H85" s="78">
        <v>11</v>
      </c>
      <c r="I85" s="78">
        <v>10</v>
      </c>
      <c r="J85" s="83">
        <v>10.5</v>
      </c>
      <c r="K85" s="83">
        <v>10</v>
      </c>
      <c r="L85" s="83">
        <v>8.5</v>
      </c>
      <c r="M85" s="41">
        <v>10.5</v>
      </c>
      <c r="N85" s="41">
        <v>10</v>
      </c>
      <c r="O85" s="41">
        <v>8.5</v>
      </c>
      <c r="P85" s="64" t="s">
        <v>37</v>
      </c>
      <c r="Q85" s="64" t="s">
        <v>35</v>
      </c>
      <c r="R85" s="64" t="s">
        <v>35</v>
      </c>
      <c r="S85" s="83" t="s">
        <v>381</v>
      </c>
      <c r="T85" s="77" t="s">
        <v>381</v>
      </c>
      <c r="U85" s="105" t="s">
        <v>382</v>
      </c>
      <c r="V85" s="105">
        <v>310300069</v>
      </c>
      <c r="W85" s="106" t="s">
        <v>383</v>
      </c>
      <c r="X85" s="105" t="s">
        <v>384</v>
      </c>
      <c r="Y85" s="105"/>
      <c r="Z85" s="105" t="s">
        <v>36</v>
      </c>
      <c r="AA85" s="110" t="s">
        <v>35</v>
      </c>
      <c r="AB85" s="50">
        <v>10.5</v>
      </c>
      <c r="AC85" s="50">
        <v>10</v>
      </c>
      <c r="AD85" s="50">
        <v>8.5</v>
      </c>
      <c r="AE85" s="112" t="s">
        <v>37</v>
      </c>
      <c r="AF85" s="60"/>
    </row>
    <row r="86" s="55" customFormat="1" ht="31" customHeight="1" spans="1:32">
      <c r="A86" s="64"/>
      <c r="B86" s="64"/>
      <c r="C86" s="64"/>
      <c r="D86" s="65"/>
      <c r="E86" s="77"/>
      <c r="F86" s="77"/>
      <c r="G86" s="64"/>
      <c r="H86" s="42"/>
      <c r="I86" s="42"/>
      <c r="J86" s="83"/>
      <c r="K86" s="83"/>
      <c r="L86" s="83"/>
      <c r="M86" s="41"/>
      <c r="N86" s="41"/>
      <c r="O86" s="41"/>
      <c r="P86" s="64"/>
      <c r="Q86" s="64"/>
      <c r="R86" s="64"/>
      <c r="S86" s="83"/>
      <c r="T86" s="77"/>
      <c r="U86" s="105" t="s">
        <v>385</v>
      </c>
      <c r="V86" s="105">
        <v>310300070</v>
      </c>
      <c r="W86" s="106" t="s">
        <v>386</v>
      </c>
      <c r="X86" s="105"/>
      <c r="Y86" s="105"/>
      <c r="Z86" s="105" t="s">
        <v>36</v>
      </c>
      <c r="AA86" s="110" t="s">
        <v>35</v>
      </c>
      <c r="AB86" s="50">
        <v>10.5</v>
      </c>
      <c r="AC86" s="50">
        <v>10</v>
      </c>
      <c r="AD86" s="50">
        <v>8.5</v>
      </c>
      <c r="AE86" s="112" t="s">
        <v>37</v>
      </c>
      <c r="AF86" s="60"/>
    </row>
    <row r="87" s="55" customFormat="1" ht="30" customHeight="1" spans="1:32">
      <c r="A87" s="64" t="s">
        <v>95</v>
      </c>
      <c r="B87" s="64" t="s">
        <v>387</v>
      </c>
      <c r="C87" s="64" t="s">
        <v>388</v>
      </c>
      <c r="D87" s="65"/>
      <c r="E87" s="77"/>
      <c r="F87" s="77"/>
      <c r="G87" s="64" t="s">
        <v>36</v>
      </c>
      <c r="H87" s="78">
        <v>3.3</v>
      </c>
      <c r="I87" s="78">
        <v>3</v>
      </c>
      <c r="J87" s="83"/>
      <c r="K87" s="83"/>
      <c r="L87" s="83"/>
      <c r="M87" s="41">
        <v>3.2</v>
      </c>
      <c r="N87" s="41">
        <v>3</v>
      </c>
      <c r="O87" s="41">
        <v>2.6</v>
      </c>
      <c r="P87" s="64" t="s">
        <v>37</v>
      </c>
      <c r="Q87" s="64" t="s">
        <v>35</v>
      </c>
      <c r="R87" s="64" t="s">
        <v>35</v>
      </c>
      <c r="S87" s="83"/>
      <c r="T87" s="77" t="s">
        <v>186</v>
      </c>
      <c r="U87" s="105"/>
      <c r="V87" s="105"/>
      <c r="W87" s="106"/>
      <c r="X87" s="105"/>
      <c r="Y87" s="105"/>
      <c r="Z87" s="105"/>
      <c r="AA87" s="110"/>
      <c r="AB87" s="50"/>
      <c r="AC87" s="50"/>
      <c r="AD87" s="50"/>
      <c r="AE87" s="112"/>
      <c r="AF87" s="60"/>
    </row>
    <row r="88" s="52" customFormat="1" ht="82" customHeight="1" spans="1:238">
      <c r="A88" s="64">
        <v>26</v>
      </c>
      <c r="B88" s="64" t="s">
        <v>389</v>
      </c>
      <c r="C88" s="64" t="s">
        <v>390</v>
      </c>
      <c r="D88" s="65" t="s">
        <v>391</v>
      </c>
      <c r="E88" s="77" t="s">
        <v>392</v>
      </c>
      <c r="F88" s="77" t="s">
        <v>35</v>
      </c>
      <c r="G88" s="64" t="s">
        <v>110</v>
      </c>
      <c r="H88" s="78">
        <v>10</v>
      </c>
      <c r="I88" s="78">
        <v>9</v>
      </c>
      <c r="J88" s="83">
        <v>10.5</v>
      </c>
      <c r="K88" s="83">
        <v>10</v>
      </c>
      <c r="L88" s="83">
        <v>8.5</v>
      </c>
      <c r="M88" s="94">
        <v>10</v>
      </c>
      <c r="N88" s="94">
        <v>9</v>
      </c>
      <c r="O88" s="94">
        <v>8</v>
      </c>
      <c r="P88" s="64" t="s">
        <v>37</v>
      </c>
      <c r="Q88" s="64" t="s">
        <v>35</v>
      </c>
      <c r="R88" s="64" t="s">
        <v>35</v>
      </c>
      <c r="S88" s="83" t="s">
        <v>38</v>
      </c>
      <c r="T88" s="77" t="s">
        <v>393</v>
      </c>
      <c r="U88" s="105" t="s">
        <v>394</v>
      </c>
      <c r="V88" s="105">
        <v>310300026</v>
      </c>
      <c r="W88" s="106" t="s">
        <v>395</v>
      </c>
      <c r="X88" s="105"/>
      <c r="Y88" s="105"/>
      <c r="Z88" s="105" t="s">
        <v>36</v>
      </c>
      <c r="AA88" s="110" t="s">
        <v>35</v>
      </c>
      <c r="AB88" s="50">
        <v>10.5</v>
      </c>
      <c r="AC88" s="50">
        <v>10</v>
      </c>
      <c r="AD88" s="50">
        <v>8.5</v>
      </c>
      <c r="AE88" s="112" t="s">
        <v>37</v>
      </c>
      <c r="AF88" s="60"/>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c r="BO88" s="55"/>
      <c r="BP88" s="55"/>
      <c r="BQ88" s="55"/>
      <c r="BR88" s="55"/>
      <c r="BS88" s="55"/>
      <c r="BT88" s="55"/>
      <c r="BU88" s="55"/>
      <c r="BV88" s="55"/>
      <c r="BW88" s="55"/>
      <c r="BX88" s="55"/>
      <c r="BY88" s="55"/>
      <c r="BZ88" s="55"/>
      <c r="CA88" s="55"/>
      <c r="CB88" s="55"/>
      <c r="CC88" s="55"/>
      <c r="CD88" s="55"/>
      <c r="CE88" s="55"/>
      <c r="CF88" s="55"/>
      <c r="CG88" s="55"/>
      <c r="CH88" s="55"/>
      <c r="CI88" s="55"/>
      <c r="CJ88" s="55"/>
      <c r="CK88" s="55"/>
      <c r="CL88" s="55"/>
      <c r="CM88" s="55"/>
      <c r="CN88" s="55"/>
      <c r="CO88" s="55"/>
      <c r="CP88" s="55"/>
      <c r="CQ88" s="55"/>
      <c r="CR88" s="55"/>
      <c r="CS88" s="55"/>
      <c r="CT88" s="55"/>
      <c r="CU88" s="55"/>
      <c r="CV88" s="55"/>
      <c r="CW88" s="55"/>
      <c r="CX88" s="55"/>
      <c r="CY88" s="55"/>
      <c r="CZ88" s="55"/>
      <c r="DA88" s="55"/>
      <c r="DB88" s="55"/>
      <c r="DC88" s="55"/>
      <c r="DD88" s="55"/>
      <c r="DE88" s="55"/>
      <c r="DF88" s="55"/>
      <c r="DG88" s="55"/>
      <c r="DH88" s="55"/>
      <c r="DI88" s="55"/>
      <c r="DJ88" s="55"/>
      <c r="DK88" s="55"/>
      <c r="DL88" s="55"/>
      <c r="DM88" s="55"/>
      <c r="DN88" s="55"/>
      <c r="DO88" s="55"/>
      <c r="DP88" s="55"/>
      <c r="DQ88" s="55"/>
      <c r="DR88" s="55"/>
      <c r="DS88" s="55"/>
      <c r="DT88" s="55"/>
      <c r="DU88" s="55"/>
      <c r="DV88" s="55"/>
      <c r="DW88" s="55"/>
      <c r="DX88" s="55"/>
      <c r="DY88" s="55"/>
      <c r="DZ88" s="55"/>
      <c r="EA88" s="55"/>
      <c r="EB88" s="55"/>
      <c r="EC88" s="55"/>
      <c r="ED88" s="55"/>
      <c r="EE88" s="55"/>
      <c r="EF88" s="55"/>
      <c r="EG88" s="55"/>
      <c r="EH88" s="55"/>
      <c r="EI88" s="55"/>
      <c r="EJ88" s="55"/>
      <c r="EK88" s="55"/>
      <c r="EL88" s="55"/>
      <c r="EM88" s="55"/>
      <c r="EN88" s="55"/>
      <c r="EO88" s="55"/>
      <c r="EP88" s="55"/>
      <c r="EQ88" s="55"/>
      <c r="ER88" s="55"/>
      <c r="ES88" s="55"/>
      <c r="ET88" s="55"/>
      <c r="EU88" s="55"/>
      <c r="EV88" s="55"/>
      <c r="EW88" s="55"/>
      <c r="EX88" s="55"/>
      <c r="EY88" s="55"/>
      <c r="EZ88" s="55"/>
      <c r="FA88" s="55"/>
      <c r="FB88" s="55"/>
      <c r="FC88" s="55"/>
      <c r="FD88" s="55"/>
      <c r="FE88" s="55"/>
      <c r="FF88" s="55"/>
      <c r="FG88" s="55"/>
      <c r="FH88" s="55"/>
      <c r="FI88" s="55"/>
      <c r="FJ88" s="55"/>
      <c r="FK88" s="55"/>
      <c r="FL88" s="55"/>
      <c r="FM88" s="55"/>
      <c r="FN88" s="55"/>
      <c r="FO88" s="55"/>
      <c r="FP88" s="55"/>
      <c r="FQ88" s="55"/>
      <c r="FR88" s="55"/>
      <c r="FS88" s="55"/>
      <c r="FT88" s="55"/>
      <c r="FU88" s="55"/>
      <c r="FV88" s="55"/>
      <c r="FW88" s="55"/>
      <c r="FX88" s="55"/>
      <c r="FY88" s="55"/>
      <c r="FZ88" s="55"/>
      <c r="GA88" s="55"/>
      <c r="GB88" s="55"/>
      <c r="GC88" s="55"/>
      <c r="GD88" s="55"/>
      <c r="GE88" s="55"/>
      <c r="GF88" s="55"/>
      <c r="GG88" s="55"/>
      <c r="GH88" s="55"/>
      <c r="GI88" s="55"/>
      <c r="GJ88" s="55"/>
      <c r="GK88" s="55"/>
      <c r="GL88" s="55"/>
      <c r="GM88" s="55"/>
      <c r="GN88" s="55"/>
      <c r="GO88" s="55"/>
      <c r="GP88" s="55"/>
      <c r="GQ88" s="55"/>
      <c r="GR88" s="55"/>
      <c r="GS88" s="55"/>
      <c r="GT88" s="55"/>
      <c r="GU88" s="55"/>
      <c r="GV88" s="55"/>
      <c r="GW88" s="55"/>
      <c r="GX88" s="55"/>
      <c r="GY88" s="55"/>
      <c r="GZ88" s="55"/>
      <c r="HA88" s="55"/>
      <c r="HB88" s="55"/>
      <c r="HC88" s="55"/>
      <c r="HD88" s="55"/>
      <c r="HE88" s="55"/>
      <c r="HF88" s="55"/>
      <c r="HG88" s="55"/>
      <c r="HH88" s="55"/>
      <c r="HI88" s="55"/>
      <c r="HJ88" s="55"/>
      <c r="HK88" s="55"/>
      <c r="HL88" s="55"/>
      <c r="HM88" s="55"/>
      <c r="HN88" s="55"/>
      <c r="HO88" s="55"/>
      <c r="HP88" s="55"/>
      <c r="HQ88" s="55"/>
      <c r="HR88" s="55"/>
      <c r="HS88" s="55"/>
      <c r="HT88" s="55"/>
      <c r="HU88" s="55"/>
      <c r="HV88" s="55"/>
      <c r="HW88" s="55"/>
      <c r="HX88" s="55"/>
      <c r="HY88" s="55"/>
      <c r="HZ88" s="55"/>
      <c r="IA88" s="55"/>
      <c r="IB88" s="55"/>
      <c r="IC88" s="55"/>
      <c r="ID88" s="55"/>
    </row>
    <row r="89" s="55" customFormat="1" ht="59" customHeight="1" spans="1:248">
      <c r="A89" s="64">
        <v>27</v>
      </c>
      <c r="B89" s="64" t="s">
        <v>396</v>
      </c>
      <c r="C89" s="64" t="s">
        <v>397</v>
      </c>
      <c r="D89" s="65" t="s">
        <v>398</v>
      </c>
      <c r="E89" s="77" t="s">
        <v>399</v>
      </c>
      <c r="F89" s="77" t="s">
        <v>35</v>
      </c>
      <c r="G89" s="64" t="s">
        <v>110</v>
      </c>
      <c r="H89" s="78">
        <v>9</v>
      </c>
      <c r="I89" s="78">
        <v>8</v>
      </c>
      <c r="J89" s="83"/>
      <c r="K89" s="83"/>
      <c r="L89" s="83"/>
      <c r="M89" s="89">
        <v>8.5</v>
      </c>
      <c r="N89" s="89">
        <v>7</v>
      </c>
      <c r="O89" s="89">
        <v>6.3</v>
      </c>
      <c r="P89" s="148" t="s">
        <v>37</v>
      </c>
      <c r="Q89" s="148" t="s">
        <v>35</v>
      </c>
      <c r="R89" s="148" t="s">
        <v>35</v>
      </c>
      <c r="S89" s="83" t="s">
        <v>400</v>
      </c>
      <c r="T89" s="104" t="s">
        <v>401</v>
      </c>
      <c r="U89" s="105"/>
      <c r="V89" s="105"/>
      <c r="W89" s="106"/>
      <c r="X89" s="105"/>
      <c r="Y89" s="105"/>
      <c r="Z89" s="105"/>
      <c r="AA89" s="110"/>
      <c r="AB89" s="50"/>
      <c r="AC89" s="50"/>
      <c r="AD89" s="50"/>
      <c r="AE89" s="112"/>
      <c r="AF89" s="60"/>
      <c r="IE89" s="52"/>
      <c r="IF89" s="52"/>
      <c r="IG89" s="52"/>
      <c r="IH89" s="52"/>
      <c r="II89" s="52"/>
      <c r="IJ89" s="52"/>
      <c r="IK89" s="52"/>
      <c r="IL89" s="52"/>
      <c r="IM89" s="52"/>
      <c r="IN89" s="52"/>
    </row>
    <row r="90" s="52" customFormat="1" ht="83" customHeight="1" spans="1:238">
      <c r="A90" s="64">
        <v>28</v>
      </c>
      <c r="B90" s="64" t="s">
        <v>402</v>
      </c>
      <c r="C90" s="64" t="s">
        <v>403</v>
      </c>
      <c r="D90" s="65" t="s">
        <v>404</v>
      </c>
      <c r="E90" s="77" t="s">
        <v>405</v>
      </c>
      <c r="F90" s="77" t="s">
        <v>35</v>
      </c>
      <c r="G90" s="64" t="s">
        <v>36</v>
      </c>
      <c r="H90" s="78">
        <v>77</v>
      </c>
      <c r="I90" s="78">
        <v>69</v>
      </c>
      <c r="J90" s="83">
        <v>73.5</v>
      </c>
      <c r="K90" s="83">
        <v>70</v>
      </c>
      <c r="L90" s="83">
        <v>59.5</v>
      </c>
      <c r="M90" s="94">
        <v>74</v>
      </c>
      <c r="N90" s="94">
        <v>69</v>
      </c>
      <c r="O90" s="94">
        <v>60</v>
      </c>
      <c r="P90" s="64" t="s">
        <v>37</v>
      </c>
      <c r="Q90" s="64" t="s">
        <v>35</v>
      </c>
      <c r="R90" s="64" t="s">
        <v>35</v>
      </c>
      <c r="S90" s="83" t="s">
        <v>38</v>
      </c>
      <c r="T90" s="77" t="s">
        <v>208</v>
      </c>
      <c r="U90" s="105" t="s">
        <v>406</v>
      </c>
      <c r="V90" s="105">
        <v>310401021</v>
      </c>
      <c r="W90" s="105" t="s">
        <v>407</v>
      </c>
      <c r="X90" s="105" t="s">
        <v>408</v>
      </c>
      <c r="Y90" s="105"/>
      <c r="Z90" s="105" t="s">
        <v>36</v>
      </c>
      <c r="AA90" s="110" t="s">
        <v>35</v>
      </c>
      <c r="AB90" s="50">
        <v>73.5</v>
      </c>
      <c r="AC90" s="50">
        <v>70</v>
      </c>
      <c r="AD90" s="50">
        <v>59.5</v>
      </c>
      <c r="AE90" s="112" t="s">
        <v>37</v>
      </c>
      <c r="AF90" s="60"/>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c r="CI90" s="55"/>
      <c r="CJ90" s="55"/>
      <c r="CK90" s="55"/>
      <c r="CL90" s="55"/>
      <c r="CM90" s="55"/>
      <c r="CN90" s="55"/>
      <c r="CO90" s="55"/>
      <c r="CP90" s="55"/>
      <c r="CQ90" s="55"/>
      <c r="CR90" s="55"/>
      <c r="CS90" s="55"/>
      <c r="CT90" s="55"/>
      <c r="CU90" s="55"/>
      <c r="CV90" s="55"/>
      <c r="CW90" s="55"/>
      <c r="CX90" s="55"/>
      <c r="CY90" s="55"/>
      <c r="CZ90" s="55"/>
      <c r="DA90" s="55"/>
      <c r="DB90" s="55"/>
      <c r="DC90" s="55"/>
      <c r="DD90" s="55"/>
      <c r="DE90" s="55"/>
      <c r="DF90" s="55"/>
      <c r="DG90" s="55"/>
      <c r="DH90" s="55"/>
      <c r="DI90" s="55"/>
      <c r="DJ90" s="55"/>
      <c r="DK90" s="55"/>
      <c r="DL90" s="55"/>
      <c r="DM90" s="55"/>
      <c r="DN90" s="55"/>
      <c r="DO90" s="55"/>
      <c r="DP90" s="55"/>
      <c r="DQ90" s="55"/>
      <c r="DR90" s="55"/>
      <c r="DS90" s="55"/>
      <c r="DT90" s="55"/>
      <c r="DU90" s="55"/>
      <c r="DV90" s="55"/>
      <c r="DW90" s="55"/>
      <c r="DX90" s="55"/>
      <c r="DY90" s="55"/>
      <c r="DZ90" s="55"/>
      <c r="EA90" s="55"/>
      <c r="EB90" s="55"/>
      <c r="EC90" s="55"/>
      <c r="ED90" s="55"/>
      <c r="EE90" s="55"/>
      <c r="EF90" s="55"/>
      <c r="EG90" s="55"/>
      <c r="EH90" s="55"/>
      <c r="EI90" s="55"/>
      <c r="EJ90" s="55"/>
      <c r="EK90" s="55"/>
      <c r="EL90" s="55"/>
      <c r="EM90" s="55"/>
      <c r="EN90" s="55"/>
      <c r="EO90" s="55"/>
      <c r="EP90" s="55"/>
      <c r="EQ90" s="55"/>
      <c r="ER90" s="55"/>
      <c r="ES90" s="55"/>
      <c r="ET90" s="55"/>
      <c r="EU90" s="55"/>
      <c r="EV90" s="55"/>
      <c r="EW90" s="55"/>
      <c r="EX90" s="55"/>
      <c r="EY90" s="55"/>
      <c r="EZ90" s="55"/>
      <c r="FA90" s="55"/>
      <c r="FB90" s="55"/>
      <c r="FC90" s="55"/>
      <c r="FD90" s="55"/>
      <c r="FE90" s="55"/>
      <c r="FF90" s="55"/>
      <c r="FG90" s="55"/>
      <c r="FH90" s="55"/>
      <c r="FI90" s="55"/>
      <c r="FJ90" s="55"/>
      <c r="FK90" s="55"/>
      <c r="FL90" s="55"/>
      <c r="FM90" s="55"/>
      <c r="FN90" s="55"/>
      <c r="FO90" s="55"/>
      <c r="FP90" s="55"/>
      <c r="FQ90" s="55"/>
      <c r="FR90" s="55"/>
      <c r="FS90" s="55"/>
      <c r="FT90" s="55"/>
      <c r="FU90" s="55"/>
      <c r="FV90" s="55"/>
      <c r="FW90" s="55"/>
      <c r="FX90" s="55"/>
      <c r="FY90" s="55"/>
      <c r="FZ90" s="55"/>
      <c r="GA90" s="55"/>
      <c r="GB90" s="55"/>
      <c r="GC90" s="55"/>
      <c r="GD90" s="55"/>
      <c r="GE90" s="55"/>
      <c r="GF90" s="55"/>
      <c r="GG90" s="55"/>
      <c r="GH90" s="55"/>
      <c r="GI90" s="55"/>
      <c r="GJ90" s="55"/>
      <c r="GK90" s="55"/>
      <c r="GL90" s="55"/>
      <c r="GM90" s="55"/>
      <c r="GN90" s="55"/>
      <c r="GO90" s="55"/>
      <c r="GP90" s="55"/>
      <c r="GQ90" s="55"/>
      <c r="GR90" s="55"/>
      <c r="GS90" s="55"/>
      <c r="GT90" s="55"/>
      <c r="GU90" s="55"/>
      <c r="GV90" s="55"/>
      <c r="GW90" s="55"/>
      <c r="GX90" s="55"/>
      <c r="GY90" s="55"/>
      <c r="GZ90" s="55"/>
      <c r="HA90" s="55"/>
      <c r="HB90" s="55"/>
      <c r="HC90" s="55"/>
      <c r="HD90" s="55"/>
      <c r="HE90" s="55"/>
      <c r="HF90" s="55"/>
      <c r="HG90" s="55"/>
      <c r="HH90" s="55"/>
      <c r="HI90" s="55"/>
      <c r="HJ90" s="55"/>
      <c r="HK90" s="55"/>
      <c r="HL90" s="55"/>
      <c r="HM90" s="55"/>
      <c r="HN90" s="55"/>
      <c r="HO90" s="55"/>
      <c r="HP90" s="55"/>
      <c r="HQ90" s="55"/>
      <c r="HR90" s="55"/>
      <c r="HS90" s="55"/>
      <c r="HT90" s="55"/>
      <c r="HU90" s="55"/>
      <c r="HV90" s="55"/>
      <c r="HW90" s="55"/>
      <c r="HX90" s="55"/>
      <c r="HY90" s="55"/>
      <c r="HZ90" s="55"/>
      <c r="IA90" s="55"/>
      <c r="IB90" s="55"/>
      <c r="IC90" s="55"/>
      <c r="ID90" s="55"/>
    </row>
    <row r="91" s="52" customFormat="1" ht="72" customHeight="1" spans="1:238">
      <c r="A91" s="64">
        <v>29</v>
      </c>
      <c r="B91" s="64" t="s">
        <v>409</v>
      </c>
      <c r="C91" s="64" t="s">
        <v>410</v>
      </c>
      <c r="D91" s="65" t="s">
        <v>411</v>
      </c>
      <c r="E91" s="77" t="s">
        <v>412</v>
      </c>
      <c r="F91" s="77" t="s">
        <v>35</v>
      </c>
      <c r="G91" s="64" t="s">
        <v>36</v>
      </c>
      <c r="H91" s="78">
        <v>8</v>
      </c>
      <c r="I91" s="78">
        <v>7</v>
      </c>
      <c r="J91" s="83">
        <v>8.4</v>
      </c>
      <c r="K91" s="83">
        <v>8</v>
      </c>
      <c r="L91" s="83">
        <v>6.8</v>
      </c>
      <c r="M91" s="94">
        <v>8</v>
      </c>
      <c r="N91" s="94">
        <v>7</v>
      </c>
      <c r="O91" s="94">
        <v>6</v>
      </c>
      <c r="P91" s="64" t="s">
        <v>37</v>
      </c>
      <c r="Q91" s="64" t="s">
        <v>35</v>
      </c>
      <c r="R91" s="64" t="s">
        <v>35</v>
      </c>
      <c r="S91" s="83" t="s">
        <v>38</v>
      </c>
      <c r="T91" s="77" t="s">
        <v>393</v>
      </c>
      <c r="U91" s="105" t="s">
        <v>413</v>
      </c>
      <c r="V91" s="105">
        <v>310300011</v>
      </c>
      <c r="W91" s="106" t="s">
        <v>414</v>
      </c>
      <c r="X91" s="105" t="s">
        <v>415</v>
      </c>
      <c r="Y91" s="105"/>
      <c r="Z91" s="105" t="s">
        <v>36</v>
      </c>
      <c r="AA91" s="110" t="s">
        <v>35</v>
      </c>
      <c r="AB91" s="50">
        <v>8.4</v>
      </c>
      <c r="AC91" s="50">
        <v>8</v>
      </c>
      <c r="AD91" s="50">
        <v>6.8</v>
      </c>
      <c r="AE91" s="112" t="s">
        <v>37</v>
      </c>
      <c r="AF91" s="60"/>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55"/>
      <c r="CJ91" s="55"/>
      <c r="CK91" s="55"/>
      <c r="CL91" s="55"/>
      <c r="CM91" s="55"/>
      <c r="CN91" s="55"/>
      <c r="CO91" s="55"/>
      <c r="CP91" s="55"/>
      <c r="CQ91" s="55"/>
      <c r="CR91" s="55"/>
      <c r="CS91" s="55"/>
      <c r="CT91" s="55"/>
      <c r="CU91" s="55"/>
      <c r="CV91" s="55"/>
      <c r="CW91" s="55"/>
      <c r="CX91" s="55"/>
      <c r="CY91" s="55"/>
      <c r="CZ91" s="55"/>
      <c r="DA91" s="55"/>
      <c r="DB91" s="55"/>
      <c r="DC91" s="55"/>
      <c r="DD91" s="55"/>
      <c r="DE91" s="55"/>
      <c r="DF91" s="55"/>
      <c r="DG91" s="55"/>
      <c r="DH91" s="55"/>
      <c r="DI91" s="55"/>
      <c r="DJ91" s="55"/>
      <c r="DK91" s="55"/>
      <c r="DL91" s="55"/>
      <c r="DM91" s="55"/>
      <c r="DN91" s="55"/>
      <c r="DO91" s="55"/>
      <c r="DP91" s="55"/>
      <c r="DQ91" s="55"/>
      <c r="DR91" s="55"/>
      <c r="DS91" s="55"/>
      <c r="DT91" s="55"/>
      <c r="DU91" s="55"/>
      <c r="DV91" s="55"/>
      <c r="DW91" s="55"/>
      <c r="DX91" s="55"/>
      <c r="DY91" s="55"/>
      <c r="DZ91" s="55"/>
      <c r="EA91" s="55"/>
      <c r="EB91" s="55"/>
      <c r="EC91" s="55"/>
      <c r="ED91" s="55"/>
      <c r="EE91" s="55"/>
      <c r="EF91" s="55"/>
      <c r="EG91" s="55"/>
      <c r="EH91" s="55"/>
      <c r="EI91" s="55"/>
      <c r="EJ91" s="55"/>
      <c r="EK91" s="55"/>
      <c r="EL91" s="55"/>
      <c r="EM91" s="55"/>
      <c r="EN91" s="55"/>
      <c r="EO91" s="55"/>
      <c r="EP91" s="55"/>
      <c r="EQ91" s="55"/>
      <c r="ER91" s="55"/>
      <c r="ES91" s="55"/>
      <c r="ET91" s="55"/>
      <c r="EU91" s="55"/>
      <c r="EV91" s="55"/>
      <c r="EW91" s="55"/>
      <c r="EX91" s="55"/>
      <c r="EY91" s="55"/>
      <c r="EZ91" s="55"/>
      <c r="FA91" s="55"/>
      <c r="FB91" s="55"/>
      <c r="FC91" s="55"/>
      <c r="FD91" s="55"/>
      <c r="FE91" s="55"/>
      <c r="FF91" s="55"/>
      <c r="FG91" s="55"/>
      <c r="FH91" s="55"/>
      <c r="FI91" s="55"/>
      <c r="FJ91" s="55"/>
      <c r="FK91" s="55"/>
      <c r="FL91" s="55"/>
      <c r="FM91" s="55"/>
      <c r="FN91" s="55"/>
      <c r="FO91" s="55"/>
      <c r="FP91" s="55"/>
      <c r="FQ91" s="55"/>
      <c r="FR91" s="55"/>
      <c r="FS91" s="55"/>
      <c r="FT91" s="55"/>
      <c r="FU91" s="55"/>
      <c r="FV91" s="55"/>
      <c r="FW91" s="55"/>
      <c r="FX91" s="55"/>
      <c r="FY91" s="55"/>
      <c r="FZ91" s="55"/>
      <c r="GA91" s="55"/>
      <c r="GB91" s="55"/>
      <c r="GC91" s="55"/>
      <c r="GD91" s="55"/>
      <c r="GE91" s="55"/>
      <c r="GF91" s="55"/>
      <c r="GG91" s="55"/>
      <c r="GH91" s="55"/>
      <c r="GI91" s="55"/>
      <c r="GJ91" s="55"/>
      <c r="GK91" s="55"/>
      <c r="GL91" s="55"/>
      <c r="GM91" s="55"/>
      <c r="GN91" s="55"/>
      <c r="GO91" s="55"/>
      <c r="GP91" s="55"/>
      <c r="GQ91" s="55"/>
      <c r="GR91" s="55"/>
      <c r="GS91" s="55"/>
      <c r="GT91" s="55"/>
      <c r="GU91" s="55"/>
      <c r="GV91" s="55"/>
      <c r="GW91" s="55"/>
      <c r="GX91" s="55"/>
      <c r="GY91" s="55"/>
      <c r="GZ91" s="55"/>
      <c r="HA91" s="55"/>
      <c r="HB91" s="55"/>
      <c r="HC91" s="55"/>
      <c r="HD91" s="55"/>
      <c r="HE91" s="55"/>
      <c r="HF91" s="55"/>
      <c r="HG91" s="55"/>
      <c r="HH91" s="55"/>
      <c r="HI91" s="55"/>
      <c r="HJ91" s="55"/>
      <c r="HK91" s="55"/>
      <c r="HL91" s="55"/>
      <c r="HM91" s="55"/>
      <c r="HN91" s="55"/>
      <c r="HO91" s="55"/>
      <c r="HP91" s="55"/>
      <c r="HQ91" s="55"/>
      <c r="HR91" s="55"/>
      <c r="HS91" s="55"/>
      <c r="HT91" s="55"/>
      <c r="HU91" s="55"/>
      <c r="HV91" s="55"/>
      <c r="HW91" s="55"/>
      <c r="HX91" s="55"/>
      <c r="HY91" s="55"/>
      <c r="HZ91" s="55"/>
      <c r="IA91" s="55"/>
      <c r="IB91" s="55"/>
      <c r="IC91" s="55"/>
      <c r="ID91" s="55"/>
    </row>
    <row r="92" s="52" customFormat="1" ht="40" customHeight="1" spans="1:238">
      <c r="A92" s="64" t="s">
        <v>95</v>
      </c>
      <c r="B92" s="64" t="s">
        <v>416</v>
      </c>
      <c r="C92" s="64" t="s">
        <v>417</v>
      </c>
      <c r="D92" s="65"/>
      <c r="E92" s="77"/>
      <c r="F92" s="77" t="s">
        <v>35</v>
      </c>
      <c r="G92" s="64" t="s">
        <v>36</v>
      </c>
      <c r="H92" s="78">
        <v>2.4</v>
      </c>
      <c r="I92" s="78">
        <v>2.1</v>
      </c>
      <c r="J92" s="83"/>
      <c r="K92" s="83"/>
      <c r="L92" s="83"/>
      <c r="M92" s="41">
        <v>2.4</v>
      </c>
      <c r="N92" s="41">
        <v>2.1</v>
      </c>
      <c r="O92" s="41">
        <v>1.8</v>
      </c>
      <c r="P92" s="64" t="s">
        <v>37</v>
      </c>
      <c r="Q92" s="64" t="s">
        <v>35</v>
      </c>
      <c r="R92" s="64" t="s">
        <v>35</v>
      </c>
      <c r="S92" s="83"/>
      <c r="T92" s="77" t="s">
        <v>186</v>
      </c>
      <c r="U92" s="105"/>
      <c r="V92" s="105"/>
      <c r="W92" s="106"/>
      <c r="X92" s="105"/>
      <c r="Y92" s="105"/>
      <c r="Z92" s="105"/>
      <c r="AA92" s="110"/>
      <c r="AB92" s="50"/>
      <c r="AC92" s="50"/>
      <c r="AD92" s="50"/>
      <c r="AE92" s="112"/>
      <c r="AF92" s="60"/>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c r="CW92" s="55"/>
      <c r="CX92" s="55"/>
      <c r="CY92" s="55"/>
      <c r="CZ92" s="55"/>
      <c r="DA92" s="55"/>
      <c r="DB92" s="55"/>
      <c r="DC92" s="55"/>
      <c r="DD92" s="55"/>
      <c r="DE92" s="55"/>
      <c r="DF92" s="55"/>
      <c r="DG92" s="55"/>
      <c r="DH92" s="55"/>
      <c r="DI92" s="55"/>
      <c r="DJ92" s="55"/>
      <c r="DK92" s="55"/>
      <c r="DL92" s="55"/>
      <c r="DM92" s="55"/>
      <c r="DN92" s="55"/>
      <c r="DO92" s="55"/>
      <c r="DP92" s="55"/>
      <c r="DQ92" s="55"/>
      <c r="DR92" s="55"/>
      <c r="DS92" s="55"/>
      <c r="DT92" s="55"/>
      <c r="DU92" s="55"/>
      <c r="DV92" s="55"/>
      <c r="DW92" s="55"/>
      <c r="DX92" s="55"/>
      <c r="DY92" s="55"/>
      <c r="DZ92" s="55"/>
      <c r="EA92" s="55"/>
      <c r="EB92" s="55"/>
      <c r="EC92" s="55"/>
      <c r="ED92" s="55"/>
      <c r="EE92" s="55"/>
      <c r="EF92" s="55"/>
      <c r="EG92" s="55"/>
      <c r="EH92" s="55"/>
      <c r="EI92" s="55"/>
      <c r="EJ92" s="55"/>
      <c r="EK92" s="55"/>
      <c r="EL92" s="55"/>
      <c r="EM92" s="55"/>
      <c r="EN92" s="55"/>
      <c r="EO92" s="55"/>
      <c r="EP92" s="55"/>
      <c r="EQ92" s="55"/>
      <c r="ER92" s="55"/>
      <c r="ES92" s="55"/>
      <c r="ET92" s="55"/>
      <c r="EU92" s="55"/>
      <c r="EV92" s="55"/>
      <c r="EW92" s="55"/>
      <c r="EX92" s="55"/>
      <c r="EY92" s="55"/>
      <c r="EZ92" s="55"/>
      <c r="FA92" s="55"/>
      <c r="FB92" s="55"/>
      <c r="FC92" s="55"/>
      <c r="FD92" s="55"/>
      <c r="FE92" s="55"/>
      <c r="FF92" s="55"/>
      <c r="FG92" s="55"/>
      <c r="FH92" s="55"/>
      <c r="FI92" s="55"/>
      <c r="FJ92" s="55"/>
      <c r="FK92" s="55"/>
      <c r="FL92" s="55"/>
      <c r="FM92" s="55"/>
      <c r="FN92" s="55"/>
      <c r="FO92" s="55"/>
      <c r="FP92" s="55"/>
      <c r="FQ92" s="55"/>
      <c r="FR92" s="55"/>
      <c r="FS92" s="55"/>
      <c r="FT92" s="55"/>
      <c r="FU92" s="55"/>
      <c r="FV92" s="55"/>
      <c r="FW92" s="55"/>
      <c r="FX92" s="55"/>
      <c r="FY92" s="55"/>
      <c r="FZ92" s="55"/>
      <c r="GA92" s="55"/>
      <c r="GB92" s="55"/>
      <c r="GC92" s="55"/>
      <c r="GD92" s="55"/>
      <c r="GE92" s="55"/>
      <c r="GF92" s="55"/>
      <c r="GG92" s="55"/>
      <c r="GH92" s="55"/>
      <c r="GI92" s="55"/>
      <c r="GJ92" s="55"/>
      <c r="GK92" s="55"/>
      <c r="GL92" s="55"/>
      <c r="GM92" s="55"/>
      <c r="GN92" s="55"/>
      <c r="GO92" s="55"/>
      <c r="GP92" s="55"/>
      <c r="GQ92" s="55"/>
      <c r="GR92" s="55"/>
      <c r="GS92" s="55"/>
      <c r="GT92" s="55"/>
      <c r="GU92" s="55"/>
      <c r="GV92" s="55"/>
      <c r="GW92" s="55"/>
      <c r="GX92" s="55"/>
      <c r="GY92" s="55"/>
      <c r="GZ92" s="55"/>
      <c r="HA92" s="55"/>
      <c r="HB92" s="55"/>
      <c r="HC92" s="55"/>
      <c r="HD92" s="55"/>
      <c r="HE92" s="55"/>
      <c r="HF92" s="55"/>
      <c r="HG92" s="55"/>
      <c r="HH92" s="55"/>
      <c r="HI92" s="55"/>
      <c r="HJ92" s="55"/>
      <c r="HK92" s="55"/>
      <c r="HL92" s="55"/>
      <c r="HM92" s="55"/>
      <c r="HN92" s="55"/>
      <c r="HO92" s="55"/>
      <c r="HP92" s="55"/>
      <c r="HQ92" s="55"/>
      <c r="HR92" s="55"/>
      <c r="HS92" s="55"/>
      <c r="HT92" s="55"/>
      <c r="HU92" s="55"/>
      <c r="HV92" s="55"/>
      <c r="HW92" s="55"/>
      <c r="HX92" s="55"/>
      <c r="HY92" s="55"/>
      <c r="HZ92" s="55"/>
      <c r="IA92" s="55"/>
      <c r="IB92" s="55"/>
      <c r="IC92" s="55"/>
      <c r="ID92" s="55"/>
    </row>
    <row r="93" s="52" customFormat="1" ht="79" customHeight="1" spans="1:238">
      <c r="A93" s="64">
        <v>30</v>
      </c>
      <c r="B93" s="64" t="s">
        <v>418</v>
      </c>
      <c r="C93" s="64" t="s">
        <v>419</v>
      </c>
      <c r="D93" s="65" t="s">
        <v>420</v>
      </c>
      <c r="E93" s="77" t="s">
        <v>421</v>
      </c>
      <c r="F93" s="77" t="s">
        <v>35</v>
      </c>
      <c r="G93" s="64" t="s">
        <v>110</v>
      </c>
      <c r="H93" s="78">
        <v>11</v>
      </c>
      <c r="I93" s="78">
        <v>10</v>
      </c>
      <c r="J93" s="83">
        <v>10.5</v>
      </c>
      <c r="K93" s="83">
        <v>10</v>
      </c>
      <c r="L93" s="83">
        <v>8.5</v>
      </c>
      <c r="M93" s="41">
        <v>10.5</v>
      </c>
      <c r="N93" s="41">
        <v>10</v>
      </c>
      <c r="O93" s="41">
        <v>8.5</v>
      </c>
      <c r="P93" s="64" t="s">
        <v>37</v>
      </c>
      <c r="Q93" s="64" t="s">
        <v>35</v>
      </c>
      <c r="R93" s="64" t="s">
        <v>35</v>
      </c>
      <c r="S93" s="83" t="s">
        <v>381</v>
      </c>
      <c r="T93" s="77" t="s">
        <v>381</v>
      </c>
      <c r="U93" s="105" t="s">
        <v>422</v>
      </c>
      <c r="V93" s="105">
        <v>310300050</v>
      </c>
      <c r="W93" s="106" t="s">
        <v>423</v>
      </c>
      <c r="X93" s="105"/>
      <c r="Y93" s="105"/>
      <c r="Z93" s="105" t="s">
        <v>36</v>
      </c>
      <c r="AA93" s="110" t="s">
        <v>35</v>
      </c>
      <c r="AB93" s="50">
        <v>10.5</v>
      </c>
      <c r="AC93" s="50">
        <v>10</v>
      </c>
      <c r="AD93" s="50">
        <v>8.5</v>
      </c>
      <c r="AE93" s="112" t="s">
        <v>37</v>
      </c>
      <c r="AF93" s="60"/>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c r="BY93" s="55"/>
      <c r="BZ93" s="55"/>
      <c r="CA93" s="55"/>
      <c r="CB93" s="55"/>
      <c r="CC93" s="55"/>
      <c r="CD93" s="55"/>
      <c r="CE93" s="55"/>
      <c r="CF93" s="55"/>
      <c r="CG93" s="55"/>
      <c r="CH93" s="55"/>
      <c r="CI93" s="55"/>
      <c r="CJ93" s="55"/>
      <c r="CK93" s="55"/>
      <c r="CL93" s="55"/>
      <c r="CM93" s="55"/>
      <c r="CN93" s="55"/>
      <c r="CO93" s="55"/>
      <c r="CP93" s="55"/>
      <c r="CQ93" s="55"/>
      <c r="CR93" s="55"/>
      <c r="CS93" s="55"/>
      <c r="CT93" s="55"/>
      <c r="CU93" s="55"/>
      <c r="CV93" s="55"/>
      <c r="CW93" s="55"/>
      <c r="CX93" s="55"/>
      <c r="CY93" s="55"/>
      <c r="CZ93" s="55"/>
      <c r="DA93" s="55"/>
      <c r="DB93" s="55"/>
      <c r="DC93" s="55"/>
      <c r="DD93" s="55"/>
      <c r="DE93" s="55"/>
      <c r="DF93" s="55"/>
      <c r="DG93" s="55"/>
      <c r="DH93" s="55"/>
      <c r="DI93" s="55"/>
      <c r="DJ93" s="55"/>
      <c r="DK93" s="55"/>
      <c r="DL93" s="55"/>
      <c r="DM93" s="55"/>
      <c r="DN93" s="55"/>
      <c r="DO93" s="55"/>
      <c r="DP93" s="55"/>
      <c r="DQ93" s="55"/>
      <c r="DR93" s="55"/>
      <c r="DS93" s="55"/>
      <c r="DT93" s="55"/>
      <c r="DU93" s="55"/>
      <c r="DV93" s="55"/>
      <c r="DW93" s="55"/>
      <c r="DX93" s="55"/>
      <c r="DY93" s="55"/>
      <c r="DZ93" s="55"/>
      <c r="EA93" s="55"/>
      <c r="EB93" s="55"/>
      <c r="EC93" s="55"/>
      <c r="ED93" s="55"/>
      <c r="EE93" s="55"/>
      <c r="EF93" s="55"/>
      <c r="EG93" s="55"/>
      <c r="EH93" s="55"/>
      <c r="EI93" s="55"/>
      <c r="EJ93" s="55"/>
      <c r="EK93" s="55"/>
      <c r="EL93" s="55"/>
      <c r="EM93" s="55"/>
      <c r="EN93" s="55"/>
      <c r="EO93" s="55"/>
      <c r="EP93" s="55"/>
      <c r="EQ93" s="55"/>
      <c r="ER93" s="55"/>
      <c r="ES93" s="55"/>
      <c r="ET93" s="55"/>
      <c r="EU93" s="55"/>
      <c r="EV93" s="55"/>
      <c r="EW93" s="55"/>
      <c r="EX93" s="55"/>
      <c r="EY93" s="55"/>
      <c r="EZ93" s="55"/>
      <c r="FA93" s="55"/>
      <c r="FB93" s="55"/>
      <c r="FC93" s="55"/>
      <c r="FD93" s="55"/>
      <c r="FE93" s="55"/>
      <c r="FF93" s="55"/>
      <c r="FG93" s="55"/>
      <c r="FH93" s="55"/>
      <c r="FI93" s="55"/>
      <c r="FJ93" s="55"/>
      <c r="FK93" s="55"/>
      <c r="FL93" s="55"/>
      <c r="FM93" s="55"/>
      <c r="FN93" s="55"/>
      <c r="FO93" s="55"/>
      <c r="FP93" s="55"/>
      <c r="FQ93" s="55"/>
      <c r="FR93" s="55"/>
      <c r="FS93" s="55"/>
      <c r="FT93" s="55"/>
      <c r="FU93" s="55"/>
      <c r="FV93" s="55"/>
      <c r="FW93" s="55"/>
      <c r="FX93" s="55"/>
      <c r="FY93" s="55"/>
      <c r="FZ93" s="55"/>
      <c r="GA93" s="55"/>
      <c r="GB93" s="55"/>
      <c r="GC93" s="55"/>
      <c r="GD93" s="55"/>
      <c r="GE93" s="55"/>
      <c r="GF93" s="55"/>
      <c r="GG93" s="55"/>
      <c r="GH93" s="55"/>
      <c r="GI93" s="55"/>
      <c r="GJ93" s="55"/>
      <c r="GK93" s="55"/>
      <c r="GL93" s="55"/>
      <c r="GM93" s="55"/>
      <c r="GN93" s="55"/>
      <c r="GO93" s="55"/>
      <c r="GP93" s="55"/>
      <c r="GQ93" s="55"/>
      <c r="GR93" s="55"/>
      <c r="GS93" s="55"/>
      <c r="GT93" s="55"/>
      <c r="GU93" s="55"/>
      <c r="GV93" s="55"/>
      <c r="GW93" s="55"/>
      <c r="GX93" s="55"/>
      <c r="GY93" s="55"/>
      <c r="GZ93" s="55"/>
      <c r="HA93" s="55"/>
      <c r="HB93" s="55"/>
      <c r="HC93" s="55"/>
      <c r="HD93" s="55"/>
      <c r="HE93" s="55"/>
      <c r="HF93" s="55"/>
      <c r="HG93" s="55"/>
      <c r="HH93" s="55"/>
      <c r="HI93" s="55"/>
      <c r="HJ93" s="55"/>
      <c r="HK93" s="55"/>
      <c r="HL93" s="55"/>
      <c r="HM93" s="55"/>
      <c r="HN93" s="55"/>
      <c r="HO93" s="55"/>
      <c r="HP93" s="55"/>
      <c r="HQ93" s="55"/>
      <c r="HR93" s="55"/>
      <c r="HS93" s="55"/>
      <c r="HT93" s="55"/>
      <c r="HU93" s="55"/>
      <c r="HV93" s="55"/>
      <c r="HW93" s="55"/>
      <c r="HX93" s="55"/>
      <c r="HY93" s="55"/>
      <c r="HZ93" s="55"/>
      <c r="IA93" s="55"/>
      <c r="IB93" s="55"/>
      <c r="IC93" s="55"/>
      <c r="ID93" s="55"/>
    </row>
    <row r="94" s="52" customFormat="1" ht="41" customHeight="1" spans="1:238">
      <c r="A94" s="64">
        <v>31</v>
      </c>
      <c r="B94" s="64" t="s">
        <v>424</v>
      </c>
      <c r="C94" s="64" t="s">
        <v>425</v>
      </c>
      <c r="D94" s="65" t="s">
        <v>426</v>
      </c>
      <c r="E94" s="77" t="s">
        <v>427</v>
      </c>
      <c r="F94" s="77" t="s">
        <v>35</v>
      </c>
      <c r="G94" s="64" t="s">
        <v>36</v>
      </c>
      <c r="H94" s="78">
        <v>6</v>
      </c>
      <c r="I94" s="78">
        <v>5</v>
      </c>
      <c r="J94" s="84">
        <v>5.34829361656243</v>
      </c>
      <c r="K94" s="84">
        <v>5.12369389620334</v>
      </c>
      <c r="L94" s="84">
        <v>4.3188782384417</v>
      </c>
      <c r="M94" s="89">
        <v>5.4</v>
      </c>
      <c r="N94" s="41">
        <v>5</v>
      </c>
      <c r="O94" s="41">
        <v>4.3</v>
      </c>
      <c r="P94" s="64" t="s">
        <v>37</v>
      </c>
      <c r="Q94" s="64" t="s">
        <v>35</v>
      </c>
      <c r="R94" s="64" t="s">
        <v>35</v>
      </c>
      <c r="S94" s="83" t="s">
        <v>191</v>
      </c>
      <c r="T94" s="77" t="s">
        <v>191</v>
      </c>
      <c r="U94" s="105" t="s">
        <v>428</v>
      </c>
      <c r="V94" s="105">
        <v>310300048</v>
      </c>
      <c r="W94" s="106" t="s">
        <v>429</v>
      </c>
      <c r="X94" s="105"/>
      <c r="Y94" s="105"/>
      <c r="Z94" s="105" t="s">
        <v>36</v>
      </c>
      <c r="AA94" s="110" t="s">
        <v>35</v>
      </c>
      <c r="AB94" s="50">
        <v>5.3</v>
      </c>
      <c r="AC94" s="50">
        <v>5</v>
      </c>
      <c r="AD94" s="50">
        <v>4.3</v>
      </c>
      <c r="AE94" s="112" t="s">
        <v>37</v>
      </c>
      <c r="AF94" s="60"/>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c r="CI94" s="55"/>
      <c r="CJ94" s="55"/>
      <c r="CK94" s="55"/>
      <c r="CL94" s="55"/>
      <c r="CM94" s="55"/>
      <c r="CN94" s="55"/>
      <c r="CO94" s="55"/>
      <c r="CP94" s="55"/>
      <c r="CQ94" s="55"/>
      <c r="CR94" s="55"/>
      <c r="CS94" s="55"/>
      <c r="CT94" s="55"/>
      <c r="CU94" s="55"/>
      <c r="CV94" s="55"/>
      <c r="CW94" s="55"/>
      <c r="CX94" s="55"/>
      <c r="CY94" s="55"/>
      <c r="CZ94" s="55"/>
      <c r="DA94" s="55"/>
      <c r="DB94" s="55"/>
      <c r="DC94" s="55"/>
      <c r="DD94" s="55"/>
      <c r="DE94" s="55"/>
      <c r="DF94" s="55"/>
      <c r="DG94" s="55"/>
      <c r="DH94" s="55"/>
      <c r="DI94" s="55"/>
      <c r="DJ94" s="55"/>
      <c r="DK94" s="55"/>
      <c r="DL94" s="55"/>
      <c r="DM94" s="55"/>
      <c r="DN94" s="55"/>
      <c r="DO94" s="55"/>
      <c r="DP94" s="55"/>
      <c r="DQ94" s="55"/>
      <c r="DR94" s="55"/>
      <c r="DS94" s="55"/>
      <c r="DT94" s="55"/>
      <c r="DU94" s="55"/>
      <c r="DV94" s="55"/>
      <c r="DW94" s="55"/>
      <c r="DX94" s="55"/>
      <c r="DY94" s="55"/>
      <c r="DZ94" s="55"/>
      <c r="EA94" s="55"/>
      <c r="EB94" s="55"/>
      <c r="EC94" s="55"/>
      <c r="ED94" s="55"/>
      <c r="EE94" s="55"/>
      <c r="EF94" s="55"/>
      <c r="EG94" s="55"/>
      <c r="EH94" s="55"/>
      <c r="EI94" s="55"/>
      <c r="EJ94" s="55"/>
      <c r="EK94" s="55"/>
      <c r="EL94" s="55"/>
      <c r="EM94" s="55"/>
      <c r="EN94" s="55"/>
      <c r="EO94" s="55"/>
      <c r="EP94" s="55"/>
      <c r="EQ94" s="55"/>
      <c r="ER94" s="55"/>
      <c r="ES94" s="55"/>
      <c r="ET94" s="55"/>
      <c r="EU94" s="55"/>
      <c r="EV94" s="55"/>
      <c r="EW94" s="55"/>
      <c r="EX94" s="55"/>
      <c r="EY94" s="55"/>
      <c r="EZ94" s="55"/>
      <c r="FA94" s="55"/>
      <c r="FB94" s="55"/>
      <c r="FC94" s="55"/>
      <c r="FD94" s="55"/>
      <c r="FE94" s="55"/>
      <c r="FF94" s="55"/>
      <c r="FG94" s="55"/>
      <c r="FH94" s="55"/>
      <c r="FI94" s="55"/>
      <c r="FJ94" s="55"/>
      <c r="FK94" s="55"/>
      <c r="FL94" s="55"/>
      <c r="FM94" s="55"/>
      <c r="FN94" s="55"/>
      <c r="FO94" s="55"/>
      <c r="FP94" s="55"/>
      <c r="FQ94" s="55"/>
      <c r="FR94" s="55"/>
      <c r="FS94" s="55"/>
      <c r="FT94" s="55"/>
      <c r="FU94" s="55"/>
      <c r="FV94" s="55"/>
      <c r="FW94" s="55"/>
      <c r="FX94" s="55"/>
      <c r="FY94" s="55"/>
      <c r="FZ94" s="55"/>
      <c r="GA94" s="55"/>
      <c r="GB94" s="55"/>
      <c r="GC94" s="55"/>
      <c r="GD94" s="55"/>
      <c r="GE94" s="55"/>
      <c r="GF94" s="55"/>
      <c r="GG94" s="55"/>
      <c r="GH94" s="55"/>
      <c r="GI94" s="55"/>
      <c r="GJ94" s="55"/>
      <c r="GK94" s="55"/>
      <c r="GL94" s="55"/>
      <c r="GM94" s="55"/>
      <c r="GN94" s="55"/>
      <c r="GO94" s="55"/>
      <c r="GP94" s="55"/>
      <c r="GQ94" s="55"/>
      <c r="GR94" s="55"/>
      <c r="GS94" s="55"/>
      <c r="GT94" s="55"/>
      <c r="GU94" s="55"/>
      <c r="GV94" s="55"/>
      <c r="GW94" s="55"/>
      <c r="GX94" s="55"/>
      <c r="GY94" s="55"/>
      <c r="GZ94" s="55"/>
      <c r="HA94" s="55"/>
      <c r="HB94" s="55"/>
      <c r="HC94" s="55"/>
      <c r="HD94" s="55"/>
      <c r="HE94" s="55"/>
      <c r="HF94" s="55"/>
      <c r="HG94" s="55"/>
      <c r="HH94" s="55"/>
      <c r="HI94" s="55"/>
      <c r="HJ94" s="55"/>
      <c r="HK94" s="55"/>
      <c r="HL94" s="55"/>
      <c r="HM94" s="55"/>
      <c r="HN94" s="55"/>
      <c r="HO94" s="55"/>
      <c r="HP94" s="55"/>
      <c r="HQ94" s="55"/>
      <c r="HR94" s="55"/>
      <c r="HS94" s="55"/>
      <c r="HT94" s="55"/>
      <c r="HU94" s="55"/>
      <c r="HV94" s="55"/>
      <c r="HW94" s="55"/>
      <c r="HX94" s="55"/>
      <c r="HY94" s="55"/>
      <c r="HZ94" s="55"/>
      <c r="IA94" s="55"/>
      <c r="IB94" s="55"/>
      <c r="IC94" s="55"/>
      <c r="ID94" s="55"/>
    </row>
    <row r="95" s="52" customFormat="1" ht="41" customHeight="1" spans="1:238">
      <c r="A95" s="64"/>
      <c r="B95" s="64"/>
      <c r="C95" s="64"/>
      <c r="D95" s="65"/>
      <c r="E95" s="77"/>
      <c r="F95" s="77"/>
      <c r="G95" s="64"/>
      <c r="H95" s="42"/>
      <c r="I95" s="42"/>
      <c r="J95" s="84"/>
      <c r="K95" s="84"/>
      <c r="L95" s="84"/>
      <c r="M95" s="89"/>
      <c r="N95" s="41"/>
      <c r="O95" s="41"/>
      <c r="P95" s="64"/>
      <c r="Q95" s="64"/>
      <c r="R95" s="64"/>
      <c r="S95" s="83"/>
      <c r="T95" s="77" t="s">
        <v>381</v>
      </c>
      <c r="U95" s="105" t="s">
        <v>430</v>
      </c>
      <c r="V95" s="105">
        <v>310300046</v>
      </c>
      <c r="W95" s="106" t="s">
        <v>431</v>
      </c>
      <c r="X95" s="105" t="s">
        <v>432</v>
      </c>
      <c r="Y95" s="105"/>
      <c r="Z95" s="105" t="s">
        <v>36</v>
      </c>
      <c r="AA95" s="110" t="s">
        <v>35</v>
      </c>
      <c r="AB95" s="50">
        <v>6.3</v>
      </c>
      <c r="AC95" s="50">
        <v>6</v>
      </c>
      <c r="AD95" s="50">
        <v>5.1</v>
      </c>
      <c r="AE95" s="112" t="s">
        <v>37</v>
      </c>
      <c r="AF95" s="60"/>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c r="CI95" s="55"/>
      <c r="CJ95" s="55"/>
      <c r="CK95" s="55"/>
      <c r="CL95" s="55"/>
      <c r="CM95" s="55"/>
      <c r="CN95" s="55"/>
      <c r="CO95" s="55"/>
      <c r="CP95" s="55"/>
      <c r="CQ95" s="55"/>
      <c r="CR95" s="55"/>
      <c r="CS95" s="55"/>
      <c r="CT95" s="55"/>
      <c r="CU95" s="55"/>
      <c r="CV95" s="55"/>
      <c r="CW95" s="55"/>
      <c r="CX95" s="55"/>
      <c r="CY95" s="55"/>
      <c r="CZ95" s="55"/>
      <c r="DA95" s="55"/>
      <c r="DB95" s="55"/>
      <c r="DC95" s="55"/>
      <c r="DD95" s="55"/>
      <c r="DE95" s="55"/>
      <c r="DF95" s="55"/>
      <c r="DG95" s="55"/>
      <c r="DH95" s="55"/>
      <c r="DI95" s="55"/>
      <c r="DJ95" s="55"/>
      <c r="DK95" s="55"/>
      <c r="DL95" s="55"/>
      <c r="DM95" s="55"/>
      <c r="DN95" s="55"/>
      <c r="DO95" s="55"/>
      <c r="DP95" s="55"/>
      <c r="DQ95" s="55"/>
      <c r="DR95" s="55"/>
      <c r="DS95" s="55"/>
      <c r="DT95" s="55"/>
      <c r="DU95" s="55"/>
      <c r="DV95" s="55"/>
      <c r="DW95" s="55"/>
      <c r="DX95" s="55"/>
      <c r="DY95" s="55"/>
      <c r="DZ95" s="55"/>
      <c r="EA95" s="55"/>
      <c r="EB95" s="55"/>
      <c r="EC95" s="55"/>
      <c r="ED95" s="55"/>
      <c r="EE95" s="55"/>
      <c r="EF95" s="55"/>
      <c r="EG95" s="55"/>
      <c r="EH95" s="55"/>
      <c r="EI95" s="55"/>
      <c r="EJ95" s="55"/>
      <c r="EK95" s="55"/>
      <c r="EL95" s="55"/>
      <c r="EM95" s="55"/>
      <c r="EN95" s="55"/>
      <c r="EO95" s="55"/>
      <c r="EP95" s="55"/>
      <c r="EQ95" s="55"/>
      <c r="ER95" s="55"/>
      <c r="ES95" s="55"/>
      <c r="ET95" s="55"/>
      <c r="EU95" s="55"/>
      <c r="EV95" s="55"/>
      <c r="EW95" s="55"/>
      <c r="EX95" s="55"/>
      <c r="EY95" s="55"/>
      <c r="EZ95" s="55"/>
      <c r="FA95" s="55"/>
      <c r="FB95" s="55"/>
      <c r="FC95" s="55"/>
      <c r="FD95" s="55"/>
      <c r="FE95" s="55"/>
      <c r="FF95" s="55"/>
      <c r="FG95" s="55"/>
      <c r="FH95" s="55"/>
      <c r="FI95" s="55"/>
      <c r="FJ95" s="55"/>
      <c r="FK95" s="55"/>
      <c r="FL95" s="55"/>
      <c r="FM95" s="55"/>
      <c r="FN95" s="55"/>
      <c r="FO95" s="55"/>
      <c r="FP95" s="55"/>
      <c r="FQ95" s="55"/>
      <c r="FR95" s="55"/>
      <c r="FS95" s="55"/>
      <c r="FT95" s="55"/>
      <c r="FU95" s="55"/>
      <c r="FV95" s="55"/>
      <c r="FW95" s="55"/>
      <c r="FX95" s="55"/>
      <c r="FY95" s="55"/>
      <c r="FZ95" s="55"/>
      <c r="GA95" s="55"/>
      <c r="GB95" s="55"/>
      <c r="GC95" s="55"/>
      <c r="GD95" s="55"/>
      <c r="GE95" s="55"/>
      <c r="GF95" s="55"/>
      <c r="GG95" s="55"/>
      <c r="GH95" s="55"/>
      <c r="GI95" s="55"/>
      <c r="GJ95" s="55"/>
      <c r="GK95" s="55"/>
      <c r="GL95" s="55"/>
      <c r="GM95" s="55"/>
      <c r="GN95" s="55"/>
      <c r="GO95" s="55"/>
      <c r="GP95" s="55"/>
      <c r="GQ95" s="55"/>
      <c r="GR95" s="55"/>
      <c r="GS95" s="55"/>
      <c r="GT95" s="55"/>
      <c r="GU95" s="55"/>
      <c r="GV95" s="55"/>
      <c r="GW95" s="55"/>
      <c r="GX95" s="55"/>
      <c r="GY95" s="55"/>
      <c r="GZ95" s="55"/>
      <c r="HA95" s="55"/>
      <c r="HB95" s="55"/>
      <c r="HC95" s="55"/>
      <c r="HD95" s="55"/>
      <c r="HE95" s="55"/>
      <c r="HF95" s="55"/>
      <c r="HG95" s="55"/>
      <c r="HH95" s="55"/>
      <c r="HI95" s="55"/>
      <c r="HJ95" s="55"/>
      <c r="HK95" s="55"/>
      <c r="HL95" s="55"/>
      <c r="HM95" s="55"/>
      <c r="HN95" s="55"/>
      <c r="HO95" s="55"/>
      <c r="HP95" s="55"/>
      <c r="HQ95" s="55"/>
      <c r="HR95" s="55"/>
      <c r="HS95" s="55"/>
      <c r="HT95" s="55"/>
      <c r="HU95" s="55"/>
      <c r="HV95" s="55"/>
      <c r="HW95" s="55"/>
      <c r="HX95" s="55"/>
      <c r="HY95" s="55"/>
      <c r="HZ95" s="55"/>
      <c r="IA95" s="55"/>
      <c r="IB95" s="55"/>
      <c r="IC95" s="55"/>
      <c r="ID95" s="55"/>
    </row>
    <row r="96" s="52" customFormat="1" ht="73" customHeight="1" spans="1:238">
      <c r="A96" s="64">
        <v>32</v>
      </c>
      <c r="B96" s="64" t="s">
        <v>433</v>
      </c>
      <c r="C96" s="64" t="s">
        <v>434</v>
      </c>
      <c r="D96" s="65" t="s">
        <v>435</v>
      </c>
      <c r="E96" s="77" t="s">
        <v>436</v>
      </c>
      <c r="F96" s="77" t="s">
        <v>35</v>
      </c>
      <c r="G96" s="64" t="s">
        <v>110</v>
      </c>
      <c r="H96" s="78">
        <v>80</v>
      </c>
      <c r="I96" s="78">
        <v>72</v>
      </c>
      <c r="J96" s="83">
        <v>84</v>
      </c>
      <c r="K96" s="83">
        <v>80</v>
      </c>
      <c r="L96" s="83">
        <v>68</v>
      </c>
      <c r="M96" s="94">
        <v>80</v>
      </c>
      <c r="N96" s="94">
        <v>72</v>
      </c>
      <c r="O96" s="94">
        <v>62</v>
      </c>
      <c r="P96" s="64" t="s">
        <v>37</v>
      </c>
      <c r="Q96" s="64" t="s">
        <v>35</v>
      </c>
      <c r="R96" s="64" t="s">
        <v>348</v>
      </c>
      <c r="S96" s="83" t="s">
        <v>38</v>
      </c>
      <c r="T96" s="77" t="s">
        <v>132</v>
      </c>
      <c r="U96" s="105" t="s">
        <v>437</v>
      </c>
      <c r="V96" s="105">
        <v>310300063</v>
      </c>
      <c r="W96" s="106" t="s">
        <v>438</v>
      </c>
      <c r="X96" s="105"/>
      <c r="Y96" s="105"/>
      <c r="Z96" s="105" t="s">
        <v>71</v>
      </c>
      <c r="AA96" s="110" t="s">
        <v>35</v>
      </c>
      <c r="AB96" s="50">
        <v>84</v>
      </c>
      <c r="AC96" s="50">
        <v>80</v>
      </c>
      <c r="AD96" s="50">
        <v>68</v>
      </c>
      <c r="AE96" s="112" t="s">
        <v>37</v>
      </c>
      <c r="AF96" s="60"/>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c r="CJ96" s="55"/>
      <c r="CK96" s="55"/>
      <c r="CL96" s="55"/>
      <c r="CM96" s="55"/>
      <c r="CN96" s="55"/>
      <c r="CO96" s="55"/>
      <c r="CP96" s="55"/>
      <c r="CQ96" s="55"/>
      <c r="CR96" s="55"/>
      <c r="CS96" s="55"/>
      <c r="CT96" s="55"/>
      <c r="CU96" s="55"/>
      <c r="CV96" s="55"/>
      <c r="CW96" s="55"/>
      <c r="CX96" s="55"/>
      <c r="CY96" s="55"/>
      <c r="CZ96" s="55"/>
      <c r="DA96" s="55"/>
      <c r="DB96" s="55"/>
      <c r="DC96" s="55"/>
      <c r="DD96" s="55"/>
      <c r="DE96" s="55"/>
      <c r="DF96" s="55"/>
      <c r="DG96" s="55"/>
      <c r="DH96" s="55"/>
      <c r="DI96" s="55"/>
      <c r="DJ96" s="55"/>
      <c r="DK96" s="55"/>
      <c r="DL96" s="55"/>
      <c r="DM96" s="55"/>
      <c r="DN96" s="55"/>
      <c r="DO96" s="55"/>
      <c r="DP96" s="55"/>
      <c r="DQ96" s="55"/>
      <c r="DR96" s="55"/>
      <c r="DS96" s="55"/>
      <c r="DT96" s="55"/>
      <c r="DU96" s="55"/>
      <c r="DV96" s="55"/>
      <c r="DW96" s="55"/>
      <c r="DX96" s="55"/>
      <c r="DY96" s="55"/>
      <c r="DZ96" s="55"/>
      <c r="EA96" s="55"/>
      <c r="EB96" s="55"/>
      <c r="EC96" s="55"/>
      <c r="ED96" s="55"/>
      <c r="EE96" s="55"/>
      <c r="EF96" s="55"/>
      <c r="EG96" s="55"/>
      <c r="EH96" s="55"/>
      <c r="EI96" s="55"/>
      <c r="EJ96" s="55"/>
      <c r="EK96" s="55"/>
      <c r="EL96" s="55"/>
      <c r="EM96" s="55"/>
      <c r="EN96" s="55"/>
      <c r="EO96" s="55"/>
      <c r="EP96" s="55"/>
      <c r="EQ96" s="55"/>
      <c r="ER96" s="55"/>
      <c r="ES96" s="55"/>
      <c r="ET96" s="55"/>
      <c r="EU96" s="55"/>
      <c r="EV96" s="55"/>
      <c r="EW96" s="55"/>
      <c r="EX96" s="55"/>
      <c r="EY96" s="55"/>
      <c r="EZ96" s="55"/>
      <c r="FA96" s="55"/>
      <c r="FB96" s="55"/>
      <c r="FC96" s="55"/>
      <c r="FD96" s="55"/>
      <c r="FE96" s="55"/>
      <c r="FF96" s="55"/>
      <c r="FG96" s="55"/>
      <c r="FH96" s="55"/>
      <c r="FI96" s="55"/>
      <c r="FJ96" s="55"/>
      <c r="FK96" s="55"/>
      <c r="FL96" s="55"/>
      <c r="FM96" s="55"/>
      <c r="FN96" s="55"/>
      <c r="FO96" s="55"/>
      <c r="FP96" s="55"/>
      <c r="FQ96" s="55"/>
      <c r="FR96" s="55"/>
      <c r="FS96" s="55"/>
      <c r="FT96" s="55"/>
      <c r="FU96" s="55"/>
      <c r="FV96" s="55"/>
      <c r="FW96" s="55"/>
      <c r="FX96" s="55"/>
      <c r="FY96" s="55"/>
      <c r="FZ96" s="55"/>
      <c r="GA96" s="55"/>
      <c r="GB96" s="55"/>
      <c r="GC96" s="55"/>
      <c r="GD96" s="55"/>
      <c r="GE96" s="55"/>
      <c r="GF96" s="55"/>
      <c r="GG96" s="55"/>
      <c r="GH96" s="55"/>
      <c r="GI96" s="55"/>
      <c r="GJ96" s="55"/>
      <c r="GK96" s="55"/>
      <c r="GL96" s="55"/>
      <c r="GM96" s="55"/>
      <c r="GN96" s="55"/>
      <c r="GO96" s="55"/>
      <c r="GP96" s="55"/>
      <c r="GQ96" s="55"/>
      <c r="GR96" s="55"/>
      <c r="GS96" s="55"/>
      <c r="GT96" s="55"/>
      <c r="GU96" s="55"/>
      <c r="GV96" s="55"/>
      <c r="GW96" s="55"/>
      <c r="GX96" s="55"/>
      <c r="GY96" s="55"/>
      <c r="GZ96" s="55"/>
      <c r="HA96" s="55"/>
      <c r="HB96" s="55"/>
      <c r="HC96" s="55"/>
      <c r="HD96" s="55"/>
      <c r="HE96" s="55"/>
      <c r="HF96" s="55"/>
      <c r="HG96" s="55"/>
      <c r="HH96" s="55"/>
      <c r="HI96" s="55"/>
      <c r="HJ96" s="55"/>
      <c r="HK96" s="55"/>
      <c r="HL96" s="55"/>
      <c r="HM96" s="55"/>
      <c r="HN96" s="55"/>
      <c r="HO96" s="55"/>
      <c r="HP96" s="55"/>
      <c r="HQ96" s="55"/>
      <c r="HR96" s="55"/>
      <c r="HS96" s="55"/>
      <c r="HT96" s="55"/>
      <c r="HU96" s="55"/>
      <c r="HV96" s="55"/>
      <c r="HW96" s="55"/>
      <c r="HX96" s="55"/>
      <c r="HY96" s="55"/>
      <c r="HZ96" s="55"/>
      <c r="IA96" s="55"/>
      <c r="IB96" s="55"/>
      <c r="IC96" s="55"/>
      <c r="ID96" s="55"/>
    </row>
    <row r="97" s="55" customFormat="1" ht="33" customHeight="1" spans="1:32">
      <c r="A97" s="64">
        <v>33</v>
      </c>
      <c r="B97" s="64" t="s">
        <v>439</v>
      </c>
      <c r="C97" s="64" t="s">
        <v>440</v>
      </c>
      <c r="D97" s="65" t="s">
        <v>441</v>
      </c>
      <c r="E97" s="77" t="s">
        <v>207</v>
      </c>
      <c r="F97" s="77" t="s">
        <v>442</v>
      </c>
      <c r="G97" s="64" t="s">
        <v>110</v>
      </c>
      <c r="H97" s="78">
        <v>45</v>
      </c>
      <c r="I97" s="78">
        <v>41</v>
      </c>
      <c r="J97" s="84">
        <v>47.2377552518267</v>
      </c>
      <c r="K97" s="83">
        <v>45</v>
      </c>
      <c r="L97" s="83">
        <v>38.25</v>
      </c>
      <c r="M97" s="41">
        <v>45</v>
      </c>
      <c r="N97" s="41">
        <v>41</v>
      </c>
      <c r="O97" s="41">
        <v>35</v>
      </c>
      <c r="P97" s="64" t="s">
        <v>37</v>
      </c>
      <c r="Q97" s="64" t="s">
        <v>35</v>
      </c>
      <c r="R97" s="64" t="s">
        <v>348</v>
      </c>
      <c r="S97" s="83" t="s">
        <v>38</v>
      </c>
      <c r="T97" s="77" t="s">
        <v>443</v>
      </c>
      <c r="U97" s="105" t="s">
        <v>444</v>
      </c>
      <c r="V97" s="105">
        <v>310300064</v>
      </c>
      <c r="W97" s="106" t="s">
        <v>445</v>
      </c>
      <c r="X97" s="105" t="s">
        <v>446</v>
      </c>
      <c r="Y97" s="105"/>
      <c r="Z97" s="105" t="s">
        <v>71</v>
      </c>
      <c r="AA97" s="110" t="s">
        <v>35</v>
      </c>
      <c r="AB97" s="50">
        <v>94.5</v>
      </c>
      <c r="AC97" s="50">
        <v>90</v>
      </c>
      <c r="AD97" s="50">
        <v>76.5</v>
      </c>
      <c r="AE97" s="112" t="s">
        <v>37</v>
      </c>
      <c r="AF97" s="60"/>
    </row>
    <row r="98" s="55" customFormat="1" ht="33" customHeight="1" spans="1:32">
      <c r="A98" s="64"/>
      <c r="B98" s="64"/>
      <c r="C98" s="64"/>
      <c r="D98" s="65"/>
      <c r="E98" s="77"/>
      <c r="F98" s="77"/>
      <c r="G98" s="64"/>
      <c r="H98" s="42"/>
      <c r="I98" s="42"/>
      <c r="J98" s="84"/>
      <c r="K98" s="83"/>
      <c r="L98" s="83"/>
      <c r="M98" s="41"/>
      <c r="N98" s="41"/>
      <c r="O98" s="41"/>
      <c r="P98" s="64"/>
      <c r="Q98" s="64"/>
      <c r="R98" s="64"/>
      <c r="S98" s="83"/>
      <c r="T98" s="77"/>
      <c r="U98" s="115" t="s">
        <v>447</v>
      </c>
      <c r="V98" s="115">
        <v>310300059</v>
      </c>
      <c r="W98" s="116" t="s">
        <v>448</v>
      </c>
      <c r="X98" s="115"/>
      <c r="Y98" s="115"/>
      <c r="Z98" s="115" t="s">
        <v>71</v>
      </c>
      <c r="AA98" s="119" t="s">
        <v>35</v>
      </c>
      <c r="AB98" s="121">
        <v>84</v>
      </c>
      <c r="AC98" s="121">
        <v>80</v>
      </c>
      <c r="AD98" s="121">
        <v>68</v>
      </c>
      <c r="AE98" s="143" t="s">
        <v>37</v>
      </c>
      <c r="AF98" s="60"/>
    </row>
    <row r="99" s="52" customFormat="1" ht="68" customHeight="1" spans="1:238">
      <c r="A99" s="64">
        <v>34</v>
      </c>
      <c r="B99" s="64" t="s">
        <v>449</v>
      </c>
      <c r="C99" s="64" t="s">
        <v>450</v>
      </c>
      <c r="D99" s="65" t="s">
        <v>451</v>
      </c>
      <c r="E99" s="77" t="s">
        <v>452</v>
      </c>
      <c r="F99" s="77" t="s">
        <v>453</v>
      </c>
      <c r="G99" s="64" t="s">
        <v>110</v>
      </c>
      <c r="H99" s="78">
        <v>11</v>
      </c>
      <c r="I99" s="78">
        <v>10</v>
      </c>
      <c r="J99" s="83">
        <v>10.5</v>
      </c>
      <c r="K99" s="83">
        <v>10</v>
      </c>
      <c r="L99" s="83">
        <v>8.5</v>
      </c>
      <c r="M99" s="41">
        <v>10.5</v>
      </c>
      <c r="N99" s="41">
        <v>10</v>
      </c>
      <c r="O99" s="41">
        <v>8.5</v>
      </c>
      <c r="P99" s="64" t="s">
        <v>37</v>
      </c>
      <c r="Q99" s="64" t="s">
        <v>35</v>
      </c>
      <c r="R99" s="64" t="s">
        <v>35</v>
      </c>
      <c r="S99" s="83" t="s">
        <v>381</v>
      </c>
      <c r="T99" s="77" t="s">
        <v>381</v>
      </c>
      <c r="U99" s="105" t="s">
        <v>454</v>
      </c>
      <c r="V99" s="105">
        <v>310300094</v>
      </c>
      <c r="W99" s="106" t="s">
        <v>455</v>
      </c>
      <c r="X99" s="105"/>
      <c r="Y99" s="105"/>
      <c r="Z99" s="105" t="s">
        <v>36</v>
      </c>
      <c r="AA99" s="110" t="s">
        <v>35</v>
      </c>
      <c r="AB99" s="50">
        <v>10.5</v>
      </c>
      <c r="AC99" s="50">
        <v>10</v>
      </c>
      <c r="AD99" s="50">
        <v>8.5</v>
      </c>
      <c r="AE99" s="112" t="s">
        <v>37</v>
      </c>
      <c r="AF99" s="60"/>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c r="CF99" s="55"/>
      <c r="CG99" s="55"/>
      <c r="CH99" s="55"/>
      <c r="CI99" s="55"/>
      <c r="CJ99" s="55"/>
      <c r="CK99" s="55"/>
      <c r="CL99" s="55"/>
      <c r="CM99" s="55"/>
      <c r="CN99" s="55"/>
      <c r="CO99" s="55"/>
      <c r="CP99" s="55"/>
      <c r="CQ99" s="55"/>
      <c r="CR99" s="55"/>
      <c r="CS99" s="55"/>
      <c r="CT99" s="55"/>
      <c r="CU99" s="55"/>
      <c r="CV99" s="55"/>
      <c r="CW99" s="55"/>
      <c r="CX99" s="55"/>
      <c r="CY99" s="55"/>
      <c r="CZ99" s="55"/>
      <c r="DA99" s="55"/>
      <c r="DB99" s="55"/>
      <c r="DC99" s="55"/>
      <c r="DD99" s="55"/>
      <c r="DE99" s="55"/>
      <c r="DF99" s="55"/>
      <c r="DG99" s="55"/>
      <c r="DH99" s="55"/>
      <c r="DI99" s="55"/>
      <c r="DJ99" s="55"/>
      <c r="DK99" s="55"/>
      <c r="DL99" s="55"/>
      <c r="DM99" s="55"/>
      <c r="DN99" s="55"/>
      <c r="DO99" s="55"/>
      <c r="DP99" s="55"/>
      <c r="DQ99" s="55"/>
      <c r="DR99" s="55"/>
      <c r="DS99" s="55"/>
      <c r="DT99" s="55"/>
      <c r="DU99" s="55"/>
      <c r="DV99" s="55"/>
      <c r="DW99" s="55"/>
      <c r="DX99" s="55"/>
      <c r="DY99" s="55"/>
      <c r="DZ99" s="55"/>
      <c r="EA99" s="55"/>
      <c r="EB99" s="55"/>
      <c r="EC99" s="55"/>
      <c r="ED99" s="55"/>
      <c r="EE99" s="55"/>
      <c r="EF99" s="55"/>
      <c r="EG99" s="55"/>
      <c r="EH99" s="55"/>
      <c r="EI99" s="55"/>
      <c r="EJ99" s="55"/>
      <c r="EK99" s="55"/>
      <c r="EL99" s="55"/>
      <c r="EM99" s="55"/>
      <c r="EN99" s="55"/>
      <c r="EO99" s="55"/>
      <c r="EP99" s="55"/>
      <c r="EQ99" s="55"/>
      <c r="ER99" s="55"/>
      <c r="ES99" s="55"/>
      <c r="ET99" s="55"/>
      <c r="EU99" s="55"/>
      <c r="EV99" s="55"/>
      <c r="EW99" s="55"/>
      <c r="EX99" s="55"/>
      <c r="EY99" s="55"/>
      <c r="EZ99" s="55"/>
      <c r="FA99" s="55"/>
      <c r="FB99" s="55"/>
      <c r="FC99" s="55"/>
      <c r="FD99" s="55"/>
      <c r="FE99" s="55"/>
      <c r="FF99" s="55"/>
      <c r="FG99" s="55"/>
      <c r="FH99" s="55"/>
      <c r="FI99" s="55"/>
      <c r="FJ99" s="55"/>
      <c r="FK99" s="55"/>
      <c r="FL99" s="55"/>
      <c r="FM99" s="55"/>
      <c r="FN99" s="55"/>
      <c r="FO99" s="55"/>
      <c r="FP99" s="55"/>
      <c r="FQ99" s="55"/>
      <c r="FR99" s="55"/>
      <c r="FS99" s="55"/>
      <c r="FT99" s="55"/>
      <c r="FU99" s="55"/>
      <c r="FV99" s="55"/>
      <c r="FW99" s="55"/>
      <c r="FX99" s="55"/>
      <c r="FY99" s="55"/>
      <c r="FZ99" s="55"/>
      <c r="GA99" s="55"/>
      <c r="GB99" s="55"/>
      <c r="GC99" s="55"/>
      <c r="GD99" s="55"/>
      <c r="GE99" s="55"/>
      <c r="GF99" s="55"/>
      <c r="GG99" s="55"/>
      <c r="GH99" s="55"/>
      <c r="GI99" s="55"/>
      <c r="GJ99" s="55"/>
      <c r="GK99" s="55"/>
      <c r="GL99" s="55"/>
      <c r="GM99" s="55"/>
      <c r="GN99" s="55"/>
      <c r="GO99" s="55"/>
      <c r="GP99" s="55"/>
      <c r="GQ99" s="55"/>
      <c r="GR99" s="55"/>
      <c r="GS99" s="55"/>
      <c r="GT99" s="55"/>
      <c r="GU99" s="55"/>
      <c r="GV99" s="55"/>
      <c r="GW99" s="55"/>
      <c r="GX99" s="55"/>
      <c r="GY99" s="55"/>
      <c r="GZ99" s="55"/>
      <c r="HA99" s="55"/>
      <c r="HB99" s="55"/>
      <c r="HC99" s="55"/>
      <c r="HD99" s="55"/>
      <c r="HE99" s="55"/>
      <c r="HF99" s="55"/>
      <c r="HG99" s="55"/>
      <c r="HH99" s="55"/>
      <c r="HI99" s="55"/>
      <c r="HJ99" s="55"/>
      <c r="HK99" s="55"/>
      <c r="HL99" s="55"/>
      <c r="HM99" s="55"/>
      <c r="HN99" s="55"/>
      <c r="HO99" s="55"/>
      <c r="HP99" s="55"/>
      <c r="HQ99" s="55"/>
      <c r="HR99" s="55"/>
      <c r="HS99" s="55"/>
      <c r="HT99" s="55"/>
      <c r="HU99" s="55"/>
      <c r="HV99" s="55"/>
      <c r="HW99" s="55"/>
      <c r="HX99" s="55"/>
      <c r="HY99" s="55"/>
      <c r="HZ99" s="55"/>
      <c r="IA99" s="55"/>
      <c r="IB99" s="55"/>
      <c r="IC99" s="55"/>
      <c r="ID99" s="55"/>
    </row>
    <row r="100" s="52" customFormat="1" ht="36" customHeight="1" spans="1:238">
      <c r="A100" s="64" t="s">
        <v>95</v>
      </c>
      <c r="B100" s="64" t="s">
        <v>456</v>
      </c>
      <c r="C100" s="64" t="s">
        <v>457</v>
      </c>
      <c r="D100" s="65"/>
      <c r="E100" s="77"/>
      <c r="F100" s="77" t="s">
        <v>35</v>
      </c>
      <c r="G100" s="64" t="s">
        <v>110</v>
      </c>
      <c r="H100" s="78">
        <v>3.3</v>
      </c>
      <c r="I100" s="78">
        <v>3</v>
      </c>
      <c r="J100" s="83"/>
      <c r="K100" s="83"/>
      <c r="L100" s="83"/>
      <c r="M100" s="41">
        <v>3.2</v>
      </c>
      <c r="N100" s="41">
        <v>3</v>
      </c>
      <c r="O100" s="41">
        <v>2.6</v>
      </c>
      <c r="P100" s="64" t="s">
        <v>37</v>
      </c>
      <c r="Q100" s="64" t="s">
        <v>35</v>
      </c>
      <c r="R100" s="64" t="s">
        <v>35</v>
      </c>
      <c r="S100" s="83"/>
      <c r="T100" s="77" t="s">
        <v>186</v>
      </c>
      <c r="U100" s="105"/>
      <c r="V100" s="105"/>
      <c r="W100" s="106"/>
      <c r="X100" s="105"/>
      <c r="Y100" s="105"/>
      <c r="Z100" s="105"/>
      <c r="AA100" s="110"/>
      <c r="AB100" s="50"/>
      <c r="AC100" s="50"/>
      <c r="AD100" s="50"/>
      <c r="AE100" s="112"/>
      <c r="AF100" s="60"/>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55"/>
      <c r="CT100" s="55"/>
      <c r="CU100" s="55"/>
      <c r="CV100" s="55"/>
      <c r="CW100" s="55"/>
      <c r="CX100" s="55"/>
      <c r="CY100" s="55"/>
      <c r="CZ100" s="55"/>
      <c r="DA100" s="55"/>
      <c r="DB100" s="55"/>
      <c r="DC100" s="55"/>
      <c r="DD100" s="55"/>
      <c r="DE100" s="55"/>
      <c r="DF100" s="55"/>
      <c r="DG100" s="55"/>
      <c r="DH100" s="55"/>
      <c r="DI100" s="55"/>
      <c r="DJ100" s="55"/>
      <c r="DK100" s="55"/>
      <c r="DL100" s="55"/>
      <c r="DM100" s="55"/>
      <c r="DN100" s="55"/>
      <c r="DO100" s="55"/>
      <c r="DP100" s="55"/>
      <c r="DQ100" s="55"/>
      <c r="DR100" s="55"/>
      <c r="DS100" s="55"/>
      <c r="DT100" s="55"/>
      <c r="DU100" s="55"/>
      <c r="DV100" s="55"/>
      <c r="DW100" s="55"/>
      <c r="DX100" s="55"/>
      <c r="DY100" s="55"/>
      <c r="DZ100" s="55"/>
      <c r="EA100" s="55"/>
      <c r="EB100" s="55"/>
      <c r="EC100" s="55"/>
      <c r="ED100" s="55"/>
      <c r="EE100" s="55"/>
      <c r="EF100" s="55"/>
      <c r="EG100" s="55"/>
      <c r="EH100" s="55"/>
      <c r="EI100" s="55"/>
      <c r="EJ100" s="55"/>
      <c r="EK100" s="55"/>
      <c r="EL100" s="55"/>
      <c r="EM100" s="55"/>
      <c r="EN100" s="55"/>
      <c r="EO100" s="55"/>
      <c r="EP100" s="55"/>
      <c r="EQ100" s="55"/>
      <c r="ER100" s="55"/>
      <c r="ES100" s="55"/>
      <c r="ET100" s="55"/>
      <c r="EU100" s="55"/>
      <c r="EV100" s="55"/>
      <c r="EW100" s="55"/>
      <c r="EX100" s="55"/>
      <c r="EY100" s="55"/>
      <c r="EZ100" s="55"/>
      <c r="FA100" s="55"/>
      <c r="FB100" s="55"/>
      <c r="FC100" s="55"/>
      <c r="FD100" s="55"/>
      <c r="FE100" s="55"/>
      <c r="FF100" s="55"/>
      <c r="FG100" s="55"/>
      <c r="FH100" s="55"/>
      <c r="FI100" s="55"/>
      <c r="FJ100" s="55"/>
      <c r="FK100" s="55"/>
      <c r="FL100" s="55"/>
      <c r="FM100" s="55"/>
      <c r="FN100" s="55"/>
      <c r="FO100" s="55"/>
      <c r="FP100" s="55"/>
      <c r="FQ100" s="55"/>
      <c r="FR100" s="55"/>
      <c r="FS100" s="55"/>
      <c r="FT100" s="55"/>
      <c r="FU100" s="55"/>
      <c r="FV100" s="55"/>
      <c r="FW100" s="55"/>
      <c r="FX100" s="55"/>
      <c r="FY100" s="55"/>
      <c r="FZ100" s="55"/>
      <c r="GA100" s="55"/>
      <c r="GB100" s="55"/>
      <c r="GC100" s="55"/>
      <c r="GD100" s="55"/>
      <c r="GE100" s="55"/>
      <c r="GF100" s="55"/>
      <c r="GG100" s="55"/>
      <c r="GH100" s="55"/>
      <c r="GI100" s="55"/>
      <c r="GJ100" s="55"/>
      <c r="GK100" s="55"/>
      <c r="GL100" s="55"/>
      <c r="GM100" s="55"/>
      <c r="GN100" s="55"/>
      <c r="GO100" s="55"/>
      <c r="GP100" s="55"/>
      <c r="GQ100" s="55"/>
      <c r="GR100" s="55"/>
      <c r="GS100" s="55"/>
      <c r="GT100" s="55"/>
      <c r="GU100" s="55"/>
      <c r="GV100" s="55"/>
      <c r="GW100" s="55"/>
      <c r="GX100" s="55"/>
      <c r="GY100" s="55"/>
      <c r="GZ100" s="55"/>
      <c r="HA100" s="55"/>
      <c r="HB100" s="55"/>
      <c r="HC100" s="55"/>
      <c r="HD100" s="55"/>
      <c r="HE100" s="55"/>
      <c r="HF100" s="55"/>
      <c r="HG100" s="55"/>
      <c r="HH100" s="55"/>
      <c r="HI100" s="55"/>
      <c r="HJ100" s="55"/>
      <c r="HK100" s="55"/>
      <c r="HL100" s="55"/>
      <c r="HM100" s="55"/>
      <c r="HN100" s="55"/>
      <c r="HO100" s="55"/>
      <c r="HP100" s="55"/>
      <c r="HQ100" s="55"/>
      <c r="HR100" s="55"/>
      <c r="HS100" s="55"/>
      <c r="HT100" s="55"/>
      <c r="HU100" s="55"/>
      <c r="HV100" s="55"/>
      <c r="HW100" s="55"/>
      <c r="HX100" s="55"/>
      <c r="HY100" s="55"/>
      <c r="HZ100" s="55"/>
      <c r="IA100" s="55"/>
      <c r="IB100" s="55"/>
      <c r="IC100" s="55"/>
      <c r="ID100" s="55"/>
    </row>
    <row r="101" s="52" customFormat="1" ht="25.5" spans="1:238">
      <c r="A101" s="64">
        <v>35</v>
      </c>
      <c r="B101" s="64" t="s">
        <v>458</v>
      </c>
      <c r="C101" s="64" t="s">
        <v>459</v>
      </c>
      <c r="D101" s="65" t="s">
        <v>460</v>
      </c>
      <c r="E101" s="77" t="s">
        <v>452</v>
      </c>
      <c r="F101" s="77" t="s">
        <v>453</v>
      </c>
      <c r="G101" s="64" t="s">
        <v>110</v>
      </c>
      <c r="H101" s="78">
        <v>11</v>
      </c>
      <c r="I101" s="78">
        <v>10</v>
      </c>
      <c r="J101" s="83">
        <v>10.5</v>
      </c>
      <c r="K101" s="83">
        <v>10</v>
      </c>
      <c r="L101" s="83">
        <v>8.5</v>
      </c>
      <c r="M101" s="41">
        <v>10.5</v>
      </c>
      <c r="N101" s="41">
        <v>10</v>
      </c>
      <c r="O101" s="41">
        <v>8.5</v>
      </c>
      <c r="P101" s="64" t="s">
        <v>37</v>
      </c>
      <c r="Q101" s="64" t="s">
        <v>35</v>
      </c>
      <c r="R101" s="64" t="s">
        <v>35</v>
      </c>
      <c r="S101" s="83" t="s">
        <v>381</v>
      </c>
      <c r="T101" s="77" t="s">
        <v>381</v>
      </c>
      <c r="U101" s="105" t="s">
        <v>461</v>
      </c>
      <c r="V101" s="105">
        <v>310300095</v>
      </c>
      <c r="W101" s="105" t="s">
        <v>462</v>
      </c>
      <c r="X101" s="105" t="s">
        <v>463</v>
      </c>
      <c r="Y101" s="105"/>
      <c r="Z101" s="105" t="s">
        <v>36</v>
      </c>
      <c r="AA101" s="110" t="s">
        <v>35</v>
      </c>
      <c r="AB101" s="50">
        <v>10.5</v>
      </c>
      <c r="AC101" s="50">
        <v>10</v>
      </c>
      <c r="AD101" s="50">
        <v>8.5</v>
      </c>
      <c r="AE101" s="112" t="s">
        <v>37</v>
      </c>
      <c r="AF101" s="60"/>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5"/>
      <c r="EC101" s="55"/>
      <c r="ED101" s="55"/>
      <c r="EE101" s="55"/>
      <c r="EF101" s="55"/>
      <c r="EG101" s="55"/>
      <c r="EH101" s="55"/>
      <c r="EI101" s="55"/>
      <c r="EJ101" s="55"/>
      <c r="EK101" s="55"/>
      <c r="EL101" s="55"/>
      <c r="EM101" s="55"/>
      <c r="EN101" s="55"/>
      <c r="EO101" s="55"/>
      <c r="EP101" s="55"/>
      <c r="EQ101" s="55"/>
      <c r="ER101" s="55"/>
      <c r="ES101" s="55"/>
      <c r="ET101" s="55"/>
      <c r="EU101" s="55"/>
      <c r="EV101" s="55"/>
      <c r="EW101" s="55"/>
      <c r="EX101" s="55"/>
      <c r="EY101" s="55"/>
      <c r="EZ101" s="55"/>
      <c r="FA101" s="55"/>
      <c r="FB101" s="55"/>
      <c r="FC101" s="55"/>
      <c r="FD101" s="55"/>
      <c r="FE101" s="55"/>
      <c r="FF101" s="55"/>
      <c r="FG101" s="55"/>
      <c r="FH101" s="55"/>
      <c r="FI101" s="55"/>
      <c r="FJ101" s="55"/>
      <c r="FK101" s="55"/>
      <c r="FL101" s="55"/>
      <c r="FM101" s="55"/>
      <c r="FN101" s="55"/>
      <c r="FO101" s="55"/>
      <c r="FP101" s="55"/>
      <c r="FQ101" s="55"/>
      <c r="FR101" s="55"/>
      <c r="FS101" s="55"/>
      <c r="FT101" s="55"/>
      <c r="FU101" s="55"/>
      <c r="FV101" s="55"/>
      <c r="FW101" s="55"/>
      <c r="FX101" s="55"/>
      <c r="FY101" s="55"/>
      <c r="FZ101" s="55"/>
      <c r="GA101" s="55"/>
      <c r="GB101" s="55"/>
      <c r="GC101" s="55"/>
      <c r="GD101" s="55"/>
      <c r="GE101" s="55"/>
      <c r="GF101" s="55"/>
      <c r="GG101" s="55"/>
      <c r="GH101" s="55"/>
      <c r="GI101" s="55"/>
      <c r="GJ101" s="55"/>
      <c r="GK101" s="55"/>
      <c r="GL101" s="55"/>
      <c r="GM101" s="55"/>
      <c r="GN101" s="55"/>
      <c r="GO101" s="55"/>
      <c r="GP101" s="55"/>
      <c r="GQ101" s="55"/>
      <c r="GR101" s="55"/>
      <c r="GS101" s="55"/>
      <c r="GT101" s="55"/>
      <c r="GU101" s="55"/>
      <c r="GV101" s="55"/>
      <c r="GW101" s="55"/>
      <c r="GX101" s="55"/>
      <c r="GY101" s="55"/>
      <c r="GZ101" s="55"/>
      <c r="HA101" s="55"/>
      <c r="HB101" s="55"/>
      <c r="HC101" s="55"/>
      <c r="HD101" s="55"/>
      <c r="HE101" s="55"/>
      <c r="HF101" s="55"/>
      <c r="HG101" s="55"/>
      <c r="HH101" s="55"/>
      <c r="HI101" s="55"/>
      <c r="HJ101" s="55"/>
      <c r="HK101" s="55"/>
      <c r="HL101" s="55"/>
      <c r="HM101" s="55"/>
      <c r="HN101" s="55"/>
      <c r="HO101" s="55"/>
      <c r="HP101" s="55"/>
      <c r="HQ101" s="55"/>
      <c r="HR101" s="55"/>
      <c r="HS101" s="55"/>
      <c r="HT101" s="55"/>
      <c r="HU101" s="55"/>
      <c r="HV101" s="55"/>
      <c r="HW101" s="55"/>
      <c r="HX101" s="55"/>
      <c r="HY101" s="55"/>
      <c r="HZ101" s="55"/>
      <c r="IA101" s="55"/>
      <c r="IB101" s="55"/>
      <c r="IC101" s="55"/>
      <c r="ID101" s="55"/>
    </row>
    <row r="102" s="52" customFormat="1" ht="25.5" spans="1:238">
      <c r="A102" s="64"/>
      <c r="B102" s="64"/>
      <c r="C102" s="64"/>
      <c r="D102" s="65"/>
      <c r="E102" s="77"/>
      <c r="F102" s="77"/>
      <c r="G102" s="64"/>
      <c r="H102" s="42"/>
      <c r="I102" s="42"/>
      <c r="J102" s="83"/>
      <c r="K102" s="83"/>
      <c r="L102" s="83"/>
      <c r="M102" s="41"/>
      <c r="N102" s="41"/>
      <c r="O102" s="41"/>
      <c r="P102" s="64"/>
      <c r="Q102" s="64"/>
      <c r="R102" s="64"/>
      <c r="S102" s="83"/>
      <c r="T102" s="77"/>
      <c r="U102" s="105" t="s">
        <v>464</v>
      </c>
      <c r="V102" s="105">
        <v>310300096</v>
      </c>
      <c r="W102" s="106" t="s">
        <v>465</v>
      </c>
      <c r="X102" s="105"/>
      <c r="Y102" s="105"/>
      <c r="Z102" s="105" t="s">
        <v>36</v>
      </c>
      <c r="AA102" s="110" t="s">
        <v>35</v>
      </c>
      <c r="AB102" s="50">
        <v>10.5</v>
      </c>
      <c r="AC102" s="50">
        <v>10</v>
      </c>
      <c r="AD102" s="50">
        <v>8.5</v>
      </c>
      <c r="AE102" s="112" t="s">
        <v>37</v>
      </c>
      <c r="AF102" s="60"/>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c r="CV102" s="55"/>
      <c r="CW102" s="55"/>
      <c r="CX102" s="55"/>
      <c r="CY102" s="55"/>
      <c r="CZ102" s="55"/>
      <c r="DA102" s="55"/>
      <c r="DB102" s="55"/>
      <c r="DC102" s="55"/>
      <c r="DD102" s="55"/>
      <c r="DE102" s="55"/>
      <c r="DF102" s="55"/>
      <c r="DG102" s="55"/>
      <c r="DH102" s="55"/>
      <c r="DI102" s="55"/>
      <c r="DJ102" s="55"/>
      <c r="DK102" s="55"/>
      <c r="DL102" s="55"/>
      <c r="DM102" s="55"/>
      <c r="DN102" s="55"/>
      <c r="DO102" s="55"/>
      <c r="DP102" s="55"/>
      <c r="DQ102" s="55"/>
      <c r="DR102" s="55"/>
      <c r="DS102" s="55"/>
      <c r="DT102" s="55"/>
      <c r="DU102" s="55"/>
      <c r="DV102" s="55"/>
      <c r="DW102" s="55"/>
      <c r="DX102" s="55"/>
      <c r="DY102" s="55"/>
      <c r="DZ102" s="55"/>
      <c r="EA102" s="55"/>
      <c r="EB102" s="55"/>
      <c r="EC102" s="55"/>
      <c r="ED102" s="55"/>
      <c r="EE102" s="55"/>
      <c r="EF102" s="55"/>
      <c r="EG102" s="55"/>
      <c r="EH102" s="55"/>
      <c r="EI102" s="55"/>
      <c r="EJ102" s="55"/>
      <c r="EK102" s="55"/>
      <c r="EL102" s="55"/>
      <c r="EM102" s="55"/>
      <c r="EN102" s="55"/>
      <c r="EO102" s="55"/>
      <c r="EP102" s="55"/>
      <c r="EQ102" s="55"/>
      <c r="ER102" s="55"/>
      <c r="ES102" s="55"/>
      <c r="ET102" s="55"/>
      <c r="EU102" s="55"/>
      <c r="EV102" s="55"/>
      <c r="EW102" s="55"/>
      <c r="EX102" s="55"/>
      <c r="EY102" s="55"/>
      <c r="EZ102" s="55"/>
      <c r="FA102" s="55"/>
      <c r="FB102" s="55"/>
      <c r="FC102" s="55"/>
      <c r="FD102" s="55"/>
      <c r="FE102" s="55"/>
      <c r="FF102" s="55"/>
      <c r="FG102" s="55"/>
      <c r="FH102" s="55"/>
      <c r="FI102" s="55"/>
      <c r="FJ102" s="55"/>
      <c r="FK102" s="55"/>
      <c r="FL102" s="55"/>
      <c r="FM102" s="55"/>
      <c r="FN102" s="55"/>
      <c r="FO102" s="55"/>
      <c r="FP102" s="55"/>
      <c r="FQ102" s="55"/>
      <c r="FR102" s="55"/>
      <c r="FS102" s="55"/>
      <c r="FT102" s="55"/>
      <c r="FU102" s="55"/>
      <c r="FV102" s="55"/>
      <c r="FW102" s="55"/>
      <c r="FX102" s="55"/>
      <c r="FY102" s="55"/>
      <c r="FZ102" s="55"/>
      <c r="GA102" s="55"/>
      <c r="GB102" s="55"/>
      <c r="GC102" s="55"/>
      <c r="GD102" s="55"/>
      <c r="GE102" s="55"/>
      <c r="GF102" s="55"/>
      <c r="GG102" s="55"/>
      <c r="GH102" s="55"/>
      <c r="GI102" s="55"/>
      <c r="GJ102" s="55"/>
      <c r="GK102" s="55"/>
      <c r="GL102" s="55"/>
      <c r="GM102" s="55"/>
      <c r="GN102" s="55"/>
      <c r="GO102" s="55"/>
      <c r="GP102" s="55"/>
      <c r="GQ102" s="55"/>
      <c r="GR102" s="55"/>
      <c r="GS102" s="55"/>
      <c r="GT102" s="55"/>
      <c r="GU102" s="55"/>
      <c r="GV102" s="55"/>
      <c r="GW102" s="55"/>
      <c r="GX102" s="55"/>
      <c r="GY102" s="55"/>
      <c r="GZ102" s="55"/>
      <c r="HA102" s="55"/>
      <c r="HB102" s="55"/>
      <c r="HC102" s="55"/>
      <c r="HD102" s="55"/>
      <c r="HE102" s="55"/>
      <c r="HF102" s="55"/>
      <c r="HG102" s="55"/>
      <c r="HH102" s="55"/>
      <c r="HI102" s="55"/>
      <c r="HJ102" s="55"/>
      <c r="HK102" s="55"/>
      <c r="HL102" s="55"/>
      <c r="HM102" s="55"/>
      <c r="HN102" s="55"/>
      <c r="HO102" s="55"/>
      <c r="HP102" s="55"/>
      <c r="HQ102" s="55"/>
      <c r="HR102" s="55"/>
      <c r="HS102" s="55"/>
      <c r="HT102" s="55"/>
      <c r="HU102" s="55"/>
      <c r="HV102" s="55"/>
      <c r="HW102" s="55"/>
      <c r="HX102" s="55"/>
      <c r="HY102" s="55"/>
      <c r="HZ102" s="55"/>
      <c r="IA102" s="55"/>
      <c r="IB102" s="55"/>
      <c r="IC102" s="55"/>
      <c r="ID102" s="55"/>
    </row>
    <row r="103" s="52" customFormat="1" ht="32" customHeight="1" spans="1:238">
      <c r="A103" s="64" t="s">
        <v>95</v>
      </c>
      <c r="B103" s="64" t="s">
        <v>466</v>
      </c>
      <c r="C103" s="64" t="s">
        <v>467</v>
      </c>
      <c r="D103" s="65"/>
      <c r="E103" s="77"/>
      <c r="F103" s="77" t="s">
        <v>35</v>
      </c>
      <c r="G103" s="64" t="s">
        <v>110</v>
      </c>
      <c r="H103" s="78">
        <v>3.3</v>
      </c>
      <c r="I103" s="78">
        <v>3</v>
      </c>
      <c r="J103" s="83"/>
      <c r="K103" s="83"/>
      <c r="L103" s="83"/>
      <c r="M103" s="41">
        <v>3.2</v>
      </c>
      <c r="N103" s="41">
        <v>3</v>
      </c>
      <c r="O103" s="41">
        <v>2.6</v>
      </c>
      <c r="P103" s="64" t="s">
        <v>37</v>
      </c>
      <c r="Q103" s="64" t="s">
        <v>35</v>
      </c>
      <c r="R103" s="64" t="s">
        <v>35</v>
      </c>
      <c r="S103" s="83"/>
      <c r="T103" s="77" t="s">
        <v>186</v>
      </c>
      <c r="U103" s="105"/>
      <c r="V103" s="105"/>
      <c r="W103" s="105"/>
      <c r="X103" s="105"/>
      <c r="Y103" s="105"/>
      <c r="Z103" s="105"/>
      <c r="AA103" s="110"/>
      <c r="AB103" s="50"/>
      <c r="AC103" s="50"/>
      <c r="AD103" s="50"/>
      <c r="AE103" s="112"/>
      <c r="AF103" s="60"/>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55"/>
      <c r="CT103" s="55"/>
      <c r="CU103" s="55"/>
      <c r="CV103" s="55"/>
      <c r="CW103" s="55"/>
      <c r="CX103" s="55"/>
      <c r="CY103" s="55"/>
      <c r="CZ103" s="55"/>
      <c r="DA103" s="55"/>
      <c r="DB103" s="55"/>
      <c r="DC103" s="55"/>
      <c r="DD103" s="55"/>
      <c r="DE103" s="55"/>
      <c r="DF103" s="55"/>
      <c r="DG103" s="55"/>
      <c r="DH103" s="55"/>
      <c r="DI103" s="55"/>
      <c r="DJ103" s="55"/>
      <c r="DK103" s="55"/>
      <c r="DL103" s="55"/>
      <c r="DM103" s="55"/>
      <c r="DN103" s="55"/>
      <c r="DO103" s="55"/>
      <c r="DP103" s="55"/>
      <c r="DQ103" s="55"/>
      <c r="DR103" s="55"/>
      <c r="DS103" s="55"/>
      <c r="DT103" s="55"/>
      <c r="DU103" s="55"/>
      <c r="DV103" s="55"/>
      <c r="DW103" s="55"/>
      <c r="DX103" s="55"/>
      <c r="DY103" s="55"/>
      <c r="DZ103" s="55"/>
      <c r="EA103" s="55"/>
      <c r="EB103" s="55"/>
      <c r="EC103" s="55"/>
      <c r="ED103" s="55"/>
      <c r="EE103" s="55"/>
      <c r="EF103" s="55"/>
      <c r="EG103" s="55"/>
      <c r="EH103" s="55"/>
      <c r="EI103" s="55"/>
      <c r="EJ103" s="55"/>
      <c r="EK103" s="55"/>
      <c r="EL103" s="55"/>
      <c r="EM103" s="55"/>
      <c r="EN103" s="55"/>
      <c r="EO103" s="55"/>
      <c r="EP103" s="55"/>
      <c r="EQ103" s="55"/>
      <c r="ER103" s="55"/>
      <c r="ES103" s="55"/>
      <c r="ET103" s="55"/>
      <c r="EU103" s="55"/>
      <c r="EV103" s="55"/>
      <c r="EW103" s="55"/>
      <c r="EX103" s="55"/>
      <c r="EY103" s="55"/>
      <c r="EZ103" s="55"/>
      <c r="FA103" s="55"/>
      <c r="FB103" s="55"/>
      <c r="FC103" s="55"/>
      <c r="FD103" s="55"/>
      <c r="FE103" s="55"/>
      <c r="FF103" s="55"/>
      <c r="FG103" s="55"/>
      <c r="FH103" s="55"/>
      <c r="FI103" s="55"/>
      <c r="FJ103" s="55"/>
      <c r="FK103" s="55"/>
      <c r="FL103" s="55"/>
      <c r="FM103" s="55"/>
      <c r="FN103" s="55"/>
      <c r="FO103" s="55"/>
      <c r="FP103" s="55"/>
      <c r="FQ103" s="55"/>
      <c r="FR103" s="55"/>
      <c r="FS103" s="55"/>
      <c r="FT103" s="55"/>
      <c r="FU103" s="55"/>
      <c r="FV103" s="55"/>
      <c r="FW103" s="55"/>
      <c r="FX103" s="55"/>
      <c r="FY103" s="55"/>
      <c r="FZ103" s="55"/>
      <c r="GA103" s="55"/>
      <c r="GB103" s="55"/>
      <c r="GC103" s="55"/>
      <c r="GD103" s="55"/>
      <c r="GE103" s="55"/>
      <c r="GF103" s="55"/>
      <c r="GG103" s="55"/>
      <c r="GH103" s="55"/>
      <c r="GI103" s="55"/>
      <c r="GJ103" s="55"/>
      <c r="GK103" s="55"/>
      <c r="GL103" s="55"/>
      <c r="GM103" s="55"/>
      <c r="GN103" s="55"/>
      <c r="GO103" s="55"/>
      <c r="GP103" s="55"/>
      <c r="GQ103" s="55"/>
      <c r="GR103" s="55"/>
      <c r="GS103" s="55"/>
      <c r="GT103" s="55"/>
      <c r="GU103" s="55"/>
      <c r="GV103" s="55"/>
      <c r="GW103" s="55"/>
      <c r="GX103" s="55"/>
      <c r="GY103" s="55"/>
      <c r="GZ103" s="55"/>
      <c r="HA103" s="55"/>
      <c r="HB103" s="55"/>
      <c r="HC103" s="55"/>
      <c r="HD103" s="55"/>
      <c r="HE103" s="55"/>
      <c r="HF103" s="55"/>
      <c r="HG103" s="55"/>
      <c r="HH103" s="55"/>
      <c r="HI103" s="55"/>
      <c r="HJ103" s="55"/>
      <c r="HK103" s="55"/>
      <c r="HL103" s="55"/>
      <c r="HM103" s="55"/>
      <c r="HN103" s="55"/>
      <c r="HO103" s="55"/>
      <c r="HP103" s="55"/>
      <c r="HQ103" s="55"/>
      <c r="HR103" s="55"/>
      <c r="HS103" s="55"/>
      <c r="HT103" s="55"/>
      <c r="HU103" s="55"/>
      <c r="HV103" s="55"/>
      <c r="HW103" s="55"/>
      <c r="HX103" s="55"/>
      <c r="HY103" s="55"/>
      <c r="HZ103" s="55"/>
      <c r="IA103" s="55"/>
      <c r="IB103" s="55"/>
      <c r="IC103" s="55"/>
      <c r="ID103" s="55"/>
    </row>
    <row r="104" s="52" customFormat="1" ht="63" customHeight="1" spans="1:238">
      <c r="A104" s="64">
        <v>36</v>
      </c>
      <c r="B104" s="64" t="s">
        <v>468</v>
      </c>
      <c r="C104" s="64" t="s">
        <v>469</v>
      </c>
      <c r="D104" s="65" t="s">
        <v>470</v>
      </c>
      <c r="E104" s="77" t="s">
        <v>471</v>
      </c>
      <c r="F104" s="77" t="s">
        <v>35</v>
      </c>
      <c r="G104" s="64" t="s">
        <v>472</v>
      </c>
      <c r="H104" s="78">
        <v>9</v>
      </c>
      <c r="I104" s="78">
        <v>8</v>
      </c>
      <c r="J104" s="83">
        <v>8.4</v>
      </c>
      <c r="K104" s="83">
        <v>8</v>
      </c>
      <c r="L104" s="83">
        <v>6.8</v>
      </c>
      <c r="M104" s="41">
        <v>8.4</v>
      </c>
      <c r="N104" s="41">
        <v>8</v>
      </c>
      <c r="O104" s="41">
        <v>6.8</v>
      </c>
      <c r="P104" s="64" t="s">
        <v>37</v>
      </c>
      <c r="Q104" s="64" t="s">
        <v>35</v>
      </c>
      <c r="R104" s="64" t="s">
        <v>35</v>
      </c>
      <c r="S104" s="83" t="s">
        <v>381</v>
      </c>
      <c r="T104" s="77" t="s">
        <v>381</v>
      </c>
      <c r="U104" s="105" t="s">
        <v>473</v>
      </c>
      <c r="V104" s="105">
        <v>310300087</v>
      </c>
      <c r="W104" s="106" t="s">
        <v>474</v>
      </c>
      <c r="X104" s="105"/>
      <c r="Y104" s="105"/>
      <c r="Z104" s="105" t="s">
        <v>36</v>
      </c>
      <c r="AA104" s="110" t="s">
        <v>35</v>
      </c>
      <c r="AB104" s="50">
        <v>8.4</v>
      </c>
      <c r="AC104" s="50">
        <v>8</v>
      </c>
      <c r="AD104" s="50">
        <v>6.8</v>
      </c>
      <c r="AE104" s="112" t="s">
        <v>37</v>
      </c>
      <c r="AF104" s="60"/>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c r="CV104" s="55"/>
      <c r="CW104" s="55"/>
      <c r="CX104" s="55"/>
      <c r="CY104" s="55"/>
      <c r="CZ104" s="55"/>
      <c r="DA104" s="55"/>
      <c r="DB104" s="55"/>
      <c r="DC104" s="55"/>
      <c r="DD104" s="55"/>
      <c r="DE104" s="55"/>
      <c r="DF104" s="55"/>
      <c r="DG104" s="55"/>
      <c r="DH104" s="55"/>
      <c r="DI104" s="55"/>
      <c r="DJ104" s="55"/>
      <c r="DK104" s="55"/>
      <c r="DL104" s="55"/>
      <c r="DM104" s="55"/>
      <c r="DN104" s="55"/>
      <c r="DO104" s="55"/>
      <c r="DP104" s="55"/>
      <c r="DQ104" s="55"/>
      <c r="DR104" s="55"/>
      <c r="DS104" s="55"/>
      <c r="DT104" s="55"/>
      <c r="DU104" s="55"/>
      <c r="DV104" s="55"/>
      <c r="DW104" s="55"/>
      <c r="DX104" s="55"/>
      <c r="DY104" s="55"/>
      <c r="DZ104" s="55"/>
      <c r="EA104" s="55"/>
      <c r="EB104" s="55"/>
      <c r="EC104" s="55"/>
      <c r="ED104" s="55"/>
      <c r="EE104" s="55"/>
      <c r="EF104" s="55"/>
      <c r="EG104" s="55"/>
      <c r="EH104" s="55"/>
      <c r="EI104" s="55"/>
      <c r="EJ104" s="55"/>
      <c r="EK104" s="55"/>
      <c r="EL104" s="55"/>
      <c r="EM104" s="55"/>
      <c r="EN104" s="55"/>
      <c r="EO104" s="55"/>
      <c r="EP104" s="55"/>
      <c r="EQ104" s="55"/>
      <c r="ER104" s="55"/>
      <c r="ES104" s="55"/>
      <c r="ET104" s="55"/>
      <c r="EU104" s="55"/>
      <c r="EV104" s="55"/>
      <c r="EW104" s="55"/>
      <c r="EX104" s="55"/>
      <c r="EY104" s="55"/>
      <c r="EZ104" s="55"/>
      <c r="FA104" s="55"/>
      <c r="FB104" s="55"/>
      <c r="FC104" s="55"/>
      <c r="FD104" s="55"/>
      <c r="FE104" s="55"/>
      <c r="FF104" s="55"/>
      <c r="FG104" s="55"/>
      <c r="FH104" s="55"/>
      <c r="FI104" s="55"/>
      <c r="FJ104" s="55"/>
      <c r="FK104" s="55"/>
      <c r="FL104" s="55"/>
      <c r="FM104" s="55"/>
      <c r="FN104" s="55"/>
      <c r="FO104" s="55"/>
      <c r="FP104" s="55"/>
      <c r="FQ104" s="55"/>
      <c r="FR104" s="55"/>
      <c r="FS104" s="55"/>
      <c r="FT104" s="55"/>
      <c r="FU104" s="55"/>
      <c r="FV104" s="55"/>
      <c r="FW104" s="55"/>
      <c r="FX104" s="55"/>
      <c r="FY104" s="55"/>
      <c r="FZ104" s="55"/>
      <c r="GA104" s="55"/>
      <c r="GB104" s="55"/>
      <c r="GC104" s="55"/>
      <c r="GD104" s="55"/>
      <c r="GE104" s="55"/>
      <c r="GF104" s="55"/>
      <c r="GG104" s="55"/>
      <c r="GH104" s="55"/>
      <c r="GI104" s="55"/>
      <c r="GJ104" s="55"/>
      <c r="GK104" s="55"/>
      <c r="GL104" s="55"/>
      <c r="GM104" s="55"/>
      <c r="GN104" s="55"/>
      <c r="GO104" s="55"/>
      <c r="GP104" s="55"/>
      <c r="GQ104" s="55"/>
      <c r="GR104" s="55"/>
      <c r="GS104" s="55"/>
      <c r="GT104" s="55"/>
      <c r="GU104" s="55"/>
      <c r="GV104" s="55"/>
      <c r="GW104" s="55"/>
      <c r="GX104" s="55"/>
      <c r="GY104" s="55"/>
      <c r="GZ104" s="55"/>
      <c r="HA104" s="55"/>
      <c r="HB104" s="55"/>
      <c r="HC104" s="55"/>
      <c r="HD104" s="55"/>
      <c r="HE104" s="55"/>
      <c r="HF104" s="55"/>
      <c r="HG104" s="55"/>
      <c r="HH104" s="55"/>
      <c r="HI104" s="55"/>
      <c r="HJ104" s="55"/>
      <c r="HK104" s="55"/>
      <c r="HL104" s="55"/>
      <c r="HM104" s="55"/>
      <c r="HN104" s="55"/>
      <c r="HO104" s="55"/>
      <c r="HP104" s="55"/>
      <c r="HQ104" s="55"/>
      <c r="HR104" s="55"/>
      <c r="HS104" s="55"/>
      <c r="HT104" s="55"/>
      <c r="HU104" s="55"/>
      <c r="HV104" s="55"/>
      <c r="HW104" s="55"/>
      <c r="HX104" s="55"/>
      <c r="HY104" s="55"/>
      <c r="HZ104" s="55"/>
      <c r="IA104" s="55"/>
      <c r="IB104" s="55"/>
      <c r="IC104" s="55"/>
      <c r="ID104" s="55"/>
    </row>
    <row r="105" s="52" customFormat="1" ht="63" customHeight="1" spans="1:238">
      <c r="A105" s="64">
        <v>37</v>
      </c>
      <c r="B105" s="64" t="s">
        <v>475</v>
      </c>
      <c r="C105" s="64" t="s">
        <v>476</v>
      </c>
      <c r="D105" s="65" t="s">
        <v>477</v>
      </c>
      <c r="E105" s="77" t="s">
        <v>478</v>
      </c>
      <c r="F105" s="77" t="s">
        <v>35</v>
      </c>
      <c r="G105" s="64" t="s">
        <v>110</v>
      </c>
      <c r="H105" s="78">
        <v>11</v>
      </c>
      <c r="I105" s="78">
        <v>10</v>
      </c>
      <c r="J105" s="83">
        <v>10.5</v>
      </c>
      <c r="K105" s="83">
        <v>10</v>
      </c>
      <c r="L105" s="83">
        <v>8.5</v>
      </c>
      <c r="M105" s="41">
        <v>10.5</v>
      </c>
      <c r="N105" s="41">
        <v>10</v>
      </c>
      <c r="O105" s="41">
        <v>8.5</v>
      </c>
      <c r="P105" s="64" t="s">
        <v>37</v>
      </c>
      <c r="Q105" s="64" t="s">
        <v>35</v>
      </c>
      <c r="R105" s="64" t="s">
        <v>35</v>
      </c>
      <c r="S105" s="83" t="s">
        <v>381</v>
      </c>
      <c r="T105" s="77" t="s">
        <v>381</v>
      </c>
      <c r="U105" s="105" t="s">
        <v>479</v>
      </c>
      <c r="V105" s="105">
        <v>310300092</v>
      </c>
      <c r="W105" s="106" t="s">
        <v>480</v>
      </c>
      <c r="X105" s="105"/>
      <c r="Y105" s="105"/>
      <c r="Z105" s="105" t="s">
        <v>36</v>
      </c>
      <c r="AA105" s="110" t="s">
        <v>35</v>
      </c>
      <c r="AB105" s="50">
        <v>10.5</v>
      </c>
      <c r="AC105" s="50">
        <v>10</v>
      </c>
      <c r="AD105" s="50">
        <v>8.5</v>
      </c>
      <c r="AE105" s="112" t="s">
        <v>37</v>
      </c>
      <c r="AF105" s="60"/>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c r="CW105" s="55"/>
      <c r="CX105" s="55"/>
      <c r="CY105" s="55"/>
      <c r="CZ105" s="55"/>
      <c r="DA105" s="55"/>
      <c r="DB105" s="55"/>
      <c r="DC105" s="55"/>
      <c r="DD105" s="55"/>
      <c r="DE105" s="55"/>
      <c r="DF105" s="55"/>
      <c r="DG105" s="55"/>
      <c r="DH105" s="55"/>
      <c r="DI105" s="55"/>
      <c r="DJ105" s="55"/>
      <c r="DK105" s="55"/>
      <c r="DL105" s="55"/>
      <c r="DM105" s="55"/>
      <c r="DN105" s="55"/>
      <c r="DO105" s="55"/>
      <c r="DP105" s="55"/>
      <c r="DQ105" s="55"/>
      <c r="DR105" s="55"/>
      <c r="DS105" s="55"/>
      <c r="DT105" s="55"/>
      <c r="DU105" s="55"/>
      <c r="DV105" s="55"/>
      <c r="DW105" s="55"/>
      <c r="DX105" s="55"/>
      <c r="DY105" s="55"/>
      <c r="DZ105" s="55"/>
      <c r="EA105" s="55"/>
      <c r="EB105" s="55"/>
      <c r="EC105" s="55"/>
      <c r="ED105" s="55"/>
      <c r="EE105" s="55"/>
      <c r="EF105" s="55"/>
      <c r="EG105" s="55"/>
      <c r="EH105" s="55"/>
      <c r="EI105" s="55"/>
      <c r="EJ105" s="55"/>
      <c r="EK105" s="55"/>
      <c r="EL105" s="55"/>
      <c r="EM105" s="55"/>
      <c r="EN105" s="55"/>
      <c r="EO105" s="55"/>
      <c r="EP105" s="55"/>
      <c r="EQ105" s="55"/>
      <c r="ER105" s="55"/>
      <c r="ES105" s="55"/>
      <c r="ET105" s="55"/>
      <c r="EU105" s="55"/>
      <c r="EV105" s="55"/>
      <c r="EW105" s="55"/>
      <c r="EX105" s="55"/>
      <c r="EY105" s="55"/>
      <c r="EZ105" s="55"/>
      <c r="FA105" s="55"/>
      <c r="FB105" s="55"/>
      <c r="FC105" s="55"/>
      <c r="FD105" s="55"/>
      <c r="FE105" s="55"/>
      <c r="FF105" s="55"/>
      <c r="FG105" s="55"/>
      <c r="FH105" s="55"/>
      <c r="FI105" s="55"/>
      <c r="FJ105" s="55"/>
      <c r="FK105" s="55"/>
      <c r="FL105" s="55"/>
      <c r="FM105" s="55"/>
      <c r="FN105" s="55"/>
      <c r="FO105" s="55"/>
      <c r="FP105" s="55"/>
      <c r="FQ105" s="55"/>
      <c r="FR105" s="55"/>
      <c r="FS105" s="55"/>
      <c r="FT105" s="55"/>
      <c r="FU105" s="55"/>
      <c r="FV105" s="55"/>
      <c r="FW105" s="55"/>
      <c r="FX105" s="55"/>
      <c r="FY105" s="55"/>
      <c r="FZ105" s="55"/>
      <c r="GA105" s="55"/>
      <c r="GB105" s="55"/>
      <c r="GC105" s="55"/>
      <c r="GD105" s="55"/>
      <c r="GE105" s="55"/>
      <c r="GF105" s="55"/>
      <c r="GG105" s="55"/>
      <c r="GH105" s="55"/>
      <c r="GI105" s="55"/>
      <c r="GJ105" s="55"/>
      <c r="GK105" s="55"/>
      <c r="GL105" s="55"/>
      <c r="GM105" s="55"/>
      <c r="GN105" s="55"/>
      <c r="GO105" s="55"/>
      <c r="GP105" s="55"/>
      <c r="GQ105" s="55"/>
      <c r="GR105" s="55"/>
      <c r="GS105" s="55"/>
      <c r="GT105" s="55"/>
      <c r="GU105" s="55"/>
      <c r="GV105" s="55"/>
      <c r="GW105" s="55"/>
      <c r="GX105" s="55"/>
      <c r="GY105" s="55"/>
      <c r="GZ105" s="55"/>
      <c r="HA105" s="55"/>
      <c r="HB105" s="55"/>
      <c r="HC105" s="55"/>
      <c r="HD105" s="55"/>
      <c r="HE105" s="55"/>
      <c r="HF105" s="55"/>
      <c r="HG105" s="55"/>
      <c r="HH105" s="55"/>
      <c r="HI105" s="55"/>
      <c r="HJ105" s="55"/>
      <c r="HK105" s="55"/>
      <c r="HL105" s="55"/>
      <c r="HM105" s="55"/>
      <c r="HN105" s="55"/>
      <c r="HO105" s="55"/>
      <c r="HP105" s="55"/>
      <c r="HQ105" s="55"/>
      <c r="HR105" s="55"/>
      <c r="HS105" s="55"/>
      <c r="HT105" s="55"/>
      <c r="HU105" s="55"/>
      <c r="HV105" s="55"/>
      <c r="HW105" s="55"/>
      <c r="HX105" s="55"/>
      <c r="HY105" s="55"/>
      <c r="HZ105" s="55"/>
      <c r="IA105" s="55"/>
      <c r="IB105" s="55"/>
      <c r="IC105" s="55"/>
      <c r="ID105" s="55"/>
    </row>
    <row r="106" s="55" customFormat="1" ht="37" customHeight="1" spans="1:32">
      <c r="A106" s="112">
        <v>38</v>
      </c>
      <c r="B106" s="112" t="s">
        <v>481</v>
      </c>
      <c r="C106" s="64" t="s">
        <v>482</v>
      </c>
      <c r="D106" s="65" t="s">
        <v>483</v>
      </c>
      <c r="E106" s="77" t="s">
        <v>484</v>
      </c>
      <c r="F106" s="77" t="s">
        <v>35</v>
      </c>
      <c r="G106" s="64" t="s">
        <v>110</v>
      </c>
      <c r="H106" s="78">
        <v>11</v>
      </c>
      <c r="I106" s="78">
        <v>10</v>
      </c>
      <c r="J106" s="83">
        <v>7.35</v>
      </c>
      <c r="K106" s="83">
        <v>7</v>
      </c>
      <c r="L106" s="83">
        <v>5.95</v>
      </c>
      <c r="M106" s="94">
        <v>10.5</v>
      </c>
      <c r="N106" s="94">
        <v>10</v>
      </c>
      <c r="O106" s="94">
        <v>8.5</v>
      </c>
      <c r="P106" s="64" t="s">
        <v>37</v>
      </c>
      <c r="Q106" s="64"/>
      <c r="R106" s="64" t="s">
        <v>35</v>
      </c>
      <c r="S106" s="83" t="s">
        <v>485</v>
      </c>
      <c r="T106" s="77" t="s">
        <v>486</v>
      </c>
      <c r="U106" s="105" t="s">
        <v>487</v>
      </c>
      <c r="V106" s="105">
        <v>310300036</v>
      </c>
      <c r="W106" s="106" t="s">
        <v>488</v>
      </c>
      <c r="X106" s="105"/>
      <c r="Y106" s="105"/>
      <c r="Z106" s="105" t="s">
        <v>36</v>
      </c>
      <c r="AA106" s="110" t="s">
        <v>35</v>
      </c>
      <c r="AB106" s="50">
        <v>4.2</v>
      </c>
      <c r="AC106" s="50">
        <v>4</v>
      </c>
      <c r="AD106" s="50">
        <v>3.4</v>
      </c>
      <c r="AE106" s="112" t="s">
        <v>37</v>
      </c>
      <c r="AF106" s="60"/>
    </row>
    <row r="107" s="52" customFormat="1" ht="37" customHeight="1" spans="1:238">
      <c r="A107" s="112"/>
      <c r="B107" s="112"/>
      <c r="C107" s="64"/>
      <c r="D107" s="65"/>
      <c r="E107" s="77"/>
      <c r="F107" s="77"/>
      <c r="G107" s="64"/>
      <c r="H107" s="42"/>
      <c r="I107" s="42"/>
      <c r="J107" s="83"/>
      <c r="K107" s="83"/>
      <c r="L107" s="83"/>
      <c r="M107" s="94"/>
      <c r="N107" s="94"/>
      <c r="O107" s="94"/>
      <c r="P107" s="64"/>
      <c r="Q107" s="64"/>
      <c r="R107" s="64"/>
      <c r="S107" s="83"/>
      <c r="T107" s="77"/>
      <c r="U107" s="105" t="s">
        <v>489</v>
      </c>
      <c r="V107" s="105">
        <v>310300105</v>
      </c>
      <c r="W107" s="106" t="s">
        <v>490</v>
      </c>
      <c r="X107" s="105"/>
      <c r="Y107" s="105"/>
      <c r="Z107" s="105" t="s">
        <v>36</v>
      </c>
      <c r="AA107" s="110" t="s">
        <v>35</v>
      </c>
      <c r="AB107" s="50">
        <v>10.5</v>
      </c>
      <c r="AC107" s="50">
        <v>10</v>
      </c>
      <c r="AD107" s="50">
        <v>8.5</v>
      </c>
      <c r="AE107" s="112" t="s">
        <v>37</v>
      </c>
      <c r="AF107" s="60" t="s">
        <v>271</v>
      </c>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c r="DZ107" s="55"/>
      <c r="EA107" s="55"/>
      <c r="EB107" s="55"/>
      <c r="EC107" s="55"/>
      <c r="ED107" s="55"/>
      <c r="EE107" s="55"/>
      <c r="EF107" s="55"/>
      <c r="EG107" s="55"/>
      <c r="EH107" s="55"/>
      <c r="EI107" s="55"/>
      <c r="EJ107" s="55"/>
      <c r="EK107" s="55"/>
      <c r="EL107" s="55"/>
      <c r="EM107" s="55"/>
      <c r="EN107" s="55"/>
      <c r="EO107" s="55"/>
      <c r="EP107" s="55"/>
      <c r="EQ107" s="55"/>
      <c r="ER107" s="55"/>
      <c r="ES107" s="55"/>
      <c r="ET107" s="55"/>
      <c r="EU107" s="55"/>
      <c r="EV107" s="55"/>
      <c r="EW107" s="55"/>
      <c r="EX107" s="55"/>
      <c r="EY107" s="55"/>
      <c r="EZ107" s="55"/>
      <c r="FA107" s="55"/>
      <c r="FB107" s="55"/>
      <c r="FC107" s="55"/>
      <c r="FD107" s="55"/>
      <c r="FE107" s="55"/>
      <c r="FF107" s="55"/>
      <c r="FG107" s="55"/>
      <c r="FH107" s="55"/>
      <c r="FI107" s="55"/>
      <c r="FJ107" s="55"/>
      <c r="FK107" s="55"/>
      <c r="FL107" s="55"/>
      <c r="FM107" s="55"/>
      <c r="FN107" s="55"/>
      <c r="FO107" s="55"/>
      <c r="FP107" s="55"/>
      <c r="FQ107" s="55"/>
      <c r="FR107" s="55"/>
      <c r="FS107" s="55"/>
      <c r="FT107" s="55"/>
      <c r="FU107" s="55"/>
      <c r="FV107" s="55"/>
      <c r="FW107" s="55"/>
      <c r="FX107" s="55"/>
      <c r="FY107" s="55"/>
      <c r="FZ107" s="55"/>
      <c r="GA107" s="55"/>
      <c r="GB107" s="55"/>
      <c r="GC107" s="55"/>
      <c r="GD107" s="55"/>
      <c r="GE107" s="55"/>
      <c r="GF107" s="55"/>
      <c r="GG107" s="55"/>
      <c r="GH107" s="55"/>
      <c r="GI107" s="55"/>
      <c r="GJ107" s="55"/>
      <c r="GK107" s="55"/>
      <c r="GL107" s="55"/>
      <c r="GM107" s="55"/>
      <c r="GN107" s="55"/>
      <c r="GO107" s="55"/>
      <c r="GP107" s="55"/>
      <c r="GQ107" s="55"/>
      <c r="GR107" s="55"/>
      <c r="GS107" s="55"/>
      <c r="GT107" s="55"/>
      <c r="GU107" s="55"/>
      <c r="GV107" s="55"/>
      <c r="GW107" s="55"/>
      <c r="GX107" s="55"/>
      <c r="GY107" s="55"/>
      <c r="GZ107" s="55"/>
      <c r="HA107" s="55"/>
      <c r="HB107" s="55"/>
      <c r="HC107" s="55"/>
      <c r="HD107" s="55"/>
      <c r="HE107" s="55"/>
      <c r="HF107" s="55"/>
      <c r="HG107" s="55"/>
      <c r="HH107" s="55"/>
      <c r="HI107" s="55"/>
      <c r="HJ107" s="55"/>
      <c r="HK107" s="55"/>
      <c r="HL107" s="55"/>
      <c r="HM107" s="55"/>
      <c r="HN107" s="55"/>
      <c r="HO107" s="55"/>
      <c r="HP107" s="55"/>
      <c r="HQ107" s="55"/>
      <c r="HR107" s="55"/>
      <c r="HS107" s="55"/>
      <c r="HT107" s="55"/>
      <c r="HU107" s="55"/>
      <c r="HV107" s="55"/>
      <c r="HW107" s="55"/>
      <c r="HX107" s="55"/>
      <c r="HY107" s="55"/>
      <c r="HZ107" s="55"/>
      <c r="IA107" s="55"/>
      <c r="IB107" s="55"/>
      <c r="IC107" s="55"/>
      <c r="ID107" s="55"/>
    </row>
    <row r="108" s="52" customFormat="1" ht="31" customHeight="1" spans="1:238">
      <c r="A108" s="64" t="s">
        <v>95</v>
      </c>
      <c r="B108" s="64" t="s">
        <v>491</v>
      </c>
      <c r="C108" s="64" t="s">
        <v>492</v>
      </c>
      <c r="D108" s="65"/>
      <c r="E108" s="77"/>
      <c r="F108" s="77" t="s">
        <v>35</v>
      </c>
      <c r="G108" s="64" t="s">
        <v>110</v>
      </c>
      <c r="H108" s="78">
        <v>3.3</v>
      </c>
      <c r="I108" s="78">
        <v>3</v>
      </c>
      <c r="J108" s="83"/>
      <c r="K108" s="83"/>
      <c r="L108" s="83"/>
      <c r="M108" s="41">
        <v>3.2</v>
      </c>
      <c r="N108" s="41">
        <v>3</v>
      </c>
      <c r="O108" s="41">
        <v>2.6</v>
      </c>
      <c r="P108" s="64" t="s">
        <v>37</v>
      </c>
      <c r="Q108" s="64" t="s">
        <v>35</v>
      </c>
      <c r="R108" s="64" t="s">
        <v>35</v>
      </c>
      <c r="S108" s="83"/>
      <c r="T108" s="77" t="s">
        <v>186</v>
      </c>
      <c r="U108" s="105"/>
      <c r="V108" s="105"/>
      <c r="W108" s="106"/>
      <c r="X108" s="105"/>
      <c r="Y108" s="105"/>
      <c r="Z108" s="105"/>
      <c r="AA108" s="110"/>
      <c r="AB108" s="50"/>
      <c r="AC108" s="50"/>
      <c r="AD108" s="50"/>
      <c r="AE108" s="112"/>
      <c r="AF108" s="60"/>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55"/>
      <c r="DQ108" s="55"/>
      <c r="DR108" s="55"/>
      <c r="DS108" s="55"/>
      <c r="DT108" s="55"/>
      <c r="DU108" s="55"/>
      <c r="DV108" s="55"/>
      <c r="DW108" s="55"/>
      <c r="DX108" s="55"/>
      <c r="DY108" s="55"/>
      <c r="DZ108" s="55"/>
      <c r="EA108" s="55"/>
      <c r="EB108" s="55"/>
      <c r="EC108" s="55"/>
      <c r="ED108" s="55"/>
      <c r="EE108" s="55"/>
      <c r="EF108" s="55"/>
      <c r="EG108" s="55"/>
      <c r="EH108" s="55"/>
      <c r="EI108" s="55"/>
      <c r="EJ108" s="55"/>
      <c r="EK108" s="55"/>
      <c r="EL108" s="55"/>
      <c r="EM108" s="55"/>
      <c r="EN108" s="55"/>
      <c r="EO108" s="55"/>
      <c r="EP108" s="55"/>
      <c r="EQ108" s="55"/>
      <c r="ER108" s="55"/>
      <c r="ES108" s="55"/>
      <c r="ET108" s="55"/>
      <c r="EU108" s="55"/>
      <c r="EV108" s="55"/>
      <c r="EW108" s="55"/>
      <c r="EX108" s="55"/>
      <c r="EY108" s="55"/>
      <c r="EZ108" s="55"/>
      <c r="FA108" s="55"/>
      <c r="FB108" s="55"/>
      <c r="FC108" s="55"/>
      <c r="FD108" s="55"/>
      <c r="FE108" s="55"/>
      <c r="FF108" s="55"/>
      <c r="FG108" s="55"/>
      <c r="FH108" s="55"/>
      <c r="FI108" s="55"/>
      <c r="FJ108" s="55"/>
      <c r="FK108" s="55"/>
      <c r="FL108" s="55"/>
      <c r="FM108" s="55"/>
      <c r="FN108" s="55"/>
      <c r="FO108" s="55"/>
      <c r="FP108" s="55"/>
      <c r="FQ108" s="55"/>
      <c r="FR108" s="55"/>
      <c r="FS108" s="55"/>
      <c r="FT108" s="55"/>
      <c r="FU108" s="55"/>
      <c r="FV108" s="55"/>
      <c r="FW108" s="55"/>
      <c r="FX108" s="55"/>
      <c r="FY108" s="55"/>
      <c r="FZ108" s="55"/>
      <c r="GA108" s="55"/>
      <c r="GB108" s="55"/>
      <c r="GC108" s="55"/>
      <c r="GD108" s="55"/>
      <c r="GE108" s="55"/>
      <c r="GF108" s="55"/>
      <c r="GG108" s="55"/>
      <c r="GH108" s="55"/>
      <c r="GI108" s="55"/>
      <c r="GJ108" s="55"/>
      <c r="GK108" s="55"/>
      <c r="GL108" s="55"/>
      <c r="GM108" s="55"/>
      <c r="GN108" s="55"/>
      <c r="GO108" s="55"/>
      <c r="GP108" s="55"/>
      <c r="GQ108" s="55"/>
      <c r="GR108" s="55"/>
      <c r="GS108" s="55"/>
      <c r="GT108" s="55"/>
      <c r="GU108" s="55"/>
      <c r="GV108" s="55"/>
      <c r="GW108" s="55"/>
      <c r="GX108" s="55"/>
      <c r="GY108" s="55"/>
      <c r="GZ108" s="55"/>
      <c r="HA108" s="55"/>
      <c r="HB108" s="55"/>
      <c r="HC108" s="55"/>
      <c r="HD108" s="55"/>
      <c r="HE108" s="55"/>
      <c r="HF108" s="55"/>
      <c r="HG108" s="55"/>
      <c r="HH108" s="55"/>
      <c r="HI108" s="55"/>
      <c r="HJ108" s="55"/>
      <c r="HK108" s="55"/>
      <c r="HL108" s="55"/>
      <c r="HM108" s="55"/>
      <c r="HN108" s="55"/>
      <c r="HO108" s="55"/>
      <c r="HP108" s="55"/>
      <c r="HQ108" s="55"/>
      <c r="HR108" s="55"/>
      <c r="HS108" s="55"/>
      <c r="HT108" s="55"/>
      <c r="HU108" s="55"/>
      <c r="HV108" s="55"/>
      <c r="HW108" s="55"/>
      <c r="HX108" s="55"/>
      <c r="HY108" s="55"/>
      <c r="HZ108" s="55"/>
      <c r="IA108" s="55"/>
      <c r="IB108" s="55"/>
      <c r="IC108" s="55"/>
      <c r="ID108" s="55"/>
    </row>
    <row r="109" s="52" customFormat="1" ht="34" customHeight="1" spans="1:238">
      <c r="A109" s="112" t="s">
        <v>95</v>
      </c>
      <c r="B109" s="112" t="s">
        <v>493</v>
      </c>
      <c r="C109" s="64" t="s">
        <v>494</v>
      </c>
      <c r="D109" s="65"/>
      <c r="E109" s="77"/>
      <c r="F109" s="77" t="s">
        <v>35</v>
      </c>
      <c r="G109" s="64" t="s">
        <v>110</v>
      </c>
      <c r="H109" s="78">
        <v>22</v>
      </c>
      <c r="I109" s="78">
        <v>20</v>
      </c>
      <c r="J109" s="83">
        <v>21</v>
      </c>
      <c r="K109" s="84">
        <v>20.0719424460432</v>
      </c>
      <c r="L109" s="83">
        <v>17</v>
      </c>
      <c r="M109" s="41">
        <v>21</v>
      </c>
      <c r="N109" s="41">
        <v>20</v>
      </c>
      <c r="O109" s="41">
        <v>17</v>
      </c>
      <c r="P109" s="64" t="s">
        <v>37</v>
      </c>
      <c r="Q109" s="64" t="s">
        <v>35</v>
      </c>
      <c r="R109" s="64" t="s">
        <v>35</v>
      </c>
      <c r="S109" s="83"/>
      <c r="T109" s="77" t="s">
        <v>381</v>
      </c>
      <c r="U109" s="105" t="s">
        <v>495</v>
      </c>
      <c r="V109" s="105">
        <v>310300106</v>
      </c>
      <c r="W109" s="106" t="s">
        <v>496</v>
      </c>
      <c r="X109" s="105"/>
      <c r="Y109" s="105"/>
      <c r="Z109" s="105" t="s">
        <v>36</v>
      </c>
      <c r="AA109" s="110" t="s">
        <v>497</v>
      </c>
      <c r="AB109" s="50">
        <v>21</v>
      </c>
      <c r="AC109" s="50">
        <v>20</v>
      </c>
      <c r="AD109" s="50">
        <v>17</v>
      </c>
      <c r="AE109" s="112" t="s">
        <v>37</v>
      </c>
      <c r="AF109" s="60"/>
      <c r="AG109" s="55"/>
      <c r="AH109" s="55"/>
      <c r="AI109" s="55"/>
      <c r="AJ109" s="55"/>
      <c r="AK109" s="55"/>
      <c r="AL109" s="55"/>
      <c r="AM109" s="55"/>
      <c r="AN109" s="55"/>
      <c r="AO109" s="55"/>
      <c r="AP109" s="55"/>
      <c r="AQ109" s="55"/>
      <c r="AR109" s="55"/>
      <c r="AS109" s="55"/>
      <c r="AT109" s="55"/>
      <c r="AU109" s="55"/>
      <c r="AV109" s="55"/>
      <c r="AW109" s="55"/>
      <c r="AX109" s="55"/>
      <c r="AY109" s="55"/>
      <c r="AZ109" s="55"/>
      <c r="BA109" s="55"/>
      <c r="BB109" s="55"/>
      <c r="BC109" s="55"/>
      <c r="BD109" s="55"/>
      <c r="BE109" s="55"/>
      <c r="BF109" s="55"/>
      <c r="BG109" s="55"/>
      <c r="BH109" s="55"/>
      <c r="BI109" s="55"/>
      <c r="BJ109" s="55"/>
      <c r="BK109" s="55"/>
      <c r="BL109" s="55"/>
      <c r="BM109" s="55"/>
      <c r="BN109" s="55"/>
      <c r="BO109" s="55"/>
      <c r="BP109" s="55"/>
      <c r="BQ109" s="55"/>
      <c r="BR109" s="55"/>
      <c r="BS109" s="55"/>
      <c r="BT109" s="55"/>
      <c r="BU109" s="55"/>
      <c r="BV109" s="55"/>
      <c r="BW109" s="55"/>
      <c r="BX109" s="55"/>
      <c r="BY109" s="55"/>
      <c r="BZ109" s="55"/>
      <c r="CA109" s="55"/>
      <c r="CB109" s="55"/>
      <c r="CC109" s="55"/>
      <c r="CD109" s="55"/>
      <c r="CE109" s="55"/>
      <c r="CF109" s="55"/>
      <c r="CG109" s="55"/>
      <c r="CH109" s="55"/>
      <c r="CI109" s="55"/>
      <c r="CJ109" s="55"/>
      <c r="CK109" s="55"/>
      <c r="CL109" s="55"/>
      <c r="CM109" s="55"/>
      <c r="CN109" s="55"/>
      <c r="CO109" s="55"/>
      <c r="CP109" s="55"/>
      <c r="CQ109" s="55"/>
      <c r="CR109" s="55"/>
      <c r="CS109" s="55"/>
      <c r="CT109" s="55"/>
      <c r="CU109" s="55"/>
      <c r="CV109" s="55"/>
      <c r="CW109" s="55"/>
      <c r="CX109" s="55"/>
      <c r="CY109" s="55"/>
      <c r="CZ109" s="55"/>
      <c r="DA109" s="55"/>
      <c r="DB109" s="55"/>
      <c r="DC109" s="55"/>
      <c r="DD109" s="55"/>
      <c r="DE109" s="55"/>
      <c r="DF109" s="55"/>
      <c r="DG109" s="55"/>
      <c r="DH109" s="55"/>
      <c r="DI109" s="55"/>
      <c r="DJ109" s="55"/>
      <c r="DK109" s="55"/>
      <c r="DL109" s="55"/>
      <c r="DM109" s="55"/>
      <c r="DN109" s="55"/>
      <c r="DO109" s="55"/>
      <c r="DP109" s="55"/>
      <c r="DQ109" s="55"/>
      <c r="DR109" s="55"/>
      <c r="DS109" s="55"/>
      <c r="DT109" s="55"/>
      <c r="DU109" s="55"/>
      <c r="DV109" s="55"/>
      <c r="DW109" s="55"/>
      <c r="DX109" s="55"/>
      <c r="DY109" s="55"/>
      <c r="DZ109" s="55"/>
      <c r="EA109" s="55"/>
      <c r="EB109" s="55"/>
      <c r="EC109" s="55"/>
      <c r="ED109" s="55"/>
      <c r="EE109" s="55"/>
      <c r="EF109" s="55"/>
      <c r="EG109" s="55"/>
      <c r="EH109" s="55"/>
      <c r="EI109" s="55"/>
      <c r="EJ109" s="55"/>
      <c r="EK109" s="55"/>
      <c r="EL109" s="55"/>
      <c r="EM109" s="55"/>
      <c r="EN109" s="55"/>
      <c r="EO109" s="55"/>
      <c r="EP109" s="55"/>
      <c r="EQ109" s="55"/>
      <c r="ER109" s="55"/>
      <c r="ES109" s="55"/>
      <c r="ET109" s="55"/>
      <c r="EU109" s="55"/>
      <c r="EV109" s="55"/>
      <c r="EW109" s="55"/>
      <c r="EX109" s="55"/>
      <c r="EY109" s="55"/>
      <c r="EZ109" s="55"/>
      <c r="FA109" s="55"/>
      <c r="FB109" s="55"/>
      <c r="FC109" s="55"/>
      <c r="FD109" s="55"/>
      <c r="FE109" s="55"/>
      <c r="FF109" s="55"/>
      <c r="FG109" s="55"/>
      <c r="FH109" s="55"/>
      <c r="FI109" s="55"/>
      <c r="FJ109" s="55"/>
      <c r="FK109" s="55"/>
      <c r="FL109" s="55"/>
      <c r="FM109" s="55"/>
      <c r="FN109" s="55"/>
      <c r="FO109" s="55"/>
      <c r="FP109" s="55"/>
      <c r="FQ109" s="55"/>
      <c r="FR109" s="55"/>
      <c r="FS109" s="55"/>
      <c r="FT109" s="55"/>
      <c r="FU109" s="55"/>
      <c r="FV109" s="55"/>
      <c r="FW109" s="55"/>
      <c r="FX109" s="55"/>
      <c r="FY109" s="55"/>
      <c r="FZ109" s="55"/>
      <c r="GA109" s="55"/>
      <c r="GB109" s="55"/>
      <c r="GC109" s="55"/>
      <c r="GD109" s="55"/>
      <c r="GE109" s="55"/>
      <c r="GF109" s="55"/>
      <c r="GG109" s="55"/>
      <c r="GH109" s="55"/>
      <c r="GI109" s="55"/>
      <c r="GJ109" s="55"/>
      <c r="GK109" s="55"/>
      <c r="GL109" s="55"/>
      <c r="GM109" s="55"/>
      <c r="GN109" s="55"/>
      <c r="GO109" s="55"/>
      <c r="GP109" s="55"/>
      <c r="GQ109" s="55"/>
      <c r="GR109" s="55"/>
      <c r="GS109" s="55"/>
      <c r="GT109" s="55"/>
      <c r="GU109" s="55"/>
      <c r="GV109" s="55"/>
      <c r="GW109" s="55"/>
      <c r="GX109" s="55"/>
      <c r="GY109" s="55"/>
      <c r="GZ109" s="55"/>
      <c r="HA109" s="55"/>
      <c r="HB109" s="55"/>
      <c r="HC109" s="55"/>
      <c r="HD109" s="55"/>
      <c r="HE109" s="55"/>
      <c r="HF109" s="55"/>
      <c r="HG109" s="55"/>
      <c r="HH109" s="55"/>
      <c r="HI109" s="55"/>
      <c r="HJ109" s="55"/>
      <c r="HK109" s="55"/>
      <c r="HL109" s="55"/>
      <c r="HM109" s="55"/>
      <c r="HN109" s="55"/>
      <c r="HO109" s="55"/>
      <c r="HP109" s="55"/>
      <c r="HQ109" s="55"/>
      <c r="HR109" s="55"/>
      <c r="HS109" s="55"/>
      <c r="HT109" s="55"/>
      <c r="HU109" s="55"/>
      <c r="HV109" s="55"/>
      <c r="HW109" s="55"/>
      <c r="HX109" s="55"/>
      <c r="HY109" s="55"/>
      <c r="HZ109" s="55"/>
      <c r="IA109" s="55"/>
      <c r="IB109" s="55"/>
      <c r="IC109" s="55"/>
      <c r="ID109" s="55"/>
    </row>
    <row r="110" s="52" customFormat="1" ht="34" customHeight="1" spans="1:238">
      <c r="A110" s="112"/>
      <c r="B110" s="112"/>
      <c r="C110" s="64"/>
      <c r="D110" s="65"/>
      <c r="E110" s="77"/>
      <c r="F110" s="77"/>
      <c r="G110" s="64"/>
      <c r="H110" s="42"/>
      <c r="I110" s="42"/>
      <c r="J110" s="83"/>
      <c r="K110" s="84"/>
      <c r="L110" s="83"/>
      <c r="M110" s="41"/>
      <c r="N110" s="41"/>
      <c r="O110" s="41"/>
      <c r="P110" s="64"/>
      <c r="Q110" s="64"/>
      <c r="R110" s="64"/>
      <c r="S110" s="83"/>
      <c r="T110" s="77"/>
      <c r="U110" s="105" t="s">
        <v>498</v>
      </c>
      <c r="V110" s="105">
        <v>31030010601</v>
      </c>
      <c r="W110" s="106" t="s">
        <v>499</v>
      </c>
      <c r="X110" s="105"/>
      <c r="Y110" s="105"/>
      <c r="Z110" s="105" t="s">
        <v>36</v>
      </c>
      <c r="AA110" s="110" t="s">
        <v>500</v>
      </c>
      <c r="AB110" s="50">
        <v>31.5</v>
      </c>
      <c r="AC110" s="50">
        <v>30</v>
      </c>
      <c r="AD110" s="50">
        <v>25.5</v>
      </c>
      <c r="AE110" s="112" t="s">
        <v>37</v>
      </c>
      <c r="AF110" s="60"/>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5"/>
      <c r="BJ110" s="55"/>
      <c r="BK110" s="55"/>
      <c r="BL110" s="55"/>
      <c r="BM110" s="55"/>
      <c r="BN110" s="55"/>
      <c r="BO110" s="55"/>
      <c r="BP110" s="55"/>
      <c r="BQ110" s="55"/>
      <c r="BR110" s="55"/>
      <c r="BS110" s="55"/>
      <c r="BT110" s="55"/>
      <c r="BU110" s="55"/>
      <c r="BV110" s="55"/>
      <c r="BW110" s="55"/>
      <c r="BX110" s="55"/>
      <c r="BY110" s="55"/>
      <c r="BZ110" s="55"/>
      <c r="CA110" s="55"/>
      <c r="CB110" s="55"/>
      <c r="CC110" s="55"/>
      <c r="CD110" s="55"/>
      <c r="CE110" s="55"/>
      <c r="CF110" s="55"/>
      <c r="CG110" s="55"/>
      <c r="CH110" s="55"/>
      <c r="CI110" s="55"/>
      <c r="CJ110" s="55"/>
      <c r="CK110" s="55"/>
      <c r="CL110" s="55"/>
      <c r="CM110" s="55"/>
      <c r="CN110" s="55"/>
      <c r="CO110" s="55"/>
      <c r="CP110" s="55"/>
      <c r="CQ110" s="55"/>
      <c r="CR110" s="55"/>
      <c r="CS110" s="55"/>
      <c r="CT110" s="55"/>
      <c r="CU110" s="55"/>
      <c r="CV110" s="55"/>
      <c r="CW110" s="55"/>
      <c r="CX110" s="55"/>
      <c r="CY110" s="55"/>
      <c r="CZ110" s="55"/>
      <c r="DA110" s="55"/>
      <c r="DB110" s="55"/>
      <c r="DC110" s="55"/>
      <c r="DD110" s="55"/>
      <c r="DE110" s="55"/>
      <c r="DF110" s="55"/>
      <c r="DG110" s="55"/>
      <c r="DH110" s="55"/>
      <c r="DI110" s="55"/>
      <c r="DJ110" s="55"/>
      <c r="DK110" s="55"/>
      <c r="DL110" s="55"/>
      <c r="DM110" s="55"/>
      <c r="DN110" s="55"/>
      <c r="DO110" s="55"/>
      <c r="DP110" s="55"/>
      <c r="DQ110" s="55"/>
      <c r="DR110" s="55"/>
      <c r="DS110" s="55"/>
      <c r="DT110" s="55"/>
      <c r="DU110" s="55"/>
      <c r="DV110" s="55"/>
      <c r="DW110" s="55"/>
      <c r="DX110" s="55"/>
      <c r="DY110" s="55"/>
      <c r="DZ110" s="55"/>
      <c r="EA110" s="55"/>
      <c r="EB110" s="55"/>
      <c r="EC110" s="55"/>
      <c r="ED110" s="55"/>
      <c r="EE110" s="55"/>
      <c r="EF110" s="55"/>
      <c r="EG110" s="55"/>
      <c r="EH110" s="55"/>
      <c r="EI110" s="55"/>
      <c r="EJ110" s="55"/>
      <c r="EK110" s="55"/>
      <c r="EL110" s="55"/>
      <c r="EM110" s="55"/>
      <c r="EN110" s="55"/>
      <c r="EO110" s="55"/>
      <c r="EP110" s="55"/>
      <c r="EQ110" s="55"/>
      <c r="ER110" s="55"/>
      <c r="ES110" s="55"/>
      <c r="ET110" s="55"/>
      <c r="EU110" s="55"/>
      <c r="EV110" s="55"/>
      <c r="EW110" s="55"/>
      <c r="EX110" s="55"/>
      <c r="EY110" s="55"/>
      <c r="EZ110" s="55"/>
      <c r="FA110" s="55"/>
      <c r="FB110" s="55"/>
      <c r="FC110" s="55"/>
      <c r="FD110" s="55"/>
      <c r="FE110" s="55"/>
      <c r="FF110" s="55"/>
      <c r="FG110" s="55"/>
      <c r="FH110" s="55"/>
      <c r="FI110" s="55"/>
      <c r="FJ110" s="55"/>
      <c r="FK110" s="55"/>
      <c r="FL110" s="55"/>
      <c r="FM110" s="55"/>
      <c r="FN110" s="55"/>
      <c r="FO110" s="55"/>
      <c r="FP110" s="55"/>
      <c r="FQ110" s="55"/>
      <c r="FR110" s="55"/>
      <c r="FS110" s="55"/>
      <c r="FT110" s="55"/>
      <c r="FU110" s="55"/>
      <c r="FV110" s="55"/>
      <c r="FW110" s="55"/>
      <c r="FX110" s="55"/>
      <c r="FY110" s="55"/>
      <c r="FZ110" s="55"/>
      <c r="GA110" s="55"/>
      <c r="GB110" s="55"/>
      <c r="GC110" s="55"/>
      <c r="GD110" s="55"/>
      <c r="GE110" s="55"/>
      <c r="GF110" s="55"/>
      <c r="GG110" s="55"/>
      <c r="GH110" s="55"/>
      <c r="GI110" s="55"/>
      <c r="GJ110" s="55"/>
      <c r="GK110" s="55"/>
      <c r="GL110" s="55"/>
      <c r="GM110" s="55"/>
      <c r="GN110" s="55"/>
      <c r="GO110" s="55"/>
      <c r="GP110" s="55"/>
      <c r="GQ110" s="55"/>
      <c r="GR110" s="55"/>
      <c r="GS110" s="55"/>
      <c r="GT110" s="55"/>
      <c r="GU110" s="55"/>
      <c r="GV110" s="55"/>
      <c r="GW110" s="55"/>
      <c r="GX110" s="55"/>
      <c r="GY110" s="55"/>
      <c r="GZ110" s="55"/>
      <c r="HA110" s="55"/>
      <c r="HB110" s="55"/>
      <c r="HC110" s="55"/>
      <c r="HD110" s="55"/>
      <c r="HE110" s="55"/>
      <c r="HF110" s="55"/>
      <c r="HG110" s="55"/>
      <c r="HH110" s="55"/>
      <c r="HI110" s="55"/>
      <c r="HJ110" s="55"/>
      <c r="HK110" s="55"/>
      <c r="HL110" s="55"/>
      <c r="HM110" s="55"/>
      <c r="HN110" s="55"/>
      <c r="HO110" s="55"/>
      <c r="HP110" s="55"/>
      <c r="HQ110" s="55"/>
      <c r="HR110" s="55"/>
      <c r="HS110" s="55"/>
      <c r="HT110" s="55"/>
      <c r="HU110" s="55"/>
      <c r="HV110" s="55"/>
      <c r="HW110" s="55"/>
      <c r="HX110" s="55"/>
      <c r="HY110" s="55"/>
      <c r="HZ110" s="55"/>
      <c r="IA110" s="55"/>
      <c r="IB110" s="55"/>
      <c r="IC110" s="55"/>
      <c r="ID110" s="55"/>
    </row>
    <row r="111" s="52" customFormat="1" ht="44" customHeight="1" spans="1:238">
      <c r="A111" s="64">
        <v>39</v>
      </c>
      <c r="B111" s="64" t="s">
        <v>501</v>
      </c>
      <c r="C111" s="64" t="s">
        <v>502</v>
      </c>
      <c r="D111" s="65" t="s">
        <v>503</v>
      </c>
      <c r="E111" s="77" t="s">
        <v>504</v>
      </c>
      <c r="F111" s="77" t="s">
        <v>35</v>
      </c>
      <c r="G111" s="64" t="s">
        <v>110</v>
      </c>
      <c r="H111" s="78">
        <v>7</v>
      </c>
      <c r="I111" s="78">
        <v>6</v>
      </c>
      <c r="J111" s="83">
        <v>6.3</v>
      </c>
      <c r="K111" s="83">
        <v>6</v>
      </c>
      <c r="L111" s="83">
        <v>5.1</v>
      </c>
      <c r="M111" s="41">
        <v>6.3</v>
      </c>
      <c r="N111" s="41">
        <v>6</v>
      </c>
      <c r="O111" s="41">
        <v>5.1</v>
      </c>
      <c r="P111" s="64" t="s">
        <v>37</v>
      </c>
      <c r="Q111" s="64" t="s">
        <v>35</v>
      </c>
      <c r="R111" s="64" t="s">
        <v>35</v>
      </c>
      <c r="S111" s="83" t="s">
        <v>381</v>
      </c>
      <c r="T111" s="77" t="s">
        <v>381</v>
      </c>
      <c r="U111" s="105" t="s">
        <v>505</v>
      </c>
      <c r="V111" s="105">
        <v>310300088</v>
      </c>
      <c r="W111" s="106" t="s">
        <v>506</v>
      </c>
      <c r="X111" s="105"/>
      <c r="Y111" s="105"/>
      <c r="Z111" s="105" t="s">
        <v>36</v>
      </c>
      <c r="AA111" s="110" t="s">
        <v>35</v>
      </c>
      <c r="AB111" s="50">
        <v>6.3</v>
      </c>
      <c r="AC111" s="50">
        <v>6</v>
      </c>
      <c r="AD111" s="50">
        <v>5.1</v>
      </c>
      <c r="AE111" s="112" t="s">
        <v>37</v>
      </c>
      <c r="AF111" s="60"/>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c r="CW111" s="55"/>
      <c r="CX111" s="55"/>
      <c r="CY111" s="55"/>
      <c r="CZ111" s="55"/>
      <c r="DA111" s="55"/>
      <c r="DB111" s="55"/>
      <c r="DC111" s="55"/>
      <c r="DD111" s="55"/>
      <c r="DE111" s="55"/>
      <c r="DF111" s="55"/>
      <c r="DG111" s="55"/>
      <c r="DH111" s="55"/>
      <c r="DI111" s="55"/>
      <c r="DJ111" s="55"/>
      <c r="DK111" s="55"/>
      <c r="DL111" s="55"/>
      <c r="DM111" s="55"/>
      <c r="DN111" s="55"/>
      <c r="DO111" s="55"/>
      <c r="DP111" s="55"/>
      <c r="DQ111" s="55"/>
      <c r="DR111" s="55"/>
      <c r="DS111" s="55"/>
      <c r="DT111" s="55"/>
      <c r="DU111" s="55"/>
      <c r="DV111" s="55"/>
      <c r="DW111" s="55"/>
      <c r="DX111" s="55"/>
      <c r="DY111" s="55"/>
      <c r="DZ111" s="55"/>
      <c r="EA111" s="55"/>
      <c r="EB111" s="55"/>
      <c r="EC111" s="55"/>
      <c r="ED111" s="55"/>
      <c r="EE111" s="55"/>
      <c r="EF111" s="55"/>
      <c r="EG111" s="55"/>
      <c r="EH111" s="55"/>
      <c r="EI111" s="55"/>
      <c r="EJ111" s="55"/>
      <c r="EK111" s="55"/>
      <c r="EL111" s="55"/>
      <c r="EM111" s="55"/>
      <c r="EN111" s="55"/>
      <c r="EO111" s="55"/>
      <c r="EP111" s="55"/>
      <c r="EQ111" s="55"/>
      <c r="ER111" s="55"/>
      <c r="ES111" s="55"/>
      <c r="ET111" s="55"/>
      <c r="EU111" s="55"/>
      <c r="EV111" s="55"/>
      <c r="EW111" s="55"/>
      <c r="EX111" s="55"/>
      <c r="EY111" s="55"/>
      <c r="EZ111" s="55"/>
      <c r="FA111" s="55"/>
      <c r="FB111" s="55"/>
      <c r="FC111" s="55"/>
      <c r="FD111" s="55"/>
      <c r="FE111" s="55"/>
      <c r="FF111" s="55"/>
      <c r="FG111" s="55"/>
      <c r="FH111" s="55"/>
      <c r="FI111" s="55"/>
      <c r="FJ111" s="55"/>
      <c r="FK111" s="55"/>
      <c r="FL111" s="55"/>
      <c r="FM111" s="55"/>
      <c r="FN111" s="55"/>
      <c r="FO111" s="55"/>
      <c r="FP111" s="55"/>
      <c r="FQ111" s="55"/>
      <c r="FR111" s="55"/>
      <c r="FS111" s="55"/>
      <c r="FT111" s="55"/>
      <c r="FU111" s="55"/>
      <c r="FV111" s="55"/>
      <c r="FW111" s="55"/>
      <c r="FX111" s="55"/>
      <c r="FY111" s="55"/>
      <c r="FZ111" s="55"/>
      <c r="GA111" s="55"/>
      <c r="GB111" s="55"/>
      <c r="GC111" s="55"/>
      <c r="GD111" s="55"/>
      <c r="GE111" s="55"/>
      <c r="GF111" s="55"/>
      <c r="GG111" s="55"/>
      <c r="GH111" s="55"/>
      <c r="GI111" s="55"/>
      <c r="GJ111" s="55"/>
      <c r="GK111" s="55"/>
      <c r="GL111" s="55"/>
      <c r="GM111" s="55"/>
      <c r="GN111" s="55"/>
      <c r="GO111" s="55"/>
      <c r="GP111" s="55"/>
      <c r="GQ111" s="55"/>
      <c r="GR111" s="55"/>
      <c r="GS111" s="55"/>
      <c r="GT111" s="55"/>
      <c r="GU111" s="55"/>
      <c r="GV111" s="55"/>
      <c r="GW111" s="55"/>
      <c r="GX111" s="55"/>
      <c r="GY111" s="55"/>
      <c r="GZ111" s="55"/>
      <c r="HA111" s="55"/>
      <c r="HB111" s="55"/>
      <c r="HC111" s="55"/>
      <c r="HD111" s="55"/>
      <c r="HE111" s="55"/>
      <c r="HF111" s="55"/>
      <c r="HG111" s="55"/>
      <c r="HH111" s="55"/>
      <c r="HI111" s="55"/>
      <c r="HJ111" s="55"/>
      <c r="HK111" s="55"/>
      <c r="HL111" s="55"/>
      <c r="HM111" s="55"/>
      <c r="HN111" s="55"/>
      <c r="HO111" s="55"/>
      <c r="HP111" s="55"/>
      <c r="HQ111" s="55"/>
      <c r="HR111" s="55"/>
      <c r="HS111" s="55"/>
      <c r="HT111" s="55"/>
      <c r="HU111" s="55"/>
      <c r="HV111" s="55"/>
      <c r="HW111" s="55"/>
      <c r="HX111" s="55"/>
      <c r="HY111" s="55"/>
      <c r="HZ111" s="55"/>
      <c r="IA111" s="55"/>
      <c r="IB111" s="55"/>
      <c r="IC111" s="55"/>
      <c r="ID111" s="55"/>
    </row>
    <row r="112" s="52" customFormat="1" ht="25.5" spans="1:238">
      <c r="A112" s="64"/>
      <c r="B112" s="64"/>
      <c r="C112" s="64"/>
      <c r="D112" s="65"/>
      <c r="E112" s="77"/>
      <c r="F112" s="77"/>
      <c r="G112" s="64"/>
      <c r="H112" s="42"/>
      <c r="I112" s="42"/>
      <c r="J112" s="83"/>
      <c r="K112" s="83"/>
      <c r="L112" s="83"/>
      <c r="M112" s="41"/>
      <c r="N112" s="41"/>
      <c r="O112" s="41"/>
      <c r="P112" s="64"/>
      <c r="Q112" s="64"/>
      <c r="R112" s="64"/>
      <c r="S112" s="83"/>
      <c r="T112" s="77"/>
      <c r="U112" s="105" t="s">
        <v>507</v>
      </c>
      <c r="V112" s="105">
        <v>310300089</v>
      </c>
      <c r="W112" s="106" t="s">
        <v>508</v>
      </c>
      <c r="X112" s="105"/>
      <c r="Y112" s="105"/>
      <c r="Z112" s="105" t="s">
        <v>36</v>
      </c>
      <c r="AA112" s="110" t="s">
        <v>35</v>
      </c>
      <c r="AB112" s="50">
        <v>6.3</v>
      </c>
      <c r="AC112" s="50">
        <v>6</v>
      </c>
      <c r="AD112" s="50">
        <v>5.1</v>
      </c>
      <c r="AE112" s="112" t="s">
        <v>37</v>
      </c>
      <c r="AF112" s="60"/>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F112" s="55"/>
      <c r="CG112" s="55"/>
      <c r="CH112" s="55"/>
      <c r="CI112" s="55"/>
      <c r="CJ112" s="55"/>
      <c r="CK112" s="55"/>
      <c r="CL112" s="55"/>
      <c r="CM112" s="55"/>
      <c r="CN112" s="55"/>
      <c r="CO112" s="55"/>
      <c r="CP112" s="55"/>
      <c r="CQ112" s="55"/>
      <c r="CR112" s="55"/>
      <c r="CS112" s="55"/>
      <c r="CT112" s="55"/>
      <c r="CU112" s="55"/>
      <c r="CV112" s="55"/>
      <c r="CW112" s="55"/>
      <c r="CX112" s="55"/>
      <c r="CY112" s="55"/>
      <c r="CZ112" s="55"/>
      <c r="DA112" s="55"/>
      <c r="DB112" s="55"/>
      <c r="DC112" s="55"/>
      <c r="DD112" s="55"/>
      <c r="DE112" s="55"/>
      <c r="DF112" s="55"/>
      <c r="DG112" s="55"/>
      <c r="DH112" s="55"/>
      <c r="DI112" s="55"/>
      <c r="DJ112" s="55"/>
      <c r="DK112" s="55"/>
      <c r="DL112" s="55"/>
      <c r="DM112" s="55"/>
      <c r="DN112" s="55"/>
      <c r="DO112" s="55"/>
      <c r="DP112" s="55"/>
      <c r="DQ112" s="55"/>
      <c r="DR112" s="55"/>
      <c r="DS112" s="55"/>
      <c r="DT112" s="55"/>
      <c r="DU112" s="55"/>
      <c r="DV112" s="55"/>
      <c r="DW112" s="55"/>
      <c r="DX112" s="55"/>
      <c r="DY112" s="55"/>
      <c r="DZ112" s="55"/>
      <c r="EA112" s="55"/>
      <c r="EB112" s="55"/>
      <c r="EC112" s="55"/>
      <c r="ED112" s="55"/>
      <c r="EE112" s="55"/>
      <c r="EF112" s="55"/>
      <c r="EG112" s="55"/>
      <c r="EH112" s="55"/>
      <c r="EI112" s="55"/>
      <c r="EJ112" s="55"/>
      <c r="EK112" s="55"/>
      <c r="EL112" s="55"/>
      <c r="EM112" s="55"/>
      <c r="EN112" s="55"/>
      <c r="EO112" s="55"/>
      <c r="EP112" s="55"/>
      <c r="EQ112" s="55"/>
      <c r="ER112" s="55"/>
      <c r="ES112" s="55"/>
      <c r="ET112" s="55"/>
      <c r="EU112" s="55"/>
      <c r="EV112" s="55"/>
      <c r="EW112" s="55"/>
      <c r="EX112" s="55"/>
      <c r="EY112" s="55"/>
      <c r="EZ112" s="55"/>
      <c r="FA112" s="55"/>
      <c r="FB112" s="55"/>
      <c r="FC112" s="55"/>
      <c r="FD112" s="55"/>
      <c r="FE112" s="55"/>
      <c r="FF112" s="55"/>
      <c r="FG112" s="55"/>
      <c r="FH112" s="55"/>
      <c r="FI112" s="55"/>
      <c r="FJ112" s="55"/>
      <c r="FK112" s="55"/>
      <c r="FL112" s="55"/>
      <c r="FM112" s="55"/>
      <c r="FN112" s="55"/>
      <c r="FO112" s="55"/>
      <c r="FP112" s="55"/>
      <c r="FQ112" s="55"/>
      <c r="FR112" s="55"/>
      <c r="FS112" s="55"/>
      <c r="FT112" s="55"/>
      <c r="FU112" s="55"/>
      <c r="FV112" s="55"/>
      <c r="FW112" s="55"/>
      <c r="FX112" s="55"/>
      <c r="FY112" s="55"/>
      <c r="FZ112" s="55"/>
      <c r="GA112" s="55"/>
      <c r="GB112" s="55"/>
      <c r="GC112" s="55"/>
      <c r="GD112" s="55"/>
      <c r="GE112" s="55"/>
      <c r="GF112" s="55"/>
      <c r="GG112" s="55"/>
      <c r="GH112" s="55"/>
      <c r="GI112" s="55"/>
      <c r="GJ112" s="55"/>
      <c r="GK112" s="55"/>
      <c r="GL112" s="55"/>
      <c r="GM112" s="55"/>
      <c r="GN112" s="55"/>
      <c r="GO112" s="55"/>
      <c r="GP112" s="55"/>
      <c r="GQ112" s="55"/>
      <c r="GR112" s="55"/>
      <c r="GS112" s="55"/>
      <c r="GT112" s="55"/>
      <c r="GU112" s="55"/>
      <c r="GV112" s="55"/>
      <c r="GW112" s="55"/>
      <c r="GX112" s="55"/>
      <c r="GY112" s="55"/>
      <c r="GZ112" s="55"/>
      <c r="HA112" s="55"/>
      <c r="HB112" s="55"/>
      <c r="HC112" s="55"/>
      <c r="HD112" s="55"/>
      <c r="HE112" s="55"/>
      <c r="HF112" s="55"/>
      <c r="HG112" s="55"/>
      <c r="HH112" s="55"/>
      <c r="HI112" s="55"/>
      <c r="HJ112" s="55"/>
      <c r="HK112" s="55"/>
      <c r="HL112" s="55"/>
      <c r="HM112" s="55"/>
      <c r="HN112" s="55"/>
      <c r="HO112" s="55"/>
      <c r="HP112" s="55"/>
      <c r="HQ112" s="55"/>
      <c r="HR112" s="55"/>
      <c r="HS112" s="55"/>
      <c r="HT112" s="55"/>
      <c r="HU112" s="55"/>
      <c r="HV112" s="55"/>
      <c r="HW112" s="55"/>
      <c r="HX112" s="55"/>
      <c r="HY112" s="55"/>
      <c r="HZ112" s="55"/>
      <c r="IA112" s="55"/>
      <c r="IB112" s="55"/>
      <c r="IC112" s="55"/>
      <c r="ID112" s="55"/>
    </row>
    <row r="113" s="52" customFormat="1" ht="35" customHeight="1" spans="1:238">
      <c r="A113" s="112" t="s">
        <v>95</v>
      </c>
      <c r="B113" s="112" t="s">
        <v>509</v>
      </c>
      <c r="C113" s="64" t="s">
        <v>510</v>
      </c>
      <c r="D113" s="65"/>
      <c r="E113" s="77"/>
      <c r="F113" s="77"/>
      <c r="G113" s="64" t="s">
        <v>110</v>
      </c>
      <c r="H113" s="78">
        <v>2.1</v>
      </c>
      <c r="I113" s="78">
        <v>1.8</v>
      </c>
      <c r="J113" s="83"/>
      <c r="K113" s="83"/>
      <c r="L113" s="83"/>
      <c r="M113" s="41">
        <v>1.9</v>
      </c>
      <c r="N113" s="41">
        <v>1.8</v>
      </c>
      <c r="O113" s="41">
        <v>1.5</v>
      </c>
      <c r="P113" s="64" t="s">
        <v>37</v>
      </c>
      <c r="Q113" s="64" t="s">
        <v>35</v>
      </c>
      <c r="R113" s="64" t="s">
        <v>35</v>
      </c>
      <c r="S113" s="83"/>
      <c r="T113" s="77" t="s">
        <v>186</v>
      </c>
      <c r="U113" s="105"/>
      <c r="V113" s="105"/>
      <c r="W113" s="106"/>
      <c r="X113" s="105"/>
      <c r="Y113" s="105"/>
      <c r="Z113" s="105"/>
      <c r="AA113" s="110"/>
      <c r="AB113" s="50"/>
      <c r="AC113" s="50"/>
      <c r="AD113" s="50"/>
      <c r="AE113" s="112"/>
      <c r="AF113" s="60"/>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5"/>
      <c r="BJ113" s="55"/>
      <c r="BK113" s="55"/>
      <c r="BL113" s="55"/>
      <c r="BM113" s="55"/>
      <c r="BN113" s="55"/>
      <c r="BO113" s="55"/>
      <c r="BP113" s="55"/>
      <c r="BQ113" s="55"/>
      <c r="BR113" s="55"/>
      <c r="BS113" s="55"/>
      <c r="BT113" s="55"/>
      <c r="BU113" s="55"/>
      <c r="BV113" s="55"/>
      <c r="BW113" s="55"/>
      <c r="BX113" s="55"/>
      <c r="BY113" s="55"/>
      <c r="BZ113" s="55"/>
      <c r="CA113" s="55"/>
      <c r="CB113" s="55"/>
      <c r="CC113" s="55"/>
      <c r="CD113" s="55"/>
      <c r="CE113" s="55"/>
      <c r="CF113" s="55"/>
      <c r="CG113" s="55"/>
      <c r="CH113" s="55"/>
      <c r="CI113" s="55"/>
      <c r="CJ113" s="55"/>
      <c r="CK113" s="55"/>
      <c r="CL113" s="55"/>
      <c r="CM113" s="55"/>
      <c r="CN113" s="55"/>
      <c r="CO113" s="55"/>
      <c r="CP113" s="55"/>
      <c r="CQ113" s="55"/>
      <c r="CR113" s="55"/>
      <c r="CS113" s="55"/>
      <c r="CT113" s="55"/>
      <c r="CU113" s="55"/>
      <c r="CV113" s="55"/>
      <c r="CW113" s="55"/>
      <c r="CX113" s="55"/>
      <c r="CY113" s="55"/>
      <c r="CZ113" s="55"/>
      <c r="DA113" s="55"/>
      <c r="DB113" s="55"/>
      <c r="DC113" s="55"/>
      <c r="DD113" s="55"/>
      <c r="DE113" s="55"/>
      <c r="DF113" s="55"/>
      <c r="DG113" s="55"/>
      <c r="DH113" s="55"/>
      <c r="DI113" s="55"/>
      <c r="DJ113" s="55"/>
      <c r="DK113" s="55"/>
      <c r="DL113" s="55"/>
      <c r="DM113" s="55"/>
      <c r="DN113" s="55"/>
      <c r="DO113" s="55"/>
      <c r="DP113" s="55"/>
      <c r="DQ113" s="55"/>
      <c r="DR113" s="55"/>
      <c r="DS113" s="55"/>
      <c r="DT113" s="55"/>
      <c r="DU113" s="55"/>
      <c r="DV113" s="55"/>
      <c r="DW113" s="55"/>
      <c r="DX113" s="55"/>
      <c r="DY113" s="55"/>
      <c r="DZ113" s="55"/>
      <c r="EA113" s="55"/>
      <c r="EB113" s="55"/>
      <c r="EC113" s="55"/>
      <c r="ED113" s="55"/>
      <c r="EE113" s="55"/>
      <c r="EF113" s="55"/>
      <c r="EG113" s="55"/>
      <c r="EH113" s="55"/>
      <c r="EI113" s="55"/>
      <c r="EJ113" s="55"/>
      <c r="EK113" s="55"/>
      <c r="EL113" s="55"/>
      <c r="EM113" s="55"/>
      <c r="EN113" s="55"/>
      <c r="EO113" s="55"/>
      <c r="EP113" s="55"/>
      <c r="EQ113" s="55"/>
      <c r="ER113" s="55"/>
      <c r="ES113" s="55"/>
      <c r="ET113" s="55"/>
      <c r="EU113" s="55"/>
      <c r="EV113" s="55"/>
      <c r="EW113" s="55"/>
      <c r="EX113" s="55"/>
      <c r="EY113" s="55"/>
      <c r="EZ113" s="55"/>
      <c r="FA113" s="55"/>
      <c r="FB113" s="55"/>
      <c r="FC113" s="55"/>
      <c r="FD113" s="55"/>
      <c r="FE113" s="55"/>
      <c r="FF113" s="55"/>
      <c r="FG113" s="55"/>
      <c r="FH113" s="55"/>
      <c r="FI113" s="55"/>
      <c r="FJ113" s="55"/>
      <c r="FK113" s="55"/>
      <c r="FL113" s="55"/>
      <c r="FM113" s="55"/>
      <c r="FN113" s="55"/>
      <c r="FO113" s="55"/>
      <c r="FP113" s="55"/>
      <c r="FQ113" s="55"/>
      <c r="FR113" s="55"/>
      <c r="FS113" s="55"/>
      <c r="FT113" s="55"/>
      <c r="FU113" s="55"/>
      <c r="FV113" s="55"/>
      <c r="FW113" s="55"/>
      <c r="FX113" s="55"/>
      <c r="FY113" s="55"/>
      <c r="FZ113" s="55"/>
      <c r="GA113" s="55"/>
      <c r="GB113" s="55"/>
      <c r="GC113" s="55"/>
      <c r="GD113" s="55"/>
      <c r="GE113" s="55"/>
      <c r="GF113" s="55"/>
      <c r="GG113" s="55"/>
      <c r="GH113" s="55"/>
      <c r="GI113" s="55"/>
      <c r="GJ113" s="55"/>
      <c r="GK113" s="55"/>
      <c r="GL113" s="55"/>
      <c r="GM113" s="55"/>
      <c r="GN113" s="55"/>
      <c r="GO113" s="55"/>
      <c r="GP113" s="55"/>
      <c r="GQ113" s="55"/>
      <c r="GR113" s="55"/>
      <c r="GS113" s="55"/>
      <c r="GT113" s="55"/>
      <c r="GU113" s="55"/>
      <c r="GV113" s="55"/>
      <c r="GW113" s="55"/>
      <c r="GX113" s="55"/>
      <c r="GY113" s="55"/>
      <c r="GZ113" s="55"/>
      <c r="HA113" s="55"/>
      <c r="HB113" s="55"/>
      <c r="HC113" s="55"/>
      <c r="HD113" s="55"/>
      <c r="HE113" s="55"/>
      <c r="HF113" s="55"/>
      <c r="HG113" s="55"/>
      <c r="HH113" s="55"/>
      <c r="HI113" s="55"/>
      <c r="HJ113" s="55"/>
      <c r="HK113" s="55"/>
      <c r="HL113" s="55"/>
      <c r="HM113" s="55"/>
      <c r="HN113" s="55"/>
      <c r="HO113" s="55"/>
      <c r="HP113" s="55"/>
      <c r="HQ113" s="55"/>
      <c r="HR113" s="55"/>
      <c r="HS113" s="55"/>
      <c r="HT113" s="55"/>
      <c r="HU113" s="55"/>
      <c r="HV113" s="55"/>
      <c r="HW113" s="55"/>
      <c r="HX113" s="55"/>
      <c r="HY113" s="55"/>
      <c r="HZ113" s="55"/>
      <c r="IA113" s="55"/>
      <c r="IB113" s="55"/>
      <c r="IC113" s="55"/>
      <c r="ID113" s="55"/>
    </row>
    <row r="114" s="55" customFormat="1" ht="60" customHeight="1" spans="1:32">
      <c r="A114" s="64">
        <v>40</v>
      </c>
      <c r="B114" s="64" t="s">
        <v>511</v>
      </c>
      <c r="C114" s="64" t="s">
        <v>512</v>
      </c>
      <c r="D114" s="65" t="s">
        <v>513</v>
      </c>
      <c r="E114" s="77" t="s">
        <v>514</v>
      </c>
      <c r="F114" s="77" t="s">
        <v>515</v>
      </c>
      <c r="G114" s="64" t="s">
        <v>472</v>
      </c>
      <c r="H114" s="78">
        <v>15</v>
      </c>
      <c r="I114" s="78">
        <v>13.5</v>
      </c>
      <c r="J114" s="83">
        <v>10.5</v>
      </c>
      <c r="K114" s="83">
        <v>10</v>
      </c>
      <c r="L114" s="83">
        <v>8.5</v>
      </c>
      <c r="M114" s="94">
        <v>13.5</v>
      </c>
      <c r="N114" s="94">
        <v>13</v>
      </c>
      <c r="O114" s="94">
        <v>11</v>
      </c>
      <c r="P114" s="64" t="s">
        <v>37</v>
      </c>
      <c r="Q114" s="64" t="s">
        <v>35</v>
      </c>
      <c r="R114" s="64" t="s">
        <v>35</v>
      </c>
      <c r="S114" s="83" t="s">
        <v>485</v>
      </c>
      <c r="T114" s="77" t="s">
        <v>516</v>
      </c>
      <c r="U114" s="105" t="s">
        <v>517</v>
      </c>
      <c r="V114" s="105">
        <v>310300091</v>
      </c>
      <c r="W114" s="106" t="s">
        <v>518</v>
      </c>
      <c r="X114" s="105"/>
      <c r="Y114" s="105"/>
      <c r="Z114" s="105" t="s">
        <v>36</v>
      </c>
      <c r="AA114" s="110" t="s">
        <v>35</v>
      </c>
      <c r="AB114" s="50">
        <v>10.5</v>
      </c>
      <c r="AC114" s="50">
        <v>10</v>
      </c>
      <c r="AD114" s="50">
        <v>8.5</v>
      </c>
      <c r="AE114" s="112" t="s">
        <v>37</v>
      </c>
      <c r="AF114" s="60"/>
    </row>
    <row r="115" s="55" customFormat="1" ht="31" customHeight="1" spans="1:32">
      <c r="A115" s="64" t="s">
        <v>95</v>
      </c>
      <c r="B115" s="64" t="s">
        <v>519</v>
      </c>
      <c r="C115" s="64" t="s">
        <v>520</v>
      </c>
      <c r="D115" s="65"/>
      <c r="E115" s="77"/>
      <c r="F115" s="77"/>
      <c r="G115" s="64" t="s">
        <v>472</v>
      </c>
      <c r="H115" s="78">
        <v>4.5</v>
      </c>
      <c r="I115" s="78">
        <v>4</v>
      </c>
      <c r="J115" s="83"/>
      <c r="K115" s="83"/>
      <c r="L115" s="83"/>
      <c r="M115" s="41">
        <v>4</v>
      </c>
      <c r="N115" s="41">
        <v>3.9</v>
      </c>
      <c r="O115" s="41">
        <v>3.3</v>
      </c>
      <c r="P115" s="64" t="s">
        <v>37</v>
      </c>
      <c r="Q115" s="64" t="s">
        <v>35</v>
      </c>
      <c r="R115" s="64" t="s">
        <v>35</v>
      </c>
      <c r="S115" s="83"/>
      <c r="T115" s="77" t="s">
        <v>186</v>
      </c>
      <c r="U115" s="105"/>
      <c r="V115" s="105"/>
      <c r="W115" s="106"/>
      <c r="X115" s="105"/>
      <c r="Y115" s="105"/>
      <c r="Z115" s="105"/>
      <c r="AA115" s="110"/>
      <c r="AB115" s="50"/>
      <c r="AC115" s="50"/>
      <c r="AD115" s="50"/>
      <c r="AE115" s="112"/>
      <c r="AF115" s="60"/>
    </row>
    <row r="116" s="55" customFormat="1" ht="31" customHeight="1" spans="1:32">
      <c r="A116" s="64" t="s">
        <v>95</v>
      </c>
      <c r="B116" s="64" t="s">
        <v>521</v>
      </c>
      <c r="C116" s="64" t="s">
        <v>522</v>
      </c>
      <c r="D116" s="65"/>
      <c r="E116" s="77"/>
      <c r="F116" s="77" t="s">
        <v>35</v>
      </c>
      <c r="G116" s="64" t="s">
        <v>472</v>
      </c>
      <c r="H116" s="78">
        <v>15</v>
      </c>
      <c r="I116" s="78">
        <v>13.5</v>
      </c>
      <c r="J116" s="83"/>
      <c r="K116" s="83"/>
      <c r="L116" s="83"/>
      <c r="M116" s="41">
        <v>13.5</v>
      </c>
      <c r="N116" s="41">
        <v>13</v>
      </c>
      <c r="O116" s="41">
        <v>11</v>
      </c>
      <c r="P116" s="64" t="s">
        <v>37</v>
      </c>
      <c r="Q116" s="64" t="s">
        <v>35</v>
      </c>
      <c r="R116" s="64" t="s">
        <v>35</v>
      </c>
      <c r="S116" s="83"/>
      <c r="T116" s="77" t="s">
        <v>523</v>
      </c>
      <c r="U116" s="105"/>
      <c r="V116" s="105"/>
      <c r="W116" s="106"/>
      <c r="X116" s="105"/>
      <c r="Y116" s="105"/>
      <c r="Z116" s="105"/>
      <c r="AA116" s="110"/>
      <c r="AB116" s="50"/>
      <c r="AC116" s="50"/>
      <c r="AD116" s="50"/>
      <c r="AE116" s="112"/>
      <c r="AF116" s="60"/>
    </row>
    <row r="117" s="55" customFormat="1" ht="38.25" spans="1:32">
      <c r="A117" s="64">
        <v>41</v>
      </c>
      <c r="B117" s="64" t="s">
        <v>524</v>
      </c>
      <c r="C117" s="64" t="s">
        <v>525</v>
      </c>
      <c r="D117" s="65" t="s">
        <v>526</v>
      </c>
      <c r="E117" s="77" t="s">
        <v>527</v>
      </c>
      <c r="F117" s="77" t="s">
        <v>35</v>
      </c>
      <c r="G117" s="64" t="s">
        <v>110</v>
      </c>
      <c r="H117" s="78">
        <v>9</v>
      </c>
      <c r="I117" s="78">
        <v>8</v>
      </c>
      <c r="J117" s="83">
        <v>8.4</v>
      </c>
      <c r="K117" s="83">
        <v>8</v>
      </c>
      <c r="L117" s="83">
        <v>6.8</v>
      </c>
      <c r="M117" s="41">
        <v>8.4</v>
      </c>
      <c r="N117" s="41">
        <v>8</v>
      </c>
      <c r="O117" s="41">
        <v>6.8</v>
      </c>
      <c r="P117" s="64" t="s">
        <v>37</v>
      </c>
      <c r="Q117" s="64" t="s">
        <v>35</v>
      </c>
      <c r="R117" s="64" t="s">
        <v>35</v>
      </c>
      <c r="S117" s="83" t="s">
        <v>381</v>
      </c>
      <c r="T117" s="77" t="s">
        <v>381</v>
      </c>
      <c r="U117" s="105" t="s">
        <v>528</v>
      </c>
      <c r="V117" s="105">
        <v>310300085</v>
      </c>
      <c r="W117" s="105" t="s">
        <v>529</v>
      </c>
      <c r="X117" s="105" t="s">
        <v>530</v>
      </c>
      <c r="Y117" s="105"/>
      <c r="Z117" s="105" t="s">
        <v>36</v>
      </c>
      <c r="AA117" s="110" t="s">
        <v>35</v>
      </c>
      <c r="AB117" s="50">
        <v>8.4</v>
      </c>
      <c r="AC117" s="50">
        <v>8</v>
      </c>
      <c r="AD117" s="50">
        <v>6.8</v>
      </c>
      <c r="AE117" s="112" t="s">
        <v>37</v>
      </c>
      <c r="AF117" s="60"/>
    </row>
    <row r="118" s="55" customFormat="1" ht="25.5" spans="1:32">
      <c r="A118" s="64">
        <v>42</v>
      </c>
      <c r="B118" s="64" t="s">
        <v>531</v>
      </c>
      <c r="C118" s="64" t="s">
        <v>532</v>
      </c>
      <c r="D118" s="65" t="s">
        <v>533</v>
      </c>
      <c r="E118" s="77" t="s">
        <v>534</v>
      </c>
      <c r="F118" s="77" t="s">
        <v>535</v>
      </c>
      <c r="G118" s="64" t="s">
        <v>110</v>
      </c>
      <c r="H118" s="78">
        <v>400</v>
      </c>
      <c r="I118" s="78">
        <v>360</v>
      </c>
      <c r="J118" s="84">
        <v>335.6117920541</v>
      </c>
      <c r="K118" s="84">
        <v>343.928282891057</v>
      </c>
      <c r="L118" s="84">
        <v>281.770943796394</v>
      </c>
      <c r="M118" s="41">
        <v>360</v>
      </c>
      <c r="N118" s="41">
        <v>340</v>
      </c>
      <c r="O118" s="41">
        <v>290</v>
      </c>
      <c r="P118" s="64" t="s">
        <v>37</v>
      </c>
      <c r="Q118" s="64" t="s">
        <v>35</v>
      </c>
      <c r="R118" s="64" t="s">
        <v>35</v>
      </c>
      <c r="S118" s="83" t="s">
        <v>38</v>
      </c>
      <c r="T118" s="77" t="s">
        <v>536</v>
      </c>
      <c r="U118" s="105" t="s">
        <v>537</v>
      </c>
      <c r="V118" s="105">
        <v>330409013</v>
      </c>
      <c r="W118" s="106" t="s">
        <v>538</v>
      </c>
      <c r="X118" s="105"/>
      <c r="Y118" s="105"/>
      <c r="Z118" s="105" t="s">
        <v>110</v>
      </c>
      <c r="AA118" s="110" t="s">
        <v>35</v>
      </c>
      <c r="AB118" s="50">
        <v>500</v>
      </c>
      <c r="AC118" s="50">
        <v>480</v>
      </c>
      <c r="AD118" s="50">
        <v>408</v>
      </c>
      <c r="AE118" s="112" t="s">
        <v>37</v>
      </c>
      <c r="AF118" s="60"/>
    </row>
    <row r="119" s="55" customFormat="1" ht="25.5" spans="1:32">
      <c r="A119" s="64"/>
      <c r="B119" s="64"/>
      <c r="C119" s="64"/>
      <c r="D119" s="65"/>
      <c r="E119" s="77"/>
      <c r="F119" s="77"/>
      <c r="G119" s="64"/>
      <c r="H119" s="42"/>
      <c r="I119" s="42"/>
      <c r="J119" s="84"/>
      <c r="K119" s="84"/>
      <c r="L119" s="84"/>
      <c r="M119" s="41"/>
      <c r="N119" s="41"/>
      <c r="O119" s="41"/>
      <c r="P119" s="64"/>
      <c r="Q119" s="64"/>
      <c r="R119" s="64"/>
      <c r="S119" s="83"/>
      <c r="T119" s="77"/>
      <c r="U119" s="105" t="s">
        <v>539</v>
      </c>
      <c r="V119" s="105">
        <v>310300100</v>
      </c>
      <c r="W119" s="106" t="s">
        <v>540</v>
      </c>
      <c r="X119" s="105" t="s">
        <v>541</v>
      </c>
      <c r="Y119" s="105"/>
      <c r="Z119" s="105" t="s">
        <v>36</v>
      </c>
      <c r="AA119" s="110" t="s">
        <v>542</v>
      </c>
      <c r="AB119" s="50">
        <v>157.5</v>
      </c>
      <c r="AC119" s="50">
        <v>150</v>
      </c>
      <c r="AD119" s="50">
        <v>127.5</v>
      </c>
      <c r="AE119" s="112" t="s">
        <v>37</v>
      </c>
      <c r="AF119" s="60"/>
    </row>
    <row r="120" s="55" customFormat="1" ht="25.5" spans="1:32">
      <c r="A120" s="64"/>
      <c r="B120" s="64"/>
      <c r="C120" s="64"/>
      <c r="D120" s="65"/>
      <c r="E120" s="77"/>
      <c r="F120" s="77"/>
      <c r="G120" s="64"/>
      <c r="H120" s="42"/>
      <c r="I120" s="42"/>
      <c r="J120" s="84"/>
      <c r="K120" s="84"/>
      <c r="L120" s="84"/>
      <c r="M120" s="41"/>
      <c r="N120" s="41"/>
      <c r="O120" s="41"/>
      <c r="P120" s="64"/>
      <c r="Q120" s="64"/>
      <c r="R120" s="64"/>
      <c r="S120" s="83"/>
      <c r="T120" s="77"/>
      <c r="U120" s="105" t="s">
        <v>543</v>
      </c>
      <c r="V120" s="105">
        <v>31030010001</v>
      </c>
      <c r="W120" s="106" t="s">
        <v>544</v>
      </c>
      <c r="X120" s="105"/>
      <c r="Y120" s="105"/>
      <c r="Z120" s="105" t="s">
        <v>36</v>
      </c>
      <c r="AA120" s="110" t="s">
        <v>545</v>
      </c>
      <c r="AB120" s="50">
        <v>157.5</v>
      </c>
      <c r="AC120" s="50">
        <v>150</v>
      </c>
      <c r="AD120" s="50">
        <v>127.5</v>
      </c>
      <c r="AE120" s="112" t="s">
        <v>37</v>
      </c>
      <c r="AF120" s="60"/>
    </row>
    <row r="121" s="55" customFormat="1" ht="25.5" spans="1:32">
      <c r="A121" s="64"/>
      <c r="B121" s="64"/>
      <c r="C121" s="64"/>
      <c r="D121" s="65"/>
      <c r="E121" s="77"/>
      <c r="F121" s="77"/>
      <c r="G121" s="64"/>
      <c r="H121" s="42"/>
      <c r="I121" s="42"/>
      <c r="J121" s="84"/>
      <c r="K121" s="84"/>
      <c r="L121" s="84"/>
      <c r="M121" s="41"/>
      <c r="N121" s="41"/>
      <c r="O121" s="41"/>
      <c r="P121" s="64"/>
      <c r="Q121" s="64"/>
      <c r="R121" s="64"/>
      <c r="S121" s="83"/>
      <c r="T121" s="77"/>
      <c r="U121" s="105" t="s">
        <v>546</v>
      </c>
      <c r="V121" s="105">
        <v>310300101</v>
      </c>
      <c r="W121" s="106" t="s">
        <v>547</v>
      </c>
      <c r="X121" s="105" t="s">
        <v>548</v>
      </c>
      <c r="Y121" s="105"/>
      <c r="Z121" s="105" t="s">
        <v>36</v>
      </c>
      <c r="AA121" s="110" t="s">
        <v>35</v>
      </c>
      <c r="AB121" s="50">
        <v>210</v>
      </c>
      <c r="AC121" s="50">
        <v>200</v>
      </c>
      <c r="AD121" s="50">
        <v>170</v>
      </c>
      <c r="AE121" s="112" t="s">
        <v>37</v>
      </c>
      <c r="AF121" s="60"/>
    </row>
    <row r="122" s="55" customFormat="1" ht="25.5" spans="1:32">
      <c r="A122" s="64"/>
      <c r="B122" s="64"/>
      <c r="C122" s="64"/>
      <c r="D122" s="65"/>
      <c r="E122" s="77"/>
      <c r="F122" s="77"/>
      <c r="G122" s="64"/>
      <c r="H122" s="42"/>
      <c r="I122" s="42"/>
      <c r="J122" s="84"/>
      <c r="K122" s="84"/>
      <c r="L122" s="84"/>
      <c r="M122" s="41"/>
      <c r="N122" s="41"/>
      <c r="O122" s="41"/>
      <c r="P122" s="64"/>
      <c r="Q122" s="64"/>
      <c r="R122" s="64"/>
      <c r="S122" s="83"/>
      <c r="T122" s="77"/>
      <c r="U122" s="105" t="s">
        <v>549</v>
      </c>
      <c r="V122" s="105">
        <v>31030010101</v>
      </c>
      <c r="W122" s="106" t="s">
        <v>550</v>
      </c>
      <c r="X122" s="105"/>
      <c r="Y122" s="105"/>
      <c r="Z122" s="105" t="s">
        <v>36</v>
      </c>
      <c r="AA122" s="110" t="s">
        <v>551</v>
      </c>
      <c r="AB122" s="50">
        <v>210</v>
      </c>
      <c r="AC122" s="50">
        <v>200</v>
      </c>
      <c r="AD122" s="50">
        <v>170</v>
      </c>
      <c r="AE122" s="112" t="s">
        <v>37</v>
      </c>
      <c r="AF122" s="60"/>
    </row>
    <row r="123" s="55" customFormat="1" ht="25.5" spans="1:32">
      <c r="A123" s="64"/>
      <c r="B123" s="64"/>
      <c r="C123" s="64"/>
      <c r="D123" s="65"/>
      <c r="E123" s="77"/>
      <c r="F123" s="77"/>
      <c r="G123" s="64"/>
      <c r="H123" s="42"/>
      <c r="I123" s="42"/>
      <c r="J123" s="84"/>
      <c r="K123" s="84"/>
      <c r="L123" s="84"/>
      <c r="M123" s="41"/>
      <c r="N123" s="41"/>
      <c r="O123" s="41"/>
      <c r="P123" s="64"/>
      <c r="Q123" s="64"/>
      <c r="R123" s="64"/>
      <c r="S123" s="83"/>
      <c r="T123" s="77"/>
      <c r="U123" s="105" t="s">
        <v>552</v>
      </c>
      <c r="V123" s="105">
        <v>330407001</v>
      </c>
      <c r="W123" s="106" t="s">
        <v>553</v>
      </c>
      <c r="X123" s="105" t="s">
        <v>554</v>
      </c>
      <c r="Y123" s="105"/>
      <c r="Z123" s="105" t="s">
        <v>36</v>
      </c>
      <c r="AA123" s="110" t="s">
        <v>35</v>
      </c>
      <c r="AB123" s="50">
        <v>375</v>
      </c>
      <c r="AC123" s="50">
        <v>360</v>
      </c>
      <c r="AD123" s="50">
        <v>306</v>
      </c>
      <c r="AE123" s="112" t="s">
        <v>37</v>
      </c>
      <c r="AF123" s="60"/>
    </row>
    <row r="124" s="55" customFormat="1" ht="25.5" spans="1:32">
      <c r="A124" s="112" t="s">
        <v>95</v>
      </c>
      <c r="B124" s="112" t="s">
        <v>555</v>
      </c>
      <c r="C124" s="64" t="s">
        <v>556</v>
      </c>
      <c r="D124" s="65"/>
      <c r="E124" s="77"/>
      <c r="F124" s="77" t="s">
        <v>35</v>
      </c>
      <c r="G124" s="64" t="s">
        <v>110</v>
      </c>
      <c r="H124" s="78">
        <v>120</v>
      </c>
      <c r="I124" s="78">
        <v>108</v>
      </c>
      <c r="J124" s="84">
        <v>53.2638888888889</v>
      </c>
      <c r="K124" s="83"/>
      <c r="L124" s="83"/>
      <c r="M124" s="41">
        <v>110</v>
      </c>
      <c r="N124" s="41">
        <v>100</v>
      </c>
      <c r="O124" s="41">
        <v>87</v>
      </c>
      <c r="P124" s="64" t="s">
        <v>37</v>
      </c>
      <c r="Q124" s="64" t="s">
        <v>35</v>
      </c>
      <c r="R124" s="64" t="s">
        <v>35</v>
      </c>
      <c r="S124" s="83"/>
      <c r="T124" s="77" t="s">
        <v>186</v>
      </c>
      <c r="U124" s="105" t="s">
        <v>557</v>
      </c>
      <c r="V124" s="105">
        <v>33040901301</v>
      </c>
      <c r="W124" s="106" t="s">
        <v>558</v>
      </c>
      <c r="X124" s="105"/>
      <c r="Y124" s="105"/>
      <c r="Z124" s="105" t="s">
        <v>110</v>
      </c>
      <c r="AA124" s="110" t="s">
        <v>35</v>
      </c>
      <c r="AB124" s="50">
        <v>650</v>
      </c>
      <c r="AC124" s="50">
        <v>625</v>
      </c>
      <c r="AD124" s="50">
        <v>530</v>
      </c>
      <c r="AE124" s="112" t="s">
        <v>37</v>
      </c>
      <c r="AF124" s="60"/>
    </row>
    <row r="125" customFormat="1" ht="25.5" spans="1:32">
      <c r="A125" s="112"/>
      <c r="B125" s="112"/>
      <c r="C125" s="64"/>
      <c r="D125" s="65"/>
      <c r="E125" s="77"/>
      <c r="F125" s="77"/>
      <c r="G125" s="64"/>
      <c r="H125" s="42"/>
      <c r="I125" s="42"/>
      <c r="J125" s="84"/>
      <c r="K125" s="83"/>
      <c r="L125" s="83"/>
      <c r="M125" s="41"/>
      <c r="N125" s="41"/>
      <c r="O125" s="41"/>
      <c r="P125" s="64"/>
      <c r="Q125" s="64"/>
      <c r="R125" s="64"/>
      <c r="S125" s="83"/>
      <c r="T125" s="77"/>
      <c r="U125" s="105" t="s">
        <v>559</v>
      </c>
      <c r="V125" s="105">
        <v>31030010002</v>
      </c>
      <c r="W125" s="106" t="s">
        <v>560</v>
      </c>
      <c r="X125" s="105"/>
      <c r="Y125" s="105"/>
      <c r="Z125" s="105" t="s">
        <v>36</v>
      </c>
      <c r="AA125" s="110" t="s">
        <v>35</v>
      </c>
      <c r="AB125" s="50">
        <v>205</v>
      </c>
      <c r="AC125" s="50">
        <v>195</v>
      </c>
      <c r="AD125" s="50">
        <v>165</v>
      </c>
      <c r="AE125" s="112" t="s">
        <v>37</v>
      </c>
      <c r="AF125" s="149"/>
    </row>
    <row r="126" customFormat="1" ht="25.5" spans="1:32">
      <c r="A126" s="112"/>
      <c r="B126" s="112"/>
      <c r="C126" s="64"/>
      <c r="D126" s="65"/>
      <c r="E126" s="77"/>
      <c r="F126" s="77"/>
      <c r="G126" s="64"/>
      <c r="H126" s="42"/>
      <c r="I126" s="42"/>
      <c r="J126" s="84"/>
      <c r="K126" s="83"/>
      <c r="L126" s="83"/>
      <c r="M126" s="41"/>
      <c r="N126" s="41"/>
      <c r="O126" s="41"/>
      <c r="P126" s="64"/>
      <c r="Q126" s="64"/>
      <c r="R126" s="64"/>
      <c r="S126" s="83"/>
      <c r="T126" s="77"/>
      <c r="U126" s="105" t="s">
        <v>561</v>
      </c>
      <c r="V126" s="105">
        <v>33040700101</v>
      </c>
      <c r="W126" s="106" t="s">
        <v>562</v>
      </c>
      <c r="X126" s="105"/>
      <c r="Y126" s="105"/>
      <c r="Z126" s="105" t="s">
        <v>36</v>
      </c>
      <c r="AA126" s="110" t="s">
        <v>35</v>
      </c>
      <c r="AB126" s="50">
        <v>490</v>
      </c>
      <c r="AC126" s="50">
        <v>470</v>
      </c>
      <c r="AD126" s="50">
        <v>400</v>
      </c>
      <c r="AE126" s="112" t="s">
        <v>37</v>
      </c>
      <c r="AF126" s="149"/>
    </row>
    <row r="127" s="52" customFormat="1" ht="25.5" spans="1:238">
      <c r="A127" s="64">
        <v>43</v>
      </c>
      <c r="B127" s="163" t="s">
        <v>563</v>
      </c>
      <c r="C127" s="64" t="s">
        <v>564</v>
      </c>
      <c r="D127" s="65" t="s">
        <v>565</v>
      </c>
      <c r="E127" s="77" t="s">
        <v>566</v>
      </c>
      <c r="F127" s="77" t="s">
        <v>567</v>
      </c>
      <c r="G127" s="64" t="s">
        <v>110</v>
      </c>
      <c r="H127" s="78">
        <v>355</v>
      </c>
      <c r="I127" s="78">
        <v>320</v>
      </c>
      <c r="J127" s="84">
        <v>316.169903747862</v>
      </c>
      <c r="K127" s="84">
        <v>289.881122729774</v>
      </c>
      <c r="L127" s="84">
        <v>344</v>
      </c>
      <c r="M127" s="41">
        <v>320</v>
      </c>
      <c r="N127" s="41">
        <v>290</v>
      </c>
      <c r="O127" s="89">
        <v>260</v>
      </c>
      <c r="P127" s="64" t="s">
        <v>37</v>
      </c>
      <c r="Q127" s="64" t="s">
        <v>35</v>
      </c>
      <c r="R127" s="64" t="s">
        <v>348</v>
      </c>
      <c r="S127" s="83" t="s">
        <v>191</v>
      </c>
      <c r="T127" s="77" t="s">
        <v>228</v>
      </c>
      <c r="U127" s="105" t="s">
        <v>568</v>
      </c>
      <c r="V127" s="105">
        <v>310300081</v>
      </c>
      <c r="W127" s="106" t="s">
        <v>569</v>
      </c>
      <c r="X127" s="105" t="s">
        <v>570</v>
      </c>
      <c r="Y127" s="105"/>
      <c r="Z127" s="105" t="s">
        <v>71</v>
      </c>
      <c r="AA127" s="110" t="s">
        <v>571</v>
      </c>
      <c r="AB127" s="50">
        <v>210</v>
      </c>
      <c r="AC127" s="50">
        <v>200</v>
      </c>
      <c r="AD127" s="50">
        <v>170</v>
      </c>
      <c r="AE127" s="112" t="s">
        <v>37</v>
      </c>
      <c r="AF127" s="60"/>
      <c r="AG127" s="55"/>
      <c r="AH127" s="55"/>
      <c r="AI127" s="55"/>
      <c r="AJ127" s="55"/>
      <c r="AK127" s="55"/>
      <c r="AL127" s="55"/>
      <c r="AM127" s="55"/>
      <c r="AN127" s="55"/>
      <c r="AO127" s="55"/>
      <c r="AP127" s="55"/>
      <c r="AQ127" s="55"/>
      <c r="AR127" s="55"/>
      <c r="AS127" s="55"/>
      <c r="AT127" s="55"/>
      <c r="AU127" s="55"/>
      <c r="AV127" s="55"/>
      <c r="AW127" s="55"/>
      <c r="AX127" s="55"/>
      <c r="AY127" s="55"/>
      <c r="AZ127" s="55"/>
      <c r="BA127" s="55"/>
      <c r="BB127" s="55"/>
      <c r="BC127" s="55"/>
      <c r="BD127" s="55"/>
      <c r="BE127" s="55"/>
      <c r="BF127" s="55"/>
      <c r="BG127" s="55"/>
      <c r="BH127" s="55"/>
      <c r="BI127" s="55"/>
      <c r="BJ127" s="55"/>
      <c r="BK127" s="55"/>
      <c r="BL127" s="55"/>
      <c r="BM127" s="55"/>
      <c r="BN127" s="55"/>
      <c r="BO127" s="55"/>
      <c r="BP127" s="55"/>
      <c r="BQ127" s="55"/>
      <c r="BR127" s="55"/>
      <c r="BS127" s="55"/>
      <c r="BT127" s="55"/>
      <c r="BU127" s="55"/>
      <c r="BV127" s="55"/>
      <c r="BW127" s="55"/>
      <c r="BX127" s="55"/>
      <c r="BY127" s="55"/>
      <c r="BZ127" s="55"/>
      <c r="CA127" s="55"/>
      <c r="CB127" s="55"/>
      <c r="CC127" s="55"/>
      <c r="CD127" s="55"/>
      <c r="CE127" s="55"/>
      <c r="CF127" s="55"/>
      <c r="CG127" s="55"/>
      <c r="CH127" s="55"/>
      <c r="CI127" s="55"/>
      <c r="CJ127" s="55"/>
      <c r="CK127" s="55"/>
      <c r="CL127" s="55"/>
      <c r="CM127" s="55"/>
      <c r="CN127" s="55"/>
      <c r="CO127" s="55"/>
      <c r="CP127" s="55"/>
      <c r="CQ127" s="55"/>
      <c r="CR127" s="55"/>
      <c r="CS127" s="55"/>
      <c r="CT127" s="55"/>
      <c r="CU127" s="55"/>
      <c r="CV127" s="55"/>
      <c r="CW127" s="55"/>
      <c r="CX127" s="55"/>
      <c r="CY127" s="55"/>
      <c r="CZ127" s="55"/>
      <c r="DA127" s="55"/>
      <c r="DB127" s="55"/>
      <c r="DC127" s="55"/>
      <c r="DD127" s="55"/>
      <c r="DE127" s="55"/>
      <c r="DF127" s="55"/>
      <c r="DG127" s="55"/>
      <c r="DH127" s="55"/>
      <c r="DI127" s="55"/>
      <c r="DJ127" s="55"/>
      <c r="DK127" s="55"/>
      <c r="DL127" s="55"/>
      <c r="DM127" s="55"/>
      <c r="DN127" s="55"/>
      <c r="DO127" s="55"/>
      <c r="DP127" s="55"/>
      <c r="DQ127" s="55"/>
      <c r="DR127" s="55"/>
      <c r="DS127" s="55"/>
      <c r="DT127" s="55"/>
      <c r="DU127" s="55"/>
      <c r="DV127" s="55"/>
      <c r="DW127" s="55"/>
      <c r="DX127" s="55"/>
      <c r="DY127" s="55"/>
      <c r="DZ127" s="55"/>
      <c r="EA127" s="55"/>
      <c r="EB127" s="55"/>
      <c r="EC127" s="55"/>
      <c r="ED127" s="55"/>
      <c r="EE127" s="55"/>
      <c r="EF127" s="55"/>
      <c r="EG127" s="55"/>
      <c r="EH127" s="55"/>
      <c r="EI127" s="55"/>
      <c r="EJ127" s="55"/>
      <c r="EK127" s="55"/>
      <c r="EL127" s="55"/>
      <c r="EM127" s="55"/>
      <c r="EN127" s="55"/>
      <c r="EO127" s="55"/>
      <c r="EP127" s="55"/>
      <c r="EQ127" s="55"/>
      <c r="ER127" s="55"/>
      <c r="ES127" s="55"/>
      <c r="ET127" s="55"/>
      <c r="EU127" s="55"/>
      <c r="EV127" s="55"/>
      <c r="EW127" s="55"/>
      <c r="EX127" s="55"/>
      <c r="EY127" s="55"/>
      <c r="EZ127" s="55"/>
      <c r="FA127" s="55"/>
      <c r="FB127" s="55"/>
      <c r="FC127" s="55"/>
      <c r="FD127" s="55"/>
      <c r="FE127" s="55"/>
      <c r="FF127" s="55"/>
      <c r="FG127" s="55"/>
      <c r="FH127" s="55"/>
      <c r="FI127" s="55"/>
      <c r="FJ127" s="55"/>
      <c r="FK127" s="55"/>
      <c r="FL127" s="55"/>
      <c r="FM127" s="55"/>
      <c r="FN127" s="55"/>
      <c r="FO127" s="55"/>
      <c r="FP127" s="55"/>
      <c r="FQ127" s="55"/>
      <c r="FR127" s="55"/>
      <c r="FS127" s="55"/>
      <c r="FT127" s="55"/>
      <c r="FU127" s="55"/>
      <c r="FV127" s="55"/>
      <c r="FW127" s="55"/>
      <c r="FX127" s="55"/>
      <c r="FY127" s="55"/>
      <c r="FZ127" s="55"/>
      <c r="GA127" s="55"/>
      <c r="GB127" s="55"/>
      <c r="GC127" s="55"/>
      <c r="GD127" s="55"/>
      <c r="GE127" s="55"/>
      <c r="GF127" s="55"/>
      <c r="GG127" s="55"/>
      <c r="GH127" s="55"/>
      <c r="GI127" s="55"/>
      <c r="GJ127" s="55"/>
      <c r="GK127" s="55"/>
      <c r="GL127" s="55"/>
      <c r="GM127" s="55"/>
      <c r="GN127" s="55"/>
      <c r="GO127" s="55"/>
      <c r="GP127" s="55"/>
      <c r="GQ127" s="55"/>
      <c r="GR127" s="55"/>
      <c r="GS127" s="55"/>
      <c r="GT127" s="55"/>
      <c r="GU127" s="55"/>
      <c r="GV127" s="55"/>
      <c r="GW127" s="55"/>
      <c r="GX127" s="55"/>
      <c r="GY127" s="55"/>
      <c r="GZ127" s="55"/>
      <c r="HA127" s="55"/>
      <c r="HB127" s="55"/>
      <c r="HC127" s="55"/>
      <c r="HD127" s="55"/>
      <c r="HE127" s="55"/>
      <c r="HF127" s="55"/>
      <c r="HG127" s="55"/>
      <c r="HH127" s="55"/>
      <c r="HI127" s="55"/>
      <c r="HJ127" s="55"/>
      <c r="HK127" s="55"/>
      <c r="HL127" s="55"/>
      <c r="HM127" s="55"/>
      <c r="HN127" s="55"/>
      <c r="HO127" s="55"/>
      <c r="HP127" s="55"/>
      <c r="HQ127" s="55"/>
      <c r="HR127" s="55"/>
      <c r="HS127" s="55"/>
      <c r="HT127" s="55"/>
      <c r="HU127" s="55"/>
      <c r="HV127" s="55"/>
      <c r="HW127" s="55"/>
      <c r="HX127" s="55"/>
      <c r="HY127" s="55"/>
      <c r="HZ127" s="55"/>
      <c r="IA127" s="55"/>
      <c r="IB127" s="55"/>
      <c r="IC127" s="55"/>
      <c r="ID127" s="55"/>
    </row>
    <row r="128" s="52" customFormat="1" ht="25.5" spans="1:238">
      <c r="A128" s="64"/>
      <c r="B128" s="64"/>
      <c r="C128" s="64"/>
      <c r="D128" s="65"/>
      <c r="E128" s="77"/>
      <c r="F128" s="77"/>
      <c r="G128" s="64"/>
      <c r="H128" s="42"/>
      <c r="I128" s="42"/>
      <c r="J128" s="84"/>
      <c r="K128" s="84"/>
      <c r="L128" s="84"/>
      <c r="M128" s="41"/>
      <c r="N128" s="41"/>
      <c r="O128" s="89"/>
      <c r="P128" s="64"/>
      <c r="Q128" s="64"/>
      <c r="R128" s="64"/>
      <c r="S128" s="83"/>
      <c r="T128" s="77"/>
      <c r="U128" s="105" t="s">
        <v>572</v>
      </c>
      <c r="V128" s="105">
        <v>31030008104</v>
      </c>
      <c r="W128" s="106" t="s">
        <v>573</v>
      </c>
      <c r="X128" s="105"/>
      <c r="Y128" s="105"/>
      <c r="Z128" s="105" t="s">
        <v>71</v>
      </c>
      <c r="AA128" s="110" t="s">
        <v>574</v>
      </c>
      <c r="AB128" s="50">
        <v>105</v>
      </c>
      <c r="AC128" s="50">
        <v>100</v>
      </c>
      <c r="AD128" s="50">
        <v>85</v>
      </c>
      <c r="AE128" s="112" t="s">
        <v>37</v>
      </c>
      <c r="AF128" s="60"/>
      <c r="AG128" s="55"/>
      <c r="AH128" s="55"/>
      <c r="AI128" s="55"/>
      <c r="AJ128" s="55"/>
      <c r="AK128" s="55"/>
      <c r="AL128" s="55"/>
      <c r="AM128" s="55"/>
      <c r="AN128" s="55"/>
      <c r="AO128" s="55"/>
      <c r="AP128" s="55"/>
      <c r="AQ128" s="55"/>
      <c r="AR128" s="55"/>
      <c r="AS128" s="55"/>
      <c r="AT128" s="55"/>
      <c r="AU128" s="55"/>
      <c r="AV128" s="55"/>
      <c r="AW128" s="55"/>
      <c r="AX128" s="55"/>
      <c r="AY128" s="55"/>
      <c r="AZ128" s="55"/>
      <c r="BA128" s="55"/>
      <c r="BB128" s="55"/>
      <c r="BC128" s="55"/>
      <c r="BD128" s="55"/>
      <c r="BE128" s="55"/>
      <c r="BF128" s="55"/>
      <c r="BG128" s="55"/>
      <c r="BH128" s="55"/>
      <c r="BI128" s="55"/>
      <c r="BJ128" s="55"/>
      <c r="BK128" s="55"/>
      <c r="BL128" s="55"/>
      <c r="BM128" s="55"/>
      <c r="BN128" s="55"/>
      <c r="BO128" s="55"/>
      <c r="BP128" s="55"/>
      <c r="BQ128" s="55"/>
      <c r="BR128" s="55"/>
      <c r="BS128" s="55"/>
      <c r="BT128" s="55"/>
      <c r="BU128" s="55"/>
      <c r="BV128" s="55"/>
      <c r="BW128" s="55"/>
      <c r="BX128" s="55"/>
      <c r="BY128" s="55"/>
      <c r="BZ128" s="55"/>
      <c r="CA128" s="55"/>
      <c r="CB128" s="55"/>
      <c r="CC128" s="55"/>
      <c r="CD128" s="55"/>
      <c r="CE128" s="55"/>
      <c r="CF128" s="55"/>
      <c r="CG128" s="55"/>
      <c r="CH128" s="55"/>
      <c r="CI128" s="55"/>
      <c r="CJ128" s="55"/>
      <c r="CK128" s="55"/>
      <c r="CL128" s="55"/>
      <c r="CM128" s="55"/>
      <c r="CN128" s="55"/>
      <c r="CO128" s="55"/>
      <c r="CP128" s="55"/>
      <c r="CQ128" s="55"/>
      <c r="CR128" s="55"/>
      <c r="CS128" s="55"/>
      <c r="CT128" s="55"/>
      <c r="CU128" s="55"/>
      <c r="CV128" s="55"/>
      <c r="CW128" s="55"/>
      <c r="CX128" s="55"/>
      <c r="CY128" s="55"/>
      <c r="CZ128" s="55"/>
      <c r="DA128" s="55"/>
      <c r="DB128" s="55"/>
      <c r="DC128" s="55"/>
      <c r="DD128" s="55"/>
      <c r="DE128" s="55"/>
      <c r="DF128" s="55"/>
      <c r="DG128" s="55"/>
      <c r="DH128" s="55"/>
      <c r="DI128" s="55"/>
      <c r="DJ128" s="55"/>
      <c r="DK128" s="55"/>
      <c r="DL128" s="55"/>
      <c r="DM128" s="55"/>
      <c r="DN128" s="55"/>
      <c r="DO128" s="55"/>
      <c r="DP128" s="55"/>
      <c r="DQ128" s="55"/>
      <c r="DR128" s="55"/>
      <c r="DS128" s="55"/>
      <c r="DT128" s="55"/>
      <c r="DU128" s="55"/>
      <c r="DV128" s="55"/>
      <c r="DW128" s="55"/>
      <c r="DX128" s="55"/>
      <c r="DY128" s="55"/>
      <c r="DZ128" s="55"/>
      <c r="EA128" s="55"/>
      <c r="EB128" s="55"/>
      <c r="EC128" s="55"/>
      <c r="ED128" s="55"/>
      <c r="EE128" s="55"/>
      <c r="EF128" s="55"/>
      <c r="EG128" s="55"/>
      <c r="EH128" s="55"/>
      <c r="EI128" s="55"/>
      <c r="EJ128" s="55"/>
      <c r="EK128" s="55"/>
      <c r="EL128" s="55"/>
      <c r="EM128" s="55"/>
      <c r="EN128" s="55"/>
      <c r="EO128" s="55"/>
      <c r="EP128" s="55"/>
      <c r="EQ128" s="55"/>
      <c r="ER128" s="55"/>
      <c r="ES128" s="55"/>
      <c r="ET128" s="55"/>
      <c r="EU128" s="55"/>
      <c r="EV128" s="55"/>
      <c r="EW128" s="55"/>
      <c r="EX128" s="55"/>
      <c r="EY128" s="55"/>
      <c r="EZ128" s="55"/>
      <c r="FA128" s="55"/>
      <c r="FB128" s="55"/>
      <c r="FC128" s="55"/>
      <c r="FD128" s="55"/>
      <c r="FE128" s="55"/>
      <c r="FF128" s="55"/>
      <c r="FG128" s="55"/>
      <c r="FH128" s="55"/>
      <c r="FI128" s="55"/>
      <c r="FJ128" s="55"/>
      <c r="FK128" s="55"/>
      <c r="FL128" s="55"/>
      <c r="FM128" s="55"/>
      <c r="FN128" s="55"/>
      <c r="FO128" s="55"/>
      <c r="FP128" s="55"/>
      <c r="FQ128" s="55"/>
      <c r="FR128" s="55"/>
      <c r="FS128" s="55"/>
      <c r="FT128" s="55"/>
      <c r="FU128" s="55"/>
      <c r="FV128" s="55"/>
      <c r="FW128" s="55"/>
      <c r="FX128" s="55"/>
      <c r="FY128" s="55"/>
      <c r="FZ128" s="55"/>
      <c r="GA128" s="55"/>
      <c r="GB128" s="55"/>
      <c r="GC128" s="55"/>
      <c r="GD128" s="55"/>
      <c r="GE128" s="55"/>
      <c r="GF128" s="55"/>
      <c r="GG128" s="55"/>
      <c r="GH128" s="55"/>
      <c r="GI128" s="55"/>
      <c r="GJ128" s="55"/>
      <c r="GK128" s="55"/>
      <c r="GL128" s="55"/>
      <c r="GM128" s="55"/>
      <c r="GN128" s="55"/>
      <c r="GO128" s="55"/>
      <c r="GP128" s="55"/>
      <c r="GQ128" s="55"/>
      <c r="GR128" s="55"/>
      <c r="GS128" s="55"/>
      <c r="GT128" s="55"/>
      <c r="GU128" s="55"/>
      <c r="GV128" s="55"/>
      <c r="GW128" s="55"/>
      <c r="GX128" s="55"/>
      <c r="GY128" s="55"/>
      <c r="GZ128" s="55"/>
      <c r="HA128" s="55"/>
      <c r="HB128" s="55"/>
      <c r="HC128" s="55"/>
      <c r="HD128" s="55"/>
      <c r="HE128" s="55"/>
      <c r="HF128" s="55"/>
      <c r="HG128" s="55"/>
      <c r="HH128" s="55"/>
      <c r="HI128" s="55"/>
      <c r="HJ128" s="55"/>
      <c r="HK128" s="55"/>
      <c r="HL128" s="55"/>
      <c r="HM128" s="55"/>
      <c r="HN128" s="55"/>
      <c r="HO128" s="55"/>
      <c r="HP128" s="55"/>
      <c r="HQ128" s="55"/>
      <c r="HR128" s="55"/>
      <c r="HS128" s="55"/>
      <c r="HT128" s="55"/>
      <c r="HU128" s="55"/>
      <c r="HV128" s="55"/>
      <c r="HW128" s="55"/>
      <c r="HX128" s="55"/>
      <c r="HY128" s="55"/>
      <c r="HZ128" s="55"/>
      <c r="IA128" s="55"/>
      <c r="IB128" s="55"/>
      <c r="IC128" s="55"/>
      <c r="ID128" s="55"/>
    </row>
    <row r="129" s="52" customFormat="1" ht="25.5" spans="1:238">
      <c r="A129" s="64"/>
      <c r="B129" s="64"/>
      <c r="C129" s="64"/>
      <c r="D129" s="65"/>
      <c r="E129" s="77"/>
      <c r="F129" s="77"/>
      <c r="G129" s="64"/>
      <c r="H129" s="42"/>
      <c r="I129" s="42"/>
      <c r="J129" s="84"/>
      <c r="K129" s="84"/>
      <c r="L129" s="84"/>
      <c r="M129" s="41"/>
      <c r="N129" s="41"/>
      <c r="O129" s="89"/>
      <c r="P129" s="64"/>
      <c r="Q129" s="64"/>
      <c r="R129" s="64"/>
      <c r="S129" s="83"/>
      <c r="T129" s="77"/>
      <c r="U129" s="105" t="s">
        <v>575</v>
      </c>
      <c r="V129" s="105">
        <v>31030008101</v>
      </c>
      <c r="W129" s="106" t="s">
        <v>576</v>
      </c>
      <c r="X129" s="105"/>
      <c r="Y129" s="105"/>
      <c r="Z129" s="105" t="s">
        <v>71</v>
      </c>
      <c r="AA129" s="110" t="s">
        <v>577</v>
      </c>
      <c r="AB129" s="50">
        <v>210</v>
      </c>
      <c r="AC129" s="50">
        <v>200</v>
      </c>
      <c r="AD129" s="50">
        <v>170</v>
      </c>
      <c r="AE129" s="112" t="s">
        <v>37</v>
      </c>
      <c r="AF129" s="60"/>
      <c r="AG129" s="55"/>
      <c r="AH129" s="55"/>
      <c r="AI129" s="55"/>
      <c r="AJ129" s="55"/>
      <c r="AK129" s="55"/>
      <c r="AL129" s="55"/>
      <c r="AM129" s="55"/>
      <c r="AN129" s="55"/>
      <c r="AO129" s="55"/>
      <c r="AP129" s="55"/>
      <c r="AQ129" s="55"/>
      <c r="AR129" s="55"/>
      <c r="AS129" s="55"/>
      <c r="AT129" s="55"/>
      <c r="AU129" s="55"/>
      <c r="AV129" s="55"/>
      <c r="AW129" s="55"/>
      <c r="AX129" s="55"/>
      <c r="AY129" s="55"/>
      <c r="AZ129" s="55"/>
      <c r="BA129" s="55"/>
      <c r="BB129" s="55"/>
      <c r="BC129" s="55"/>
      <c r="BD129" s="55"/>
      <c r="BE129" s="55"/>
      <c r="BF129" s="55"/>
      <c r="BG129" s="55"/>
      <c r="BH129" s="55"/>
      <c r="BI129" s="55"/>
      <c r="BJ129" s="55"/>
      <c r="BK129" s="55"/>
      <c r="BL129" s="55"/>
      <c r="BM129" s="55"/>
      <c r="BN129" s="55"/>
      <c r="BO129" s="55"/>
      <c r="BP129" s="55"/>
      <c r="BQ129" s="55"/>
      <c r="BR129" s="55"/>
      <c r="BS129" s="55"/>
      <c r="BT129" s="55"/>
      <c r="BU129" s="55"/>
      <c r="BV129" s="55"/>
      <c r="BW129" s="55"/>
      <c r="BX129" s="55"/>
      <c r="BY129" s="55"/>
      <c r="BZ129" s="55"/>
      <c r="CA129" s="55"/>
      <c r="CB129" s="55"/>
      <c r="CC129" s="55"/>
      <c r="CD129" s="55"/>
      <c r="CE129" s="55"/>
      <c r="CF129" s="55"/>
      <c r="CG129" s="55"/>
      <c r="CH129" s="55"/>
      <c r="CI129" s="55"/>
      <c r="CJ129" s="55"/>
      <c r="CK129" s="55"/>
      <c r="CL129" s="55"/>
      <c r="CM129" s="55"/>
      <c r="CN129" s="55"/>
      <c r="CO129" s="55"/>
      <c r="CP129" s="55"/>
      <c r="CQ129" s="55"/>
      <c r="CR129" s="55"/>
      <c r="CS129" s="55"/>
      <c r="CT129" s="55"/>
      <c r="CU129" s="55"/>
      <c r="CV129" s="55"/>
      <c r="CW129" s="55"/>
      <c r="CX129" s="55"/>
      <c r="CY129" s="55"/>
      <c r="CZ129" s="55"/>
      <c r="DA129" s="55"/>
      <c r="DB129" s="55"/>
      <c r="DC129" s="55"/>
      <c r="DD129" s="55"/>
      <c r="DE129" s="55"/>
      <c r="DF129" s="55"/>
      <c r="DG129" s="55"/>
      <c r="DH129" s="55"/>
      <c r="DI129" s="55"/>
      <c r="DJ129" s="55"/>
      <c r="DK129" s="55"/>
      <c r="DL129" s="55"/>
      <c r="DM129" s="55"/>
      <c r="DN129" s="55"/>
      <c r="DO129" s="55"/>
      <c r="DP129" s="55"/>
      <c r="DQ129" s="55"/>
      <c r="DR129" s="55"/>
      <c r="DS129" s="55"/>
      <c r="DT129" s="55"/>
      <c r="DU129" s="55"/>
      <c r="DV129" s="55"/>
      <c r="DW129" s="55"/>
      <c r="DX129" s="55"/>
      <c r="DY129" s="55"/>
      <c r="DZ129" s="55"/>
      <c r="EA129" s="55"/>
      <c r="EB129" s="55"/>
      <c r="EC129" s="55"/>
      <c r="ED129" s="55"/>
      <c r="EE129" s="55"/>
      <c r="EF129" s="55"/>
      <c r="EG129" s="55"/>
      <c r="EH129" s="55"/>
      <c r="EI129" s="55"/>
      <c r="EJ129" s="55"/>
      <c r="EK129" s="55"/>
      <c r="EL129" s="55"/>
      <c r="EM129" s="55"/>
      <c r="EN129" s="55"/>
      <c r="EO129" s="55"/>
      <c r="EP129" s="55"/>
      <c r="EQ129" s="55"/>
      <c r="ER129" s="55"/>
      <c r="ES129" s="55"/>
      <c r="ET129" s="55"/>
      <c r="EU129" s="55"/>
      <c r="EV129" s="55"/>
      <c r="EW129" s="55"/>
      <c r="EX129" s="55"/>
      <c r="EY129" s="55"/>
      <c r="EZ129" s="55"/>
      <c r="FA129" s="55"/>
      <c r="FB129" s="55"/>
      <c r="FC129" s="55"/>
      <c r="FD129" s="55"/>
      <c r="FE129" s="55"/>
      <c r="FF129" s="55"/>
      <c r="FG129" s="55"/>
      <c r="FH129" s="55"/>
      <c r="FI129" s="55"/>
      <c r="FJ129" s="55"/>
      <c r="FK129" s="55"/>
      <c r="FL129" s="55"/>
      <c r="FM129" s="55"/>
      <c r="FN129" s="55"/>
      <c r="FO129" s="55"/>
      <c r="FP129" s="55"/>
      <c r="FQ129" s="55"/>
      <c r="FR129" s="55"/>
      <c r="FS129" s="55"/>
      <c r="FT129" s="55"/>
      <c r="FU129" s="55"/>
      <c r="FV129" s="55"/>
      <c r="FW129" s="55"/>
      <c r="FX129" s="55"/>
      <c r="FY129" s="55"/>
      <c r="FZ129" s="55"/>
      <c r="GA129" s="55"/>
      <c r="GB129" s="55"/>
      <c r="GC129" s="55"/>
      <c r="GD129" s="55"/>
      <c r="GE129" s="55"/>
      <c r="GF129" s="55"/>
      <c r="GG129" s="55"/>
      <c r="GH129" s="55"/>
      <c r="GI129" s="55"/>
      <c r="GJ129" s="55"/>
      <c r="GK129" s="55"/>
      <c r="GL129" s="55"/>
      <c r="GM129" s="55"/>
      <c r="GN129" s="55"/>
      <c r="GO129" s="55"/>
      <c r="GP129" s="55"/>
      <c r="GQ129" s="55"/>
      <c r="GR129" s="55"/>
      <c r="GS129" s="55"/>
      <c r="GT129" s="55"/>
      <c r="GU129" s="55"/>
      <c r="GV129" s="55"/>
      <c r="GW129" s="55"/>
      <c r="GX129" s="55"/>
      <c r="GY129" s="55"/>
      <c r="GZ129" s="55"/>
      <c r="HA129" s="55"/>
      <c r="HB129" s="55"/>
      <c r="HC129" s="55"/>
      <c r="HD129" s="55"/>
      <c r="HE129" s="55"/>
      <c r="HF129" s="55"/>
      <c r="HG129" s="55"/>
      <c r="HH129" s="55"/>
      <c r="HI129" s="55"/>
      <c r="HJ129" s="55"/>
      <c r="HK129" s="55"/>
      <c r="HL129" s="55"/>
      <c r="HM129" s="55"/>
      <c r="HN129" s="55"/>
      <c r="HO129" s="55"/>
      <c r="HP129" s="55"/>
      <c r="HQ129" s="55"/>
      <c r="HR129" s="55"/>
      <c r="HS129" s="55"/>
      <c r="HT129" s="55"/>
      <c r="HU129" s="55"/>
      <c r="HV129" s="55"/>
      <c r="HW129" s="55"/>
      <c r="HX129" s="55"/>
      <c r="HY129" s="55"/>
      <c r="HZ129" s="55"/>
      <c r="IA129" s="55"/>
      <c r="IB129" s="55"/>
      <c r="IC129" s="55"/>
      <c r="ID129" s="55"/>
    </row>
    <row r="130" s="52" customFormat="1" ht="25.5" spans="1:238">
      <c r="A130" s="64"/>
      <c r="B130" s="64"/>
      <c r="C130" s="64"/>
      <c r="D130" s="65"/>
      <c r="E130" s="77"/>
      <c r="F130" s="77"/>
      <c r="G130" s="64"/>
      <c r="H130" s="42"/>
      <c r="I130" s="42"/>
      <c r="J130" s="84"/>
      <c r="K130" s="84"/>
      <c r="L130" s="84"/>
      <c r="M130" s="41"/>
      <c r="N130" s="41"/>
      <c r="O130" s="89"/>
      <c r="P130" s="64"/>
      <c r="Q130" s="64"/>
      <c r="R130" s="64"/>
      <c r="S130" s="83"/>
      <c r="T130" s="77"/>
      <c r="U130" s="105" t="s">
        <v>578</v>
      </c>
      <c r="V130" s="105">
        <v>31030008102</v>
      </c>
      <c r="W130" s="106" t="s">
        <v>579</v>
      </c>
      <c r="X130" s="105"/>
      <c r="Y130" s="105"/>
      <c r="Z130" s="105" t="s">
        <v>71</v>
      </c>
      <c r="AA130" s="110" t="s">
        <v>580</v>
      </c>
      <c r="AB130" s="50">
        <v>210</v>
      </c>
      <c r="AC130" s="50">
        <v>200</v>
      </c>
      <c r="AD130" s="50">
        <v>170</v>
      </c>
      <c r="AE130" s="112" t="s">
        <v>37</v>
      </c>
      <c r="AF130" s="60"/>
      <c r="AG130" s="55"/>
      <c r="AH130" s="55"/>
      <c r="AI130" s="55"/>
      <c r="AJ130" s="55"/>
      <c r="AK130" s="55"/>
      <c r="AL130" s="55"/>
      <c r="AM130" s="55"/>
      <c r="AN130" s="55"/>
      <c r="AO130" s="55"/>
      <c r="AP130" s="55"/>
      <c r="AQ130" s="55"/>
      <c r="AR130" s="55"/>
      <c r="AS130" s="55"/>
      <c r="AT130" s="55"/>
      <c r="AU130" s="55"/>
      <c r="AV130" s="55"/>
      <c r="AW130" s="55"/>
      <c r="AX130" s="55"/>
      <c r="AY130" s="55"/>
      <c r="AZ130" s="55"/>
      <c r="BA130" s="55"/>
      <c r="BB130" s="55"/>
      <c r="BC130" s="55"/>
      <c r="BD130" s="55"/>
      <c r="BE130" s="55"/>
      <c r="BF130" s="55"/>
      <c r="BG130" s="55"/>
      <c r="BH130" s="55"/>
      <c r="BI130" s="55"/>
      <c r="BJ130" s="55"/>
      <c r="BK130" s="55"/>
      <c r="BL130" s="55"/>
      <c r="BM130" s="55"/>
      <c r="BN130" s="55"/>
      <c r="BO130" s="55"/>
      <c r="BP130" s="55"/>
      <c r="BQ130" s="55"/>
      <c r="BR130" s="55"/>
      <c r="BS130" s="55"/>
      <c r="BT130" s="55"/>
      <c r="BU130" s="55"/>
      <c r="BV130" s="55"/>
      <c r="BW130" s="55"/>
      <c r="BX130" s="55"/>
      <c r="BY130" s="55"/>
      <c r="BZ130" s="55"/>
      <c r="CA130" s="55"/>
      <c r="CB130" s="55"/>
      <c r="CC130" s="55"/>
      <c r="CD130" s="55"/>
      <c r="CE130" s="55"/>
      <c r="CF130" s="55"/>
      <c r="CG130" s="55"/>
      <c r="CH130" s="55"/>
      <c r="CI130" s="55"/>
      <c r="CJ130" s="55"/>
      <c r="CK130" s="55"/>
      <c r="CL130" s="55"/>
      <c r="CM130" s="55"/>
      <c r="CN130" s="55"/>
      <c r="CO130" s="55"/>
      <c r="CP130" s="55"/>
      <c r="CQ130" s="55"/>
      <c r="CR130" s="55"/>
      <c r="CS130" s="55"/>
      <c r="CT130" s="55"/>
      <c r="CU130" s="55"/>
      <c r="CV130" s="55"/>
      <c r="CW130" s="55"/>
      <c r="CX130" s="55"/>
      <c r="CY130" s="55"/>
      <c r="CZ130" s="55"/>
      <c r="DA130" s="55"/>
      <c r="DB130" s="55"/>
      <c r="DC130" s="55"/>
      <c r="DD130" s="55"/>
      <c r="DE130" s="55"/>
      <c r="DF130" s="55"/>
      <c r="DG130" s="55"/>
      <c r="DH130" s="55"/>
      <c r="DI130" s="55"/>
      <c r="DJ130" s="55"/>
      <c r="DK130" s="55"/>
      <c r="DL130" s="55"/>
      <c r="DM130" s="55"/>
      <c r="DN130" s="55"/>
      <c r="DO130" s="55"/>
      <c r="DP130" s="55"/>
      <c r="DQ130" s="55"/>
      <c r="DR130" s="55"/>
      <c r="DS130" s="55"/>
      <c r="DT130" s="55"/>
      <c r="DU130" s="55"/>
      <c r="DV130" s="55"/>
      <c r="DW130" s="55"/>
      <c r="DX130" s="55"/>
      <c r="DY130" s="55"/>
      <c r="DZ130" s="55"/>
      <c r="EA130" s="55"/>
      <c r="EB130" s="55"/>
      <c r="EC130" s="55"/>
      <c r="ED130" s="55"/>
      <c r="EE130" s="55"/>
      <c r="EF130" s="55"/>
      <c r="EG130" s="55"/>
      <c r="EH130" s="55"/>
      <c r="EI130" s="55"/>
      <c r="EJ130" s="55"/>
      <c r="EK130" s="55"/>
      <c r="EL130" s="55"/>
      <c r="EM130" s="55"/>
      <c r="EN130" s="55"/>
      <c r="EO130" s="55"/>
      <c r="EP130" s="55"/>
      <c r="EQ130" s="55"/>
      <c r="ER130" s="55"/>
      <c r="ES130" s="55"/>
      <c r="ET130" s="55"/>
      <c r="EU130" s="55"/>
      <c r="EV130" s="55"/>
      <c r="EW130" s="55"/>
      <c r="EX130" s="55"/>
      <c r="EY130" s="55"/>
      <c r="EZ130" s="55"/>
      <c r="FA130" s="55"/>
      <c r="FB130" s="55"/>
      <c r="FC130" s="55"/>
      <c r="FD130" s="55"/>
      <c r="FE130" s="55"/>
      <c r="FF130" s="55"/>
      <c r="FG130" s="55"/>
      <c r="FH130" s="55"/>
      <c r="FI130" s="55"/>
      <c r="FJ130" s="55"/>
      <c r="FK130" s="55"/>
      <c r="FL130" s="55"/>
      <c r="FM130" s="55"/>
      <c r="FN130" s="55"/>
      <c r="FO130" s="55"/>
      <c r="FP130" s="55"/>
      <c r="FQ130" s="55"/>
      <c r="FR130" s="55"/>
      <c r="FS130" s="55"/>
      <c r="FT130" s="55"/>
      <c r="FU130" s="55"/>
      <c r="FV130" s="55"/>
      <c r="FW130" s="55"/>
      <c r="FX130" s="55"/>
      <c r="FY130" s="55"/>
      <c r="FZ130" s="55"/>
      <c r="GA130" s="55"/>
      <c r="GB130" s="55"/>
      <c r="GC130" s="55"/>
      <c r="GD130" s="55"/>
      <c r="GE130" s="55"/>
      <c r="GF130" s="55"/>
      <c r="GG130" s="55"/>
      <c r="GH130" s="55"/>
      <c r="GI130" s="55"/>
      <c r="GJ130" s="55"/>
      <c r="GK130" s="55"/>
      <c r="GL130" s="55"/>
      <c r="GM130" s="55"/>
      <c r="GN130" s="55"/>
      <c r="GO130" s="55"/>
      <c r="GP130" s="55"/>
      <c r="GQ130" s="55"/>
      <c r="GR130" s="55"/>
      <c r="GS130" s="55"/>
      <c r="GT130" s="55"/>
      <c r="GU130" s="55"/>
      <c r="GV130" s="55"/>
      <c r="GW130" s="55"/>
      <c r="GX130" s="55"/>
      <c r="GY130" s="55"/>
      <c r="GZ130" s="55"/>
      <c r="HA130" s="55"/>
      <c r="HB130" s="55"/>
      <c r="HC130" s="55"/>
      <c r="HD130" s="55"/>
      <c r="HE130" s="55"/>
      <c r="HF130" s="55"/>
      <c r="HG130" s="55"/>
      <c r="HH130" s="55"/>
      <c r="HI130" s="55"/>
      <c r="HJ130" s="55"/>
      <c r="HK130" s="55"/>
      <c r="HL130" s="55"/>
      <c r="HM130" s="55"/>
      <c r="HN130" s="55"/>
      <c r="HO130" s="55"/>
      <c r="HP130" s="55"/>
      <c r="HQ130" s="55"/>
      <c r="HR130" s="55"/>
      <c r="HS130" s="55"/>
      <c r="HT130" s="55"/>
      <c r="HU130" s="55"/>
      <c r="HV130" s="55"/>
      <c r="HW130" s="55"/>
      <c r="HX130" s="55"/>
      <c r="HY130" s="55"/>
      <c r="HZ130" s="55"/>
      <c r="IA130" s="55"/>
      <c r="IB130" s="55"/>
      <c r="IC130" s="55"/>
      <c r="ID130" s="55"/>
    </row>
    <row r="131" s="52" customFormat="1" ht="25.5" spans="1:238">
      <c r="A131" s="64"/>
      <c r="B131" s="64"/>
      <c r="C131" s="64"/>
      <c r="D131" s="65"/>
      <c r="E131" s="77"/>
      <c r="F131" s="77"/>
      <c r="G131" s="64"/>
      <c r="H131" s="42"/>
      <c r="I131" s="42"/>
      <c r="J131" s="84"/>
      <c r="K131" s="84"/>
      <c r="L131" s="84"/>
      <c r="M131" s="41"/>
      <c r="N131" s="41"/>
      <c r="O131" s="89"/>
      <c r="P131" s="64"/>
      <c r="Q131" s="64"/>
      <c r="R131" s="64"/>
      <c r="S131" s="83"/>
      <c r="T131" s="77"/>
      <c r="U131" s="105" t="s">
        <v>581</v>
      </c>
      <c r="V131" s="105">
        <v>31030008103</v>
      </c>
      <c r="W131" s="106" t="s">
        <v>582</v>
      </c>
      <c r="X131" s="105"/>
      <c r="Y131" s="105"/>
      <c r="Z131" s="105" t="s">
        <v>71</v>
      </c>
      <c r="AA131" s="110" t="s">
        <v>583</v>
      </c>
      <c r="AB131" s="50">
        <v>210</v>
      </c>
      <c r="AC131" s="50">
        <v>200</v>
      </c>
      <c r="AD131" s="50">
        <v>170</v>
      </c>
      <c r="AE131" s="112" t="s">
        <v>37</v>
      </c>
      <c r="AF131" s="60"/>
      <c r="AG131" s="55"/>
      <c r="AH131" s="55"/>
      <c r="AI131" s="55"/>
      <c r="AJ131" s="55"/>
      <c r="AK131" s="55"/>
      <c r="AL131" s="55"/>
      <c r="AM131" s="55"/>
      <c r="AN131" s="55"/>
      <c r="AO131" s="55"/>
      <c r="AP131" s="55"/>
      <c r="AQ131" s="55"/>
      <c r="AR131" s="55"/>
      <c r="AS131" s="55"/>
      <c r="AT131" s="55"/>
      <c r="AU131" s="55"/>
      <c r="AV131" s="55"/>
      <c r="AW131" s="55"/>
      <c r="AX131" s="55"/>
      <c r="AY131" s="55"/>
      <c r="AZ131" s="55"/>
      <c r="BA131" s="55"/>
      <c r="BB131" s="55"/>
      <c r="BC131" s="55"/>
      <c r="BD131" s="55"/>
      <c r="BE131" s="55"/>
      <c r="BF131" s="55"/>
      <c r="BG131" s="55"/>
      <c r="BH131" s="55"/>
      <c r="BI131" s="55"/>
      <c r="BJ131" s="55"/>
      <c r="BK131" s="55"/>
      <c r="BL131" s="55"/>
      <c r="BM131" s="55"/>
      <c r="BN131" s="55"/>
      <c r="BO131" s="55"/>
      <c r="BP131" s="55"/>
      <c r="BQ131" s="55"/>
      <c r="BR131" s="55"/>
      <c r="BS131" s="55"/>
      <c r="BT131" s="55"/>
      <c r="BU131" s="55"/>
      <c r="BV131" s="55"/>
      <c r="BW131" s="55"/>
      <c r="BX131" s="55"/>
      <c r="BY131" s="55"/>
      <c r="BZ131" s="55"/>
      <c r="CA131" s="55"/>
      <c r="CB131" s="55"/>
      <c r="CC131" s="55"/>
      <c r="CD131" s="55"/>
      <c r="CE131" s="55"/>
      <c r="CF131" s="55"/>
      <c r="CG131" s="55"/>
      <c r="CH131" s="55"/>
      <c r="CI131" s="55"/>
      <c r="CJ131" s="55"/>
      <c r="CK131" s="55"/>
      <c r="CL131" s="55"/>
      <c r="CM131" s="55"/>
      <c r="CN131" s="55"/>
      <c r="CO131" s="55"/>
      <c r="CP131" s="55"/>
      <c r="CQ131" s="55"/>
      <c r="CR131" s="55"/>
      <c r="CS131" s="55"/>
      <c r="CT131" s="55"/>
      <c r="CU131" s="55"/>
      <c r="CV131" s="55"/>
      <c r="CW131" s="55"/>
      <c r="CX131" s="55"/>
      <c r="CY131" s="55"/>
      <c r="CZ131" s="55"/>
      <c r="DA131" s="55"/>
      <c r="DB131" s="55"/>
      <c r="DC131" s="55"/>
      <c r="DD131" s="55"/>
      <c r="DE131" s="55"/>
      <c r="DF131" s="55"/>
      <c r="DG131" s="55"/>
      <c r="DH131" s="55"/>
      <c r="DI131" s="55"/>
      <c r="DJ131" s="55"/>
      <c r="DK131" s="55"/>
      <c r="DL131" s="55"/>
      <c r="DM131" s="55"/>
      <c r="DN131" s="55"/>
      <c r="DO131" s="55"/>
      <c r="DP131" s="55"/>
      <c r="DQ131" s="55"/>
      <c r="DR131" s="55"/>
      <c r="DS131" s="55"/>
      <c r="DT131" s="55"/>
      <c r="DU131" s="55"/>
      <c r="DV131" s="55"/>
      <c r="DW131" s="55"/>
      <c r="DX131" s="55"/>
      <c r="DY131" s="55"/>
      <c r="DZ131" s="55"/>
      <c r="EA131" s="55"/>
      <c r="EB131" s="55"/>
      <c r="EC131" s="55"/>
      <c r="ED131" s="55"/>
      <c r="EE131" s="55"/>
      <c r="EF131" s="55"/>
      <c r="EG131" s="55"/>
      <c r="EH131" s="55"/>
      <c r="EI131" s="55"/>
      <c r="EJ131" s="55"/>
      <c r="EK131" s="55"/>
      <c r="EL131" s="55"/>
      <c r="EM131" s="55"/>
      <c r="EN131" s="55"/>
      <c r="EO131" s="55"/>
      <c r="EP131" s="55"/>
      <c r="EQ131" s="55"/>
      <c r="ER131" s="55"/>
      <c r="ES131" s="55"/>
      <c r="ET131" s="55"/>
      <c r="EU131" s="55"/>
      <c r="EV131" s="55"/>
      <c r="EW131" s="55"/>
      <c r="EX131" s="55"/>
      <c r="EY131" s="55"/>
      <c r="EZ131" s="55"/>
      <c r="FA131" s="55"/>
      <c r="FB131" s="55"/>
      <c r="FC131" s="55"/>
      <c r="FD131" s="55"/>
      <c r="FE131" s="55"/>
      <c r="FF131" s="55"/>
      <c r="FG131" s="55"/>
      <c r="FH131" s="55"/>
      <c r="FI131" s="55"/>
      <c r="FJ131" s="55"/>
      <c r="FK131" s="55"/>
      <c r="FL131" s="55"/>
      <c r="FM131" s="55"/>
      <c r="FN131" s="55"/>
      <c r="FO131" s="55"/>
      <c r="FP131" s="55"/>
      <c r="FQ131" s="55"/>
      <c r="FR131" s="55"/>
      <c r="FS131" s="55"/>
      <c r="FT131" s="55"/>
      <c r="FU131" s="55"/>
      <c r="FV131" s="55"/>
      <c r="FW131" s="55"/>
      <c r="FX131" s="55"/>
      <c r="FY131" s="55"/>
      <c r="FZ131" s="55"/>
      <c r="GA131" s="55"/>
      <c r="GB131" s="55"/>
      <c r="GC131" s="55"/>
      <c r="GD131" s="55"/>
      <c r="GE131" s="55"/>
      <c r="GF131" s="55"/>
      <c r="GG131" s="55"/>
      <c r="GH131" s="55"/>
      <c r="GI131" s="55"/>
      <c r="GJ131" s="55"/>
      <c r="GK131" s="55"/>
      <c r="GL131" s="55"/>
      <c r="GM131" s="55"/>
      <c r="GN131" s="55"/>
      <c r="GO131" s="55"/>
      <c r="GP131" s="55"/>
      <c r="GQ131" s="55"/>
      <c r="GR131" s="55"/>
      <c r="GS131" s="55"/>
      <c r="GT131" s="55"/>
      <c r="GU131" s="55"/>
      <c r="GV131" s="55"/>
      <c r="GW131" s="55"/>
      <c r="GX131" s="55"/>
      <c r="GY131" s="55"/>
      <c r="GZ131" s="55"/>
      <c r="HA131" s="55"/>
      <c r="HB131" s="55"/>
      <c r="HC131" s="55"/>
      <c r="HD131" s="55"/>
      <c r="HE131" s="55"/>
      <c r="HF131" s="55"/>
      <c r="HG131" s="55"/>
      <c r="HH131" s="55"/>
      <c r="HI131" s="55"/>
      <c r="HJ131" s="55"/>
      <c r="HK131" s="55"/>
      <c r="HL131" s="55"/>
      <c r="HM131" s="55"/>
      <c r="HN131" s="55"/>
      <c r="HO131" s="55"/>
      <c r="HP131" s="55"/>
      <c r="HQ131" s="55"/>
      <c r="HR131" s="55"/>
      <c r="HS131" s="55"/>
      <c r="HT131" s="55"/>
      <c r="HU131" s="55"/>
      <c r="HV131" s="55"/>
      <c r="HW131" s="55"/>
      <c r="HX131" s="55"/>
      <c r="HY131" s="55"/>
      <c r="HZ131" s="55"/>
      <c r="IA131" s="55"/>
      <c r="IB131" s="55"/>
      <c r="IC131" s="55"/>
      <c r="ID131" s="55"/>
    </row>
    <row r="132" s="52" customFormat="1" ht="25.5" spans="1:238">
      <c r="A132" s="64"/>
      <c r="B132" s="64"/>
      <c r="C132" s="64"/>
      <c r="D132" s="65"/>
      <c r="E132" s="77"/>
      <c r="F132" s="77"/>
      <c r="G132" s="64"/>
      <c r="H132" s="42"/>
      <c r="I132" s="42"/>
      <c r="J132" s="84"/>
      <c r="K132" s="84"/>
      <c r="L132" s="84"/>
      <c r="M132" s="41"/>
      <c r="N132" s="41"/>
      <c r="O132" s="89"/>
      <c r="P132" s="64"/>
      <c r="Q132" s="64"/>
      <c r="R132" s="64"/>
      <c r="S132" s="83"/>
      <c r="T132" s="77"/>
      <c r="U132" s="105" t="s">
        <v>584</v>
      </c>
      <c r="V132" s="105">
        <v>310300080</v>
      </c>
      <c r="W132" s="106" t="s">
        <v>585</v>
      </c>
      <c r="X132" s="105"/>
      <c r="Y132" s="105"/>
      <c r="Z132" s="105" t="s">
        <v>71</v>
      </c>
      <c r="AA132" s="110" t="s">
        <v>571</v>
      </c>
      <c r="AB132" s="50">
        <v>210</v>
      </c>
      <c r="AC132" s="50">
        <v>200</v>
      </c>
      <c r="AD132" s="50">
        <v>170</v>
      </c>
      <c r="AE132" s="112" t="s">
        <v>37</v>
      </c>
      <c r="AF132" s="60"/>
      <c r="AG132" s="55"/>
      <c r="AH132" s="55"/>
      <c r="AI132" s="55"/>
      <c r="AJ132" s="55"/>
      <c r="AK132" s="55"/>
      <c r="AL132" s="55"/>
      <c r="AM132" s="55"/>
      <c r="AN132" s="55"/>
      <c r="AO132" s="55"/>
      <c r="AP132" s="55"/>
      <c r="AQ132" s="55"/>
      <c r="AR132" s="55"/>
      <c r="AS132" s="55"/>
      <c r="AT132" s="55"/>
      <c r="AU132" s="55"/>
      <c r="AV132" s="55"/>
      <c r="AW132" s="55"/>
      <c r="AX132" s="55"/>
      <c r="AY132" s="55"/>
      <c r="AZ132" s="55"/>
      <c r="BA132" s="55"/>
      <c r="BB132" s="55"/>
      <c r="BC132" s="55"/>
      <c r="BD132" s="55"/>
      <c r="BE132" s="55"/>
      <c r="BF132" s="55"/>
      <c r="BG132" s="55"/>
      <c r="BH132" s="55"/>
      <c r="BI132" s="55"/>
      <c r="BJ132" s="55"/>
      <c r="BK132" s="55"/>
      <c r="BL132" s="55"/>
      <c r="BM132" s="55"/>
      <c r="BN132" s="55"/>
      <c r="BO132" s="55"/>
      <c r="BP132" s="55"/>
      <c r="BQ132" s="55"/>
      <c r="BR132" s="55"/>
      <c r="BS132" s="55"/>
      <c r="BT132" s="55"/>
      <c r="BU132" s="55"/>
      <c r="BV132" s="55"/>
      <c r="BW132" s="55"/>
      <c r="BX132" s="55"/>
      <c r="BY132" s="55"/>
      <c r="BZ132" s="55"/>
      <c r="CA132" s="55"/>
      <c r="CB132" s="55"/>
      <c r="CC132" s="55"/>
      <c r="CD132" s="55"/>
      <c r="CE132" s="55"/>
      <c r="CF132" s="55"/>
      <c r="CG132" s="55"/>
      <c r="CH132" s="55"/>
      <c r="CI132" s="55"/>
      <c r="CJ132" s="55"/>
      <c r="CK132" s="55"/>
      <c r="CL132" s="55"/>
      <c r="CM132" s="55"/>
      <c r="CN132" s="55"/>
      <c r="CO132" s="55"/>
      <c r="CP132" s="55"/>
      <c r="CQ132" s="55"/>
      <c r="CR132" s="55"/>
      <c r="CS132" s="55"/>
      <c r="CT132" s="55"/>
      <c r="CU132" s="55"/>
      <c r="CV132" s="55"/>
      <c r="CW132" s="55"/>
      <c r="CX132" s="55"/>
      <c r="CY132" s="55"/>
      <c r="CZ132" s="55"/>
      <c r="DA132" s="55"/>
      <c r="DB132" s="55"/>
      <c r="DC132" s="55"/>
      <c r="DD132" s="55"/>
      <c r="DE132" s="55"/>
      <c r="DF132" s="55"/>
      <c r="DG132" s="55"/>
      <c r="DH132" s="55"/>
      <c r="DI132" s="55"/>
      <c r="DJ132" s="55"/>
      <c r="DK132" s="55"/>
      <c r="DL132" s="55"/>
      <c r="DM132" s="55"/>
      <c r="DN132" s="55"/>
      <c r="DO132" s="55"/>
      <c r="DP132" s="55"/>
      <c r="DQ132" s="55"/>
      <c r="DR132" s="55"/>
      <c r="DS132" s="55"/>
      <c r="DT132" s="55"/>
      <c r="DU132" s="55"/>
      <c r="DV132" s="55"/>
      <c r="DW132" s="55"/>
      <c r="DX132" s="55"/>
      <c r="DY132" s="55"/>
      <c r="DZ132" s="55"/>
      <c r="EA132" s="55"/>
      <c r="EB132" s="55"/>
      <c r="EC132" s="55"/>
      <c r="ED132" s="55"/>
      <c r="EE132" s="55"/>
      <c r="EF132" s="55"/>
      <c r="EG132" s="55"/>
      <c r="EH132" s="55"/>
      <c r="EI132" s="55"/>
      <c r="EJ132" s="55"/>
      <c r="EK132" s="55"/>
      <c r="EL132" s="55"/>
      <c r="EM132" s="55"/>
      <c r="EN132" s="55"/>
      <c r="EO132" s="55"/>
      <c r="EP132" s="55"/>
      <c r="EQ132" s="55"/>
      <c r="ER132" s="55"/>
      <c r="ES132" s="55"/>
      <c r="ET132" s="55"/>
      <c r="EU132" s="55"/>
      <c r="EV132" s="55"/>
      <c r="EW132" s="55"/>
      <c r="EX132" s="55"/>
      <c r="EY132" s="55"/>
      <c r="EZ132" s="55"/>
      <c r="FA132" s="55"/>
      <c r="FB132" s="55"/>
      <c r="FC132" s="55"/>
      <c r="FD132" s="55"/>
      <c r="FE132" s="55"/>
      <c r="FF132" s="55"/>
      <c r="FG132" s="55"/>
      <c r="FH132" s="55"/>
      <c r="FI132" s="55"/>
      <c r="FJ132" s="55"/>
      <c r="FK132" s="55"/>
      <c r="FL132" s="55"/>
      <c r="FM132" s="55"/>
      <c r="FN132" s="55"/>
      <c r="FO132" s="55"/>
      <c r="FP132" s="55"/>
      <c r="FQ132" s="55"/>
      <c r="FR132" s="55"/>
      <c r="FS132" s="55"/>
      <c r="FT132" s="55"/>
      <c r="FU132" s="55"/>
      <c r="FV132" s="55"/>
      <c r="FW132" s="55"/>
      <c r="FX132" s="55"/>
      <c r="FY132" s="55"/>
      <c r="FZ132" s="55"/>
      <c r="GA132" s="55"/>
      <c r="GB132" s="55"/>
      <c r="GC132" s="55"/>
      <c r="GD132" s="55"/>
      <c r="GE132" s="55"/>
      <c r="GF132" s="55"/>
      <c r="GG132" s="55"/>
      <c r="GH132" s="55"/>
      <c r="GI132" s="55"/>
      <c r="GJ132" s="55"/>
      <c r="GK132" s="55"/>
      <c r="GL132" s="55"/>
      <c r="GM132" s="55"/>
      <c r="GN132" s="55"/>
      <c r="GO132" s="55"/>
      <c r="GP132" s="55"/>
      <c r="GQ132" s="55"/>
      <c r="GR132" s="55"/>
      <c r="GS132" s="55"/>
      <c r="GT132" s="55"/>
      <c r="GU132" s="55"/>
      <c r="GV132" s="55"/>
      <c r="GW132" s="55"/>
      <c r="GX132" s="55"/>
      <c r="GY132" s="55"/>
      <c r="GZ132" s="55"/>
      <c r="HA132" s="55"/>
      <c r="HB132" s="55"/>
      <c r="HC132" s="55"/>
      <c r="HD132" s="55"/>
      <c r="HE132" s="55"/>
      <c r="HF132" s="55"/>
      <c r="HG132" s="55"/>
      <c r="HH132" s="55"/>
      <c r="HI132" s="55"/>
      <c r="HJ132" s="55"/>
      <c r="HK132" s="55"/>
      <c r="HL132" s="55"/>
      <c r="HM132" s="55"/>
      <c r="HN132" s="55"/>
      <c r="HO132" s="55"/>
      <c r="HP132" s="55"/>
      <c r="HQ132" s="55"/>
      <c r="HR132" s="55"/>
      <c r="HS132" s="55"/>
      <c r="HT132" s="55"/>
      <c r="HU132" s="55"/>
      <c r="HV132" s="55"/>
      <c r="HW132" s="55"/>
      <c r="HX132" s="55"/>
      <c r="HY132" s="55"/>
      <c r="HZ132" s="55"/>
      <c r="IA132" s="55"/>
      <c r="IB132" s="55"/>
      <c r="IC132" s="55"/>
      <c r="ID132" s="55"/>
    </row>
    <row r="133" s="52" customFormat="1" ht="25.5" spans="1:238">
      <c r="A133" s="64"/>
      <c r="B133" s="64"/>
      <c r="C133" s="64"/>
      <c r="D133" s="65"/>
      <c r="E133" s="77"/>
      <c r="F133" s="77"/>
      <c r="G133" s="64"/>
      <c r="H133" s="42"/>
      <c r="I133" s="42"/>
      <c r="J133" s="84"/>
      <c r="K133" s="84"/>
      <c r="L133" s="84"/>
      <c r="M133" s="41"/>
      <c r="N133" s="41"/>
      <c r="O133" s="89"/>
      <c r="P133" s="64"/>
      <c r="Q133" s="64"/>
      <c r="R133" s="64"/>
      <c r="S133" s="83"/>
      <c r="T133" s="77"/>
      <c r="U133" s="105" t="s">
        <v>586</v>
      </c>
      <c r="V133" s="105">
        <v>31030008001</v>
      </c>
      <c r="W133" s="106" t="s">
        <v>587</v>
      </c>
      <c r="X133" s="105"/>
      <c r="Y133" s="105"/>
      <c r="Z133" s="105" t="s">
        <v>71</v>
      </c>
      <c r="AA133" s="110" t="s">
        <v>588</v>
      </c>
      <c r="AB133" s="50">
        <v>315</v>
      </c>
      <c r="AC133" s="50">
        <v>300</v>
      </c>
      <c r="AD133" s="50">
        <v>255</v>
      </c>
      <c r="AE133" s="112" t="s">
        <v>37</v>
      </c>
      <c r="AF133" s="60"/>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c r="BZ133" s="55"/>
      <c r="CA133" s="55"/>
      <c r="CB133" s="55"/>
      <c r="CC133" s="55"/>
      <c r="CD133" s="55"/>
      <c r="CE133" s="55"/>
      <c r="CF133" s="55"/>
      <c r="CG133" s="55"/>
      <c r="CH133" s="55"/>
      <c r="CI133" s="55"/>
      <c r="CJ133" s="55"/>
      <c r="CK133" s="55"/>
      <c r="CL133" s="55"/>
      <c r="CM133" s="55"/>
      <c r="CN133" s="55"/>
      <c r="CO133" s="55"/>
      <c r="CP133" s="55"/>
      <c r="CQ133" s="55"/>
      <c r="CR133" s="55"/>
      <c r="CS133" s="55"/>
      <c r="CT133" s="55"/>
      <c r="CU133" s="55"/>
      <c r="CV133" s="55"/>
      <c r="CW133" s="55"/>
      <c r="CX133" s="55"/>
      <c r="CY133" s="55"/>
      <c r="CZ133" s="55"/>
      <c r="DA133" s="55"/>
      <c r="DB133" s="55"/>
      <c r="DC133" s="55"/>
      <c r="DD133" s="55"/>
      <c r="DE133" s="55"/>
      <c r="DF133" s="55"/>
      <c r="DG133" s="55"/>
      <c r="DH133" s="55"/>
      <c r="DI133" s="55"/>
      <c r="DJ133" s="55"/>
      <c r="DK133" s="55"/>
      <c r="DL133" s="55"/>
      <c r="DM133" s="55"/>
      <c r="DN133" s="55"/>
      <c r="DO133" s="55"/>
      <c r="DP133" s="55"/>
      <c r="DQ133" s="55"/>
      <c r="DR133" s="55"/>
      <c r="DS133" s="55"/>
      <c r="DT133" s="55"/>
      <c r="DU133" s="55"/>
      <c r="DV133" s="55"/>
      <c r="DW133" s="55"/>
      <c r="DX133" s="55"/>
      <c r="DY133" s="55"/>
      <c r="DZ133" s="55"/>
      <c r="EA133" s="55"/>
      <c r="EB133" s="55"/>
      <c r="EC133" s="55"/>
      <c r="ED133" s="55"/>
      <c r="EE133" s="55"/>
      <c r="EF133" s="55"/>
      <c r="EG133" s="55"/>
      <c r="EH133" s="55"/>
      <c r="EI133" s="55"/>
      <c r="EJ133" s="55"/>
      <c r="EK133" s="55"/>
      <c r="EL133" s="55"/>
      <c r="EM133" s="55"/>
      <c r="EN133" s="55"/>
      <c r="EO133" s="55"/>
      <c r="EP133" s="55"/>
      <c r="EQ133" s="55"/>
      <c r="ER133" s="55"/>
      <c r="ES133" s="55"/>
      <c r="ET133" s="55"/>
      <c r="EU133" s="55"/>
      <c r="EV133" s="55"/>
      <c r="EW133" s="55"/>
      <c r="EX133" s="55"/>
      <c r="EY133" s="55"/>
      <c r="EZ133" s="55"/>
      <c r="FA133" s="55"/>
      <c r="FB133" s="55"/>
      <c r="FC133" s="55"/>
      <c r="FD133" s="55"/>
      <c r="FE133" s="55"/>
      <c r="FF133" s="55"/>
      <c r="FG133" s="55"/>
      <c r="FH133" s="55"/>
      <c r="FI133" s="55"/>
      <c r="FJ133" s="55"/>
      <c r="FK133" s="55"/>
      <c r="FL133" s="55"/>
      <c r="FM133" s="55"/>
      <c r="FN133" s="55"/>
      <c r="FO133" s="55"/>
      <c r="FP133" s="55"/>
      <c r="FQ133" s="55"/>
      <c r="FR133" s="55"/>
      <c r="FS133" s="55"/>
      <c r="FT133" s="55"/>
      <c r="FU133" s="55"/>
      <c r="FV133" s="55"/>
      <c r="FW133" s="55"/>
      <c r="FX133" s="55"/>
      <c r="FY133" s="55"/>
      <c r="FZ133" s="55"/>
      <c r="GA133" s="55"/>
      <c r="GB133" s="55"/>
      <c r="GC133" s="55"/>
      <c r="GD133" s="55"/>
      <c r="GE133" s="55"/>
      <c r="GF133" s="55"/>
      <c r="GG133" s="55"/>
      <c r="GH133" s="55"/>
      <c r="GI133" s="55"/>
      <c r="GJ133" s="55"/>
      <c r="GK133" s="55"/>
      <c r="GL133" s="55"/>
      <c r="GM133" s="55"/>
      <c r="GN133" s="55"/>
      <c r="GO133" s="55"/>
      <c r="GP133" s="55"/>
      <c r="GQ133" s="55"/>
      <c r="GR133" s="55"/>
      <c r="GS133" s="55"/>
      <c r="GT133" s="55"/>
      <c r="GU133" s="55"/>
      <c r="GV133" s="55"/>
      <c r="GW133" s="55"/>
      <c r="GX133" s="55"/>
      <c r="GY133" s="55"/>
      <c r="GZ133" s="55"/>
      <c r="HA133" s="55"/>
      <c r="HB133" s="55"/>
      <c r="HC133" s="55"/>
      <c r="HD133" s="55"/>
      <c r="HE133" s="55"/>
      <c r="HF133" s="55"/>
      <c r="HG133" s="55"/>
      <c r="HH133" s="55"/>
      <c r="HI133" s="55"/>
      <c r="HJ133" s="55"/>
      <c r="HK133" s="55"/>
      <c r="HL133" s="55"/>
      <c r="HM133" s="55"/>
      <c r="HN133" s="55"/>
      <c r="HO133" s="55"/>
      <c r="HP133" s="55"/>
      <c r="HQ133" s="55"/>
      <c r="HR133" s="55"/>
      <c r="HS133" s="55"/>
      <c r="HT133" s="55"/>
      <c r="HU133" s="55"/>
      <c r="HV133" s="55"/>
      <c r="HW133" s="55"/>
      <c r="HX133" s="55"/>
      <c r="HY133" s="55"/>
      <c r="HZ133" s="55"/>
      <c r="IA133" s="55"/>
      <c r="IB133" s="55"/>
      <c r="IC133" s="55"/>
      <c r="ID133" s="55"/>
    </row>
    <row r="134" s="52" customFormat="1" ht="25.5" spans="1:238">
      <c r="A134" s="64"/>
      <c r="B134" s="64"/>
      <c r="C134" s="64"/>
      <c r="D134" s="65"/>
      <c r="E134" s="77"/>
      <c r="F134" s="77"/>
      <c r="G134" s="64"/>
      <c r="H134" s="42"/>
      <c r="I134" s="42"/>
      <c r="J134" s="84"/>
      <c r="K134" s="84"/>
      <c r="L134" s="84"/>
      <c r="M134" s="41"/>
      <c r="N134" s="41"/>
      <c r="O134" s="89"/>
      <c r="P134" s="64"/>
      <c r="Q134" s="64"/>
      <c r="R134" s="64"/>
      <c r="S134" s="83"/>
      <c r="T134" s="77"/>
      <c r="U134" s="105" t="s">
        <v>589</v>
      </c>
      <c r="V134" s="105">
        <v>330405010</v>
      </c>
      <c r="W134" s="106" t="s">
        <v>590</v>
      </c>
      <c r="X134" s="105" t="s">
        <v>591</v>
      </c>
      <c r="Y134" s="105"/>
      <c r="Z134" s="105" t="s">
        <v>110</v>
      </c>
      <c r="AA134" s="110" t="s">
        <v>592</v>
      </c>
      <c r="AB134" s="50">
        <v>625</v>
      </c>
      <c r="AC134" s="50">
        <v>600</v>
      </c>
      <c r="AD134" s="50">
        <v>510</v>
      </c>
      <c r="AE134" s="112" t="s">
        <v>37</v>
      </c>
      <c r="AF134" s="60"/>
      <c r="AG134" s="55"/>
      <c r="AH134" s="55"/>
      <c r="AI134" s="55"/>
      <c r="AJ134" s="55"/>
      <c r="AK134" s="55"/>
      <c r="AL134" s="55"/>
      <c r="AM134" s="55"/>
      <c r="AN134" s="55"/>
      <c r="AO134" s="55"/>
      <c r="AP134" s="55"/>
      <c r="AQ134" s="55"/>
      <c r="AR134" s="55"/>
      <c r="AS134" s="55"/>
      <c r="AT134" s="55"/>
      <c r="AU134" s="55"/>
      <c r="AV134" s="55"/>
      <c r="AW134" s="55"/>
      <c r="AX134" s="55"/>
      <c r="AY134" s="55"/>
      <c r="AZ134" s="55"/>
      <c r="BA134" s="55"/>
      <c r="BB134" s="55"/>
      <c r="BC134" s="55"/>
      <c r="BD134" s="55"/>
      <c r="BE134" s="55"/>
      <c r="BF134" s="55"/>
      <c r="BG134" s="55"/>
      <c r="BH134" s="55"/>
      <c r="BI134" s="55"/>
      <c r="BJ134" s="55"/>
      <c r="BK134" s="55"/>
      <c r="BL134" s="55"/>
      <c r="BM134" s="55"/>
      <c r="BN134" s="55"/>
      <c r="BO134" s="55"/>
      <c r="BP134" s="55"/>
      <c r="BQ134" s="55"/>
      <c r="BR134" s="55"/>
      <c r="BS134" s="55"/>
      <c r="BT134" s="55"/>
      <c r="BU134" s="55"/>
      <c r="BV134" s="55"/>
      <c r="BW134" s="55"/>
      <c r="BX134" s="55"/>
      <c r="BY134" s="55"/>
      <c r="BZ134" s="55"/>
      <c r="CA134" s="55"/>
      <c r="CB134" s="55"/>
      <c r="CC134" s="55"/>
      <c r="CD134" s="55"/>
      <c r="CE134" s="55"/>
      <c r="CF134" s="55"/>
      <c r="CG134" s="55"/>
      <c r="CH134" s="55"/>
      <c r="CI134" s="55"/>
      <c r="CJ134" s="55"/>
      <c r="CK134" s="55"/>
      <c r="CL134" s="55"/>
      <c r="CM134" s="55"/>
      <c r="CN134" s="55"/>
      <c r="CO134" s="55"/>
      <c r="CP134" s="55"/>
      <c r="CQ134" s="55"/>
      <c r="CR134" s="55"/>
      <c r="CS134" s="55"/>
      <c r="CT134" s="55"/>
      <c r="CU134" s="55"/>
      <c r="CV134" s="55"/>
      <c r="CW134" s="55"/>
      <c r="CX134" s="55"/>
      <c r="CY134" s="55"/>
      <c r="CZ134" s="55"/>
      <c r="DA134" s="55"/>
      <c r="DB134" s="55"/>
      <c r="DC134" s="55"/>
      <c r="DD134" s="55"/>
      <c r="DE134" s="55"/>
      <c r="DF134" s="55"/>
      <c r="DG134" s="55"/>
      <c r="DH134" s="55"/>
      <c r="DI134" s="55"/>
      <c r="DJ134" s="55"/>
      <c r="DK134" s="55"/>
      <c r="DL134" s="55"/>
      <c r="DM134" s="55"/>
      <c r="DN134" s="55"/>
      <c r="DO134" s="55"/>
      <c r="DP134" s="55"/>
      <c r="DQ134" s="55"/>
      <c r="DR134" s="55"/>
      <c r="DS134" s="55"/>
      <c r="DT134" s="55"/>
      <c r="DU134" s="55"/>
      <c r="DV134" s="55"/>
      <c r="DW134" s="55"/>
      <c r="DX134" s="55"/>
      <c r="DY134" s="55"/>
      <c r="DZ134" s="55"/>
      <c r="EA134" s="55"/>
      <c r="EB134" s="55"/>
      <c r="EC134" s="55"/>
      <c r="ED134" s="55"/>
      <c r="EE134" s="55"/>
      <c r="EF134" s="55"/>
      <c r="EG134" s="55"/>
      <c r="EH134" s="55"/>
      <c r="EI134" s="55"/>
      <c r="EJ134" s="55"/>
      <c r="EK134" s="55"/>
      <c r="EL134" s="55"/>
      <c r="EM134" s="55"/>
      <c r="EN134" s="55"/>
      <c r="EO134" s="55"/>
      <c r="EP134" s="55"/>
      <c r="EQ134" s="55"/>
      <c r="ER134" s="55"/>
      <c r="ES134" s="55"/>
      <c r="ET134" s="55"/>
      <c r="EU134" s="55"/>
      <c r="EV134" s="55"/>
      <c r="EW134" s="55"/>
      <c r="EX134" s="55"/>
      <c r="EY134" s="55"/>
      <c r="EZ134" s="55"/>
      <c r="FA134" s="55"/>
      <c r="FB134" s="55"/>
      <c r="FC134" s="55"/>
      <c r="FD134" s="55"/>
      <c r="FE134" s="55"/>
      <c r="FF134" s="55"/>
      <c r="FG134" s="55"/>
      <c r="FH134" s="55"/>
      <c r="FI134" s="55"/>
      <c r="FJ134" s="55"/>
      <c r="FK134" s="55"/>
      <c r="FL134" s="55"/>
      <c r="FM134" s="55"/>
      <c r="FN134" s="55"/>
      <c r="FO134" s="55"/>
      <c r="FP134" s="55"/>
      <c r="FQ134" s="55"/>
      <c r="FR134" s="55"/>
      <c r="FS134" s="55"/>
      <c r="FT134" s="55"/>
      <c r="FU134" s="55"/>
      <c r="FV134" s="55"/>
      <c r="FW134" s="55"/>
      <c r="FX134" s="55"/>
      <c r="FY134" s="55"/>
      <c r="FZ134" s="55"/>
      <c r="GA134" s="55"/>
      <c r="GB134" s="55"/>
      <c r="GC134" s="55"/>
      <c r="GD134" s="55"/>
      <c r="GE134" s="55"/>
      <c r="GF134" s="55"/>
      <c r="GG134" s="55"/>
      <c r="GH134" s="55"/>
      <c r="GI134" s="55"/>
      <c r="GJ134" s="55"/>
      <c r="GK134" s="55"/>
      <c r="GL134" s="55"/>
      <c r="GM134" s="55"/>
      <c r="GN134" s="55"/>
      <c r="GO134" s="55"/>
      <c r="GP134" s="55"/>
      <c r="GQ134" s="55"/>
      <c r="GR134" s="55"/>
      <c r="GS134" s="55"/>
      <c r="GT134" s="55"/>
      <c r="GU134" s="55"/>
      <c r="GV134" s="55"/>
      <c r="GW134" s="55"/>
      <c r="GX134" s="55"/>
      <c r="GY134" s="55"/>
      <c r="GZ134" s="55"/>
      <c r="HA134" s="55"/>
      <c r="HB134" s="55"/>
      <c r="HC134" s="55"/>
      <c r="HD134" s="55"/>
      <c r="HE134" s="55"/>
      <c r="HF134" s="55"/>
      <c r="HG134" s="55"/>
      <c r="HH134" s="55"/>
      <c r="HI134" s="55"/>
      <c r="HJ134" s="55"/>
      <c r="HK134" s="55"/>
      <c r="HL134" s="55"/>
      <c r="HM134" s="55"/>
      <c r="HN134" s="55"/>
      <c r="HO134" s="55"/>
      <c r="HP134" s="55"/>
      <c r="HQ134" s="55"/>
      <c r="HR134" s="55"/>
      <c r="HS134" s="55"/>
      <c r="HT134" s="55"/>
      <c r="HU134" s="55"/>
      <c r="HV134" s="55"/>
      <c r="HW134" s="55"/>
      <c r="HX134" s="55"/>
      <c r="HY134" s="55"/>
      <c r="HZ134" s="55"/>
      <c r="IA134" s="55"/>
      <c r="IB134" s="55"/>
      <c r="IC134" s="55"/>
      <c r="ID134" s="55"/>
    </row>
    <row r="135" s="52" customFormat="1" ht="25.5" spans="1:238">
      <c r="A135" s="64"/>
      <c r="B135" s="64"/>
      <c r="C135" s="64"/>
      <c r="D135" s="65"/>
      <c r="E135" s="77"/>
      <c r="F135" s="77"/>
      <c r="G135" s="64"/>
      <c r="H135" s="42"/>
      <c r="I135" s="42"/>
      <c r="J135" s="84"/>
      <c r="K135" s="84"/>
      <c r="L135" s="84"/>
      <c r="M135" s="41"/>
      <c r="N135" s="41"/>
      <c r="O135" s="89"/>
      <c r="P135" s="64"/>
      <c r="Q135" s="64"/>
      <c r="R135" s="64"/>
      <c r="S135" s="83"/>
      <c r="T135" s="77"/>
      <c r="U135" s="105" t="s">
        <v>593</v>
      </c>
      <c r="V135" s="105">
        <v>33040501001</v>
      </c>
      <c r="W135" s="106" t="s">
        <v>594</v>
      </c>
      <c r="X135" s="105"/>
      <c r="Y135" s="105"/>
      <c r="Z135" s="105" t="s">
        <v>110</v>
      </c>
      <c r="AA135" s="110" t="s">
        <v>595</v>
      </c>
      <c r="AB135" s="50">
        <v>750</v>
      </c>
      <c r="AC135" s="50">
        <v>720</v>
      </c>
      <c r="AD135" s="50">
        <v>612</v>
      </c>
      <c r="AE135" s="112" t="s">
        <v>37</v>
      </c>
      <c r="AF135" s="60"/>
      <c r="AG135" s="55"/>
      <c r="AH135" s="55"/>
      <c r="AI135" s="55"/>
      <c r="AJ135" s="55"/>
      <c r="AK135" s="55"/>
      <c r="AL135" s="55"/>
      <c r="AM135" s="55"/>
      <c r="AN135" s="55"/>
      <c r="AO135" s="55"/>
      <c r="AP135" s="55"/>
      <c r="AQ135" s="55"/>
      <c r="AR135" s="55"/>
      <c r="AS135" s="55"/>
      <c r="AT135" s="55"/>
      <c r="AU135" s="55"/>
      <c r="AV135" s="55"/>
      <c r="AW135" s="55"/>
      <c r="AX135" s="55"/>
      <c r="AY135" s="55"/>
      <c r="AZ135" s="55"/>
      <c r="BA135" s="55"/>
      <c r="BB135" s="55"/>
      <c r="BC135" s="55"/>
      <c r="BD135" s="55"/>
      <c r="BE135" s="55"/>
      <c r="BF135" s="55"/>
      <c r="BG135" s="55"/>
      <c r="BH135" s="55"/>
      <c r="BI135" s="55"/>
      <c r="BJ135" s="55"/>
      <c r="BK135" s="55"/>
      <c r="BL135" s="55"/>
      <c r="BM135" s="55"/>
      <c r="BN135" s="55"/>
      <c r="BO135" s="55"/>
      <c r="BP135" s="55"/>
      <c r="BQ135" s="55"/>
      <c r="BR135" s="55"/>
      <c r="BS135" s="55"/>
      <c r="BT135" s="55"/>
      <c r="BU135" s="55"/>
      <c r="BV135" s="55"/>
      <c r="BW135" s="55"/>
      <c r="BX135" s="55"/>
      <c r="BY135" s="55"/>
      <c r="BZ135" s="55"/>
      <c r="CA135" s="55"/>
      <c r="CB135" s="55"/>
      <c r="CC135" s="55"/>
      <c r="CD135" s="55"/>
      <c r="CE135" s="55"/>
      <c r="CF135" s="55"/>
      <c r="CG135" s="55"/>
      <c r="CH135" s="55"/>
      <c r="CI135" s="55"/>
      <c r="CJ135" s="55"/>
      <c r="CK135" s="55"/>
      <c r="CL135" s="55"/>
      <c r="CM135" s="55"/>
      <c r="CN135" s="55"/>
      <c r="CO135" s="55"/>
      <c r="CP135" s="55"/>
      <c r="CQ135" s="55"/>
      <c r="CR135" s="55"/>
      <c r="CS135" s="55"/>
      <c r="CT135" s="55"/>
      <c r="CU135" s="55"/>
      <c r="CV135" s="55"/>
      <c r="CW135" s="55"/>
      <c r="CX135" s="55"/>
      <c r="CY135" s="55"/>
      <c r="CZ135" s="55"/>
      <c r="DA135" s="55"/>
      <c r="DB135" s="55"/>
      <c r="DC135" s="55"/>
      <c r="DD135" s="55"/>
      <c r="DE135" s="55"/>
      <c r="DF135" s="55"/>
      <c r="DG135" s="55"/>
      <c r="DH135" s="55"/>
      <c r="DI135" s="55"/>
      <c r="DJ135" s="55"/>
      <c r="DK135" s="55"/>
      <c r="DL135" s="55"/>
      <c r="DM135" s="55"/>
      <c r="DN135" s="55"/>
      <c r="DO135" s="55"/>
      <c r="DP135" s="55"/>
      <c r="DQ135" s="55"/>
      <c r="DR135" s="55"/>
      <c r="DS135" s="55"/>
      <c r="DT135" s="55"/>
      <c r="DU135" s="55"/>
      <c r="DV135" s="55"/>
      <c r="DW135" s="55"/>
      <c r="DX135" s="55"/>
      <c r="DY135" s="55"/>
      <c r="DZ135" s="55"/>
      <c r="EA135" s="55"/>
      <c r="EB135" s="55"/>
      <c r="EC135" s="55"/>
      <c r="ED135" s="55"/>
      <c r="EE135" s="55"/>
      <c r="EF135" s="55"/>
      <c r="EG135" s="55"/>
      <c r="EH135" s="55"/>
      <c r="EI135" s="55"/>
      <c r="EJ135" s="55"/>
      <c r="EK135" s="55"/>
      <c r="EL135" s="55"/>
      <c r="EM135" s="55"/>
      <c r="EN135" s="55"/>
      <c r="EO135" s="55"/>
      <c r="EP135" s="55"/>
      <c r="EQ135" s="55"/>
      <c r="ER135" s="55"/>
      <c r="ES135" s="55"/>
      <c r="ET135" s="55"/>
      <c r="EU135" s="55"/>
      <c r="EV135" s="55"/>
      <c r="EW135" s="55"/>
      <c r="EX135" s="55"/>
      <c r="EY135" s="55"/>
      <c r="EZ135" s="55"/>
      <c r="FA135" s="55"/>
      <c r="FB135" s="55"/>
      <c r="FC135" s="55"/>
      <c r="FD135" s="55"/>
      <c r="FE135" s="55"/>
      <c r="FF135" s="55"/>
      <c r="FG135" s="55"/>
      <c r="FH135" s="55"/>
      <c r="FI135" s="55"/>
      <c r="FJ135" s="55"/>
      <c r="FK135" s="55"/>
      <c r="FL135" s="55"/>
      <c r="FM135" s="55"/>
      <c r="FN135" s="55"/>
      <c r="FO135" s="55"/>
      <c r="FP135" s="55"/>
      <c r="FQ135" s="55"/>
      <c r="FR135" s="55"/>
      <c r="FS135" s="55"/>
      <c r="FT135" s="55"/>
      <c r="FU135" s="55"/>
      <c r="FV135" s="55"/>
      <c r="FW135" s="55"/>
      <c r="FX135" s="55"/>
      <c r="FY135" s="55"/>
      <c r="FZ135" s="55"/>
      <c r="GA135" s="55"/>
      <c r="GB135" s="55"/>
      <c r="GC135" s="55"/>
      <c r="GD135" s="55"/>
      <c r="GE135" s="55"/>
      <c r="GF135" s="55"/>
      <c r="GG135" s="55"/>
      <c r="GH135" s="55"/>
      <c r="GI135" s="55"/>
      <c r="GJ135" s="55"/>
      <c r="GK135" s="55"/>
      <c r="GL135" s="55"/>
      <c r="GM135" s="55"/>
      <c r="GN135" s="55"/>
      <c r="GO135" s="55"/>
      <c r="GP135" s="55"/>
      <c r="GQ135" s="55"/>
      <c r="GR135" s="55"/>
      <c r="GS135" s="55"/>
      <c r="GT135" s="55"/>
      <c r="GU135" s="55"/>
      <c r="GV135" s="55"/>
      <c r="GW135" s="55"/>
      <c r="GX135" s="55"/>
      <c r="GY135" s="55"/>
      <c r="GZ135" s="55"/>
      <c r="HA135" s="55"/>
      <c r="HB135" s="55"/>
      <c r="HC135" s="55"/>
      <c r="HD135" s="55"/>
      <c r="HE135" s="55"/>
      <c r="HF135" s="55"/>
      <c r="HG135" s="55"/>
      <c r="HH135" s="55"/>
      <c r="HI135" s="55"/>
      <c r="HJ135" s="55"/>
      <c r="HK135" s="55"/>
      <c r="HL135" s="55"/>
      <c r="HM135" s="55"/>
      <c r="HN135" s="55"/>
      <c r="HO135" s="55"/>
      <c r="HP135" s="55"/>
      <c r="HQ135" s="55"/>
      <c r="HR135" s="55"/>
      <c r="HS135" s="55"/>
      <c r="HT135" s="55"/>
      <c r="HU135" s="55"/>
      <c r="HV135" s="55"/>
      <c r="HW135" s="55"/>
      <c r="HX135" s="55"/>
      <c r="HY135" s="55"/>
      <c r="HZ135" s="55"/>
      <c r="IA135" s="55"/>
      <c r="IB135" s="55"/>
      <c r="IC135" s="55"/>
      <c r="ID135" s="55"/>
    </row>
    <row r="136" s="52" customFormat="1" ht="25.5" spans="1:238">
      <c r="A136" s="64"/>
      <c r="B136" s="64"/>
      <c r="C136" s="64"/>
      <c r="D136" s="65"/>
      <c r="E136" s="77"/>
      <c r="F136" s="77"/>
      <c r="G136" s="64"/>
      <c r="H136" s="42"/>
      <c r="I136" s="42"/>
      <c r="J136" s="84"/>
      <c r="K136" s="84"/>
      <c r="L136" s="84"/>
      <c r="M136" s="41"/>
      <c r="N136" s="41"/>
      <c r="O136" s="89"/>
      <c r="P136" s="64"/>
      <c r="Q136" s="64"/>
      <c r="R136" s="64"/>
      <c r="S136" s="83"/>
      <c r="T136" s="77"/>
      <c r="U136" s="105" t="s">
        <v>596</v>
      </c>
      <c r="V136" s="105">
        <v>33040501002</v>
      </c>
      <c r="W136" s="106" t="s">
        <v>597</v>
      </c>
      <c r="X136" s="105"/>
      <c r="Y136" s="105"/>
      <c r="Z136" s="105" t="s">
        <v>110</v>
      </c>
      <c r="AA136" s="110" t="s">
        <v>35</v>
      </c>
      <c r="AB136" s="50">
        <v>815</v>
      </c>
      <c r="AC136" s="50">
        <v>780</v>
      </c>
      <c r="AD136" s="50">
        <v>665</v>
      </c>
      <c r="AE136" s="112" t="s">
        <v>37</v>
      </c>
      <c r="AF136" s="60"/>
      <c r="AG136" s="55"/>
      <c r="AH136" s="55"/>
      <c r="AI136" s="55"/>
      <c r="AJ136" s="55"/>
      <c r="AK136" s="55"/>
      <c r="AL136" s="55"/>
      <c r="AM136" s="55"/>
      <c r="AN136" s="55"/>
      <c r="AO136" s="55"/>
      <c r="AP136" s="55"/>
      <c r="AQ136" s="55"/>
      <c r="AR136" s="55"/>
      <c r="AS136" s="55"/>
      <c r="AT136" s="55"/>
      <c r="AU136" s="55"/>
      <c r="AV136" s="55"/>
      <c r="AW136" s="55"/>
      <c r="AX136" s="55"/>
      <c r="AY136" s="55"/>
      <c r="AZ136" s="55"/>
      <c r="BA136" s="55"/>
      <c r="BB136" s="55"/>
      <c r="BC136" s="55"/>
      <c r="BD136" s="55"/>
      <c r="BE136" s="55"/>
      <c r="BF136" s="55"/>
      <c r="BG136" s="55"/>
      <c r="BH136" s="55"/>
      <c r="BI136" s="55"/>
      <c r="BJ136" s="55"/>
      <c r="BK136" s="55"/>
      <c r="BL136" s="55"/>
      <c r="BM136" s="55"/>
      <c r="BN136" s="55"/>
      <c r="BO136" s="55"/>
      <c r="BP136" s="55"/>
      <c r="BQ136" s="55"/>
      <c r="BR136" s="55"/>
      <c r="BS136" s="55"/>
      <c r="BT136" s="55"/>
      <c r="BU136" s="55"/>
      <c r="BV136" s="55"/>
      <c r="BW136" s="55"/>
      <c r="BX136" s="55"/>
      <c r="BY136" s="55"/>
      <c r="BZ136" s="55"/>
      <c r="CA136" s="55"/>
      <c r="CB136" s="55"/>
      <c r="CC136" s="55"/>
      <c r="CD136" s="55"/>
      <c r="CE136" s="55"/>
      <c r="CF136" s="55"/>
      <c r="CG136" s="55"/>
      <c r="CH136" s="55"/>
      <c r="CI136" s="55"/>
      <c r="CJ136" s="55"/>
      <c r="CK136" s="55"/>
      <c r="CL136" s="55"/>
      <c r="CM136" s="55"/>
      <c r="CN136" s="55"/>
      <c r="CO136" s="55"/>
      <c r="CP136" s="55"/>
      <c r="CQ136" s="55"/>
      <c r="CR136" s="55"/>
      <c r="CS136" s="55"/>
      <c r="CT136" s="55"/>
      <c r="CU136" s="55"/>
      <c r="CV136" s="55"/>
      <c r="CW136" s="55"/>
      <c r="CX136" s="55"/>
      <c r="CY136" s="55"/>
      <c r="CZ136" s="55"/>
      <c r="DA136" s="55"/>
      <c r="DB136" s="55"/>
      <c r="DC136" s="55"/>
      <c r="DD136" s="55"/>
      <c r="DE136" s="55"/>
      <c r="DF136" s="55"/>
      <c r="DG136" s="55"/>
      <c r="DH136" s="55"/>
      <c r="DI136" s="55"/>
      <c r="DJ136" s="55"/>
      <c r="DK136" s="55"/>
      <c r="DL136" s="55"/>
      <c r="DM136" s="55"/>
      <c r="DN136" s="55"/>
      <c r="DO136" s="55"/>
      <c r="DP136" s="55"/>
      <c r="DQ136" s="55"/>
      <c r="DR136" s="55"/>
      <c r="DS136" s="55"/>
      <c r="DT136" s="55"/>
      <c r="DU136" s="55"/>
      <c r="DV136" s="55"/>
      <c r="DW136" s="55"/>
      <c r="DX136" s="55"/>
      <c r="DY136" s="55"/>
      <c r="DZ136" s="55"/>
      <c r="EA136" s="55"/>
      <c r="EB136" s="55"/>
      <c r="EC136" s="55"/>
      <c r="ED136" s="55"/>
      <c r="EE136" s="55"/>
      <c r="EF136" s="55"/>
      <c r="EG136" s="55"/>
      <c r="EH136" s="55"/>
      <c r="EI136" s="55"/>
      <c r="EJ136" s="55"/>
      <c r="EK136" s="55"/>
      <c r="EL136" s="55"/>
      <c r="EM136" s="55"/>
      <c r="EN136" s="55"/>
      <c r="EO136" s="55"/>
      <c r="EP136" s="55"/>
      <c r="EQ136" s="55"/>
      <c r="ER136" s="55"/>
      <c r="ES136" s="55"/>
      <c r="ET136" s="55"/>
      <c r="EU136" s="55"/>
      <c r="EV136" s="55"/>
      <c r="EW136" s="55"/>
      <c r="EX136" s="55"/>
      <c r="EY136" s="55"/>
      <c r="EZ136" s="55"/>
      <c r="FA136" s="55"/>
      <c r="FB136" s="55"/>
      <c r="FC136" s="55"/>
      <c r="FD136" s="55"/>
      <c r="FE136" s="55"/>
      <c r="FF136" s="55"/>
      <c r="FG136" s="55"/>
      <c r="FH136" s="55"/>
      <c r="FI136" s="55"/>
      <c r="FJ136" s="55"/>
      <c r="FK136" s="55"/>
      <c r="FL136" s="55"/>
      <c r="FM136" s="55"/>
      <c r="FN136" s="55"/>
      <c r="FO136" s="55"/>
      <c r="FP136" s="55"/>
      <c r="FQ136" s="55"/>
      <c r="FR136" s="55"/>
      <c r="FS136" s="55"/>
      <c r="FT136" s="55"/>
      <c r="FU136" s="55"/>
      <c r="FV136" s="55"/>
      <c r="FW136" s="55"/>
      <c r="FX136" s="55"/>
      <c r="FY136" s="55"/>
      <c r="FZ136" s="55"/>
      <c r="GA136" s="55"/>
      <c r="GB136" s="55"/>
      <c r="GC136" s="55"/>
      <c r="GD136" s="55"/>
      <c r="GE136" s="55"/>
      <c r="GF136" s="55"/>
      <c r="GG136" s="55"/>
      <c r="GH136" s="55"/>
      <c r="GI136" s="55"/>
      <c r="GJ136" s="55"/>
      <c r="GK136" s="55"/>
      <c r="GL136" s="55"/>
      <c r="GM136" s="55"/>
      <c r="GN136" s="55"/>
      <c r="GO136" s="55"/>
      <c r="GP136" s="55"/>
      <c r="GQ136" s="55"/>
      <c r="GR136" s="55"/>
      <c r="GS136" s="55"/>
      <c r="GT136" s="55"/>
      <c r="GU136" s="55"/>
      <c r="GV136" s="55"/>
      <c r="GW136" s="55"/>
      <c r="GX136" s="55"/>
      <c r="GY136" s="55"/>
      <c r="GZ136" s="55"/>
      <c r="HA136" s="55"/>
      <c r="HB136" s="55"/>
      <c r="HC136" s="55"/>
      <c r="HD136" s="55"/>
      <c r="HE136" s="55"/>
      <c r="HF136" s="55"/>
      <c r="HG136" s="55"/>
      <c r="HH136" s="55"/>
      <c r="HI136" s="55"/>
      <c r="HJ136" s="55"/>
      <c r="HK136" s="55"/>
      <c r="HL136" s="55"/>
      <c r="HM136" s="55"/>
      <c r="HN136" s="55"/>
      <c r="HO136" s="55"/>
      <c r="HP136" s="55"/>
      <c r="HQ136" s="55"/>
      <c r="HR136" s="55"/>
      <c r="HS136" s="55"/>
      <c r="HT136" s="55"/>
      <c r="HU136" s="55"/>
      <c r="HV136" s="55"/>
      <c r="HW136" s="55"/>
      <c r="HX136" s="55"/>
      <c r="HY136" s="55"/>
      <c r="HZ136" s="55"/>
      <c r="IA136" s="55"/>
      <c r="IB136" s="55"/>
      <c r="IC136" s="55"/>
      <c r="ID136" s="55"/>
    </row>
    <row r="137" s="52" customFormat="1" ht="25.5" spans="1:238">
      <c r="A137" s="64"/>
      <c r="B137" s="64"/>
      <c r="C137" s="64"/>
      <c r="D137" s="65"/>
      <c r="E137" s="77"/>
      <c r="F137" s="77"/>
      <c r="G137" s="64"/>
      <c r="H137" s="42"/>
      <c r="I137" s="42"/>
      <c r="J137" s="84"/>
      <c r="K137" s="84"/>
      <c r="L137" s="84"/>
      <c r="M137" s="41"/>
      <c r="N137" s="41"/>
      <c r="O137" s="89"/>
      <c r="P137" s="64"/>
      <c r="Q137" s="64"/>
      <c r="R137" s="64"/>
      <c r="S137" s="83"/>
      <c r="T137" s="77"/>
      <c r="U137" s="105" t="s">
        <v>598</v>
      </c>
      <c r="V137" s="105">
        <v>33040501003</v>
      </c>
      <c r="W137" s="106" t="s">
        <v>599</v>
      </c>
      <c r="X137" s="105"/>
      <c r="Y137" s="105"/>
      <c r="Z137" s="105" t="s">
        <v>110</v>
      </c>
      <c r="AA137" s="110" t="s">
        <v>35</v>
      </c>
      <c r="AB137" s="50">
        <v>975</v>
      </c>
      <c r="AC137" s="50">
        <v>935</v>
      </c>
      <c r="AD137" s="50">
        <v>795</v>
      </c>
      <c r="AE137" s="112" t="s">
        <v>37</v>
      </c>
      <c r="AF137" s="60"/>
      <c r="AG137" s="55"/>
      <c r="AH137" s="55"/>
      <c r="AI137" s="55"/>
      <c r="AJ137" s="55"/>
      <c r="AK137" s="55"/>
      <c r="AL137" s="55"/>
      <c r="AM137" s="55"/>
      <c r="AN137" s="55"/>
      <c r="AO137" s="55"/>
      <c r="AP137" s="55"/>
      <c r="AQ137" s="55"/>
      <c r="AR137" s="55"/>
      <c r="AS137" s="55"/>
      <c r="AT137" s="55"/>
      <c r="AU137" s="55"/>
      <c r="AV137" s="55"/>
      <c r="AW137" s="55"/>
      <c r="AX137" s="55"/>
      <c r="AY137" s="55"/>
      <c r="AZ137" s="55"/>
      <c r="BA137" s="55"/>
      <c r="BB137" s="55"/>
      <c r="BC137" s="55"/>
      <c r="BD137" s="55"/>
      <c r="BE137" s="55"/>
      <c r="BF137" s="55"/>
      <c r="BG137" s="55"/>
      <c r="BH137" s="55"/>
      <c r="BI137" s="55"/>
      <c r="BJ137" s="55"/>
      <c r="BK137" s="55"/>
      <c r="BL137" s="55"/>
      <c r="BM137" s="55"/>
      <c r="BN137" s="55"/>
      <c r="BO137" s="55"/>
      <c r="BP137" s="55"/>
      <c r="BQ137" s="55"/>
      <c r="BR137" s="55"/>
      <c r="BS137" s="55"/>
      <c r="BT137" s="55"/>
      <c r="BU137" s="55"/>
      <c r="BV137" s="55"/>
      <c r="BW137" s="55"/>
      <c r="BX137" s="55"/>
      <c r="BY137" s="55"/>
      <c r="BZ137" s="55"/>
      <c r="CA137" s="55"/>
      <c r="CB137" s="55"/>
      <c r="CC137" s="55"/>
      <c r="CD137" s="55"/>
      <c r="CE137" s="55"/>
      <c r="CF137" s="55"/>
      <c r="CG137" s="55"/>
      <c r="CH137" s="55"/>
      <c r="CI137" s="55"/>
      <c r="CJ137" s="55"/>
      <c r="CK137" s="55"/>
      <c r="CL137" s="55"/>
      <c r="CM137" s="55"/>
      <c r="CN137" s="55"/>
      <c r="CO137" s="55"/>
      <c r="CP137" s="55"/>
      <c r="CQ137" s="55"/>
      <c r="CR137" s="55"/>
      <c r="CS137" s="55"/>
      <c r="CT137" s="55"/>
      <c r="CU137" s="55"/>
      <c r="CV137" s="55"/>
      <c r="CW137" s="55"/>
      <c r="CX137" s="55"/>
      <c r="CY137" s="55"/>
      <c r="CZ137" s="55"/>
      <c r="DA137" s="55"/>
      <c r="DB137" s="55"/>
      <c r="DC137" s="55"/>
      <c r="DD137" s="55"/>
      <c r="DE137" s="55"/>
      <c r="DF137" s="55"/>
      <c r="DG137" s="55"/>
      <c r="DH137" s="55"/>
      <c r="DI137" s="55"/>
      <c r="DJ137" s="55"/>
      <c r="DK137" s="55"/>
      <c r="DL137" s="55"/>
      <c r="DM137" s="55"/>
      <c r="DN137" s="55"/>
      <c r="DO137" s="55"/>
      <c r="DP137" s="55"/>
      <c r="DQ137" s="55"/>
      <c r="DR137" s="55"/>
      <c r="DS137" s="55"/>
      <c r="DT137" s="55"/>
      <c r="DU137" s="55"/>
      <c r="DV137" s="55"/>
      <c r="DW137" s="55"/>
      <c r="DX137" s="55"/>
      <c r="DY137" s="55"/>
      <c r="DZ137" s="55"/>
      <c r="EA137" s="55"/>
      <c r="EB137" s="55"/>
      <c r="EC137" s="55"/>
      <c r="ED137" s="55"/>
      <c r="EE137" s="55"/>
      <c r="EF137" s="55"/>
      <c r="EG137" s="55"/>
      <c r="EH137" s="55"/>
      <c r="EI137" s="55"/>
      <c r="EJ137" s="55"/>
      <c r="EK137" s="55"/>
      <c r="EL137" s="55"/>
      <c r="EM137" s="55"/>
      <c r="EN137" s="55"/>
      <c r="EO137" s="55"/>
      <c r="EP137" s="55"/>
      <c r="EQ137" s="55"/>
      <c r="ER137" s="55"/>
      <c r="ES137" s="55"/>
      <c r="ET137" s="55"/>
      <c r="EU137" s="55"/>
      <c r="EV137" s="55"/>
      <c r="EW137" s="55"/>
      <c r="EX137" s="55"/>
      <c r="EY137" s="55"/>
      <c r="EZ137" s="55"/>
      <c r="FA137" s="55"/>
      <c r="FB137" s="55"/>
      <c r="FC137" s="55"/>
      <c r="FD137" s="55"/>
      <c r="FE137" s="55"/>
      <c r="FF137" s="55"/>
      <c r="FG137" s="55"/>
      <c r="FH137" s="55"/>
      <c r="FI137" s="55"/>
      <c r="FJ137" s="55"/>
      <c r="FK137" s="55"/>
      <c r="FL137" s="55"/>
      <c r="FM137" s="55"/>
      <c r="FN137" s="55"/>
      <c r="FO137" s="55"/>
      <c r="FP137" s="55"/>
      <c r="FQ137" s="55"/>
      <c r="FR137" s="55"/>
      <c r="FS137" s="55"/>
      <c r="FT137" s="55"/>
      <c r="FU137" s="55"/>
      <c r="FV137" s="55"/>
      <c r="FW137" s="55"/>
      <c r="FX137" s="55"/>
      <c r="FY137" s="55"/>
      <c r="FZ137" s="55"/>
      <c r="GA137" s="55"/>
      <c r="GB137" s="55"/>
      <c r="GC137" s="55"/>
      <c r="GD137" s="55"/>
      <c r="GE137" s="55"/>
      <c r="GF137" s="55"/>
      <c r="GG137" s="55"/>
      <c r="GH137" s="55"/>
      <c r="GI137" s="55"/>
      <c r="GJ137" s="55"/>
      <c r="GK137" s="55"/>
      <c r="GL137" s="55"/>
      <c r="GM137" s="55"/>
      <c r="GN137" s="55"/>
      <c r="GO137" s="55"/>
      <c r="GP137" s="55"/>
      <c r="GQ137" s="55"/>
      <c r="GR137" s="55"/>
      <c r="GS137" s="55"/>
      <c r="GT137" s="55"/>
      <c r="GU137" s="55"/>
      <c r="GV137" s="55"/>
      <c r="GW137" s="55"/>
      <c r="GX137" s="55"/>
      <c r="GY137" s="55"/>
      <c r="GZ137" s="55"/>
      <c r="HA137" s="55"/>
      <c r="HB137" s="55"/>
      <c r="HC137" s="55"/>
      <c r="HD137" s="55"/>
      <c r="HE137" s="55"/>
      <c r="HF137" s="55"/>
      <c r="HG137" s="55"/>
      <c r="HH137" s="55"/>
      <c r="HI137" s="55"/>
      <c r="HJ137" s="55"/>
      <c r="HK137" s="55"/>
      <c r="HL137" s="55"/>
      <c r="HM137" s="55"/>
      <c r="HN137" s="55"/>
      <c r="HO137" s="55"/>
      <c r="HP137" s="55"/>
      <c r="HQ137" s="55"/>
      <c r="HR137" s="55"/>
      <c r="HS137" s="55"/>
      <c r="HT137" s="55"/>
      <c r="HU137" s="55"/>
      <c r="HV137" s="55"/>
      <c r="HW137" s="55"/>
      <c r="HX137" s="55"/>
      <c r="HY137" s="55"/>
      <c r="HZ137" s="55"/>
      <c r="IA137" s="55"/>
      <c r="IB137" s="55"/>
      <c r="IC137" s="55"/>
      <c r="ID137" s="55"/>
    </row>
    <row r="138" s="52" customFormat="1" ht="25.5" spans="1:238">
      <c r="A138" s="64"/>
      <c r="B138" s="64"/>
      <c r="C138" s="64"/>
      <c r="D138" s="65"/>
      <c r="E138" s="77"/>
      <c r="F138" s="77"/>
      <c r="G138" s="64"/>
      <c r="H138" s="42"/>
      <c r="I138" s="42"/>
      <c r="J138" s="84"/>
      <c r="K138" s="84"/>
      <c r="L138" s="84"/>
      <c r="M138" s="41"/>
      <c r="N138" s="41"/>
      <c r="O138" s="89"/>
      <c r="P138" s="64"/>
      <c r="Q138" s="64"/>
      <c r="R138" s="64"/>
      <c r="S138" s="83"/>
      <c r="T138" s="77"/>
      <c r="U138" s="105" t="s">
        <v>600</v>
      </c>
      <c r="V138" s="105">
        <v>330407013</v>
      </c>
      <c r="W138" s="106" t="s">
        <v>601</v>
      </c>
      <c r="X138" s="105"/>
      <c r="Y138" s="105"/>
      <c r="Z138" s="105" t="s">
        <v>36</v>
      </c>
      <c r="AA138" s="110" t="s">
        <v>35</v>
      </c>
      <c r="AB138" s="50">
        <v>1010</v>
      </c>
      <c r="AC138" s="50">
        <v>910</v>
      </c>
      <c r="AD138" s="50">
        <v>775</v>
      </c>
      <c r="AE138" s="112" t="s">
        <v>37</v>
      </c>
      <c r="AF138" s="60"/>
      <c r="AG138" s="55"/>
      <c r="AH138" s="55"/>
      <c r="AI138" s="55"/>
      <c r="AJ138" s="55"/>
      <c r="AK138" s="55"/>
      <c r="AL138" s="55"/>
      <c r="AM138" s="55"/>
      <c r="AN138" s="55"/>
      <c r="AO138" s="55"/>
      <c r="AP138" s="55"/>
      <c r="AQ138" s="55"/>
      <c r="AR138" s="55"/>
      <c r="AS138" s="55"/>
      <c r="AT138" s="55"/>
      <c r="AU138" s="55"/>
      <c r="AV138" s="55"/>
      <c r="AW138" s="55"/>
      <c r="AX138" s="55"/>
      <c r="AY138" s="55"/>
      <c r="AZ138" s="55"/>
      <c r="BA138" s="55"/>
      <c r="BB138" s="55"/>
      <c r="BC138" s="55"/>
      <c r="BD138" s="55"/>
      <c r="BE138" s="55"/>
      <c r="BF138" s="55"/>
      <c r="BG138" s="55"/>
      <c r="BH138" s="55"/>
      <c r="BI138" s="55"/>
      <c r="BJ138" s="55"/>
      <c r="BK138" s="55"/>
      <c r="BL138" s="55"/>
      <c r="BM138" s="55"/>
      <c r="BN138" s="55"/>
      <c r="BO138" s="55"/>
      <c r="BP138" s="55"/>
      <c r="BQ138" s="55"/>
      <c r="BR138" s="55"/>
      <c r="BS138" s="55"/>
      <c r="BT138" s="55"/>
      <c r="BU138" s="55"/>
      <c r="BV138" s="55"/>
      <c r="BW138" s="55"/>
      <c r="BX138" s="55"/>
      <c r="BY138" s="55"/>
      <c r="BZ138" s="55"/>
      <c r="CA138" s="55"/>
      <c r="CB138" s="55"/>
      <c r="CC138" s="55"/>
      <c r="CD138" s="55"/>
      <c r="CE138" s="55"/>
      <c r="CF138" s="55"/>
      <c r="CG138" s="55"/>
      <c r="CH138" s="55"/>
      <c r="CI138" s="55"/>
      <c r="CJ138" s="55"/>
      <c r="CK138" s="55"/>
      <c r="CL138" s="55"/>
      <c r="CM138" s="55"/>
      <c r="CN138" s="55"/>
      <c r="CO138" s="55"/>
      <c r="CP138" s="55"/>
      <c r="CQ138" s="55"/>
      <c r="CR138" s="55"/>
      <c r="CS138" s="55"/>
      <c r="CT138" s="55"/>
      <c r="CU138" s="55"/>
      <c r="CV138" s="55"/>
      <c r="CW138" s="55"/>
      <c r="CX138" s="55"/>
      <c r="CY138" s="55"/>
      <c r="CZ138" s="55"/>
      <c r="DA138" s="55"/>
      <c r="DB138" s="55"/>
      <c r="DC138" s="55"/>
      <c r="DD138" s="55"/>
      <c r="DE138" s="55"/>
      <c r="DF138" s="55"/>
      <c r="DG138" s="55"/>
      <c r="DH138" s="55"/>
      <c r="DI138" s="55"/>
      <c r="DJ138" s="55"/>
      <c r="DK138" s="55"/>
      <c r="DL138" s="55"/>
      <c r="DM138" s="55"/>
      <c r="DN138" s="55"/>
      <c r="DO138" s="55"/>
      <c r="DP138" s="55"/>
      <c r="DQ138" s="55"/>
      <c r="DR138" s="55"/>
      <c r="DS138" s="55"/>
      <c r="DT138" s="55"/>
      <c r="DU138" s="55"/>
      <c r="DV138" s="55"/>
      <c r="DW138" s="55"/>
      <c r="DX138" s="55"/>
      <c r="DY138" s="55"/>
      <c r="DZ138" s="55"/>
      <c r="EA138" s="55"/>
      <c r="EB138" s="55"/>
      <c r="EC138" s="55"/>
      <c r="ED138" s="55"/>
      <c r="EE138" s="55"/>
      <c r="EF138" s="55"/>
      <c r="EG138" s="55"/>
      <c r="EH138" s="55"/>
      <c r="EI138" s="55"/>
      <c r="EJ138" s="55"/>
      <c r="EK138" s="55"/>
      <c r="EL138" s="55"/>
      <c r="EM138" s="55"/>
      <c r="EN138" s="55"/>
      <c r="EO138" s="55"/>
      <c r="EP138" s="55"/>
      <c r="EQ138" s="55"/>
      <c r="ER138" s="55"/>
      <c r="ES138" s="55"/>
      <c r="ET138" s="55"/>
      <c r="EU138" s="55"/>
      <c r="EV138" s="55"/>
      <c r="EW138" s="55"/>
      <c r="EX138" s="55"/>
      <c r="EY138" s="55"/>
      <c r="EZ138" s="55"/>
      <c r="FA138" s="55"/>
      <c r="FB138" s="55"/>
      <c r="FC138" s="55"/>
      <c r="FD138" s="55"/>
      <c r="FE138" s="55"/>
      <c r="FF138" s="55"/>
      <c r="FG138" s="55"/>
      <c r="FH138" s="55"/>
      <c r="FI138" s="55"/>
      <c r="FJ138" s="55"/>
      <c r="FK138" s="55"/>
      <c r="FL138" s="55"/>
      <c r="FM138" s="55"/>
      <c r="FN138" s="55"/>
      <c r="FO138" s="55"/>
      <c r="FP138" s="55"/>
      <c r="FQ138" s="55"/>
      <c r="FR138" s="55"/>
      <c r="FS138" s="55"/>
      <c r="FT138" s="55"/>
      <c r="FU138" s="55"/>
      <c r="FV138" s="55"/>
      <c r="FW138" s="55"/>
      <c r="FX138" s="55"/>
      <c r="FY138" s="55"/>
      <c r="FZ138" s="55"/>
      <c r="GA138" s="55"/>
      <c r="GB138" s="55"/>
      <c r="GC138" s="55"/>
      <c r="GD138" s="55"/>
      <c r="GE138" s="55"/>
      <c r="GF138" s="55"/>
      <c r="GG138" s="55"/>
      <c r="GH138" s="55"/>
      <c r="GI138" s="55"/>
      <c r="GJ138" s="55"/>
      <c r="GK138" s="55"/>
      <c r="GL138" s="55"/>
      <c r="GM138" s="55"/>
      <c r="GN138" s="55"/>
      <c r="GO138" s="55"/>
      <c r="GP138" s="55"/>
      <c r="GQ138" s="55"/>
      <c r="GR138" s="55"/>
      <c r="GS138" s="55"/>
      <c r="GT138" s="55"/>
      <c r="GU138" s="55"/>
      <c r="GV138" s="55"/>
      <c r="GW138" s="55"/>
      <c r="GX138" s="55"/>
      <c r="GY138" s="55"/>
      <c r="GZ138" s="55"/>
      <c r="HA138" s="55"/>
      <c r="HB138" s="55"/>
      <c r="HC138" s="55"/>
      <c r="HD138" s="55"/>
      <c r="HE138" s="55"/>
      <c r="HF138" s="55"/>
      <c r="HG138" s="55"/>
      <c r="HH138" s="55"/>
      <c r="HI138" s="55"/>
      <c r="HJ138" s="55"/>
      <c r="HK138" s="55"/>
      <c r="HL138" s="55"/>
      <c r="HM138" s="55"/>
      <c r="HN138" s="55"/>
      <c r="HO138" s="55"/>
      <c r="HP138" s="55"/>
      <c r="HQ138" s="55"/>
      <c r="HR138" s="55"/>
      <c r="HS138" s="55"/>
      <c r="HT138" s="55"/>
      <c r="HU138" s="55"/>
      <c r="HV138" s="55"/>
      <c r="HW138" s="55"/>
      <c r="HX138" s="55"/>
      <c r="HY138" s="55"/>
      <c r="HZ138" s="55"/>
      <c r="IA138" s="55"/>
      <c r="IB138" s="55"/>
      <c r="IC138" s="55"/>
      <c r="ID138" s="55"/>
    </row>
    <row r="139" s="52" customFormat="1" ht="25.5" spans="1:238">
      <c r="A139" s="64"/>
      <c r="B139" s="64"/>
      <c r="C139" s="64"/>
      <c r="D139" s="65"/>
      <c r="E139" s="77"/>
      <c r="F139" s="77"/>
      <c r="G139" s="64"/>
      <c r="H139" s="42"/>
      <c r="I139" s="42"/>
      <c r="J139" s="84"/>
      <c r="K139" s="84"/>
      <c r="L139" s="84"/>
      <c r="M139" s="41"/>
      <c r="N139" s="41"/>
      <c r="O139" s="89"/>
      <c r="P139" s="64"/>
      <c r="Q139" s="64"/>
      <c r="R139" s="64"/>
      <c r="S139" s="83"/>
      <c r="T139" s="77"/>
      <c r="U139" s="105" t="s">
        <v>602</v>
      </c>
      <c r="V139" s="105">
        <v>33040701301</v>
      </c>
      <c r="W139" s="106" t="s">
        <v>603</v>
      </c>
      <c r="X139" s="105"/>
      <c r="Y139" s="105"/>
      <c r="Z139" s="105" t="s">
        <v>36</v>
      </c>
      <c r="AA139" s="110" t="s">
        <v>35</v>
      </c>
      <c r="AB139" s="50">
        <v>1315</v>
      </c>
      <c r="AC139" s="50">
        <v>1185</v>
      </c>
      <c r="AD139" s="50">
        <v>1005</v>
      </c>
      <c r="AE139" s="112" t="s">
        <v>37</v>
      </c>
      <c r="AF139" s="60"/>
      <c r="AG139" s="55"/>
      <c r="AH139" s="55"/>
      <c r="AI139" s="55"/>
      <c r="AJ139" s="55"/>
      <c r="AK139" s="55"/>
      <c r="AL139" s="55"/>
      <c r="AM139" s="55"/>
      <c r="AN139" s="55"/>
      <c r="AO139" s="55"/>
      <c r="AP139" s="55"/>
      <c r="AQ139" s="55"/>
      <c r="AR139" s="55"/>
      <c r="AS139" s="55"/>
      <c r="AT139" s="55"/>
      <c r="AU139" s="55"/>
      <c r="AV139" s="55"/>
      <c r="AW139" s="55"/>
      <c r="AX139" s="55"/>
      <c r="AY139" s="55"/>
      <c r="AZ139" s="55"/>
      <c r="BA139" s="55"/>
      <c r="BB139" s="55"/>
      <c r="BC139" s="55"/>
      <c r="BD139" s="55"/>
      <c r="BE139" s="55"/>
      <c r="BF139" s="55"/>
      <c r="BG139" s="55"/>
      <c r="BH139" s="55"/>
      <c r="BI139" s="55"/>
      <c r="BJ139" s="55"/>
      <c r="BK139" s="55"/>
      <c r="BL139" s="55"/>
      <c r="BM139" s="55"/>
      <c r="BN139" s="55"/>
      <c r="BO139" s="55"/>
      <c r="BP139" s="55"/>
      <c r="BQ139" s="55"/>
      <c r="BR139" s="55"/>
      <c r="BS139" s="55"/>
      <c r="BT139" s="55"/>
      <c r="BU139" s="55"/>
      <c r="BV139" s="55"/>
      <c r="BW139" s="55"/>
      <c r="BX139" s="55"/>
      <c r="BY139" s="55"/>
      <c r="BZ139" s="55"/>
      <c r="CA139" s="55"/>
      <c r="CB139" s="55"/>
      <c r="CC139" s="55"/>
      <c r="CD139" s="55"/>
      <c r="CE139" s="55"/>
      <c r="CF139" s="55"/>
      <c r="CG139" s="55"/>
      <c r="CH139" s="55"/>
      <c r="CI139" s="55"/>
      <c r="CJ139" s="55"/>
      <c r="CK139" s="55"/>
      <c r="CL139" s="55"/>
      <c r="CM139" s="55"/>
      <c r="CN139" s="55"/>
      <c r="CO139" s="55"/>
      <c r="CP139" s="55"/>
      <c r="CQ139" s="55"/>
      <c r="CR139" s="55"/>
      <c r="CS139" s="55"/>
      <c r="CT139" s="55"/>
      <c r="CU139" s="55"/>
      <c r="CV139" s="55"/>
      <c r="CW139" s="55"/>
      <c r="CX139" s="55"/>
      <c r="CY139" s="55"/>
      <c r="CZ139" s="55"/>
      <c r="DA139" s="55"/>
      <c r="DB139" s="55"/>
      <c r="DC139" s="55"/>
      <c r="DD139" s="55"/>
      <c r="DE139" s="55"/>
      <c r="DF139" s="55"/>
      <c r="DG139" s="55"/>
      <c r="DH139" s="55"/>
      <c r="DI139" s="55"/>
      <c r="DJ139" s="55"/>
      <c r="DK139" s="55"/>
      <c r="DL139" s="55"/>
      <c r="DM139" s="55"/>
      <c r="DN139" s="55"/>
      <c r="DO139" s="55"/>
      <c r="DP139" s="55"/>
      <c r="DQ139" s="55"/>
      <c r="DR139" s="55"/>
      <c r="DS139" s="55"/>
      <c r="DT139" s="55"/>
      <c r="DU139" s="55"/>
      <c r="DV139" s="55"/>
      <c r="DW139" s="55"/>
      <c r="DX139" s="55"/>
      <c r="DY139" s="55"/>
      <c r="DZ139" s="55"/>
      <c r="EA139" s="55"/>
      <c r="EB139" s="55"/>
      <c r="EC139" s="55"/>
      <c r="ED139" s="55"/>
      <c r="EE139" s="55"/>
      <c r="EF139" s="55"/>
      <c r="EG139" s="55"/>
      <c r="EH139" s="55"/>
      <c r="EI139" s="55"/>
      <c r="EJ139" s="55"/>
      <c r="EK139" s="55"/>
      <c r="EL139" s="55"/>
      <c r="EM139" s="55"/>
      <c r="EN139" s="55"/>
      <c r="EO139" s="55"/>
      <c r="EP139" s="55"/>
      <c r="EQ139" s="55"/>
      <c r="ER139" s="55"/>
      <c r="ES139" s="55"/>
      <c r="ET139" s="55"/>
      <c r="EU139" s="55"/>
      <c r="EV139" s="55"/>
      <c r="EW139" s="55"/>
      <c r="EX139" s="55"/>
      <c r="EY139" s="55"/>
      <c r="EZ139" s="55"/>
      <c r="FA139" s="55"/>
      <c r="FB139" s="55"/>
      <c r="FC139" s="55"/>
      <c r="FD139" s="55"/>
      <c r="FE139" s="55"/>
      <c r="FF139" s="55"/>
      <c r="FG139" s="55"/>
      <c r="FH139" s="55"/>
      <c r="FI139" s="55"/>
      <c r="FJ139" s="55"/>
      <c r="FK139" s="55"/>
      <c r="FL139" s="55"/>
      <c r="FM139" s="55"/>
      <c r="FN139" s="55"/>
      <c r="FO139" s="55"/>
      <c r="FP139" s="55"/>
      <c r="FQ139" s="55"/>
      <c r="FR139" s="55"/>
      <c r="FS139" s="55"/>
      <c r="FT139" s="55"/>
      <c r="FU139" s="55"/>
      <c r="FV139" s="55"/>
      <c r="FW139" s="55"/>
      <c r="FX139" s="55"/>
      <c r="FY139" s="55"/>
      <c r="FZ139" s="55"/>
      <c r="GA139" s="55"/>
      <c r="GB139" s="55"/>
      <c r="GC139" s="55"/>
      <c r="GD139" s="55"/>
      <c r="GE139" s="55"/>
      <c r="GF139" s="55"/>
      <c r="GG139" s="55"/>
      <c r="GH139" s="55"/>
      <c r="GI139" s="55"/>
      <c r="GJ139" s="55"/>
      <c r="GK139" s="55"/>
      <c r="GL139" s="55"/>
      <c r="GM139" s="55"/>
      <c r="GN139" s="55"/>
      <c r="GO139" s="55"/>
      <c r="GP139" s="55"/>
      <c r="GQ139" s="55"/>
      <c r="GR139" s="55"/>
      <c r="GS139" s="55"/>
      <c r="GT139" s="55"/>
      <c r="GU139" s="55"/>
      <c r="GV139" s="55"/>
      <c r="GW139" s="55"/>
      <c r="GX139" s="55"/>
      <c r="GY139" s="55"/>
      <c r="GZ139" s="55"/>
      <c r="HA139" s="55"/>
      <c r="HB139" s="55"/>
      <c r="HC139" s="55"/>
      <c r="HD139" s="55"/>
      <c r="HE139" s="55"/>
      <c r="HF139" s="55"/>
      <c r="HG139" s="55"/>
      <c r="HH139" s="55"/>
      <c r="HI139" s="55"/>
      <c r="HJ139" s="55"/>
      <c r="HK139" s="55"/>
      <c r="HL139" s="55"/>
      <c r="HM139" s="55"/>
      <c r="HN139" s="55"/>
      <c r="HO139" s="55"/>
      <c r="HP139" s="55"/>
      <c r="HQ139" s="55"/>
      <c r="HR139" s="55"/>
      <c r="HS139" s="55"/>
      <c r="HT139" s="55"/>
      <c r="HU139" s="55"/>
      <c r="HV139" s="55"/>
      <c r="HW139" s="55"/>
      <c r="HX139" s="55"/>
      <c r="HY139" s="55"/>
      <c r="HZ139" s="55"/>
      <c r="IA139" s="55"/>
      <c r="IB139" s="55"/>
      <c r="IC139" s="55"/>
      <c r="ID139" s="55"/>
    </row>
    <row r="140" s="52" customFormat="1" ht="25.5" spans="1:238">
      <c r="A140" s="64"/>
      <c r="B140" s="64"/>
      <c r="C140" s="64"/>
      <c r="D140" s="65"/>
      <c r="E140" s="77"/>
      <c r="F140" s="77"/>
      <c r="G140" s="64"/>
      <c r="H140" s="42"/>
      <c r="I140" s="42"/>
      <c r="J140" s="84"/>
      <c r="K140" s="84"/>
      <c r="L140" s="84"/>
      <c r="M140" s="41"/>
      <c r="N140" s="41"/>
      <c r="O140" s="89"/>
      <c r="P140" s="64"/>
      <c r="Q140" s="64"/>
      <c r="R140" s="64"/>
      <c r="S140" s="83"/>
      <c r="T140" s="77"/>
      <c r="U140" s="105" t="s">
        <v>604</v>
      </c>
      <c r="V140" s="105">
        <v>31030009001</v>
      </c>
      <c r="W140" s="106" t="s">
        <v>605</v>
      </c>
      <c r="X140" s="105"/>
      <c r="Y140" s="105"/>
      <c r="Z140" s="105" t="s">
        <v>36</v>
      </c>
      <c r="AA140" s="110" t="s">
        <v>500</v>
      </c>
      <c r="AB140" s="50">
        <v>472.5</v>
      </c>
      <c r="AC140" s="50">
        <v>450</v>
      </c>
      <c r="AD140" s="50">
        <v>382.5</v>
      </c>
      <c r="AE140" s="112" t="s">
        <v>37</v>
      </c>
      <c r="AF140" s="60"/>
      <c r="AG140" s="55"/>
      <c r="AH140" s="55"/>
      <c r="AI140" s="55"/>
      <c r="AJ140" s="55"/>
      <c r="AK140" s="55"/>
      <c r="AL140" s="55"/>
      <c r="AM140" s="55"/>
      <c r="AN140" s="55"/>
      <c r="AO140" s="55"/>
      <c r="AP140" s="55"/>
      <c r="AQ140" s="55"/>
      <c r="AR140" s="55"/>
      <c r="AS140" s="55"/>
      <c r="AT140" s="55"/>
      <c r="AU140" s="55"/>
      <c r="AV140" s="55"/>
      <c r="AW140" s="55"/>
      <c r="AX140" s="55"/>
      <c r="AY140" s="55"/>
      <c r="AZ140" s="55"/>
      <c r="BA140" s="55"/>
      <c r="BB140" s="55"/>
      <c r="BC140" s="55"/>
      <c r="BD140" s="55"/>
      <c r="BE140" s="55"/>
      <c r="BF140" s="55"/>
      <c r="BG140" s="55"/>
      <c r="BH140" s="55"/>
      <c r="BI140" s="55"/>
      <c r="BJ140" s="55"/>
      <c r="BK140" s="55"/>
      <c r="BL140" s="55"/>
      <c r="BM140" s="55"/>
      <c r="BN140" s="55"/>
      <c r="BO140" s="55"/>
      <c r="BP140" s="55"/>
      <c r="BQ140" s="55"/>
      <c r="BR140" s="55"/>
      <c r="BS140" s="55"/>
      <c r="BT140" s="55"/>
      <c r="BU140" s="55"/>
      <c r="BV140" s="55"/>
      <c r="BW140" s="55"/>
      <c r="BX140" s="55"/>
      <c r="BY140" s="55"/>
      <c r="BZ140" s="55"/>
      <c r="CA140" s="55"/>
      <c r="CB140" s="55"/>
      <c r="CC140" s="55"/>
      <c r="CD140" s="55"/>
      <c r="CE140" s="55"/>
      <c r="CF140" s="55"/>
      <c r="CG140" s="55"/>
      <c r="CH140" s="55"/>
      <c r="CI140" s="55"/>
      <c r="CJ140" s="55"/>
      <c r="CK140" s="55"/>
      <c r="CL140" s="55"/>
      <c r="CM140" s="55"/>
      <c r="CN140" s="55"/>
      <c r="CO140" s="55"/>
      <c r="CP140" s="55"/>
      <c r="CQ140" s="55"/>
      <c r="CR140" s="55"/>
      <c r="CS140" s="55"/>
      <c r="CT140" s="55"/>
      <c r="CU140" s="55"/>
      <c r="CV140" s="55"/>
      <c r="CW140" s="55"/>
      <c r="CX140" s="55"/>
      <c r="CY140" s="55"/>
      <c r="CZ140" s="55"/>
      <c r="DA140" s="55"/>
      <c r="DB140" s="55"/>
      <c r="DC140" s="55"/>
      <c r="DD140" s="55"/>
      <c r="DE140" s="55"/>
      <c r="DF140" s="55"/>
      <c r="DG140" s="55"/>
      <c r="DH140" s="55"/>
      <c r="DI140" s="55"/>
      <c r="DJ140" s="55"/>
      <c r="DK140" s="55"/>
      <c r="DL140" s="55"/>
      <c r="DM140" s="55"/>
      <c r="DN140" s="55"/>
      <c r="DO140" s="55"/>
      <c r="DP140" s="55"/>
      <c r="DQ140" s="55"/>
      <c r="DR140" s="55"/>
      <c r="DS140" s="55"/>
      <c r="DT140" s="55"/>
      <c r="DU140" s="55"/>
      <c r="DV140" s="55"/>
      <c r="DW140" s="55"/>
      <c r="DX140" s="55"/>
      <c r="DY140" s="55"/>
      <c r="DZ140" s="55"/>
      <c r="EA140" s="55"/>
      <c r="EB140" s="55"/>
      <c r="EC140" s="55"/>
      <c r="ED140" s="55"/>
      <c r="EE140" s="55"/>
      <c r="EF140" s="55"/>
      <c r="EG140" s="55"/>
      <c r="EH140" s="55"/>
      <c r="EI140" s="55"/>
      <c r="EJ140" s="55"/>
      <c r="EK140" s="55"/>
      <c r="EL140" s="55"/>
      <c r="EM140" s="55"/>
      <c r="EN140" s="55"/>
      <c r="EO140" s="55"/>
      <c r="EP140" s="55"/>
      <c r="EQ140" s="55"/>
      <c r="ER140" s="55"/>
      <c r="ES140" s="55"/>
      <c r="ET140" s="55"/>
      <c r="EU140" s="55"/>
      <c r="EV140" s="55"/>
      <c r="EW140" s="55"/>
      <c r="EX140" s="55"/>
      <c r="EY140" s="55"/>
      <c r="EZ140" s="55"/>
      <c r="FA140" s="55"/>
      <c r="FB140" s="55"/>
      <c r="FC140" s="55"/>
      <c r="FD140" s="55"/>
      <c r="FE140" s="55"/>
      <c r="FF140" s="55"/>
      <c r="FG140" s="55"/>
      <c r="FH140" s="55"/>
      <c r="FI140" s="55"/>
      <c r="FJ140" s="55"/>
      <c r="FK140" s="55"/>
      <c r="FL140" s="55"/>
      <c r="FM140" s="55"/>
      <c r="FN140" s="55"/>
      <c r="FO140" s="55"/>
      <c r="FP140" s="55"/>
      <c r="FQ140" s="55"/>
      <c r="FR140" s="55"/>
      <c r="FS140" s="55"/>
      <c r="FT140" s="55"/>
      <c r="FU140" s="55"/>
      <c r="FV140" s="55"/>
      <c r="FW140" s="55"/>
      <c r="FX140" s="55"/>
      <c r="FY140" s="55"/>
      <c r="FZ140" s="55"/>
      <c r="GA140" s="55"/>
      <c r="GB140" s="55"/>
      <c r="GC140" s="55"/>
      <c r="GD140" s="55"/>
      <c r="GE140" s="55"/>
      <c r="GF140" s="55"/>
      <c r="GG140" s="55"/>
      <c r="GH140" s="55"/>
      <c r="GI140" s="55"/>
      <c r="GJ140" s="55"/>
      <c r="GK140" s="55"/>
      <c r="GL140" s="55"/>
      <c r="GM140" s="55"/>
      <c r="GN140" s="55"/>
      <c r="GO140" s="55"/>
      <c r="GP140" s="55"/>
      <c r="GQ140" s="55"/>
      <c r="GR140" s="55"/>
      <c r="GS140" s="55"/>
      <c r="GT140" s="55"/>
      <c r="GU140" s="55"/>
      <c r="GV140" s="55"/>
      <c r="GW140" s="55"/>
      <c r="GX140" s="55"/>
      <c r="GY140" s="55"/>
      <c r="GZ140" s="55"/>
      <c r="HA140" s="55"/>
      <c r="HB140" s="55"/>
      <c r="HC140" s="55"/>
      <c r="HD140" s="55"/>
      <c r="HE140" s="55"/>
      <c r="HF140" s="55"/>
      <c r="HG140" s="55"/>
      <c r="HH140" s="55"/>
      <c r="HI140" s="55"/>
      <c r="HJ140" s="55"/>
      <c r="HK140" s="55"/>
      <c r="HL140" s="55"/>
      <c r="HM140" s="55"/>
      <c r="HN140" s="55"/>
      <c r="HO140" s="55"/>
      <c r="HP140" s="55"/>
      <c r="HQ140" s="55"/>
      <c r="HR140" s="55"/>
      <c r="HS140" s="55"/>
      <c r="HT140" s="55"/>
      <c r="HU140" s="55"/>
      <c r="HV140" s="55"/>
      <c r="HW140" s="55"/>
      <c r="HX140" s="55"/>
      <c r="HY140" s="55"/>
      <c r="HZ140" s="55"/>
      <c r="IA140" s="55"/>
      <c r="IB140" s="55"/>
      <c r="IC140" s="55"/>
      <c r="ID140" s="55"/>
    </row>
    <row r="141" s="52" customFormat="1" ht="25.5" spans="1:238">
      <c r="A141" s="64"/>
      <c r="B141" s="64"/>
      <c r="C141" s="64"/>
      <c r="D141" s="65"/>
      <c r="E141" s="77"/>
      <c r="F141" s="77"/>
      <c r="G141" s="64"/>
      <c r="H141" s="42"/>
      <c r="I141" s="42"/>
      <c r="J141" s="84"/>
      <c r="K141" s="84"/>
      <c r="L141" s="84"/>
      <c r="M141" s="41"/>
      <c r="N141" s="41"/>
      <c r="O141" s="89"/>
      <c r="P141" s="64"/>
      <c r="Q141" s="64"/>
      <c r="R141" s="64"/>
      <c r="S141" s="83"/>
      <c r="T141" s="77"/>
      <c r="U141" s="105" t="s">
        <v>606</v>
      </c>
      <c r="V141" s="105">
        <v>310300086</v>
      </c>
      <c r="W141" s="106" t="s">
        <v>607</v>
      </c>
      <c r="X141" s="105" t="s">
        <v>608</v>
      </c>
      <c r="Y141" s="105" t="s">
        <v>609</v>
      </c>
      <c r="Z141" s="105" t="s">
        <v>36</v>
      </c>
      <c r="AA141" s="110" t="s">
        <v>35</v>
      </c>
      <c r="AB141" s="50">
        <v>450</v>
      </c>
      <c r="AC141" s="50">
        <v>405</v>
      </c>
      <c r="AD141" s="50">
        <v>344</v>
      </c>
      <c r="AE141" s="112"/>
      <c r="AF141" s="60"/>
      <c r="AG141" s="55"/>
      <c r="AH141" s="55"/>
      <c r="AI141" s="55"/>
      <c r="AJ141" s="55"/>
      <c r="AK141" s="55"/>
      <c r="AL141" s="55"/>
      <c r="AM141" s="55"/>
      <c r="AN141" s="55"/>
      <c r="AO141" s="55"/>
      <c r="AP141" s="55"/>
      <c r="AQ141" s="55"/>
      <c r="AR141" s="55"/>
      <c r="AS141" s="55"/>
      <c r="AT141" s="55"/>
      <c r="AU141" s="55"/>
      <c r="AV141" s="55"/>
      <c r="AW141" s="55"/>
      <c r="AX141" s="55"/>
      <c r="AY141" s="55"/>
      <c r="AZ141" s="55"/>
      <c r="BA141" s="55"/>
      <c r="BB141" s="55"/>
      <c r="BC141" s="55"/>
      <c r="BD141" s="55"/>
      <c r="BE141" s="55"/>
      <c r="BF141" s="55"/>
      <c r="BG141" s="55"/>
      <c r="BH141" s="55"/>
      <c r="BI141" s="55"/>
      <c r="BJ141" s="55"/>
      <c r="BK141" s="55"/>
      <c r="BL141" s="55"/>
      <c r="BM141" s="55"/>
      <c r="BN141" s="55"/>
      <c r="BO141" s="55"/>
      <c r="BP141" s="55"/>
      <c r="BQ141" s="55"/>
      <c r="BR141" s="55"/>
      <c r="BS141" s="55"/>
      <c r="BT141" s="55"/>
      <c r="BU141" s="55"/>
      <c r="BV141" s="55"/>
      <c r="BW141" s="55"/>
      <c r="BX141" s="55"/>
      <c r="BY141" s="55"/>
      <c r="BZ141" s="55"/>
      <c r="CA141" s="55"/>
      <c r="CB141" s="55"/>
      <c r="CC141" s="55"/>
      <c r="CD141" s="55"/>
      <c r="CE141" s="55"/>
      <c r="CF141" s="55"/>
      <c r="CG141" s="55"/>
      <c r="CH141" s="55"/>
      <c r="CI141" s="55"/>
      <c r="CJ141" s="55"/>
      <c r="CK141" s="55"/>
      <c r="CL141" s="55"/>
      <c r="CM141" s="55"/>
      <c r="CN141" s="55"/>
      <c r="CO141" s="55"/>
      <c r="CP141" s="55"/>
      <c r="CQ141" s="55"/>
      <c r="CR141" s="55"/>
      <c r="CS141" s="55"/>
      <c r="CT141" s="55"/>
      <c r="CU141" s="55"/>
      <c r="CV141" s="55"/>
      <c r="CW141" s="55"/>
      <c r="CX141" s="55"/>
      <c r="CY141" s="55"/>
      <c r="CZ141" s="55"/>
      <c r="DA141" s="55"/>
      <c r="DB141" s="55"/>
      <c r="DC141" s="55"/>
      <c r="DD141" s="55"/>
      <c r="DE141" s="55"/>
      <c r="DF141" s="55"/>
      <c r="DG141" s="55"/>
      <c r="DH141" s="55"/>
      <c r="DI141" s="55"/>
      <c r="DJ141" s="55"/>
      <c r="DK141" s="55"/>
      <c r="DL141" s="55"/>
      <c r="DM141" s="55"/>
      <c r="DN141" s="55"/>
      <c r="DO141" s="55"/>
      <c r="DP141" s="55"/>
      <c r="DQ141" s="55"/>
      <c r="DR141" s="55"/>
      <c r="DS141" s="55"/>
      <c r="DT141" s="55"/>
      <c r="DU141" s="55"/>
      <c r="DV141" s="55"/>
      <c r="DW141" s="55"/>
      <c r="DX141" s="55"/>
      <c r="DY141" s="55"/>
      <c r="DZ141" s="55"/>
      <c r="EA141" s="55"/>
      <c r="EB141" s="55"/>
      <c r="EC141" s="55"/>
      <c r="ED141" s="55"/>
      <c r="EE141" s="55"/>
      <c r="EF141" s="55"/>
      <c r="EG141" s="55"/>
      <c r="EH141" s="55"/>
      <c r="EI141" s="55"/>
      <c r="EJ141" s="55"/>
      <c r="EK141" s="55"/>
      <c r="EL141" s="55"/>
      <c r="EM141" s="55"/>
      <c r="EN141" s="55"/>
      <c r="EO141" s="55"/>
      <c r="EP141" s="55"/>
      <c r="EQ141" s="55"/>
      <c r="ER141" s="55"/>
      <c r="ES141" s="55"/>
      <c r="ET141" s="55"/>
      <c r="EU141" s="55"/>
      <c r="EV141" s="55"/>
      <c r="EW141" s="55"/>
      <c r="EX141" s="55"/>
      <c r="EY141" s="55"/>
      <c r="EZ141" s="55"/>
      <c r="FA141" s="55"/>
      <c r="FB141" s="55"/>
      <c r="FC141" s="55"/>
      <c r="FD141" s="55"/>
      <c r="FE141" s="55"/>
      <c r="FF141" s="55"/>
      <c r="FG141" s="55"/>
      <c r="FH141" s="55"/>
      <c r="FI141" s="55"/>
      <c r="FJ141" s="55"/>
      <c r="FK141" s="55"/>
      <c r="FL141" s="55"/>
      <c r="FM141" s="55"/>
      <c r="FN141" s="55"/>
      <c r="FO141" s="55"/>
      <c r="FP141" s="55"/>
      <c r="FQ141" s="55"/>
      <c r="FR141" s="55"/>
      <c r="FS141" s="55"/>
      <c r="FT141" s="55"/>
      <c r="FU141" s="55"/>
      <c r="FV141" s="55"/>
      <c r="FW141" s="55"/>
      <c r="FX141" s="55"/>
      <c r="FY141" s="55"/>
      <c r="FZ141" s="55"/>
      <c r="GA141" s="55"/>
      <c r="GB141" s="55"/>
      <c r="GC141" s="55"/>
      <c r="GD141" s="55"/>
      <c r="GE141" s="55"/>
      <c r="GF141" s="55"/>
      <c r="GG141" s="55"/>
      <c r="GH141" s="55"/>
      <c r="GI141" s="55"/>
      <c r="GJ141" s="55"/>
      <c r="GK141" s="55"/>
      <c r="GL141" s="55"/>
      <c r="GM141" s="55"/>
      <c r="GN141" s="55"/>
      <c r="GO141" s="55"/>
      <c r="GP141" s="55"/>
      <c r="GQ141" s="55"/>
      <c r="GR141" s="55"/>
      <c r="GS141" s="55"/>
      <c r="GT141" s="55"/>
      <c r="GU141" s="55"/>
      <c r="GV141" s="55"/>
      <c r="GW141" s="55"/>
      <c r="GX141" s="55"/>
      <c r="GY141" s="55"/>
      <c r="GZ141" s="55"/>
      <c r="HA141" s="55"/>
      <c r="HB141" s="55"/>
      <c r="HC141" s="55"/>
      <c r="HD141" s="55"/>
      <c r="HE141" s="55"/>
      <c r="HF141" s="55"/>
      <c r="HG141" s="55"/>
      <c r="HH141" s="55"/>
      <c r="HI141" s="55"/>
      <c r="HJ141" s="55"/>
      <c r="HK141" s="55"/>
      <c r="HL141" s="55"/>
      <c r="HM141" s="55"/>
      <c r="HN141" s="55"/>
      <c r="HO141" s="55"/>
      <c r="HP141" s="55"/>
      <c r="HQ141" s="55"/>
      <c r="HR141" s="55"/>
      <c r="HS141" s="55"/>
      <c r="HT141" s="55"/>
      <c r="HU141" s="55"/>
      <c r="HV141" s="55"/>
      <c r="HW141" s="55"/>
      <c r="HX141" s="55"/>
      <c r="HY141" s="55"/>
      <c r="HZ141" s="55"/>
      <c r="IA141" s="55"/>
      <c r="IB141" s="55"/>
      <c r="IC141" s="55"/>
      <c r="ID141" s="55"/>
    </row>
    <row r="142" s="55" customFormat="1" ht="54" customHeight="1" spans="1:32">
      <c r="A142" s="112" t="s">
        <v>95</v>
      </c>
      <c r="B142" s="163" t="s">
        <v>563</v>
      </c>
      <c r="C142" s="64" t="s">
        <v>610</v>
      </c>
      <c r="D142" s="65"/>
      <c r="E142" s="77"/>
      <c r="F142" s="77" t="s">
        <v>611</v>
      </c>
      <c r="G142" s="64"/>
      <c r="H142" s="78">
        <v>53</v>
      </c>
      <c r="I142" s="78">
        <v>48</v>
      </c>
      <c r="J142" s="83">
        <v>52.5</v>
      </c>
      <c r="K142" s="83">
        <v>50</v>
      </c>
      <c r="L142" s="83">
        <v>42.5</v>
      </c>
      <c r="M142" s="41">
        <v>48</v>
      </c>
      <c r="N142" s="41">
        <v>44</v>
      </c>
      <c r="O142" s="41">
        <v>39</v>
      </c>
      <c r="P142" s="64" t="s">
        <v>37</v>
      </c>
      <c r="Q142" s="64" t="s">
        <v>35</v>
      </c>
      <c r="R142" s="64" t="s">
        <v>348</v>
      </c>
      <c r="S142" s="83"/>
      <c r="T142" s="77" t="s">
        <v>612</v>
      </c>
      <c r="U142" s="105" t="s">
        <v>613</v>
      </c>
      <c r="V142" s="105">
        <v>310300104</v>
      </c>
      <c r="W142" s="106" t="s">
        <v>614</v>
      </c>
      <c r="X142" s="105" t="s">
        <v>615</v>
      </c>
      <c r="Y142" s="105"/>
      <c r="Z142" s="105" t="s">
        <v>36</v>
      </c>
      <c r="AA142" s="110" t="s">
        <v>35</v>
      </c>
      <c r="AB142" s="50">
        <v>52.5</v>
      </c>
      <c r="AC142" s="50">
        <v>50</v>
      </c>
      <c r="AD142" s="50">
        <v>42.5</v>
      </c>
      <c r="AE142" s="112" t="s">
        <v>37</v>
      </c>
      <c r="AF142" s="60"/>
    </row>
    <row r="143" s="52" customFormat="1" ht="25.5" spans="1:238">
      <c r="A143" s="112">
        <v>44</v>
      </c>
      <c r="B143" s="164" t="s">
        <v>616</v>
      </c>
      <c r="C143" s="64" t="s">
        <v>617</v>
      </c>
      <c r="D143" s="65" t="s">
        <v>618</v>
      </c>
      <c r="E143" s="77" t="s">
        <v>619</v>
      </c>
      <c r="F143" s="77" t="s">
        <v>620</v>
      </c>
      <c r="G143" s="64" t="s">
        <v>36</v>
      </c>
      <c r="H143" s="78">
        <v>16</v>
      </c>
      <c r="I143" s="78">
        <v>14</v>
      </c>
      <c r="J143" s="83">
        <v>10.5</v>
      </c>
      <c r="K143" s="83">
        <v>10</v>
      </c>
      <c r="L143" s="83">
        <v>8.5</v>
      </c>
      <c r="M143" s="89">
        <v>15</v>
      </c>
      <c r="N143" s="89">
        <v>13.5</v>
      </c>
      <c r="O143" s="89">
        <v>11.5</v>
      </c>
      <c r="P143" s="64" t="s">
        <v>621</v>
      </c>
      <c r="Q143" s="64" t="s">
        <v>35</v>
      </c>
      <c r="R143" s="64" t="s">
        <v>35</v>
      </c>
      <c r="S143" s="83" t="s">
        <v>333</v>
      </c>
      <c r="T143" s="77" t="s">
        <v>622</v>
      </c>
      <c r="U143" s="105" t="s">
        <v>623</v>
      </c>
      <c r="V143" s="105">
        <v>310300098</v>
      </c>
      <c r="W143" s="106" t="s">
        <v>624</v>
      </c>
      <c r="X143" s="105"/>
      <c r="Y143" s="105"/>
      <c r="Z143" s="105" t="s">
        <v>36</v>
      </c>
      <c r="AA143" s="110" t="s">
        <v>35</v>
      </c>
      <c r="AB143" s="50">
        <v>10.5</v>
      </c>
      <c r="AC143" s="50">
        <v>10</v>
      </c>
      <c r="AD143" s="50">
        <v>8.5</v>
      </c>
      <c r="AE143" s="112"/>
      <c r="AF143" s="60"/>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c r="BZ143" s="55"/>
      <c r="CA143" s="55"/>
      <c r="CB143" s="55"/>
      <c r="CC143" s="55"/>
      <c r="CD143" s="55"/>
      <c r="CE143" s="55"/>
      <c r="CF143" s="55"/>
      <c r="CG143" s="55"/>
      <c r="CH143" s="55"/>
      <c r="CI143" s="55"/>
      <c r="CJ143" s="55"/>
      <c r="CK143" s="55"/>
      <c r="CL143" s="55"/>
      <c r="CM143" s="55"/>
      <c r="CN143" s="55"/>
      <c r="CO143" s="55"/>
      <c r="CP143" s="55"/>
      <c r="CQ143" s="55"/>
      <c r="CR143" s="55"/>
      <c r="CS143" s="55"/>
      <c r="CT143" s="55"/>
      <c r="CU143" s="55"/>
      <c r="CV143" s="55"/>
      <c r="CW143" s="55"/>
      <c r="CX143" s="55"/>
      <c r="CY143" s="55"/>
      <c r="CZ143" s="55"/>
      <c r="DA143" s="55"/>
      <c r="DB143" s="55"/>
      <c r="DC143" s="55"/>
      <c r="DD143" s="55"/>
      <c r="DE143" s="55"/>
      <c r="DF143" s="55"/>
      <c r="DG143" s="55"/>
      <c r="DH143" s="55"/>
      <c r="DI143" s="55"/>
      <c r="DJ143" s="55"/>
      <c r="DK143" s="55"/>
      <c r="DL143" s="55"/>
      <c r="DM143" s="55"/>
      <c r="DN143" s="55"/>
      <c r="DO143" s="55"/>
      <c r="DP143" s="55"/>
      <c r="DQ143" s="55"/>
      <c r="DR143" s="55"/>
      <c r="DS143" s="55"/>
      <c r="DT143" s="55"/>
      <c r="DU143" s="55"/>
      <c r="DV143" s="55"/>
      <c r="DW143" s="55"/>
      <c r="DX143" s="55"/>
      <c r="DY143" s="55"/>
      <c r="DZ143" s="55"/>
      <c r="EA143" s="55"/>
      <c r="EB143" s="55"/>
      <c r="EC143" s="55"/>
      <c r="ED143" s="55"/>
      <c r="EE143" s="55"/>
      <c r="EF143" s="55"/>
      <c r="EG143" s="55"/>
      <c r="EH143" s="55"/>
      <c r="EI143" s="55"/>
      <c r="EJ143" s="55"/>
      <c r="EK143" s="55"/>
      <c r="EL143" s="55"/>
      <c r="EM143" s="55"/>
      <c r="EN143" s="55"/>
      <c r="EO143" s="55"/>
      <c r="EP143" s="55"/>
      <c r="EQ143" s="55"/>
      <c r="ER143" s="55"/>
      <c r="ES143" s="55"/>
      <c r="ET143" s="55"/>
      <c r="EU143" s="55"/>
      <c r="EV143" s="55"/>
      <c r="EW143" s="55"/>
      <c r="EX143" s="55"/>
      <c r="EY143" s="55"/>
      <c r="EZ143" s="55"/>
      <c r="FA143" s="55"/>
      <c r="FB143" s="55"/>
      <c r="FC143" s="55"/>
      <c r="FD143" s="55"/>
      <c r="FE143" s="55"/>
      <c r="FF143" s="55"/>
      <c r="FG143" s="55"/>
      <c r="FH143" s="55"/>
      <c r="FI143" s="55"/>
      <c r="FJ143" s="55"/>
      <c r="FK143" s="55"/>
      <c r="FL143" s="55"/>
      <c r="FM143" s="55"/>
      <c r="FN143" s="55"/>
      <c r="FO143" s="55"/>
      <c r="FP143" s="55"/>
      <c r="FQ143" s="55"/>
      <c r="FR143" s="55"/>
      <c r="FS143" s="55"/>
      <c r="FT143" s="55"/>
      <c r="FU143" s="55"/>
      <c r="FV143" s="55"/>
      <c r="FW143" s="55"/>
      <c r="FX143" s="55"/>
      <c r="FY143" s="55"/>
      <c r="FZ143" s="55"/>
      <c r="GA143" s="55"/>
      <c r="GB143" s="55"/>
      <c r="GC143" s="55"/>
      <c r="GD143" s="55"/>
      <c r="GE143" s="55"/>
      <c r="GF143" s="55"/>
      <c r="GG143" s="55"/>
      <c r="GH143" s="55"/>
      <c r="GI143" s="55"/>
      <c r="GJ143" s="55"/>
      <c r="GK143" s="55"/>
      <c r="GL143" s="55"/>
      <c r="GM143" s="55"/>
      <c r="GN143" s="55"/>
      <c r="GO143" s="55"/>
      <c r="GP143" s="55"/>
      <c r="GQ143" s="55"/>
      <c r="GR143" s="55"/>
      <c r="GS143" s="55"/>
      <c r="GT143" s="55"/>
      <c r="GU143" s="55"/>
      <c r="GV143" s="55"/>
      <c r="GW143" s="55"/>
      <c r="GX143" s="55"/>
      <c r="GY143" s="55"/>
      <c r="GZ143" s="55"/>
      <c r="HA143" s="55"/>
      <c r="HB143" s="55"/>
      <c r="HC143" s="55"/>
      <c r="HD143" s="55"/>
      <c r="HE143" s="55"/>
      <c r="HF143" s="55"/>
      <c r="HG143" s="55"/>
      <c r="HH143" s="55"/>
      <c r="HI143" s="55"/>
      <c r="HJ143" s="55"/>
      <c r="HK143" s="55"/>
      <c r="HL143" s="55"/>
      <c r="HM143" s="55"/>
      <c r="HN143" s="55"/>
      <c r="HO143" s="55"/>
      <c r="HP143" s="55"/>
      <c r="HQ143" s="55"/>
      <c r="HR143" s="55"/>
      <c r="HS143" s="55"/>
      <c r="HT143" s="55"/>
      <c r="HU143" s="55"/>
      <c r="HV143" s="55"/>
      <c r="HW143" s="55"/>
      <c r="HX143" s="55"/>
      <c r="HY143" s="55"/>
      <c r="HZ143" s="55"/>
      <c r="IA143" s="55"/>
      <c r="IB143" s="55"/>
      <c r="IC143" s="55"/>
      <c r="ID143" s="55"/>
    </row>
    <row r="144" s="52" customFormat="1" ht="25.5" spans="1:238">
      <c r="A144" s="112"/>
      <c r="B144" s="112"/>
      <c r="C144" s="64"/>
      <c r="D144" s="65"/>
      <c r="E144" s="77"/>
      <c r="F144" s="77"/>
      <c r="G144" s="64"/>
      <c r="H144" s="42"/>
      <c r="I144" s="42"/>
      <c r="J144" s="83"/>
      <c r="K144" s="83"/>
      <c r="L144" s="83"/>
      <c r="M144" s="89"/>
      <c r="N144" s="89"/>
      <c r="O144" s="89"/>
      <c r="P144" s="64"/>
      <c r="Q144" s="64"/>
      <c r="R144" s="64"/>
      <c r="S144" s="83"/>
      <c r="T144" s="77"/>
      <c r="U144" s="105" t="s">
        <v>625</v>
      </c>
      <c r="V144" s="105">
        <v>310300107</v>
      </c>
      <c r="W144" s="106" t="s">
        <v>626</v>
      </c>
      <c r="X144" s="105" t="s">
        <v>627</v>
      </c>
      <c r="Y144" s="105"/>
      <c r="Z144" s="105" t="s">
        <v>36</v>
      </c>
      <c r="AA144" s="110" t="s">
        <v>35</v>
      </c>
      <c r="AB144" s="50">
        <v>10.5</v>
      </c>
      <c r="AC144" s="50">
        <v>10</v>
      </c>
      <c r="AD144" s="50">
        <v>8.5</v>
      </c>
      <c r="AE144" s="112" t="s">
        <v>37</v>
      </c>
      <c r="AF144" s="60"/>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c r="BZ144" s="55"/>
      <c r="CA144" s="55"/>
      <c r="CB144" s="55"/>
      <c r="CC144" s="55"/>
      <c r="CD144" s="55"/>
      <c r="CE144" s="55"/>
      <c r="CF144" s="55"/>
      <c r="CG144" s="55"/>
      <c r="CH144" s="55"/>
      <c r="CI144" s="55"/>
      <c r="CJ144" s="55"/>
      <c r="CK144" s="55"/>
      <c r="CL144" s="55"/>
      <c r="CM144" s="55"/>
      <c r="CN144" s="55"/>
      <c r="CO144" s="55"/>
      <c r="CP144" s="55"/>
      <c r="CQ144" s="55"/>
      <c r="CR144" s="55"/>
      <c r="CS144" s="55"/>
      <c r="CT144" s="55"/>
      <c r="CU144" s="55"/>
      <c r="CV144" s="55"/>
      <c r="CW144" s="55"/>
      <c r="CX144" s="55"/>
      <c r="CY144" s="55"/>
      <c r="CZ144" s="55"/>
      <c r="DA144" s="55"/>
      <c r="DB144" s="55"/>
      <c r="DC144" s="55"/>
      <c r="DD144" s="55"/>
      <c r="DE144" s="55"/>
      <c r="DF144" s="55"/>
      <c r="DG144" s="55"/>
      <c r="DH144" s="55"/>
      <c r="DI144" s="55"/>
      <c r="DJ144" s="55"/>
      <c r="DK144" s="55"/>
      <c r="DL144" s="55"/>
      <c r="DM144" s="55"/>
      <c r="DN144" s="55"/>
      <c r="DO144" s="55"/>
      <c r="DP144" s="55"/>
      <c r="DQ144" s="55"/>
      <c r="DR144" s="55"/>
      <c r="DS144" s="55"/>
      <c r="DT144" s="55"/>
      <c r="DU144" s="55"/>
      <c r="DV144" s="55"/>
      <c r="DW144" s="55"/>
      <c r="DX144" s="55"/>
      <c r="DY144" s="55"/>
      <c r="DZ144" s="55"/>
      <c r="EA144" s="55"/>
      <c r="EB144" s="55"/>
      <c r="EC144" s="55"/>
      <c r="ED144" s="55"/>
      <c r="EE144" s="55"/>
      <c r="EF144" s="55"/>
      <c r="EG144" s="55"/>
      <c r="EH144" s="55"/>
      <c r="EI144" s="55"/>
      <c r="EJ144" s="55"/>
      <c r="EK144" s="55"/>
      <c r="EL144" s="55"/>
      <c r="EM144" s="55"/>
      <c r="EN144" s="55"/>
      <c r="EO144" s="55"/>
      <c r="EP144" s="55"/>
      <c r="EQ144" s="55"/>
      <c r="ER144" s="55"/>
      <c r="ES144" s="55"/>
      <c r="ET144" s="55"/>
      <c r="EU144" s="55"/>
      <c r="EV144" s="55"/>
      <c r="EW144" s="55"/>
      <c r="EX144" s="55"/>
      <c r="EY144" s="55"/>
      <c r="EZ144" s="55"/>
      <c r="FA144" s="55"/>
      <c r="FB144" s="55"/>
      <c r="FC144" s="55"/>
      <c r="FD144" s="55"/>
      <c r="FE144" s="55"/>
      <c r="FF144" s="55"/>
      <c r="FG144" s="55"/>
      <c r="FH144" s="55"/>
      <c r="FI144" s="55"/>
      <c r="FJ144" s="55"/>
      <c r="FK144" s="55"/>
      <c r="FL144" s="55"/>
      <c r="FM144" s="55"/>
      <c r="FN144" s="55"/>
      <c r="FO144" s="55"/>
      <c r="FP144" s="55"/>
      <c r="FQ144" s="55"/>
      <c r="FR144" s="55"/>
      <c r="FS144" s="55"/>
      <c r="FT144" s="55"/>
      <c r="FU144" s="55"/>
      <c r="FV144" s="55"/>
      <c r="FW144" s="55"/>
      <c r="FX144" s="55"/>
      <c r="FY144" s="55"/>
      <c r="FZ144" s="55"/>
      <c r="GA144" s="55"/>
      <c r="GB144" s="55"/>
      <c r="GC144" s="55"/>
      <c r="GD144" s="55"/>
      <c r="GE144" s="55"/>
      <c r="GF144" s="55"/>
      <c r="GG144" s="55"/>
      <c r="GH144" s="55"/>
      <c r="GI144" s="55"/>
      <c r="GJ144" s="55"/>
      <c r="GK144" s="55"/>
      <c r="GL144" s="55"/>
      <c r="GM144" s="55"/>
      <c r="GN144" s="55"/>
      <c r="GO144" s="55"/>
      <c r="GP144" s="55"/>
      <c r="GQ144" s="55"/>
      <c r="GR144" s="55"/>
      <c r="GS144" s="55"/>
      <c r="GT144" s="55"/>
      <c r="GU144" s="55"/>
      <c r="GV144" s="55"/>
      <c r="GW144" s="55"/>
      <c r="GX144" s="55"/>
      <c r="GY144" s="55"/>
      <c r="GZ144" s="55"/>
      <c r="HA144" s="55"/>
      <c r="HB144" s="55"/>
      <c r="HC144" s="55"/>
      <c r="HD144" s="55"/>
      <c r="HE144" s="55"/>
      <c r="HF144" s="55"/>
      <c r="HG144" s="55"/>
      <c r="HH144" s="55"/>
      <c r="HI144" s="55"/>
      <c r="HJ144" s="55"/>
      <c r="HK144" s="55"/>
      <c r="HL144" s="55"/>
      <c r="HM144" s="55"/>
      <c r="HN144" s="55"/>
      <c r="HO144" s="55"/>
      <c r="HP144" s="55"/>
      <c r="HQ144" s="55"/>
      <c r="HR144" s="55"/>
      <c r="HS144" s="55"/>
      <c r="HT144" s="55"/>
      <c r="HU144" s="55"/>
      <c r="HV144" s="55"/>
      <c r="HW144" s="55"/>
      <c r="HX144" s="55"/>
      <c r="HY144" s="55"/>
      <c r="HZ144" s="55"/>
      <c r="IA144" s="55"/>
      <c r="IB144" s="55"/>
      <c r="IC144" s="55"/>
      <c r="ID144" s="55"/>
    </row>
    <row r="145" s="52" customFormat="1" ht="25.5" spans="1:238">
      <c r="A145" s="112"/>
      <c r="B145" s="112"/>
      <c r="C145" s="64"/>
      <c r="D145" s="65"/>
      <c r="E145" s="77"/>
      <c r="F145" s="77"/>
      <c r="G145" s="64"/>
      <c r="H145" s="42"/>
      <c r="I145" s="42"/>
      <c r="J145" s="83"/>
      <c r="K145" s="83"/>
      <c r="L145" s="83"/>
      <c r="M145" s="89"/>
      <c r="N145" s="89"/>
      <c r="O145" s="89"/>
      <c r="P145" s="64"/>
      <c r="Q145" s="64"/>
      <c r="R145" s="64"/>
      <c r="S145" s="83"/>
      <c r="T145" s="77"/>
      <c r="U145" s="105" t="s">
        <v>628</v>
      </c>
      <c r="V145" s="105">
        <v>310300108</v>
      </c>
      <c r="W145" s="106" t="s">
        <v>629</v>
      </c>
      <c r="X145" s="105"/>
      <c r="Y145" s="105"/>
      <c r="Z145" s="105" t="s">
        <v>36</v>
      </c>
      <c r="AA145" s="110" t="s">
        <v>35</v>
      </c>
      <c r="AB145" s="50">
        <v>10.5</v>
      </c>
      <c r="AC145" s="50">
        <v>10</v>
      </c>
      <c r="AD145" s="50">
        <v>8.5</v>
      </c>
      <c r="AE145" s="112" t="s">
        <v>37</v>
      </c>
      <c r="AF145" s="60"/>
      <c r="AG145" s="55"/>
      <c r="AH145" s="55"/>
      <c r="AI145" s="55"/>
      <c r="AJ145" s="55"/>
      <c r="AK145" s="55"/>
      <c r="AL145" s="55"/>
      <c r="AM145" s="55"/>
      <c r="AN145" s="55"/>
      <c r="AO145" s="55"/>
      <c r="AP145" s="55"/>
      <c r="AQ145" s="55"/>
      <c r="AR145" s="55"/>
      <c r="AS145" s="55"/>
      <c r="AT145" s="55"/>
      <c r="AU145" s="55"/>
      <c r="AV145" s="55"/>
      <c r="AW145" s="55"/>
      <c r="AX145" s="55"/>
      <c r="AY145" s="55"/>
      <c r="AZ145" s="55"/>
      <c r="BA145" s="55"/>
      <c r="BB145" s="55"/>
      <c r="BC145" s="55"/>
      <c r="BD145" s="55"/>
      <c r="BE145" s="55"/>
      <c r="BF145" s="55"/>
      <c r="BG145" s="55"/>
      <c r="BH145" s="55"/>
      <c r="BI145" s="55"/>
      <c r="BJ145" s="55"/>
      <c r="BK145" s="55"/>
      <c r="BL145" s="55"/>
      <c r="BM145" s="55"/>
      <c r="BN145" s="55"/>
      <c r="BO145" s="55"/>
      <c r="BP145" s="55"/>
      <c r="BQ145" s="55"/>
      <c r="BR145" s="55"/>
      <c r="BS145" s="55"/>
      <c r="BT145" s="55"/>
      <c r="BU145" s="55"/>
      <c r="BV145" s="55"/>
      <c r="BW145" s="55"/>
      <c r="BX145" s="55"/>
      <c r="BY145" s="55"/>
      <c r="BZ145" s="55"/>
      <c r="CA145" s="55"/>
      <c r="CB145" s="55"/>
      <c r="CC145" s="55"/>
      <c r="CD145" s="55"/>
      <c r="CE145" s="55"/>
      <c r="CF145" s="55"/>
      <c r="CG145" s="55"/>
      <c r="CH145" s="55"/>
      <c r="CI145" s="55"/>
      <c r="CJ145" s="55"/>
      <c r="CK145" s="55"/>
      <c r="CL145" s="55"/>
      <c r="CM145" s="55"/>
      <c r="CN145" s="55"/>
      <c r="CO145" s="55"/>
      <c r="CP145" s="55"/>
      <c r="CQ145" s="55"/>
      <c r="CR145" s="55"/>
      <c r="CS145" s="55"/>
      <c r="CT145" s="55"/>
      <c r="CU145" s="55"/>
      <c r="CV145" s="55"/>
      <c r="CW145" s="55"/>
      <c r="CX145" s="55"/>
      <c r="CY145" s="55"/>
      <c r="CZ145" s="55"/>
      <c r="DA145" s="55"/>
      <c r="DB145" s="55"/>
      <c r="DC145" s="55"/>
      <c r="DD145" s="55"/>
      <c r="DE145" s="55"/>
      <c r="DF145" s="55"/>
      <c r="DG145" s="55"/>
      <c r="DH145" s="55"/>
      <c r="DI145" s="55"/>
      <c r="DJ145" s="55"/>
      <c r="DK145" s="55"/>
      <c r="DL145" s="55"/>
      <c r="DM145" s="55"/>
      <c r="DN145" s="55"/>
      <c r="DO145" s="55"/>
      <c r="DP145" s="55"/>
      <c r="DQ145" s="55"/>
      <c r="DR145" s="55"/>
      <c r="DS145" s="55"/>
      <c r="DT145" s="55"/>
      <c r="DU145" s="55"/>
      <c r="DV145" s="55"/>
      <c r="DW145" s="55"/>
      <c r="DX145" s="55"/>
      <c r="DY145" s="55"/>
      <c r="DZ145" s="55"/>
      <c r="EA145" s="55"/>
      <c r="EB145" s="55"/>
      <c r="EC145" s="55"/>
      <c r="ED145" s="55"/>
      <c r="EE145" s="55"/>
      <c r="EF145" s="55"/>
      <c r="EG145" s="55"/>
      <c r="EH145" s="55"/>
      <c r="EI145" s="55"/>
      <c r="EJ145" s="55"/>
      <c r="EK145" s="55"/>
      <c r="EL145" s="55"/>
      <c r="EM145" s="55"/>
      <c r="EN145" s="55"/>
      <c r="EO145" s="55"/>
      <c r="EP145" s="55"/>
      <c r="EQ145" s="55"/>
      <c r="ER145" s="55"/>
      <c r="ES145" s="55"/>
      <c r="ET145" s="55"/>
      <c r="EU145" s="55"/>
      <c r="EV145" s="55"/>
      <c r="EW145" s="55"/>
      <c r="EX145" s="55"/>
      <c r="EY145" s="55"/>
      <c r="EZ145" s="55"/>
      <c r="FA145" s="55"/>
      <c r="FB145" s="55"/>
      <c r="FC145" s="55"/>
      <c r="FD145" s="55"/>
      <c r="FE145" s="55"/>
      <c r="FF145" s="55"/>
      <c r="FG145" s="55"/>
      <c r="FH145" s="55"/>
      <c r="FI145" s="55"/>
      <c r="FJ145" s="55"/>
      <c r="FK145" s="55"/>
      <c r="FL145" s="55"/>
      <c r="FM145" s="55"/>
      <c r="FN145" s="55"/>
      <c r="FO145" s="55"/>
      <c r="FP145" s="55"/>
      <c r="FQ145" s="55"/>
      <c r="FR145" s="55"/>
      <c r="FS145" s="55"/>
      <c r="FT145" s="55"/>
      <c r="FU145" s="55"/>
      <c r="FV145" s="55"/>
      <c r="FW145" s="55"/>
      <c r="FX145" s="55"/>
      <c r="FY145" s="55"/>
      <c r="FZ145" s="55"/>
      <c r="GA145" s="55"/>
      <c r="GB145" s="55"/>
      <c r="GC145" s="55"/>
      <c r="GD145" s="55"/>
      <c r="GE145" s="55"/>
      <c r="GF145" s="55"/>
      <c r="GG145" s="55"/>
      <c r="GH145" s="55"/>
      <c r="GI145" s="55"/>
      <c r="GJ145" s="55"/>
      <c r="GK145" s="55"/>
      <c r="GL145" s="55"/>
      <c r="GM145" s="55"/>
      <c r="GN145" s="55"/>
      <c r="GO145" s="55"/>
      <c r="GP145" s="55"/>
      <c r="GQ145" s="55"/>
      <c r="GR145" s="55"/>
      <c r="GS145" s="55"/>
      <c r="GT145" s="55"/>
      <c r="GU145" s="55"/>
      <c r="GV145" s="55"/>
      <c r="GW145" s="55"/>
      <c r="GX145" s="55"/>
      <c r="GY145" s="55"/>
      <c r="GZ145" s="55"/>
      <c r="HA145" s="55"/>
      <c r="HB145" s="55"/>
      <c r="HC145" s="55"/>
      <c r="HD145" s="55"/>
      <c r="HE145" s="55"/>
      <c r="HF145" s="55"/>
      <c r="HG145" s="55"/>
      <c r="HH145" s="55"/>
      <c r="HI145" s="55"/>
      <c r="HJ145" s="55"/>
      <c r="HK145" s="55"/>
      <c r="HL145" s="55"/>
      <c r="HM145" s="55"/>
      <c r="HN145" s="55"/>
      <c r="HO145" s="55"/>
      <c r="HP145" s="55"/>
      <c r="HQ145" s="55"/>
      <c r="HR145" s="55"/>
      <c r="HS145" s="55"/>
      <c r="HT145" s="55"/>
      <c r="HU145" s="55"/>
      <c r="HV145" s="55"/>
      <c r="HW145" s="55"/>
      <c r="HX145" s="55"/>
      <c r="HY145" s="55"/>
      <c r="HZ145" s="55"/>
      <c r="IA145" s="55"/>
      <c r="IB145" s="55"/>
      <c r="IC145" s="55"/>
      <c r="ID145" s="55"/>
    </row>
    <row r="146" s="52" customFormat="1" ht="25.5" spans="1:238">
      <c r="A146" s="112"/>
      <c r="B146" s="112"/>
      <c r="C146" s="64"/>
      <c r="D146" s="65"/>
      <c r="E146" s="77"/>
      <c r="F146" s="77"/>
      <c r="G146" s="64"/>
      <c r="H146" s="42"/>
      <c r="I146" s="42"/>
      <c r="J146" s="83"/>
      <c r="K146" s="83"/>
      <c r="L146" s="83"/>
      <c r="M146" s="89"/>
      <c r="N146" s="89"/>
      <c r="O146" s="89"/>
      <c r="P146" s="64"/>
      <c r="Q146" s="64"/>
      <c r="R146" s="64"/>
      <c r="S146" s="83"/>
      <c r="T146" s="77"/>
      <c r="U146" s="105" t="s">
        <v>630</v>
      </c>
      <c r="V146" s="105">
        <v>310300099</v>
      </c>
      <c r="W146" s="106" t="s">
        <v>631</v>
      </c>
      <c r="X146" s="105"/>
      <c r="Y146" s="105"/>
      <c r="Z146" s="105" t="s">
        <v>36</v>
      </c>
      <c r="AA146" s="110" t="s">
        <v>35</v>
      </c>
      <c r="AB146" s="50">
        <v>10.5</v>
      </c>
      <c r="AC146" s="50">
        <v>10</v>
      </c>
      <c r="AD146" s="50">
        <v>8.5</v>
      </c>
      <c r="AE146" s="112"/>
      <c r="AF146" s="60"/>
      <c r="AG146" s="55"/>
      <c r="AH146" s="55"/>
      <c r="AI146" s="55"/>
      <c r="AJ146" s="55"/>
      <c r="AK146" s="55"/>
      <c r="AL146" s="55"/>
      <c r="AM146" s="55"/>
      <c r="AN146" s="55"/>
      <c r="AO146" s="55"/>
      <c r="AP146" s="55"/>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c r="BM146" s="55"/>
      <c r="BN146" s="55"/>
      <c r="BO146" s="55"/>
      <c r="BP146" s="55"/>
      <c r="BQ146" s="55"/>
      <c r="BR146" s="55"/>
      <c r="BS146" s="55"/>
      <c r="BT146" s="55"/>
      <c r="BU146" s="55"/>
      <c r="BV146" s="55"/>
      <c r="BW146" s="55"/>
      <c r="BX146" s="55"/>
      <c r="BY146" s="55"/>
      <c r="BZ146" s="55"/>
      <c r="CA146" s="55"/>
      <c r="CB146" s="55"/>
      <c r="CC146" s="55"/>
      <c r="CD146" s="55"/>
      <c r="CE146" s="55"/>
      <c r="CF146" s="55"/>
      <c r="CG146" s="55"/>
      <c r="CH146" s="55"/>
      <c r="CI146" s="55"/>
      <c r="CJ146" s="55"/>
      <c r="CK146" s="55"/>
      <c r="CL146" s="55"/>
      <c r="CM146" s="55"/>
      <c r="CN146" s="55"/>
      <c r="CO146" s="55"/>
      <c r="CP146" s="55"/>
      <c r="CQ146" s="55"/>
      <c r="CR146" s="55"/>
      <c r="CS146" s="55"/>
      <c r="CT146" s="55"/>
      <c r="CU146" s="55"/>
      <c r="CV146" s="55"/>
      <c r="CW146" s="55"/>
      <c r="CX146" s="55"/>
      <c r="CY146" s="55"/>
      <c r="CZ146" s="55"/>
      <c r="DA146" s="55"/>
      <c r="DB146" s="55"/>
      <c r="DC146" s="55"/>
      <c r="DD146" s="55"/>
      <c r="DE146" s="55"/>
      <c r="DF146" s="55"/>
      <c r="DG146" s="55"/>
      <c r="DH146" s="55"/>
      <c r="DI146" s="55"/>
      <c r="DJ146" s="55"/>
      <c r="DK146" s="55"/>
      <c r="DL146" s="55"/>
      <c r="DM146" s="55"/>
      <c r="DN146" s="55"/>
      <c r="DO146" s="55"/>
      <c r="DP146" s="55"/>
      <c r="DQ146" s="55"/>
      <c r="DR146" s="55"/>
      <c r="DS146" s="55"/>
      <c r="DT146" s="55"/>
      <c r="DU146" s="55"/>
      <c r="DV146" s="55"/>
      <c r="DW146" s="55"/>
      <c r="DX146" s="55"/>
      <c r="DY146" s="55"/>
      <c r="DZ146" s="55"/>
      <c r="EA146" s="55"/>
      <c r="EB146" s="55"/>
      <c r="EC146" s="55"/>
      <c r="ED146" s="55"/>
      <c r="EE146" s="55"/>
      <c r="EF146" s="55"/>
      <c r="EG146" s="55"/>
      <c r="EH146" s="55"/>
      <c r="EI146" s="55"/>
      <c r="EJ146" s="55"/>
      <c r="EK146" s="55"/>
      <c r="EL146" s="55"/>
      <c r="EM146" s="55"/>
      <c r="EN146" s="55"/>
      <c r="EO146" s="55"/>
      <c r="EP146" s="55"/>
      <c r="EQ146" s="55"/>
      <c r="ER146" s="55"/>
      <c r="ES146" s="55"/>
      <c r="ET146" s="55"/>
      <c r="EU146" s="55"/>
      <c r="EV146" s="55"/>
      <c r="EW146" s="55"/>
      <c r="EX146" s="55"/>
      <c r="EY146" s="55"/>
      <c r="EZ146" s="55"/>
      <c r="FA146" s="55"/>
      <c r="FB146" s="55"/>
      <c r="FC146" s="55"/>
      <c r="FD146" s="55"/>
      <c r="FE146" s="55"/>
      <c r="FF146" s="55"/>
      <c r="FG146" s="55"/>
      <c r="FH146" s="55"/>
      <c r="FI146" s="55"/>
      <c r="FJ146" s="55"/>
      <c r="FK146" s="55"/>
      <c r="FL146" s="55"/>
      <c r="FM146" s="55"/>
      <c r="FN146" s="55"/>
      <c r="FO146" s="55"/>
      <c r="FP146" s="55"/>
      <c r="FQ146" s="55"/>
      <c r="FR146" s="55"/>
      <c r="FS146" s="55"/>
      <c r="FT146" s="55"/>
      <c r="FU146" s="55"/>
      <c r="FV146" s="55"/>
      <c r="FW146" s="55"/>
      <c r="FX146" s="55"/>
      <c r="FY146" s="55"/>
      <c r="FZ146" s="55"/>
      <c r="GA146" s="55"/>
      <c r="GB146" s="55"/>
      <c r="GC146" s="55"/>
      <c r="GD146" s="55"/>
      <c r="GE146" s="55"/>
      <c r="GF146" s="55"/>
      <c r="GG146" s="55"/>
      <c r="GH146" s="55"/>
      <c r="GI146" s="55"/>
      <c r="GJ146" s="55"/>
      <c r="GK146" s="55"/>
      <c r="GL146" s="55"/>
      <c r="GM146" s="55"/>
      <c r="GN146" s="55"/>
      <c r="GO146" s="55"/>
      <c r="GP146" s="55"/>
      <c r="GQ146" s="55"/>
      <c r="GR146" s="55"/>
      <c r="GS146" s="55"/>
      <c r="GT146" s="55"/>
      <c r="GU146" s="55"/>
      <c r="GV146" s="55"/>
      <c r="GW146" s="55"/>
      <c r="GX146" s="55"/>
      <c r="GY146" s="55"/>
      <c r="GZ146" s="55"/>
      <c r="HA146" s="55"/>
      <c r="HB146" s="55"/>
      <c r="HC146" s="55"/>
      <c r="HD146" s="55"/>
      <c r="HE146" s="55"/>
      <c r="HF146" s="55"/>
      <c r="HG146" s="55"/>
      <c r="HH146" s="55"/>
      <c r="HI146" s="55"/>
      <c r="HJ146" s="55"/>
      <c r="HK146" s="55"/>
      <c r="HL146" s="55"/>
      <c r="HM146" s="55"/>
      <c r="HN146" s="55"/>
      <c r="HO146" s="55"/>
      <c r="HP146" s="55"/>
      <c r="HQ146" s="55"/>
      <c r="HR146" s="55"/>
      <c r="HS146" s="55"/>
      <c r="HT146" s="55"/>
      <c r="HU146" s="55"/>
      <c r="HV146" s="55"/>
      <c r="HW146" s="55"/>
      <c r="HX146" s="55"/>
      <c r="HY146" s="55"/>
      <c r="HZ146" s="55"/>
      <c r="IA146" s="55"/>
      <c r="IB146" s="55"/>
      <c r="IC146" s="55"/>
      <c r="ID146" s="55"/>
    </row>
    <row r="147" s="52" customFormat="1" ht="41" customHeight="1" spans="1:238">
      <c r="A147" s="112" t="s">
        <v>95</v>
      </c>
      <c r="B147" s="163" t="s">
        <v>616</v>
      </c>
      <c r="C147" s="64" t="s">
        <v>632</v>
      </c>
      <c r="D147" s="65"/>
      <c r="E147" s="77"/>
      <c r="F147" s="77" t="s">
        <v>35</v>
      </c>
      <c r="G147" s="64"/>
      <c r="H147" s="78">
        <v>4.8</v>
      </c>
      <c r="I147" s="78">
        <v>4.2</v>
      </c>
      <c r="J147" s="83"/>
      <c r="K147" s="83"/>
      <c r="L147" s="83"/>
      <c r="M147" s="41">
        <v>4.5</v>
      </c>
      <c r="N147" s="41">
        <v>4</v>
      </c>
      <c r="O147" s="41">
        <v>3.5</v>
      </c>
      <c r="P147" s="64" t="s">
        <v>621</v>
      </c>
      <c r="Q147" s="64" t="s">
        <v>35</v>
      </c>
      <c r="R147" s="64" t="s">
        <v>35</v>
      </c>
      <c r="S147" s="83"/>
      <c r="T147" s="77" t="s">
        <v>633</v>
      </c>
      <c r="U147" s="105"/>
      <c r="V147" s="105"/>
      <c r="W147" s="106"/>
      <c r="X147" s="105"/>
      <c r="Y147" s="105"/>
      <c r="Z147" s="105"/>
      <c r="AA147" s="110"/>
      <c r="AB147" s="50"/>
      <c r="AC147" s="50"/>
      <c r="AD147" s="50"/>
      <c r="AE147" s="112"/>
      <c r="AF147" s="60"/>
      <c r="AG147" s="55"/>
      <c r="AH147" s="55"/>
      <c r="AI147" s="55"/>
      <c r="AJ147" s="55"/>
      <c r="AK147" s="55"/>
      <c r="AL147" s="55"/>
      <c r="AM147" s="55"/>
      <c r="AN147" s="55"/>
      <c r="AO147" s="55"/>
      <c r="AP147" s="55"/>
      <c r="AQ147" s="55"/>
      <c r="AR147" s="55"/>
      <c r="AS147" s="55"/>
      <c r="AT147" s="55"/>
      <c r="AU147" s="55"/>
      <c r="AV147" s="55"/>
      <c r="AW147" s="55"/>
      <c r="AX147" s="55"/>
      <c r="AY147" s="55"/>
      <c r="AZ147" s="55"/>
      <c r="BA147" s="55"/>
      <c r="BB147" s="55"/>
      <c r="BC147" s="55"/>
      <c r="BD147" s="55"/>
      <c r="BE147" s="55"/>
      <c r="BF147" s="55"/>
      <c r="BG147" s="55"/>
      <c r="BH147" s="55"/>
      <c r="BI147" s="55"/>
      <c r="BJ147" s="55"/>
      <c r="BK147" s="55"/>
      <c r="BL147" s="55"/>
      <c r="BM147" s="55"/>
      <c r="BN147" s="55"/>
      <c r="BO147" s="55"/>
      <c r="BP147" s="55"/>
      <c r="BQ147" s="55"/>
      <c r="BR147" s="55"/>
      <c r="BS147" s="55"/>
      <c r="BT147" s="55"/>
      <c r="BU147" s="55"/>
      <c r="BV147" s="55"/>
      <c r="BW147" s="55"/>
      <c r="BX147" s="55"/>
      <c r="BY147" s="55"/>
      <c r="BZ147" s="55"/>
      <c r="CA147" s="55"/>
      <c r="CB147" s="55"/>
      <c r="CC147" s="55"/>
      <c r="CD147" s="55"/>
      <c r="CE147" s="55"/>
      <c r="CF147" s="55"/>
      <c r="CG147" s="55"/>
      <c r="CH147" s="55"/>
      <c r="CI147" s="55"/>
      <c r="CJ147" s="55"/>
      <c r="CK147" s="55"/>
      <c r="CL147" s="55"/>
      <c r="CM147" s="55"/>
      <c r="CN147" s="55"/>
      <c r="CO147" s="55"/>
      <c r="CP147" s="55"/>
      <c r="CQ147" s="55"/>
      <c r="CR147" s="55"/>
      <c r="CS147" s="55"/>
      <c r="CT147" s="55"/>
      <c r="CU147" s="55"/>
      <c r="CV147" s="55"/>
      <c r="CW147" s="55"/>
      <c r="CX147" s="55"/>
      <c r="CY147" s="55"/>
      <c r="CZ147" s="55"/>
      <c r="DA147" s="55"/>
      <c r="DB147" s="55"/>
      <c r="DC147" s="55"/>
      <c r="DD147" s="55"/>
      <c r="DE147" s="55"/>
      <c r="DF147" s="55"/>
      <c r="DG147" s="55"/>
      <c r="DH147" s="55"/>
      <c r="DI147" s="55"/>
      <c r="DJ147" s="55"/>
      <c r="DK147" s="55"/>
      <c r="DL147" s="55"/>
      <c r="DM147" s="55"/>
      <c r="DN147" s="55"/>
      <c r="DO147" s="55"/>
      <c r="DP147" s="55"/>
      <c r="DQ147" s="55"/>
      <c r="DR147" s="55"/>
      <c r="DS147" s="55"/>
      <c r="DT147" s="55"/>
      <c r="DU147" s="55"/>
      <c r="DV147" s="55"/>
      <c r="DW147" s="55"/>
      <c r="DX147" s="55"/>
      <c r="DY147" s="55"/>
      <c r="DZ147" s="55"/>
      <c r="EA147" s="55"/>
      <c r="EB147" s="55"/>
      <c r="EC147" s="55"/>
      <c r="ED147" s="55"/>
      <c r="EE147" s="55"/>
      <c r="EF147" s="55"/>
      <c r="EG147" s="55"/>
      <c r="EH147" s="55"/>
      <c r="EI147" s="55"/>
      <c r="EJ147" s="55"/>
      <c r="EK147" s="55"/>
      <c r="EL147" s="55"/>
      <c r="EM147" s="55"/>
      <c r="EN147" s="55"/>
      <c r="EO147" s="55"/>
      <c r="EP147" s="55"/>
      <c r="EQ147" s="55"/>
      <c r="ER147" s="55"/>
      <c r="ES147" s="55"/>
      <c r="ET147" s="55"/>
      <c r="EU147" s="55"/>
      <c r="EV147" s="55"/>
      <c r="EW147" s="55"/>
      <c r="EX147" s="55"/>
      <c r="EY147" s="55"/>
      <c r="EZ147" s="55"/>
      <c r="FA147" s="55"/>
      <c r="FB147" s="55"/>
      <c r="FC147" s="55"/>
      <c r="FD147" s="55"/>
      <c r="FE147" s="55"/>
      <c r="FF147" s="55"/>
      <c r="FG147" s="55"/>
      <c r="FH147" s="55"/>
      <c r="FI147" s="55"/>
      <c r="FJ147" s="55"/>
      <c r="FK147" s="55"/>
      <c r="FL147" s="55"/>
      <c r="FM147" s="55"/>
      <c r="FN147" s="55"/>
      <c r="FO147" s="55"/>
      <c r="FP147" s="55"/>
      <c r="FQ147" s="55"/>
      <c r="FR147" s="55"/>
      <c r="FS147" s="55"/>
      <c r="FT147" s="55"/>
      <c r="FU147" s="55"/>
      <c r="FV147" s="55"/>
      <c r="FW147" s="55"/>
      <c r="FX147" s="55"/>
      <c r="FY147" s="55"/>
      <c r="FZ147" s="55"/>
      <c r="GA147" s="55"/>
      <c r="GB147" s="55"/>
      <c r="GC147" s="55"/>
      <c r="GD147" s="55"/>
      <c r="GE147" s="55"/>
      <c r="GF147" s="55"/>
      <c r="GG147" s="55"/>
      <c r="GH147" s="55"/>
      <c r="GI147" s="55"/>
      <c r="GJ147" s="55"/>
      <c r="GK147" s="55"/>
      <c r="GL147" s="55"/>
      <c r="GM147" s="55"/>
      <c r="GN147" s="55"/>
      <c r="GO147" s="55"/>
      <c r="GP147" s="55"/>
      <c r="GQ147" s="55"/>
      <c r="GR147" s="55"/>
      <c r="GS147" s="55"/>
      <c r="GT147" s="55"/>
      <c r="GU147" s="55"/>
      <c r="GV147" s="55"/>
      <c r="GW147" s="55"/>
      <c r="GX147" s="55"/>
      <c r="GY147" s="55"/>
      <c r="GZ147" s="55"/>
      <c r="HA147" s="55"/>
      <c r="HB147" s="55"/>
      <c r="HC147" s="55"/>
      <c r="HD147" s="55"/>
      <c r="HE147" s="55"/>
      <c r="HF147" s="55"/>
      <c r="HG147" s="55"/>
      <c r="HH147" s="55"/>
      <c r="HI147" s="55"/>
      <c r="HJ147" s="55"/>
      <c r="HK147" s="55"/>
      <c r="HL147" s="55"/>
      <c r="HM147" s="55"/>
      <c r="HN147" s="55"/>
      <c r="HO147" s="55"/>
      <c r="HP147" s="55"/>
      <c r="HQ147" s="55"/>
      <c r="HR147" s="55"/>
      <c r="HS147" s="55"/>
      <c r="HT147" s="55"/>
      <c r="HU147" s="55"/>
      <c r="HV147" s="55"/>
      <c r="HW147" s="55"/>
      <c r="HX147" s="55"/>
      <c r="HY147" s="55"/>
      <c r="HZ147" s="55"/>
      <c r="IA147" s="55"/>
      <c r="IB147" s="55"/>
      <c r="IC147" s="55"/>
      <c r="ID147" s="55"/>
    </row>
    <row r="148" s="55" customFormat="1" ht="36" customHeight="1" spans="1:32">
      <c r="A148" s="112">
        <v>45</v>
      </c>
      <c r="B148" s="112" t="s">
        <v>634</v>
      </c>
      <c r="C148" s="64" t="s">
        <v>635</v>
      </c>
      <c r="D148" s="65" t="s">
        <v>636</v>
      </c>
      <c r="E148" s="77" t="s">
        <v>637</v>
      </c>
      <c r="F148" s="77" t="s">
        <v>35</v>
      </c>
      <c r="G148" s="64" t="s">
        <v>110</v>
      </c>
      <c r="H148" s="78">
        <v>70</v>
      </c>
      <c r="I148" s="78">
        <v>63</v>
      </c>
      <c r="J148" s="83"/>
      <c r="K148" s="83"/>
      <c r="L148" s="83"/>
      <c r="M148" s="41">
        <v>65</v>
      </c>
      <c r="N148" s="41">
        <v>59</v>
      </c>
      <c r="O148" s="41">
        <v>50</v>
      </c>
      <c r="P148" s="64" t="s">
        <v>37</v>
      </c>
      <c r="Q148" s="64" t="s">
        <v>35</v>
      </c>
      <c r="R148" s="64" t="s">
        <v>35</v>
      </c>
      <c r="S148" s="83" t="s">
        <v>38</v>
      </c>
      <c r="T148" s="77" t="s">
        <v>638</v>
      </c>
      <c r="U148" s="117" t="s">
        <v>639</v>
      </c>
      <c r="V148" s="117">
        <v>330409010</v>
      </c>
      <c r="W148" s="118" t="s">
        <v>640</v>
      </c>
      <c r="X148" s="117"/>
      <c r="Y148" s="117"/>
      <c r="Z148" s="117" t="s">
        <v>36</v>
      </c>
      <c r="AA148" s="120" t="s">
        <v>35</v>
      </c>
      <c r="AB148" s="96">
        <v>845</v>
      </c>
      <c r="AC148" s="96">
        <v>760</v>
      </c>
      <c r="AD148" s="96">
        <v>645</v>
      </c>
      <c r="AE148" s="143" t="s">
        <v>37</v>
      </c>
      <c r="AF148" s="60"/>
    </row>
    <row r="149" s="52" customFormat="1" ht="36" customHeight="1" spans="1:238">
      <c r="A149" s="112"/>
      <c r="B149" s="112"/>
      <c r="C149" s="64"/>
      <c r="D149" s="65"/>
      <c r="E149" s="77"/>
      <c r="F149" s="77"/>
      <c r="G149" s="64"/>
      <c r="H149" s="42"/>
      <c r="I149" s="42"/>
      <c r="J149" s="83"/>
      <c r="K149" s="83"/>
      <c r="L149" s="83"/>
      <c r="M149" s="41"/>
      <c r="N149" s="41"/>
      <c r="O149" s="41"/>
      <c r="P149" s="64"/>
      <c r="Q149" s="64"/>
      <c r="R149" s="64"/>
      <c r="S149" s="83"/>
      <c r="T149" s="77"/>
      <c r="U149" s="117" t="s">
        <v>641</v>
      </c>
      <c r="V149" s="117">
        <v>33040901001</v>
      </c>
      <c r="W149" s="118" t="s">
        <v>642</v>
      </c>
      <c r="X149" s="117"/>
      <c r="Y149" s="117"/>
      <c r="Z149" s="117" t="s">
        <v>36</v>
      </c>
      <c r="AA149" s="120" t="s">
        <v>35</v>
      </c>
      <c r="AB149" s="96">
        <v>1100</v>
      </c>
      <c r="AC149" s="96">
        <v>990</v>
      </c>
      <c r="AD149" s="96">
        <v>840</v>
      </c>
      <c r="AE149" s="143" t="s">
        <v>37</v>
      </c>
      <c r="AF149" s="60"/>
      <c r="AG149" s="55"/>
      <c r="AH149" s="55"/>
      <c r="AI149" s="55"/>
      <c r="AJ149" s="55"/>
      <c r="AK149" s="55"/>
      <c r="AL149" s="55"/>
      <c r="AM149" s="55"/>
      <c r="AN149" s="55"/>
      <c r="AO149" s="55"/>
      <c r="AP149" s="55"/>
      <c r="AQ149" s="55"/>
      <c r="AR149" s="55"/>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c r="BZ149" s="55"/>
      <c r="CA149" s="55"/>
      <c r="CB149" s="55"/>
      <c r="CC149" s="55"/>
      <c r="CD149" s="55"/>
      <c r="CE149" s="55"/>
      <c r="CF149" s="55"/>
      <c r="CG149" s="55"/>
      <c r="CH149" s="55"/>
      <c r="CI149" s="55"/>
      <c r="CJ149" s="55"/>
      <c r="CK149" s="55"/>
      <c r="CL149" s="55"/>
      <c r="CM149" s="55"/>
      <c r="CN149" s="55"/>
      <c r="CO149" s="55"/>
      <c r="CP149" s="55"/>
      <c r="CQ149" s="55"/>
      <c r="CR149" s="55"/>
      <c r="CS149" s="55"/>
      <c r="CT149" s="55"/>
      <c r="CU149" s="55"/>
      <c r="CV149" s="55"/>
      <c r="CW149" s="55"/>
      <c r="CX149" s="55"/>
      <c r="CY149" s="55"/>
      <c r="CZ149" s="55"/>
      <c r="DA149" s="55"/>
      <c r="DB149" s="55"/>
      <c r="DC149" s="55"/>
      <c r="DD149" s="55"/>
      <c r="DE149" s="55"/>
      <c r="DF149" s="55"/>
      <c r="DG149" s="55"/>
      <c r="DH149" s="55"/>
      <c r="DI149" s="55"/>
      <c r="DJ149" s="55"/>
      <c r="DK149" s="55"/>
      <c r="DL149" s="55"/>
      <c r="DM149" s="55"/>
      <c r="DN149" s="55"/>
      <c r="DO149" s="55"/>
      <c r="DP149" s="55"/>
      <c r="DQ149" s="55"/>
      <c r="DR149" s="55"/>
      <c r="DS149" s="55"/>
      <c r="DT149" s="55"/>
      <c r="DU149" s="55"/>
      <c r="DV149" s="55"/>
      <c r="DW149" s="55"/>
      <c r="DX149" s="55"/>
      <c r="DY149" s="55"/>
      <c r="DZ149" s="55"/>
      <c r="EA149" s="55"/>
      <c r="EB149" s="55"/>
      <c r="EC149" s="55"/>
      <c r="ED149" s="55"/>
      <c r="EE149" s="55"/>
      <c r="EF149" s="55"/>
      <c r="EG149" s="55"/>
      <c r="EH149" s="55"/>
      <c r="EI149" s="55"/>
      <c r="EJ149" s="55"/>
      <c r="EK149" s="55"/>
      <c r="EL149" s="55"/>
      <c r="EM149" s="55"/>
      <c r="EN149" s="55"/>
      <c r="EO149" s="55"/>
      <c r="EP149" s="55"/>
      <c r="EQ149" s="55"/>
      <c r="ER149" s="55"/>
      <c r="ES149" s="55"/>
      <c r="ET149" s="55"/>
      <c r="EU149" s="55"/>
      <c r="EV149" s="55"/>
      <c r="EW149" s="55"/>
      <c r="EX149" s="55"/>
      <c r="EY149" s="55"/>
      <c r="EZ149" s="55"/>
      <c r="FA149" s="55"/>
      <c r="FB149" s="55"/>
      <c r="FC149" s="55"/>
      <c r="FD149" s="55"/>
      <c r="FE149" s="55"/>
      <c r="FF149" s="55"/>
      <c r="FG149" s="55"/>
      <c r="FH149" s="55"/>
      <c r="FI149" s="55"/>
      <c r="FJ149" s="55"/>
      <c r="FK149" s="55"/>
      <c r="FL149" s="55"/>
      <c r="FM149" s="55"/>
      <c r="FN149" s="55"/>
      <c r="FO149" s="55"/>
      <c r="FP149" s="55"/>
      <c r="FQ149" s="55"/>
      <c r="FR149" s="55"/>
      <c r="FS149" s="55"/>
      <c r="FT149" s="55"/>
      <c r="FU149" s="55"/>
      <c r="FV149" s="55"/>
      <c r="FW149" s="55"/>
      <c r="FX149" s="55"/>
      <c r="FY149" s="55"/>
      <c r="FZ149" s="55"/>
      <c r="GA149" s="55"/>
      <c r="GB149" s="55"/>
      <c r="GC149" s="55"/>
      <c r="GD149" s="55"/>
      <c r="GE149" s="55"/>
      <c r="GF149" s="55"/>
      <c r="GG149" s="55"/>
      <c r="GH149" s="55"/>
      <c r="GI149" s="55"/>
      <c r="GJ149" s="55"/>
      <c r="GK149" s="55"/>
      <c r="GL149" s="55"/>
      <c r="GM149" s="55"/>
      <c r="GN149" s="55"/>
      <c r="GO149" s="55"/>
      <c r="GP149" s="55"/>
      <c r="GQ149" s="55"/>
      <c r="GR149" s="55"/>
      <c r="GS149" s="55"/>
      <c r="GT149" s="55"/>
      <c r="GU149" s="55"/>
      <c r="GV149" s="55"/>
      <c r="GW149" s="55"/>
      <c r="GX149" s="55"/>
      <c r="GY149" s="55"/>
      <c r="GZ149" s="55"/>
      <c r="HA149" s="55"/>
      <c r="HB149" s="55"/>
      <c r="HC149" s="55"/>
      <c r="HD149" s="55"/>
      <c r="HE149" s="55"/>
      <c r="HF149" s="55"/>
      <c r="HG149" s="55"/>
      <c r="HH149" s="55"/>
      <c r="HI149" s="55"/>
      <c r="HJ149" s="55"/>
      <c r="HK149" s="55"/>
      <c r="HL149" s="55"/>
      <c r="HM149" s="55"/>
      <c r="HN149" s="55"/>
      <c r="HO149" s="55"/>
      <c r="HP149" s="55"/>
      <c r="HQ149" s="55"/>
      <c r="HR149" s="55"/>
      <c r="HS149" s="55"/>
      <c r="HT149" s="55"/>
      <c r="HU149" s="55"/>
      <c r="HV149" s="55"/>
      <c r="HW149" s="55"/>
      <c r="HX149" s="55"/>
      <c r="HY149" s="55"/>
      <c r="HZ149" s="55"/>
      <c r="IA149" s="55"/>
      <c r="IB149" s="55"/>
      <c r="IC149" s="55"/>
      <c r="ID149" s="55"/>
    </row>
    <row r="150" s="52" customFormat="1" ht="61" customHeight="1" spans="1:238">
      <c r="A150" s="112">
        <v>46</v>
      </c>
      <c r="B150" s="112" t="s">
        <v>643</v>
      </c>
      <c r="C150" s="64" t="s">
        <v>644</v>
      </c>
      <c r="D150" s="65" t="s">
        <v>645</v>
      </c>
      <c r="E150" s="77" t="s">
        <v>646</v>
      </c>
      <c r="F150" s="77" t="s">
        <v>35</v>
      </c>
      <c r="G150" s="64" t="s">
        <v>110</v>
      </c>
      <c r="H150" s="78">
        <v>536</v>
      </c>
      <c r="I150" s="78">
        <v>482</v>
      </c>
      <c r="J150" s="83"/>
      <c r="K150" s="83"/>
      <c r="L150" s="83"/>
      <c r="M150" s="41">
        <v>485</v>
      </c>
      <c r="N150" s="41">
        <v>440</v>
      </c>
      <c r="O150" s="41">
        <v>375</v>
      </c>
      <c r="P150" s="64" t="s">
        <v>37</v>
      </c>
      <c r="Q150" s="64" t="s">
        <v>35</v>
      </c>
      <c r="R150" s="64" t="s">
        <v>647</v>
      </c>
      <c r="S150" s="83" t="s">
        <v>400</v>
      </c>
      <c r="T150" s="77" t="s">
        <v>648</v>
      </c>
      <c r="U150" s="112"/>
      <c r="V150" s="112"/>
      <c r="W150" s="112"/>
      <c r="X150" s="64"/>
      <c r="Y150" s="112"/>
      <c r="Z150" s="112"/>
      <c r="AA150" s="110"/>
      <c r="AB150" s="50"/>
      <c r="AC150" s="50"/>
      <c r="AD150" s="50"/>
      <c r="AE150" s="112"/>
      <c r="AF150" s="60"/>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c r="BZ150" s="55"/>
      <c r="CA150" s="55"/>
      <c r="CB150" s="55"/>
      <c r="CC150" s="55"/>
      <c r="CD150" s="55"/>
      <c r="CE150" s="55"/>
      <c r="CF150" s="55"/>
      <c r="CG150" s="55"/>
      <c r="CH150" s="55"/>
      <c r="CI150" s="55"/>
      <c r="CJ150" s="55"/>
      <c r="CK150" s="55"/>
      <c r="CL150" s="55"/>
      <c r="CM150" s="55"/>
      <c r="CN150" s="55"/>
      <c r="CO150" s="55"/>
      <c r="CP150" s="55"/>
      <c r="CQ150" s="55"/>
      <c r="CR150" s="55"/>
      <c r="CS150" s="55"/>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5"/>
      <c r="DX150" s="55"/>
      <c r="DY150" s="55"/>
      <c r="DZ150" s="55"/>
      <c r="EA150" s="55"/>
      <c r="EB150" s="55"/>
      <c r="EC150" s="55"/>
      <c r="ED150" s="55"/>
      <c r="EE150" s="55"/>
      <c r="EF150" s="55"/>
      <c r="EG150" s="55"/>
      <c r="EH150" s="55"/>
      <c r="EI150" s="55"/>
      <c r="EJ150" s="55"/>
      <c r="EK150" s="55"/>
      <c r="EL150" s="55"/>
      <c r="EM150" s="55"/>
      <c r="EN150" s="55"/>
      <c r="EO150" s="55"/>
      <c r="EP150" s="55"/>
      <c r="EQ150" s="55"/>
      <c r="ER150" s="55"/>
      <c r="ES150" s="55"/>
      <c r="ET150" s="55"/>
      <c r="EU150" s="55"/>
      <c r="EV150" s="55"/>
      <c r="EW150" s="55"/>
      <c r="EX150" s="55"/>
      <c r="EY150" s="55"/>
      <c r="EZ150" s="55"/>
      <c r="FA150" s="55"/>
      <c r="FB150" s="55"/>
      <c r="FC150" s="55"/>
      <c r="FD150" s="55"/>
      <c r="FE150" s="55"/>
      <c r="FF150" s="55"/>
      <c r="FG150" s="55"/>
      <c r="FH150" s="55"/>
      <c r="FI150" s="55"/>
      <c r="FJ150" s="55"/>
      <c r="FK150" s="55"/>
      <c r="FL150" s="55"/>
      <c r="FM150" s="55"/>
      <c r="FN150" s="55"/>
      <c r="FO150" s="55"/>
      <c r="FP150" s="55"/>
      <c r="FQ150" s="55"/>
      <c r="FR150" s="55"/>
      <c r="FS150" s="55"/>
      <c r="FT150" s="55"/>
      <c r="FU150" s="55"/>
      <c r="FV150" s="55"/>
      <c r="FW150" s="55"/>
      <c r="FX150" s="55"/>
      <c r="FY150" s="55"/>
      <c r="FZ150" s="55"/>
      <c r="GA150" s="55"/>
      <c r="GB150" s="55"/>
      <c r="GC150" s="55"/>
      <c r="GD150" s="55"/>
      <c r="GE150" s="55"/>
      <c r="GF150" s="55"/>
      <c r="GG150" s="55"/>
      <c r="GH150" s="55"/>
      <c r="GI150" s="55"/>
      <c r="GJ150" s="55"/>
      <c r="GK150" s="55"/>
      <c r="GL150" s="55"/>
      <c r="GM150" s="55"/>
      <c r="GN150" s="55"/>
      <c r="GO150" s="55"/>
      <c r="GP150" s="55"/>
      <c r="GQ150" s="55"/>
      <c r="GR150" s="55"/>
      <c r="GS150" s="55"/>
      <c r="GT150" s="55"/>
      <c r="GU150" s="55"/>
      <c r="GV150" s="55"/>
      <c r="GW150" s="55"/>
      <c r="GX150" s="55"/>
      <c r="GY150" s="55"/>
      <c r="GZ150" s="55"/>
      <c r="HA150" s="55"/>
      <c r="HB150" s="55"/>
      <c r="HC150" s="55"/>
      <c r="HD150" s="55"/>
      <c r="HE150" s="55"/>
      <c r="HF150" s="55"/>
      <c r="HG150" s="55"/>
      <c r="HH150" s="55"/>
      <c r="HI150" s="55"/>
      <c r="HJ150" s="55"/>
      <c r="HK150" s="55"/>
      <c r="HL150" s="55"/>
      <c r="HM150" s="55"/>
      <c r="HN150" s="55"/>
      <c r="HO150" s="55"/>
      <c r="HP150" s="55"/>
      <c r="HQ150" s="55"/>
      <c r="HR150" s="55"/>
      <c r="HS150" s="55"/>
      <c r="HT150" s="55"/>
      <c r="HU150" s="55"/>
      <c r="HV150" s="55"/>
      <c r="HW150" s="55"/>
      <c r="HX150" s="55"/>
      <c r="HY150" s="55"/>
      <c r="HZ150" s="55"/>
      <c r="IA150" s="55"/>
      <c r="IB150" s="55"/>
      <c r="IC150" s="55"/>
      <c r="ID150" s="55"/>
    </row>
    <row r="151" s="52" customFormat="1" ht="39" customHeight="1" spans="1:238">
      <c r="A151" s="112" t="s">
        <v>95</v>
      </c>
      <c r="B151" s="112" t="s">
        <v>649</v>
      </c>
      <c r="C151" s="64" t="s">
        <v>650</v>
      </c>
      <c r="D151" s="65"/>
      <c r="E151" s="77"/>
      <c r="F151" s="77" t="s">
        <v>35</v>
      </c>
      <c r="G151" s="64" t="s">
        <v>110</v>
      </c>
      <c r="H151" s="78">
        <v>160.8</v>
      </c>
      <c r="I151" s="78">
        <v>145</v>
      </c>
      <c r="J151" s="83"/>
      <c r="K151" s="83"/>
      <c r="L151" s="83"/>
      <c r="M151" s="41">
        <v>145</v>
      </c>
      <c r="N151" s="41">
        <v>130</v>
      </c>
      <c r="O151" s="41">
        <v>115</v>
      </c>
      <c r="P151" s="64" t="s">
        <v>37</v>
      </c>
      <c r="Q151" s="64" t="s">
        <v>35</v>
      </c>
      <c r="R151" s="64" t="s">
        <v>647</v>
      </c>
      <c r="S151" s="83"/>
      <c r="T151" s="77" t="s">
        <v>186</v>
      </c>
      <c r="U151" s="112"/>
      <c r="V151" s="112"/>
      <c r="W151" s="112"/>
      <c r="X151" s="64"/>
      <c r="Y151" s="112"/>
      <c r="Z151" s="112"/>
      <c r="AA151" s="110"/>
      <c r="AB151" s="50"/>
      <c r="AC151" s="50"/>
      <c r="AD151" s="50"/>
      <c r="AE151" s="112"/>
      <c r="AF151" s="60"/>
      <c r="AG151" s="55"/>
      <c r="AH151" s="55"/>
      <c r="AI151" s="55"/>
      <c r="AJ151" s="55"/>
      <c r="AK151" s="55"/>
      <c r="AL151" s="55"/>
      <c r="AM151" s="55"/>
      <c r="AN151" s="55"/>
      <c r="AO151" s="55"/>
      <c r="AP151" s="55"/>
      <c r="AQ151" s="55"/>
      <c r="AR151" s="55"/>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55"/>
      <c r="CT151" s="55"/>
      <c r="CU151" s="55"/>
      <c r="CV151" s="55"/>
      <c r="CW151" s="55"/>
      <c r="CX151" s="55"/>
      <c r="CY151" s="55"/>
      <c r="CZ151" s="55"/>
      <c r="DA151" s="55"/>
      <c r="DB151" s="55"/>
      <c r="DC151" s="55"/>
      <c r="DD151" s="55"/>
      <c r="DE151" s="55"/>
      <c r="DF151" s="55"/>
      <c r="DG151" s="55"/>
      <c r="DH151" s="55"/>
      <c r="DI151" s="55"/>
      <c r="DJ151" s="55"/>
      <c r="DK151" s="55"/>
      <c r="DL151" s="55"/>
      <c r="DM151" s="55"/>
      <c r="DN151" s="55"/>
      <c r="DO151" s="55"/>
      <c r="DP151" s="55"/>
      <c r="DQ151" s="55"/>
      <c r="DR151" s="55"/>
      <c r="DS151" s="55"/>
      <c r="DT151" s="55"/>
      <c r="DU151" s="55"/>
      <c r="DV151" s="55"/>
      <c r="DW151" s="55"/>
      <c r="DX151" s="55"/>
      <c r="DY151" s="55"/>
      <c r="DZ151" s="55"/>
      <c r="EA151" s="55"/>
      <c r="EB151" s="55"/>
      <c r="EC151" s="55"/>
      <c r="ED151" s="55"/>
      <c r="EE151" s="55"/>
      <c r="EF151" s="55"/>
      <c r="EG151" s="55"/>
      <c r="EH151" s="55"/>
      <c r="EI151" s="55"/>
      <c r="EJ151" s="55"/>
      <c r="EK151" s="55"/>
      <c r="EL151" s="55"/>
      <c r="EM151" s="55"/>
      <c r="EN151" s="55"/>
      <c r="EO151" s="55"/>
      <c r="EP151" s="55"/>
      <c r="EQ151" s="55"/>
      <c r="ER151" s="55"/>
      <c r="ES151" s="55"/>
      <c r="ET151" s="55"/>
      <c r="EU151" s="55"/>
      <c r="EV151" s="55"/>
      <c r="EW151" s="55"/>
      <c r="EX151" s="55"/>
      <c r="EY151" s="55"/>
      <c r="EZ151" s="55"/>
      <c r="FA151" s="55"/>
      <c r="FB151" s="55"/>
      <c r="FC151" s="55"/>
      <c r="FD151" s="55"/>
      <c r="FE151" s="55"/>
      <c r="FF151" s="55"/>
      <c r="FG151" s="55"/>
      <c r="FH151" s="55"/>
      <c r="FI151" s="55"/>
      <c r="FJ151" s="55"/>
      <c r="FK151" s="55"/>
      <c r="FL151" s="55"/>
      <c r="FM151" s="55"/>
      <c r="FN151" s="55"/>
      <c r="FO151" s="55"/>
      <c r="FP151" s="55"/>
      <c r="FQ151" s="55"/>
      <c r="FR151" s="55"/>
      <c r="FS151" s="55"/>
      <c r="FT151" s="55"/>
      <c r="FU151" s="55"/>
      <c r="FV151" s="55"/>
      <c r="FW151" s="55"/>
      <c r="FX151" s="55"/>
      <c r="FY151" s="55"/>
      <c r="FZ151" s="55"/>
      <c r="GA151" s="55"/>
      <c r="GB151" s="55"/>
      <c r="GC151" s="55"/>
      <c r="GD151" s="55"/>
      <c r="GE151" s="55"/>
      <c r="GF151" s="55"/>
      <c r="GG151" s="55"/>
      <c r="GH151" s="55"/>
      <c r="GI151" s="55"/>
      <c r="GJ151" s="55"/>
      <c r="GK151" s="55"/>
      <c r="GL151" s="55"/>
      <c r="GM151" s="55"/>
      <c r="GN151" s="55"/>
      <c r="GO151" s="55"/>
      <c r="GP151" s="55"/>
      <c r="GQ151" s="55"/>
      <c r="GR151" s="55"/>
      <c r="GS151" s="55"/>
      <c r="GT151" s="55"/>
      <c r="GU151" s="55"/>
      <c r="GV151" s="55"/>
      <c r="GW151" s="55"/>
      <c r="GX151" s="55"/>
      <c r="GY151" s="55"/>
      <c r="GZ151" s="55"/>
      <c r="HA151" s="55"/>
      <c r="HB151" s="55"/>
      <c r="HC151" s="55"/>
      <c r="HD151" s="55"/>
      <c r="HE151" s="55"/>
      <c r="HF151" s="55"/>
      <c r="HG151" s="55"/>
      <c r="HH151" s="55"/>
      <c r="HI151" s="55"/>
      <c r="HJ151" s="55"/>
      <c r="HK151" s="55"/>
      <c r="HL151" s="55"/>
      <c r="HM151" s="55"/>
      <c r="HN151" s="55"/>
      <c r="HO151" s="55"/>
      <c r="HP151" s="55"/>
      <c r="HQ151" s="55"/>
      <c r="HR151" s="55"/>
      <c r="HS151" s="55"/>
      <c r="HT151" s="55"/>
      <c r="HU151" s="55"/>
      <c r="HV151" s="55"/>
      <c r="HW151" s="55"/>
      <c r="HX151" s="55"/>
      <c r="HY151" s="55"/>
      <c r="HZ151" s="55"/>
      <c r="IA151" s="55"/>
      <c r="IB151" s="55"/>
      <c r="IC151" s="55"/>
      <c r="ID151" s="55"/>
    </row>
    <row r="152" s="52" customFormat="1" ht="63" customHeight="1" spans="1:238">
      <c r="A152" s="112">
        <v>47</v>
      </c>
      <c r="B152" s="112" t="s">
        <v>651</v>
      </c>
      <c r="C152" s="64" t="s">
        <v>652</v>
      </c>
      <c r="D152" s="65" t="s">
        <v>653</v>
      </c>
      <c r="E152" s="77" t="s">
        <v>654</v>
      </c>
      <c r="F152" s="77" t="s">
        <v>35</v>
      </c>
      <c r="G152" s="64" t="s">
        <v>110</v>
      </c>
      <c r="H152" s="78">
        <v>322</v>
      </c>
      <c r="I152" s="78">
        <v>290</v>
      </c>
      <c r="J152" s="83"/>
      <c r="K152" s="83"/>
      <c r="L152" s="83"/>
      <c r="M152" s="41">
        <v>290</v>
      </c>
      <c r="N152" s="41">
        <v>260</v>
      </c>
      <c r="O152" s="41">
        <v>220</v>
      </c>
      <c r="P152" s="64" t="s">
        <v>37</v>
      </c>
      <c r="Q152" s="64" t="s">
        <v>35</v>
      </c>
      <c r="R152" s="64" t="s">
        <v>647</v>
      </c>
      <c r="S152" s="83" t="s">
        <v>400</v>
      </c>
      <c r="T152" s="77" t="s">
        <v>648</v>
      </c>
      <c r="U152" s="112"/>
      <c r="V152" s="112"/>
      <c r="W152" s="112"/>
      <c r="X152" s="64"/>
      <c r="Y152" s="112"/>
      <c r="Z152" s="112"/>
      <c r="AA152" s="110"/>
      <c r="AB152" s="50"/>
      <c r="AC152" s="50"/>
      <c r="AD152" s="50"/>
      <c r="AE152" s="112"/>
      <c r="AF152" s="60"/>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5"/>
      <c r="EC152" s="55"/>
      <c r="ED152" s="55"/>
      <c r="EE152" s="55"/>
      <c r="EF152" s="55"/>
      <c r="EG152" s="55"/>
      <c r="EH152" s="55"/>
      <c r="EI152" s="55"/>
      <c r="EJ152" s="55"/>
      <c r="EK152" s="55"/>
      <c r="EL152" s="55"/>
      <c r="EM152" s="55"/>
      <c r="EN152" s="55"/>
      <c r="EO152" s="55"/>
      <c r="EP152" s="55"/>
      <c r="EQ152" s="55"/>
      <c r="ER152" s="55"/>
      <c r="ES152" s="55"/>
      <c r="ET152" s="55"/>
      <c r="EU152" s="55"/>
      <c r="EV152" s="55"/>
      <c r="EW152" s="55"/>
      <c r="EX152" s="55"/>
      <c r="EY152" s="55"/>
      <c r="EZ152" s="55"/>
      <c r="FA152" s="55"/>
      <c r="FB152" s="55"/>
      <c r="FC152" s="55"/>
      <c r="FD152" s="55"/>
      <c r="FE152" s="55"/>
      <c r="FF152" s="55"/>
      <c r="FG152" s="55"/>
      <c r="FH152" s="55"/>
      <c r="FI152" s="55"/>
      <c r="FJ152" s="55"/>
      <c r="FK152" s="55"/>
      <c r="FL152" s="55"/>
      <c r="FM152" s="55"/>
      <c r="FN152" s="55"/>
      <c r="FO152" s="55"/>
      <c r="FP152" s="55"/>
      <c r="FQ152" s="55"/>
      <c r="FR152" s="55"/>
      <c r="FS152" s="55"/>
      <c r="FT152" s="55"/>
      <c r="FU152" s="55"/>
      <c r="FV152" s="55"/>
      <c r="FW152" s="55"/>
      <c r="FX152" s="55"/>
      <c r="FY152" s="55"/>
      <c r="FZ152" s="55"/>
      <c r="GA152" s="55"/>
      <c r="GB152" s="55"/>
      <c r="GC152" s="55"/>
      <c r="GD152" s="55"/>
      <c r="GE152" s="55"/>
      <c r="GF152" s="55"/>
      <c r="GG152" s="55"/>
      <c r="GH152" s="55"/>
      <c r="GI152" s="55"/>
      <c r="GJ152" s="55"/>
      <c r="GK152" s="55"/>
      <c r="GL152" s="55"/>
      <c r="GM152" s="55"/>
      <c r="GN152" s="55"/>
      <c r="GO152" s="55"/>
      <c r="GP152" s="55"/>
      <c r="GQ152" s="55"/>
      <c r="GR152" s="55"/>
      <c r="GS152" s="55"/>
      <c r="GT152" s="55"/>
      <c r="GU152" s="55"/>
      <c r="GV152" s="55"/>
      <c r="GW152" s="55"/>
      <c r="GX152" s="55"/>
      <c r="GY152" s="55"/>
      <c r="GZ152" s="55"/>
      <c r="HA152" s="55"/>
      <c r="HB152" s="55"/>
      <c r="HC152" s="55"/>
      <c r="HD152" s="55"/>
      <c r="HE152" s="55"/>
      <c r="HF152" s="55"/>
      <c r="HG152" s="55"/>
      <c r="HH152" s="55"/>
      <c r="HI152" s="55"/>
      <c r="HJ152" s="55"/>
      <c r="HK152" s="55"/>
      <c r="HL152" s="55"/>
      <c r="HM152" s="55"/>
      <c r="HN152" s="55"/>
      <c r="HO152" s="55"/>
      <c r="HP152" s="55"/>
      <c r="HQ152" s="55"/>
      <c r="HR152" s="55"/>
      <c r="HS152" s="55"/>
      <c r="HT152" s="55"/>
      <c r="HU152" s="55"/>
      <c r="HV152" s="55"/>
      <c r="HW152" s="55"/>
      <c r="HX152" s="55"/>
      <c r="HY152" s="55"/>
      <c r="HZ152" s="55"/>
      <c r="IA152" s="55"/>
      <c r="IB152" s="55"/>
      <c r="IC152" s="55"/>
      <c r="ID152" s="55"/>
    </row>
    <row r="153" s="52" customFormat="1" ht="25.5" spans="1:238">
      <c r="A153" s="112">
        <v>48</v>
      </c>
      <c r="B153" s="112" t="s">
        <v>655</v>
      </c>
      <c r="C153" s="64" t="s">
        <v>656</v>
      </c>
      <c r="D153" s="65" t="s">
        <v>657</v>
      </c>
      <c r="E153" s="77" t="s">
        <v>658</v>
      </c>
      <c r="F153" s="77" t="s">
        <v>35</v>
      </c>
      <c r="G153" s="64" t="s">
        <v>110</v>
      </c>
      <c r="H153" s="78">
        <v>565</v>
      </c>
      <c r="I153" s="78">
        <v>510</v>
      </c>
      <c r="J153" s="123">
        <v>562.5</v>
      </c>
      <c r="K153" s="123">
        <v>540</v>
      </c>
      <c r="L153" s="123">
        <v>459</v>
      </c>
      <c r="M153" s="41">
        <v>560</v>
      </c>
      <c r="N153" s="41">
        <v>510</v>
      </c>
      <c r="O153" s="41">
        <v>435</v>
      </c>
      <c r="P153" s="64" t="s">
        <v>37</v>
      </c>
      <c r="Q153" s="64" t="s">
        <v>35</v>
      </c>
      <c r="R153" s="64" t="s">
        <v>35</v>
      </c>
      <c r="S153" s="123" t="s">
        <v>131</v>
      </c>
      <c r="T153" s="77" t="s">
        <v>659</v>
      </c>
      <c r="U153" s="105" t="s">
        <v>660</v>
      </c>
      <c r="V153" s="105">
        <v>330402010</v>
      </c>
      <c r="W153" s="106" t="s">
        <v>661</v>
      </c>
      <c r="X153" s="105" t="s">
        <v>662</v>
      </c>
      <c r="Y153" s="105" t="s">
        <v>663</v>
      </c>
      <c r="Z153" s="105" t="s">
        <v>664</v>
      </c>
      <c r="AA153" s="110" t="s">
        <v>35</v>
      </c>
      <c r="AB153" s="50">
        <v>562.5</v>
      </c>
      <c r="AC153" s="50">
        <v>540</v>
      </c>
      <c r="AD153" s="50">
        <v>459</v>
      </c>
      <c r="AE153" s="112" t="s">
        <v>37</v>
      </c>
      <c r="AF153" s="60"/>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55"/>
      <c r="CF153" s="55"/>
      <c r="CG153" s="55"/>
      <c r="CH153" s="55"/>
      <c r="CI153" s="55"/>
      <c r="CJ153" s="55"/>
      <c r="CK153" s="55"/>
      <c r="CL153" s="55"/>
      <c r="CM153" s="55"/>
      <c r="CN153" s="55"/>
      <c r="CO153" s="55"/>
      <c r="CP153" s="55"/>
      <c r="CQ153" s="55"/>
      <c r="CR153" s="55"/>
      <c r="CS153" s="55"/>
      <c r="CT153" s="55"/>
      <c r="CU153" s="55"/>
      <c r="CV153" s="55"/>
      <c r="CW153" s="55"/>
      <c r="CX153" s="55"/>
      <c r="CY153" s="55"/>
      <c r="CZ153" s="55"/>
      <c r="DA153" s="55"/>
      <c r="DB153" s="55"/>
      <c r="DC153" s="55"/>
      <c r="DD153" s="55"/>
      <c r="DE153" s="55"/>
      <c r="DF153" s="55"/>
      <c r="DG153" s="55"/>
      <c r="DH153" s="55"/>
      <c r="DI153" s="55"/>
      <c r="DJ153" s="55"/>
      <c r="DK153" s="55"/>
      <c r="DL153" s="55"/>
      <c r="DM153" s="55"/>
      <c r="DN153" s="55"/>
      <c r="DO153" s="55"/>
      <c r="DP153" s="55"/>
      <c r="DQ153" s="55"/>
      <c r="DR153" s="55"/>
      <c r="DS153" s="55"/>
      <c r="DT153" s="55"/>
      <c r="DU153" s="55"/>
      <c r="DV153" s="55"/>
      <c r="DW153" s="55"/>
      <c r="DX153" s="55"/>
      <c r="DY153" s="55"/>
      <c r="DZ153" s="55"/>
      <c r="EA153" s="55"/>
      <c r="EB153" s="55"/>
      <c r="EC153" s="55"/>
      <c r="ED153" s="55"/>
      <c r="EE153" s="55"/>
      <c r="EF153" s="55"/>
      <c r="EG153" s="55"/>
      <c r="EH153" s="55"/>
      <c r="EI153" s="55"/>
      <c r="EJ153" s="55"/>
      <c r="EK153" s="55"/>
      <c r="EL153" s="55"/>
      <c r="EM153" s="55"/>
      <c r="EN153" s="55"/>
      <c r="EO153" s="55"/>
      <c r="EP153" s="55"/>
      <c r="EQ153" s="55"/>
      <c r="ER153" s="55"/>
      <c r="ES153" s="55"/>
      <c r="ET153" s="55"/>
      <c r="EU153" s="55"/>
      <c r="EV153" s="55"/>
      <c r="EW153" s="55"/>
      <c r="EX153" s="55"/>
      <c r="EY153" s="55"/>
      <c r="EZ153" s="55"/>
      <c r="FA153" s="55"/>
      <c r="FB153" s="55"/>
      <c r="FC153" s="55"/>
      <c r="FD153" s="55"/>
      <c r="FE153" s="55"/>
      <c r="FF153" s="55"/>
      <c r="FG153" s="55"/>
      <c r="FH153" s="55"/>
      <c r="FI153" s="55"/>
      <c r="FJ153" s="55"/>
      <c r="FK153" s="55"/>
      <c r="FL153" s="55"/>
      <c r="FM153" s="55"/>
      <c r="FN153" s="55"/>
      <c r="FO153" s="55"/>
      <c r="FP153" s="55"/>
      <c r="FQ153" s="55"/>
      <c r="FR153" s="55"/>
      <c r="FS153" s="55"/>
      <c r="FT153" s="55"/>
      <c r="FU153" s="55"/>
      <c r="FV153" s="55"/>
      <c r="FW153" s="55"/>
      <c r="FX153" s="55"/>
      <c r="FY153" s="55"/>
      <c r="FZ153" s="55"/>
      <c r="GA153" s="55"/>
      <c r="GB153" s="55"/>
      <c r="GC153" s="55"/>
      <c r="GD153" s="55"/>
      <c r="GE153" s="55"/>
      <c r="GF153" s="55"/>
      <c r="GG153" s="55"/>
      <c r="GH153" s="55"/>
      <c r="GI153" s="55"/>
      <c r="GJ153" s="55"/>
      <c r="GK153" s="55"/>
      <c r="GL153" s="55"/>
      <c r="GM153" s="55"/>
      <c r="GN153" s="55"/>
      <c r="GO153" s="55"/>
      <c r="GP153" s="55"/>
      <c r="GQ153" s="55"/>
      <c r="GR153" s="55"/>
      <c r="GS153" s="55"/>
      <c r="GT153" s="55"/>
      <c r="GU153" s="55"/>
      <c r="GV153" s="55"/>
      <c r="GW153" s="55"/>
      <c r="GX153" s="55"/>
      <c r="GY153" s="55"/>
      <c r="GZ153" s="55"/>
      <c r="HA153" s="55"/>
      <c r="HB153" s="55"/>
      <c r="HC153" s="55"/>
      <c r="HD153" s="55"/>
      <c r="HE153" s="55"/>
      <c r="HF153" s="55"/>
      <c r="HG153" s="55"/>
      <c r="HH153" s="55"/>
      <c r="HI153" s="55"/>
      <c r="HJ153" s="55"/>
      <c r="HK153" s="55"/>
      <c r="HL153" s="55"/>
      <c r="HM153" s="55"/>
      <c r="HN153" s="55"/>
      <c r="HO153" s="55"/>
      <c r="HP153" s="55"/>
      <c r="HQ153" s="55"/>
      <c r="HR153" s="55"/>
      <c r="HS153" s="55"/>
      <c r="HT153" s="55"/>
      <c r="HU153" s="55"/>
      <c r="HV153" s="55"/>
      <c r="HW153" s="55"/>
      <c r="HX153" s="55"/>
      <c r="HY153" s="55"/>
      <c r="HZ153" s="55"/>
      <c r="IA153" s="55"/>
      <c r="IB153" s="55"/>
      <c r="IC153" s="55"/>
      <c r="ID153" s="55"/>
    </row>
    <row r="154" s="52" customFormat="1" ht="25.5" spans="1:238">
      <c r="A154" s="112"/>
      <c r="B154" s="112"/>
      <c r="C154" s="64"/>
      <c r="D154" s="65"/>
      <c r="E154" s="77"/>
      <c r="F154" s="77"/>
      <c r="G154" s="64"/>
      <c r="H154" s="42"/>
      <c r="I154" s="42"/>
      <c r="J154" s="123"/>
      <c r="K154" s="123"/>
      <c r="L154" s="123"/>
      <c r="M154" s="41"/>
      <c r="N154" s="41"/>
      <c r="O154" s="41"/>
      <c r="P154" s="64"/>
      <c r="Q154" s="64"/>
      <c r="R154" s="64"/>
      <c r="S154" s="123"/>
      <c r="T154" s="77"/>
      <c r="U154" s="105" t="s">
        <v>665</v>
      </c>
      <c r="V154" s="105">
        <v>33040201002</v>
      </c>
      <c r="W154" s="106" t="s">
        <v>666</v>
      </c>
      <c r="X154" s="105"/>
      <c r="Y154" s="105"/>
      <c r="Z154" s="105" t="s">
        <v>664</v>
      </c>
      <c r="AA154" s="110" t="s">
        <v>35</v>
      </c>
      <c r="AB154" s="50">
        <v>730</v>
      </c>
      <c r="AC154" s="50">
        <v>700</v>
      </c>
      <c r="AD154" s="50">
        <v>595</v>
      </c>
      <c r="AE154" s="112" t="s">
        <v>37</v>
      </c>
      <c r="AF154" s="60"/>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5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c r="EJ154" s="55"/>
      <c r="EK154" s="55"/>
      <c r="EL154" s="55"/>
      <c r="EM154" s="55"/>
      <c r="EN154" s="55"/>
      <c r="EO154" s="55"/>
      <c r="EP154" s="55"/>
      <c r="EQ154" s="55"/>
      <c r="ER154" s="55"/>
      <c r="ES154" s="55"/>
      <c r="ET154" s="55"/>
      <c r="EU154" s="55"/>
      <c r="EV154" s="55"/>
      <c r="EW154" s="55"/>
      <c r="EX154" s="55"/>
      <c r="EY154" s="55"/>
      <c r="EZ154" s="55"/>
      <c r="FA154" s="55"/>
      <c r="FB154" s="55"/>
      <c r="FC154" s="55"/>
      <c r="FD154" s="55"/>
      <c r="FE154" s="55"/>
      <c r="FF154" s="55"/>
      <c r="FG154" s="55"/>
      <c r="FH154" s="55"/>
      <c r="FI154" s="55"/>
      <c r="FJ154" s="55"/>
      <c r="FK154" s="55"/>
      <c r="FL154" s="55"/>
      <c r="FM154" s="55"/>
      <c r="FN154" s="55"/>
      <c r="FO154" s="55"/>
      <c r="FP154" s="55"/>
      <c r="FQ154" s="55"/>
      <c r="FR154" s="55"/>
      <c r="FS154" s="55"/>
      <c r="FT154" s="55"/>
      <c r="FU154" s="55"/>
      <c r="FV154" s="55"/>
      <c r="FW154" s="55"/>
      <c r="FX154" s="55"/>
      <c r="FY154" s="55"/>
      <c r="FZ154" s="55"/>
      <c r="GA154" s="55"/>
      <c r="GB154" s="55"/>
      <c r="GC154" s="55"/>
      <c r="GD154" s="55"/>
      <c r="GE154" s="55"/>
      <c r="GF154" s="55"/>
      <c r="GG154" s="55"/>
      <c r="GH154" s="55"/>
      <c r="GI154" s="55"/>
      <c r="GJ154" s="55"/>
      <c r="GK154" s="55"/>
      <c r="GL154" s="55"/>
      <c r="GM154" s="55"/>
      <c r="GN154" s="55"/>
      <c r="GO154" s="55"/>
      <c r="GP154" s="55"/>
      <c r="GQ154" s="55"/>
      <c r="GR154" s="55"/>
      <c r="GS154" s="55"/>
      <c r="GT154" s="55"/>
      <c r="GU154" s="55"/>
      <c r="GV154" s="55"/>
      <c r="GW154" s="55"/>
      <c r="GX154" s="55"/>
      <c r="GY154" s="55"/>
      <c r="GZ154" s="55"/>
      <c r="HA154" s="55"/>
      <c r="HB154" s="55"/>
      <c r="HC154" s="55"/>
      <c r="HD154" s="55"/>
      <c r="HE154" s="55"/>
      <c r="HF154" s="55"/>
      <c r="HG154" s="55"/>
      <c r="HH154" s="55"/>
      <c r="HI154" s="55"/>
      <c r="HJ154" s="55"/>
      <c r="HK154" s="55"/>
      <c r="HL154" s="55"/>
      <c r="HM154" s="55"/>
      <c r="HN154" s="55"/>
      <c r="HO154" s="55"/>
      <c r="HP154" s="55"/>
      <c r="HQ154" s="55"/>
      <c r="HR154" s="55"/>
      <c r="HS154" s="55"/>
      <c r="HT154" s="55"/>
      <c r="HU154" s="55"/>
      <c r="HV154" s="55"/>
      <c r="HW154" s="55"/>
      <c r="HX154" s="55"/>
      <c r="HY154" s="55"/>
      <c r="HZ154" s="55"/>
      <c r="IA154" s="55"/>
      <c r="IB154" s="55"/>
      <c r="IC154" s="55"/>
      <c r="ID154" s="55"/>
    </row>
    <row r="155" s="52" customFormat="1" ht="25.5" spans="1:238">
      <c r="A155" s="112"/>
      <c r="B155" s="112"/>
      <c r="C155" s="64"/>
      <c r="D155" s="65"/>
      <c r="E155" s="77"/>
      <c r="F155" s="77"/>
      <c r="G155" s="64"/>
      <c r="H155" s="42"/>
      <c r="I155" s="42"/>
      <c r="J155" s="123"/>
      <c r="K155" s="123"/>
      <c r="L155" s="123"/>
      <c r="M155" s="41"/>
      <c r="N155" s="41"/>
      <c r="O155" s="41"/>
      <c r="P155" s="64"/>
      <c r="Q155" s="64"/>
      <c r="R155" s="64"/>
      <c r="S155" s="123"/>
      <c r="T155" s="77"/>
      <c r="U155" s="105" t="s">
        <v>667</v>
      </c>
      <c r="V155" s="105">
        <v>33040201001</v>
      </c>
      <c r="W155" s="106" t="s">
        <v>668</v>
      </c>
      <c r="X155" s="105"/>
      <c r="Y155" s="105"/>
      <c r="Z155" s="105" t="s">
        <v>664</v>
      </c>
      <c r="AA155" s="110" t="s">
        <v>669</v>
      </c>
      <c r="AB155" s="50">
        <v>562.5</v>
      </c>
      <c r="AC155" s="50">
        <v>540</v>
      </c>
      <c r="AD155" s="50">
        <v>459</v>
      </c>
      <c r="AE155" s="112" t="s">
        <v>37</v>
      </c>
      <c r="AF155" s="60"/>
      <c r="AG155" s="55"/>
      <c r="AH155" s="55"/>
      <c r="AI155" s="55"/>
      <c r="AJ155" s="55"/>
      <c r="AK155" s="55"/>
      <c r="AL155" s="55"/>
      <c r="AM155" s="55"/>
      <c r="AN155" s="55"/>
      <c r="AO155" s="55"/>
      <c r="AP155" s="55"/>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c r="BZ155" s="55"/>
      <c r="CA155" s="55"/>
      <c r="CB155" s="55"/>
      <c r="CC155" s="55"/>
      <c r="CD155" s="55"/>
      <c r="CE155" s="55"/>
      <c r="CF155" s="55"/>
      <c r="CG155" s="55"/>
      <c r="CH155" s="55"/>
      <c r="CI155" s="55"/>
      <c r="CJ155" s="55"/>
      <c r="CK155" s="55"/>
      <c r="CL155" s="55"/>
      <c r="CM155" s="55"/>
      <c r="CN155" s="55"/>
      <c r="CO155" s="55"/>
      <c r="CP155" s="55"/>
      <c r="CQ155" s="55"/>
      <c r="CR155" s="55"/>
      <c r="CS155" s="55"/>
      <c r="CT155" s="55"/>
      <c r="CU155" s="55"/>
      <c r="CV155" s="55"/>
      <c r="CW155" s="55"/>
      <c r="CX155" s="55"/>
      <c r="CY155" s="55"/>
      <c r="CZ155" s="55"/>
      <c r="DA155" s="55"/>
      <c r="DB155" s="55"/>
      <c r="DC155" s="55"/>
      <c r="DD155" s="55"/>
      <c r="DE155" s="55"/>
      <c r="DF155" s="55"/>
      <c r="DG155" s="55"/>
      <c r="DH155" s="55"/>
      <c r="DI155" s="55"/>
      <c r="DJ155" s="55"/>
      <c r="DK155" s="55"/>
      <c r="DL155" s="55"/>
      <c r="DM155" s="55"/>
      <c r="DN155" s="55"/>
      <c r="DO155" s="55"/>
      <c r="DP155" s="55"/>
      <c r="DQ155" s="55"/>
      <c r="DR155" s="55"/>
      <c r="DS155" s="55"/>
      <c r="DT155" s="55"/>
      <c r="DU155" s="55"/>
      <c r="DV155" s="55"/>
      <c r="DW155" s="55"/>
      <c r="DX155" s="55"/>
      <c r="DY155" s="55"/>
      <c r="DZ155" s="55"/>
      <c r="EA155" s="55"/>
      <c r="EB155" s="55"/>
      <c r="EC155" s="55"/>
      <c r="ED155" s="55"/>
      <c r="EE155" s="55"/>
      <c r="EF155" s="55"/>
      <c r="EG155" s="55"/>
      <c r="EH155" s="55"/>
      <c r="EI155" s="55"/>
      <c r="EJ155" s="55"/>
      <c r="EK155" s="55"/>
      <c r="EL155" s="55"/>
      <c r="EM155" s="55"/>
      <c r="EN155" s="55"/>
      <c r="EO155" s="55"/>
      <c r="EP155" s="55"/>
      <c r="EQ155" s="55"/>
      <c r="ER155" s="55"/>
      <c r="ES155" s="55"/>
      <c r="ET155" s="55"/>
      <c r="EU155" s="55"/>
      <c r="EV155" s="55"/>
      <c r="EW155" s="55"/>
      <c r="EX155" s="55"/>
      <c r="EY155" s="55"/>
      <c r="EZ155" s="55"/>
      <c r="FA155" s="55"/>
      <c r="FB155" s="55"/>
      <c r="FC155" s="55"/>
      <c r="FD155" s="55"/>
      <c r="FE155" s="55"/>
      <c r="FF155" s="55"/>
      <c r="FG155" s="55"/>
      <c r="FH155" s="55"/>
      <c r="FI155" s="55"/>
      <c r="FJ155" s="55"/>
      <c r="FK155" s="55"/>
      <c r="FL155" s="55"/>
      <c r="FM155" s="55"/>
      <c r="FN155" s="55"/>
      <c r="FO155" s="55"/>
      <c r="FP155" s="55"/>
      <c r="FQ155" s="55"/>
      <c r="FR155" s="55"/>
      <c r="FS155" s="55"/>
      <c r="FT155" s="55"/>
      <c r="FU155" s="55"/>
      <c r="FV155" s="55"/>
      <c r="FW155" s="55"/>
      <c r="FX155" s="55"/>
      <c r="FY155" s="55"/>
      <c r="FZ155" s="55"/>
      <c r="GA155" s="55"/>
      <c r="GB155" s="55"/>
      <c r="GC155" s="55"/>
      <c r="GD155" s="55"/>
      <c r="GE155" s="55"/>
      <c r="GF155" s="55"/>
      <c r="GG155" s="55"/>
      <c r="GH155" s="55"/>
      <c r="GI155" s="55"/>
      <c r="GJ155" s="55"/>
      <c r="GK155" s="55"/>
      <c r="GL155" s="55"/>
      <c r="GM155" s="55"/>
      <c r="GN155" s="55"/>
      <c r="GO155" s="55"/>
      <c r="GP155" s="55"/>
      <c r="GQ155" s="55"/>
      <c r="GR155" s="55"/>
      <c r="GS155" s="55"/>
      <c r="GT155" s="55"/>
      <c r="GU155" s="55"/>
      <c r="GV155" s="55"/>
      <c r="GW155" s="55"/>
      <c r="GX155" s="55"/>
      <c r="GY155" s="55"/>
      <c r="GZ155" s="55"/>
      <c r="HA155" s="55"/>
      <c r="HB155" s="55"/>
      <c r="HC155" s="55"/>
      <c r="HD155" s="55"/>
      <c r="HE155" s="55"/>
      <c r="HF155" s="55"/>
      <c r="HG155" s="55"/>
      <c r="HH155" s="55"/>
      <c r="HI155" s="55"/>
      <c r="HJ155" s="55"/>
      <c r="HK155" s="55"/>
      <c r="HL155" s="55"/>
      <c r="HM155" s="55"/>
      <c r="HN155" s="55"/>
      <c r="HO155" s="55"/>
      <c r="HP155" s="55"/>
      <c r="HQ155" s="55"/>
      <c r="HR155" s="55"/>
      <c r="HS155" s="55"/>
      <c r="HT155" s="55"/>
      <c r="HU155" s="55"/>
      <c r="HV155" s="55"/>
      <c r="HW155" s="55"/>
      <c r="HX155" s="55"/>
      <c r="HY155" s="55"/>
      <c r="HZ155" s="55"/>
      <c r="IA155" s="55"/>
      <c r="IB155" s="55"/>
      <c r="IC155" s="55"/>
      <c r="ID155" s="55"/>
    </row>
    <row r="156" s="52" customFormat="1" ht="47" customHeight="1" spans="1:238">
      <c r="A156" s="112">
        <v>49</v>
      </c>
      <c r="B156" s="112" t="s">
        <v>670</v>
      </c>
      <c r="C156" s="64" t="s">
        <v>671</v>
      </c>
      <c r="D156" s="65" t="s">
        <v>672</v>
      </c>
      <c r="E156" s="77" t="s">
        <v>673</v>
      </c>
      <c r="F156" s="77" t="s">
        <v>674</v>
      </c>
      <c r="G156" s="64" t="s">
        <v>110</v>
      </c>
      <c r="H156" s="78">
        <v>65</v>
      </c>
      <c r="I156" s="78">
        <v>59</v>
      </c>
      <c r="J156" s="83">
        <v>62.5</v>
      </c>
      <c r="K156" s="83">
        <v>60</v>
      </c>
      <c r="L156" s="83">
        <v>51</v>
      </c>
      <c r="M156" s="89">
        <v>63</v>
      </c>
      <c r="N156" s="94">
        <v>59</v>
      </c>
      <c r="O156" s="41">
        <v>51</v>
      </c>
      <c r="P156" s="64" t="s">
        <v>621</v>
      </c>
      <c r="Q156" s="64" t="s">
        <v>35</v>
      </c>
      <c r="R156" s="64" t="s">
        <v>35</v>
      </c>
      <c r="S156" s="83" t="s">
        <v>38</v>
      </c>
      <c r="T156" s="77" t="s">
        <v>208</v>
      </c>
      <c r="U156" s="105" t="s">
        <v>675</v>
      </c>
      <c r="V156" s="105">
        <v>330404004</v>
      </c>
      <c r="W156" s="106" t="s">
        <v>676</v>
      </c>
      <c r="X156" s="105" t="s">
        <v>677</v>
      </c>
      <c r="Y156" s="105"/>
      <c r="Z156" s="105" t="s">
        <v>36</v>
      </c>
      <c r="AA156" s="110" t="s">
        <v>35</v>
      </c>
      <c r="AB156" s="50">
        <v>62.5</v>
      </c>
      <c r="AC156" s="50">
        <v>60</v>
      </c>
      <c r="AD156" s="50">
        <v>51</v>
      </c>
      <c r="AE156" s="112"/>
      <c r="AF156" s="60"/>
      <c r="AG156" s="55"/>
      <c r="AH156" s="55"/>
      <c r="AI156" s="55"/>
      <c r="AJ156" s="55"/>
      <c r="AK156" s="55"/>
      <c r="AL156" s="55"/>
      <c r="AM156" s="55"/>
      <c r="AN156" s="55"/>
      <c r="AO156" s="55"/>
      <c r="AP156" s="55"/>
      <c r="AQ156" s="55"/>
      <c r="AR156" s="55"/>
      <c r="AS156" s="55"/>
      <c r="AT156" s="55"/>
      <c r="AU156" s="55"/>
      <c r="AV156" s="55"/>
      <c r="AW156" s="55"/>
      <c r="AX156" s="55"/>
      <c r="AY156" s="55"/>
      <c r="AZ156" s="55"/>
      <c r="BA156" s="55"/>
      <c r="BB156" s="55"/>
      <c r="BC156" s="55"/>
      <c r="BD156" s="55"/>
      <c r="BE156" s="55"/>
      <c r="BF156" s="55"/>
      <c r="BG156" s="55"/>
      <c r="BH156" s="55"/>
      <c r="BI156" s="55"/>
      <c r="BJ156" s="55"/>
      <c r="BK156" s="55"/>
      <c r="BL156" s="55"/>
      <c r="BM156" s="55"/>
      <c r="BN156" s="55"/>
      <c r="BO156" s="55"/>
      <c r="BP156" s="55"/>
      <c r="BQ156" s="55"/>
      <c r="BR156" s="55"/>
      <c r="BS156" s="55"/>
      <c r="BT156" s="55"/>
      <c r="BU156" s="55"/>
      <c r="BV156" s="55"/>
      <c r="BW156" s="55"/>
      <c r="BX156" s="55"/>
      <c r="BY156" s="55"/>
      <c r="BZ156" s="55"/>
      <c r="CA156" s="55"/>
      <c r="CB156" s="55"/>
      <c r="CC156" s="55"/>
      <c r="CD156" s="55"/>
      <c r="CE156" s="55"/>
      <c r="CF156" s="55"/>
      <c r="CG156" s="55"/>
      <c r="CH156" s="55"/>
      <c r="CI156" s="55"/>
      <c r="CJ156" s="55"/>
      <c r="CK156" s="55"/>
      <c r="CL156" s="55"/>
      <c r="CM156" s="55"/>
      <c r="CN156" s="55"/>
      <c r="CO156" s="55"/>
      <c r="CP156" s="55"/>
      <c r="CQ156" s="55"/>
      <c r="CR156" s="55"/>
      <c r="CS156" s="55"/>
      <c r="CT156" s="55"/>
      <c r="CU156" s="55"/>
      <c r="CV156" s="55"/>
      <c r="CW156" s="55"/>
      <c r="CX156" s="55"/>
      <c r="CY156" s="55"/>
      <c r="CZ156" s="55"/>
      <c r="DA156" s="55"/>
      <c r="DB156" s="55"/>
      <c r="DC156" s="55"/>
      <c r="DD156" s="55"/>
      <c r="DE156" s="55"/>
      <c r="DF156" s="55"/>
      <c r="DG156" s="55"/>
      <c r="DH156" s="55"/>
      <c r="DI156" s="55"/>
      <c r="DJ156" s="55"/>
      <c r="DK156" s="55"/>
      <c r="DL156" s="55"/>
      <c r="DM156" s="55"/>
      <c r="DN156" s="55"/>
      <c r="DO156" s="55"/>
      <c r="DP156" s="55"/>
      <c r="DQ156" s="55"/>
      <c r="DR156" s="55"/>
      <c r="DS156" s="55"/>
      <c r="DT156" s="55"/>
      <c r="DU156" s="55"/>
      <c r="DV156" s="55"/>
      <c r="DW156" s="55"/>
      <c r="DX156" s="55"/>
      <c r="DY156" s="55"/>
      <c r="DZ156" s="55"/>
      <c r="EA156" s="55"/>
      <c r="EB156" s="55"/>
      <c r="EC156" s="55"/>
      <c r="ED156" s="55"/>
      <c r="EE156" s="55"/>
      <c r="EF156" s="55"/>
      <c r="EG156" s="55"/>
      <c r="EH156" s="55"/>
      <c r="EI156" s="55"/>
      <c r="EJ156" s="55"/>
      <c r="EK156" s="55"/>
      <c r="EL156" s="55"/>
      <c r="EM156" s="55"/>
      <c r="EN156" s="55"/>
      <c r="EO156" s="55"/>
      <c r="EP156" s="55"/>
      <c r="EQ156" s="55"/>
      <c r="ER156" s="55"/>
      <c r="ES156" s="55"/>
      <c r="ET156" s="55"/>
      <c r="EU156" s="55"/>
      <c r="EV156" s="55"/>
      <c r="EW156" s="55"/>
      <c r="EX156" s="55"/>
      <c r="EY156" s="55"/>
      <c r="EZ156" s="55"/>
      <c r="FA156" s="55"/>
      <c r="FB156" s="55"/>
      <c r="FC156" s="55"/>
      <c r="FD156" s="55"/>
      <c r="FE156" s="55"/>
      <c r="FF156" s="55"/>
      <c r="FG156" s="55"/>
      <c r="FH156" s="55"/>
      <c r="FI156" s="55"/>
      <c r="FJ156" s="55"/>
      <c r="FK156" s="55"/>
      <c r="FL156" s="55"/>
      <c r="FM156" s="55"/>
      <c r="FN156" s="55"/>
      <c r="FO156" s="55"/>
      <c r="FP156" s="55"/>
      <c r="FQ156" s="55"/>
      <c r="FR156" s="55"/>
      <c r="FS156" s="55"/>
      <c r="FT156" s="55"/>
      <c r="FU156" s="55"/>
      <c r="FV156" s="55"/>
      <c r="FW156" s="55"/>
      <c r="FX156" s="55"/>
      <c r="FY156" s="55"/>
      <c r="FZ156" s="55"/>
      <c r="GA156" s="55"/>
      <c r="GB156" s="55"/>
      <c r="GC156" s="55"/>
      <c r="GD156" s="55"/>
      <c r="GE156" s="55"/>
      <c r="GF156" s="55"/>
      <c r="GG156" s="55"/>
      <c r="GH156" s="55"/>
      <c r="GI156" s="55"/>
      <c r="GJ156" s="55"/>
      <c r="GK156" s="55"/>
      <c r="GL156" s="55"/>
      <c r="GM156" s="55"/>
      <c r="GN156" s="55"/>
      <c r="GO156" s="55"/>
      <c r="GP156" s="55"/>
      <c r="GQ156" s="55"/>
      <c r="GR156" s="55"/>
      <c r="GS156" s="55"/>
      <c r="GT156" s="55"/>
      <c r="GU156" s="55"/>
      <c r="GV156" s="55"/>
      <c r="GW156" s="55"/>
      <c r="GX156" s="55"/>
      <c r="GY156" s="55"/>
      <c r="GZ156" s="55"/>
      <c r="HA156" s="55"/>
      <c r="HB156" s="55"/>
      <c r="HC156" s="55"/>
      <c r="HD156" s="55"/>
      <c r="HE156" s="55"/>
      <c r="HF156" s="55"/>
      <c r="HG156" s="55"/>
      <c r="HH156" s="55"/>
      <c r="HI156" s="55"/>
      <c r="HJ156" s="55"/>
      <c r="HK156" s="55"/>
      <c r="HL156" s="55"/>
      <c r="HM156" s="55"/>
      <c r="HN156" s="55"/>
      <c r="HO156" s="55"/>
      <c r="HP156" s="55"/>
      <c r="HQ156" s="55"/>
      <c r="HR156" s="55"/>
      <c r="HS156" s="55"/>
      <c r="HT156" s="55"/>
      <c r="HU156" s="55"/>
      <c r="HV156" s="55"/>
      <c r="HW156" s="55"/>
      <c r="HX156" s="55"/>
      <c r="HY156" s="55"/>
      <c r="HZ156" s="55"/>
      <c r="IA156" s="55"/>
      <c r="IB156" s="55"/>
      <c r="IC156" s="55"/>
      <c r="ID156" s="55"/>
    </row>
    <row r="157" s="52" customFormat="1" ht="36" customHeight="1" spans="1:238">
      <c r="A157" s="112" t="s">
        <v>95</v>
      </c>
      <c r="B157" s="112" t="s">
        <v>678</v>
      </c>
      <c r="C157" s="64" t="s">
        <v>679</v>
      </c>
      <c r="D157" s="65"/>
      <c r="E157" s="77"/>
      <c r="F157" s="77" t="s">
        <v>35</v>
      </c>
      <c r="G157" s="64" t="s">
        <v>110</v>
      </c>
      <c r="H157" s="78">
        <v>19.5</v>
      </c>
      <c r="I157" s="78">
        <v>18</v>
      </c>
      <c r="J157" s="83">
        <v>18.5</v>
      </c>
      <c r="K157" s="83">
        <v>18</v>
      </c>
      <c r="L157" s="83">
        <v>15</v>
      </c>
      <c r="M157" s="41">
        <v>19</v>
      </c>
      <c r="N157" s="41">
        <v>18</v>
      </c>
      <c r="O157" s="41">
        <v>15</v>
      </c>
      <c r="P157" s="64" t="s">
        <v>621</v>
      </c>
      <c r="Q157" s="64" t="s">
        <v>35</v>
      </c>
      <c r="R157" s="64" t="s">
        <v>35</v>
      </c>
      <c r="S157" s="83"/>
      <c r="T157" s="77" t="s">
        <v>186</v>
      </c>
      <c r="U157" s="105" t="s">
        <v>680</v>
      </c>
      <c r="V157" s="105">
        <v>33040400401</v>
      </c>
      <c r="W157" s="106" t="s">
        <v>681</v>
      </c>
      <c r="X157" s="105"/>
      <c r="Y157" s="105"/>
      <c r="Z157" s="105" t="s">
        <v>36</v>
      </c>
      <c r="AA157" s="110" t="s">
        <v>35</v>
      </c>
      <c r="AB157" s="50">
        <v>81</v>
      </c>
      <c r="AC157" s="50">
        <v>78</v>
      </c>
      <c r="AD157" s="50">
        <v>66</v>
      </c>
      <c r="AE157" s="112"/>
      <c r="AF157" s="60"/>
      <c r="AG157" s="55"/>
      <c r="AH157" s="55"/>
      <c r="AI157" s="55"/>
      <c r="AJ157" s="55"/>
      <c r="AK157" s="55"/>
      <c r="AL157" s="55"/>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55"/>
      <c r="BR157" s="55"/>
      <c r="BS157" s="55"/>
      <c r="BT157" s="55"/>
      <c r="BU157" s="55"/>
      <c r="BV157" s="55"/>
      <c r="BW157" s="55"/>
      <c r="BX157" s="55"/>
      <c r="BY157" s="55"/>
      <c r="BZ157" s="55"/>
      <c r="CA157" s="55"/>
      <c r="CB157" s="55"/>
      <c r="CC157" s="55"/>
      <c r="CD157" s="55"/>
      <c r="CE157" s="55"/>
      <c r="CF157" s="55"/>
      <c r="CG157" s="55"/>
      <c r="CH157" s="55"/>
      <c r="CI157" s="55"/>
      <c r="CJ157" s="55"/>
      <c r="CK157" s="55"/>
      <c r="CL157" s="55"/>
      <c r="CM157" s="55"/>
      <c r="CN157" s="55"/>
      <c r="CO157" s="55"/>
      <c r="CP157" s="55"/>
      <c r="CQ157" s="55"/>
      <c r="CR157" s="55"/>
      <c r="CS157" s="55"/>
      <c r="CT157" s="55"/>
      <c r="CU157" s="55"/>
      <c r="CV157" s="55"/>
      <c r="CW157" s="55"/>
      <c r="CX157" s="55"/>
      <c r="CY157" s="55"/>
      <c r="CZ157" s="55"/>
      <c r="DA157" s="55"/>
      <c r="DB157" s="55"/>
      <c r="DC157" s="55"/>
      <c r="DD157" s="55"/>
      <c r="DE157" s="55"/>
      <c r="DF157" s="55"/>
      <c r="DG157" s="55"/>
      <c r="DH157" s="55"/>
      <c r="DI157" s="55"/>
      <c r="DJ157" s="55"/>
      <c r="DK157" s="55"/>
      <c r="DL157" s="55"/>
      <c r="DM157" s="55"/>
      <c r="DN157" s="55"/>
      <c r="DO157" s="55"/>
      <c r="DP157" s="55"/>
      <c r="DQ157" s="55"/>
      <c r="DR157" s="55"/>
      <c r="DS157" s="55"/>
      <c r="DT157" s="55"/>
      <c r="DU157" s="55"/>
      <c r="DV157" s="55"/>
      <c r="DW157" s="55"/>
      <c r="DX157" s="55"/>
      <c r="DY157" s="55"/>
      <c r="DZ157" s="55"/>
      <c r="EA157" s="55"/>
      <c r="EB157" s="55"/>
      <c r="EC157" s="55"/>
      <c r="ED157" s="55"/>
      <c r="EE157" s="55"/>
      <c r="EF157" s="55"/>
      <c r="EG157" s="55"/>
      <c r="EH157" s="55"/>
      <c r="EI157" s="55"/>
      <c r="EJ157" s="55"/>
      <c r="EK157" s="55"/>
      <c r="EL157" s="55"/>
      <c r="EM157" s="55"/>
      <c r="EN157" s="55"/>
      <c r="EO157" s="55"/>
      <c r="EP157" s="55"/>
      <c r="EQ157" s="55"/>
      <c r="ER157" s="55"/>
      <c r="ES157" s="55"/>
      <c r="ET157" s="55"/>
      <c r="EU157" s="55"/>
      <c r="EV157" s="55"/>
      <c r="EW157" s="55"/>
      <c r="EX157" s="55"/>
      <c r="EY157" s="55"/>
      <c r="EZ157" s="55"/>
      <c r="FA157" s="55"/>
      <c r="FB157" s="55"/>
      <c r="FC157" s="55"/>
      <c r="FD157" s="55"/>
      <c r="FE157" s="55"/>
      <c r="FF157" s="55"/>
      <c r="FG157" s="55"/>
      <c r="FH157" s="55"/>
      <c r="FI157" s="55"/>
      <c r="FJ157" s="55"/>
      <c r="FK157" s="55"/>
      <c r="FL157" s="55"/>
      <c r="FM157" s="55"/>
      <c r="FN157" s="55"/>
      <c r="FO157" s="55"/>
      <c r="FP157" s="55"/>
      <c r="FQ157" s="55"/>
      <c r="FR157" s="55"/>
      <c r="FS157" s="55"/>
      <c r="FT157" s="55"/>
      <c r="FU157" s="55"/>
      <c r="FV157" s="55"/>
      <c r="FW157" s="55"/>
      <c r="FX157" s="55"/>
      <c r="FY157" s="55"/>
      <c r="FZ157" s="55"/>
      <c r="GA157" s="55"/>
      <c r="GB157" s="55"/>
      <c r="GC157" s="55"/>
      <c r="GD157" s="55"/>
      <c r="GE157" s="55"/>
      <c r="GF157" s="55"/>
      <c r="GG157" s="55"/>
      <c r="GH157" s="55"/>
      <c r="GI157" s="55"/>
      <c r="GJ157" s="55"/>
      <c r="GK157" s="55"/>
      <c r="GL157" s="55"/>
      <c r="GM157" s="55"/>
      <c r="GN157" s="55"/>
      <c r="GO157" s="55"/>
      <c r="GP157" s="55"/>
      <c r="GQ157" s="55"/>
      <c r="GR157" s="55"/>
      <c r="GS157" s="55"/>
      <c r="GT157" s="55"/>
      <c r="GU157" s="55"/>
      <c r="GV157" s="55"/>
      <c r="GW157" s="55"/>
      <c r="GX157" s="55"/>
      <c r="GY157" s="55"/>
      <c r="GZ157" s="55"/>
      <c r="HA157" s="55"/>
      <c r="HB157" s="55"/>
      <c r="HC157" s="55"/>
      <c r="HD157" s="55"/>
      <c r="HE157" s="55"/>
      <c r="HF157" s="55"/>
      <c r="HG157" s="55"/>
      <c r="HH157" s="55"/>
      <c r="HI157" s="55"/>
      <c r="HJ157" s="55"/>
      <c r="HK157" s="55"/>
      <c r="HL157" s="55"/>
      <c r="HM157" s="55"/>
      <c r="HN157" s="55"/>
      <c r="HO157" s="55"/>
      <c r="HP157" s="55"/>
      <c r="HQ157" s="55"/>
      <c r="HR157" s="55"/>
      <c r="HS157" s="55"/>
      <c r="HT157" s="55"/>
      <c r="HU157" s="55"/>
      <c r="HV157" s="55"/>
      <c r="HW157" s="55"/>
      <c r="HX157" s="55"/>
      <c r="HY157" s="55"/>
      <c r="HZ157" s="55"/>
      <c r="IA157" s="55"/>
      <c r="IB157" s="55"/>
      <c r="IC157" s="55"/>
      <c r="ID157" s="55"/>
    </row>
    <row r="158" s="52" customFormat="1" spans="1:238">
      <c r="A158" s="64"/>
      <c r="B158" s="64" t="s">
        <v>682</v>
      </c>
      <c r="C158" s="64" t="s">
        <v>683</v>
      </c>
      <c r="D158" s="65"/>
      <c r="E158" s="77"/>
      <c r="F158" s="77"/>
      <c r="G158" s="64"/>
      <c r="H158" s="42"/>
      <c r="I158" s="42"/>
      <c r="J158" s="83"/>
      <c r="K158" s="83"/>
      <c r="L158" s="83"/>
      <c r="M158" s="41"/>
      <c r="N158" s="41"/>
      <c r="O158" s="41"/>
      <c r="P158" s="64"/>
      <c r="Q158" s="64"/>
      <c r="R158" s="64"/>
      <c r="S158" s="83"/>
      <c r="T158" s="77"/>
      <c r="U158" s="112"/>
      <c r="V158" s="112"/>
      <c r="W158" s="112"/>
      <c r="X158" s="64"/>
      <c r="Y158" s="112"/>
      <c r="Z158" s="112"/>
      <c r="AA158" s="110"/>
      <c r="AB158" s="50"/>
      <c r="AC158" s="50"/>
      <c r="AD158" s="50"/>
      <c r="AE158" s="112"/>
      <c r="AF158" s="60"/>
      <c r="AG158" s="55"/>
      <c r="AH158" s="55"/>
      <c r="AI158" s="55"/>
      <c r="AJ158" s="55"/>
      <c r="AK158" s="55"/>
      <c r="AL158" s="55"/>
      <c r="AM158" s="55"/>
      <c r="AN158" s="55"/>
      <c r="AO158" s="55"/>
      <c r="AP158" s="55"/>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c r="BM158" s="55"/>
      <c r="BN158" s="55"/>
      <c r="BO158" s="55"/>
      <c r="BP158" s="55"/>
      <c r="BQ158" s="55"/>
      <c r="BR158" s="55"/>
      <c r="BS158" s="55"/>
      <c r="BT158" s="55"/>
      <c r="BU158" s="55"/>
      <c r="BV158" s="55"/>
      <c r="BW158" s="55"/>
      <c r="BX158" s="55"/>
      <c r="BY158" s="55"/>
      <c r="BZ158" s="55"/>
      <c r="CA158" s="55"/>
      <c r="CB158" s="55"/>
      <c r="CC158" s="55"/>
      <c r="CD158" s="55"/>
      <c r="CE158" s="55"/>
      <c r="CF158" s="55"/>
      <c r="CG158" s="55"/>
      <c r="CH158" s="55"/>
      <c r="CI158" s="55"/>
      <c r="CJ158" s="55"/>
      <c r="CK158" s="55"/>
      <c r="CL158" s="55"/>
      <c r="CM158" s="55"/>
      <c r="CN158" s="55"/>
      <c r="CO158" s="55"/>
      <c r="CP158" s="55"/>
      <c r="CQ158" s="55"/>
      <c r="CR158" s="55"/>
      <c r="CS158" s="55"/>
      <c r="CT158" s="55"/>
      <c r="CU158" s="55"/>
      <c r="CV158" s="55"/>
      <c r="CW158" s="55"/>
      <c r="CX158" s="55"/>
      <c r="CY158" s="55"/>
      <c r="CZ158" s="55"/>
      <c r="DA158" s="55"/>
      <c r="DB158" s="55"/>
      <c r="DC158" s="55"/>
      <c r="DD158" s="55"/>
      <c r="DE158" s="55"/>
      <c r="DF158" s="55"/>
      <c r="DG158" s="55"/>
      <c r="DH158" s="55"/>
      <c r="DI158" s="55"/>
      <c r="DJ158" s="55"/>
      <c r="DK158" s="55"/>
      <c r="DL158" s="55"/>
      <c r="DM158" s="55"/>
      <c r="DN158" s="55"/>
      <c r="DO158" s="55"/>
      <c r="DP158" s="55"/>
      <c r="DQ158" s="55"/>
      <c r="DR158" s="55"/>
      <c r="DS158" s="55"/>
      <c r="DT158" s="55"/>
      <c r="DU158" s="55"/>
      <c r="DV158" s="55"/>
      <c r="DW158" s="55"/>
      <c r="DX158" s="55"/>
      <c r="DY158" s="55"/>
      <c r="DZ158" s="55"/>
      <c r="EA158" s="55"/>
      <c r="EB158" s="55"/>
      <c r="EC158" s="55"/>
      <c r="ED158" s="55"/>
      <c r="EE158" s="55"/>
      <c r="EF158" s="55"/>
      <c r="EG158" s="55"/>
      <c r="EH158" s="55"/>
      <c r="EI158" s="55"/>
      <c r="EJ158" s="55"/>
      <c r="EK158" s="55"/>
      <c r="EL158" s="55"/>
      <c r="EM158" s="55"/>
      <c r="EN158" s="55"/>
      <c r="EO158" s="55"/>
      <c r="EP158" s="55"/>
      <c r="EQ158" s="55"/>
      <c r="ER158" s="55"/>
      <c r="ES158" s="55"/>
      <c r="ET158" s="55"/>
      <c r="EU158" s="55"/>
      <c r="EV158" s="55"/>
      <c r="EW158" s="55"/>
      <c r="EX158" s="55"/>
      <c r="EY158" s="55"/>
      <c r="EZ158" s="55"/>
      <c r="FA158" s="55"/>
      <c r="FB158" s="55"/>
      <c r="FC158" s="55"/>
      <c r="FD158" s="55"/>
      <c r="FE158" s="55"/>
      <c r="FF158" s="55"/>
      <c r="FG158" s="55"/>
      <c r="FH158" s="55"/>
      <c r="FI158" s="55"/>
      <c r="FJ158" s="55"/>
      <c r="FK158" s="55"/>
      <c r="FL158" s="55"/>
      <c r="FM158" s="55"/>
      <c r="FN158" s="55"/>
      <c r="FO158" s="55"/>
      <c r="FP158" s="55"/>
      <c r="FQ158" s="55"/>
      <c r="FR158" s="55"/>
      <c r="FS158" s="55"/>
      <c r="FT158" s="55"/>
      <c r="FU158" s="55"/>
      <c r="FV158" s="55"/>
      <c r="FW158" s="55"/>
      <c r="FX158" s="55"/>
      <c r="FY158" s="55"/>
      <c r="FZ158" s="55"/>
      <c r="GA158" s="55"/>
      <c r="GB158" s="55"/>
      <c r="GC158" s="55"/>
      <c r="GD158" s="55"/>
      <c r="GE158" s="55"/>
      <c r="GF158" s="55"/>
      <c r="GG158" s="55"/>
      <c r="GH158" s="55"/>
      <c r="GI158" s="55"/>
      <c r="GJ158" s="55"/>
      <c r="GK158" s="55"/>
      <c r="GL158" s="55"/>
      <c r="GM158" s="55"/>
      <c r="GN158" s="55"/>
      <c r="GO158" s="55"/>
      <c r="GP158" s="55"/>
      <c r="GQ158" s="55"/>
      <c r="GR158" s="55"/>
      <c r="GS158" s="55"/>
      <c r="GT158" s="55"/>
      <c r="GU158" s="55"/>
      <c r="GV158" s="55"/>
      <c r="GW158" s="55"/>
      <c r="GX158" s="55"/>
      <c r="GY158" s="55"/>
      <c r="GZ158" s="55"/>
      <c r="HA158" s="55"/>
      <c r="HB158" s="55"/>
      <c r="HC158" s="55"/>
      <c r="HD158" s="55"/>
      <c r="HE158" s="55"/>
      <c r="HF158" s="55"/>
      <c r="HG158" s="55"/>
      <c r="HH158" s="55"/>
      <c r="HI158" s="55"/>
      <c r="HJ158" s="55"/>
      <c r="HK158" s="55"/>
      <c r="HL158" s="55"/>
      <c r="HM158" s="55"/>
      <c r="HN158" s="55"/>
      <c r="HO158" s="55"/>
      <c r="HP158" s="55"/>
      <c r="HQ158" s="55"/>
      <c r="HR158" s="55"/>
      <c r="HS158" s="55"/>
      <c r="HT158" s="55"/>
      <c r="HU158" s="55"/>
      <c r="HV158" s="55"/>
      <c r="HW158" s="55"/>
      <c r="HX158" s="55"/>
      <c r="HY158" s="55"/>
      <c r="HZ158" s="55"/>
      <c r="IA158" s="55"/>
      <c r="IB158" s="55"/>
      <c r="IC158" s="55"/>
      <c r="ID158" s="55"/>
    </row>
    <row r="159" s="52" customFormat="1" ht="25.5" spans="1:238">
      <c r="A159" s="64">
        <v>50</v>
      </c>
      <c r="B159" s="64" t="s">
        <v>684</v>
      </c>
      <c r="C159" s="64" t="s">
        <v>685</v>
      </c>
      <c r="D159" s="65" t="s">
        <v>686</v>
      </c>
      <c r="E159" s="77" t="s">
        <v>687</v>
      </c>
      <c r="F159" s="77" t="s">
        <v>688</v>
      </c>
      <c r="G159" s="64" t="s">
        <v>110</v>
      </c>
      <c r="H159" s="78">
        <v>2000</v>
      </c>
      <c r="I159" s="78">
        <v>1800</v>
      </c>
      <c r="J159" s="83">
        <v>1550.9649122807</v>
      </c>
      <c r="K159" s="83">
        <v>1335.2380952381</v>
      </c>
      <c r="L159" s="83">
        <v>1290</v>
      </c>
      <c r="M159" s="89">
        <v>1800</v>
      </c>
      <c r="N159" s="89">
        <v>1650</v>
      </c>
      <c r="O159" s="89">
        <v>1400</v>
      </c>
      <c r="P159" s="64" t="s">
        <v>37</v>
      </c>
      <c r="Q159" s="64" t="s">
        <v>35</v>
      </c>
      <c r="R159" s="64" t="s">
        <v>35</v>
      </c>
      <c r="S159" s="83" t="s">
        <v>333</v>
      </c>
      <c r="T159" s="77" t="s">
        <v>689</v>
      </c>
      <c r="U159" s="105" t="s">
        <v>690</v>
      </c>
      <c r="V159" s="105">
        <v>330406001</v>
      </c>
      <c r="W159" s="106" t="s">
        <v>691</v>
      </c>
      <c r="X159" s="105"/>
      <c r="Y159" s="105"/>
      <c r="Z159" s="105" t="s">
        <v>36</v>
      </c>
      <c r="AA159" s="110"/>
      <c r="AB159" s="50">
        <v>750</v>
      </c>
      <c r="AC159" s="50">
        <v>720</v>
      </c>
      <c r="AD159" s="50">
        <v>612</v>
      </c>
      <c r="AE159" s="112" t="s">
        <v>37</v>
      </c>
      <c r="AF159" s="60"/>
      <c r="AG159" s="55"/>
      <c r="AH159" s="55"/>
      <c r="AI159" s="55"/>
      <c r="AJ159" s="55"/>
      <c r="AK159" s="55"/>
      <c r="AL159" s="55"/>
      <c r="AM159" s="55"/>
      <c r="AN159" s="55"/>
      <c r="AO159" s="55"/>
      <c r="AP159" s="55"/>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c r="BM159" s="55"/>
      <c r="BN159" s="55"/>
      <c r="BO159" s="55"/>
      <c r="BP159" s="55"/>
      <c r="BQ159" s="55"/>
      <c r="BR159" s="55"/>
      <c r="BS159" s="55"/>
      <c r="BT159" s="55"/>
      <c r="BU159" s="55"/>
      <c r="BV159" s="55"/>
      <c r="BW159" s="55"/>
      <c r="BX159" s="55"/>
      <c r="BY159" s="55"/>
      <c r="BZ159" s="55"/>
      <c r="CA159" s="55"/>
      <c r="CB159" s="55"/>
      <c r="CC159" s="55"/>
      <c r="CD159" s="55"/>
      <c r="CE159" s="55"/>
      <c r="CF159" s="55"/>
      <c r="CG159" s="55"/>
      <c r="CH159" s="55"/>
      <c r="CI159" s="55"/>
      <c r="CJ159" s="55"/>
      <c r="CK159" s="55"/>
      <c r="CL159" s="55"/>
      <c r="CM159" s="55"/>
      <c r="CN159" s="55"/>
      <c r="CO159" s="55"/>
      <c r="CP159" s="55"/>
      <c r="CQ159" s="55"/>
      <c r="CR159" s="55"/>
      <c r="CS159" s="55"/>
      <c r="CT159" s="55"/>
      <c r="CU159" s="55"/>
      <c r="CV159" s="55"/>
      <c r="CW159" s="55"/>
      <c r="CX159" s="55"/>
      <c r="CY159" s="55"/>
      <c r="CZ159" s="55"/>
      <c r="DA159" s="55"/>
      <c r="DB159" s="55"/>
      <c r="DC159" s="55"/>
      <c r="DD159" s="55"/>
      <c r="DE159" s="55"/>
      <c r="DF159" s="55"/>
      <c r="DG159" s="55"/>
      <c r="DH159" s="55"/>
      <c r="DI159" s="55"/>
      <c r="DJ159" s="55"/>
      <c r="DK159" s="55"/>
      <c r="DL159" s="55"/>
      <c r="DM159" s="55"/>
      <c r="DN159" s="55"/>
      <c r="DO159" s="55"/>
      <c r="DP159" s="55"/>
      <c r="DQ159" s="55"/>
      <c r="DR159" s="55"/>
      <c r="DS159" s="55"/>
      <c r="DT159" s="55"/>
      <c r="DU159" s="55"/>
      <c r="DV159" s="55"/>
      <c r="DW159" s="55"/>
      <c r="DX159" s="55"/>
      <c r="DY159" s="55"/>
      <c r="DZ159" s="55"/>
      <c r="EA159" s="55"/>
      <c r="EB159" s="55"/>
      <c r="EC159" s="55"/>
      <c r="ED159" s="55"/>
      <c r="EE159" s="55"/>
      <c r="EF159" s="55"/>
      <c r="EG159" s="55"/>
      <c r="EH159" s="55"/>
      <c r="EI159" s="55"/>
      <c r="EJ159" s="55"/>
      <c r="EK159" s="55"/>
      <c r="EL159" s="55"/>
      <c r="EM159" s="55"/>
      <c r="EN159" s="55"/>
      <c r="EO159" s="55"/>
      <c r="EP159" s="55"/>
      <c r="EQ159" s="55"/>
      <c r="ER159" s="55"/>
      <c r="ES159" s="55"/>
      <c r="ET159" s="55"/>
      <c r="EU159" s="55"/>
      <c r="EV159" s="55"/>
      <c r="EW159" s="55"/>
      <c r="EX159" s="55"/>
      <c r="EY159" s="55"/>
      <c r="EZ159" s="55"/>
      <c r="FA159" s="55"/>
      <c r="FB159" s="55"/>
      <c r="FC159" s="55"/>
      <c r="FD159" s="55"/>
      <c r="FE159" s="55"/>
      <c r="FF159" s="55"/>
      <c r="FG159" s="55"/>
      <c r="FH159" s="55"/>
      <c r="FI159" s="55"/>
      <c r="FJ159" s="55"/>
      <c r="FK159" s="55"/>
      <c r="FL159" s="55"/>
      <c r="FM159" s="55"/>
      <c r="FN159" s="55"/>
      <c r="FO159" s="55"/>
      <c r="FP159" s="55"/>
      <c r="FQ159" s="55"/>
      <c r="FR159" s="55"/>
      <c r="FS159" s="55"/>
      <c r="FT159" s="55"/>
      <c r="FU159" s="55"/>
      <c r="FV159" s="55"/>
      <c r="FW159" s="55"/>
      <c r="FX159" s="55"/>
      <c r="FY159" s="55"/>
      <c r="FZ159" s="55"/>
      <c r="GA159" s="55"/>
      <c r="GB159" s="55"/>
      <c r="GC159" s="55"/>
      <c r="GD159" s="55"/>
      <c r="GE159" s="55"/>
      <c r="GF159" s="55"/>
      <c r="GG159" s="55"/>
      <c r="GH159" s="55"/>
      <c r="GI159" s="55"/>
      <c r="GJ159" s="55"/>
      <c r="GK159" s="55"/>
      <c r="GL159" s="55"/>
      <c r="GM159" s="55"/>
      <c r="GN159" s="55"/>
      <c r="GO159" s="55"/>
      <c r="GP159" s="55"/>
      <c r="GQ159" s="55"/>
      <c r="GR159" s="55"/>
      <c r="GS159" s="55"/>
      <c r="GT159" s="55"/>
      <c r="GU159" s="55"/>
      <c r="GV159" s="55"/>
      <c r="GW159" s="55"/>
      <c r="GX159" s="55"/>
      <c r="GY159" s="55"/>
      <c r="GZ159" s="55"/>
      <c r="HA159" s="55"/>
      <c r="HB159" s="55"/>
      <c r="HC159" s="55"/>
      <c r="HD159" s="55"/>
      <c r="HE159" s="55"/>
      <c r="HF159" s="55"/>
      <c r="HG159" s="55"/>
      <c r="HH159" s="55"/>
      <c r="HI159" s="55"/>
      <c r="HJ159" s="55"/>
      <c r="HK159" s="55"/>
      <c r="HL159" s="55"/>
      <c r="HM159" s="55"/>
      <c r="HN159" s="55"/>
      <c r="HO159" s="55"/>
      <c r="HP159" s="55"/>
      <c r="HQ159" s="55"/>
      <c r="HR159" s="55"/>
      <c r="HS159" s="55"/>
      <c r="HT159" s="55"/>
      <c r="HU159" s="55"/>
      <c r="HV159" s="55"/>
      <c r="HW159" s="55"/>
      <c r="HX159" s="55"/>
      <c r="HY159" s="55"/>
      <c r="HZ159" s="55"/>
      <c r="IA159" s="55"/>
      <c r="IB159" s="55"/>
      <c r="IC159" s="55"/>
      <c r="ID159" s="55"/>
    </row>
    <row r="160" s="52" customFormat="1" ht="25.5" spans="1:238">
      <c r="A160" s="64"/>
      <c r="B160" s="64"/>
      <c r="C160" s="64"/>
      <c r="D160" s="65"/>
      <c r="E160" s="77"/>
      <c r="F160" s="77"/>
      <c r="G160" s="64"/>
      <c r="H160" s="42"/>
      <c r="I160" s="42"/>
      <c r="J160" s="83"/>
      <c r="K160" s="83"/>
      <c r="L160" s="83"/>
      <c r="M160" s="89"/>
      <c r="N160" s="89"/>
      <c r="O160" s="89"/>
      <c r="P160" s="64"/>
      <c r="Q160" s="64"/>
      <c r="R160" s="64"/>
      <c r="S160" s="83"/>
      <c r="T160" s="77"/>
      <c r="U160" s="105" t="s">
        <v>692</v>
      </c>
      <c r="V160" s="105">
        <v>330406002</v>
      </c>
      <c r="W160" s="106" t="s">
        <v>693</v>
      </c>
      <c r="X160" s="105"/>
      <c r="Y160" s="105"/>
      <c r="Z160" s="105" t="s">
        <v>36</v>
      </c>
      <c r="AA160" s="110" t="s">
        <v>35</v>
      </c>
      <c r="AB160" s="50">
        <v>750</v>
      </c>
      <c r="AC160" s="50">
        <v>720</v>
      </c>
      <c r="AD160" s="50">
        <v>612</v>
      </c>
      <c r="AE160" s="112" t="s">
        <v>37</v>
      </c>
      <c r="AF160" s="60"/>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c r="BM160" s="55"/>
      <c r="BN160" s="55"/>
      <c r="BO160" s="55"/>
      <c r="BP160" s="55"/>
      <c r="BQ160" s="55"/>
      <c r="BR160" s="55"/>
      <c r="BS160" s="55"/>
      <c r="BT160" s="55"/>
      <c r="BU160" s="55"/>
      <c r="BV160" s="55"/>
      <c r="BW160" s="55"/>
      <c r="BX160" s="55"/>
      <c r="BY160" s="55"/>
      <c r="BZ160" s="55"/>
      <c r="CA160" s="55"/>
      <c r="CB160" s="55"/>
      <c r="CC160" s="55"/>
      <c r="CD160" s="55"/>
      <c r="CE160" s="55"/>
      <c r="CF160" s="55"/>
      <c r="CG160" s="55"/>
      <c r="CH160" s="55"/>
      <c r="CI160" s="55"/>
      <c r="CJ160" s="55"/>
      <c r="CK160" s="55"/>
      <c r="CL160" s="55"/>
      <c r="CM160" s="55"/>
      <c r="CN160" s="55"/>
      <c r="CO160" s="55"/>
      <c r="CP160" s="55"/>
      <c r="CQ160" s="55"/>
      <c r="CR160" s="55"/>
      <c r="CS160" s="55"/>
      <c r="CT160" s="55"/>
      <c r="CU160" s="55"/>
      <c r="CV160" s="55"/>
      <c r="CW160" s="55"/>
      <c r="CX160" s="55"/>
      <c r="CY160" s="55"/>
      <c r="CZ160" s="55"/>
      <c r="DA160" s="55"/>
      <c r="DB160" s="55"/>
      <c r="DC160" s="55"/>
      <c r="DD160" s="55"/>
      <c r="DE160" s="55"/>
      <c r="DF160" s="55"/>
      <c r="DG160" s="55"/>
      <c r="DH160" s="55"/>
      <c r="DI160" s="55"/>
      <c r="DJ160" s="55"/>
      <c r="DK160" s="55"/>
      <c r="DL160" s="55"/>
      <c r="DM160" s="55"/>
      <c r="DN160" s="55"/>
      <c r="DO160" s="55"/>
      <c r="DP160" s="55"/>
      <c r="DQ160" s="55"/>
      <c r="DR160" s="55"/>
      <c r="DS160" s="55"/>
      <c r="DT160" s="55"/>
      <c r="DU160" s="55"/>
      <c r="DV160" s="55"/>
      <c r="DW160" s="55"/>
      <c r="DX160" s="55"/>
      <c r="DY160" s="55"/>
      <c r="DZ160" s="55"/>
      <c r="EA160" s="55"/>
      <c r="EB160" s="55"/>
      <c r="EC160" s="55"/>
      <c r="ED160" s="55"/>
      <c r="EE160" s="55"/>
      <c r="EF160" s="55"/>
      <c r="EG160" s="55"/>
      <c r="EH160" s="55"/>
      <c r="EI160" s="55"/>
      <c r="EJ160" s="55"/>
      <c r="EK160" s="55"/>
      <c r="EL160" s="55"/>
      <c r="EM160" s="55"/>
      <c r="EN160" s="55"/>
      <c r="EO160" s="55"/>
      <c r="EP160" s="55"/>
      <c r="EQ160" s="55"/>
      <c r="ER160" s="55"/>
      <c r="ES160" s="55"/>
      <c r="ET160" s="55"/>
      <c r="EU160" s="55"/>
      <c r="EV160" s="55"/>
      <c r="EW160" s="55"/>
      <c r="EX160" s="55"/>
      <c r="EY160" s="55"/>
      <c r="EZ160" s="55"/>
      <c r="FA160" s="55"/>
      <c r="FB160" s="55"/>
      <c r="FC160" s="55"/>
      <c r="FD160" s="55"/>
      <c r="FE160" s="55"/>
      <c r="FF160" s="55"/>
      <c r="FG160" s="55"/>
      <c r="FH160" s="55"/>
      <c r="FI160" s="55"/>
      <c r="FJ160" s="55"/>
      <c r="FK160" s="55"/>
      <c r="FL160" s="55"/>
      <c r="FM160" s="55"/>
      <c r="FN160" s="55"/>
      <c r="FO160" s="55"/>
      <c r="FP160" s="55"/>
      <c r="FQ160" s="55"/>
      <c r="FR160" s="55"/>
      <c r="FS160" s="55"/>
      <c r="FT160" s="55"/>
      <c r="FU160" s="55"/>
      <c r="FV160" s="55"/>
      <c r="FW160" s="55"/>
      <c r="FX160" s="55"/>
      <c r="FY160" s="55"/>
      <c r="FZ160" s="55"/>
      <c r="GA160" s="55"/>
      <c r="GB160" s="55"/>
      <c r="GC160" s="55"/>
      <c r="GD160" s="55"/>
      <c r="GE160" s="55"/>
      <c r="GF160" s="55"/>
      <c r="GG160" s="55"/>
      <c r="GH160" s="55"/>
      <c r="GI160" s="55"/>
      <c r="GJ160" s="55"/>
      <c r="GK160" s="55"/>
      <c r="GL160" s="55"/>
      <c r="GM160" s="55"/>
      <c r="GN160" s="55"/>
      <c r="GO160" s="55"/>
      <c r="GP160" s="55"/>
      <c r="GQ160" s="55"/>
      <c r="GR160" s="55"/>
      <c r="GS160" s="55"/>
      <c r="GT160" s="55"/>
      <c r="GU160" s="55"/>
      <c r="GV160" s="55"/>
      <c r="GW160" s="55"/>
      <c r="GX160" s="55"/>
      <c r="GY160" s="55"/>
      <c r="GZ160" s="55"/>
      <c r="HA160" s="55"/>
      <c r="HB160" s="55"/>
      <c r="HC160" s="55"/>
      <c r="HD160" s="55"/>
      <c r="HE160" s="55"/>
      <c r="HF160" s="55"/>
      <c r="HG160" s="55"/>
      <c r="HH160" s="55"/>
      <c r="HI160" s="55"/>
      <c r="HJ160" s="55"/>
      <c r="HK160" s="55"/>
      <c r="HL160" s="55"/>
      <c r="HM160" s="55"/>
      <c r="HN160" s="55"/>
      <c r="HO160" s="55"/>
      <c r="HP160" s="55"/>
      <c r="HQ160" s="55"/>
      <c r="HR160" s="55"/>
      <c r="HS160" s="55"/>
      <c r="HT160" s="55"/>
      <c r="HU160" s="55"/>
      <c r="HV160" s="55"/>
      <c r="HW160" s="55"/>
      <c r="HX160" s="55"/>
      <c r="HY160" s="55"/>
      <c r="HZ160" s="55"/>
      <c r="IA160" s="55"/>
      <c r="IB160" s="55"/>
      <c r="IC160" s="55"/>
      <c r="ID160" s="55"/>
    </row>
    <row r="161" s="52" customFormat="1" ht="25.5" spans="1:238">
      <c r="A161" s="64"/>
      <c r="B161" s="64"/>
      <c r="C161" s="64"/>
      <c r="D161" s="65"/>
      <c r="E161" s="77"/>
      <c r="F161" s="77"/>
      <c r="G161" s="64"/>
      <c r="H161" s="42"/>
      <c r="I161" s="42"/>
      <c r="J161" s="83"/>
      <c r="K161" s="83"/>
      <c r="L161" s="83"/>
      <c r="M161" s="89"/>
      <c r="N161" s="89"/>
      <c r="O161" s="89"/>
      <c r="P161" s="64"/>
      <c r="Q161" s="64"/>
      <c r="R161" s="64"/>
      <c r="S161" s="83"/>
      <c r="T161" s="77"/>
      <c r="U161" s="105" t="s">
        <v>694</v>
      </c>
      <c r="V161" s="105">
        <v>330406003</v>
      </c>
      <c r="W161" s="106" t="s">
        <v>695</v>
      </c>
      <c r="X161" s="105"/>
      <c r="Y161" s="105"/>
      <c r="Z161" s="105" t="s">
        <v>36</v>
      </c>
      <c r="AA161" s="110"/>
      <c r="AB161" s="50">
        <v>1100</v>
      </c>
      <c r="AC161" s="50">
        <v>990</v>
      </c>
      <c r="AD161" s="50">
        <v>840</v>
      </c>
      <c r="AE161" s="112" t="s">
        <v>37</v>
      </c>
      <c r="AF161" s="60"/>
      <c r="AG161" s="55"/>
      <c r="AH161" s="55"/>
      <c r="AI161" s="55"/>
      <c r="AJ161" s="55"/>
      <c r="AK161" s="55"/>
      <c r="AL161" s="55"/>
      <c r="AM161" s="55"/>
      <c r="AN161" s="55"/>
      <c r="AO161" s="55"/>
      <c r="AP161" s="55"/>
      <c r="AQ161" s="55"/>
      <c r="AR161" s="55"/>
      <c r="AS161" s="55"/>
      <c r="AT161" s="55"/>
      <c r="AU161" s="55"/>
      <c r="AV161" s="55"/>
      <c r="AW161" s="55"/>
      <c r="AX161" s="55"/>
      <c r="AY161" s="55"/>
      <c r="AZ161" s="55"/>
      <c r="BA161" s="55"/>
      <c r="BB161" s="55"/>
      <c r="BC161" s="55"/>
      <c r="BD161" s="55"/>
      <c r="BE161" s="55"/>
      <c r="BF161" s="55"/>
      <c r="BG161" s="55"/>
      <c r="BH161" s="55"/>
      <c r="BI161" s="55"/>
      <c r="BJ161" s="55"/>
      <c r="BK161" s="55"/>
      <c r="BL161" s="55"/>
      <c r="BM161" s="55"/>
      <c r="BN161" s="55"/>
      <c r="BO161" s="55"/>
      <c r="BP161" s="55"/>
      <c r="BQ161" s="55"/>
      <c r="BR161" s="55"/>
      <c r="BS161" s="55"/>
      <c r="BT161" s="55"/>
      <c r="BU161" s="55"/>
      <c r="BV161" s="55"/>
      <c r="BW161" s="55"/>
      <c r="BX161" s="55"/>
      <c r="BY161" s="55"/>
      <c r="BZ161" s="55"/>
      <c r="CA161" s="55"/>
      <c r="CB161" s="55"/>
      <c r="CC161" s="55"/>
      <c r="CD161" s="55"/>
      <c r="CE161" s="55"/>
      <c r="CF161" s="55"/>
      <c r="CG161" s="55"/>
      <c r="CH161" s="55"/>
      <c r="CI161" s="55"/>
      <c r="CJ161" s="55"/>
      <c r="CK161" s="55"/>
      <c r="CL161" s="55"/>
      <c r="CM161" s="55"/>
      <c r="CN161" s="55"/>
      <c r="CO161" s="55"/>
      <c r="CP161" s="55"/>
      <c r="CQ161" s="55"/>
      <c r="CR161" s="55"/>
      <c r="CS161" s="55"/>
      <c r="CT161" s="55"/>
      <c r="CU161" s="55"/>
      <c r="CV161" s="55"/>
      <c r="CW161" s="55"/>
      <c r="CX161" s="55"/>
      <c r="CY161" s="55"/>
      <c r="CZ161" s="55"/>
      <c r="DA161" s="55"/>
      <c r="DB161" s="55"/>
      <c r="DC161" s="55"/>
      <c r="DD161" s="55"/>
      <c r="DE161" s="55"/>
      <c r="DF161" s="55"/>
      <c r="DG161" s="55"/>
      <c r="DH161" s="55"/>
      <c r="DI161" s="55"/>
      <c r="DJ161" s="55"/>
      <c r="DK161" s="55"/>
      <c r="DL161" s="55"/>
      <c r="DM161" s="55"/>
      <c r="DN161" s="55"/>
      <c r="DO161" s="55"/>
      <c r="DP161" s="55"/>
      <c r="DQ161" s="55"/>
      <c r="DR161" s="55"/>
      <c r="DS161" s="55"/>
      <c r="DT161" s="55"/>
      <c r="DU161" s="55"/>
      <c r="DV161" s="55"/>
      <c r="DW161" s="55"/>
      <c r="DX161" s="55"/>
      <c r="DY161" s="55"/>
      <c r="DZ161" s="55"/>
      <c r="EA161" s="55"/>
      <c r="EB161" s="55"/>
      <c r="EC161" s="55"/>
      <c r="ED161" s="55"/>
      <c r="EE161" s="55"/>
      <c r="EF161" s="55"/>
      <c r="EG161" s="55"/>
      <c r="EH161" s="55"/>
      <c r="EI161" s="55"/>
      <c r="EJ161" s="55"/>
      <c r="EK161" s="55"/>
      <c r="EL161" s="55"/>
      <c r="EM161" s="55"/>
      <c r="EN161" s="55"/>
      <c r="EO161" s="55"/>
      <c r="EP161" s="55"/>
      <c r="EQ161" s="55"/>
      <c r="ER161" s="55"/>
      <c r="ES161" s="55"/>
      <c r="ET161" s="55"/>
      <c r="EU161" s="55"/>
      <c r="EV161" s="55"/>
      <c r="EW161" s="55"/>
      <c r="EX161" s="55"/>
      <c r="EY161" s="55"/>
      <c r="EZ161" s="55"/>
      <c r="FA161" s="55"/>
      <c r="FB161" s="55"/>
      <c r="FC161" s="55"/>
      <c r="FD161" s="55"/>
      <c r="FE161" s="55"/>
      <c r="FF161" s="55"/>
      <c r="FG161" s="55"/>
      <c r="FH161" s="55"/>
      <c r="FI161" s="55"/>
      <c r="FJ161" s="55"/>
      <c r="FK161" s="55"/>
      <c r="FL161" s="55"/>
      <c r="FM161" s="55"/>
      <c r="FN161" s="55"/>
      <c r="FO161" s="55"/>
      <c r="FP161" s="55"/>
      <c r="FQ161" s="55"/>
      <c r="FR161" s="55"/>
      <c r="FS161" s="55"/>
      <c r="FT161" s="55"/>
      <c r="FU161" s="55"/>
      <c r="FV161" s="55"/>
      <c r="FW161" s="55"/>
      <c r="FX161" s="55"/>
      <c r="FY161" s="55"/>
      <c r="FZ161" s="55"/>
      <c r="GA161" s="55"/>
      <c r="GB161" s="55"/>
      <c r="GC161" s="55"/>
      <c r="GD161" s="55"/>
      <c r="GE161" s="55"/>
      <c r="GF161" s="55"/>
      <c r="GG161" s="55"/>
      <c r="GH161" s="55"/>
      <c r="GI161" s="55"/>
      <c r="GJ161" s="55"/>
      <c r="GK161" s="55"/>
      <c r="GL161" s="55"/>
      <c r="GM161" s="55"/>
      <c r="GN161" s="55"/>
      <c r="GO161" s="55"/>
      <c r="GP161" s="55"/>
      <c r="GQ161" s="55"/>
      <c r="GR161" s="55"/>
      <c r="GS161" s="55"/>
      <c r="GT161" s="55"/>
      <c r="GU161" s="55"/>
      <c r="GV161" s="55"/>
      <c r="GW161" s="55"/>
      <c r="GX161" s="55"/>
      <c r="GY161" s="55"/>
      <c r="GZ161" s="55"/>
      <c r="HA161" s="55"/>
      <c r="HB161" s="55"/>
      <c r="HC161" s="55"/>
      <c r="HD161" s="55"/>
      <c r="HE161" s="55"/>
      <c r="HF161" s="55"/>
      <c r="HG161" s="55"/>
      <c r="HH161" s="55"/>
      <c r="HI161" s="55"/>
      <c r="HJ161" s="55"/>
      <c r="HK161" s="55"/>
      <c r="HL161" s="55"/>
      <c r="HM161" s="55"/>
      <c r="HN161" s="55"/>
      <c r="HO161" s="55"/>
      <c r="HP161" s="55"/>
      <c r="HQ161" s="55"/>
      <c r="HR161" s="55"/>
      <c r="HS161" s="55"/>
      <c r="HT161" s="55"/>
      <c r="HU161" s="55"/>
      <c r="HV161" s="55"/>
      <c r="HW161" s="55"/>
      <c r="HX161" s="55"/>
      <c r="HY161" s="55"/>
      <c r="HZ161" s="55"/>
      <c r="IA161" s="55"/>
      <c r="IB161" s="55"/>
      <c r="IC161" s="55"/>
      <c r="ID161" s="55"/>
    </row>
    <row r="162" s="52" customFormat="1" ht="25.5" spans="1:238">
      <c r="A162" s="64"/>
      <c r="B162" s="64"/>
      <c r="C162" s="64"/>
      <c r="D162" s="65"/>
      <c r="E162" s="77"/>
      <c r="F162" s="77"/>
      <c r="G162" s="64"/>
      <c r="H162" s="42"/>
      <c r="I162" s="42"/>
      <c r="J162" s="83"/>
      <c r="K162" s="83"/>
      <c r="L162" s="83"/>
      <c r="M162" s="89"/>
      <c r="N162" s="89"/>
      <c r="O162" s="89"/>
      <c r="P162" s="64"/>
      <c r="Q162" s="64"/>
      <c r="R162" s="64"/>
      <c r="S162" s="83"/>
      <c r="T162" s="77"/>
      <c r="U162" s="105" t="s">
        <v>696</v>
      </c>
      <c r="V162" s="105">
        <v>330406004</v>
      </c>
      <c r="W162" s="106" t="s">
        <v>697</v>
      </c>
      <c r="X162" s="105"/>
      <c r="Y162" s="105"/>
      <c r="Z162" s="105" t="s">
        <v>36</v>
      </c>
      <c r="AA162" s="110"/>
      <c r="AB162" s="50">
        <v>1010</v>
      </c>
      <c r="AC162" s="50">
        <v>910</v>
      </c>
      <c r="AD162" s="50">
        <v>775</v>
      </c>
      <c r="AE162" s="112" t="s">
        <v>37</v>
      </c>
      <c r="AF162" s="60"/>
      <c r="AG162" s="55"/>
      <c r="AH162" s="55"/>
      <c r="AI162" s="55"/>
      <c r="AJ162" s="55"/>
      <c r="AK162" s="55"/>
      <c r="AL162" s="55"/>
      <c r="AM162" s="55"/>
      <c r="AN162" s="55"/>
      <c r="AO162" s="55"/>
      <c r="AP162" s="55"/>
      <c r="AQ162" s="55"/>
      <c r="AR162" s="55"/>
      <c r="AS162" s="55"/>
      <c r="AT162" s="55"/>
      <c r="AU162" s="55"/>
      <c r="AV162" s="55"/>
      <c r="AW162" s="55"/>
      <c r="AX162" s="55"/>
      <c r="AY162" s="55"/>
      <c r="AZ162" s="55"/>
      <c r="BA162" s="55"/>
      <c r="BB162" s="55"/>
      <c r="BC162" s="55"/>
      <c r="BD162" s="55"/>
      <c r="BE162" s="55"/>
      <c r="BF162" s="55"/>
      <c r="BG162" s="55"/>
      <c r="BH162" s="55"/>
      <c r="BI162" s="55"/>
      <c r="BJ162" s="55"/>
      <c r="BK162" s="55"/>
      <c r="BL162" s="55"/>
      <c r="BM162" s="55"/>
      <c r="BN162" s="55"/>
      <c r="BO162" s="55"/>
      <c r="BP162" s="55"/>
      <c r="BQ162" s="55"/>
      <c r="BR162" s="55"/>
      <c r="BS162" s="55"/>
      <c r="BT162" s="55"/>
      <c r="BU162" s="55"/>
      <c r="BV162" s="55"/>
      <c r="BW162" s="55"/>
      <c r="BX162" s="55"/>
      <c r="BY162" s="55"/>
      <c r="BZ162" s="55"/>
      <c r="CA162" s="55"/>
      <c r="CB162" s="55"/>
      <c r="CC162" s="55"/>
      <c r="CD162" s="55"/>
      <c r="CE162" s="55"/>
      <c r="CF162" s="55"/>
      <c r="CG162" s="55"/>
      <c r="CH162" s="55"/>
      <c r="CI162" s="55"/>
      <c r="CJ162" s="55"/>
      <c r="CK162" s="55"/>
      <c r="CL162" s="55"/>
      <c r="CM162" s="55"/>
      <c r="CN162" s="55"/>
      <c r="CO162" s="55"/>
      <c r="CP162" s="55"/>
      <c r="CQ162" s="55"/>
      <c r="CR162" s="55"/>
      <c r="CS162" s="55"/>
      <c r="CT162" s="55"/>
      <c r="CU162" s="55"/>
      <c r="CV162" s="55"/>
      <c r="CW162" s="55"/>
      <c r="CX162" s="55"/>
      <c r="CY162" s="55"/>
      <c r="CZ162" s="55"/>
      <c r="DA162" s="55"/>
      <c r="DB162" s="55"/>
      <c r="DC162" s="55"/>
      <c r="DD162" s="55"/>
      <c r="DE162" s="55"/>
      <c r="DF162" s="55"/>
      <c r="DG162" s="55"/>
      <c r="DH162" s="55"/>
      <c r="DI162" s="55"/>
      <c r="DJ162" s="55"/>
      <c r="DK162" s="55"/>
      <c r="DL162" s="55"/>
      <c r="DM162" s="55"/>
      <c r="DN162" s="55"/>
      <c r="DO162" s="55"/>
      <c r="DP162" s="55"/>
      <c r="DQ162" s="55"/>
      <c r="DR162" s="55"/>
      <c r="DS162" s="55"/>
      <c r="DT162" s="55"/>
      <c r="DU162" s="55"/>
      <c r="DV162" s="55"/>
      <c r="DW162" s="55"/>
      <c r="DX162" s="55"/>
      <c r="DY162" s="55"/>
      <c r="DZ162" s="55"/>
      <c r="EA162" s="55"/>
      <c r="EB162" s="55"/>
      <c r="EC162" s="55"/>
      <c r="ED162" s="55"/>
      <c r="EE162" s="55"/>
      <c r="EF162" s="55"/>
      <c r="EG162" s="55"/>
      <c r="EH162" s="55"/>
      <c r="EI162" s="55"/>
      <c r="EJ162" s="55"/>
      <c r="EK162" s="55"/>
      <c r="EL162" s="55"/>
      <c r="EM162" s="55"/>
      <c r="EN162" s="55"/>
      <c r="EO162" s="55"/>
      <c r="EP162" s="55"/>
      <c r="EQ162" s="55"/>
      <c r="ER162" s="55"/>
      <c r="ES162" s="55"/>
      <c r="ET162" s="55"/>
      <c r="EU162" s="55"/>
      <c r="EV162" s="55"/>
      <c r="EW162" s="55"/>
      <c r="EX162" s="55"/>
      <c r="EY162" s="55"/>
      <c r="EZ162" s="55"/>
      <c r="FA162" s="55"/>
      <c r="FB162" s="55"/>
      <c r="FC162" s="55"/>
      <c r="FD162" s="55"/>
      <c r="FE162" s="55"/>
      <c r="FF162" s="55"/>
      <c r="FG162" s="55"/>
      <c r="FH162" s="55"/>
      <c r="FI162" s="55"/>
      <c r="FJ162" s="55"/>
      <c r="FK162" s="55"/>
      <c r="FL162" s="55"/>
      <c r="FM162" s="55"/>
      <c r="FN162" s="55"/>
      <c r="FO162" s="55"/>
      <c r="FP162" s="55"/>
      <c r="FQ162" s="55"/>
      <c r="FR162" s="55"/>
      <c r="FS162" s="55"/>
      <c r="FT162" s="55"/>
      <c r="FU162" s="55"/>
      <c r="FV162" s="55"/>
      <c r="FW162" s="55"/>
      <c r="FX162" s="55"/>
      <c r="FY162" s="55"/>
      <c r="FZ162" s="55"/>
      <c r="GA162" s="55"/>
      <c r="GB162" s="55"/>
      <c r="GC162" s="55"/>
      <c r="GD162" s="55"/>
      <c r="GE162" s="55"/>
      <c r="GF162" s="55"/>
      <c r="GG162" s="55"/>
      <c r="GH162" s="55"/>
      <c r="GI162" s="55"/>
      <c r="GJ162" s="55"/>
      <c r="GK162" s="55"/>
      <c r="GL162" s="55"/>
      <c r="GM162" s="55"/>
      <c r="GN162" s="55"/>
      <c r="GO162" s="55"/>
      <c r="GP162" s="55"/>
      <c r="GQ162" s="55"/>
      <c r="GR162" s="55"/>
      <c r="GS162" s="55"/>
      <c r="GT162" s="55"/>
      <c r="GU162" s="55"/>
      <c r="GV162" s="55"/>
      <c r="GW162" s="55"/>
      <c r="GX162" s="55"/>
      <c r="GY162" s="55"/>
      <c r="GZ162" s="55"/>
      <c r="HA162" s="55"/>
      <c r="HB162" s="55"/>
      <c r="HC162" s="55"/>
      <c r="HD162" s="55"/>
      <c r="HE162" s="55"/>
      <c r="HF162" s="55"/>
      <c r="HG162" s="55"/>
      <c r="HH162" s="55"/>
      <c r="HI162" s="55"/>
      <c r="HJ162" s="55"/>
      <c r="HK162" s="55"/>
      <c r="HL162" s="55"/>
      <c r="HM162" s="55"/>
      <c r="HN162" s="55"/>
      <c r="HO162" s="55"/>
      <c r="HP162" s="55"/>
      <c r="HQ162" s="55"/>
      <c r="HR162" s="55"/>
      <c r="HS162" s="55"/>
      <c r="HT162" s="55"/>
      <c r="HU162" s="55"/>
      <c r="HV162" s="55"/>
      <c r="HW162" s="55"/>
      <c r="HX162" s="55"/>
      <c r="HY162" s="55"/>
      <c r="HZ162" s="55"/>
      <c r="IA162" s="55"/>
      <c r="IB162" s="55"/>
      <c r="IC162" s="55"/>
      <c r="ID162" s="55"/>
    </row>
    <row r="163" s="52" customFormat="1" ht="26" customHeight="1" spans="1:238">
      <c r="A163" s="64"/>
      <c r="B163" s="64"/>
      <c r="C163" s="64"/>
      <c r="D163" s="65"/>
      <c r="E163" s="77"/>
      <c r="F163" s="77"/>
      <c r="G163" s="64"/>
      <c r="H163" s="42"/>
      <c r="I163" s="42"/>
      <c r="J163" s="83"/>
      <c r="K163" s="83"/>
      <c r="L163" s="83"/>
      <c r="M163" s="89"/>
      <c r="N163" s="89"/>
      <c r="O163" s="89"/>
      <c r="P163" s="64"/>
      <c r="Q163" s="64"/>
      <c r="R163" s="64"/>
      <c r="S163" s="83"/>
      <c r="T163" s="77"/>
      <c r="U163" s="105" t="s">
        <v>698</v>
      </c>
      <c r="V163" s="105">
        <v>330406005</v>
      </c>
      <c r="W163" s="106" t="s">
        <v>699</v>
      </c>
      <c r="X163" s="105" t="s">
        <v>700</v>
      </c>
      <c r="Y163" s="105" t="s">
        <v>701</v>
      </c>
      <c r="Z163" s="105" t="s">
        <v>36</v>
      </c>
      <c r="AA163" s="110"/>
      <c r="AB163" s="50">
        <v>1690</v>
      </c>
      <c r="AC163" s="50">
        <v>1520</v>
      </c>
      <c r="AD163" s="50">
        <v>1290</v>
      </c>
      <c r="AE163" s="112" t="s">
        <v>37</v>
      </c>
      <c r="AF163" s="60"/>
      <c r="AG163" s="55"/>
      <c r="AH163" s="55"/>
      <c r="AI163" s="55"/>
      <c r="AJ163" s="55"/>
      <c r="AK163" s="55"/>
      <c r="AL163" s="55"/>
      <c r="AM163" s="55"/>
      <c r="AN163" s="55"/>
      <c r="AO163" s="55"/>
      <c r="AP163" s="55"/>
      <c r="AQ163" s="55"/>
      <c r="AR163" s="55"/>
      <c r="AS163" s="55"/>
      <c r="AT163" s="55"/>
      <c r="AU163" s="55"/>
      <c r="AV163" s="55"/>
      <c r="AW163" s="55"/>
      <c r="AX163" s="55"/>
      <c r="AY163" s="55"/>
      <c r="AZ163" s="55"/>
      <c r="BA163" s="55"/>
      <c r="BB163" s="55"/>
      <c r="BC163" s="55"/>
      <c r="BD163" s="55"/>
      <c r="BE163" s="55"/>
      <c r="BF163" s="55"/>
      <c r="BG163" s="55"/>
      <c r="BH163" s="55"/>
      <c r="BI163" s="55"/>
      <c r="BJ163" s="55"/>
      <c r="BK163" s="55"/>
      <c r="BL163" s="55"/>
      <c r="BM163" s="55"/>
      <c r="BN163" s="55"/>
      <c r="BO163" s="55"/>
      <c r="BP163" s="55"/>
      <c r="BQ163" s="55"/>
      <c r="BR163" s="55"/>
      <c r="BS163" s="55"/>
      <c r="BT163" s="55"/>
      <c r="BU163" s="55"/>
      <c r="BV163" s="55"/>
      <c r="BW163" s="55"/>
      <c r="BX163" s="55"/>
      <c r="BY163" s="55"/>
      <c r="BZ163" s="55"/>
      <c r="CA163" s="55"/>
      <c r="CB163" s="55"/>
      <c r="CC163" s="55"/>
      <c r="CD163" s="55"/>
      <c r="CE163" s="55"/>
      <c r="CF163" s="55"/>
      <c r="CG163" s="55"/>
      <c r="CH163" s="55"/>
      <c r="CI163" s="55"/>
      <c r="CJ163" s="55"/>
      <c r="CK163" s="55"/>
      <c r="CL163" s="55"/>
      <c r="CM163" s="55"/>
      <c r="CN163" s="55"/>
      <c r="CO163" s="55"/>
      <c r="CP163" s="55"/>
      <c r="CQ163" s="55"/>
      <c r="CR163" s="55"/>
      <c r="CS163" s="55"/>
      <c r="CT163" s="55"/>
      <c r="CU163" s="55"/>
      <c r="CV163" s="55"/>
      <c r="CW163" s="55"/>
      <c r="CX163" s="55"/>
      <c r="CY163" s="55"/>
      <c r="CZ163" s="55"/>
      <c r="DA163" s="55"/>
      <c r="DB163" s="55"/>
      <c r="DC163" s="55"/>
      <c r="DD163" s="55"/>
      <c r="DE163" s="55"/>
      <c r="DF163" s="55"/>
      <c r="DG163" s="55"/>
      <c r="DH163" s="55"/>
      <c r="DI163" s="55"/>
      <c r="DJ163" s="55"/>
      <c r="DK163" s="55"/>
      <c r="DL163" s="55"/>
      <c r="DM163" s="55"/>
      <c r="DN163" s="55"/>
      <c r="DO163" s="55"/>
      <c r="DP163" s="55"/>
      <c r="DQ163" s="55"/>
      <c r="DR163" s="55"/>
      <c r="DS163" s="55"/>
      <c r="DT163" s="55"/>
      <c r="DU163" s="55"/>
      <c r="DV163" s="55"/>
      <c r="DW163" s="55"/>
      <c r="DX163" s="55"/>
      <c r="DY163" s="55"/>
      <c r="DZ163" s="55"/>
      <c r="EA163" s="55"/>
      <c r="EB163" s="55"/>
      <c r="EC163" s="55"/>
      <c r="ED163" s="55"/>
      <c r="EE163" s="55"/>
      <c r="EF163" s="55"/>
      <c r="EG163" s="55"/>
      <c r="EH163" s="55"/>
      <c r="EI163" s="55"/>
      <c r="EJ163" s="55"/>
      <c r="EK163" s="55"/>
      <c r="EL163" s="55"/>
      <c r="EM163" s="55"/>
      <c r="EN163" s="55"/>
      <c r="EO163" s="55"/>
      <c r="EP163" s="55"/>
      <c r="EQ163" s="55"/>
      <c r="ER163" s="55"/>
      <c r="ES163" s="55"/>
      <c r="ET163" s="55"/>
      <c r="EU163" s="55"/>
      <c r="EV163" s="55"/>
      <c r="EW163" s="55"/>
      <c r="EX163" s="55"/>
      <c r="EY163" s="55"/>
      <c r="EZ163" s="55"/>
      <c r="FA163" s="55"/>
      <c r="FB163" s="55"/>
      <c r="FC163" s="55"/>
      <c r="FD163" s="55"/>
      <c r="FE163" s="55"/>
      <c r="FF163" s="55"/>
      <c r="FG163" s="55"/>
      <c r="FH163" s="55"/>
      <c r="FI163" s="55"/>
      <c r="FJ163" s="55"/>
      <c r="FK163" s="55"/>
      <c r="FL163" s="55"/>
      <c r="FM163" s="55"/>
      <c r="FN163" s="55"/>
      <c r="FO163" s="55"/>
      <c r="FP163" s="55"/>
      <c r="FQ163" s="55"/>
      <c r="FR163" s="55"/>
      <c r="FS163" s="55"/>
      <c r="FT163" s="55"/>
      <c r="FU163" s="55"/>
      <c r="FV163" s="55"/>
      <c r="FW163" s="55"/>
      <c r="FX163" s="55"/>
      <c r="FY163" s="55"/>
      <c r="FZ163" s="55"/>
      <c r="GA163" s="55"/>
      <c r="GB163" s="55"/>
      <c r="GC163" s="55"/>
      <c r="GD163" s="55"/>
      <c r="GE163" s="55"/>
      <c r="GF163" s="55"/>
      <c r="GG163" s="55"/>
      <c r="GH163" s="55"/>
      <c r="GI163" s="55"/>
      <c r="GJ163" s="55"/>
      <c r="GK163" s="55"/>
      <c r="GL163" s="55"/>
      <c r="GM163" s="55"/>
      <c r="GN163" s="55"/>
      <c r="GO163" s="55"/>
      <c r="GP163" s="55"/>
      <c r="GQ163" s="55"/>
      <c r="GR163" s="55"/>
      <c r="GS163" s="55"/>
      <c r="GT163" s="55"/>
      <c r="GU163" s="55"/>
      <c r="GV163" s="55"/>
      <c r="GW163" s="55"/>
      <c r="GX163" s="55"/>
      <c r="GY163" s="55"/>
      <c r="GZ163" s="55"/>
      <c r="HA163" s="55"/>
      <c r="HB163" s="55"/>
      <c r="HC163" s="55"/>
      <c r="HD163" s="55"/>
      <c r="HE163" s="55"/>
      <c r="HF163" s="55"/>
      <c r="HG163" s="55"/>
      <c r="HH163" s="55"/>
      <c r="HI163" s="55"/>
      <c r="HJ163" s="55"/>
      <c r="HK163" s="55"/>
      <c r="HL163" s="55"/>
      <c r="HM163" s="55"/>
      <c r="HN163" s="55"/>
      <c r="HO163" s="55"/>
      <c r="HP163" s="55"/>
      <c r="HQ163" s="55"/>
      <c r="HR163" s="55"/>
      <c r="HS163" s="55"/>
      <c r="HT163" s="55"/>
      <c r="HU163" s="55"/>
      <c r="HV163" s="55"/>
      <c r="HW163" s="55"/>
      <c r="HX163" s="55"/>
      <c r="HY163" s="55"/>
      <c r="HZ163" s="55"/>
      <c r="IA163" s="55"/>
      <c r="IB163" s="55"/>
      <c r="IC163" s="55"/>
      <c r="ID163" s="55"/>
    </row>
    <row r="164" s="52" customFormat="1" ht="25.5" spans="1:238">
      <c r="A164" s="64"/>
      <c r="B164" s="64"/>
      <c r="C164" s="64"/>
      <c r="D164" s="65"/>
      <c r="E164" s="77"/>
      <c r="F164" s="77"/>
      <c r="G164" s="64"/>
      <c r="H164" s="42"/>
      <c r="I164" s="42"/>
      <c r="J164" s="83"/>
      <c r="K164" s="83"/>
      <c r="L164" s="83"/>
      <c r="M164" s="89"/>
      <c r="N164" s="89"/>
      <c r="O164" s="89"/>
      <c r="P164" s="64"/>
      <c r="Q164" s="64"/>
      <c r="R164" s="64"/>
      <c r="S164" s="83"/>
      <c r="T164" s="77"/>
      <c r="U164" s="105" t="s">
        <v>702</v>
      </c>
      <c r="V164" s="105">
        <v>33040600502</v>
      </c>
      <c r="W164" s="106" t="s">
        <v>703</v>
      </c>
      <c r="X164" s="124"/>
      <c r="Y164" s="124"/>
      <c r="Z164" s="124" t="s">
        <v>36</v>
      </c>
      <c r="AA164" s="110"/>
      <c r="AB164" s="50">
        <v>1690</v>
      </c>
      <c r="AC164" s="50">
        <v>1520</v>
      </c>
      <c r="AD164" s="50">
        <v>1290</v>
      </c>
      <c r="AE164" s="112" t="s">
        <v>37</v>
      </c>
      <c r="AF164" s="60"/>
      <c r="AG164" s="55"/>
      <c r="AH164" s="55"/>
      <c r="AI164" s="55"/>
      <c r="AJ164" s="55"/>
      <c r="AK164" s="55"/>
      <c r="AL164" s="55"/>
      <c r="AM164" s="55"/>
      <c r="AN164" s="55"/>
      <c r="AO164" s="55"/>
      <c r="AP164" s="55"/>
      <c r="AQ164" s="55"/>
      <c r="AR164" s="55"/>
      <c r="AS164" s="55"/>
      <c r="AT164" s="55"/>
      <c r="AU164" s="55"/>
      <c r="AV164" s="55"/>
      <c r="AW164" s="55"/>
      <c r="AX164" s="55"/>
      <c r="AY164" s="55"/>
      <c r="AZ164" s="55"/>
      <c r="BA164" s="55"/>
      <c r="BB164" s="55"/>
      <c r="BC164" s="55"/>
      <c r="BD164" s="55"/>
      <c r="BE164" s="55"/>
      <c r="BF164" s="55"/>
      <c r="BG164" s="55"/>
      <c r="BH164" s="55"/>
      <c r="BI164" s="55"/>
      <c r="BJ164" s="55"/>
      <c r="BK164" s="55"/>
      <c r="BL164" s="55"/>
      <c r="BM164" s="55"/>
      <c r="BN164" s="55"/>
      <c r="BO164" s="55"/>
      <c r="BP164" s="55"/>
      <c r="BQ164" s="55"/>
      <c r="BR164" s="55"/>
      <c r="BS164" s="55"/>
      <c r="BT164" s="55"/>
      <c r="BU164" s="55"/>
      <c r="BV164" s="55"/>
      <c r="BW164" s="55"/>
      <c r="BX164" s="55"/>
      <c r="BY164" s="55"/>
      <c r="BZ164" s="55"/>
      <c r="CA164" s="55"/>
      <c r="CB164" s="55"/>
      <c r="CC164" s="55"/>
      <c r="CD164" s="55"/>
      <c r="CE164" s="55"/>
      <c r="CF164" s="55"/>
      <c r="CG164" s="55"/>
      <c r="CH164" s="55"/>
      <c r="CI164" s="55"/>
      <c r="CJ164" s="55"/>
      <c r="CK164" s="55"/>
      <c r="CL164" s="55"/>
      <c r="CM164" s="55"/>
      <c r="CN164" s="55"/>
      <c r="CO164" s="55"/>
      <c r="CP164" s="55"/>
      <c r="CQ164" s="55"/>
      <c r="CR164" s="55"/>
      <c r="CS164" s="55"/>
      <c r="CT164" s="55"/>
      <c r="CU164" s="55"/>
      <c r="CV164" s="55"/>
      <c r="CW164" s="55"/>
      <c r="CX164" s="55"/>
      <c r="CY164" s="55"/>
      <c r="CZ164" s="55"/>
      <c r="DA164" s="55"/>
      <c r="DB164" s="55"/>
      <c r="DC164" s="55"/>
      <c r="DD164" s="55"/>
      <c r="DE164" s="55"/>
      <c r="DF164" s="55"/>
      <c r="DG164" s="55"/>
      <c r="DH164" s="55"/>
      <c r="DI164" s="55"/>
      <c r="DJ164" s="55"/>
      <c r="DK164" s="55"/>
      <c r="DL164" s="55"/>
      <c r="DM164" s="55"/>
      <c r="DN164" s="55"/>
      <c r="DO164" s="55"/>
      <c r="DP164" s="55"/>
      <c r="DQ164" s="55"/>
      <c r="DR164" s="55"/>
      <c r="DS164" s="55"/>
      <c r="DT164" s="55"/>
      <c r="DU164" s="55"/>
      <c r="DV164" s="55"/>
      <c r="DW164" s="55"/>
      <c r="DX164" s="55"/>
      <c r="DY164" s="55"/>
      <c r="DZ164" s="55"/>
      <c r="EA164" s="55"/>
      <c r="EB164" s="55"/>
      <c r="EC164" s="55"/>
      <c r="ED164" s="55"/>
      <c r="EE164" s="55"/>
      <c r="EF164" s="55"/>
      <c r="EG164" s="55"/>
      <c r="EH164" s="55"/>
      <c r="EI164" s="55"/>
      <c r="EJ164" s="55"/>
      <c r="EK164" s="55"/>
      <c r="EL164" s="55"/>
      <c r="EM164" s="55"/>
      <c r="EN164" s="55"/>
      <c r="EO164" s="55"/>
      <c r="EP164" s="55"/>
      <c r="EQ164" s="55"/>
      <c r="ER164" s="55"/>
      <c r="ES164" s="55"/>
      <c r="ET164" s="55"/>
      <c r="EU164" s="55"/>
      <c r="EV164" s="55"/>
      <c r="EW164" s="55"/>
      <c r="EX164" s="55"/>
      <c r="EY164" s="55"/>
      <c r="EZ164" s="55"/>
      <c r="FA164" s="55"/>
      <c r="FB164" s="55"/>
      <c r="FC164" s="55"/>
      <c r="FD164" s="55"/>
      <c r="FE164" s="55"/>
      <c r="FF164" s="55"/>
      <c r="FG164" s="55"/>
      <c r="FH164" s="55"/>
      <c r="FI164" s="55"/>
      <c r="FJ164" s="55"/>
      <c r="FK164" s="55"/>
      <c r="FL164" s="55"/>
      <c r="FM164" s="55"/>
      <c r="FN164" s="55"/>
      <c r="FO164" s="55"/>
      <c r="FP164" s="55"/>
      <c r="FQ164" s="55"/>
      <c r="FR164" s="55"/>
      <c r="FS164" s="55"/>
      <c r="FT164" s="55"/>
      <c r="FU164" s="55"/>
      <c r="FV164" s="55"/>
      <c r="FW164" s="55"/>
      <c r="FX164" s="55"/>
      <c r="FY164" s="55"/>
      <c r="FZ164" s="55"/>
      <c r="GA164" s="55"/>
      <c r="GB164" s="55"/>
      <c r="GC164" s="55"/>
      <c r="GD164" s="55"/>
      <c r="GE164" s="55"/>
      <c r="GF164" s="55"/>
      <c r="GG164" s="55"/>
      <c r="GH164" s="55"/>
      <c r="GI164" s="55"/>
      <c r="GJ164" s="55"/>
      <c r="GK164" s="55"/>
      <c r="GL164" s="55"/>
      <c r="GM164" s="55"/>
      <c r="GN164" s="55"/>
      <c r="GO164" s="55"/>
      <c r="GP164" s="55"/>
      <c r="GQ164" s="55"/>
      <c r="GR164" s="55"/>
      <c r="GS164" s="55"/>
      <c r="GT164" s="55"/>
      <c r="GU164" s="55"/>
      <c r="GV164" s="55"/>
      <c r="GW164" s="55"/>
      <c r="GX164" s="55"/>
      <c r="GY164" s="55"/>
      <c r="GZ164" s="55"/>
      <c r="HA164" s="55"/>
      <c r="HB164" s="55"/>
      <c r="HC164" s="55"/>
      <c r="HD164" s="55"/>
      <c r="HE164" s="55"/>
      <c r="HF164" s="55"/>
      <c r="HG164" s="55"/>
      <c r="HH164" s="55"/>
      <c r="HI164" s="55"/>
      <c r="HJ164" s="55"/>
      <c r="HK164" s="55"/>
      <c r="HL164" s="55"/>
      <c r="HM164" s="55"/>
      <c r="HN164" s="55"/>
      <c r="HO164" s="55"/>
      <c r="HP164" s="55"/>
      <c r="HQ164" s="55"/>
      <c r="HR164" s="55"/>
      <c r="HS164" s="55"/>
      <c r="HT164" s="55"/>
      <c r="HU164" s="55"/>
      <c r="HV164" s="55"/>
      <c r="HW164" s="55"/>
      <c r="HX164" s="55"/>
      <c r="HY164" s="55"/>
      <c r="HZ164" s="55"/>
      <c r="IA164" s="55"/>
      <c r="IB164" s="55"/>
      <c r="IC164" s="55"/>
      <c r="ID164" s="55"/>
    </row>
    <row r="165" s="52" customFormat="1" ht="25.5" spans="1:238">
      <c r="A165" s="64"/>
      <c r="B165" s="64"/>
      <c r="C165" s="64"/>
      <c r="D165" s="65"/>
      <c r="E165" s="77"/>
      <c r="F165" s="77"/>
      <c r="G165" s="64"/>
      <c r="H165" s="42"/>
      <c r="I165" s="42"/>
      <c r="J165" s="83"/>
      <c r="K165" s="83"/>
      <c r="L165" s="83"/>
      <c r="M165" s="89"/>
      <c r="N165" s="89"/>
      <c r="O165" s="89"/>
      <c r="P165" s="64"/>
      <c r="Q165" s="64"/>
      <c r="R165" s="64"/>
      <c r="S165" s="83"/>
      <c r="T165" s="77"/>
      <c r="U165" s="105" t="s">
        <v>704</v>
      </c>
      <c r="V165" s="105">
        <v>310300082</v>
      </c>
      <c r="W165" s="105" t="s">
        <v>705</v>
      </c>
      <c r="X165" s="105" t="s">
        <v>706</v>
      </c>
      <c r="Y165" s="105"/>
      <c r="Z165" s="105" t="s">
        <v>36</v>
      </c>
      <c r="AA165" s="110" t="s">
        <v>35</v>
      </c>
      <c r="AB165" s="50"/>
      <c r="AC165" s="50"/>
      <c r="AD165" s="50"/>
      <c r="AE165" s="150"/>
      <c r="AF165" s="151"/>
      <c r="AG165" s="55"/>
      <c r="AH165" s="55"/>
      <c r="AI165" s="55"/>
      <c r="AJ165" s="55"/>
      <c r="AK165" s="55"/>
      <c r="AL165" s="55"/>
      <c r="AM165" s="55"/>
      <c r="AN165" s="55"/>
      <c r="AO165" s="55"/>
      <c r="AP165" s="55"/>
      <c r="AQ165" s="55"/>
      <c r="AR165" s="55"/>
      <c r="AS165" s="55"/>
      <c r="AT165" s="55"/>
      <c r="AU165" s="55"/>
      <c r="AV165" s="55"/>
      <c r="AW165" s="55"/>
      <c r="AX165" s="55"/>
      <c r="AY165" s="55"/>
      <c r="AZ165" s="55"/>
      <c r="BA165" s="55"/>
      <c r="BB165" s="55"/>
      <c r="BC165" s="55"/>
      <c r="BD165" s="55"/>
      <c r="BE165" s="55"/>
      <c r="BF165" s="55"/>
      <c r="BG165" s="55"/>
      <c r="BH165" s="55"/>
      <c r="BI165" s="55"/>
      <c r="BJ165" s="55"/>
      <c r="BK165" s="55"/>
      <c r="BL165" s="55"/>
      <c r="BM165" s="55"/>
      <c r="BN165" s="55"/>
      <c r="BO165" s="55"/>
      <c r="BP165" s="55"/>
      <c r="BQ165" s="55"/>
      <c r="BR165" s="55"/>
      <c r="BS165" s="55"/>
      <c r="BT165" s="55"/>
      <c r="BU165" s="55"/>
      <c r="BV165" s="55"/>
      <c r="BW165" s="55"/>
      <c r="BX165" s="55"/>
      <c r="BY165" s="55"/>
      <c r="BZ165" s="55"/>
      <c r="CA165" s="55"/>
      <c r="CB165" s="55"/>
      <c r="CC165" s="55"/>
      <c r="CD165" s="55"/>
      <c r="CE165" s="55"/>
      <c r="CF165" s="55"/>
      <c r="CG165" s="55"/>
      <c r="CH165" s="55"/>
      <c r="CI165" s="55"/>
      <c r="CJ165" s="55"/>
      <c r="CK165" s="55"/>
      <c r="CL165" s="55"/>
      <c r="CM165" s="55"/>
      <c r="CN165" s="55"/>
      <c r="CO165" s="55"/>
      <c r="CP165" s="55"/>
      <c r="CQ165" s="55"/>
      <c r="CR165" s="55"/>
      <c r="CS165" s="55"/>
      <c r="CT165" s="55"/>
      <c r="CU165" s="55"/>
      <c r="CV165" s="55"/>
      <c r="CW165" s="55"/>
      <c r="CX165" s="55"/>
      <c r="CY165" s="55"/>
      <c r="CZ165" s="55"/>
      <c r="DA165" s="55"/>
      <c r="DB165" s="55"/>
      <c r="DC165" s="55"/>
      <c r="DD165" s="55"/>
      <c r="DE165" s="55"/>
      <c r="DF165" s="55"/>
      <c r="DG165" s="55"/>
      <c r="DH165" s="55"/>
      <c r="DI165" s="55"/>
      <c r="DJ165" s="55"/>
      <c r="DK165" s="55"/>
      <c r="DL165" s="55"/>
      <c r="DM165" s="55"/>
      <c r="DN165" s="55"/>
      <c r="DO165" s="55"/>
      <c r="DP165" s="55"/>
      <c r="DQ165" s="55"/>
      <c r="DR165" s="55"/>
      <c r="DS165" s="55"/>
      <c r="DT165" s="55"/>
      <c r="DU165" s="55"/>
      <c r="DV165" s="55"/>
      <c r="DW165" s="55"/>
      <c r="DX165" s="55"/>
      <c r="DY165" s="55"/>
      <c r="DZ165" s="55"/>
      <c r="EA165" s="55"/>
      <c r="EB165" s="55"/>
      <c r="EC165" s="55"/>
      <c r="ED165" s="55"/>
      <c r="EE165" s="55"/>
      <c r="EF165" s="55"/>
      <c r="EG165" s="55"/>
      <c r="EH165" s="55"/>
      <c r="EI165" s="55"/>
      <c r="EJ165" s="55"/>
      <c r="EK165" s="55"/>
      <c r="EL165" s="55"/>
      <c r="EM165" s="55"/>
      <c r="EN165" s="55"/>
      <c r="EO165" s="55"/>
      <c r="EP165" s="55"/>
      <c r="EQ165" s="55"/>
      <c r="ER165" s="55"/>
      <c r="ES165" s="55"/>
      <c r="ET165" s="55"/>
      <c r="EU165" s="55"/>
      <c r="EV165" s="55"/>
      <c r="EW165" s="55"/>
      <c r="EX165" s="55"/>
      <c r="EY165" s="55"/>
      <c r="EZ165" s="55"/>
      <c r="FA165" s="55"/>
      <c r="FB165" s="55"/>
      <c r="FC165" s="55"/>
      <c r="FD165" s="55"/>
      <c r="FE165" s="55"/>
      <c r="FF165" s="55"/>
      <c r="FG165" s="55"/>
      <c r="FH165" s="55"/>
      <c r="FI165" s="55"/>
      <c r="FJ165" s="55"/>
      <c r="FK165" s="55"/>
      <c r="FL165" s="55"/>
      <c r="FM165" s="55"/>
      <c r="FN165" s="55"/>
      <c r="FO165" s="55"/>
      <c r="FP165" s="55"/>
      <c r="FQ165" s="55"/>
      <c r="FR165" s="55"/>
      <c r="FS165" s="55"/>
      <c r="FT165" s="55"/>
      <c r="FU165" s="55"/>
      <c r="FV165" s="55"/>
      <c r="FW165" s="55"/>
      <c r="FX165" s="55"/>
      <c r="FY165" s="55"/>
      <c r="FZ165" s="55"/>
      <c r="GA165" s="55"/>
      <c r="GB165" s="55"/>
      <c r="GC165" s="55"/>
      <c r="GD165" s="55"/>
      <c r="GE165" s="55"/>
      <c r="GF165" s="55"/>
      <c r="GG165" s="55"/>
      <c r="GH165" s="55"/>
      <c r="GI165" s="55"/>
      <c r="GJ165" s="55"/>
      <c r="GK165" s="55"/>
      <c r="GL165" s="55"/>
      <c r="GM165" s="55"/>
      <c r="GN165" s="55"/>
      <c r="GO165" s="55"/>
      <c r="GP165" s="55"/>
      <c r="GQ165" s="55"/>
      <c r="GR165" s="55"/>
      <c r="GS165" s="55"/>
      <c r="GT165" s="55"/>
      <c r="GU165" s="55"/>
      <c r="GV165" s="55"/>
      <c r="GW165" s="55"/>
      <c r="GX165" s="55"/>
      <c r="GY165" s="55"/>
      <c r="GZ165" s="55"/>
      <c r="HA165" s="55"/>
      <c r="HB165" s="55"/>
      <c r="HC165" s="55"/>
      <c r="HD165" s="55"/>
      <c r="HE165" s="55"/>
      <c r="HF165" s="55"/>
      <c r="HG165" s="55"/>
      <c r="HH165" s="55"/>
      <c r="HI165" s="55"/>
      <c r="HJ165" s="55"/>
      <c r="HK165" s="55"/>
      <c r="HL165" s="55"/>
      <c r="HM165" s="55"/>
      <c r="HN165" s="55"/>
      <c r="HO165" s="55"/>
      <c r="HP165" s="55"/>
      <c r="HQ165" s="55"/>
      <c r="HR165" s="55"/>
      <c r="HS165" s="55"/>
      <c r="HT165" s="55"/>
      <c r="HU165" s="55"/>
      <c r="HV165" s="55"/>
      <c r="HW165" s="55"/>
      <c r="HX165" s="55"/>
      <c r="HY165" s="55"/>
      <c r="HZ165" s="55"/>
      <c r="IA165" s="55"/>
      <c r="IB165" s="55"/>
      <c r="IC165" s="55"/>
      <c r="ID165" s="55"/>
    </row>
    <row r="166" s="55" customFormat="1" ht="24" customHeight="1" spans="1:32">
      <c r="A166" s="64" t="s">
        <v>95</v>
      </c>
      <c r="B166" s="163" t="s">
        <v>707</v>
      </c>
      <c r="C166" s="64" t="s">
        <v>708</v>
      </c>
      <c r="D166" s="122"/>
      <c r="E166" s="64"/>
      <c r="F166" s="64" t="s">
        <v>35</v>
      </c>
      <c r="G166" s="64" t="s">
        <v>110</v>
      </c>
      <c r="H166" s="78">
        <v>600</v>
      </c>
      <c r="I166" s="78">
        <v>540</v>
      </c>
      <c r="J166" s="83"/>
      <c r="K166" s="83"/>
      <c r="L166" s="83"/>
      <c r="M166" s="41">
        <v>540</v>
      </c>
      <c r="N166" s="41">
        <v>495</v>
      </c>
      <c r="O166" s="41">
        <v>420</v>
      </c>
      <c r="P166" s="64" t="s">
        <v>37</v>
      </c>
      <c r="Q166" s="64" t="s">
        <v>35</v>
      </c>
      <c r="R166" s="64" t="s">
        <v>35</v>
      </c>
      <c r="S166" s="83"/>
      <c r="T166" s="77"/>
      <c r="U166" s="105" t="s">
        <v>709</v>
      </c>
      <c r="V166" s="105">
        <v>33040600101</v>
      </c>
      <c r="W166" s="106" t="s">
        <v>710</v>
      </c>
      <c r="X166" s="105"/>
      <c r="Y166" s="105"/>
      <c r="Z166" s="105" t="s">
        <v>36</v>
      </c>
      <c r="AA166" s="110" t="s">
        <v>35</v>
      </c>
      <c r="AB166" s="50">
        <v>975</v>
      </c>
      <c r="AC166" s="50">
        <v>935</v>
      </c>
      <c r="AD166" s="50">
        <v>795</v>
      </c>
      <c r="AE166" s="112" t="s">
        <v>37</v>
      </c>
      <c r="AF166" s="60"/>
    </row>
    <row r="167" s="55" customFormat="1" ht="24" customHeight="1" spans="1:32">
      <c r="A167" s="64"/>
      <c r="B167" s="64"/>
      <c r="C167" s="64"/>
      <c r="D167" s="122"/>
      <c r="E167" s="64"/>
      <c r="F167" s="64"/>
      <c r="G167" s="64"/>
      <c r="H167" s="42"/>
      <c r="I167" s="42"/>
      <c r="J167" s="83"/>
      <c r="K167" s="83"/>
      <c r="L167" s="83"/>
      <c r="M167" s="41"/>
      <c r="N167" s="41"/>
      <c r="O167" s="41"/>
      <c r="P167" s="64"/>
      <c r="Q167" s="64"/>
      <c r="R167" s="64"/>
      <c r="S167" s="83"/>
      <c r="T167" s="77"/>
      <c r="U167" s="105" t="s">
        <v>711</v>
      </c>
      <c r="V167" s="105">
        <v>33040600201</v>
      </c>
      <c r="W167" s="106" t="s">
        <v>712</v>
      </c>
      <c r="X167" s="105"/>
      <c r="Y167" s="105"/>
      <c r="Z167" s="105" t="s">
        <v>36</v>
      </c>
      <c r="AA167" s="110" t="s">
        <v>35</v>
      </c>
      <c r="AB167" s="50">
        <v>975</v>
      </c>
      <c r="AC167" s="50">
        <v>935</v>
      </c>
      <c r="AD167" s="50">
        <v>795</v>
      </c>
      <c r="AE167" s="112" t="s">
        <v>37</v>
      </c>
      <c r="AF167" s="60"/>
    </row>
    <row r="168" s="55" customFormat="1" ht="24" customHeight="1" spans="1:32">
      <c r="A168" s="64"/>
      <c r="B168" s="64"/>
      <c r="C168" s="64"/>
      <c r="D168" s="122"/>
      <c r="E168" s="64"/>
      <c r="F168" s="64"/>
      <c r="G168" s="64"/>
      <c r="H168" s="42"/>
      <c r="I168" s="42"/>
      <c r="J168" s="83"/>
      <c r="K168" s="83"/>
      <c r="L168" s="83"/>
      <c r="M168" s="41"/>
      <c r="N168" s="41"/>
      <c r="O168" s="41"/>
      <c r="P168" s="64"/>
      <c r="Q168" s="64"/>
      <c r="R168" s="64"/>
      <c r="S168" s="83"/>
      <c r="T168" s="77"/>
      <c r="U168" s="105" t="s">
        <v>713</v>
      </c>
      <c r="V168" s="105">
        <v>33040600301</v>
      </c>
      <c r="W168" s="106" t="s">
        <v>714</v>
      </c>
      <c r="X168" s="105"/>
      <c r="Y168" s="105"/>
      <c r="Z168" s="105" t="s">
        <v>36</v>
      </c>
      <c r="AA168" s="110" t="s">
        <v>35</v>
      </c>
      <c r="AB168" s="50">
        <v>1430</v>
      </c>
      <c r="AC168" s="50">
        <v>1285</v>
      </c>
      <c r="AD168" s="50">
        <v>1090</v>
      </c>
      <c r="AE168" s="112" t="s">
        <v>37</v>
      </c>
      <c r="AF168" s="60"/>
    </row>
    <row r="169" s="55" customFormat="1" ht="24" customHeight="1" spans="1:32">
      <c r="A169" s="64"/>
      <c r="B169" s="64"/>
      <c r="C169" s="64"/>
      <c r="D169" s="122"/>
      <c r="E169" s="64"/>
      <c r="F169" s="64"/>
      <c r="G169" s="64"/>
      <c r="H169" s="42"/>
      <c r="I169" s="42"/>
      <c r="J169" s="83"/>
      <c r="K169" s="83"/>
      <c r="L169" s="83"/>
      <c r="M169" s="41"/>
      <c r="N169" s="41"/>
      <c r="O169" s="41"/>
      <c r="P169" s="64"/>
      <c r="Q169" s="64"/>
      <c r="R169" s="64"/>
      <c r="S169" s="83"/>
      <c r="T169" s="77"/>
      <c r="U169" s="105" t="s">
        <v>715</v>
      </c>
      <c r="V169" s="105">
        <v>33040600401</v>
      </c>
      <c r="W169" s="106" t="s">
        <v>716</v>
      </c>
      <c r="X169" s="105"/>
      <c r="Y169" s="105"/>
      <c r="Z169" s="105" t="s">
        <v>36</v>
      </c>
      <c r="AA169" s="110" t="s">
        <v>35</v>
      </c>
      <c r="AB169" s="50">
        <v>1315</v>
      </c>
      <c r="AC169" s="50">
        <v>1185</v>
      </c>
      <c r="AD169" s="50">
        <v>1005</v>
      </c>
      <c r="AE169" s="112" t="s">
        <v>37</v>
      </c>
      <c r="AF169" s="60"/>
    </row>
    <row r="170" s="55" customFormat="1" ht="24" customHeight="1" spans="1:32">
      <c r="A170" s="64"/>
      <c r="B170" s="64"/>
      <c r="C170" s="64"/>
      <c r="D170" s="122"/>
      <c r="E170" s="64"/>
      <c r="F170" s="64"/>
      <c r="G170" s="64"/>
      <c r="H170" s="42"/>
      <c r="I170" s="42"/>
      <c r="J170" s="83"/>
      <c r="K170" s="83"/>
      <c r="L170" s="83"/>
      <c r="M170" s="41"/>
      <c r="N170" s="41"/>
      <c r="O170" s="41"/>
      <c r="P170" s="64"/>
      <c r="Q170" s="64"/>
      <c r="R170" s="64"/>
      <c r="S170" s="83"/>
      <c r="T170" s="77"/>
      <c r="U170" s="105" t="s">
        <v>717</v>
      </c>
      <c r="V170" s="105">
        <v>33040600501</v>
      </c>
      <c r="W170" s="106" t="s">
        <v>718</v>
      </c>
      <c r="X170" s="105"/>
      <c r="Y170" s="105"/>
      <c r="Z170" s="105" t="s">
        <v>36</v>
      </c>
      <c r="AA170" s="110" t="s">
        <v>35</v>
      </c>
      <c r="AB170" s="50">
        <v>2195</v>
      </c>
      <c r="AC170" s="50">
        <v>1975</v>
      </c>
      <c r="AD170" s="50">
        <v>1680</v>
      </c>
      <c r="AE170" s="112" t="s">
        <v>37</v>
      </c>
      <c r="AF170" s="60"/>
    </row>
    <row r="171" s="55" customFormat="1" ht="24" customHeight="1" spans="1:32">
      <c r="A171" s="64"/>
      <c r="B171" s="64"/>
      <c r="C171" s="64"/>
      <c r="D171" s="122"/>
      <c r="E171" s="64"/>
      <c r="F171" s="64"/>
      <c r="G171" s="64"/>
      <c r="H171" s="42"/>
      <c r="I171" s="42"/>
      <c r="J171" s="83"/>
      <c r="K171" s="83"/>
      <c r="L171" s="83"/>
      <c r="M171" s="41"/>
      <c r="N171" s="41"/>
      <c r="O171" s="41"/>
      <c r="P171" s="64"/>
      <c r="Q171" s="64"/>
      <c r="R171" s="64"/>
      <c r="S171" s="83"/>
      <c r="T171" s="77"/>
      <c r="U171" s="105" t="s">
        <v>719</v>
      </c>
      <c r="V171" s="105">
        <v>33040600503</v>
      </c>
      <c r="W171" s="106" t="s">
        <v>720</v>
      </c>
      <c r="X171" s="124"/>
      <c r="Y171" s="124"/>
      <c r="Z171" s="124" t="s">
        <v>36</v>
      </c>
      <c r="AA171" s="110" t="s">
        <v>35</v>
      </c>
      <c r="AB171" s="50">
        <v>2195</v>
      </c>
      <c r="AC171" s="50">
        <v>1975</v>
      </c>
      <c r="AD171" s="50">
        <v>1680</v>
      </c>
      <c r="AE171" s="112" t="s">
        <v>37</v>
      </c>
      <c r="AF171" s="60"/>
    </row>
    <row r="172" s="55" customFormat="1" ht="42" customHeight="1" spans="1:32">
      <c r="A172" s="64" t="s">
        <v>95</v>
      </c>
      <c r="B172" s="163" t="s">
        <v>707</v>
      </c>
      <c r="C172" s="64" t="s">
        <v>721</v>
      </c>
      <c r="D172" s="65"/>
      <c r="E172" s="77"/>
      <c r="F172" s="77"/>
      <c r="G172" s="64" t="s">
        <v>110</v>
      </c>
      <c r="H172" s="42">
        <v>330</v>
      </c>
      <c r="I172" s="42">
        <v>297</v>
      </c>
      <c r="J172" s="83">
        <v>315</v>
      </c>
      <c r="K172" s="83">
        <v>300</v>
      </c>
      <c r="L172" s="83">
        <v>255</v>
      </c>
      <c r="M172" s="41">
        <v>315</v>
      </c>
      <c r="N172" s="41">
        <v>295</v>
      </c>
      <c r="O172" s="41">
        <v>255</v>
      </c>
      <c r="P172" s="64"/>
      <c r="Q172" s="64"/>
      <c r="R172" s="64"/>
      <c r="S172" s="83"/>
      <c r="T172" s="77" t="s">
        <v>381</v>
      </c>
      <c r="U172" s="105" t="s">
        <v>722</v>
      </c>
      <c r="V172" s="105">
        <v>310300090</v>
      </c>
      <c r="W172" s="106" t="s">
        <v>723</v>
      </c>
      <c r="X172" s="105"/>
      <c r="Y172" s="105"/>
      <c r="Z172" s="105" t="s">
        <v>36</v>
      </c>
      <c r="AA172" s="110" t="s">
        <v>497</v>
      </c>
      <c r="AB172" s="50">
        <v>315</v>
      </c>
      <c r="AC172" s="50">
        <v>300</v>
      </c>
      <c r="AD172" s="50">
        <v>255</v>
      </c>
      <c r="AE172" s="112" t="s">
        <v>37</v>
      </c>
      <c r="AF172" s="60"/>
    </row>
    <row r="173" s="52" customFormat="1" ht="75" customHeight="1" spans="1:238">
      <c r="A173" s="112">
        <v>51</v>
      </c>
      <c r="B173" s="112" t="s">
        <v>724</v>
      </c>
      <c r="C173" s="64" t="s">
        <v>725</v>
      </c>
      <c r="D173" s="65" t="s">
        <v>726</v>
      </c>
      <c r="E173" s="77" t="s">
        <v>687</v>
      </c>
      <c r="F173" s="77" t="s">
        <v>35</v>
      </c>
      <c r="G173" s="64" t="s">
        <v>110</v>
      </c>
      <c r="H173" s="78">
        <v>1340</v>
      </c>
      <c r="I173" s="78">
        <v>1206</v>
      </c>
      <c r="J173" s="83">
        <v>1180</v>
      </c>
      <c r="K173" s="83">
        <v>1060</v>
      </c>
      <c r="L173" s="83">
        <v>900</v>
      </c>
      <c r="M173" s="41">
        <v>1180</v>
      </c>
      <c r="N173" s="41">
        <v>1060</v>
      </c>
      <c r="O173" s="41">
        <v>900</v>
      </c>
      <c r="P173" s="64" t="s">
        <v>37</v>
      </c>
      <c r="Q173" s="64" t="s">
        <v>35</v>
      </c>
      <c r="R173" s="64" t="s">
        <v>35</v>
      </c>
      <c r="S173" s="83" t="s">
        <v>381</v>
      </c>
      <c r="T173" s="77" t="s">
        <v>381</v>
      </c>
      <c r="U173" s="105" t="s">
        <v>727</v>
      </c>
      <c r="V173" s="105">
        <v>330406012</v>
      </c>
      <c r="W173" s="106" t="s">
        <v>728</v>
      </c>
      <c r="X173" s="105"/>
      <c r="Y173" s="105"/>
      <c r="Z173" s="105" t="s">
        <v>36</v>
      </c>
      <c r="AA173" s="110" t="s">
        <v>35</v>
      </c>
      <c r="AB173" s="50">
        <v>1180</v>
      </c>
      <c r="AC173" s="50">
        <v>1060</v>
      </c>
      <c r="AD173" s="50">
        <v>900</v>
      </c>
      <c r="AE173" s="112" t="s">
        <v>37</v>
      </c>
      <c r="AF173" s="60"/>
      <c r="AG173" s="55"/>
      <c r="AH173" s="55"/>
      <c r="AI173" s="55"/>
      <c r="AJ173" s="55"/>
      <c r="AK173" s="55"/>
      <c r="AL173" s="55"/>
      <c r="AM173" s="55"/>
      <c r="AN173" s="55"/>
      <c r="AO173" s="55"/>
      <c r="AP173" s="55"/>
      <c r="AQ173" s="55"/>
      <c r="AR173" s="55"/>
      <c r="AS173" s="55"/>
      <c r="AT173" s="55"/>
      <c r="AU173" s="55"/>
      <c r="AV173" s="55"/>
      <c r="AW173" s="55"/>
      <c r="AX173" s="55"/>
      <c r="AY173" s="55"/>
      <c r="AZ173" s="55"/>
      <c r="BA173" s="55"/>
      <c r="BB173" s="55"/>
      <c r="BC173" s="55"/>
      <c r="BD173" s="55"/>
      <c r="BE173" s="55"/>
      <c r="BF173" s="55"/>
      <c r="BG173" s="55"/>
      <c r="BH173" s="55"/>
      <c r="BI173" s="55"/>
      <c r="BJ173" s="55"/>
      <c r="BK173" s="55"/>
      <c r="BL173" s="55"/>
      <c r="BM173" s="55"/>
      <c r="BN173" s="55"/>
      <c r="BO173" s="55"/>
      <c r="BP173" s="55"/>
      <c r="BQ173" s="55"/>
      <c r="BR173" s="55"/>
      <c r="BS173" s="55"/>
      <c r="BT173" s="55"/>
      <c r="BU173" s="55"/>
      <c r="BV173" s="55"/>
      <c r="BW173" s="55"/>
      <c r="BX173" s="55"/>
      <c r="BY173" s="55"/>
      <c r="BZ173" s="55"/>
      <c r="CA173" s="55"/>
      <c r="CB173" s="55"/>
      <c r="CC173" s="55"/>
      <c r="CD173" s="55"/>
      <c r="CE173" s="55"/>
      <c r="CF173" s="55"/>
      <c r="CG173" s="55"/>
      <c r="CH173" s="55"/>
      <c r="CI173" s="55"/>
      <c r="CJ173" s="55"/>
      <c r="CK173" s="55"/>
      <c r="CL173" s="55"/>
      <c r="CM173" s="55"/>
      <c r="CN173" s="55"/>
      <c r="CO173" s="55"/>
      <c r="CP173" s="55"/>
      <c r="CQ173" s="55"/>
      <c r="CR173" s="55"/>
      <c r="CS173" s="55"/>
      <c r="CT173" s="55"/>
      <c r="CU173" s="55"/>
      <c r="CV173" s="55"/>
      <c r="CW173" s="55"/>
      <c r="CX173" s="55"/>
      <c r="CY173" s="55"/>
      <c r="CZ173" s="55"/>
      <c r="DA173" s="55"/>
      <c r="DB173" s="55"/>
      <c r="DC173" s="55"/>
      <c r="DD173" s="55"/>
      <c r="DE173" s="55"/>
      <c r="DF173" s="55"/>
      <c r="DG173" s="55"/>
      <c r="DH173" s="55"/>
      <c r="DI173" s="55"/>
      <c r="DJ173" s="55"/>
      <c r="DK173" s="55"/>
      <c r="DL173" s="55"/>
      <c r="DM173" s="55"/>
      <c r="DN173" s="55"/>
      <c r="DO173" s="55"/>
      <c r="DP173" s="55"/>
      <c r="DQ173" s="55"/>
      <c r="DR173" s="55"/>
      <c r="DS173" s="55"/>
      <c r="DT173" s="55"/>
      <c r="DU173" s="55"/>
      <c r="DV173" s="55"/>
      <c r="DW173" s="55"/>
      <c r="DX173" s="55"/>
      <c r="DY173" s="55"/>
      <c r="DZ173" s="55"/>
      <c r="EA173" s="55"/>
      <c r="EB173" s="55"/>
      <c r="EC173" s="55"/>
      <c r="ED173" s="55"/>
      <c r="EE173" s="55"/>
      <c r="EF173" s="55"/>
      <c r="EG173" s="55"/>
      <c r="EH173" s="55"/>
      <c r="EI173" s="55"/>
      <c r="EJ173" s="55"/>
      <c r="EK173" s="55"/>
      <c r="EL173" s="55"/>
      <c r="EM173" s="55"/>
      <c r="EN173" s="55"/>
      <c r="EO173" s="55"/>
      <c r="EP173" s="55"/>
      <c r="EQ173" s="55"/>
      <c r="ER173" s="55"/>
      <c r="ES173" s="55"/>
      <c r="ET173" s="55"/>
      <c r="EU173" s="55"/>
      <c r="EV173" s="55"/>
      <c r="EW173" s="55"/>
      <c r="EX173" s="55"/>
      <c r="EY173" s="55"/>
      <c r="EZ173" s="55"/>
      <c r="FA173" s="55"/>
      <c r="FB173" s="55"/>
      <c r="FC173" s="55"/>
      <c r="FD173" s="55"/>
      <c r="FE173" s="55"/>
      <c r="FF173" s="55"/>
      <c r="FG173" s="55"/>
      <c r="FH173" s="55"/>
      <c r="FI173" s="55"/>
      <c r="FJ173" s="55"/>
      <c r="FK173" s="55"/>
      <c r="FL173" s="55"/>
      <c r="FM173" s="55"/>
      <c r="FN173" s="55"/>
      <c r="FO173" s="55"/>
      <c r="FP173" s="55"/>
      <c r="FQ173" s="55"/>
      <c r="FR173" s="55"/>
      <c r="FS173" s="55"/>
      <c r="FT173" s="55"/>
      <c r="FU173" s="55"/>
      <c r="FV173" s="55"/>
      <c r="FW173" s="55"/>
      <c r="FX173" s="55"/>
      <c r="FY173" s="55"/>
      <c r="FZ173" s="55"/>
      <c r="GA173" s="55"/>
      <c r="GB173" s="55"/>
      <c r="GC173" s="55"/>
      <c r="GD173" s="55"/>
      <c r="GE173" s="55"/>
      <c r="GF173" s="55"/>
      <c r="GG173" s="55"/>
      <c r="GH173" s="55"/>
      <c r="GI173" s="55"/>
      <c r="GJ173" s="55"/>
      <c r="GK173" s="55"/>
      <c r="GL173" s="55"/>
      <c r="GM173" s="55"/>
      <c r="GN173" s="55"/>
      <c r="GO173" s="55"/>
      <c r="GP173" s="55"/>
      <c r="GQ173" s="55"/>
      <c r="GR173" s="55"/>
      <c r="GS173" s="55"/>
      <c r="GT173" s="55"/>
      <c r="GU173" s="55"/>
      <c r="GV173" s="55"/>
      <c r="GW173" s="55"/>
      <c r="GX173" s="55"/>
      <c r="GY173" s="55"/>
      <c r="GZ173" s="55"/>
      <c r="HA173" s="55"/>
      <c r="HB173" s="55"/>
      <c r="HC173" s="55"/>
      <c r="HD173" s="55"/>
      <c r="HE173" s="55"/>
      <c r="HF173" s="55"/>
      <c r="HG173" s="55"/>
      <c r="HH173" s="55"/>
      <c r="HI173" s="55"/>
      <c r="HJ173" s="55"/>
      <c r="HK173" s="55"/>
      <c r="HL173" s="55"/>
      <c r="HM173" s="55"/>
      <c r="HN173" s="55"/>
      <c r="HO173" s="55"/>
      <c r="HP173" s="55"/>
      <c r="HQ173" s="55"/>
      <c r="HR173" s="55"/>
      <c r="HS173" s="55"/>
      <c r="HT173" s="55"/>
      <c r="HU173" s="55"/>
      <c r="HV173" s="55"/>
      <c r="HW173" s="55"/>
      <c r="HX173" s="55"/>
      <c r="HY173" s="55"/>
      <c r="HZ173" s="55"/>
      <c r="IA173" s="55"/>
      <c r="IB173" s="55"/>
      <c r="IC173" s="55"/>
      <c r="ID173" s="55"/>
    </row>
    <row r="174" s="52" customFormat="1" ht="44" customHeight="1" spans="1:238">
      <c r="A174" s="112" t="s">
        <v>95</v>
      </c>
      <c r="B174" s="112" t="s">
        <v>729</v>
      </c>
      <c r="C174" s="64" t="s">
        <v>730</v>
      </c>
      <c r="D174" s="65"/>
      <c r="E174" s="77"/>
      <c r="F174" s="77" t="s">
        <v>35</v>
      </c>
      <c r="G174" s="64" t="s">
        <v>110</v>
      </c>
      <c r="H174" s="78">
        <v>402</v>
      </c>
      <c r="I174" s="78">
        <v>362</v>
      </c>
      <c r="J174" s="83"/>
      <c r="K174" s="83"/>
      <c r="L174" s="83"/>
      <c r="M174" s="41">
        <v>355</v>
      </c>
      <c r="N174" s="41">
        <v>320</v>
      </c>
      <c r="O174" s="94">
        <v>270</v>
      </c>
      <c r="P174" s="64" t="s">
        <v>37</v>
      </c>
      <c r="Q174" s="64" t="s">
        <v>35</v>
      </c>
      <c r="R174" s="64" t="s">
        <v>35</v>
      </c>
      <c r="S174" s="83"/>
      <c r="T174" s="77" t="s">
        <v>186</v>
      </c>
      <c r="U174" s="105" t="s">
        <v>731</v>
      </c>
      <c r="V174" s="105">
        <v>33040601201</v>
      </c>
      <c r="W174" s="106" t="s">
        <v>732</v>
      </c>
      <c r="X174" s="105"/>
      <c r="Y174" s="105"/>
      <c r="Z174" s="105" t="s">
        <v>36</v>
      </c>
      <c r="AA174" s="110" t="s">
        <v>35</v>
      </c>
      <c r="AB174" s="50">
        <v>1535</v>
      </c>
      <c r="AC174" s="50">
        <v>1380</v>
      </c>
      <c r="AD174" s="50">
        <v>1175</v>
      </c>
      <c r="AE174" s="112" t="s">
        <v>37</v>
      </c>
      <c r="AF174" s="60"/>
      <c r="AG174" s="55"/>
      <c r="AH174" s="55"/>
      <c r="AI174" s="55"/>
      <c r="AJ174" s="55"/>
      <c r="AK174" s="55"/>
      <c r="AL174" s="55"/>
      <c r="AM174" s="55"/>
      <c r="AN174" s="55"/>
      <c r="AO174" s="55"/>
      <c r="AP174" s="55"/>
      <c r="AQ174" s="55"/>
      <c r="AR174" s="55"/>
      <c r="AS174" s="55"/>
      <c r="AT174" s="55"/>
      <c r="AU174" s="55"/>
      <c r="AV174" s="55"/>
      <c r="AW174" s="55"/>
      <c r="AX174" s="55"/>
      <c r="AY174" s="55"/>
      <c r="AZ174" s="55"/>
      <c r="BA174" s="55"/>
      <c r="BB174" s="55"/>
      <c r="BC174" s="55"/>
      <c r="BD174" s="55"/>
      <c r="BE174" s="55"/>
      <c r="BF174" s="55"/>
      <c r="BG174" s="55"/>
      <c r="BH174" s="55"/>
      <c r="BI174" s="55"/>
      <c r="BJ174" s="55"/>
      <c r="BK174" s="55"/>
      <c r="BL174" s="55"/>
      <c r="BM174" s="55"/>
      <c r="BN174" s="55"/>
      <c r="BO174" s="55"/>
      <c r="BP174" s="55"/>
      <c r="BQ174" s="55"/>
      <c r="BR174" s="55"/>
      <c r="BS174" s="55"/>
      <c r="BT174" s="55"/>
      <c r="BU174" s="55"/>
      <c r="BV174" s="55"/>
      <c r="BW174" s="55"/>
      <c r="BX174" s="55"/>
      <c r="BY174" s="55"/>
      <c r="BZ174" s="55"/>
      <c r="CA174" s="55"/>
      <c r="CB174" s="55"/>
      <c r="CC174" s="55"/>
      <c r="CD174" s="55"/>
      <c r="CE174" s="55"/>
      <c r="CF174" s="55"/>
      <c r="CG174" s="55"/>
      <c r="CH174" s="55"/>
      <c r="CI174" s="55"/>
      <c r="CJ174" s="55"/>
      <c r="CK174" s="55"/>
      <c r="CL174" s="55"/>
      <c r="CM174" s="55"/>
      <c r="CN174" s="55"/>
      <c r="CO174" s="55"/>
      <c r="CP174" s="55"/>
      <c r="CQ174" s="55"/>
      <c r="CR174" s="55"/>
      <c r="CS174" s="55"/>
      <c r="CT174" s="55"/>
      <c r="CU174" s="55"/>
      <c r="CV174" s="55"/>
      <c r="CW174" s="55"/>
      <c r="CX174" s="55"/>
      <c r="CY174" s="55"/>
      <c r="CZ174" s="55"/>
      <c r="DA174" s="55"/>
      <c r="DB174" s="55"/>
      <c r="DC174" s="55"/>
      <c r="DD174" s="55"/>
      <c r="DE174" s="55"/>
      <c r="DF174" s="55"/>
      <c r="DG174" s="55"/>
      <c r="DH174" s="55"/>
      <c r="DI174" s="55"/>
      <c r="DJ174" s="55"/>
      <c r="DK174" s="55"/>
      <c r="DL174" s="55"/>
      <c r="DM174" s="55"/>
      <c r="DN174" s="55"/>
      <c r="DO174" s="55"/>
      <c r="DP174" s="55"/>
      <c r="DQ174" s="55"/>
      <c r="DR174" s="55"/>
      <c r="DS174" s="55"/>
      <c r="DT174" s="55"/>
      <c r="DU174" s="55"/>
      <c r="DV174" s="55"/>
      <c r="DW174" s="55"/>
      <c r="DX174" s="55"/>
      <c r="DY174" s="55"/>
      <c r="DZ174" s="55"/>
      <c r="EA174" s="55"/>
      <c r="EB174" s="55"/>
      <c r="EC174" s="55"/>
      <c r="ED174" s="55"/>
      <c r="EE174" s="55"/>
      <c r="EF174" s="55"/>
      <c r="EG174" s="55"/>
      <c r="EH174" s="55"/>
      <c r="EI174" s="55"/>
      <c r="EJ174" s="55"/>
      <c r="EK174" s="55"/>
      <c r="EL174" s="55"/>
      <c r="EM174" s="55"/>
      <c r="EN174" s="55"/>
      <c r="EO174" s="55"/>
      <c r="EP174" s="55"/>
      <c r="EQ174" s="55"/>
      <c r="ER174" s="55"/>
      <c r="ES174" s="55"/>
      <c r="ET174" s="55"/>
      <c r="EU174" s="55"/>
      <c r="EV174" s="55"/>
      <c r="EW174" s="55"/>
      <c r="EX174" s="55"/>
      <c r="EY174" s="55"/>
      <c r="EZ174" s="55"/>
      <c r="FA174" s="55"/>
      <c r="FB174" s="55"/>
      <c r="FC174" s="55"/>
      <c r="FD174" s="55"/>
      <c r="FE174" s="55"/>
      <c r="FF174" s="55"/>
      <c r="FG174" s="55"/>
      <c r="FH174" s="55"/>
      <c r="FI174" s="55"/>
      <c r="FJ174" s="55"/>
      <c r="FK174" s="55"/>
      <c r="FL174" s="55"/>
      <c r="FM174" s="55"/>
      <c r="FN174" s="55"/>
      <c r="FO174" s="55"/>
      <c r="FP174" s="55"/>
      <c r="FQ174" s="55"/>
      <c r="FR174" s="55"/>
      <c r="FS174" s="55"/>
      <c r="FT174" s="55"/>
      <c r="FU174" s="55"/>
      <c r="FV174" s="55"/>
      <c r="FW174" s="55"/>
      <c r="FX174" s="55"/>
      <c r="FY174" s="55"/>
      <c r="FZ174" s="55"/>
      <c r="GA174" s="55"/>
      <c r="GB174" s="55"/>
      <c r="GC174" s="55"/>
      <c r="GD174" s="55"/>
      <c r="GE174" s="55"/>
      <c r="GF174" s="55"/>
      <c r="GG174" s="55"/>
      <c r="GH174" s="55"/>
      <c r="GI174" s="55"/>
      <c r="GJ174" s="55"/>
      <c r="GK174" s="55"/>
      <c r="GL174" s="55"/>
      <c r="GM174" s="55"/>
      <c r="GN174" s="55"/>
      <c r="GO174" s="55"/>
      <c r="GP174" s="55"/>
      <c r="GQ174" s="55"/>
      <c r="GR174" s="55"/>
      <c r="GS174" s="55"/>
      <c r="GT174" s="55"/>
      <c r="GU174" s="55"/>
      <c r="GV174" s="55"/>
      <c r="GW174" s="55"/>
      <c r="GX174" s="55"/>
      <c r="GY174" s="55"/>
      <c r="GZ174" s="55"/>
      <c r="HA174" s="55"/>
      <c r="HB174" s="55"/>
      <c r="HC174" s="55"/>
      <c r="HD174" s="55"/>
      <c r="HE174" s="55"/>
      <c r="HF174" s="55"/>
      <c r="HG174" s="55"/>
      <c r="HH174" s="55"/>
      <c r="HI174" s="55"/>
      <c r="HJ174" s="55"/>
      <c r="HK174" s="55"/>
      <c r="HL174" s="55"/>
      <c r="HM174" s="55"/>
      <c r="HN174" s="55"/>
      <c r="HO174" s="55"/>
      <c r="HP174" s="55"/>
      <c r="HQ174" s="55"/>
      <c r="HR174" s="55"/>
      <c r="HS174" s="55"/>
      <c r="HT174" s="55"/>
      <c r="HU174" s="55"/>
      <c r="HV174" s="55"/>
      <c r="HW174" s="55"/>
      <c r="HX174" s="55"/>
      <c r="HY174" s="55"/>
      <c r="HZ174" s="55"/>
      <c r="IA174" s="55"/>
      <c r="IB174" s="55"/>
      <c r="IC174" s="55"/>
      <c r="ID174" s="55"/>
    </row>
    <row r="175" s="52" customFormat="1" ht="69" customHeight="1" spans="1:238">
      <c r="A175" s="112">
        <v>52</v>
      </c>
      <c r="B175" s="112" t="s">
        <v>733</v>
      </c>
      <c r="C175" s="64" t="s">
        <v>734</v>
      </c>
      <c r="D175" s="65" t="s">
        <v>735</v>
      </c>
      <c r="E175" s="77" t="s">
        <v>736</v>
      </c>
      <c r="F175" s="77" t="s">
        <v>737</v>
      </c>
      <c r="G175" s="64" t="s">
        <v>110</v>
      </c>
      <c r="H175" s="78">
        <v>1600</v>
      </c>
      <c r="I175" s="78">
        <v>1440</v>
      </c>
      <c r="J175" s="83">
        <v>1180</v>
      </c>
      <c r="K175" s="83">
        <v>1060</v>
      </c>
      <c r="L175" s="83">
        <v>900</v>
      </c>
      <c r="M175" s="94">
        <v>1420</v>
      </c>
      <c r="N175" s="94">
        <v>1280</v>
      </c>
      <c r="O175" s="94">
        <v>1090</v>
      </c>
      <c r="P175" s="64" t="s">
        <v>37</v>
      </c>
      <c r="Q175" s="64" t="s">
        <v>35</v>
      </c>
      <c r="R175" s="64" t="s">
        <v>35</v>
      </c>
      <c r="S175" s="83"/>
      <c r="T175" s="77" t="s">
        <v>738</v>
      </c>
      <c r="U175" s="105" t="s">
        <v>739</v>
      </c>
      <c r="V175" s="105">
        <v>330406009</v>
      </c>
      <c r="W175" s="106" t="s">
        <v>740</v>
      </c>
      <c r="X175" s="105"/>
      <c r="Y175" s="105"/>
      <c r="Z175" s="105" t="s">
        <v>36</v>
      </c>
      <c r="AA175" s="110" t="s">
        <v>35</v>
      </c>
      <c r="AB175" s="50">
        <v>1180</v>
      </c>
      <c r="AC175" s="50">
        <v>1060</v>
      </c>
      <c r="AD175" s="50">
        <v>900</v>
      </c>
      <c r="AE175" s="112" t="s">
        <v>37</v>
      </c>
      <c r="AF175" s="60"/>
      <c r="AG175" s="55"/>
      <c r="AH175" s="55"/>
      <c r="AI175" s="55"/>
      <c r="AJ175" s="55"/>
      <c r="AK175" s="55"/>
      <c r="AL175" s="55"/>
      <c r="AM175" s="55"/>
      <c r="AN175" s="55"/>
      <c r="AO175" s="55"/>
      <c r="AP175" s="55"/>
      <c r="AQ175" s="55"/>
      <c r="AR175" s="55"/>
      <c r="AS175" s="55"/>
      <c r="AT175" s="55"/>
      <c r="AU175" s="55"/>
      <c r="AV175" s="55"/>
      <c r="AW175" s="55"/>
      <c r="AX175" s="55"/>
      <c r="AY175" s="55"/>
      <c r="AZ175" s="55"/>
      <c r="BA175" s="55"/>
      <c r="BB175" s="55"/>
      <c r="BC175" s="55"/>
      <c r="BD175" s="55"/>
      <c r="BE175" s="55"/>
      <c r="BF175" s="55"/>
      <c r="BG175" s="55"/>
      <c r="BH175" s="55"/>
      <c r="BI175" s="55"/>
      <c r="BJ175" s="55"/>
      <c r="BK175" s="55"/>
      <c r="BL175" s="55"/>
      <c r="BM175" s="55"/>
      <c r="BN175" s="55"/>
      <c r="BO175" s="55"/>
      <c r="BP175" s="55"/>
      <c r="BQ175" s="55"/>
      <c r="BR175" s="55"/>
      <c r="BS175" s="55"/>
      <c r="BT175" s="55"/>
      <c r="BU175" s="55"/>
      <c r="BV175" s="55"/>
      <c r="BW175" s="55"/>
      <c r="BX175" s="55"/>
      <c r="BY175" s="55"/>
      <c r="BZ175" s="55"/>
      <c r="CA175" s="55"/>
      <c r="CB175" s="55"/>
      <c r="CC175" s="55"/>
      <c r="CD175" s="55"/>
      <c r="CE175" s="55"/>
      <c r="CF175" s="55"/>
      <c r="CG175" s="55"/>
      <c r="CH175" s="55"/>
      <c r="CI175" s="55"/>
      <c r="CJ175" s="55"/>
      <c r="CK175" s="55"/>
      <c r="CL175" s="55"/>
      <c r="CM175" s="55"/>
      <c r="CN175" s="55"/>
      <c r="CO175" s="55"/>
      <c r="CP175" s="55"/>
      <c r="CQ175" s="55"/>
      <c r="CR175" s="55"/>
      <c r="CS175" s="55"/>
      <c r="CT175" s="55"/>
      <c r="CU175" s="55"/>
      <c r="CV175" s="55"/>
      <c r="CW175" s="55"/>
      <c r="CX175" s="55"/>
      <c r="CY175" s="55"/>
      <c r="CZ175" s="55"/>
      <c r="DA175" s="55"/>
      <c r="DB175" s="55"/>
      <c r="DC175" s="55"/>
      <c r="DD175" s="55"/>
      <c r="DE175" s="55"/>
      <c r="DF175" s="55"/>
      <c r="DG175" s="55"/>
      <c r="DH175" s="55"/>
      <c r="DI175" s="55"/>
      <c r="DJ175" s="55"/>
      <c r="DK175" s="55"/>
      <c r="DL175" s="55"/>
      <c r="DM175" s="55"/>
      <c r="DN175" s="55"/>
      <c r="DO175" s="55"/>
      <c r="DP175" s="55"/>
      <c r="DQ175" s="55"/>
      <c r="DR175" s="55"/>
      <c r="DS175" s="55"/>
      <c r="DT175" s="55"/>
      <c r="DU175" s="55"/>
      <c r="DV175" s="55"/>
      <c r="DW175" s="55"/>
      <c r="DX175" s="55"/>
      <c r="DY175" s="55"/>
      <c r="DZ175" s="55"/>
      <c r="EA175" s="55"/>
      <c r="EB175" s="55"/>
      <c r="EC175" s="55"/>
      <c r="ED175" s="55"/>
      <c r="EE175" s="55"/>
      <c r="EF175" s="55"/>
      <c r="EG175" s="55"/>
      <c r="EH175" s="55"/>
      <c r="EI175" s="55"/>
      <c r="EJ175" s="55"/>
      <c r="EK175" s="55"/>
      <c r="EL175" s="55"/>
      <c r="EM175" s="55"/>
      <c r="EN175" s="55"/>
      <c r="EO175" s="55"/>
      <c r="EP175" s="55"/>
      <c r="EQ175" s="55"/>
      <c r="ER175" s="55"/>
      <c r="ES175" s="55"/>
      <c r="ET175" s="55"/>
      <c r="EU175" s="55"/>
      <c r="EV175" s="55"/>
      <c r="EW175" s="55"/>
      <c r="EX175" s="55"/>
      <c r="EY175" s="55"/>
      <c r="EZ175" s="55"/>
      <c r="FA175" s="55"/>
      <c r="FB175" s="55"/>
      <c r="FC175" s="55"/>
      <c r="FD175" s="55"/>
      <c r="FE175" s="55"/>
      <c r="FF175" s="55"/>
      <c r="FG175" s="55"/>
      <c r="FH175" s="55"/>
      <c r="FI175" s="55"/>
      <c r="FJ175" s="55"/>
      <c r="FK175" s="55"/>
      <c r="FL175" s="55"/>
      <c r="FM175" s="55"/>
      <c r="FN175" s="55"/>
      <c r="FO175" s="55"/>
      <c r="FP175" s="55"/>
      <c r="FQ175" s="55"/>
      <c r="FR175" s="55"/>
      <c r="FS175" s="55"/>
      <c r="FT175" s="55"/>
      <c r="FU175" s="55"/>
      <c r="FV175" s="55"/>
      <c r="FW175" s="55"/>
      <c r="FX175" s="55"/>
      <c r="FY175" s="55"/>
      <c r="FZ175" s="55"/>
      <c r="GA175" s="55"/>
      <c r="GB175" s="55"/>
      <c r="GC175" s="55"/>
      <c r="GD175" s="55"/>
      <c r="GE175" s="55"/>
      <c r="GF175" s="55"/>
      <c r="GG175" s="55"/>
      <c r="GH175" s="55"/>
      <c r="GI175" s="55"/>
      <c r="GJ175" s="55"/>
      <c r="GK175" s="55"/>
      <c r="GL175" s="55"/>
      <c r="GM175" s="55"/>
      <c r="GN175" s="55"/>
      <c r="GO175" s="55"/>
      <c r="GP175" s="55"/>
      <c r="GQ175" s="55"/>
      <c r="GR175" s="55"/>
      <c r="GS175" s="55"/>
      <c r="GT175" s="55"/>
      <c r="GU175" s="55"/>
      <c r="GV175" s="55"/>
      <c r="GW175" s="55"/>
      <c r="GX175" s="55"/>
      <c r="GY175" s="55"/>
      <c r="GZ175" s="55"/>
      <c r="HA175" s="55"/>
      <c r="HB175" s="55"/>
      <c r="HC175" s="55"/>
      <c r="HD175" s="55"/>
      <c r="HE175" s="55"/>
      <c r="HF175" s="55"/>
      <c r="HG175" s="55"/>
      <c r="HH175" s="55"/>
      <c r="HI175" s="55"/>
      <c r="HJ175" s="55"/>
      <c r="HK175" s="55"/>
      <c r="HL175" s="55"/>
      <c r="HM175" s="55"/>
      <c r="HN175" s="55"/>
      <c r="HO175" s="55"/>
      <c r="HP175" s="55"/>
      <c r="HQ175" s="55"/>
      <c r="HR175" s="55"/>
      <c r="HS175" s="55"/>
      <c r="HT175" s="55"/>
      <c r="HU175" s="55"/>
      <c r="HV175" s="55"/>
      <c r="HW175" s="55"/>
      <c r="HX175" s="55"/>
      <c r="HY175" s="55"/>
      <c r="HZ175" s="55"/>
      <c r="IA175" s="55"/>
      <c r="IB175" s="55"/>
      <c r="IC175" s="55"/>
      <c r="ID175" s="55"/>
    </row>
    <row r="176" s="52" customFormat="1" ht="30" customHeight="1" spans="1:238">
      <c r="A176" s="112" t="s">
        <v>95</v>
      </c>
      <c r="B176" s="112" t="s">
        <v>741</v>
      </c>
      <c r="C176" s="64" t="s">
        <v>742</v>
      </c>
      <c r="D176" s="65"/>
      <c r="E176" s="77"/>
      <c r="F176" s="77" t="s">
        <v>35</v>
      </c>
      <c r="G176" s="64" t="s">
        <v>110</v>
      </c>
      <c r="H176" s="78">
        <v>480</v>
      </c>
      <c r="I176" s="78">
        <v>432</v>
      </c>
      <c r="J176" s="83">
        <v>355</v>
      </c>
      <c r="K176" s="83">
        <v>320</v>
      </c>
      <c r="L176" s="83">
        <v>275</v>
      </c>
      <c r="M176" s="94">
        <v>425</v>
      </c>
      <c r="N176" s="94">
        <v>385</v>
      </c>
      <c r="O176" s="94">
        <v>325</v>
      </c>
      <c r="P176" s="64" t="s">
        <v>37</v>
      </c>
      <c r="Q176" s="64" t="s">
        <v>35</v>
      </c>
      <c r="R176" s="64" t="s">
        <v>35</v>
      </c>
      <c r="S176" s="83"/>
      <c r="T176" s="77" t="s">
        <v>186</v>
      </c>
      <c r="U176" s="105" t="s">
        <v>743</v>
      </c>
      <c r="V176" s="105">
        <v>33040600901</v>
      </c>
      <c r="W176" s="106" t="s">
        <v>744</v>
      </c>
      <c r="X176" s="105"/>
      <c r="Y176" s="105"/>
      <c r="Z176" s="105" t="s">
        <v>36</v>
      </c>
      <c r="AA176" s="110" t="s">
        <v>35</v>
      </c>
      <c r="AB176" s="50">
        <v>1535</v>
      </c>
      <c r="AC176" s="50">
        <v>1380</v>
      </c>
      <c r="AD176" s="50">
        <v>1175</v>
      </c>
      <c r="AE176" s="112" t="s">
        <v>37</v>
      </c>
      <c r="AF176" s="60"/>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c r="BZ176" s="55"/>
      <c r="CA176" s="55"/>
      <c r="CB176" s="55"/>
      <c r="CC176" s="55"/>
      <c r="CD176" s="55"/>
      <c r="CE176" s="55"/>
      <c r="CF176" s="55"/>
      <c r="CG176" s="55"/>
      <c r="CH176" s="55"/>
      <c r="CI176" s="55"/>
      <c r="CJ176" s="55"/>
      <c r="CK176" s="55"/>
      <c r="CL176" s="55"/>
      <c r="CM176" s="55"/>
      <c r="CN176" s="55"/>
      <c r="CO176" s="55"/>
      <c r="CP176" s="55"/>
      <c r="CQ176" s="55"/>
      <c r="CR176" s="55"/>
      <c r="CS176" s="55"/>
      <c r="CT176" s="55"/>
      <c r="CU176" s="55"/>
      <c r="CV176" s="55"/>
      <c r="CW176" s="55"/>
      <c r="CX176" s="55"/>
      <c r="CY176" s="55"/>
      <c r="CZ176" s="55"/>
      <c r="DA176" s="55"/>
      <c r="DB176" s="55"/>
      <c r="DC176" s="55"/>
      <c r="DD176" s="55"/>
      <c r="DE176" s="55"/>
      <c r="DF176" s="55"/>
      <c r="DG176" s="55"/>
      <c r="DH176" s="55"/>
      <c r="DI176" s="55"/>
      <c r="DJ176" s="55"/>
      <c r="DK176" s="55"/>
      <c r="DL176" s="55"/>
      <c r="DM176" s="55"/>
      <c r="DN176" s="55"/>
      <c r="DO176" s="55"/>
      <c r="DP176" s="55"/>
      <c r="DQ176" s="55"/>
      <c r="DR176" s="55"/>
      <c r="DS176" s="55"/>
      <c r="DT176" s="55"/>
      <c r="DU176" s="55"/>
      <c r="DV176" s="55"/>
      <c r="DW176" s="55"/>
      <c r="DX176" s="55"/>
      <c r="DY176" s="55"/>
      <c r="DZ176" s="55"/>
      <c r="EA176" s="55"/>
      <c r="EB176" s="55"/>
      <c r="EC176" s="55"/>
      <c r="ED176" s="55"/>
      <c r="EE176" s="55"/>
      <c r="EF176" s="55"/>
      <c r="EG176" s="55"/>
      <c r="EH176" s="55"/>
      <c r="EI176" s="55"/>
      <c r="EJ176" s="55"/>
      <c r="EK176" s="55"/>
      <c r="EL176" s="55"/>
      <c r="EM176" s="55"/>
      <c r="EN176" s="55"/>
      <c r="EO176" s="55"/>
      <c r="EP176" s="55"/>
      <c r="EQ176" s="55"/>
      <c r="ER176" s="55"/>
      <c r="ES176" s="55"/>
      <c r="ET176" s="55"/>
      <c r="EU176" s="55"/>
      <c r="EV176" s="55"/>
      <c r="EW176" s="55"/>
      <c r="EX176" s="55"/>
      <c r="EY176" s="55"/>
      <c r="EZ176" s="55"/>
      <c r="FA176" s="55"/>
      <c r="FB176" s="55"/>
      <c r="FC176" s="55"/>
      <c r="FD176" s="55"/>
      <c r="FE176" s="55"/>
      <c r="FF176" s="55"/>
      <c r="FG176" s="55"/>
      <c r="FH176" s="55"/>
      <c r="FI176" s="55"/>
      <c r="FJ176" s="55"/>
      <c r="FK176" s="55"/>
      <c r="FL176" s="55"/>
      <c r="FM176" s="55"/>
      <c r="FN176" s="55"/>
      <c r="FO176" s="55"/>
      <c r="FP176" s="55"/>
      <c r="FQ176" s="55"/>
      <c r="FR176" s="55"/>
      <c r="FS176" s="55"/>
      <c r="FT176" s="55"/>
      <c r="FU176" s="55"/>
      <c r="FV176" s="55"/>
      <c r="FW176" s="55"/>
      <c r="FX176" s="55"/>
      <c r="FY176" s="55"/>
      <c r="FZ176" s="55"/>
      <c r="GA176" s="55"/>
      <c r="GB176" s="55"/>
      <c r="GC176" s="55"/>
      <c r="GD176" s="55"/>
      <c r="GE176" s="55"/>
      <c r="GF176" s="55"/>
      <c r="GG176" s="55"/>
      <c r="GH176" s="55"/>
      <c r="GI176" s="55"/>
      <c r="GJ176" s="55"/>
      <c r="GK176" s="55"/>
      <c r="GL176" s="55"/>
      <c r="GM176" s="55"/>
      <c r="GN176" s="55"/>
      <c r="GO176" s="55"/>
      <c r="GP176" s="55"/>
      <c r="GQ176" s="55"/>
      <c r="GR176" s="55"/>
      <c r="GS176" s="55"/>
      <c r="GT176" s="55"/>
      <c r="GU176" s="55"/>
      <c r="GV176" s="55"/>
      <c r="GW176" s="55"/>
      <c r="GX176" s="55"/>
      <c r="GY176" s="55"/>
      <c r="GZ176" s="55"/>
      <c r="HA176" s="55"/>
      <c r="HB176" s="55"/>
      <c r="HC176" s="55"/>
      <c r="HD176" s="55"/>
      <c r="HE176" s="55"/>
      <c r="HF176" s="55"/>
      <c r="HG176" s="55"/>
      <c r="HH176" s="55"/>
      <c r="HI176" s="55"/>
      <c r="HJ176" s="55"/>
      <c r="HK176" s="55"/>
      <c r="HL176" s="55"/>
      <c r="HM176" s="55"/>
      <c r="HN176" s="55"/>
      <c r="HO176" s="55"/>
      <c r="HP176" s="55"/>
      <c r="HQ176" s="55"/>
      <c r="HR176" s="55"/>
      <c r="HS176" s="55"/>
      <c r="HT176" s="55"/>
      <c r="HU176" s="55"/>
      <c r="HV176" s="55"/>
      <c r="HW176" s="55"/>
      <c r="HX176" s="55"/>
      <c r="HY176" s="55"/>
      <c r="HZ176" s="55"/>
      <c r="IA176" s="55"/>
      <c r="IB176" s="55"/>
      <c r="IC176" s="55"/>
      <c r="ID176" s="55"/>
    </row>
    <row r="177" s="55" customFormat="1" ht="29" customHeight="1" spans="1:32">
      <c r="A177" s="64">
        <v>53</v>
      </c>
      <c r="B177" s="64" t="s">
        <v>745</v>
      </c>
      <c r="C177" s="64" t="s">
        <v>746</v>
      </c>
      <c r="D177" s="65" t="s">
        <v>747</v>
      </c>
      <c r="E177" s="77" t="s">
        <v>748</v>
      </c>
      <c r="F177" s="77" t="s">
        <v>749</v>
      </c>
      <c r="G177" s="64" t="s">
        <v>110</v>
      </c>
      <c r="H177" s="78">
        <v>2400</v>
      </c>
      <c r="I177" s="78">
        <v>2160</v>
      </c>
      <c r="J177" s="83">
        <v>2311.83673469388</v>
      </c>
      <c r="K177" s="83">
        <v>2120</v>
      </c>
      <c r="L177" s="83" t="e">
        <v>#DIV/0!</v>
      </c>
      <c r="M177" s="94">
        <v>2130</v>
      </c>
      <c r="N177" s="94">
        <v>1920</v>
      </c>
      <c r="O177" s="94">
        <v>1635</v>
      </c>
      <c r="P177" s="64" t="s">
        <v>37</v>
      </c>
      <c r="Q177" s="64" t="s">
        <v>35</v>
      </c>
      <c r="R177" s="64" t="s">
        <v>35</v>
      </c>
      <c r="S177" s="83"/>
      <c r="T177" s="77" t="s">
        <v>750</v>
      </c>
      <c r="U177" s="105" t="s">
        <v>751</v>
      </c>
      <c r="V177" s="105">
        <v>330406021</v>
      </c>
      <c r="W177" s="106" t="s">
        <v>752</v>
      </c>
      <c r="X177" s="105"/>
      <c r="Y177" s="105"/>
      <c r="Z177" s="105" t="s">
        <v>110</v>
      </c>
      <c r="AA177" s="110" t="s">
        <v>35</v>
      </c>
      <c r="AB177" s="50">
        <v>2360</v>
      </c>
      <c r="AC177" s="50">
        <v>2120</v>
      </c>
      <c r="AD177" s="50">
        <v>1800</v>
      </c>
      <c r="AE177" s="112" t="s">
        <v>37</v>
      </c>
      <c r="AF177" s="60"/>
    </row>
    <row r="178" s="55" customFormat="1" ht="29" customHeight="1" spans="1:32">
      <c r="A178" s="64"/>
      <c r="B178" s="64"/>
      <c r="C178" s="64"/>
      <c r="D178" s="65"/>
      <c r="E178" s="77"/>
      <c r="F178" s="77"/>
      <c r="G178" s="64"/>
      <c r="H178" s="42"/>
      <c r="I178" s="42"/>
      <c r="J178" s="83"/>
      <c r="K178" s="83"/>
      <c r="L178" s="83"/>
      <c r="M178" s="94"/>
      <c r="N178" s="94"/>
      <c r="O178" s="94"/>
      <c r="P178" s="64"/>
      <c r="Q178" s="64"/>
      <c r="R178" s="64"/>
      <c r="S178" s="83"/>
      <c r="T178" s="77"/>
      <c r="U178" s="105" t="s">
        <v>753</v>
      </c>
      <c r="V178" s="105">
        <v>330406011</v>
      </c>
      <c r="W178" s="106" t="s">
        <v>754</v>
      </c>
      <c r="X178" s="105"/>
      <c r="Y178" s="105"/>
      <c r="Z178" s="105" t="s">
        <v>36</v>
      </c>
      <c r="AA178" s="110" t="s">
        <v>35</v>
      </c>
      <c r="AB178" s="50">
        <v>1180</v>
      </c>
      <c r="AC178" s="50">
        <v>1060</v>
      </c>
      <c r="AD178" s="50">
        <v>900</v>
      </c>
      <c r="AE178" s="112" t="s">
        <v>37</v>
      </c>
      <c r="AF178" s="60"/>
    </row>
    <row r="179" s="55" customFormat="1" ht="25.5" spans="1:32">
      <c r="A179" s="64" t="s">
        <v>95</v>
      </c>
      <c r="B179" s="64" t="s">
        <v>755</v>
      </c>
      <c r="C179" s="64" t="s">
        <v>756</v>
      </c>
      <c r="D179" s="65"/>
      <c r="E179" s="77"/>
      <c r="F179" s="77" t="s">
        <v>35</v>
      </c>
      <c r="G179" s="64" t="s">
        <v>110</v>
      </c>
      <c r="H179" s="78">
        <v>720</v>
      </c>
      <c r="I179" s="78">
        <v>648</v>
      </c>
      <c r="J179" s="83">
        <v>940</v>
      </c>
      <c r="K179" s="83"/>
      <c r="L179" s="83"/>
      <c r="M179" s="41">
        <v>640</v>
      </c>
      <c r="N179" s="41">
        <v>575</v>
      </c>
      <c r="O179" s="41">
        <v>490</v>
      </c>
      <c r="P179" s="64" t="s">
        <v>37</v>
      </c>
      <c r="Q179" s="64" t="s">
        <v>35</v>
      </c>
      <c r="R179" s="64" t="s">
        <v>35</v>
      </c>
      <c r="S179" s="83"/>
      <c r="T179" s="77" t="s">
        <v>186</v>
      </c>
      <c r="U179" s="105" t="s">
        <v>757</v>
      </c>
      <c r="V179" s="105">
        <v>33040602001</v>
      </c>
      <c r="W179" s="106" t="s">
        <v>758</v>
      </c>
      <c r="X179" s="105"/>
      <c r="Y179" s="105"/>
      <c r="Z179" s="105" t="s">
        <v>110</v>
      </c>
      <c r="AA179" s="110" t="s">
        <v>35</v>
      </c>
      <c r="AB179" s="50">
        <v>975</v>
      </c>
      <c r="AC179" s="50">
        <v>935</v>
      </c>
      <c r="AD179" s="50">
        <v>795</v>
      </c>
      <c r="AE179" s="112" t="s">
        <v>37</v>
      </c>
      <c r="AF179" s="60"/>
    </row>
    <row r="180" s="55" customFormat="1" ht="25.5" spans="1:32">
      <c r="A180" s="64"/>
      <c r="B180" s="64"/>
      <c r="C180" s="64"/>
      <c r="D180" s="65"/>
      <c r="E180" s="77"/>
      <c r="F180" s="77"/>
      <c r="G180" s="64"/>
      <c r="H180" s="42"/>
      <c r="I180" s="42"/>
      <c r="J180" s="83"/>
      <c r="K180" s="83"/>
      <c r="L180" s="83"/>
      <c r="M180" s="41"/>
      <c r="N180" s="41"/>
      <c r="O180" s="41"/>
      <c r="P180" s="64"/>
      <c r="Q180" s="64"/>
      <c r="R180" s="64"/>
      <c r="S180" s="83"/>
      <c r="T180" s="77"/>
      <c r="U180" s="105" t="s">
        <v>759</v>
      </c>
      <c r="V180" s="105">
        <v>33040602101</v>
      </c>
      <c r="W180" s="106" t="s">
        <v>760</v>
      </c>
      <c r="X180" s="105"/>
      <c r="Y180" s="105"/>
      <c r="Z180" s="105" t="s">
        <v>110</v>
      </c>
      <c r="AA180" s="110" t="s">
        <v>35</v>
      </c>
      <c r="AB180" s="50">
        <v>3070</v>
      </c>
      <c r="AC180" s="50">
        <v>2755</v>
      </c>
      <c r="AD180" s="50">
        <v>2340</v>
      </c>
      <c r="AE180" s="112" t="s">
        <v>37</v>
      </c>
      <c r="AF180" s="60"/>
    </row>
    <row r="181" s="55" customFormat="1" ht="25.5" spans="1:32">
      <c r="A181" s="64"/>
      <c r="B181" s="64"/>
      <c r="C181" s="64"/>
      <c r="D181" s="65"/>
      <c r="E181" s="77"/>
      <c r="F181" s="77"/>
      <c r="G181" s="64"/>
      <c r="H181" s="42"/>
      <c r="I181" s="42"/>
      <c r="J181" s="83"/>
      <c r="K181" s="83"/>
      <c r="L181" s="83"/>
      <c r="M181" s="41"/>
      <c r="N181" s="41"/>
      <c r="O181" s="41"/>
      <c r="P181" s="64"/>
      <c r="Q181" s="64"/>
      <c r="R181" s="64"/>
      <c r="S181" s="83"/>
      <c r="T181" s="77"/>
      <c r="U181" s="105" t="s">
        <v>761</v>
      </c>
      <c r="V181" s="105">
        <v>33040601101</v>
      </c>
      <c r="W181" s="106" t="s">
        <v>762</v>
      </c>
      <c r="X181" s="105"/>
      <c r="Y181" s="105"/>
      <c r="Z181" s="105" t="s">
        <v>36</v>
      </c>
      <c r="AA181" s="110" t="s">
        <v>35</v>
      </c>
      <c r="AB181" s="50">
        <v>1535</v>
      </c>
      <c r="AC181" s="50">
        <v>1380</v>
      </c>
      <c r="AD181" s="50">
        <v>1175</v>
      </c>
      <c r="AE181" s="112" t="s">
        <v>37</v>
      </c>
      <c r="AF181" s="60"/>
    </row>
    <row r="182" s="55" customFormat="1" ht="25.5" spans="1:32">
      <c r="A182" s="64">
        <v>54</v>
      </c>
      <c r="B182" s="64" t="s">
        <v>763</v>
      </c>
      <c r="C182" s="64" t="s">
        <v>764</v>
      </c>
      <c r="D182" s="65" t="s">
        <v>765</v>
      </c>
      <c r="E182" s="77" t="s">
        <v>766</v>
      </c>
      <c r="F182" s="77" t="s">
        <v>35</v>
      </c>
      <c r="G182" s="64" t="s">
        <v>110</v>
      </c>
      <c r="H182" s="78">
        <v>1150</v>
      </c>
      <c r="I182" s="78">
        <v>1035</v>
      </c>
      <c r="J182" s="83">
        <v>1330</v>
      </c>
      <c r="K182" s="83">
        <v>1133.07692307692</v>
      </c>
      <c r="L182" s="83" t="e">
        <v>#DIV/0!</v>
      </c>
      <c r="M182" s="89">
        <v>1100</v>
      </c>
      <c r="N182" s="89">
        <v>1035</v>
      </c>
      <c r="O182" s="89">
        <v>880</v>
      </c>
      <c r="P182" s="64" t="s">
        <v>37</v>
      </c>
      <c r="Q182" s="64" t="s">
        <v>35</v>
      </c>
      <c r="R182" s="64" t="s">
        <v>35</v>
      </c>
      <c r="S182" s="83" t="s">
        <v>131</v>
      </c>
      <c r="T182" s="104" t="s">
        <v>767</v>
      </c>
      <c r="U182" s="105" t="s">
        <v>768</v>
      </c>
      <c r="V182" s="105">
        <v>330406007</v>
      </c>
      <c r="W182" s="106" t="s">
        <v>769</v>
      </c>
      <c r="X182" s="105"/>
      <c r="Y182" s="105"/>
      <c r="Z182" s="105" t="s">
        <v>36</v>
      </c>
      <c r="AA182" s="110" t="s">
        <v>35</v>
      </c>
      <c r="AB182" s="50">
        <v>1010</v>
      </c>
      <c r="AC182" s="50">
        <v>910</v>
      </c>
      <c r="AD182" s="50">
        <v>775</v>
      </c>
      <c r="AE182" s="112" t="s">
        <v>37</v>
      </c>
      <c r="AF182" s="60"/>
    </row>
    <row r="183" s="55" customFormat="1" ht="51" spans="1:32">
      <c r="A183" s="64"/>
      <c r="B183" s="64"/>
      <c r="C183" s="64"/>
      <c r="D183" s="65"/>
      <c r="E183" s="77"/>
      <c r="F183" s="77"/>
      <c r="G183" s="64"/>
      <c r="H183" s="42"/>
      <c r="I183" s="42"/>
      <c r="J183" s="83"/>
      <c r="K183" s="83"/>
      <c r="L183" s="83"/>
      <c r="M183" s="89"/>
      <c r="N183" s="89"/>
      <c r="O183" s="89"/>
      <c r="P183" s="64"/>
      <c r="Q183" s="64"/>
      <c r="R183" s="64"/>
      <c r="S183" s="83"/>
      <c r="T183" s="104"/>
      <c r="U183" s="105" t="s">
        <v>770</v>
      </c>
      <c r="V183" s="105">
        <v>330406019</v>
      </c>
      <c r="W183" s="106" t="s">
        <v>771</v>
      </c>
      <c r="X183" s="105" t="s">
        <v>772</v>
      </c>
      <c r="Y183" s="105" t="s">
        <v>773</v>
      </c>
      <c r="Z183" s="105" t="s">
        <v>36</v>
      </c>
      <c r="AA183" s="110" t="s">
        <v>35</v>
      </c>
      <c r="AB183" s="50">
        <v>1650</v>
      </c>
      <c r="AC183" s="50">
        <v>1490</v>
      </c>
      <c r="AD183" s="50">
        <v>1270</v>
      </c>
      <c r="AE183" s="112" t="s">
        <v>37</v>
      </c>
      <c r="AF183" s="60"/>
    </row>
    <row r="184" s="55" customFormat="1" ht="25.5" spans="1:32">
      <c r="A184" s="64" t="s">
        <v>95</v>
      </c>
      <c r="B184" s="64" t="s">
        <v>774</v>
      </c>
      <c r="C184" s="64" t="s">
        <v>775</v>
      </c>
      <c r="D184" s="65"/>
      <c r="E184" s="77"/>
      <c r="F184" s="77" t="s">
        <v>35</v>
      </c>
      <c r="G184" s="64" t="s">
        <v>110</v>
      </c>
      <c r="H184" s="78">
        <v>345</v>
      </c>
      <c r="I184" s="78">
        <v>311</v>
      </c>
      <c r="J184" s="83">
        <v>1045</v>
      </c>
      <c r="K184" s="83"/>
      <c r="L184" s="83"/>
      <c r="M184" s="41">
        <v>330</v>
      </c>
      <c r="N184" s="41">
        <v>310</v>
      </c>
      <c r="O184" s="41">
        <v>265</v>
      </c>
      <c r="P184" s="64" t="s">
        <v>37</v>
      </c>
      <c r="Q184" s="64" t="s">
        <v>35</v>
      </c>
      <c r="R184" s="64" t="s">
        <v>35</v>
      </c>
      <c r="S184" s="83"/>
      <c r="T184" s="77" t="s">
        <v>186</v>
      </c>
      <c r="U184" s="105" t="s">
        <v>776</v>
      </c>
      <c r="V184" s="105">
        <v>33040600701</v>
      </c>
      <c r="W184" s="106" t="s">
        <v>777</v>
      </c>
      <c r="X184" s="105"/>
      <c r="Y184" s="105"/>
      <c r="Z184" s="105" t="s">
        <v>36</v>
      </c>
      <c r="AA184" s="110" t="s">
        <v>35</v>
      </c>
      <c r="AB184" s="50">
        <v>1315</v>
      </c>
      <c r="AC184" s="50">
        <v>1185</v>
      </c>
      <c r="AD184" s="50">
        <v>1005</v>
      </c>
      <c r="AE184" s="112" t="s">
        <v>37</v>
      </c>
      <c r="AF184" s="60"/>
    </row>
    <row r="185" customFormat="1" ht="25.5" spans="1:32">
      <c r="A185" s="64"/>
      <c r="B185" s="64"/>
      <c r="C185" s="64"/>
      <c r="D185" s="65"/>
      <c r="E185" s="77"/>
      <c r="F185" s="77"/>
      <c r="G185" s="64"/>
      <c r="H185" s="42"/>
      <c r="I185" s="42"/>
      <c r="J185" s="83"/>
      <c r="K185" s="83"/>
      <c r="L185" s="83"/>
      <c r="M185" s="41"/>
      <c r="N185" s="41"/>
      <c r="O185" s="41"/>
      <c r="P185" s="64"/>
      <c r="Q185" s="64"/>
      <c r="R185" s="64"/>
      <c r="S185" s="83"/>
      <c r="T185" s="77"/>
      <c r="U185" s="105" t="s">
        <v>778</v>
      </c>
      <c r="V185" s="105">
        <v>33040601901</v>
      </c>
      <c r="W185" s="106" t="s">
        <v>779</v>
      </c>
      <c r="X185" s="105"/>
      <c r="Y185" s="105"/>
      <c r="Z185" s="105" t="s">
        <v>36</v>
      </c>
      <c r="AA185" s="110" t="s">
        <v>35</v>
      </c>
      <c r="AB185" s="50">
        <v>2145</v>
      </c>
      <c r="AC185" s="50">
        <v>1935</v>
      </c>
      <c r="AD185" s="50">
        <v>1645</v>
      </c>
      <c r="AE185" s="112" t="s">
        <v>37</v>
      </c>
      <c r="AF185" s="149"/>
    </row>
    <row r="186" s="52" customFormat="1" ht="69" customHeight="1" spans="1:238">
      <c r="A186" s="112">
        <v>55</v>
      </c>
      <c r="B186" s="112" t="s">
        <v>780</v>
      </c>
      <c r="C186" s="64" t="s">
        <v>781</v>
      </c>
      <c r="D186" s="65" t="s">
        <v>782</v>
      </c>
      <c r="E186" s="77" t="s">
        <v>766</v>
      </c>
      <c r="F186" s="77" t="s">
        <v>783</v>
      </c>
      <c r="G186" s="64" t="s">
        <v>110</v>
      </c>
      <c r="H186" s="78">
        <v>2647</v>
      </c>
      <c r="I186" s="78">
        <v>2382</v>
      </c>
      <c r="J186" s="83"/>
      <c r="K186" s="83"/>
      <c r="L186" s="83"/>
      <c r="M186" s="41">
        <v>2530</v>
      </c>
      <c r="N186" s="41">
        <v>2380</v>
      </c>
      <c r="O186" s="41">
        <v>2025</v>
      </c>
      <c r="P186" s="64" t="s">
        <v>37</v>
      </c>
      <c r="Q186" s="64" t="s">
        <v>35</v>
      </c>
      <c r="R186" s="64" t="s">
        <v>35</v>
      </c>
      <c r="S186" s="83" t="s">
        <v>400</v>
      </c>
      <c r="T186" s="77" t="s">
        <v>784</v>
      </c>
      <c r="U186" s="112"/>
      <c r="V186" s="112"/>
      <c r="W186" s="112"/>
      <c r="X186" s="64"/>
      <c r="Y186" s="112"/>
      <c r="Z186" s="112"/>
      <c r="AA186" s="110"/>
      <c r="AB186" s="50"/>
      <c r="AC186" s="50"/>
      <c r="AD186" s="50"/>
      <c r="AE186" s="112"/>
      <c r="AF186" s="60"/>
      <c r="AG186" s="55"/>
      <c r="AH186" s="55"/>
      <c r="AI186" s="55"/>
      <c r="AJ186" s="55"/>
      <c r="AK186" s="55"/>
      <c r="AL186" s="55"/>
      <c r="AM186" s="55"/>
      <c r="AN186" s="55"/>
      <c r="AO186" s="55"/>
      <c r="AP186" s="55"/>
      <c r="AQ186" s="55"/>
      <c r="AR186" s="55"/>
      <c r="AS186" s="55"/>
      <c r="AT186" s="55"/>
      <c r="AU186" s="55"/>
      <c r="AV186" s="55"/>
      <c r="AW186" s="55"/>
      <c r="AX186" s="55"/>
      <c r="AY186" s="55"/>
      <c r="AZ186" s="55"/>
      <c r="BA186" s="55"/>
      <c r="BB186" s="55"/>
      <c r="BC186" s="55"/>
      <c r="BD186" s="55"/>
      <c r="BE186" s="55"/>
      <c r="BF186" s="55"/>
      <c r="BG186" s="55"/>
      <c r="BH186" s="55"/>
      <c r="BI186" s="55"/>
      <c r="BJ186" s="55"/>
      <c r="BK186" s="55"/>
      <c r="BL186" s="55"/>
      <c r="BM186" s="55"/>
      <c r="BN186" s="55"/>
      <c r="BO186" s="55"/>
      <c r="BP186" s="55"/>
      <c r="BQ186" s="55"/>
      <c r="BR186" s="55"/>
      <c r="BS186" s="55"/>
      <c r="BT186" s="55"/>
      <c r="BU186" s="55"/>
      <c r="BV186" s="55"/>
      <c r="BW186" s="55"/>
      <c r="BX186" s="55"/>
      <c r="BY186" s="55"/>
      <c r="BZ186" s="55"/>
      <c r="CA186" s="55"/>
      <c r="CB186" s="55"/>
      <c r="CC186" s="55"/>
      <c r="CD186" s="55"/>
      <c r="CE186" s="55"/>
      <c r="CF186" s="55"/>
      <c r="CG186" s="55"/>
      <c r="CH186" s="55"/>
      <c r="CI186" s="55"/>
      <c r="CJ186" s="55"/>
      <c r="CK186" s="55"/>
      <c r="CL186" s="55"/>
      <c r="CM186" s="55"/>
      <c r="CN186" s="55"/>
      <c r="CO186" s="55"/>
      <c r="CP186" s="55"/>
      <c r="CQ186" s="55"/>
      <c r="CR186" s="55"/>
      <c r="CS186" s="55"/>
      <c r="CT186" s="55"/>
      <c r="CU186" s="55"/>
      <c r="CV186" s="55"/>
      <c r="CW186" s="55"/>
      <c r="CX186" s="55"/>
      <c r="CY186" s="55"/>
      <c r="CZ186" s="55"/>
      <c r="DA186" s="55"/>
      <c r="DB186" s="55"/>
      <c r="DC186" s="55"/>
      <c r="DD186" s="55"/>
      <c r="DE186" s="55"/>
      <c r="DF186" s="55"/>
      <c r="DG186" s="55"/>
      <c r="DH186" s="55"/>
      <c r="DI186" s="55"/>
      <c r="DJ186" s="55"/>
      <c r="DK186" s="55"/>
      <c r="DL186" s="55"/>
      <c r="DM186" s="55"/>
      <c r="DN186" s="55"/>
      <c r="DO186" s="55"/>
      <c r="DP186" s="55"/>
      <c r="DQ186" s="55"/>
      <c r="DR186" s="55"/>
      <c r="DS186" s="55"/>
      <c r="DT186" s="55"/>
      <c r="DU186" s="55"/>
      <c r="DV186" s="55"/>
      <c r="DW186" s="55"/>
      <c r="DX186" s="55"/>
      <c r="DY186" s="55"/>
      <c r="DZ186" s="55"/>
      <c r="EA186" s="55"/>
      <c r="EB186" s="55"/>
      <c r="EC186" s="55"/>
      <c r="ED186" s="55"/>
      <c r="EE186" s="55"/>
      <c r="EF186" s="55"/>
      <c r="EG186" s="55"/>
      <c r="EH186" s="55"/>
      <c r="EI186" s="55"/>
      <c r="EJ186" s="55"/>
      <c r="EK186" s="55"/>
      <c r="EL186" s="55"/>
      <c r="EM186" s="55"/>
      <c r="EN186" s="55"/>
      <c r="EO186" s="55"/>
      <c r="EP186" s="55"/>
      <c r="EQ186" s="55"/>
      <c r="ER186" s="55"/>
      <c r="ES186" s="55"/>
      <c r="ET186" s="55"/>
      <c r="EU186" s="55"/>
      <c r="EV186" s="55"/>
      <c r="EW186" s="55"/>
      <c r="EX186" s="55"/>
      <c r="EY186" s="55"/>
      <c r="EZ186" s="55"/>
      <c r="FA186" s="55"/>
      <c r="FB186" s="55"/>
      <c r="FC186" s="55"/>
      <c r="FD186" s="55"/>
      <c r="FE186" s="55"/>
      <c r="FF186" s="55"/>
      <c r="FG186" s="55"/>
      <c r="FH186" s="55"/>
      <c r="FI186" s="55"/>
      <c r="FJ186" s="55"/>
      <c r="FK186" s="55"/>
      <c r="FL186" s="55"/>
      <c r="FM186" s="55"/>
      <c r="FN186" s="55"/>
      <c r="FO186" s="55"/>
      <c r="FP186" s="55"/>
      <c r="FQ186" s="55"/>
      <c r="FR186" s="55"/>
      <c r="FS186" s="55"/>
      <c r="FT186" s="55"/>
      <c r="FU186" s="55"/>
      <c r="FV186" s="55"/>
      <c r="FW186" s="55"/>
      <c r="FX186" s="55"/>
      <c r="FY186" s="55"/>
      <c r="FZ186" s="55"/>
      <c r="GA186" s="55"/>
      <c r="GB186" s="55"/>
      <c r="GC186" s="55"/>
      <c r="GD186" s="55"/>
      <c r="GE186" s="55"/>
      <c r="GF186" s="55"/>
      <c r="GG186" s="55"/>
      <c r="GH186" s="55"/>
      <c r="GI186" s="55"/>
      <c r="GJ186" s="55"/>
      <c r="GK186" s="55"/>
      <c r="GL186" s="55"/>
      <c r="GM186" s="55"/>
      <c r="GN186" s="55"/>
      <c r="GO186" s="55"/>
      <c r="GP186" s="55"/>
      <c r="GQ186" s="55"/>
      <c r="GR186" s="55"/>
      <c r="GS186" s="55"/>
      <c r="GT186" s="55"/>
      <c r="GU186" s="55"/>
      <c r="GV186" s="55"/>
      <c r="GW186" s="55"/>
      <c r="GX186" s="55"/>
      <c r="GY186" s="55"/>
      <c r="GZ186" s="55"/>
      <c r="HA186" s="55"/>
      <c r="HB186" s="55"/>
      <c r="HC186" s="55"/>
      <c r="HD186" s="55"/>
      <c r="HE186" s="55"/>
      <c r="HF186" s="55"/>
      <c r="HG186" s="55"/>
      <c r="HH186" s="55"/>
      <c r="HI186" s="55"/>
      <c r="HJ186" s="55"/>
      <c r="HK186" s="55"/>
      <c r="HL186" s="55"/>
      <c r="HM186" s="55"/>
      <c r="HN186" s="55"/>
      <c r="HO186" s="55"/>
      <c r="HP186" s="55"/>
      <c r="HQ186" s="55"/>
      <c r="HR186" s="55"/>
      <c r="HS186" s="55"/>
      <c r="HT186" s="55"/>
      <c r="HU186" s="55"/>
      <c r="HV186" s="55"/>
      <c r="HW186" s="55"/>
      <c r="HX186" s="55"/>
      <c r="HY186" s="55"/>
      <c r="HZ186" s="55"/>
      <c r="IA186" s="55"/>
      <c r="IB186" s="55"/>
      <c r="IC186" s="55"/>
      <c r="ID186" s="55"/>
    </row>
    <row r="187" s="52" customFormat="1" ht="35" customHeight="1" spans="1:238">
      <c r="A187" s="112" t="s">
        <v>95</v>
      </c>
      <c r="B187" s="112" t="s">
        <v>785</v>
      </c>
      <c r="C187" s="64" t="s">
        <v>786</v>
      </c>
      <c r="D187" s="65"/>
      <c r="E187" s="77"/>
      <c r="F187" s="77" t="s">
        <v>35</v>
      </c>
      <c r="G187" s="64" t="s">
        <v>110</v>
      </c>
      <c r="H187" s="78">
        <v>794</v>
      </c>
      <c r="I187" s="78">
        <v>715</v>
      </c>
      <c r="J187" s="83"/>
      <c r="K187" s="83"/>
      <c r="L187" s="83"/>
      <c r="M187" s="41">
        <v>760</v>
      </c>
      <c r="N187" s="41">
        <v>715</v>
      </c>
      <c r="O187" s="41">
        <v>610</v>
      </c>
      <c r="P187" s="64" t="s">
        <v>37</v>
      </c>
      <c r="Q187" s="64" t="s">
        <v>35</v>
      </c>
      <c r="R187" s="64" t="s">
        <v>35</v>
      </c>
      <c r="S187" s="83"/>
      <c r="T187" s="77"/>
      <c r="U187" s="112"/>
      <c r="V187" s="112"/>
      <c r="W187" s="112"/>
      <c r="X187" s="64"/>
      <c r="Y187" s="112"/>
      <c r="Z187" s="112"/>
      <c r="AA187" s="110"/>
      <c r="AB187" s="50"/>
      <c r="AC187" s="50"/>
      <c r="AD187" s="50"/>
      <c r="AE187" s="112"/>
      <c r="AF187" s="60"/>
      <c r="AG187" s="55"/>
      <c r="AH187" s="55"/>
      <c r="AI187" s="55"/>
      <c r="AJ187" s="55"/>
      <c r="AK187" s="55"/>
      <c r="AL187" s="55"/>
      <c r="AM187" s="55"/>
      <c r="AN187" s="55"/>
      <c r="AO187" s="55"/>
      <c r="AP187" s="55"/>
      <c r="AQ187" s="55"/>
      <c r="AR187" s="55"/>
      <c r="AS187" s="55"/>
      <c r="AT187" s="55"/>
      <c r="AU187" s="55"/>
      <c r="AV187" s="55"/>
      <c r="AW187" s="55"/>
      <c r="AX187" s="55"/>
      <c r="AY187" s="55"/>
      <c r="AZ187" s="55"/>
      <c r="BA187" s="55"/>
      <c r="BB187" s="55"/>
      <c r="BC187" s="55"/>
      <c r="BD187" s="55"/>
      <c r="BE187" s="55"/>
      <c r="BF187" s="55"/>
      <c r="BG187" s="55"/>
      <c r="BH187" s="55"/>
      <c r="BI187" s="55"/>
      <c r="BJ187" s="55"/>
      <c r="BK187" s="55"/>
      <c r="BL187" s="55"/>
      <c r="BM187" s="55"/>
      <c r="BN187" s="55"/>
      <c r="BO187" s="55"/>
      <c r="BP187" s="55"/>
      <c r="BQ187" s="55"/>
      <c r="BR187" s="55"/>
      <c r="BS187" s="55"/>
      <c r="BT187" s="55"/>
      <c r="BU187" s="55"/>
      <c r="BV187" s="55"/>
      <c r="BW187" s="55"/>
      <c r="BX187" s="55"/>
      <c r="BY187" s="55"/>
      <c r="BZ187" s="55"/>
      <c r="CA187" s="55"/>
      <c r="CB187" s="55"/>
      <c r="CC187" s="55"/>
      <c r="CD187" s="55"/>
      <c r="CE187" s="55"/>
      <c r="CF187" s="55"/>
      <c r="CG187" s="55"/>
      <c r="CH187" s="55"/>
      <c r="CI187" s="55"/>
      <c r="CJ187" s="55"/>
      <c r="CK187" s="55"/>
      <c r="CL187" s="55"/>
      <c r="CM187" s="55"/>
      <c r="CN187" s="55"/>
      <c r="CO187" s="55"/>
      <c r="CP187" s="55"/>
      <c r="CQ187" s="55"/>
      <c r="CR187" s="55"/>
      <c r="CS187" s="55"/>
      <c r="CT187" s="55"/>
      <c r="CU187" s="55"/>
      <c r="CV187" s="55"/>
      <c r="CW187" s="55"/>
      <c r="CX187" s="55"/>
      <c r="CY187" s="55"/>
      <c r="CZ187" s="55"/>
      <c r="DA187" s="55"/>
      <c r="DB187" s="55"/>
      <c r="DC187" s="55"/>
      <c r="DD187" s="55"/>
      <c r="DE187" s="55"/>
      <c r="DF187" s="55"/>
      <c r="DG187" s="55"/>
      <c r="DH187" s="55"/>
      <c r="DI187" s="55"/>
      <c r="DJ187" s="55"/>
      <c r="DK187" s="55"/>
      <c r="DL187" s="55"/>
      <c r="DM187" s="55"/>
      <c r="DN187" s="55"/>
      <c r="DO187" s="55"/>
      <c r="DP187" s="55"/>
      <c r="DQ187" s="55"/>
      <c r="DR187" s="55"/>
      <c r="DS187" s="55"/>
      <c r="DT187" s="55"/>
      <c r="DU187" s="55"/>
      <c r="DV187" s="55"/>
      <c r="DW187" s="55"/>
      <c r="DX187" s="55"/>
      <c r="DY187" s="55"/>
      <c r="DZ187" s="55"/>
      <c r="EA187" s="55"/>
      <c r="EB187" s="55"/>
      <c r="EC187" s="55"/>
      <c r="ED187" s="55"/>
      <c r="EE187" s="55"/>
      <c r="EF187" s="55"/>
      <c r="EG187" s="55"/>
      <c r="EH187" s="55"/>
      <c r="EI187" s="55"/>
      <c r="EJ187" s="55"/>
      <c r="EK187" s="55"/>
      <c r="EL187" s="55"/>
      <c r="EM187" s="55"/>
      <c r="EN187" s="55"/>
      <c r="EO187" s="55"/>
      <c r="EP187" s="55"/>
      <c r="EQ187" s="55"/>
      <c r="ER187" s="55"/>
      <c r="ES187" s="55"/>
      <c r="ET187" s="55"/>
      <c r="EU187" s="55"/>
      <c r="EV187" s="55"/>
      <c r="EW187" s="55"/>
      <c r="EX187" s="55"/>
      <c r="EY187" s="55"/>
      <c r="EZ187" s="55"/>
      <c r="FA187" s="55"/>
      <c r="FB187" s="55"/>
      <c r="FC187" s="55"/>
      <c r="FD187" s="55"/>
      <c r="FE187" s="55"/>
      <c r="FF187" s="55"/>
      <c r="FG187" s="55"/>
      <c r="FH187" s="55"/>
      <c r="FI187" s="55"/>
      <c r="FJ187" s="55"/>
      <c r="FK187" s="55"/>
      <c r="FL187" s="55"/>
      <c r="FM187" s="55"/>
      <c r="FN187" s="55"/>
      <c r="FO187" s="55"/>
      <c r="FP187" s="55"/>
      <c r="FQ187" s="55"/>
      <c r="FR187" s="55"/>
      <c r="FS187" s="55"/>
      <c r="FT187" s="55"/>
      <c r="FU187" s="55"/>
      <c r="FV187" s="55"/>
      <c r="FW187" s="55"/>
      <c r="FX187" s="55"/>
      <c r="FY187" s="55"/>
      <c r="FZ187" s="55"/>
      <c r="GA187" s="55"/>
      <c r="GB187" s="55"/>
      <c r="GC187" s="55"/>
      <c r="GD187" s="55"/>
      <c r="GE187" s="55"/>
      <c r="GF187" s="55"/>
      <c r="GG187" s="55"/>
      <c r="GH187" s="55"/>
      <c r="GI187" s="55"/>
      <c r="GJ187" s="55"/>
      <c r="GK187" s="55"/>
      <c r="GL187" s="55"/>
      <c r="GM187" s="55"/>
      <c r="GN187" s="55"/>
      <c r="GO187" s="55"/>
      <c r="GP187" s="55"/>
      <c r="GQ187" s="55"/>
      <c r="GR187" s="55"/>
      <c r="GS187" s="55"/>
      <c r="GT187" s="55"/>
      <c r="GU187" s="55"/>
      <c r="GV187" s="55"/>
      <c r="GW187" s="55"/>
      <c r="GX187" s="55"/>
      <c r="GY187" s="55"/>
      <c r="GZ187" s="55"/>
      <c r="HA187" s="55"/>
      <c r="HB187" s="55"/>
      <c r="HC187" s="55"/>
      <c r="HD187" s="55"/>
      <c r="HE187" s="55"/>
      <c r="HF187" s="55"/>
      <c r="HG187" s="55"/>
      <c r="HH187" s="55"/>
      <c r="HI187" s="55"/>
      <c r="HJ187" s="55"/>
      <c r="HK187" s="55"/>
      <c r="HL187" s="55"/>
      <c r="HM187" s="55"/>
      <c r="HN187" s="55"/>
      <c r="HO187" s="55"/>
      <c r="HP187" s="55"/>
      <c r="HQ187" s="55"/>
      <c r="HR187" s="55"/>
      <c r="HS187" s="55"/>
      <c r="HT187" s="55"/>
      <c r="HU187" s="55"/>
      <c r="HV187" s="55"/>
      <c r="HW187" s="55"/>
      <c r="HX187" s="55"/>
      <c r="HY187" s="55"/>
      <c r="HZ187" s="55"/>
      <c r="IA187" s="55"/>
      <c r="IB187" s="55"/>
      <c r="IC187" s="55"/>
      <c r="ID187" s="55"/>
    </row>
    <row r="188" s="52" customFormat="1" ht="72" customHeight="1" spans="1:238">
      <c r="A188" s="64">
        <v>56</v>
      </c>
      <c r="B188" s="64" t="s">
        <v>787</v>
      </c>
      <c r="C188" s="64" t="s">
        <v>788</v>
      </c>
      <c r="D188" s="65" t="s">
        <v>789</v>
      </c>
      <c r="E188" s="77" t="s">
        <v>790</v>
      </c>
      <c r="F188" s="77" t="s">
        <v>35</v>
      </c>
      <c r="G188" s="64" t="s">
        <v>110</v>
      </c>
      <c r="H188" s="78">
        <v>2880</v>
      </c>
      <c r="I188" s="78">
        <v>2592</v>
      </c>
      <c r="J188" s="83">
        <v>2530</v>
      </c>
      <c r="K188" s="83">
        <v>2280</v>
      </c>
      <c r="L188" s="83">
        <v>1940</v>
      </c>
      <c r="M188" s="41">
        <v>2530</v>
      </c>
      <c r="N188" s="41">
        <v>2280</v>
      </c>
      <c r="O188" s="41">
        <v>1940</v>
      </c>
      <c r="P188" s="64" t="s">
        <v>37</v>
      </c>
      <c r="Q188" s="64" t="s">
        <v>35</v>
      </c>
      <c r="R188" s="64" t="s">
        <v>35</v>
      </c>
      <c r="S188" s="83" t="s">
        <v>381</v>
      </c>
      <c r="T188" s="77" t="s">
        <v>381</v>
      </c>
      <c r="U188" s="105" t="s">
        <v>791</v>
      </c>
      <c r="V188" s="105">
        <v>330407002</v>
      </c>
      <c r="W188" s="106" t="s">
        <v>792</v>
      </c>
      <c r="X188" s="105"/>
      <c r="Y188" s="105" t="s">
        <v>793</v>
      </c>
      <c r="Z188" s="105" t="s">
        <v>36</v>
      </c>
      <c r="AA188" s="110" t="s">
        <v>35</v>
      </c>
      <c r="AB188" s="50">
        <v>2530</v>
      </c>
      <c r="AC188" s="50">
        <v>2280</v>
      </c>
      <c r="AD188" s="50">
        <v>1940</v>
      </c>
      <c r="AE188" s="112" t="s">
        <v>37</v>
      </c>
      <c r="AF188" s="60"/>
      <c r="AG188" s="55"/>
      <c r="AH188" s="55"/>
      <c r="AI188" s="55"/>
      <c r="AJ188" s="55"/>
      <c r="AK188" s="55"/>
      <c r="AL188" s="55"/>
      <c r="AM188" s="55"/>
      <c r="AN188" s="55"/>
      <c r="AO188" s="55"/>
      <c r="AP188" s="55"/>
      <c r="AQ188" s="55"/>
      <c r="AR188" s="55"/>
      <c r="AS188" s="55"/>
      <c r="AT188" s="55"/>
      <c r="AU188" s="55"/>
      <c r="AV188" s="55"/>
      <c r="AW188" s="55"/>
      <c r="AX188" s="55"/>
      <c r="AY188" s="55"/>
      <c r="AZ188" s="55"/>
      <c r="BA188" s="55"/>
      <c r="BB188" s="55"/>
      <c r="BC188" s="55"/>
      <c r="BD188" s="55"/>
      <c r="BE188" s="55"/>
      <c r="BF188" s="55"/>
      <c r="BG188" s="55"/>
      <c r="BH188" s="55"/>
      <c r="BI188" s="55"/>
      <c r="BJ188" s="55"/>
      <c r="BK188" s="55"/>
      <c r="BL188" s="55"/>
      <c r="BM188" s="55"/>
      <c r="BN188" s="55"/>
      <c r="BO188" s="55"/>
      <c r="BP188" s="55"/>
      <c r="BQ188" s="55"/>
      <c r="BR188" s="55"/>
      <c r="BS188" s="55"/>
      <c r="BT188" s="55"/>
      <c r="BU188" s="55"/>
      <c r="BV188" s="55"/>
      <c r="BW188" s="55"/>
      <c r="BX188" s="55"/>
      <c r="BY188" s="55"/>
      <c r="BZ188" s="55"/>
      <c r="CA188" s="55"/>
      <c r="CB188" s="55"/>
      <c r="CC188" s="55"/>
      <c r="CD188" s="55"/>
      <c r="CE188" s="55"/>
      <c r="CF188" s="55"/>
      <c r="CG188" s="55"/>
      <c r="CH188" s="55"/>
      <c r="CI188" s="55"/>
      <c r="CJ188" s="55"/>
      <c r="CK188" s="55"/>
      <c r="CL188" s="55"/>
      <c r="CM188" s="55"/>
      <c r="CN188" s="55"/>
      <c r="CO188" s="55"/>
      <c r="CP188" s="55"/>
      <c r="CQ188" s="55"/>
      <c r="CR188" s="55"/>
      <c r="CS188" s="55"/>
      <c r="CT188" s="55"/>
      <c r="CU188" s="55"/>
      <c r="CV188" s="55"/>
      <c r="CW188" s="55"/>
      <c r="CX188" s="55"/>
      <c r="CY188" s="55"/>
      <c r="CZ188" s="55"/>
      <c r="DA188" s="55"/>
      <c r="DB188" s="55"/>
      <c r="DC188" s="55"/>
      <c r="DD188" s="55"/>
      <c r="DE188" s="55"/>
      <c r="DF188" s="55"/>
      <c r="DG188" s="55"/>
      <c r="DH188" s="55"/>
      <c r="DI188" s="55"/>
      <c r="DJ188" s="55"/>
      <c r="DK188" s="55"/>
      <c r="DL188" s="55"/>
      <c r="DM188" s="55"/>
      <c r="DN188" s="55"/>
      <c r="DO188" s="55"/>
      <c r="DP188" s="55"/>
      <c r="DQ188" s="55"/>
      <c r="DR188" s="55"/>
      <c r="DS188" s="55"/>
      <c r="DT188" s="55"/>
      <c r="DU188" s="55"/>
      <c r="DV188" s="55"/>
      <c r="DW188" s="55"/>
      <c r="DX188" s="55"/>
      <c r="DY188" s="55"/>
      <c r="DZ188" s="55"/>
      <c r="EA188" s="55"/>
      <c r="EB188" s="55"/>
      <c r="EC188" s="55"/>
      <c r="ED188" s="55"/>
      <c r="EE188" s="55"/>
      <c r="EF188" s="55"/>
      <c r="EG188" s="55"/>
      <c r="EH188" s="55"/>
      <c r="EI188" s="55"/>
      <c r="EJ188" s="55"/>
      <c r="EK188" s="55"/>
      <c r="EL188" s="55"/>
      <c r="EM188" s="55"/>
      <c r="EN188" s="55"/>
      <c r="EO188" s="55"/>
      <c r="EP188" s="55"/>
      <c r="EQ188" s="55"/>
      <c r="ER188" s="55"/>
      <c r="ES188" s="55"/>
      <c r="ET188" s="55"/>
      <c r="EU188" s="55"/>
      <c r="EV188" s="55"/>
      <c r="EW188" s="55"/>
      <c r="EX188" s="55"/>
      <c r="EY188" s="55"/>
      <c r="EZ188" s="55"/>
      <c r="FA188" s="55"/>
      <c r="FB188" s="55"/>
      <c r="FC188" s="55"/>
      <c r="FD188" s="55"/>
      <c r="FE188" s="55"/>
      <c r="FF188" s="55"/>
      <c r="FG188" s="55"/>
      <c r="FH188" s="55"/>
      <c r="FI188" s="55"/>
      <c r="FJ188" s="55"/>
      <c r="FK188" s="55"/>
      <c r="FL188" s="55"/>
      <c r="FM188" s="55"/>
      <c r="FN188" s="55"/>
      <c r="FO188" s="55"/>
      <c r="FP188" s="55"/>
      <c r="FQ188" s="55"/>
      <c r="FR188" s="55"/>
      <c r="FS188" s="55"/>
      <c r="FT188" s="55"/>
      <c r="FU188" s="55"/>
      <c r="FV188" s="55"/>
      <c r="FW188" s="55"/>
      <c r="FX188" s="55"/>
      <c r="FY188" s="55"/>
      <c r="FZ188" s="55"/>
      <c r="GA188" s="55"/>
      <c r="GB188" s="55"/>
      <c r="GC188" s="55"/>
      <c r="GD188" s="55"/>
      <c r="GE188" s="55"/>
      <c r="GF188" s="55"/>
      <c r="GG188" s="55"/>
      <c r="GH188" s="55"/>
      <c r="GI188" s="55"/>
      <c r="GJ188" s="55"/>
      <c r="GK188" s="55"/>
      <c r="GL188" s="55"/>
      <c r="GM188" s="55"/>
      <c r="GN188" s="55"/>
      <c r="GO188" s="55"/>
      <c r="GP188" s="55"/>
      <c r="GQ188" s="55"/>
      <c r="GR188" s="55"/>
      <c r="GS188" s="55"/>
      <c r="GT188" s="55"/>
      <c r="GU188" s="55"/>
      <c r="GV188" s="55"/>
      <c r="GW188" s="55"/>
      <c r="GX188" s="55"/>
      <c r="GY188" s="55"/>
      <c r="GZ188" s="55"/>
      <c r="HA188" s="55"/>
      <c r="HB188" s="55"/>
      <c r="HC188" s="55"/>
      <c r="HD188" s="55"/>
      <c r="HE188" s="55"/>
      <c r="HF188" s="55"/>
      <c r="HG188" s="55"/>
      <c r="HH188" s="55"/>
      <c r="HI188" s="55"/>
      <c r="HJ188" s="55"/>
      <c r="HK188" s="55"/>
      <c r="HL188" s="55"/>
      <c r="HM188" s="55"/>
      <c r="HN188" s="55"/>
      <c r="HO188" s="55"/>
      <c r="HP188" s="55"/>
      <c r="HQ188" s="55"/>
      <c r="HR188" s="55"/>
      <c r="HS188" s="55"/>
      <c r="HT188" s="55"/>
      <c r="HU188" s="55"/>
      <c r="HV188" s="55"/>
      <c r="HW188" s="55"/>
      <c r="HX188" s="55"/>
      <c r="HY188" s="55"/>
      <c r="HZ188" s="55"/>
      <c r="IA188" s="55"/>
      <c r="IB188" s="55"/>
      <c r="IC188" s="55"/>
      <c r="ID188" s="55"/>
    </row>
    <row r="189" s="55" customFormat="1" ht="32" customHeight="1" spans="1:32">
      <c r="A189" s="112" t="s">
        <v>95</v>
      </c>
      <c r="B189" s="112" t="s">
        <v>794</v>
      </c>
      <c r="C189" s="64" t="s">
        <v>795</v>
      </c>
      <c r="D189" s="65"/>
      <c r="E189" s="77"/>
      <c r="F189" s="77" t="s">
        <v>35</v>
      </c>
      <c r="G189" s="64" t="s">
        <v>110</v>
      </c>
      <c r="H189" s="78">
        <v>864</v>
      </c>
      <c r="I189" s="78">
        <v>778</v>
      </c>
      <c r="J189" s="83">
        <v>760</v>
      </c>
      <c r="K189" s="83">
        <v>685</v>
      </c>
      <c r="L189" s="83">
        <v>580</v>
      </c>
      <c r="M189" s="41">
        <v>760</v>
      </c>
      <c r="N189" s="41">
        <v>685</v>
      </c>
      <c r="O189" s="41">
        <v>580</v>
      </c>
      <c r="P189" s="64" t="s">
        <v>37</v>
      </c>
      <c r="Q189" s="64" t="s">
        <v>35</v>
      </c>
      <c r="R189" s="64" t="s">
        <v>35</v>
      </c>
      <c r="S189" s="83"/>
      <c r="T189" s="77" t="s">
        <v>186</v>
      </c>
      <c r="U189" s="105" t="s">
        <v>796</v>
      </c>
      <c r="V189" s="105">
        <v>33040700201</v>
      </c>
      <c r="W189" s="106" t="s">
        <v>797</v>
      </c>
      <c r="X189" s="105"/>
      <c r="Y189" s="105"/>
      <c r="Z189" s="105" t="s">
        <v>36</v>
      </c>
      <c r="AA189" s="110" t="s">
        <v>35</v>
      </c>
      <c r="AB189" s="50">
        <v>3290</v>
      </c>
      <c r="AC189" s="50">
        <v>2965</v>
      </c>
      <c r="AD189" s="50">
        <v>2520</v>
      </c>
      <c r="AE189" s="112" t="s">
        <v>37</v>
      </c>
      <c r="AF189" s="60"/>
    </row>
    <row r="190" s="55" customFormat="1" ht="60" customHeight="1" spans="1:32">
      <c r="A190" s="64">
        <v>57</v>
      </c>
      <c r="B190" s="64" t="s">
        <v>798</v>
      </c>
      <c r="C190" s="64" t="s">
        <v>799</v>
      </c>
      <c r="D190" s="65" t="s">
        <v>800</v>
      </c>
      <c r="E190" s="77" t="s">
        <v>801</v>
      </c>
      <c r="F190" s="77" t="s">
        <v>802</v>
      </c>
      <c r="G190" s="64" t="s">
        <v>110</v>
      </c>
      <c r="H190" s="78">
        <v>1400</v>
      </c>
      <c r="I190" s="78">
        <v>1260</v>
      </c>
      <c r="J190" s="83"/>
      <c r="K190" s="83"/>
      <c r="L190" s="83"/>
      <c r="M190" s="41">
        <v>1260</v>
      </c>
      <c r="N190" s="41">
        <v>1135</v>
      </c>
      <c r="O190" s="41">
        <v>970</v>
      </c>
      <c r="P190" s="64" t="s">
        <v>37</v>
      </c>
      <c r="Q190" s="64" t="s">
        <v>35</v>
      </c>
      <c r="R190" s="64" t="s">
        <v>647</v>
      </c>
      <c r="S190" s="83" t="s">
        <v>400</v>
      </c>
      <c r="T190" s="77" t="s">
        <v>648</v>
      </c>
      <c r="U190" s="112"/>
      <c r="V190" s="112"/>
      <c r="W190" s="112"/>
      <c r="X190" s="64"/>
      <c r="Y190" s="112"/>
      <c r="Z190" s="112"/>
      <c r="AA190" s="110"/>
      <c r="AB190" s="50"/>
      <c r="AC190" s="50"/>
      <c r="AD190" s="50"/>
      <c r="AE190" s="112"/>
      <c r="AF190" s="60"/>
    </row>
    <row r="191" s="55" customFormat="1" ht="31" customHeight="1" spans="1:32">
      <c r="A191" s="64" t="s">
        <v>95</v>
      </c>
      <c r="B191" s="64" t="s">
        <v>803</v>
      </c>
      <c r="C191" s="64" t="s">
        <v>804</v>
      </c>
      <c r="D191" s="65"/>
      <c r="E191" s="77"/>
      <c r="F191" s="77" t="s">
        <v>35</v>
      </c>
      <c r="G191" s="64" t="s">
        <v>110</v>
      </c>
      <c r="H191" s="78">
        <v>420</v>
      </c>
      <c r="I191" s="78">
        <v>378</v>
      </c>
      <c r="J191" s="83"/>
      <c r="K191" s="83"/>
      <c r="L191" s="83"/>
      <c r="M191" s="41">
        <v>380</v>
      </c>
      <c r="N191" s="41">
        <v>340</v>
      </c>
      <c r="O191" s="41">
        <v>290</v>
      </c>
      <c r="P191" s="64" t="s">
        <v>37</v>
      </c>
      <c r="Q191" s="64" t="s">
        <v>35</v>
      </c>
      <c r="R191" s="64" t="s">
        <v>647</v>
      </c>
      <c r="S191" s="83"/>
      <c r="T191" s="77" t="s">
        <v>186</v>
      </c>
      <c r="U191" s="112"/>
      <c r="V191" s="112"/>
      <c r="W191" s="112"/>
      <c r="X191" s="64"/>
      <c r="Y191" s="112"/>
      <c r="Z191" s="112"/>
      <c r="AA191" s="110"/>
      <c r="AB191" s="50"/>
      <c r="AC191" s="50"/>
      <c r="AD191" s="50"/>
      <c r="AE191" s="112"/>
      <c r="AF191" s="60"/>
    </row>
    <row r="192" s="55" customFormat="1" ht="46" customHeight="1" spans="1:32">
      <c r="A192" s="112">
        <v>58</v>
      </c>
      <c r="B192" s="112" t="s">
        <v>805</v>
      </c>
      <c r="C192" s="64" t="s">
        <v>806</v>
      </c>
      <c r="D192" s="65" t="s">
        <v>807</v>
      </c>
      <c r="E192" s="77" t="s">
        <v>808</v>
      </c>
      <c r="F192" s="77" t="s">
        <v>35</v>
      </c>
      <c r="G192" s="64" t="s">
        <v>110</v>
      </c>
      <c r="H192" s="78">
        <v>1150</v>
      </c>
      <c r="I192" s="78">
        <v>1035</v>
      </c>
      <c r="J192" s="83">
        <v>1010</v>
      </c>
      <c r="K192" s="83">
        <v>910</v>
      </c>
      <c r="L192" s="83">
        <v>775</v>
      </c>
      <c r="M192" s="41">
        <v>1010</v>
      </c>
      <c r="N192" s="41">
        <v>910</v>
      </c>
      <c r="O192" s="41">
        <v>775</v>
      </c>
      <c r="P192" s="64" t="s">
        <v>37</v>
      </c>
      <c r="Q192" s="64" t="s">
        <v>35</v>
      </c>
      <c r="R192" s="64" t="s">
        <v>35</v>
      </c>
      <c r="S192" s="83" t="s">
        <v>381</v>
      </c>
      <c r="T192" s="77" t="s">
        <v>381</v>
      </c>
      <c r="U192" s="105" t="s">
        <v>809</v>
      </c>
      <c r="V192" s="105">
        <v>330407014</v>
      </c>
      <c r="W192" s="106" t="s">
        <v>810</v>
      </c>
      <c r="X192" s="105"/>
      <c r="Y192" s="105"/>
      <c r="Z192" s="105" t="s">
        <v>110</v>
      </c>
      <c r="AA192" s="110" t="s">
        <v>35</v>
      </c>
      <c r="AB192" s="50">
        <v>1010</v>
      </c>
      <c r="AC192" s="50">
        <v>910</v>
      </c>
      <c r="AD192" s="50">
        <v>775</v>
      </c>
      <c r="AE192" s="112" t="s">
        <v>37</v>
      </c>
      <c r="AF192" s="60"/>
    </row>
    <row r="193" s="52" customFormat="1" ht="38" customHeight="1" spans="1:238">
      <c r="A193" s="112" t="s">
        <v>95</v>
      </c>
      <c r="B193" s="112" t="s">
        <v>811</v>
      </c>
      <c r="C193" s="64" t="s">
        <v>812</v>
      </c>
      <c r="D193" s="65"/>
      <c r="E193" s="77"/>
      <c r="F193" s="77" t="s">
        <v>35</v>
      </c>
      <c r="G193" s="64" t="s">
        <v>110</v>
      </c>
      <c r="H193" s="78">
        <v>345</v>
      </c>
      <c r="I193" s="78">
        <v>311</v>
      </c>
      <c r="J193" s="83">
        <v>305</v>
      </c>
      <c r="K193" s="83">
        <v>275</v>
      </c>
      <c r="L193" s="83">
        <v>230</v>
      </c>
      <c r="M193" s="41">
        <v>305</v>
      </c>
      <c r="N193" s="41">
        <v>275</v>
      </c>
      <c r="O193" s="41">
        <v>230</v>
      </c>
      <c r="P193" s="64" t="s">
        <v>37</v>
      </c>
      <c r="Q193" s="64" t="s">
        <v>35</v>
      </c>
      <c r="R193" s="64" t="s">
        <v>35</v>
      </c>
      <c r="S193" s="83"/>
      <c r="T193" s="77" t="s">
        <v>186</v>
      </c>
      <c r="U193" s="105" t="s">
        <v>813</v>
      </c>
      <c r="V193" s="105">
        <v>33040701401</v>
      </c>
      <c r="W193" s="106" t="s">
        <v>814</v>
      </c>
      <c r="X193" s="105"/>
      <c r="Y193" s="105"/>
      <c r="Z193" s="105" t="s">
        <v>110</v>
      </c>
      <c r="AA193" s="110" t="s">
        <v>35</v>
      </c>
      <c r="AB193" s="50">
        <v>1315</v>
      </c>
      <c r="AC193" s="50">
        <v>1185</v>
      </c>
      <c r="AD193" s="50">
        <v>1005</v>
      </c>
      <c r="AE193" s="112" t="s">
        <v>37</v>
      </c>
      <c r="AF193" s="60"/>
      <c r="AG193" s="55"/>
      <c r="AH193" s="55"/>
      <c r="AI193" s="55"/>
      <c r="AJ193" s="55"/>
      <c r="AK193" s="55"/>
      <c r="AL193" s="55"/>
      <c r="AM193" s="55"/>
      <c r="AN193" s="55"/>
      <c r="AO193" s="55"/>
      <c r="AP193" s="55"/>
      <c r="AQ193" s="55"/>
      <c r="AR193" s="55"/>
      <c r="AS193" s="55"/>
      <c r="AT193" s="55"/>
      <c r="AU193" s="55"/>
      <c r="AV193" s="55"/>
      <c r="AW193" s="55"/>
      <c r="AX193" s="55"/>
      <c r="AY193" s="55"/>
      <c r="AZ193" s="55"/>
      <c r="BA193" s="55"/>
      <c r="BB193" s="55"/>
      <c r="BC193" s="55"/>
      <c r="BD193" s="55"/>
      <c r="BE193" s="55"/>
      <c r="BF193" s="55"/>
      <c r="BG193" s="55"/>
      <c r="BH193" s="55"/>
      <c r="BI193" s="55"/>
      <c r="BJ193" s="55"/>
      <c r="BK193" s="55"/>
      <c r="BL193" s="55"/>
      <c r="BM193" s="55"/>
      <c r="BN193" s="55"/>
      <c r="BO193" s="55"/>
      <c r="BP193" s="55"/>
      <c r="BQ193" s="55"/>
      <c r="BR193" s="55"/>
      <c r="BS193" s="55"/>
      <c r="BT193" s="55"/>
      <c r="BU193" s="55"/>
      <c r="BV193" s="55"/>
      <c r="BW193" s="55"/>
      <c r="BX193" s="55"/>
      <c r="BY193" s="55"/>
      <c r="BZ193" s="55"/>
      <c r="CA193" s="55"/>
      <c r="CB193" s="55"/>
      <c r="CC193" s="55"/>
      <c r="CD193" s="55"/>
      <c r="CE193" s="55"/>
      <c r="CF193" s="55"/>
      <c r="CG193" s="55"/>
      <c r="CH193" s="55"/>
      <c r="CI193" s="55"/>
      <c r="CJ193" s="55"/>
      <c r="CK193" s="55"/>
      <c r="CL193" s="55"/>
      <c r="CM193" s="55"/>
      <c r="CN193" s="55"/>
      <c r="CO193" s="55"/>
      <c r="CP193" s="55"/>
      <c r="CQ193" s="55"/>
      <c r="CR193" s="55"/>
      <c r="CS193" s="55"/>
      <c r="CT193" s="55"/>
      <c r="CU193" s="55"/>
      <c r="CV193" s="55"/>
      <c r="CW193" s="55"/>
      <c r="CX193" s="55"/>
      <c r="CY193" s="55"/>
      <c r="CZ193" s="55"/>
      <c r="DA193" s="55"/>
      <c r="DB193" s="55"/>
      <c r="DC193" s="55"/>
      <c r="DD193" s="55"/>
      <c r="DE193" s="55"/>
      <c r="DF193" s="55"/>
      <c r="DG193" s="55"/>
      <c r="DH193" s="55"/>
      <c r="DI193" s="55"/>
      <c r="DJ193" s="55"/>
      <c r="DK193" s="55"/>
      <c r="DL193" s="55"/>
      <c r="DM193" s="55"/>
      <c r="DN193" s="55"/>
      <c r="DO193" s="55"/>
      <c r="DP193" s="55"/>
      <c r="DQ193" s="55"/>
      <c r="DR193" s="55"/>
      <c r="DS193" s="55"/>
      <c r="DT193" s="55"/>
      <c r="DU193" s="55"/>
      <c r="DV193" s="55"/>
      <c r="DW193" s="55"/>
      <c r="DX193" s="55"/>
      <c r="DY193" s="55"/>
      <c r="DZ193" s="55"/>
      <c r="EA193" s="55"/>
      <c r="EB193" s="55"/>
      <c r="EC193" s="55"/>
      <c r="ED193" s="55"/>
      <c r="EE193" s="55"/>
      <c r="EF193" s="55"/>
      <c r="EG193" s="55"/>
      <c r="EH193" s="55"/>
      <c r="EI193" s="55"/>
      <c r="EJ193" s="55"/>
      <c r="EK193" s="55"/>
      <c r="EL193" s="55"/>
      <c r="EM193" s="55"/>
      <c r="EN193" s="55"/>
      <c r="EO193" s="55"/>
      <c r="EP193" s="55"/>
      <c r="EQ193" s="55"/>
      <c r="ER193" s="55"/>
      <c r="ES193" s="55"/>
      <c r="ET193" s="55"/>
      <c r="EU193" s="55"/>
      <c r="EV193" s="55"/>
      <c r="EW193" s="55"/>
      <c r="EX193" s="55"/>
      <c r="EY193" s="55"/>
      <c r="EZ193" s="55"/>
      <c r="FA193" s="55"/>
      <c r="FB193" s="55"/>
      <c r="FC193" s="55"/>
      <c r="FD193" s="55"/>
      <c r="FE193" s="55"/>
      <c r="FF193" s="55"/>
      <c r="FG193" s="55"/>
      <c r="FH193" s="55"/>
      <c r="FI193" s="55"/>
      <c r="FJ193" s="55"/>
      <c r="FK193" s="55"/>
      <c r="FL193" s="55"/>
      <c r="FM193" s="55"/>
      <c r="FN193" s="55"/>
      <c r="FO193" s="55"/>
      <c r="FP193" s="55"/>
      <c r="FQ193" s="55"/>
      <c r="FR193" s="55"/>
      <c r="FS193" s="55"/>
      <c r="FT193" s="55"/>
      <c r="FU193" s="55"/>
      <c r="FV193" s="55"/>
      <c r="FW193" s="55"/>
      <c r="FX193" s="55"/>
      <c r="FY193" s="55"/>
      <c r="FZ193" s="55"/>
      <c r="GA193" s="55"/>
      <c r="GB193" s="55"/>
      <c r="GC193" s="55"/>
      <c r="GD193" s="55"/>
      <c r="GE193" s="55"/>
      <c r="GF193" s="55"/>
      <c r="GG193" s="55"/>
      <c r="GH193" s="55"/>
      <c r="GI193" s="55"/>
      <c r="GJ193" s="55"/>
      <c r="GK193" s="55"/>
      <c r="GL193" s="55"/>
      <c r="GM193" s="55"/>
      <c r="GN193" s="55"/>
      <c r="GO193" s="55"/>
      <c r="GP193" s="55"/>
      <c r="GQ193" s="55"/>
      <c r="GR193" s="55"/>
      <c r="GS193" s="55"/>
      <c r="GT193" s="55"/>
      <c r="GU193" s="55"/>
      <c r="GV193" s="55"/>
      <c r="GW193" s="55"/>
      <c r="GX193" s="55"/>
      <c r="GY193" s="55"/>
      <c r="GZ193" s="55"/>
      <c r="HA193" s="55"/>
      <c r="HB193" s="55"/>
      <c r="HC193" s="55"/>
      <c r="HD193" s="55"/>
      <c r="HE193" s="55"/>
      <c r="HF193" s="55"/>
      <c r="HG193" s="55"/>
      <c r="HH193" s="55"/>
      <c r="HI193" s="55"/>
      <c r="HJ193" s="55"/>
      <c r="HK193" s="55"/>
      <c r="HL193" s="55"/>
      <c r="HM193" s="55"/>
      <c r="HN193" s="55"/>
      <c r="HO193" s="55"/>
      <c r="HP193" s="55"/>
      <c r="HQ193" s="55"/>
      <c r="HR193" s="55"/>
      <c r="HS193" s="55"/>
      <c r="HT193" s="55"/>
      <c r="HU193" s="55"/>
      <c r="HV193" s="55"/>
      <c r="HW193" s="55"/>
      <c r="HX193" s="55"/>
      <c r="HY193" s="55"/>
      <c r="HZ193" s="55"/>
      <c r="IA193" s="55"/>
      <c r="IB193" s="55"/>
      <c r="IC193" s="55"/>
      <c r="ID193" s="55"/>
    </row>
    <row r="194" s="55" customFormat="1" ht="36" customHeight="1" spans="1:32">
      <c r="A194" s="112">
        <v>59</v>
      </c>
      <c r="B194" s="112" t="s">
        <v>815</v>
      </c>
      <c r="C194" s="64" t="s">
        <v>816</v>
      </c>
      <c r="D194" s="65" t="s">
        <v>817</v>
      </c>
      <c r="E194" s="77" t="s">
        <v>818</v>
      </c>
      <c r="F194" s="77" t="s">
        <v>819</v>
      </c>
      <c r="G194" s="64" t="s">
        <v>110</v>
      </c>
      <c r="H194" s="78">
        <v>945</v>
      </c>
      <c r="I194" s="78">
        <v>851</v>
      </c>
      <c r="J194" s="84">
        <v>851.176470588235</v>
      </c>
      <c r="K194" s="84">
        <v>1045.69424964937</v>
      </c>
      <c r="L194" s="84" t="e">
        <v>#DIV/0!</v>
      </c>
      <c r="M194" s="41">
        <v>850</v>
      </c>
      <c r="N194" s="89">
        <v>800</v>
      </c>
      <c r="O194" s="41">
        <v>700</v>
      </c>
      <c r="P194" s="64" t="s">
        <v>37</v>
      </c>
      <c r="Q194" s="64" t="s">
        <v>35</v>
      </c>
      <c r="R194" s="64" t="s">
        <v>35</v>
      </c>
      <c r="S194" s="83" t="s">
        <v>38</v>
      </c>
      <c r="T194" s="77" t="s">
        <v>820</v>
      </c>
      <c r="U194" s="105" t="s">
        <v>821</v>
      </c>
      <c r="V194" s="105">
        <v>330405013</v>
      </c>
      <c r="W194" s="106" t="s">
        <v>822</v>
      </c>
      <c r="X194" s="105" t="s">
        <v>823</v>
      </c>
      <c r="Y194" s="105"/>
      <c r="Z194" s="105" t="s">
        <v>36</v>
      </c>
      <c r="AA194" s="110" t="s">
        <v>35</v>
      </c>
      <c r="AB194" s="50">
        <v>750</v>
      </c>
      <c r="AC194" s="50">
        <v>720</v>
      </c>
      <c r="AD194" s="50">
        <v>612</v>
      </c>
      <c r="AE194" s="112" t="s">
        <v>37</v>
      </c>
      <c r="AF194" s="60"/>
    </row>
    <row r="195" s="55" customFormat="1" ht="36" customHeight="1" spans="1:32">
      <c r="A195" s="112"/>
      <c r="B195" s="112"/>
      <c r="C195" s="64"/>
      <c r="D195" s="65"/>
      <c r="E195" s="77"/>
      <c r="F195" s="77"/>
      <c r="G195" s="64"/>
      <c r="H195" s="42"/>
      <c r="I195" s="42"/>
      <c r="J195" s="84"/>
      <c r="K195" s="84"/>
      <c r="L195" s="84"/>
      <c r="M195" s="41"/>
      <c r="N195" s="89"/>
      <c r="O195" s="41"/>
      <c r="P195" s="64"/>
      <c r="Q195" s="64"/>
      <c r="R195" s="64"/>
      <c r="S195" s="83"/>
      <c r="T195" s="77"/>
      <c r="U195" s="117" t="s">
        <v>824</v>
      </c>
      <c r="V195" s="117">
        <v>330405016</v>
      </c>
      <c r="W195" s="118" t="s">
        <v>825</v>
      </c>
      <c r="X195" s="117"/>
      <c r="Y195" s="117"/>
      <c r="Z195" s="117" t="s">
        <v>36</v>
      </c>
      <c r="AA195" s="120" t="s">
        <v>35</v>
      </c>
      <c r="AB195" s="96">
        <v>1180</v>
      </c>
      <c r="AC195" s="96">
        <v>1060</v>
      </c>
      <c r="AD195" s="96">
        <v>900</v>
      </c>
      <c r="AE195" s="158" t="s">
        <v>37</v>
      </c>
      <c r="AF195" s="159"/>
    </row>
    <row r="196" s="55" customFormat="1" ht="26" customHeight="1" spans="1:32">
      <c r="A196" s="112" t="s">
        <v>95</v>
      </c>
      <c r="B196" s="112" t="s">
        <v>826</v>
      </c>
      <c r="C196" s="64" t="s">
        <v>827</v>
      </c>
      <c r="D196" s="65"/>
      <c r="E196" s="77"/>
      <c r="F196" s="77" t="s">
        <v>35</v>
      </c>
      <c r="G196" s="64" t="s">
        <v>110</v>
      </c>
      <c r="H196" s="78">
        <v>284</v>
      </c>
      <c r="I196" s="78">
        <v>255</v>
      </c>
      <c r="J196" s="83"/>
      <c r="K196" s="83"/>
      <c r="L196" s="83"/>
      <c r="M196" s="41">
        <v>255</v>
      </c>
      <c r="N196" s="41">
        <v>240</v>
      </c>
      <c r="O196" s="41">
        <v>210</v>
      </c>
      <c r="P196" s="64" t="s">
        <v>37</v>
      </c>
      <c r="Q196" s="64" t="s">
        <v>35</v>
      </c>
      <c r="R196" s="64" t="s">
        <v>35</v>
      </c>
      <c r="S196" s="83"/>
      <c r="T196" s="77"/>
      <c r="U196" s="105" t="s">
        <v>828</v>
      </c>
      <c r="V196" s="105">
        <v>33040501301</v>
      </c>
      <c r="W196" s="106" t="s">
        <v>829</v>
      </c>
      <c r="X196" s="105"/>
      <c r="Y196" s="105"/>
      <c r="Z196" s="105" t="s">
        <v>36</v>
      </c>
      <c r="AA196" s="110" t="s">
        <v>35</v>
      </c>
      <c r="AB196" s="50">
        <v>975</v>
      </c>
      <c r="AC196" s="50">
        <v>935</v>
      </c>
      <c r="AD196" s="50">
        <v>795</v>
      </c>
      <c r="AE196" s="112" t="s">
        <v>37</v>
      </c>
      <c r="AF196" s="60"/>
    </row>
    <row r="197" customFormat="1" ht="26" customHeight="1" spans="1:32">
      <c r="A197" s="112"/>
      <c r="B197" s="112"/>
      <c r="C197" s="64"/>
      <c r="D197" s="65"/>
      <c r="E197" s="77"/>
      <c r="F197" s="77"/>
      <c r="G197" s="64"/>
      <c r="H197" s="42"/>
      <c r="I197" s="42"/>
      <c r="J197" s="83"/>
      <c r="K197" s="83"/>
      <c r="L197" s="83"/>
      <c r="M197" s="41"/>
      <c r="N197" s="41"/>
      <c r="O197" s="41"/>
      <c r="P197" s="64"/>
      <c r="Q197" s="64"/>
      <c r="R197" s="64"/>
      <c r="S197" s="83"/>
      <c r="T197" s="77"/>
      <c r="U197" s="117" t="s">
        <v>830</v>
      </c>
      <c r="V197" s="117">
        <v>33040501601</v>
      </c>
      <c r="W197" s="118" t="s">
        <v>831</v>
      </c>
      <c r="X197" s="117"/>
      <c r="Y197" s="117"/>
      <c r="Z197" s="117" t="s">
        <v>36</v>
      </c>
      <c r="AA197" s="120" t="s">
        <v>35</v>
      </c>
      <c r="AB197" s="96">
        <v>1535</v>
      </c>
      <c r="AC197" s="96">
        <v>1380</v>
      </c>
      <c r="AD197" s="96">
        <v>1175</v>
      </c>
      <c r="AE197" s="158" t="s">
        <v>37</v>
      </c>
      <c r="AF197" s="159"/>
    </row>
    <row r="198" s="52" customFormat="1" ht="70" customHeight="1" spans="1:238">
      <c r="A198" s="112">
        <v>60</v>
      </c>
      <c r="B198" s="112" t="s">
        <v>832</v>
      </c>
      <c r="C198" s="64" t="s">
        <v>833</v>
      </c>
      <c r="D198" s="65" t="s">
        <v>834</v>
      </c>
      <c r="E198" s="77" t="s">
        <v>818</v>
      </c>
      <c r="F198" s="77" t="s">
        <v>835</v>
      </c>
      <c r="G198" s="64" t="s">
        <v>110</v>
      </c>
      <c r="H198" s="78">
        <v>1418</v>
      </c>
      <c r="I198" s="78">
        <v>1275</v>
      </c>
      <c r="J198" s="83"/>
      <c r="K198" s="83"/>
      <c r="L198" s="83"/>
      <c r="M198" s="41">
        <v>1275</v>
      </c>
      <c r="N198" s="41">
        <v>1200</v>
      </c>
      <c r="O198" s="41">
        <v>1050</v>
      </c>
      <c r="P198" s="64" t="s">
        <v>37</v>
      </c>
      <c r="Q198" s="64" t="s">
        <v>35</v>
      </c>
      <c r="R198" s="64" t="s">
        <v>35</v>
      </c>
      <c r="S198" s="83" t="s">
        <v>400</v>
      </c>
      <c r="T198" s="77" t="s">
        <v>836</v>
      </c>
      <c r="U198" s="112"/>
      <c r="V198" s="112"/>
      <c r="W198" s="112"/>
      <c r="X198" s="64"/>
      <c r="Y198" s="112"/>
      <c r="Z198" s="112"/>
      <c r="AA198" s="110"/>
      <c r="AB198" s="50"/>
      <c r="AC198" s="50"/>
      <c r="AD198" s="50"/>
      <c r="AE198" s="112"/>
      <c r="AF198" s="60"/>
      <c r="AG198" s="55"/>
      <c r="AH198" s="55"/>
      <c r="AI198" s="55"/>
      <c r="AJ198" s="55"/>
      <c r="AK198" s="55"/>
      <c r="AL198" s="55"/>
      <c r="AM198" s="55"/>
      <c r="AN198" s="55"/>
      <c r="AO198" s="55"/>
      <c r="AP198" s="55"/>
      <c r="AQ198" s="55"/>
      <c r="AR198" s="55"/>
      <c r="AS198" s="55"/>
      <c r="AT198" s="55"/>
      <c r="AU198" s="55"/>
      <c r="AV198" s="55"/>
      <c r="AW198" s="55"/>
      <c r="AX198" s="55"/>
      <c r="AY198" s="55"/>
      <c r="AZ198" s="55"/>
      <c r="BA198" s="55"/>
      <c r="BB198" s="55"/>
      <c r="BC198" s="55"/>
      <c r="BD198" s="55"/>
      <c r="BE198" s="55"/>
      <c r="BF198" s="55"/>
      <c r="BG198" s="55"/>
      <c r="BH198" s="55"/>
      <c r="BI198" s="55"/>
      <c r="BJ198" s="55"/>
      <c r="BK198" s="55"/>
      <c r="BL198" s="55"/>
      <c r="BM198" s="55"/>
      <c r="BN198" s="55"/>
      <c r="BO198" s="55"/>
      <c r="BP198" s="55"/>
      <c r="BQ198" s="55"/>
      <c r="BR198" s="55"/>
      <c r="BS198" s="55"/>
      <c r="BT198" s="55"/>
      <c r="BU198" s="55"/>
      <c r="BV198" s="55"/>
      <c r="BW198" s="55"/>
      <c r="BX198" s="55"/>
      <c r="BY198" s="55"/>
      <c r="BZ198" s="55"/>
      <c r="CA198" s="55"/>
      <c r="CB198" s="55"/>
      <c r="CC198" s="55"/>
      <c r="CD198" s="55"/>
      <c r="CE198" s="55"/>
      <c r="CF198" s="55"/>
      <c r="CG198" s="55"/>
      <c r="CH198" s="55"/>
      <c r="CI198" s="55"/>
      <c r="CJ198" s="55"/>
      <c r="CK198" s="55"/>
      <c r="CL198" s="55"/>
      <c r="CM198" s="55"/>
      <c r="CN198" s="55"/>
      <c r="CO198" s="55"/>
      <c r="CP198" s="55"/>
      <c r="CQ198" s="55"/>
      <c r="CR198" s="55"/>
      <c r="CS198" s="55"/>
      <c r="CT198" s="55"/>
      <c r="CU198" s="55"/>
      <c r="CV198" s="55"/>
      <c r="CW198" s="55"/>
      <c r="CX198" s="55"/>
      <c r="CY198" s="55"/>
      <c r="CZ198" s="55"/>
      <c r="DA198" s="55"/>
      <c r="DB198" s="55"/>
      <c r="DC198" s="55"/>
      <c r="DD198" s="55"/>
      <c r="DE198" s="55"/>
      <c r="DF198" s="55"/>
      <c r="DG198" s="55"/>
      <c r="DH198" s="55"/>
      <c r="DI198" s="55"/>
      <c r="DJ198" s="55"/>
      <c r="DK198" s="55"/>
      <c r="DL198" s="55"/>
      <c r="DM198" s="55"/>
      <c r="DN198" s="55"/>
      <c r="DO198" s="55"/>
      <c r="DP198" s="55"/>
      <c r="DQ198" s="55"/>
      <c r="DR198" s="55"/>
      <c r="DS198" s="55"/>
      <c r="DT198" s="55"/>
      <c r="DU198" s="55"/>
      <c r="DV198" s="55"/>
      <c r="DW198" s="55"/>
      <c r="DX198" s="55"/>
      <c r="DY198" s="55"/>
      <c r="DZ198" s="55"/>
      <c r="EA198" s="55"/>
      <c r="EB198" s="55"/>
      <c r="EC198" s="55"/>
      <c r="ED198" s="55"/>
      <c r="EE198" s="55"/>
      <c r="EF198" s="55"/>
      <c r="EG198" s="55"/>
      <c r="EH198" s="55"/>
      <c r="EI198" s="55"/>
      <c r="EJ198" s="55"/>
      <c r="EK198" s="55"/>
      <c r="EL198" s="55"/>
      <c r="EM198" s="55"/>
      <c r="EN198" s="55"/>
      <c r="EO198" s="55"/>
      <c r="EP198" s="55"/>
      <c r="EQ198" s="55"/>
      <c r="ER198" s="55"/>
      <c r="ES198" s="55"/>
      <c r="ET198" s="55"/>
      <c r="EU198" s="55"/>
      <c r="EV198" s="55"/>
      <c r="EW198" s="55"/>
      <c r="EX198" s="55"/>
      <c r="EY198" s="55"/>
      <c r="EZ198" s="55"/>
      <c r="FA198" s="55"/>
      <c r="FB198" s="55"/>
      <c r="FC198" s="55"/>
      <c r="FD198" s="55"/>
      <c r="FE198" s="55"/>
      <c r="FF198" s="55"/>
      <c r="FG198" s="55"/>
      <c r="FH198" s="55"/>
      <c r="FI198" s="55"/>
      <c r="FJ198" s="55"/>
      <c r="FK198" s="55"/>
      <c r="FL198" s="55"/>
      <c r="FM198" s="55"/>
      <c r="FN198" s="55"/>
      <c r="FO198" s="55"/>
      <c r="FP198" s="55"/>
      <c r="FQ198" s="55"/>
      <c r="FR198" s="55"/>
      <c r="FS198" s="55"/>
      <c r="FT198" s="55"/>
      <c r="FU198" s="55"/>
      <c r="FV198" s="55"/>
      <c r="FW198" s="55"/>
      <c r="FX198" s="55"/>
      <c r="FY198" s="55"/>
      <c r="FZ198" s="55"/>
      <c r="GA198" s="55"/>
      <c r="GB198" s="55"/>
      <c r="GC198" s="55"/>
      <c r="GD198" s="55"/>
      <c r="GE198" s="55"/>
      <c r="GF198" s="55"/>
      <c r="GG198" s="55"/>
      <c r="GH198" s="55"/>
      <c r="GI198" s="55"/>
      <c r="GJ198" s="55"/>
      <c r="GK198" s="55"/>
      <c r="GL198" s="55"/>
      <c r="GM198" s="55"/>
      <c r="GN198" s="55"/>
      <c r="GO198" s="55"/>
      <c r="GP198" s="55"/>
      <c r="GQ198" s="55"/>
      <c r="GR198" s="55"/>
      <c r="GS198" s="55"/>
      <c r="GT198" s="55"/>
      <c r="GU198" s="55"/>
      <c r="GV198" s="55"/>
      <c r="GW198" s="55"/>
      <c r="GX198" s="55"/>
      <c r="GY198" s="55"/>
      <c r="GZ198" s="55"/>
      <c r="HA198" s="55"/>
      <c r="HB198" s="55"/>
      <c r="HC198" s="55"/>
      <c r="HD198" s="55"/>
      <c r="HE198" s="55"/>
      <c r="HF198" s="55"/>
      <c r="HG198" s="55"/>
      <c r="HH198" s="55"/>
      <c r="HI198" s="55"/>
      <c r="HJ198" s="55"/>
      <c r="HK198" s="55"/>
      <c r="HL198" s="55"/>
      <c r="HM198" s="55"/>
      <c r="HN198" s="55"/>
      <c r="HO198" s="55"/>
      <c r="HP198" s="55"/>
      <c r="HQ198" s="55"/>
      <c r="HR198" s="55"/>
      <c r="HS198" s="55"/>
      <c r="HT198" s="55"/>
      <c r="HU198" s="55"/>
      <c r="HV198" s="55"/>
      <c r="HW198" s="55"/>
      <c r="HX198" s="55"/>
      <c r="HY198" s="55"/>
      <c r="HZ198" s="55"/>
      <c r="IA198" s="55"/>
      <c r="IB198" s="55"/>
      <c r="IC198" s="55"/>
      <c r="ID198" s="55"/>
    </row>
    <row r="199" s="52" customFormat="1" ht="38" customHeight="1" spans="1:238">
      <c r="A199" s="112" t="s">
        <v>95</v>
      </c>
      <c r="B199" s="112" t="s">
        <v>837</v>
      </c>
      <c r="C199" s="64" t="s">
        <v>838</v>
      </c>
      <c r="D199" s="65"/>
      <c r="E199" s="77"/>
      <c r="F199" s="77" t="s">
        <v>35</v>
      </c>
      <c r="G199" s="64" t="s">
        <v>110</v>
      </c>
      <c r="H199" s="78">
        <v>425</v>
      </c>
      <c r="I199" s="78">
        <v>383</v>
      </c>
      <c r="J199" s="83"/>
      <c r="K199" s="83"/>
      <c r="L199" s="83"/>
      <c r="M199" s="41">
        <v>385</v>
      </c>
      <c r="N199" s="41">
        <v>360</v>
      </c>
      <c r="O199" s="41">
        <v>315</v>
      </c>
      <c r="P199" s="64" t="s">
        <v>37</v>
      </c>
      <c r="Q199" s="64" t="s">
        <v>35</v>
      </c>
      <c r="R199" s="64" t="s">
        <v>35</v>
      </c>
      <c r="S199" s="83"/>
      <c r="T199" s="77"/>
      <c r="U199" s="112"/>
      <c r="V199" s="112"/>
      <c r="W199" s="112"/>
      <c r="X199" s="64"/>
      <c r="Y199" s="112"/>
      <c r="Z199" s="112"/>
      <c r="AA199" s="110"/>
      <c r="AB199" s="50"/>
      <c r="AC199" s="50"/>
      <c r="AD199" s="50"/>
      <c r="AE199" s="112"/>
      <c r="AF199" s="60"/>
      <c r="AG199" s="55"/>
      <c r="AH199" s="55"/>
      <c r="AI199" s="55"/>
      <c r="AJ199" s="55"/>
      <c r="AK199" s="55"/>
      <c r="AL199" s="55"/>
      <c r="AM199" s="55"/>
      <c r="AN199" s="55"/>
      <c r="AO199" s="55"/>
      <c r="AP199" s="55"/>
      <c r="AQ199" s="55"/>
      <c r="AR199" s="55"/>
      <c r="AS199" s="55"/>
      <c r="AT199" s="55"/>
      <c r="AU199" s="55"/>
      <c r="AV199" s="55"/>
      <c r="AW199" s="55"/>
      <c r="AX199" s="55"/>
      <c r="AY199" s="55"/>
      <c r="AZ199" s="55"/>
      <c r="BA199" s="55"/>
      <c r="BB199" s="55"/>
      <c r="BC199" s="55"/>
      <c r="BD199" s="55"/>
      <c r="BE199" s="55"/>
      <c r="BF199" s="55"/>
      <c r="BG199" s="55"/>
      <c r="BH199" s="55"/>
      <c r="BI199" s="55"/>
      <c r="BJ199" s="55"/>
      <c r="BK199" s="55"/>
      <c r="BL199" s="55"/>
      <c r="BM199" s="55"/>
      <c r="BN199" s="55"/>
      <c r="BO199" s="55"/>
      <c r="BP199" s="55"/>
      <c r="BQ199" s="55"/>
      <c r="BR199" s="55"/>
      <c r="BS199" s="55"/>
      <c r="BT199" s="55"/>
      <c r="BU199" s="55"/>
      <c r="BV199" s="55"/>
      <c r="BW199" s="55"/>
      <c r="BX199" s="55"/>
      <c r="BY199" s="55"/>
      <c r="BZ199" s="55"/>
      <c r="CA199" s="55"/>
      <c r="CB199" s="55"/>
      <c r="CC199" s="55"/>
      <c r="CD199" s="55"/>
      <c r="CE199" s="55"/>
      <c r="CF199" s="55"/>
      <c r="CG199" s="55"/>
      <c r="CH199" s="55"/>
      <c r="CI199" s="55"/>
      <c r="CJ199" s="55"/>
      <c r="CK199" s="55"/>
      <c r="CL199" s="55"/>
      <c r="CM199" s="55"/>
      <c r="CN199" s="55"/>
      <c r="CO199" s="55"/>
      <c r="CP199" s="55"/>
      <c r="CQ199" s="55"/>
      <c r="CR199" s="55"/>
      <c r="CS199" s="55"/>
      <c r="CT199" s="55"/>
      <c r="CU199" s="55"/>
      <c r="CV199" s="55"/>
      <c r="CW199" s="55"/>
      <c r="CX199" s="55"/>
      <c r="CY199" s="55"/>
      <c r="CZ199" s="55"/>
      <c r="DA199" s="55"/>
      <c r="DB199" s="55"/>
      <c r="DC199" s="55"/>
      <c r="DD199" s="55"/>
      <c r="DE199" s="55"/>
      <c r="DF199" s="55"/>
      <c r="DG199" s="55"/>
      <c r="DH199" s="55"/>
      <c r="DI199" s="55"/>
      <c r="DJ199" s="55"/>
      <c r="DK199" s="55"/>
      <c r="DL199" s="55"/>
      <c r="DM199" s="55"/>
      <c r="DN199" s="55"/>
      <c r="DO199" s="55"/>
      <c r="DP199" s="55"/>
      <c r="DQ199" s="55"/>
      <c r="DR199" s="55"/>
      <c r="DS199" s="55"/>
      <c r="DT199" s="55"/>
      <c r="DU199" s="55"/>
      <c r="DV199" s="55"/>
      <c r="DW199" s="55"/>
      <c r="DX199" s="55"/>
      <c r="DY199" s="55"/>
      <c r="DZ199" s="55"/>
      <c r="EA199" s="55"/>
      <c r="EB199" s="55"/>
      <c r="EC199" s="55"/>
      <c r="ED199" s="55"/>
      <c r="EE199" s="55"/>
      <c r="EF199" s="55"/>
      <c r="EG199" s="55"/>
      <c r="EH199" s="55"/>
      <c r="EI199" s="55"/>
      <c r="EJ199" s="55"/>
      <c r="EK199" s="55"/>
      <c r="EL199" s="55"/>
      <c r="EM199" s="55"/>
      <c r="EN199" s="55"/>
      <c r="EO199" s="55"/>
      <c r="EP199" s="55"/>
      <c r="EQ199" s="55"/>
      <c r="ER199" s="55"/>
      <c r="ES199" s="55"/>
      <c r="ET199" s="55"/>
      <c r="EU199" s="55"/>
      <c r="EV199" s="55"/>
      <c r="EW199" s="55"/>
      <c r="EX199" s="55"/>
      <c r="EY199" s="55"/>
      <c r="EZ199" s="55"/>
      <c r="FA199" s="55"/>
      <c r="FB199" s="55"/>
      <c r="FC199" s="55"/>
      <c r="FD199" s="55"/>
      <c r="FE199" s="55"/>
      <c r="FF199" s="55"/>
      <c r="FG199" s="55"/>
      <c r="FH199" s="55"/>
      <c r="FI199" s="55"/>
      <c r="FJ199" s="55"/>
      <c r="FK199" s="55"/>
      <c r="FL199" s="55"/>
      <c r="FM199" s="55"/>
      <c r="FN199" s="55"/>
      <c r="FO199" s="55"/>
      <c r="FP199" s="55"/>
      <c r="FQ199" s="55"/>
      <c r="FR199" s="55"/>
      <c r="FS199" s="55"/>
      <c r="FT199" s="55"/>
      <c r="FU199" s="55"/>
      <c r="FV199" s="55"/>
      <c r="FW199" s="55"/>
      <c r="FX199" s="55"/>
      <c r="FY199" s="55"/>
      <c r="FZ199" s="55"/>
      <c r="GA199" s="55"/>
      <c r="GB199" s="55"/>
      <c r="GC199" s="55"/>
      <c r="GD199" s="55"/>
      <c r="GE199" s="55"/>
      <c r="GF199" s="55"/>
      <c r="GG199" s="55"/>
      <c r="GH199" s="55"/>
      <c r="GI199" s="55"/>
      <c r="GJ199" s="55"/>
      <c r="GK199" s="55"/>
      <c r="GL199" s="55"/>
      <c r="GM199" s="55"/>
      <c r="GN199" s="55"/>
      <c r="GO199" s="55"/>
      <c r="GP199" s="55"/>
      <c r="GQ199" s="55"/>
      <c r="GR199" s="55"/>
      <c r="GS199" s="55"/>
      <c r="GT199" s="55"/>
      <c r="GU199" s="55"/>
      <c r="GV199" s="55"/>
      <c r="GW199" s="55"/>
      <c r="GX199" s="55"/>
      <c r="GY199" s="55"/>
      <c r="GZ199" s="55"/>
      <c r="HA199" s="55"/>
      <c r="HB199" s="55"/>
      <c r="HC199" s="55"/>
      <c r="HD199" s="55"/>
      <c r="HE199" s="55"/>
      <c r="HF199" s="55"/>
      <c r="HG199" s="55"/>
      <c r="HH199" s="55"/>
      <c r="HI199" s="55"/>
      <c r="HJ199" s="55"/>
      <c r="HK199" s="55"/>
      <c r="HL199" s="55"/>
      <c r="HM199" s="55"/>
      <c r="HN199" s="55"/>
      <c r="HO199" s="55"/>
      <c r="HP199" s="55"/>
      <c r="HQ199" s="55"/>
      <c r="HR199" s="55"/>
      <c r="HS199" s="55"/>
      <c r="HT199" s="55"/>
      <c r="HU199" s="55"/>
      <c r="HV199" s="55"/>
      <c r="HW199" s="55"/>
      <c r="HX199" s="55"/>
      <c r="HY199" s="55"/>
      <c r="HZ199" s="55"/>
      <c r="IA199" s="55"/>
      <c r="IB199" s="55"/>
      <c r="IC199" s="55"/>
      <c r="ID199" s="55"/>
    </row>
    <row r="200" s="52" customFormat="1" ht="71" customHeight="1" spans="1:238">
      <c r="A200" s="112">
        <v>61</v>
      </c>
      <c r="B200" s="112" t="s">
        <v>839</v>
      </c>
      <c r="C200" s="64" t="s">
        <v>840</v>
      </c>
      <c r="D200" s="65" t="s">
        <v>841</v>
      </c>
      <c r="E200" s="77" t="s">
        <v>842</v>
      </c>
      <c r="F200" s="77" t="s">
        <v>35</v>
      </c>
      <c r="G200" s="64" t="s">
        <v>110</v>
      </c>
      <c r="H200" s="78">
        <v>1150</v>
      </c>
      <c r="I200" s="78">
        <v>1035</v>
      </c>
      <c r="J200" s="83">
        <v>1010</v>
      </c>
      <c r="K200" s="83">
        <v>910</v>
      </c>
      <c r="L200" s="83">
        <v>775</v>
      </c>
      <c r="M200" s="41">
        <v>1010</v>
      </c>
      <c r="N200" s="41">
        <v>910</v>
      </c>
      <c r="O200" s="41">
        <v>775</v>
      </c>
      <c r="P200" s="64" t="s">
        <v>37</v>
      </c>
      <c r="Q200" s="64" t="s">
        <v>35</v>
      </c>
      <c r="R200" s="64" t="s">
        <v>35</v>
      </c>
      <c r="S200" s="83" t="s">
        <v>381</v>
      </c>
      <c r="T200" s="77" t="s">
        <v>381</v>
      </c>
      <c r="U200" s="105" t="s">
        <v>843</v>
      </c>
      <c r="V200" s="105">
        <v>330405015</v>
      </c>
      <c r="W200" s="106" t="s">
        <v>844</v>
      </c>
      <c r="X200" s="105"/>
      <c r="Y200" s="105" t="s">
        <v>845</v>
      </c>
      <c r="Z200" s="105" t="s">
        <v>36</v>
      </c>
      <c r="AA200" s="110" t="s">
        <v>35</v>
      </c>
      <c r="AB200" s="50">
        <v>1010</v>
      </c>
      <c r="AC200" s="50">
        <v>910</v>
      </c>
      <c r="AD200" s="50">
        <v>775</v>
      </c>
      <c r="AE200" s="112" t="s">
        <v>37</v>
      </c>
      <c r="AF200" s="60"/>
      <c r="AG200" s="55"/>
      <c r="AH200" s="55"/>
      <c r="AI200" s="55"/>
      <c r="AJ200" s="55"/>
      <c r="AK200" s="55"/>
      <c r="AL200" s="55"/>
      <c r="AM200" s="55"/>
      <c r="AN200" s="55"/>
      <c r="AO200" s="55"/>
      <c r="AP200" s="55"/>
      <c r="AQ200" s="55"/>
      <c r="AR200" s="55"/>
      <c r="AS200" s="55"/>
      <c r="AT200" s="55"/>
      <c r="AU200" s="55"/>
      <c r="AV200" s="55"/>
      <c r="AW200" s="55"/>
      <c r="AX200" s="55"/>
      <c r="AY200" s="55"/>
      <c r="AZ200" s="55"/>
      <c r="BA200" s="55"/>
      <c r="BB200" s="55"/>
      <c r="BC200" s="55"/>
      <c r="BD200" s="55"/>
      <c r="BE200" s="55"/>
      <c r="BF200" s="55"/>
      <c r="BG200" s="55"/>
      <c r="BH200" s="55"/>
      <c r="BI200" s="55"/>
      <c r="BJ200" s="55"/>
      <c r="BK200" s="55"/>
      <c r="BL200" s="55"/>
      <c r="BM200" s="55"/>
      <c r="BN200" s="55"/>
      <c r="BO200" s="55"/>
      <c r="BP200" s="55"/>
      <c r="BQ200" s="55"/>
      <c r="BR200" s="55"/>
      <c r="BS200" s="55"/>
      <c r="BT200" s="55"/>
      <c r="BU200" s="55"/>
      <c r="BV200" s="55"/>
      <c r="BW200" s="55"/>
      <c r="BX200" s="55"/>
      <c r="BY200" s="55"/>
      <c r="BZ200" s="55"/>
      <c r="CA200" s="55"/>
      <c r="CB200" s="55"/>
      <c r="CC200" s="55"/>
      <c r="CD200" s="55"/>
      <c r="CE200" s="55"/>
      <c r="CF200" s="55"/>
      <c r="CG200" s="55"/>
      <c r="CH200" s="55"/>
      <c r="CI200" s="55"/>
      <c r="CJ200" s="55"/>
      <c r="CK200" s="55"/>
      <c r="CL200" s="55"/>
      <c r="CM200" s="55"/>
      <c r="CN200" s="55"/>
      <c r="CO200" s="55"/>
      <c r="CP200" s="55"/>
      <c r="CQ200" s="55"/>
      <c r="CR200" s="55"/>
      <c r="CS200" s="55"/>
      <c r="CT200" s="55"/>
      <c r="CU200" s="55"/>
      <c r="CV200" s="55"/>
      <c r="CW200" s="55"/>
      <c r="CX200" s="55"/>
      <c r="CY200" s="55"/>
      <c r="CZ200" s="55"/>
      <c r="DA200" s="55"/>
      <c r="DB200" s="55"/>
      <c r="DC200" s="55"/>
      <c r="DD200" s="55"/>
      <c r="DE200" s="55"/>
      <c r="DF200" s="55"/>
      <c r="DG200" s="55"/>
      <c r="DH200" s="55"/>
      <c r="DI200" s="55"/>
      <c r="DJ200" s="55"/>
      <c r="DK200" s="55"/>
      <c r="DL200" s="55"/>
      <c r="DM200" s="55"/>
      <c r="DN200" s="55"/>
      <c r="DO200" s="55"/>
      <c r="DP200" s="55"/>
      <c r="DQ200" s="55"/>
      <c r="DR200" s="55"/>
      <c r="DS200" s="55"/>
      <c r="DT200" s="55"/>
      <c r="DU200" s="55"/>
      <c r="DV200" s="55"/>
      <c r="DW200" s="55"/>
      <c r="DX200" s="55"/>
      <c r="DY200" s="55"/>
      <c r="DZ200" s="55"/>
      <c r="EA200" s="55"/>
      <c r="EB200" s="55"/>
      <c r="EC200" s="55"/>
      <c r="ED200" s="55"/>
      <c r="EE200" s="55"/>
      <c r="EF200" s="55"/>
      <c r="EG200" s="55"/>
      <c r="EH200" s="55"/>
      <c r="EI200" s="55"/>
      <c r="EJ200" s="55"/>
      <c r="EK200" s="55"/>
      <c r="EL200" s="55"/>
      <c r="EM200" s="55"/>
      <c r="EN200" s="55"/>
      <c r="EO200" s="55"/>
      <c r="EP200" s="55"/>
      <c r="EQ200" s="55"/>
      <c r="ER200" s="55"/>
      <c r="ES200" s="55"/>
      <c r="ET200" s="55"/>
      <c r="EU200" s="55"/>
      <c r="EV200" s="55"/>
      <c r="EW200" s="55"/>
      <c r="EX200" s="55"/>
      <c r="EY200" s="55"/>
      <c r="EZ200" s="55"/>
      <c r="FA200" s="55"/>
      <c r="FB200" s="55"/>
      <c r="FC200" s="55"/>
      <c r="FD200" s="55"/>
      <c r="FE200" s="55"/>
      <c r="FF200" s="55"/>
      <c r="FG200" s="55"/>
      <c r="FH200" s="55"/>
      <c r="FI200" s="55"/>
      <c r="FJ200" s="55"/>
      <c r="FK200" s="55"/>
      <c r="FL200" s="55"/>
      <c r="FM200" s="55"/>
      <c r="FN200" s="55"/>
      <c r="FO200" s="55"/>
      <c r="FP200" s="55"/>
      <c r="FQ200" s="55"/>
      <c r="FR200" s="55"/>
      <c r="FS200" s="55"/>
      <c r="FT200" s="55"/>
      <c r="FU200" s="55"/>
      <c r="FV200" s="55"/>
      <c r="FW200" s="55"/>
      <c r="FX200" s="55"/>
      <c r="FY200" s="55"/>
      <c r="FZ200" s="55"/>
      <c r="GA200" s="55"/>
      <c r="GB200" s="55"/>
      <c r="GC200" s="55"/>
      <c r="GD200" s="55"/>
      <c r="GE200" s="55"/>
      <c r="GF200" s="55"/>
      <c r="GG200" s="55"/>
      <c r="GH200" s="55"/>
      <c r="GI200" s="55"/>
      <c r="GJ200" s="55"/>
      <c r="GK200" s="55"/>
      <c r="GL200" s="55"/>
      <c r="GM200" s="55"/>
      <c r="GN200" s="55"/>
      <c r="GO200" s="55"/>
      <c r="GP200" s="55"/>
      <c r="GQ200" s="55"/>
      <c r="GR200" s="55"/>
      <c r="GS200" s="55"/>
      <c r="GT200" s="55"/>
      <c r="GU200" s="55"/>
      <c r="GV200" s="55"/>
      <c r="GW200" s="55"/>
      <c r="GX200" s="55"/>
      <c r="GY200" s="55"/>
      <c r="GZ200" s="55"/>
      <c r="HA200" s="55"/>
      <c r="HB200" s="55"/>
      <c r="HC200" s="55"/>
      <c r="HD200" s="55"/>
      <c r="HE200" s="55"/>
      <c r="HF200" s="55"/>
      <c r="HG200" s="55"/>
      <c r="HH200" s="55"/>
      <c r="HI200" s="55"/>
      <c r="HJ200" s="55"/>
      <c r="HK200" s="55"/>
      <c r="HL200" s="55"/>
      <c r="HM200" s="55"/>
      <c r="HN200" s="55"/>
      <c r="HO200" s="55"/>
      <c r="HP200" s="55"/>
      <c r="HQ200" s="55"/>
      <c r="HR200" s="55"/>
      <c r="HS200" s="55"/>
      <c r="HT200" s="55"/>
      <c r="HU200" s="55"/>
      <c r="HV200" s="55"/>
      <c r="HW200" s="55"/>
      <c r="HX200" s="55"/>
      <c r="HY200" s="55"/>
      <c r="HZ200" s="55"/>
      <c r="IA200" s="55"/>
      <c r="IB200" s="55"/>
      <c r="IC200" s="55"/>
      <c r="ID200" s="55"/>
    </row>
    <row r="201" s="52" customFormat="1" ht="32" customHeight="1" spans="1:238">
      <c r="A201" s="112" t="s">
        <v>95</v>
      </c>
      <c r="B201" s="112" t="s">
        <v>846</v>
      </c>
      <c r="C201" s="64" t="s">
        <v>847</v>
      </c>
      <c r="D201" s="65"/>
      <c r="E201" s="77"/>
      <c r="F201" s="77" t="s">
        <v>35</v>
      </c>
      <c r="G201" s="64" t="s">
        <v>110</v>
      </c>
      <c r="H201" s="78">
        <v>345</v>
      </c>
      <c r="I201" s="78">
        <v>311</v>
      </c>
      <c r="J201" s="83">
        <v>305</v>
      </c>
      <c r="K201" s="83">
        <v>275</v>
      </c>
      <c r="L201" s="83">
        <v>230</v>
      </c>
      <c r="M201" s="41">
        <v>305</v>
      </c>
      <c r="N201" s="41">
        <v>275</v>
      </c>
      <c r="O201" s="41">
        <v>230</v>
      </c>
      <c r="P201" s="64" t="s">
        <v>37</v>
      </c>
      <c r="Q201" s="64" t="s">
        <v>35</v>
      </c>
      <c r="R201" s="64" t="s">
        <v>35</v>
      </c>
      <c r="S201" s="83"/>
      <c r="T201" s="77" t="s">
        <v>186</v>
      </c>
      <c r="U201" s="105" t="s">
        <v>848</v>
      </c>
      <c r="V201" s="105">
        <v>33040501501</v>
      </c>
      <c r="W201" s="106" t="s">
        <v>849</v>
      </c>
      <c r="X201" s="105"/>
      <c r="Y201" s="105"/>
      <c r="Z201" s="105" t="s">
        <v>36</v>
      </c>
      <c r="AA201" s="110" t="s">
        <v>35</v>
      </c>
      <c r="AB201" s="50">
        <v>1315</v>
      </c>
      <c r="AC201" s="50">
        <v>1185</v>
      </c>
      <c r="AD201" s="50">
        <v>1005</v>
      </c>
      <c r="AE201" s="112" t="s">
        <v>37</v>
      </c>
      <c r="AF201" s="60"/>
      <c r="AG201" s="55"/>
      <c r="AH201" s="55"/>
      <c r="AI201" s="55"/>
      <c r="AJ201" s="55"/>
      <c r="AK201" s="55"/>
      <c r="AL201" s="55"/>
      <c r="AM201" s="55"/>
      <c r="AN201" s="55"/>
      <c r="AO201" s="55"/>
      <c r="AP201" s="55"/>
      <c r="AQ201" s="55"/>
      <c r="AR201" s="55"/>
      <c r="AS201" s="55"/>
      <c r="AT201" s="55"/>
      <c r="AU201" s="55"/>
      <c r="AV201" s="55"/>
      <c r="AW201" s="55"/>
      <c r="AX201" s="55"/>
      <c r="AY201" s="55"/>
      <c r="AZ201" s="55"/>
      <c r="BA201" s="55"/>
      <c r="BB201" s="55"/>
      <c r="BC201" s="55"/>
      <c r="BD201" s="55"/>
      <c r="BE201" s="55"/>
      <c r="BF201" s="55"/>
      <c r="BG201" s="55"/>
      <c r="BH201" s="55"/>
      <c r="BI201" s="55"/>
      <c r="BJ201" s="55"/>
      <c r="BK201" s="55"/>
      <c r="BL201" s="55"/>
      <c r="BM201" s="55"/>
      <c r="BN201" s="55"/>
      <c r="BO201" s="55"/>
      <c r="BP201" s="55"/>
      <c r="BQ201" s="55"/>
      <c r="BR201" s="55"/>
      <c r="BS201" s="55"/>
      <c r="BT201" s="55"/>
      <c r="BU201" s="55"/>
      <c r="BV201" s="55"/>
      <c r="BW201" s="55"/>
      <c r="BX201" s="55"/>
      <c r="BY201" s="55"/>
      <c r="BZ201" s="55"/>
      <c r="CA201" s="55"/>
      <c r="CB201" s="55"/>
      <c r="CC201" s="55"/>
      <c r="CD201" s="55"/>
      <c r="CE201" s="55"/>
      <c r="CF201" s="55"/>
      <c r="CG201" s="55"/>
      <c r="CH201" s="55"/>
      <c r="CI201" s="55"/>
      <c r="CJ201" s="55"/>
      <c r="CK201" s="55"/>
      <c r="CL201" s="55"/>
      <c r="CM201" s="55"/>
      <c r="CN201" s="55"/>
      <c r="CO201" s="55"/>
      <c r="CP201" s="55"/>
      <c r="CQ201" s="55"/>
      <c r="CR201" s="55"/>
      <c r="CS201" s="55"/>
      <c r="CT201" s="55"/>
      <c r="CU201" s="55"/>
      <c r="CV201" s="55"/>
      <c r="CW201" s="55"/>
      <c r="CX201" s="55"/>
      <c r="CY201" s="55"/>
      <c r="CZ201" s="55"/>
      <c r="DA201" s="55"/>
      <c r="DB201" s="55"/>
      <c r="DC201" s="55"/>
      <c r="DD201" s="55"/>
      <c r="DE201" s="55"/>
      <c r="DF201" s="55"/>
      <c r="DG201" s="55"/>
      <c r="DH201" s="55"/>
      <c r="DI201" s="55"/>
      <c r="DJ201" s="55"/>
      <c r="DK201" s="55"/>
      <c r="DL201" s="55"/>
      <c r="DM201" s="55"/>
      <c r="DN201" s="55"/>
      <c r="DO201" s="55"/>
      <c r="DP201" s="55"/>
      <c r="DQ201" s="55"/>
      <c r="DR201" s="55"/>
      <c r="DS201" s="55"/>
      <c r="DT201" s="55"/>
      <c r="DU201" s="55"/>
      <c r="DV201" s="55"/>
      <c r="DW201" s="55"/>
      <c r="DX201" s="55"/>
      <c r="DY201" s="55"/>
      <c r="DZ201" s="55"/>
      <c r="EA201" s="55"/>
      <c r="EB201" s="55"/>
      <c r="EC201" s="55"/>
      <c r="ED201" s="55"/>
      <c r="EE201" s="55"/>
      <c r="EF201" s="55"/>
      <c r="EG201" s="55"/>
      <c r="EH201" s="55"/>
      <c r="EI201" s="55"/>
      <c r="EJ201" s="55"/>
      <c r="EK201" s="55"/>
      <c r="EL201" s="55"/>
      <c r="EM201" s="55"/>
      <c r="EN201" s="55"/>
      <c r="EO201" s="55"/>
      <c r="EP201" s="55"/>
      <c r="EQ201" s="55"/>
      <c r="ER201" s="55"/>
      <c r="ES201" s="55"/>
      <c r="ET201" s="55"/>
      <c r="EU201" s="55"/>
      <c r="EV201" s="55"/>
      <c r="EW201" s="55"/>
      <c r="EX201" s="55"/>
      <c r="EY201" s="55"/>
      <c r="EZ201" s="55"/>
      <c r="FA201" s="55"/>
      <c r="FB201" s="55"/>
      <c r="FC201" s="55"/>
      <c r="FD201" s="55"/>
      <c r="FE201" s="55"/>
      <c r="FF201" s="55"/>
      <c r="FG201" s="55"/>
      <c r="FH201" s="55"/>
      <c r="FI201" s="55"/>
      <c r="FJ201" s="55"/>
      <c r="FK201" s="55"/>
      <c r="FL201" s="55"/>
      <c r="FM201" s="55"/>
      <c r="FN201" s="55"/>
      <c r="FO201" s="55"/>
      <c r="FP201" s="55"/>
      <c r="FQ201" s="55"/>
      <c r="FR201" s="55"/>
      <c r="FS201" s="55"/>
      <c r="FT201" s="55"/>
      <c r="FU201" s="55"/>
      <c r="FV201" s="55"/>
      <c r="FW201" s="55"/>
      <c r="FX201" s="55"/>
      <c r="FY201" s="55"/>
      <c r="FZ201" s="55"/>
      <c r="GA201" s="55"/>
      <c r="GB201" s="55"/>
      <c r="GC201" s="55"/>
      <c r="GD201" s="55"/>
      <c r="GE201" s="55"/>
      <c r="GF201" s="55"/>
      <c r="GG201" s="55"/>
      <c r="GH201" s="55"/>
      <c r="GI201" s="55"/>
      <c r="GJ201" s="55"/>
      <c r="GK201" s="55"/>
      <c r="GL201" s="55"/>
      <c r="GM201" s="55"/>
      <c r="GN201" s="55"/>
      <c r="GO201" s="55"/>
      <c r="GP201" s="55"/>
      <c r="GQ201" s="55"/>
      <c r="GR201" s="55"/>
      <c r="GS201" s="55"/>
      <c r="GT201" s="55"/>
      <c r="GU201" s="55"/>
      <c r="GV201" s="55"/>
      <c r="GW201" s="55"/>
      <c r="GX201" s="55"/>
      <c r="GY201" s="55"/>
      <c r="GZ201" s="55"/>
      <c r="HA201" s="55"/>
      <c r="HB201" s="55"/>
      <c r="HC201" s="55"/>
      <c r="HD201" s="55"/>
      <c r="HE201" s="55"/>
      <c r="HF201" s="55"/>
      <c r="HG201" s="55"/>
      <c r="HH201" s="55"/>
      <c r="HI201" s="55"/>
      <c r="HJ201" s="55"/>
      <c r="HK201" s="55"/>
      <c r="HL201" s="55"/>
      <c r="HM201" s="55"/>
      <c r="HN201" s="55"/>
      <c r="HO201" s="55"/>
      <c r="HP201" s="55"/>
      <c r="HQ201" s="55"/>
      <c r="HR201" s="55"/>
      <c r="HS201" s="55"/>
      <c r="HT201" s="55"/>
      <c r="HU201" s="55"/>
      <c r="HV201" s="55"/>
      <c r="HW201" s="55"/>
      <c r="HX201" s="55"/>
      <c r="HY201" s="55"/>
      <c r="HZ201" s="55"/>
      <c r="IA201" s="55"/>
      <c r="IB201" s="55"/>
      <c r="IC201" s="55"/>
      <c r="ID201" s="55"/>
    </row>
    <row r="202" s="52" customFormat="1" ht="24" customHeight="1" spans="1:238">
      <c r="A202" s="112">
        <v>62</v>
      </c>
      <c r="B202" s="112" t="s">
        <v>850</v>
      </c>
      <c r="C202" s="64" t="s">
        <v>851</v>
      </c>
      <c r="D202" s="65" t="s">
        <v>852</v>
      </c>
      <c r="E202" s="77" t="s">
        <v>853</v>
      </c>
      <c r="F202" s="77"/>
      <c r="G202" s="64" t="s">
        <v>110</v>
      </c>
      <c r="H202" s="78">
        <v>1323</v>
      </c>
      <c r="I202" s="78">
        <v>1190</v>
      </c>
      <c r="J202" s="83">
        <v>845</v>
      </c>
      <c r="K202" s="83">
        <v>760</v>
      </c>
      <c r="L202" s="83">
        <v>645</v>
      </c>
      <c r="M202" s="89">
        <v>1160</v>
      </c>
      <c r="N202" s="89">
        <v>1045</v>
      </c>
      <c r="O202" s="89">
        <v>890</v>
      </c>
      <c r="P202" s="64" t="s">
        <v>37</v>
      </c>
      <c r="Q202" s="64" t="s">
        <v>35</v>
      </c>
      <c r="R202" s="64" t="s">
        <v>35</v>
      </c>
      <c r="S202" s="83" t="s">
        <v>485</v>
      </c>
      <c r="T202" s="104" t="s">
        <v>854</v>
      </c>
      <c r="U202" s="105" t="s">
        <v>855</v>
      </c>
      <c r="V202" s="105">
        <v>330405014</v>
      </c>
      <c r="W202" s="106" t="s">
        <v>856</v>
      </c>
      <c r="X202" s="105"/>
      <c r="Y202" s="105" t="s">
        <v>857</v>
      </c>
      <c r="Z202" s="105" t="s">
        <v>36</v>
      </c>
      <c r="AA202" s="110" t="s">
        <v>35</v>
      </c>
      <c r="AB202" s="50">
        <v>1350</v>
      </c>
      <c r="AC202" s="50">
        <v>1220</v>
      </c>
      <c r="AD202" s="50">
        <v>1040</v>
      </c>
      <c r="AE202" s="112" t="s">
        <v>37</v>
      </c>
      <c r="AF202" s="60"/>
      <c r="AG202" s="55"/>
      <c r="AH202" s="55"/>
      <c r="AI202" s="55"/>
      <c r="AJ202" s="55"/>
      <c r="AK202" s="55"/>
      <c r="AL202" s="55"/>
      <c r="AM202" s="55"/>
      <c r="AN202" s="55"/>
      <c r="AO202" s="55"/>
      <c r="AP202" s="55"/>
      <c r="AQ202" s="55"/>
      <c r="AR202" s="55"/>
      <c r="AS202" s="55"/>
      <c r="AT202" s="55"/>
      <c r="AU202" s="55"/>
      <c r="AV202" s="55"/>
      <c r="AW202" s="55"/>
      <c r="AX202" s="55"/>
      <c r="AY202" s="55"/>
      <c r="AZ202" s="55"/>
      <c r="BA202" s="55"/>
      <c r="BB202" s="55"/>
      <c r="BC202" s="55"/>
      <c r="BD202" s="55"/>
      <c r="BE202" s="55"/>
      <c r="BF202" s="55"/>
      <c r="BG202" s="55"/>
      <c r="BH202" s="55"/>
      <c r="BI202" s="55"/>
      <c r="BJ202" s="55"/>
      <c r="BK202" s="55"/>
      <c r="BL202" s="55"/>
      <c r="BM202" s="55"/>
      <c r="BN202" s="55"/>
      <c r="BO202" s="55"/>
      <c r="BP202" s="55"/>
      <c r="BQ202" s="55"/>
      <c r="BR202" s="55"/>
      <c r="BS202" s="55"/>
      <c r="BT202" s="55"/>
      <c r="BU202" s="55"/>
      <c r="BV202" s="55"/>
      <c r="BW202" s="55"/>
      <c r="BX202" s="55"/>
      <c r="BY202" s="55"/>
      <c r="BZ202" s="55"/>
      <c r="CA202" s="55"/>
      <c r="CB202" s="55"/>
      <c r="CC202" s="55"/>
      <c r="CD202" s="55"/>
      <c r="CE202" s="55"/>
      <c r="CF202" s="55"/>
      <c r="CG202" s="55"/>
      <c r="CH202" s="55"/>
      <c r="CI202" s="55"/>
      <c r="CJ202" s="55"/>
      <c r="CK202" s="55"/>
      <c r="CL202" s="55"/>
      <c r="CM202" s="55"/>
      <c r="CN202" s="55"/>
      <c r="CO202" s="55"/>
      <c r="CP202" s="55"/>
      <c r="CQ202" s="55"/>
      <c r="CR202" s="55"/>
      <c r="CS202" s="55"/>
      <c r="CT202" s="55"/>
      <c r="CU202" s="55"/>
      <c r="CV202" s="55"/>
      <c r="CW202" s="55"/>
      <c r="CX202" s="55"/>
      <c r="CY202" s="55"/>
      <c r="CZ202" s="55"/>
      <c r="DA202" s="55"/>
      <c r="DB202" s="55"/>
      <c r="DC202" s="55"/>
      <c r="DD202" s="55"/>
      <c r="DE202" s="55"/>
      <c r="DF202" s="55"/>
      <c r="DG202" s="55"/>
      <c r="DH202" s="55"/>
      <c r="DI202" s="55"/>
      <c r="DJ202" s="55"/>
      <c r="DK202" s="55"/>
      <c r="DL202" s="55"/>
      <c r="DM202" s="55"/>
      <c r="DN202" s="55"/>
      <c r="DO202" s="55"/>
      <c r="DP202" s="55"/>
      <c r="DQ202" s="55"/>
      <c r="DR202" s="55"/>
      <c r="DS202" s="55"/>
      <c r="DT202" s="55"/>
      <c r="DU202" s="55"/>
      <c r="DV202" s="55"/>
      <c r="DW202" s="55"/>
      <c r="DX202" s="55"/>
      <c r="DY202" s="55"/>
      <c r="DZ202" s="55"/>
      <c r="EA202" s="55"/>
      <c r="EB202" s="55"/>
      <c r="EC202" s="55"/>
      <c r="ED202" s="55"/>
      <c r="EE202" s="55"/>
      <c r="EF202" s="55"/>
      <c r="EG202" s="55"/>
      <c r="EH202" s="55"/>
      <c r="EI202" s="55"/>
      <c r="EJ202" s="55"/>
      <c r="EK202" s="55"/>
      <c r="EL202" s="55"/>
      <c r="EM202" s="55"/>
      <c r="EN202" s="55"/>
      <c r="EO202" s="55"/>
      <c r="EP202" s="55"/>
      <c r="EQ202" s="55"/>
      <c r="ER202" s="55"/>
      <c r="ES202" s="55"/>
      <c r="ET202" s="55"/>
      <c r="EU202" s="55"/>
      <c r="EV202" s="55"/>
      <c r="EW202" s="55"/>
      <c r="EX202" s="55"/>
      <c r="EY202" s="55"/>
      <c r="EZ202" s="55"/>
      <c r="FA202" s="55"/>
      <c r="FB202" s="55"/>
      <c r="FC202" s="55"/>
      <c r="FD202" s="55"/>
      <c r="FE202" s="55"/>
      <c r="FF202" s="55"/>
      <c r="FG202" s="55"/>
      <c r="FH202" s="55"/>
      <c r="FI202" s="55"/>
      <c r="FJ202" s="55"/>
      <c r="FK202" s="55"/>
      <c r="FL202" s="55"/>
      <c r="FM202" s="55"/>
      <c r="FN202" s="55"/>
      <c r="FO202" s="55"/>
      <c r="FP202" s="55"/>
      <c r="FQ202" s="55"/>
      <c r="FR202" s="55"/>
      <c r="FS202" s="55"/>
      <c r="FT202" s="55"/>
      <c r="FU202" s="55"/>
      <c r="FV202" s="55"/>
      <c r="FW202" s="55"/>
      <c r="FX202" s="55"/>
      <c r="FY202" s="55"/>
      <c r="FZ202" s="55"/>
      <c r="GA202" s="55"/>
      <c r="GB202" s="55"/>
      <c r="GC202" s="55"/>
      <c r="GD202" s="55"/>
      <c r="GE202" s="55"/>
      <c r="GF202" s="55"/>
      <c r="GG202" s="55"/>
      <c r="GH202" s="55"/>
      <c r="GI202" s="55"/>
      <c r="GJ202" s="55"/>
      <c r="GK202" s="55"/>
      <c r="GL202" s="55"/>
      <c r="GM202" s="55"/>
      <c r="GN202" s="55"/>
      <c r="GO202" s="55"/>
      <c r="GP202" s="55"/>
      <c r="GQ202" s="55"/>
      <c r="GR202" s="55"/>
      <c r="GS202" s="55"/>
      <c r="GT202" s="55"/>
      <c r="GU202" s="55"/>
      <c r="GV202" s="55"/>
      <c r="GW202" s="55"/>
      <c r="GX202" s="55"/>
      <c r="GY202" s="55"/>
      <c r="GZ202" s="55"/>
      <c r="HA202" s="55"/>
      <c r="HB202" s="55"/>
      <c r="HC202" s="55"/>
      <c r="HD202" s="55"/>
      <c r="HE202" s="55"/>
      <c r="HF202" s="55"/>
      <c r="HG202" s="55"/>
      <c r="HH202" s="55"/>
      <c r="HI202" s="55"/>
      <c r="HJ202" s="55"/>
      <c r="HK202" s="55"/>
      <c r="HL202" s="55"/>
      <c r="HM202" s="55"/>
      <c r="HN202" s="55"/>
      <c r="HO202" s="55"/>
      <c r="HP202" s="55"/>
      <c r="HQ202" s="55"/>
      <c r="HR202" s="55"/>
      <c r="HS202" s="55"/>
      <c r="HT202" s="55"/>
      <c r="HU202" s="55"/>
      <c r="HV202" s="55"/>
      <c r="HW202" s="55"/>
      <c r="HX202" s="55"/>
      <c r="HY202" s="55"/>
      <c r="HZ202" s="55"/>
      <c r="IA202" s="55"/>
      <c r="IB202" s="55"/>
      <c r="IC202" s="55"/>
      <c r="ID202" s="55"/>
    </row>
    <row r="203" s="52" customFormat="1" ht="24" customHeight="1" spans="1:238">
      <c r="A203" s="112"/>
      <c r="B203" s="112"/>
      <c r="C203" s="64"/>
      <c r="D203" s="65"/>
      <c r="E203" s="77"/>
      <c r="F203" s="77"/>
      <c r="G203" s="64"/>
      <c r="H203" s="42"/>
      <c r="I203" s="42"/>
      <c r="J203" s="83"/>
      <c r="K203" s="83"/>
      <c r="L203" s="83"/>
      <c r="M203" s="89"/>
      <c r="N203" s="89"/>
      <c r="O203" s="89"/>
      <c r="P203" s="64"/>
      <c r="Q203" s="64"/>
      <c r="R203" s="64"/>
      <c r="S203" s="83"/>
      <c r="T203" s="104"/>
      <c r="U203" s="105" t="s">
        <v>858</v>
      </c>
      <c r="V203" s="105">
        <v>330405011</v>
      </c>
      <c r="W203" s="106" t="s">
        <v>859</v>
      </c>
      <c r="X203" s="105" t="s">
        <v>860</v>
      </c>
      <c r="Y203" s="105"/>
      <c r="Z203" s="105" t="s">
        <v>36</v>
      </c>
      <c r="AA203" s="110" t="s">
        <v>861</v>
      </c>
      <c r="AB203" s="50">
        <v>845</v>
      </c>
      <c r="AC203" s="50">
        <v>760</v>
      </c>
      <c r="AD203" s="50">
        <v>645</v>
      </c>
      <c r="AE203" s="112" t="s">
        <v>37</v>
      </c>
      <c r="AF203" s="60"/>
      <c r="AG203" s="55"/>
      <c r="AH203" s="55"/>
      <c r="AI203" s="55"/>
      <c r="AJ203" s="55"/>
      <c r="AK203" s="55"/>
      <c r="AL203" s="55"/>
      <c r="AM203" s="55"/>
      <c r="AN203" s="55"/>
      <c r="AO203" s="55"/>
      <c r="AP203" s="55"/>
      <c r="AQ203" s="55"/>
      <c r="AR203" s="55"/>
      <c r="AS203" s="55"/>
      <c r="AT203" s="55"/>
      <c r="AU203" s="55"/>
      <c r="AV203" s="55"/>
      <c r="AW203" s="55"/>
      <c r="AX203" s="55"/>
      <c r="AY203" s="55"/>
      <c r="AZ203" s="55"/>
      <c r="BA203" s="55"/>
      <c r="BB203" s="55"/>
      <c r="BC203" s="55"/>
      <c r="BD203" s="55"/>
      <c r="BE203" s="55"/>
      <c r="BF203" s="55"/>
      <c r="BG203" s="55"/>
      <c r="BH203" s="55"/>
      <c r="BI203" s="55"/>
      <c r="BJ203" s="55"/>
      <c r="BK203" s="55"/>
      <c r="BL203" s="55"/>
      <c r="BM203" s="55"/>
      <c r="BN203" s="55"/>
      <c r="BO203" s="55"/>
      <c r="BP203" s="55"/>
      <c r="BQ203" s="55"/>
      <c r="BR203" s="55"/>
      <c r="BS203" s="55"/>
      <c r="BT203" s="55"/>
      <c r="BU203" s="55"/>
      <c r="BV203" s="55"/>
      <c r="BW203" s="55"/>
      <c r="BX203" s="55"/>
      <c r="BY203" s="55"/>
      <c r="BZ203" s="55"/>
      <c r="CA203" s="55"/>
      <c r="CB203" s="55"/>
      <c r="CC203" s="55"/>
      <c r="CD203" s="55"/>
      <c r="CE203" s="55"/>
      <c r="CF203" s="55"/>
      <c r="CG203" s="55"/>
      <c r="CH203" s="55"/>
      <c r="CI203" s="55"/>
      <c r="CJ203" s="55"/>
      <c r="CK203" s="55"/>
      <c r="CL203" s="55"/>
      <c r="CM203" s="55"/>
      <c r="CN203" s="55"/>
      <c r="CO203" s="55"/>
      <c r="CP203" s="55"/>
      <c r="CQ203" s="55"/>
      <c r="CR203" s="55"/>
      <c r="CS203" s="55"/>
      <c r="CT203" s="55"/>
      <c r="CU203" s="55"/>
      <c r="CV203" s="55"/>
      <c r="CW203" s="55"/>
      <c r="CX203" s="55"/>
      <c r="CY203" s="55"/>
      <c r="CZ203" s="55"/>
      <c r="DA203" s="55"/>
      <c r="DB203" s="55"/>
      <c r="DC203" s="55"/>
      <c r="DD203" s="55"/>
      <c r="DE203" s="55"/>
      <c r="DF203" s="55"/>
      <c r="DG203" s="55"/>
      <c r="DH203" s="55"/>
      <c r="DI203" s="55"/>
      <c r="DJ203" s="55"/>
      <c r="DK203" s="55"/>
      <c r="DL203" s="55"/>
      <c r="DM203" s="55"/>
      <c r="DN203" s="55"/>
      <c r="DO203" s="55"/>
      <c r="DP203" s="55"/>
      <c r="DQ203" s="55"/>
      <c r="DR203" s="55"/>
      <c r="DS203" s="55"/>
      <c r="DT203" s="55"/>
      <c r="DU203" s="55"/>
      <c r="DV203" s="55"/>
      <c r="DW203" s="55"/>
      <c r="DX203" s="55"/>
      <c r="DY203" s="55"/>
      <c r="DZ203" s="55"/>
      <c r="EA203" s="55"/>
      <c r="EB203" s="55"/>
      <c r="EC203" s="55"/>
      <c r="ED203" s="55"/>
      <c r="EE203" s="55"/>
      <c r="EF203" s="55"/>
      <c r="EG203" s="55"/>
      <c r="EH203" s="55"/>
      <c r="EI203" s="55"/>
      <c r="EJ203" s="55"/>
      <c r="EK203" s="55"/>
      <c r="EL203" s="55"/>
      <c r="EM203" s="55"/>
      <c r="EN203" s="55"/>
      <c r="EO203" s="55"/>
      <c r="EP203" s="55"/>
      <c r="EQ203" s="55"/>
      <c r="ER203" s="55"/>
      <c r="ES203" s="55"/>
      <c r="ET203" s="55"/>
      <c r="EU203" s="55"/>
      <c r="EV203" s="55"/>
      <c r="EW203" s="55"/>
      <c r="EX203" s="55"/>
      <c r="EY203" s="55"/>
      <c r="EZ203" s="55"/>
      <c r="FA203" s="55"/>
      <c r="FB203" s="55"/>
      <c r="FC203" s="55"/>
      <c r="FD203" s="55"/>
      <c r="FE203" s="55"/>
      <c r="FF203" s="55"/>
      <c r="FG203" s="55"/>
      <c r="FH203" s="55"/>
      <c r="FI203" s="55"/>
      <c r="FJ203" s="55"/>
      <c r="FK203" s="55"/>
      <c r="FL203" s="55"/>
      <c r="FM203" s="55"/>
      <c r="FN203" s="55"/>
      <c r="FO203" s="55"/>
      <c r="FP203" s="55"/>
      <c r="FQ203" s="55"/>
      <c r="FR203" s="55"/>
      <c r="FS203" s="55"/>
      <c r="FT203" s="55"/>
      <c r="FU203" s="55"/>
      <c r="FV203" s="55"/>
      <c r="FW203" s="55"/>
      <c r="FX203" s="55"/>
      <c r="FY203" s="55"/>
      <c r="FZ203" s="55"/>
      <c r="GA203" s="55"/>
      <c r="GB203" s="55"/>
      <c r="GC203" s="55"/>
      <c r="GD203" s="55"/>
      <c r="GE203" s="55"/>
      <c r="GF203" s="55"/>
      <c r="GG203" s="55"/>
      <c r="GH203" s="55"/>
      <c r="GI203" s="55"/>
      <c r="GJ203" s="55"/>
      <c r="GK203" s="55"/>
      <c r="GL203" s="55"/>
      <c r="GM203" s="55"/>
      <c r="GN203" s="55"/>
      <c r="GO203" s="55"/>
      <c r="GP203" s="55"/>
      <c r="GQ203" s="55"/>
      <c r="GR203" s="55"/>
      <c r="GS203" s="55"/>
      <c r="GT203" s="55"/>
      <c r="GU203" s="55"/>
      <c r="GV203" s="55"/>
      <c r="GW203" s="55"/>
      <c r="GX203" s="55"/>
      <c r="GY203" s="55"/>
      <c r="GZ203" s="55"/>
      <c r="HA203" s="55"/>
      <c r="HB203" s="55"/>
      <c r="HC203" s="55"/>
      <c r="HD203" s="55"/>
      <c r="HE203" s="55"/>
      <c r="HF203" s="55"/>
      <c r="HG203" s="55"/>
      <c r="HH203" s="55"/>
      <c r="HI203" s="55"/>
      <c r="HJ203" s="55"/>
      <c r="HK203" s="55"/>
      <c r="HL203" s="55"/>
      <c r="HM203" s="55"/>
      <c r="HN203" s="55"/>
      <c r="HO203" s="55"/>
      <c r="HP203" s="55"/>
      <c r="HQ203" s="55"/>
      <c r="HR203" s="55"/>
      <c r="HS203" s="55"/>
      <c r="HT203" s="55"/>
      <c r="HU203" s="55"/>
      <c r="HV203" s="55"/>
      <c r="HW203" s="55"/>
      <c r="HX203" s="55"/>
      <c r="HY203" s="55"/>
      <c r="HZ203" s="55"/>
      <c r="IA203" s="55"/>
      <c r="IB203" s="55"/>
      <c r="IC203" s="55"/>
      <c r="ID203" s="55"/>
    </row>
    <row r="204" s="52" customFormat="1" ht="24" customHeight="1" spans="1:238">
      <c r="A204" s="112"/>
      <c r="B204" s="112"/>
      <c r="C204" s="64"/>
      <c r="D204" s="65"/>
      <c r="E204" s="77"/>
      <c r="F204" s="77"/>
      <c r="G204" s="64"/>
      <c r="H204" s="42"/>
      <c r="I204" s="42"/>
      <c r="J204" s="83"/>
      <c r="K204" s="83"/>
      <c r="L204" s="83"/>
      <c r="M204" s="89"/>
      <c r="N204" s="89"/>
      <c r="O204" s="89"/>
      <c r="P204" s="64"/>
      <c r="Q204" s="64"/>
      <c r="R204" s="64"/>
      <c r="S204" s="83"/>
      <c r="T204" s="104"/>
      <c r="U204" s="105" t="s">
        <v>862</v>
      </c>
      <c r="V204" s="105">
        <v>33040501102</v>
      </c>
      <c r="W204" s="106" t="s">
        <v>863</v>
      </c>
      <c r="X204" s="105"/>
      <c r="Y204" s="105"/>
      <c r="Z204" s="105" t="s">
        <v>36</v>
      </c>
      <c r="AA204" s="110" t="s">
        <v>35</v>
      </c>
      <c r="AB204" s="50">
        <v>845</v>
      </c>
      <c r="AC204" s="50">
        <v>760</v>
      </c>
      <c r="AD204" s="50">
        <v>645</v>
      </c>
      <c r="AE204" s="112" t="s">
        <v>37</v>
      </c>
      <c r="AF204" s="60"/>
      <c r="AG204" s="55"/>
      <c r="AH204" s="55"/>
      <c r="AI204" s="55"/>
      <c r="AJ204" s="55"/>
      <c r="AK204" s="55"/>
      <c r="AL204" s="55"/>
      <c r="AM204" s="55"/>
      <c r="AN204" s="55"/>
      <c r="AO204" s="55"/>
      <c r="AP204" s="55"/>
      <c r="AQ204" s="55"/>
      <c r="AR204" s="55"/>
      <c r="AS204" s="55"/>
      <c r="AT204" s="55"/>
      <c r="AU204" s="55"/>
      <c r="AV204" s="55"/>
      <c r="AW204" s="55"/>
      <c r="AX204" s="55"/>
      <c r="AY204" s="55"/>
      <c r="AZ204" s="55"/>
      <c r="BA204" s="55"/>
      <c r="BB204" s="55"/>
      <c r="BC204" s="55"/>
      <c r="BD204" s="55"/>
      <c r="BE204" s="55"/>
      <c r="BF204" s="55"/>
      <c r="BG204" s="55"/>
      <c r="BH204" s="55"/>
      <c r="BI204" s="55"/>
      <c r="BJ204" s="55"/>
      <c r="BK204" s="55"/>
      <c r="BL204" s="55"/>
      <c r="BM204" s="55"/>
      <c r="BN204" s="55"/>
      <c r="BO204" s="55"/>
      <c r="BP204" s="55"/>
      <c r="BQ204" s="55"/>
      <c r="BR204" s="55"/>
      <c r="BS204" s="55"/>
      <c r="BT204" s="55"/>
      <c r="BU204" s="55"/>
      <c r="BV204" s="55"/>
      <c r="BW204" s="55"/>
      <c r="BX204" s="55"/>
      <c r="BY204" s="55"/>
      <c r="BZ204" s="55"/>
      <c r="CA204" s="55"/>
      <c r="CB204" s="55"/>
      <c r="CC204" s="55"/>
      <c r="CD204" s="55"/>
      <c r="CE204" s="55"/>
      <c r="CF204" s="55"/>
      <c r="CG204" s="55"/>
      <c r="CH204" s="55"/>
      <c r="CI204" s="55"/>
      <c r="CJ204" s="55"/>
      <c r="CK204" s="55"/>
      <c r="CL204" s="55"/>
      <c r="CM204" s="55"/>
      <c r="CN204" s="55"/>
      <c r="CO204" s="55"/>
      <c r="CP204" s="55"/>
      <c r="CQ204" s="55"/>
      <c r="CR204" s="55"/>
      <c r="CS204" s="55"/>
      <c r="CT204" s="55"/>
      <c r="CU204" s="55"/>
      <c r="CV204" s="55"/>
      <c r="CW204" s="55"/>
      <c r="CX204" s="55"/>
      <c r="CY204" s="55"/>
      <c r="CZ204" s="55"/>
      <c r="DA204" s="55"/>
      <c r="DB204" s="55"/>
      <c r="DC204" s="55"/>
      <c r="DD204" s="55"/>
      <c r="DE204" s="55"/>
      <c r="DF204" s="55"/>
      <c r="DG204" s="55"/>
      <c r="DH204" s="55"/>
      <c r="DI204" s="55"/>
      <c r="DJ204" s="55"/>
      <c r="DK204" s="55"/>
      <c r="DL204" s="55"/>
      <c r="DM204" s="55"/>
      <c r="DN204" s="55"/>
      <c r="DO204" s="55"/>
      <c r="DP204" s="55"/>
      <c r="DQ204" s="55"/>
      <c r="DR204" s="55"/>
      <c r="DS204" s="55"/>
      <c r="DT204" s="55"/>
      <c r="DU204" s="55"/>
      <c r="DV204" s="55"/>
      <c r="DW204" s="55"/>
      <c r="DX204" s="55"/>
      <c r="DY204" s="55"/>
      <c r="DZ204" s="55"/>
      <c r="EA204" s="55"/>
      <c r="EB204" s="55"/>
      <c r="EC204" s="55"/>
      <c r="ED204" s="55"/>
      <c r="EE204" s="55"/>
      <c r="EF204" s="55"/>
      <c r="EG204" s="55"/>
      <c r="EH204" s="55"/>
      <c r="EI204" s="55"/>
      <c r="EJ204" s="55"/>
      <c r="EK204" s="55"/>
      <c r="EL204" s="55"/>
      <c r="EM204" s="55"/>
      <c r="EN204" s="55"/>
      <c r="EO204" s="55"/>
      <c r="EP204" s="55"/>
      <c r="EQ204" s="55"/>
      <c r="ER204" s="55"/>
      <c r="ES204" s="55"/>
      <c r="ET204" s="55"/>
      <c r="EU204" s="55"/>
      <c r="EV204" s="55"/>
      <c r="EW204" s="55"/>
      <c r="EX204" s="55"/>
      <c r="EY204" s="55"/>
      <c r="EZ204" s="55"/>
      <c r="FA204" s="55"/>
      <c r="FB204" s="55"/>
      <c r="FC204" s="55"/>
      <c r="FD204" s="55"/>
      <c r="FE204" s="55"/>
      <c r="FF204" s="55"/>
      <c r="FG204" s="55"/>
      <c r="FH204" s="55"/>
      <c r="FI204" s="55"/>
      <c r="FJ204" s="55"/>
      <c r="FK204" s="55"/>
      <c r="FL204" s="55"/>
      <c r="FM204" s="55"/>
      <c r="FN204" s="55"/>
      <c r="FO204" s="55"/>
      <c r="FP204" s="55"/>
      <c r="FQ204" s="55"/>
      <c r="FR204" s="55"/>
      <c r="FS204" s="55"/>
      <c r="FT204" s="55"/>
      <c r="FU204" s="55"/>
      <c r="FV204" s="55"/>
      <c r="FW204" s="55"/>
      <c r="FX204" s="55"/>
      <c r="FY204" s="55"/>
      <c r="FZ204" s="55"/>
      <c r="GA204" s="55"/>
      <c r="GB204" s="55"/>
      <c r="GC204" s="55"/>
      <c r="GD204" s="55"/>
      <c r="GE204" s="55"/>
      <c r="GF204" s="55"/>
      <c r="GG204" s="55"/>
      <c r="GH204" s="55"/>
      <c r="GI204" s="55"/>
      <c r="GJ204" s="55"/>
      <c r="GK204" s="55"/>
      <c r="GL204" s="55"/>
      <c r="GM204" s="55"/>
      <c r="GN204" s="55"/>
      <c r="GO204" s="55"/>
      <c r="GP204" s="55"/>
      <c r="GQ204" s="55"/>
      <c r="GR204" s="55"/>
      <c r="GS204" s="55"/>
      <c r="GT204" s="55"/>
      <c r="GU204" s="55"/>
      <c r="GV204" s="55"/>
      <c r="GW204" s="55"/>
      <c r="GX204" s="55"/>
      <c r="GY204" s="55"/>
      <c r="GZ204" s="55"/>
      <c r="HA204" s="55"/>
      <c r="HB204" s="55"/>
      <c r="HC204" s="55"/>
      <c r="HD204" s="55"/>
      <c r="HE204" s="55"/>
      <c r="HF204" s="55"/>
      <c r="HG204" s="55"/>
      <c r="HH204" s="55"/>
      <c r="HI204" s="55"/>
      <c r="HJ204" s="55"/>
      <c r="HK204" s="55"/>
      <c r="HL204" s="55"/>
      <c r="HM204" s="55"/>
      <c r="HN204" s="55"/>
      <c r="HO204" s="55"/>
      <c r="HP204" s="55"/>
      <c r="HQ204" s="55"/>
      <c r="HR204" s="55"/>
      <c r="HS204" s="55"/>
      <c r="HT204" s="55"/>
      <c r="HU204" s="55"/>
      <c r="HV204" s="55"/>
      <c r="HW204" s="55"/>
      <c r="HX204" s="55"/>
      <c r="HY204" s="55"/>
      <c r="HZ204" s="55"/>
      <c r="IA204" s="55"/>
      <c r="IB204" s="55"/>
      <c r="IC204" s="55"/>
      <c r="ID204" s="55"/>
    </row>
    <row r="205" s="52" customFormat="1" ht="27" customHeight="1" spans="1:238">
      <c r="A205" s="112" t="s">
        <v>95</v>
      </c>
      <c r="B205" s="112" t="s">
        <v>864</v>
      </c>
      <c r="C205" s="64" t="s">
        <v>865</v>
      </c>
      <c r="D205" s="65"/>
      <c r="E205" s="77"/>
      <c r="F205" s="77" t="s">
        <v>35</v>
      </c>
      <c r="G205" s="64" t="s">
        <v>110</v>
      </c>
      <c r="H205" s="78">
        <v>397</v>
      </c>
      <c r="I205" s="78">
        <v>357</v>
      </c>
      <c r="J205" s="83"/>
      <c r="K205" s="83"/>
      <c r="L205" s="83"/>
      <c r="M205" s="41">
        <v>350</v>
      </c>
      <c r="N205" s="41">
        <v>315</v>
      </c>
      <c r="O205" s="41">
        <v>265</v>
      </c>
      <c r="P205" s="64" t="s">
        <v>37</v>
      </c>
      <c r="Q205" s="64" t="s">
        <v>35</v>
      </c>
      <c r="R205" s="64" t="s">
        <v>35</v>
      </c>
      <c r="S205" s="83"/>
      <c r="T205" s="77" t="s">
        <v>186</v>
      </c>
      <c r="U205" s="105" t="s">
        <v>866</v>
      </c>
      <c r="V205" s="105">
        <v>33040501401</v>
      </c>
      <c r="W205" s="106" t="s">
        <v>867</v>
      </c>
      <c r="X205" s="105"/>
      <c r="Y205" s="105"/>
      <c r="Z205" s="105" t="s">
        <v>36</v>
      </c>
      <c r="AA205" s="110" t="s">
        <v>35</v>
      </c>
      <c r="AB205" s="50">
        <v>1755</v>
      </c>
      <c r="AC205" s="50">
        <v>1585</v>
      </c>
      <c r="AD205" s="50">
        <v>1345</v>
      </c>
      <c r="AE205" s="112" t="s">
        <v>37</v>
      </c>
      <c r="AF205" s="60"/>
      <c r="AG205" s="55"/>
      <c r="AH205" s="55"/>
      <c r="AI205" s="55"/>
      <c r="AJ205" s="55"/>
      <c r="AK205" s="55"/>
      <c r="AL205" s="55"/>
      <c r="AM205" s="55"/>
      <c r="AN205" s="55"/>
      <c r="AO205" s="55"/>
      <c r="AP205" s="55"/>
      <c r="AQ205" s="55"/>
      <c r="AR205" s="55"/>
      <c r="AS205" s="55"/>
      <c r="AT205" s="55"/>
      <c r="AU205" s="55"/>
      <c r="AV205" s="55"/>
      <c r="AW205" s="55"/>
      <c r="AX205" s="55"/>
      <c r="AY205" s="55"/>
      <c r="AZ205" s="55"/>
      <c r="BA205" s="55"/>
      <c r="BB205" s="55"/>
      <c r="BC205" s="55"/>
      <c r="BD205" s="55"/>
      <c r="BE205" s="55"/>
      <c r="BF205" s="55"/>
      <c r="BG205" s="55"/>
      <c r="BH205" s="55"/>
      <c r="BI205" s="55"/>
      <c r="BJ205" s="55"/>
      <c r="BK205" s="55"/>
      <c r="BL205" s="55"/>
      <c r="BM205" s="55"/>
      <c r="BN205" s="55"/>
      <c r="BO205" s="55"/>
      <c r="BP205" s="55"/>
      <c r="BQ205" s="55"/>
      <c r="BR205" s="55"/>
      <c r="BS205" s="55"/>
      <c r="BT205" s="55"/>
      <c r="BU205" s="55"/>
      <c r="BV205" s="55"/>
      <c r="BW205" s="55"/>
      <c r="BX205" s="55"/>
      <c r="BY205" s="55"/>
      <c r="BZ205" s="55"/>
      <c r="CA205" s="55"/>
      <c r="CB205" s="55"/>
      <c r="CC205" s="55"/>
      <c r="CD205" s="55"/>
      <c r="CE205" s="55"/>
      <c r="CF205" s="55"/>
      <c r="CG205" s="55"/>
      <c r="CH205" s="55"/>
      <c r="CI205" s="55"/>
      <c r="CJ205" s="55"/>
      <c r="CK205" s="55"/>
      <c r="CL205" s="55"/>
      <c r="CM205" s="55"/>
      <c r="CN205" s="55"/>
      <c r="CO205" s="55"/>
      <c r="CP205" s="55"/>
      <c r="CQ205" s="55"/>
      <c r="CR205" s="55"/>
      <c r="CS205" s="55"/>
      <c r="CT205" s="55"/>
      <c r="CU205" s="55"/>
      <c r="CV205" s="55"/>
      <c r="CW205" s="55"/>
      <c r="CX205" s="55"/>
      <c r="CY205" s="55"/>
      <c r="CZ205" s="55"/>
      <c r="DA205" s="55"/>
      <c r="DB205" s="55"/>
      <c r="DC205" s="55"/>
      <c r="DD205" s="55"/>
      <c r="DE205" s="55"/>
      <c r="DF205" s="55"/>
      <c r="DG205" s="55"/>
      <c r="DH205" s="55"/>
      <c r="DI205" s="55"/>
      <c r="DJ205" s="55"/>
      <c r="DK205" s="55"/>
      <c r="DL205" s="55"/>
      <c r="DM205" s="55"/>
      <c r="DN205" s="55"/>
      <c r="DO205" s="55"/>
      <c r="DP205" s="55"/>
      <c r="DQ205" s="55"/>
      <c r="DR205" s="55"/>
      <c r="DS205" s="55"/>
      <c r="DT205" s="55"/>
      <c r="DU205" s="55"/>
      <c r="DV205" s="55"/>
      <c r="DW205" s="55"/>
      <c r="DX205" s="55"/>
      <c r="DY205" s="55"/>
      <c r="DZ205" s="55"/>
      <c r="EA205" s="55"/>
      <c r="EB205" s="55"/>
      <c r="EC205" s="55"/>
      <c r="ED205" s="55"/>
      <c r="EE205" s="55"/>
      <c r="EF205" s="55"/>
      <c r="EG205" s="55"/>
      <c r="EH205" s="55"/>
      <c r="EI205" s="55"/>
      <c r="EJ205" s="55"/>
      <c r="EK205" s="55"/>
      <c r="EL205" s="55"/>
      <c r="EM205" s="55"/>
      <c r="EN205" s="55"/>
      <c r="EO205" s="55"/>
      <c r="EP205" s="55"/>
      <c r="EQ205" s="55"/>
      <c r="ER205" s="55"/>
      <c r="ES205" s="55"/>
      <c r="ET205" s="55"/>
      <c r="EU205" s="55"/>
      <c r="EV205" s="55"/>
      <c r="EW205" s="55"/>
      <c r="EX205" s="55"/>
      <c r="EY205" s="55"/>
      <c r="EZ205" s="55"/>
      <c r="FA205" s="55"/>
      <c r="FB205" s="55"/>
      <c r="FC205" s="55"/>
      <c r="FD205" s="55"/>
      <c r="FE205" s="55"/>
      <c r="FF205" s="55"/>
      <c r="FG205" s="55"/>
      <c r="FH205" s="55"/>
      <c r="FI205" s="55"/>
      <c r="FJ205" s="55"/>
      <c r="FK205" s="55"/>
      <c r="FL205" s="55"/>
      <c r="FM205" s="55"/>
      <c r="FN205" s="55"/>
      <c r="FO205" s="55"/>
      <c r="FP205" s="55"/>
      <c r="FQ205" s="55"/>
      <c r="FR205" s="55"/>
      <c r="FS205" s="55"/>
      <c r="FT205" s="55"/>
      <c r="FU205" s="55"/>
      <c r="FV205" s="55"/>
      <c r="FW205" s="55"/>
      <c r="FX205" s="55"/>
      <c r="FY205" s="55"/>
      <c r="FZ205" s="55"/>
      <c r="GA205" s="55"/>
      <c r="GB205" s="55"/>
      <c r="GC205" s="55"/>
      <c r="GD205" s="55"/>
      <c r="GE205" s="55"/>
      <c r="GF205" s="55"/>
      <c r="GG205" s="55"/>
      <c r="GH205" s="55"/>
      <c r="GI205" s="55"/>
      <c r="GJ205" s="55"/>
      <c r="GK205" s="55"/>
      <c r="GL205" s="55"/>
      <c r="GM205" s="55"/>
      <c r="GN205" s="55"/>
      <c r="GO205" s="55"/>
      <c r="GP205" s="55"/>
      <c r="GQ205" s="55"/>
      <c r="GR205" s="55"/>
      <c r="GS205" s="55"/>
      <c r="GT205" s="55"/>
      <c r="GU205" s="55"/>
      <c r="GV205" s="55"/>
      <c r="GW205" s="55"/>
      <c r="GX205" s="55"/>
      <c r="GY205" s="55"/>
      <c r="GZ205" s="55"/>
      <c r="HA205" s="55"/>
      <c r="HB205" s="55"/>
      <c r="HC205" s="55"/>
      <c r="HD205" s="55"/>
      <c r="HE205" s="55"/>
      <c r="HF205" s="55"/>
      <c r="HG205" s="55"/>
      <c r="HH205" s="55"/>
      <c r="HI205" s="55"/>
      <c r="HJ205" s="55"/>
      <c r="HK205" s="55"/>
      <c r="HL205" s="55"/>
      <c r="HM205" s="55"/>
      <c r="HN205" s="55"/>
      <c r="HO205" s="55"/>
      <c r="HP205" s="55"/>
      <c r="HQ205" s="55"/>
      <c r="HR205" s="55"/>
      <c r="HS205" s="55"/>
      <c r="HT205" s="55"/>
      <c r="HU205" s="55"/>
      <c r="HV205" s="55"/>
      <c r="HW205" s="55"/>
      <c r="HX205" s="55"/>
      <c r="HY205" s="55"/>
      <c r="HZ205" s="55"/>
      <c r="IA205" s="55"/>
      <c r="IB205" s="55"/>
      <c r="IC205" s="55"/>
      <c r="ID205" s="55"/>
    </row>
    <row r="206" s="52" customFormat="1" ht="27" customHeight="1" spans="1:238">
      <c r="A206" s="112"/>
      <c r="B206" s="112"/>
      <c r="C206" s="64"/>
      <c r="D206" s="65"/>
      <c r="E206" s="77"/>
      <c r="F206" s="77"/>
      <c r="G206" s="64"/>
      <c r="H206" s="42"/>
      <c r="I206" s="42"/>
      <c r="J206" s="83"/>
      <c r="K206" s="83"/>
      <c r="L206" s="83"/>
      <c r="M206" s="41"/>
      <c r="N206" s="41"/>
      <c r="O206" s="41"/>
      <c r="P206" s="64"/>
      <c r="Q206" s="64"/>
      <c r="R206" s="64"/>
      <c r="S206" s="83"/>
      <c r="T206" s="77"/>
      <c r="U206" s="105" t="s">
        <v>868</v>
      </c>
      <c r="V206" s="105">
        <v>33040501103</v>
      </c>
      <c r="W206" s="106" t="s">
        <v>869</v>
      </c>
      <c r="X206" s="105"/>
      <c r="Y206" s="105"/>
      <c r="Z206" s="105" t="s">
        <v>36</v>
      </c>
      <c r="AA206" s="110" t="s">
        <v>35</v>
      </c>
      <c r="AB206" s="50">
        <v>1100</v>
      </c>
      <c r="AC206" s="50">
        <v>990</v>
      </c>
      <c r="AD206" s="50">
        <v>840</v>
      </c>
      <c r="AE206" s="112" t="s">
        <v>37</v>
      </c>
      <c r="AF206" s="60"/>
      <c r="AG206" s="55"/>
      <c r="AH206" s="55"/>
      <c r="AI206" s="55"/>
      <c r="AJ206" s="55"/>
      <c r="AK206" s="55"/>
      <c r="AL206" s="55"/>
      <c r="AM206" s="55"/>
      <c r="AN206" s="55"/>
      <c r="AO206" s="55"/>
      <c r="AP206" s="55"/>
      <c r="AQ206" s="55"/>
      <c r="AR206" s="55"/>
      <c r="AS206" s="55"/>
      <c r="AT206" s="55"/>
      <c r="AU206" s="55"/>
      <c r="AV206" s="55"/>
      <c r="AW206" s="55"/>
      <c r="AX206" s="55"/>
      <c r="AY206" s="55"/>
      <c r="AZ206" s="55"/>
      <c r="BA206" s="55"/>
      <c r="BB206" s="55"/>
      <c r="BC206" s="55"/>
      <c r="BD206" s="55"/>
      <c r="BE206" s="55"/>
      <c r="BF206" s="55"/>
      <c r="BG206" s="55"/>
      <c r="BH206" s="55"/>
      <c r="BI206" s="55"/>
      <c r="BJ206" s="55"/>
      <c r="BK206" s="55"/>
      <c r="BL206" s="55"/>
      <c r="BM206" s="55"/>
      <c r="BN206" s="55"/>
      <c r="BO206" s="55"/>
      <c r="BP206" s="55"/>
      <c r="BQ206" s="55"/>
      <c r="BR206" s="55"/>
      <c r="BS206" s="55"/>
      <c r="BT206" s="55"/>
      <c r="BU206" s="55"/>
      <c r="BV206" s="55"/>
      <c r="BW206" s="55"/>
      <c r="BX206" s="55"/>
      <c r="BY206" s="55"/>
      <c r="BZ206" s="55"/>
      <c r="CA206" s="55"/>
      <c r="CB206" s="55"/>
      <c r="CC206" s="55"/>
      <c r="CD206" s="55"/>
      <c r="CE206" s="55"/>
      <c r="CF206" s="55"/>
      <c r="CG206" s="55"/>
      <c r="CH206" s="55"/>
      <c r="CI206" s="55"/>
      <c r="CJ206" s="55"/>
      <c r="CK206" s="55"/>
      <c r="CL206" s="55"/>
      <c r="CM206" s="55"/>
      <c r="CN206" s="55"/>
      <c r="CO206" s="55"/>
      <c r="CP206" s="55"/>
      <c r="CQ206" s="55"/>
      <c r="CR206" s="55"/>
      <c r="CS206" s="55"/>
      <c r="CT206" s="55"/>
      <c r="CU206" s="55"/>
      <c r="CV206" s="55"/>
      <c r="CW206" s="55"/>
      <c r="CX206" s="55"/>
      <c r="CY206" s="55"/>
      <c r="CZ206" s="55"/>
      <c r="DA206" s="55"/>
      <c r="DB206" s="55"/>
      <c r="DC206" s="55"/>
      <c r="DD206" s="55"/>
      <c r="DE206" s="55"/>
      <c r="DF206" s="55"/>
      <c r="DG206" s="55"/>
      <c r="DH206" s="55"/>
      <c r="DI206" s="55"/>
      <c r="DJ206" s="55"/>
      <c r="DK206" s="55"/>
      <c r="DL206" s="55"/>
      <c r="DM206" s="55"/>
      <c r="DN206" s="55"/>
      <c r="DO206" s="55"/>
      <c r="DP206" s="55"/>
      <c r="DQ206" s="55"/>
      <c r="DR206" s="55"/>
      <c r="DS206" s="55"/>
      <c r="DT206" s="55"/>
      <c r="DU206" s="55"/>
      <c r="DV206" s="55"/>
      <c r="DW206" s="55"/>
      <c r="DX206" s="55"/>
      <c r="DY206" s="55"/>
      <c r="DZ206" s="55"/>
      <c r="EA206" s="55"/>
      <c r="EB206" s="55"/>
      <c r="EC206" s="55"/>
      <c r="ED206" s="55"/>
      <c r="EE206" s="55"/>
      <c r="EF206" s="55"/>
      <c r="EG206" s="55"/>
      <c r="EH206" s="55"/>
      <c r="EI206" s="55"/>
      <c r="EJ206" s="55"/>
      <c r="EK206" s="55"/>
      <c r="EL206" s="55"/>
      <c r="EM206" s="55"/>
      <c r="EN206" s="55"/>
      <c r="EO206" s="55"/>
      <c r="EP206" s="55"/>
      <c r="EQ206" s="55"/>
      <c r="ER206" s="55"/>
      <c r="ES206" s="55"/>
      <c r="ET206" s="55"/>
      <c r="EU206" s="55"/>
      <c r="EV206" s="55"/>
      <c r="EW206" s="55"/>
      <c r="EX206" s="55"/>
      <c r="EY206" s="55"/>
      <c r="EZ206" s="55"/>
      <c r="FA206" s="55"/>
      <c r="FB206" s="55"/>
      <c r="FC206" s="55"/>
      <c r="FD206" s="55"/>
      <c r="FE206" s="55"/>
      <c r="FF206" s="55"/>
      <c r="FG206" s="55"/>
      <c r="FH206" s="55"/>
      <c r="FI206" s="55"/>
      <c r="FJ206" s="55"/>
      <c r="FK206" s="55"/>
      <c r="FL206" s="55"/>
      <c r="FM206" s="55"/>
      <c r="FN206" s="55"/>
      <c r="FO206" s="55"/>
      <c r="FP206" s="55"/>
      <c r="FQ206" s="55"/>
      <c r="FR206" s="55"/>
      <c r="FS206" s="55"/>
      <c r="FT206" s="55"/>
      <c r="FU206" s="55"/>
      <c r="FV206" s="55"/>
      <c r="FW206" s="55"/>
      <c r="FX206" s="55"/>
      <c r="FY206" s="55"/>
      <c r="FZ206" s="55"/>
      <c r="GA206" s="55"/>
      <c r="GB206" s="55"/>
      <c r="GC206" s="55"/>
      <c r="GD206" s="55"/>
      <c r="GE206" s="55"/>
      <c r="GF206" s="55"/>
      <c r="GG206" s="55"/>
      <c r="GH206" s="55"/>
      <c r="GI206" s="55"/>
      <c r="GJ206" s="55"/>
      <c r="GK206" s="55"/>
      <c r="GL206" s="55"/>
      <c r="GM206" s="55"/>
      <c r="GN206" s="55"/>
      <c r="GO206" s="55"/>
      <c r="GP206" s="55"/>
      <c r="GQ206" s="55"/>
      <c r="GR206" s="55"/>
      <c r="GS206" s="55"/>
      <c r="GT206" s="55"/>
      <c r="GU206" s="55"/>
      <c r="GV206" s="55"/>
      <c r="GW206" s="55"/>
      <c r="GX206" s="55"/>
      <c r="GY206" s="55"/>
      <c r="GZ206" s="55"/>
      <c r="HA206" s="55"/>
      <c r="HB206" s="55"/>
      <c r="HC206" s="55"/>
      <c r="HD206" s="55"/>
      <c r="HE206" s="55"/>
      <c r="HF206" s="55"/>
      <c r="HG206" s="55"/>
      <c r="HH206" s="55"/>
      <c r="HI206" s="55"/>
      <c r="HJ206" s="55"/>
      <c r="HK206" s="55"/>
      <c r="HL206" s="55"/>
      <c r="HM206" s="55"/>
      <c r="HN206" s="55"/>
      <c r="HO206" s="55"/>
      <c r="HP206" s="55"/>
      <c r="HQ206" s="55"/>
      <c r="HR206" s="55"/>
      <c r="HS206" s="55"/>
      <c r="HT206" s="55"/>
      <c r="HU206" s="55"/>
      <c r="HV206" s="55"/>
      <c r="HW206" s="55"/>
      <c r="HX206" s="55"/>
      <c r="HY206" s="55"/>
      <c r="HZ206" s="55"/>
      <c r="IA206" s="55"/>
      <c r="IB206" s="55"/>
      <c r="IC206" s="55"/>
      <c r="ID206" s="55"/>
    </row>
    <row r="207" s="52" customFormat="1" ht="72" customHeight="1" spans="1:238">
      <c r="A207" s="112">
        <v>63</v>
      </c>
      <c r="B207" s="112" t="s">
        <v>870</v>
      </c>
      <c r="C207" s="64" t="s">
        <v>871</v>
      </c>
      <c r="D207" s="65" t="s">
        <v>872</v>
      </c>
      <c r="E207" s="77" t="s">
        <v>873</v>
      </c>
      <c r="F207" s="77" t="s">
        <v>35</v>
      </c>
      <c r="G207" s="64" t="s">
        <v>110</v>
      </c>
      <c r="H207" s="78">
        <v>2600</v>
      </c>
      <c r="I207" s="78">
        <v>2340</v>
      </c>
      <c r="J207" s="83"/>
      <c r="K207" s="83"/>
      <c r="L207" s="83"/>
      <c r="M207" s="41">
        <v>2350</v>
      </c>
      <c r="N207" s="41">
        <v>2115</v>
      </c>
      <c r="O207" s="41">
        <v>1800</v>
      </c>
      <c r="P207" s="64" t="s">
        <v>37</v>
      </c>
      <c r="Q207" s="64" t="s">
        <v>874</v>
      </c>
      <c r="R207" s="64" t="s">
        <v>647</v>
      </c>
      <c r="S207" s="83" t="s">
        <v>400</v>
      </c>
      <c r="T207" s="77" t="s">
        <v>648</v>
      </c>
      <c r="U207" s="112"/>
      <c r="V207" s="112"/>
      <c r="W207" s="112"/>
      <c r="X207" s="64"/>
      <c r="Y207" s="112"/>
      <c r="Z207" s="112"/>
      <c r="AA207" s="110"/>
      <c r="AB207" s="50"/>
      <c r="AC207" s="50"/>
      <c r="AD207" s="50"/>
      <c r="AE207" s="112"/>
      <c r="AF207" s="60"/>
      <c r="AG207" s="55"/>
      <c r="AH207" s="55"/>
      <c r="AI207" s="55"/>
      <c r="AJ207" s="55"/>
      <c r="AK207" s="55"/>
      <c r="AL207" s="55"/>
      <c r="AM207" s="55"/>
      <c r="AN207" s="55"/>
      <c r="AO207" s="55"/>
      <c r="AP207" s="55"/>
      <c r="AQ207" s="55"/>
      <c r="AR207" s="55"/>
      <c r="AS207" s="55"/>
      <c r="AT207" s="55"/>
      <c r="AU207" s="55"/>
      <c r="AV207" s="55"/>
      <c r="AW207" s="55"/>
      <c r="AX207" s="55"/>
      <c r="AY207" s="55"/>
      <c r="AZ207" s="55"/>
      <c r="BA207" s="55"/>
      <c r="BB207" s="55"/>
      <c r="BC207" s="55"/>
      <c r="BD207" s="55"/>
      <c r="BE207" s="55"/>
      <c r="BF207" s="55"/>
      <c r="BG207" s="55"/>
      <c r="BH207" s="55"/>
      <c r="BI207" s="55"/>
      <c r="BJ207" s="55"/>
      <c r="BK207" s="55"/>
      <c r="BL207" s="55"/>
      <c r="BM207" s="55"/>
      <c r="BN207" s="55"/>
      <c r="BO207" s="55"/>
      <c r="BP207" s="55"/>
      <c r="BQ207" s="55"/>
      <c r="BR207" s="55"/>
      <c r="BS207" s="55"/>
      <c r="BT207" s="55"/>
      <c r="BU207" s="55"/>
      <c r="BV207" s="55"/>
      <c r="BW207" s="55"/>
      <c r="BX207" s="55"/>
      <c r="BY207" s="55"/>
      <c r="BZ207" s="55"/>
      <c r="CA207" s="55"/>
      <c r="CB207" s="55"/>
      <c r="CC207" s="55"/>
      <c r="CD207" s="55"/>
      <c r="CE207" s="55"/>
      <c r="CF207" s="55"/>
      <c r="CG207" s="55"/>
      <c r="CH207" s="55"/>
      <c r="CI207" s="55"/>
      <c r="CJ207" s="55"/>
      <c r="CK207" s="55"/>
      <c r="CL207" s="55"/>
      <c r="CM207" s="55"/>
      <c r="CN207" s="55"/>
      <c r="CO207" s="55"/>
      <c r="CP207" s="55"/>
      <c r="CQ207" s="55"/>
      <c r="CR207" s="55"/>
      <c r="CS207" s="55"/>
      <c r="CT207" s="55"/>
      <c r="CU207" s="55"/>
      <c r="CV207" s="55"/>
      <c r="CW207" s="55"/>
      <c r="CX207" s="55"/>
      <c r="CY207" s="55"/>
      <c r="CZ207" s="55"/>
      <c r="DA207" s="55"/>
      <c r="DB207" s="55"/>
      <c r="DC207" s="55"/>
      <c r="DD207" s="55"/>
      <c r="DE207" s="55"/>
      <c r="DF207" s="55"/>
      <c r="DG207" s="55"/>
      <c r="DH207" s="55"/>
      <c r="DI207" s="55"/>
      <c r="DJ207" s="55"/>
      <c r="DK207" s="55"/>
      <c r="DL207" s="55"/>
      <c r="DM207" s="55"/>
      <c r="DN207" s="55"/>
      <c r="DO207" s="55"/>
      <c r="DP207" s="55"/>
      <c r="DQ207" s="55"/>
      <c r="DR207" s="55"/>
      <c r="DS207" s="55"/>
      <c r="DT207" s="55"/>
      <c r="DU207" s="55"/>
      <c r="DV207" s="55"/>
      <c r="DW207" s="55"/>
      <c r="DX207" s="55"/>
      <c r="DY207" s="55"/>
      <c r="DZ207" s="55"/>
      <c r="EA207" s="55"/>
      <c r="EB207" s="55"/>
      <c r="EC207" s="55"/>
      <c r="ED207" s="55"/>
      <c r="EE207" s="55"/>
      <c r="EF207" s="55"/>
      <c r="EG207" s="55"/>
      <c r="EH207" s="55"/>
      <c r="EI207" s="55"/>
      <c r="EJ207" s="55"/>
      <c r="EK207" s="55"/>
      <c r="EL207" s="55"/>
      <c r="EM207" s="55"/>
      <c r="EN207" s="55"/>
      <c r="EO207" s="55"/>
      <c r="EP207" s="55"/>
      <c r="EQ207" s="55"/>
      <c r="ER207" s="55"/>
      <c r="ES207" s="55"/>
      <c r="ET207" s="55"/>
      <c r="EU207" s="55"/>
      <c r="EV207" s="55"/>
      <c r="EW207" s="55"/>
      <c r="EX207" s="55"/>
      <c r="EY207" s="55"/>
      <c r="EZ207" s="55"/>
      <c r="FA207" s="55"/>
      <c r="FB207" s="55"/>
      <c r="FC207" s="55"/>
      <c r="FD207" s="55"/>
      <c r="FE207" s="55"/>
      <c r="FF207" s="55"/>
      <c r="FG207" s="55"/>
      <c r="FH207" s="55"/>
      <c r="FI207" s="55"/>
      <c r="FJ207" s="55"/>
      <c r="FK207" s="55"/>
      <c r="FL207" s="55"/>
      <c r="FM207" s="55"/>
      <c r="FN207" s="55"/>
      <c r="FO207" s="55"/>
      <c r="FP207" s="55"/>
      <c r="FQ207" s="55"/>
      <c r="FR207" s="55"/>
      <c r="FS207" s="55"/>
      <c r="FT207" s="55"/>
      <c r="FU207" s="55"/>
      <c r="FV207" s="55"/>
      <c r="FW207" s="55"/>
      <c r="FX207" s="55"/>
      <c r="FY207" s="55"/>
      <c r="FZ207" s="55"/>
      <c r="GA207" s="55"/>
      <c r="GB207" s="55"/>
      <c r="GC207" s="55"/>
      <c r="GD207" s="55"/>
      <c r="GE207" s="55"/>
      <c r="GF207" s="55"/>
      <c r="GG207" s="55"/>
      <c r="GH207" s="55"/>
      <c r="GI207" s="55"/>
      <c r="GJ207" s="55"/>
      <c r="GK207" s="55"/>
      <c r="GL207" s="55"/>
      <c r="GM207" s="55"/>
      <c r="GN207" s="55"/>
      <c r="GO207" s="55"/>
      <c r="GP207" s="55"/>
      <c r="GQ207" s="55"/>
      <c r="GR207" s="55"/>
      <c r="GS207" s="55"/>
      <c r="GT207" s="55"/>
      <c r="GU207" s="55"/>
      <c r="GV207" s="55"/>
      <c r="GW207" s="55"/>
      <c r="GX207" s="55"/>
      <c r="GY207" s="55"/>
      <c r="GZ207" s="55"/>
      <c r="HA207" s="55"/>
      <c r="HB207" s="55"/>
      <c r="HC207" s="55"/>
      <c r="HD207" s="55"/>
      <c r="HE207" s="55"/>
      <c r="HF207" s="55"/>
      <c r="HG207" s="55"/>
      <c r="HH207" s="55"/>
      <c r="HI207" s="55"/>
      <c r="HJ207" s="55"/>
      <c r="HK207" s="55"/>
      <c r="HL207" s="55"/>
      <c r="HM207" s="55"/>
      <c r="HN207" s="55"/>
      <c r="HO207" s="55"/>
      <c r="HP207" s="55"/>
      <c r="HQ207" s="55"/>
      <c r="HR207" s="55"/>
      <c r="HS207" s="55"/>
      <c r="HT207" s="55"/>
      <c r="HU207" s="55"/>
      <c r="HV207" s="55"/>
      <c r="HW207" s="55"/>
      <c r="HX207" s="55"/>
      <c r="HY207" s="55"/>
      <c r="HZ207" s="55"/>
      <c r="IA207" s="55"/>
      <c r="IB207" s="55"/>
      <c r="IC207" s="55"/>
      <c r="ID207" s="55"/>
    </row>
    <row r="208" s="52" customFormat="1" ht="51" spans="1:238">
      <c r="A208" s="112" t="s">
        <v>95</v>
      </c>
      <c r="B208" s="112" t="s">
        <v>875</v>
      </c>
      <c r="C208" s="64" t="s">
        <v>876</v>
      </c>
      <c r="D208" s="65"/>
      <c r="E208" s="77"/>
      <c r="F208" s="77" t="s">
        <v>35</v>
      </c>
      <c r="G208" s="64" t="s">
        <v>110</v>
      </c>
      <c r="H208" s="78">
        <v>780</v>
      </c>
      <c r="I208" s="78">
        <v>702</v>
      </c>
      <c r="J208" s="83"/>
      <c r="K208" s="83"/>
      <c r="L208" s="83"/>
      <c r="M208" s="41">
        <v>705</v>
      </c>
      <c r="N208" s="41">
        <v>635</v>
      </c>
      <c r="O208" s="41">
        <v>540</v>
      </c>
      <c r="P208" s="64" t="s">
        <v>37</v>
      </c>
      <c r="Q208" s="64" t="s">
        <v>874</v>
      </c>
      <c r="R208" s="64" t="s">
        <v>647</v>
      </c>
      <c r="S208" s="83"/>
      <c r="T208" s="77" t="s">
        <v>186</v>
      </c>
      <c r="U208" s="112"/>
      <c r="V208" s="112"/>
      <c r="W208" s="112"/>
      <c r="X208" s="64"/>
      <c r="Y208" s="112"/>
      <c r="Z208" s="112"/>
      <c r="AA208" s="110"/>
      <c r="AB208" s="50"/>
      <c r="AC208" s="50"/>
      <c r="AD208" s="50"/>
      <c r="AE208" s="112"/>
      <c r="AF208" s="60"/>
      <c r="AG208" s="55"/>
      <c r="AH208" s="55"/>
      <c r="AI208" s="55"/>
      <c r="AJ208" s="55"/>
      <c r="AK208" s="55"/>
      <c r="AL208" s="55"/>
      <c r="AM208" s="55"/>
      <c r="AN208" s="55"/>
      <c r="AO208" s="55"/>
      <c r="AP208" s="55"/>
      <c r="AQ208" s="55"/>
      <c r="AR208" s="55"/>
      <c r="AS208" s="55"/>
      <c r="AT208" s="55"/>
      <c r="AU208" s="55"/>
      <c r="AV208" s="55"/>
      <c r="AW208" s="55"/>
      <c r="AX208" s="55"/>
      <c r="AY208" s="55"/>
      <c r="AZ208" s="55"/>
      <c r="BA208" s="55"/>
      <c r="BB208" s="55"/>
      <c r="BC208" s="55"/>
      <c r="BD208" s="55"/>
      <c r="BE208" s="55"/>
      <c r="BF208" s="55"/>
      <c r="BG208" s="55"/>
      <c r="BH208" s="55"/>
      <c r="BI208" s="55"/>
      <c r="BJ208" s="55"/>
      <c r="BK208" s="55"/>
      <c r="BL208" s="55"/>
      <c r="BM208" s="55"/>
      <c r="BN208" s="55"/>
      <c r="BO208" s="55"/>
      <c r="BP208" s="55"/>
      <c r="BQ208" s="55"/>
      <c r="BR208" s="55"/>
      <c r="BS208" s="55"/>
      <c r="BT208" s="55"/>
      <c r="BU208" s="55"/>
      <c r="BV208" s="55"/>
      <c r="BW208" s="55"/>
      <c r="BX208" s="55"/>
      <c r="BY208" s="55"/>
      <c r="BZ208" s="55"/>
      <c r="CA208" s="55"/>
      <c r="CB208" s="55"/>
      <c r="CC208" s="55"/>
      <c r="CD208" s="55"/>
      <c r="CE208" s="55"/>
      <c r="CF208" s="55"/>
      <c r="CG208" s="55"/>
      <c r="CH208" s="55"/>
      <c r="CI208" s="55"/>
      <c r="CJ208" s="55"/>
      <c r="CK208" s="55"/>
      <c r="CL208" s="55"/>
      <c r="CM208" s="55"/>
      <c r="CN208" s="55"/>
      <c r="CO208" s="55"/>
      <c r="CP208" s="55"/>
      <c r="CQ208" s="55"/>
      <c r="CR208" s="55"/>
      <c r="CS208" s="55"/>
      <c r="CT208" s="55"/>
      <c r="CU208" s="55"/>
      <c r="CV208" s="55"/>
      <c r="CW208" s="55"/>
      <c r="CX208" s="55"/>
      <c r="CY208" s="55"/>
      <c r="CZ208" s="55"/>
      <c r="DA208" s="55"/>
      <c r="DB208" s="55"/>
      <c r="DC208" s="55"/>
      <c r="DD208" s="55"/>
      <c r="DE208" s="55"/>
      <c r="DF208" s="55"/>
      <c r="DG208" s="55"/>
      <c r="DH208" s="55"/>
      <c r="DI208" s="55"/>
      <c r="DJ208" s="55"/>
      <c r="DK208" s="55"/>
      <c r="DL208" s="55"/>
      <c r="DM208" s="55"/>
      <c r="DN208" s="55"/>
      <c r="DO208" s="55"/>
      <c r="DP208" s="55"/>
      <c r="DQ208" s="55"/>
      <c r="DR208" s="55"/>
      <c r="DS208" s="55"/>
      <c r="DT208" s="55"/>
      <c r="DU208" s="55"/>
      <c r="DV208" s="55"/>
      <c r="DW208" s="55"/>
      <c r="DX208" s="55"/>
      <c r="DY208" s="55"/>
      <c r="DZ208" s="55"/>
      <c r="EA208" s="55"/>
      <c r="EB208" s="55"/>
      <c r="EC208" s="55"/>
      <c r="ED208" s="55"/>
      <c r="EE208" s="55"/>
      <c r="EF208" s="55"/>
      <c r="EG208" s="55"/>
      <c r="EH208" s="55"/>
      <c r="EI208" s="55"/>
      <c r="EJ208" s="55"/>
      <c r="EK208" s="55"/>
      <c r="EL208" s="55"/>
      <c r="EM208" s="55"/>
      <c r="EN208" s="55"/>
      <c r="EO208" s="55"/>
      <c r="EP208" s="55"/>
      <c r="EQ208" s="55"/>
      <c r="ER208" s="55"/>
      <c r="ES208" s="55"/>
      <c r="ET208" s="55"/>
      <c r="EU208" s="55"/>
      <c r="EV208" s="55"/>
      <c r="EW208" s="55"/>
      <c r="EX208" s="55"/>
      <c r="EY208" s="55"/>
      <c r="EZ208" s="55"/>
      <c r="FA208" s="55"/>
      <c r="FB208" s="55"/>
      <c r="FC208" s="55"/>
      <c r="FD208" s="55"/>
      <c r="FE208" s="55"/>
      <c r="FF208" s="55"/>
      <c r="FG208" s="55"/>
      <c r="FH208" s="55"/>
      <c r="FI208" s="55"/>
      <c r="FJ208" s="55"/>
      <c r="FK208" s="55"/>
      <c r="FL208" s="55"/>
      <c r="FM208" s="55"/>
      <c r="FN208" s="55"/>
      <c r="FO208" s="55"/>
      <c r="FP208" s="55"/>
      <c r="FQ208" s="55"/>
      <c r="FR208" s="55"/>
      <c r="FS208" s="55"/>
      <c r="FT208" s="55"/>
      <c r="FU208" s="55"/>
      <c r="FV208" s="55"/>
      <c r="FW208" s="55"/>
      <c r="FX208" s="55"/>
      <c r="FY208" s="55"/>
      <c r="FZ208" s="55"/>
      <c r="GA208" s="55"/>
      <c r="GB208" s="55"/>
      <c r="GC208" s="55"/>
      <c r="GD208" s="55"/>
      <c r="GE208" s="55"/>
      <c r="GF208" s="55"/>
      <c r="GG208" s="55"/>
      <c r="GH208" s="55"/>
      <c r="GI208" s="55"/>
      <c r="GJ208" s="55"/>
      <c r="GK208" s="55"/>
      <c r="GL208" s="55"/>
      <c r="GM208" s="55"/>
      <c r="GN208" s="55"/>
      <c r="GO208" s="55"/>
      <c r="GP208" s="55"/>
      <c r="GQ208" s="55"/>
      <c r="GR208" s="55"/>
      <c r="GS208" s="55"/>
      <c r="GT208" s="55"/>
      <c r="GU208" s="55"/>
      <c r="GV208" s="55"/>
      <c r="GW208" s="55"/>
      <c r="GX208" s="55"/>
      <c r="GY208" s="55"/>
      <c r="GZ208" s="55"/>
      <c r="HA208" s="55"/>
      <c r="HB208" s="55"/>
      <c r="HC208" s="55"/>
      <c r="HD208" s="55"/>
      <c r="HE208" s="55"/>
      <c r="HF208" s="55"/>
      <c r="HG208" s="55"/>
      <c r="HH208" s="55"/>
      <c r="HI208" s="55"/>
      <c r="HJ208" s="55"/>
      <c r="HK208" s="55"/>
      <c r="HL208" s="55"/>
      <c r="HM208" s="55"/>
      <c r="HN208" s="55"/>
      <c r="HO208" s="55"/>
      <c r="HP208" s="55"/>
      <c r="HQ208" s="55"/>
      <c r="HR208" s="55"/>
      <c r="HS208" s="55"/>
      <c r="HT208" s="55"/>
      <c r="HU208" s="55"/>
      <c r="HV208" s="55"/>
      <c r="HW208" s="55"/>
      <c r="HX208" s="55"/>
      <c r="HY208" s="55"/>
      <c r="HZ208" s="55"/>
      <c r="IA208" s="55"/>
      <c r="IB208" s="55"/>
      <c r="IC208" s="55"/>
      <c r="ID208" s="55"/>
    </row>
    <row r="209" s="52" customFormat="1" ht="25.5" spans="1:238">
      <c r="A209" s="112">
        <v>64</v>
      </c>
      <c r="B209" s="112" t="s">
        <v>877</v>
      </c>
      <c r="C209" s="64" t="s">
        <v>878</v>
      </c>
      <c r="D209" s="65" t="s">
        <v>879</v>
      </c>
      <c r="E209" s="77" t="s">
        <v>880</v>
      </c>
      <c r="F209" s="77" t="s">
        <v>35</v>
      </c>
      <c r="G209" s="64" t="s">
        <v>110</v>
      </c>
      <c r="H209" s="78">
        <v>770</v>
      </c>
      <c r="I209" s="78">
        <v>690</v>
      </c>
      <c r="J209" s="83">
        <v>675</v>
      </c>
      <c r="K209" s="83"/>
      <c r="L209" s="83"/>
      <c r="M209" s="41">
        <v>675</v>
      </c>
      <c r="N209" s="41">
        <v>610</v>
      </c>
      <c r="O209" s="41">
        <v>520</v>
      </c>
      <c r="P209" s="64" t="s">
        <v>37</v>
      </c>
      <c r="Q209" s="64" t="s">
        <v>35</v>
      </c>
      <c r="R209" s="64" t="s">
        <v>35</v>
      </c>
      <c r="S209" s="83" t="s">
        <v>381</v>
      </c>
      <c r="T209" s="77" t="s">
        <v>881</v>
      </c>
      <c r="U209" s="105" t="s">
        <v>882</v>
      </c>
      <c r="V209" s="105">
        <v>330405020</v>
      </c>
      <c r="W209" s="106" t="s">
        <v>883</v>
      </c>
      <c r="X209" s="105"/>
      <c r="Y209" s="105" t="s">
        <v>884</v>
      </c>
      <c r="Z209" s="105" t="s">
        <v>36</v>
      </c>
      <c r="AA209" s="110" t="s">
        <v>35</v>
      </c>
      <c r="AB209" s="50">
        <v>675</v>
      </c>
      <c r="AC209" s="50">
        <v>610</v>
      </c>
      <c r="AD209" s="50">
        <v>520</v>
      </c>
      <c r="AE209" s="112" t="s">
        <v>37</v>
      </c>
      <c r="AF209" s="60"/>
      <c r="AG209" s="55"/>
      <c r="AH209" s="55"/>
      <c r="AI209" s="55"/>
      <c r="AJ209" s="55"/>
      <c r="AK209" s="55"/>
      <c r="AL209" s="55"/>
      <c r="AM209" s="55"/>
      <c r="AN209" s="55"/>
      <c r="AO209" s="55"/>
      <c r="AP209" s="55"/>
      <c r="AQ209" s="55"/>
      <c r="AR209" s="55"/>
      <c r="AS209" s="55"/>
      <c r="AT209" s="55"/>
      <c r="AU209" s="55"/>
      <c r="AV209" s="55"/>
      <c r="AW209" s="55"/>
      <c r="AX209" s="55"/>
      <c r="AY209" s="55"/>
      <c r="AZ209" s="55"/>
      <c r="BA209" s="55"/>
      <c r="BB209" s="55"/>
      <c r="BC209" s="55"/>
      <c r="BD209" s="55"/>
      <c r="BE209" s="55"/>
      <c r="BF209" s="55"/>
      <c r="BG209" s="55"/>
      <c r="BH209" s="55"/>
      <c r="BI209" s="55"/>
      <c r="BJ209" s="55"/>
      <c r="BK209" s="55"/>
      <c r="BL209" s="55"/>
      <c r="BM209" s="55"/>
      <c r="BN209" s="55"/>
      <c r="BO209" s="55"/>
      <c r="BP209" s="55"/>
      <c r="BQ209" s="55"/>
      <c r="BR209" s="55"/>
      <c r="BS209" s="55"/>
      <c r="BT209" s="55"/>
      <c r="BU209" s="55"/>
      <c r="BV209" s="55"/>
      <c r="BW209" s="55"/>
      <c r="BX209" s="55"/>
      <c r="BY209" s="55"/>
      <c r="BZ209" s="55"/>
      <c r="CA209" s="55"/>
      <c r="CB209" s="55"/>
      <c r="CC209" s="55"/>
      <c r="CD209" s="55"/>
      <c r="CE209" s="55"/>
      <c r="CF209" s="55"/>
      <c r="CG209" s="55"/>
      <c r="CH209" s="55"/>
      <c r="CI209" s="55"/>
      <c r="CJ209" s="55"/>
      <c r="CK209" s="55"/>
      <c r="CL209" s="55"/>
      <c r="CM209" s="55"/>
      <c r="CN209" s="55"/>
      <c r="CO209" s="55"/>
      <c r="CP209" s="55"/>
      <c r="CQ209" s="55"/>
      <c r="CR209" s="55"/>
      <c r="CS209" s="55"/>
      <c r="CT209" s="55"/>
      <c r="CU209" s="55"/>
      <c r="CV209" s="55"/>
      <c r="CW209" s="55"/>
      <c r="CX209" s="55"/>
      <c r="CY209" s="55"/>
      <c r="CZ209" s="55"/>
      <c r="DA209" s="55"/>
      <c r="DB209" s="55"/>
      <c r="DC209" s="55"/>
      <c r="DD209" s="55"/>
      <c r="DE209" s="55"/>
      <c r="DF209" s="55"/>
      <c r="DG209" s="55"/>
      <c r="DH209" s="55"/>
      <c r="DI209" s="55"/>
      <c r="DJ209" s="55"/>
      <c r="DK209" s="55"/>
      <c r="DL209" s="55"/>
      <c r="DM209" s="55"/>
      <c r="DN209" s="55"/>
      <c r="DO209" s="55"/>
      <c r="DP209" s="55"/>
      <c r="DQ209" s="55"/>
      <c r="DR209" s="55"/>
      <c r="DS209" s="55"/>
      <c r="DT209" s="55"/>
      <c r="DU209" s="55"/>
      <c r="DV209" s="55"/>
      <c r="DW209" s="55"/>
      <c r="DX209" s="55"/>
      <c r="DY209" s="55"/>
      <c r="DZ209" s="55"/>
      <c r="EA209" s="55"/>
      <c r="EB209" s="55"/>
      <c r="EC209" s="55"/>
      <c r="ED209" s="55"/>
      <c r="EE209" s="55"/>
      <c r="EF209" s="55"/>
      <c r="EG209" s="55"/>
      <c r="EH209" s="55"/>
      <c r="EI209" s="55"/>
      <c r="EJ209" s="55"/>
      <c r="EK209" s="55"/>
      <c r="EL209" s="55"/>
      <c r="EM209" s="55"/>
      <c r="EN209" s="55"/>
      <c r="EO209" s="55"/>
      <c r="EP209" s="55"/>
      <c r="EQ209" s="55"/>
      <c r="ER209" s="55"/>
      <c r="ES209" s="55"/>
      <c r="ET209" s="55"/>
      <c r="EU209" s="55"/>
      <c r="EV209" s="55"/>
      <c r="EW209" s="55"/>
      <c r="EX209" s="55"/>
      <c r="EY209" s="55"/>
      <c r="EZ209" s="55"/>
      <c r="FA209" s="55"/>
      <c r="FB209" s="55"/>
      <c r="FC209" s="55"/>
      <c r="FD209" s="55"/>
      <c r="FE209" s="55"/>
      <c r="FF209" s="55"/>
      <c r="FG209" s="55"/>
      <c r="FH209" s="55"/>
      <c r="FI209" s="55"/>
      <c r="FJ209" s="55"/>
      <c r="FK209" s="55"/>
      <c r="FL209" s="55"/>
      <c r="FM209" s="55"/>
      <c r="FN209" s="55"/>
      <c r="FO209" s="55"/>
      <c r="FP209" s="55"/>
      <c r="FQ209" s="55"/>
      <c r="FR209" s="55"/>
      <c r="FS209" s="55"/>
      <c r="FT209" s="55"/>
      <c r="FU209" s="55"/>
      <c r="FV209" s="55"/>
      <c r="FW209" s="55"/>
      <c r="FX209" s="55"/>
      <c r="FY209" s="55"/>
      <c r="FZ209" s="55"/>
      <c r="GA209" s="55"/>
      <c r="GB209" s="55"/>
      <c r="GC209" s="55"/>
      <c r="GD209" s="55"/>
      <c r="GE209" s="55"/>
      <c r="GF209" s="55"/>
      <c r="GG209" s="55"/>
      <c r="GH209" s="55"/>
      <c r="GI209" s="55"/>
      <c r="GJ209" s="55"/>
      <c r="GK209" s="55"/>
      <c r="GL209" s="55"/>
      <c r="GM209" s="55"/>
      <c r="GN209" s="55"/>
      <c r="GO209" s="55"/>
      <c r="GP209" s="55"/>
      <c r="GQ209" s="55"/>
      <c r="GR209" s="55"/>
      <c r="GS209" s="55"/>
      <c r="GT209" s="55"/>
      <c r="GU209" s="55"/>
      <c r="GV209" s="55"/>
      <c r="GW209" s="55"/>
      <c r="GX209" s="55"/>
      <c r="GY209" s="55"/>
      <c r="GZ209" s="55"/>
      <c r="HA209" s="55"/>
      <c r="HB209" s="55"/>
      <c r="HC209" s="55"/>
      <c r="HD209" s="55"/>
      <c r="HE209" s="55"/>
      <c r="HF209" s="55"/>
      <c r="HG209" s="55"/>
      <c r="HH209" s="55"/>
      <c r="HI209" s="55"/>
      <c r="HJ209" s="55"/>
      <c r="HK209" s="55"/>
      <c r="HL209" s="55"/>
      <c r="HM209" s="55"/>
      <c r="HN209" s="55"/>
      <c r="HO209" s="55"/>
      <c r="HP209" s="55"/>
      <c r="HQ209" s="55"/>
      <c r="HR209" s="55"/>
      <c r="HS209" s="55"/>
      <c r="HT209" s="55"/>
      <c r="HU209" s="55"/>
      <c r="HV209" s="55"/>
      <c r="HW209" s="55"/>
      <c r="HX209" s="55"/>
      <c r="HY209" s="55"/>
      <c r="HZ209" s="55"/>
      <c r="IA209" s="55"/>
      <c r="IB209" s="55"/>
      <c r="IC209" s="55"/>
      <c r="ID209" s="55"/>
    </row>
    <row r="210" s="52" customFormat="1" ht="25.5" spans="1:238">
      <c r="A210" s="112"/>
      <c r="B210" s="112"/>
      <c r="C210" s="64"/>
      <c r="D210" s="65"/>
      <c r="E210" s="77"/>
      <c r="F210" s="77"/>
      <c r="G210" s="64"/>
      <c r="H210" s="42"/>
      <c r="I210" s="42"/>
      <c r="J210" s="83"/>
      <c r="K210" s="83"/>
      <c r="L210" s="83"/>
      <c r="M210" s="41"/>
      <c r="N210" s="41"/>
      <c r="O210" s="41"/>
      <c r="P210" s="64"/>
      <c r="Q210" s="64"/>
      <c r="R210" s="64"/>
      <c r="S210" s="83"/>
      <c r="T210" s="77"/>
      <c r="U210" s="117" t="s">
        <v>885</v>
      </c>
      <c r="V210" s="117">
        <v>330405018</v>
      </c>
      <c r="W210" s="118" t="s">
        <v>886</v>
      </c>
      <c r="X210" s="117"/>
      <c r="Y210" s="117"/>
      <c r="Z210" s="117" t="s">
        <v>36</v>
      </c>
      <c r="AA210" s="120" t="s">
        <v>35</v>
      </c>
      <c r="AB210" s="96">
        <v>625</v>
      </c>
      <c r="AC210" s="96">
        <v>600</v>
      </c>
      <c r="AD210" s="96">
        <v>510</v>
      </c>
      <c r="AE210" s="143" t="s">
        <v>37</v>
      </c>
      <c r="AF210" s="131" t="s">
        <v>887</v>
      </c>
      <c r="AG210" s="55"/>
      <c r="AH210" s="55"/>
      <c r="AI210" s="55"/>
      <c r="AJ210" s="55"/>
      <c r="AK210" s="55"/>
      <c r="AL210" s="55"/>
      <c r="AM210" s="55"/>
      <c r="AN210" s="55"/>
      <c r="AO210" s="55"/>
      <c r="AP210" s="55"/>
      <c r="AQ210" s="55"/>
      <c r="AR210" s="55"/>
      <c r="AS210" s="55"/>
      <c r="AT210" s="55"/>
      <c r="AU210" s="55"/>
      <c r="AV210" s="55"/>
      <c r="AW210" s="55"/>
      <c r="AX210" s="55"/>
      <c r="AY210" s="55"/>
      <c r="AZ210" s="55"/>
      <c r="BA210" s="55"/>
      <c r="BB210" s="55"/>
      <c r="BC210" s="55"/>
      <c r="BD210" s="55"/>
      <c r="BE210" s="55"/>
      <c r="BF210" s="55"/>
      <c r="BG210" s="55"/>
      <c r="BH210" s="55"/>
      <c r="BI210" s="55"/>
      <c r="BJ210" s="55"/>
      <c r="BK210" s="55"/>
      <c r="BL210" s="55"/>
      <c r="BM210" s="55"/>
      <c r="BN210" s="55"/>
      <c r="BO210" s="55"/>
      <c r="BP210" s="55"/>
      <c r="BQ210" s="55"/>
      <c r="BR210" s="55"/>
      <c r="BS210" s="55"/>
      <c r="BT210" s="55"/>
      <c r="BU210" s="55"/>
      <c r="BV210" s="55"/>
      <c r="BW210" s="55"/>
      <c r="BX210" s="55"/>
      <c r="BY210" s="55"/>
      <c r="BZ210" s="55"/>
      <c r="CA210" s="55"/>
      <c r="CB210" s="55"/>
      <c r="CC210" s="55"/>
      <c r="CD210" s="55"/>
      <c r="CE210" s="55"/>
      <c r="CF210" s="55"/>
      <c r="CG210" s="55"/>
      <c r="CH210" s="55"/>
      <c r="CI210" s="55"/>
      <c r="CJ210" s="55"/>
      <c r="CK210" s="55"/>
      <c r="CL210" s="55"/>
      <c r="CM210" s="55"/>
      <c r="CN210" s="55"/>
      <c r="CO210" s="55"/>
      <c r="CP210" s="55"/>
      <c r="CQ210" s="55"/>
      <c r="CR210" s="55"/>
      <c r="CS210" s="55"/>
      <c r="CT210" s="55"/>
      <c r="CU210" s="55"/>
      <c r="CV210" s="55"/>
      <c r="CW210" s="55"/>
      <c r="CX210" s="55"/>
      <c r="CY210" s="55"/>
      <c r="CZ210" s="55"/>
      <c r="DA210" s="55"/>
      <c r="DB210" s="55"/>
      <c r="DC210" s="55"/>
      <c r="DD210" s="55"/>
      <c r="DE210" s="55"/>
      <c r="DF210" s="55"/>
      <c r="DG210" s="55"/>
      <c r="DH210" s="55"/>
      <c r="DI210" s="55"/>
      <c r="DJ210" s="55"/>
      <c r="DK210" s="55"/>
      <c r="DL210" s="55"/>
      <c r="DM210" s="55"/>
      <c r="DN210" s="55"/>
      <c r="DO210" s="55"/>
      <c r="DP210" s="55"/>
      <c r="DQ210" s="55"/>
      <c r="DR210" s="55"/>
      <c r="DS210" s="55"/>
      <c r="DT210" s="55"/>
      <c r="DU210" s="55"/>
      <c r="DV210" s="55"/>
      <c r="DW210" s="55"/>
      <c r="DX210" s="55"/>
      <c r="DY210" s="55"/>
      <c r="DZ210" s="55"/>
      <c r="EA210" s="55"/>
      <c r="EB210" s="55"/>
      <c r="EC210" s="55"/>
      <c r="ED210" s="55"/>
      <c r="EE210" s="55"/>
      <c r="EF210" s="55"/>
      <c r="EG210" s="55"/>
      <c r="EH210" s="55"/>
      <c r="EI210" s="55"/>
      <c r="EJ210" s="55"/>
      <c r="EK210" s="55"/>
      <c r="EL210" s="55"/>
      <c r="EM210" s="55"/>
      <c r="EN210" s="55"/>
      <c r="EO210" s="55"/>
      <c r="EP210" s="55"/>
      <c r="EQ210" s="55"/>
      <c r="ER210" s="55"/>
      <c r="ES210" s="55"/>
      <c r="ET210" s="55"/>
      <c r="EU210" s="55"/>
      <c r="EV210" s="55"/>
      <c r="EW210" s="55"/>
      <c r="EX210" s="55"/>
      <c r="EY210" s="55"/>
      <c r="EZ210" s="55"/>
      <c r="FA210" s="55"/>
      <c r="FB210" s="55"/>
      <c r="FC210" s="55"/>
      <c r="FD210" s="55"/>
      <c r="FE210" s="55"/>
      <c r="FF210" s="55"/>
      <c r="FG210" s="55"/>
      <c r="FH210" s="55"/>
      <c r="FI210" s="55"/>
      <c r="FJ210" s="55"/>
      <c r="FK210" s="55"/>
      <c r="FL210" s="55"/>
      <c r="FM210" s="55"/>
      <c r="FN210" s="55"/>
      <c r="FO210" s="55"/>
      <c r="FP210" s="55"/>
      <c r="FQ210" s="55"/>
      <c r="FR210" s="55"/>
      <c r="FS210" s="55"/>
      <c r="FT210" s="55"/>
      <c r="FU210" s="55"/>
      <c r="FV210" s="55"/>
      <c r="FW210" s="55"/>
      <c r="FX210" s="55"/>
      <c r="FY210" s="55"/>
      <c r="FZ210" s="55"/>
      <c r="GA210" s="55"/>
      <c r="GB210" s="55"/>
      <c r="GC210" s="55"/>
      <c r="GD210" s="55"/>
      <c r="GE210" s="55"/>
      <c r="GF210" s="55"/>
      <c r="GG210" s="55"/>
      <c r="GH210" s="55"/>
      <c r="GI210" s="55"/>
      <c r="GJ210" s="55"/>
      <c r="GK210" s="55"/>
      <c r="GL210" s="55"/>
      <c r="GM210" s="55"/>
      <c r="GN210" s="55"/>
      <c r="GO210" s="55"/>
      <c r="GP210" s="55"/>
      <c r="GQ210" s="55"/>
      <c r="GR210" s="55"/>
      <c r="GS210" s="55"/>
      <c r="GT210" s="55"/>
      <c r="GU210" s="55"/>
      <c r="GV210" s="55"/>
      <c r="GW210" s="55"/>
      <c r="GX210" s="55"/>
      <c r="GY210" s="55"/>
      <c r="GZ210" s="55"/>
      <c r="HA210" s="55"/>
      <c r="HB210" s="55"/>
      <c r="HC210" s="55"/>
      <c r="HD210" s="55"/>
      <c r="HE210" s="55"/>
      <c r="HF210" s="55"/>
      <c r="HG210" s="55"/>
      <c r="HH210" s="55"/>
      <c r="HI210" s="55"/>
      <c r="HJ210" s="55"/>
      <c r="HK210" s="55"/>
      <c r="HL210" s="55"/>
      <c r="HM210" s="55"/>
      <c r="HN210" s="55"/>
      <c r="HO210" s="55"/>
      <c r="HP210" s="55"/>
      <c r="HQ210" s="55"/>
      <c r="HR210" s="55"/>
      <c r="HS210" s="55"/>
      <c r="HT210" s="55"/>
      <c r="HU210" s="55"/>
      <c r="HV210" s="55"/>
      <c r="HW210" s="55"/>
      <c r="HX210" s="55"/>
      <c r="HY210" s="55"/>
      <c r="HZ210" s="55"/>
      <c r="IA210" s="55"/>
      <c r="IB210" s="55"/>
      <c r="IC210" s="55"/>
      <c r="ID210" s="55"/>
    </row>
    <row r="211" s="52" customFormat="1" ht="25.5" spans="1:238">
      <c r="A211" s="112"/>
      <c r="B211" s="112"/>
      <c r="C211" s="64"/>
      <c r="D211" s="65"/>
      <c r="E211" s="77"/>
      <c r="F211" s="77"/>
      <c r="G211" s="64"/>
      <c r="H211" s="42"/>
      <c r="I211" s="42"/>
      <c r="J211" s="83"/>
      <c r="K211" s="83"/>
      <c r="L211" s="83"/>
      <c r="M211" s="41"/>
      <c r="N211" s="41"/>
      <c r="O211" s="41"/>
      <c r="P211" s="64"/>
      <c r="Q211" s="64"/>
      <c r="R211" s="64"/>
      <c r="S211" s="83"/>
      <c r="T211" s="77"/>
      <c r="U211" s="105" t="s">
        <v>888</v>
      </c>
      <c r="V211" s="105">
        <v>330405019</v>
      </c>
      <c r="W211" s="106" t="s">
        <v>889</v>
      </c>
      <c r="X211" s="105"/>
      <c r="Y211" s="105"/>
      <c r="Z211" s="105" t="s">
        <v>36</v>
      </c>
      <c r="AA211" s="110" t="s">
        <v>35</v>
      </c>
      <c r="AB211" s="50">
        <v>500</v>
      </c>
      <c r="AC211" s="50">
        <v>480</v>
      </c>
      <c r="AD211" s="50">
        <v>408</v>
      </c>
      <c r="AE211" s="112" t="s">
        <v>37</v>
      </c>
      <c r="AF211" s="60"/>
      <c r="AG211" s="55"/>
      <c r="AH211" s="55"/>
      <c r="AI211" s="55"/>
      <c r="AJ211" s="55"/>
      <c r="AK211" s="55"/>
      <c r="AL211" s="55"/>
      <c r="AM211" s="55"/>
      <c r="AN211" s="55"/>
      <c r="AO211" s="55"/>
      <c r="AP211" s="55"/>
      <c r="AQ211" s="55"/>
      <c r="AR211" s="55"/>
      <c r="AS211" s="55"/>
      <c r="AT211" s="55"/>
      <c r="AU211" s="55"/>
      <c r="AV211" s="55"/>
      <c r="AW211" s="55"/>
      <c r="AX211" s="55"/>
      <c r="AY211" s="55"/>
      <c r="AZ211" s="55"/>
      <c r="BA211" s="55"/>
      <c r="BB211" s="55"/>
      <c r="BC211" s="55"/>
      <c r="BD211" s="55"/>
      <c r="BE211" s="55"/>
      <c r="BF211" s="55"/>
      <c r="BG211" s="55"/>
      <c r="BH211" s="55"/>
      <c r="BI211" s="55"/>
      <c r="BJ211" s="55"/>
      <c r="BK211" s="55"/>
      <c r="BL211" s="55"/>
      <c r="BM211" s="55"/>
      <c r="BN211" s="55"/>
      <c r="BO211" s="55"/>
      <c r="BP211" s="55"/>
      <c r="BQ211" s="55"/>
      <c r="BR211" s="55"/>
      <c r="BS211" s="55"/>
      <c r="BT211" s="55"/>
      <c r="BU211" s="55"/>
      <c r="BV211" s="55"/>
      <c r="BW211" s="55"/>
      <c r="BX211" s="55"/>
      <c r="BY211" s="55"/>
      <c r="BZ211" s="55"/>
      <c r="CA211" s="55"/>
      <c r="CB211" s="55"/>
      <c r="CC211" s="55"/>
      <c r="CD211" s="55"/>
      <c r="CE211" s="55"/>
      <c r="CF211" s="55"/>
      <c r="CG211" s="55"/>
      <c r="CH211" s="55"/>
      <c r="CI211" s="55"/>
      <c r="CJ211" s="55"/>
      <c r="CK211" s="55"/>
      <c r="CL211" s="55"/>
      <c r="CM211" s="55"/>
      <c r="CN211" s="55"/>
      <c r="CO211" s="55"/>
      <c r="CP211" s="55"/>
      <c r="CQ211" s="55"/>
      <c r="CR211" s="55"/>
      <c r="CS211" s="55"/>
      <c r="CT211" s="55"/>
      <c r="CU211" s="55"/>
      <c r="CV211" s="55"/>
      <c r="CW211" s="55"/>
      <c r="CX211" s="55"/>
      <c r="CY211" s="55"/>
      <c r="CZ211" s="55"/>
      <c r="DA211" s="55"/>
      <c r="DB211" s="55"/>
      <c r="DC211" s="55"/>
      <c r="DD211" s="55"/>
      <c r="DE211" s="55"/>
      <c r="DF211" s="55"/>
      <c r="DG211" s="55"/>
      <c r="DH211" s="55"/>
      <c r="DI211" s="55"/>
      <c r="DJ211" s="55"/>
      <c r="DK211" s="55"/>
      <c r="DL211" s="55"/>
      <c r="DM211" s="55"/>
      <c r="DN211" s="55"/>
      <c r="DO211" s="55"/>
      <c r="DP211" s="55"/>
      <c r="DQ211" s="55"/>
      <c r="DR211" s="55"/>
      <c r="DS211" s="55"/>
      <c r="DT211" s="55"/>
      <c r="DU211" s="55"/>
      <c r="DV211" s="55"/>
      <c r="DW211" s="55"/>
      <c r="DX211" s="55"/>
      <c r="DY211" s="55"/>
      <c r="DZ211" s="55"/>
      <c r="EA211" s="55"/>
      <c r="EB211" s="55"/>
      <c r="EC211" s="55"/>
      <c r="ED211" s="55"/>
      <c r="EE211" s="55"/>
      <c r="EF211" s="55"/>
      <c r="EG211" s="55"/>
      <c r="EH211" s="55"/>
      <c r="EI211" s="55"/>
      <c r="EJ211" s="55"/>
      <c r="EK211" s="55"/>
      <c r="EL211" s="55"/>
      <c r="EM211" s="55"/>
      <c r="EN211" s="55"/>
      <c r="EO211" s="55"/>
      <c r="EP211" s="55"/>
      <c r="EQ211" s="55"/>
      <c r="ER211" s="55"/>
      <c r="ES211" s="55"/>
      <c r="ET211" s="55"/>
      <c r="EU211" s="55"/>
      <c r="EV211" s="55"/>
      <c r="EW211" s="55"/>
      <c r="EX211" s="55"/>
      <c r="EY211" s="55"/>
      <c r="EZ211" s="55"/>
      <c r="FA211" s="55"/>
      <c r="FB211" s="55"/>
      <c r="FC211" s="55"/>
      <c r="FD211" s="55"/>
      <c r="FE211" s="55"/>
      <c r="FF211" s="55"/>
      <c r="FG211" s="55"/>
      <c r="FH211" s="55"/>
      <c r="FI211" s="55"/>
      <c r="FJ211" s="55"/>
      <c r="FK211" s="55"/>
      <c r="FL211" s="55"/>
      <c r="FM211" s="55"/>
      <c r="FN211" s="55"/>
      <c r="FO211" s="55"/>
      <c r="FP211" s="55"/>
      <c r="FQ211" s="55"/>
      <c r="FR211" s="55"/>
      <c r="FS211" s="55"/>
      <c r="FT211" s="55"/>
      <c r="FU211" s="55"/>
      <c r="FV211" s="55"/>
      <c r="FW211" s="55"/>
      <c r="FX211" s="55"/>
      <c r="FY211" s="55"/>
      <c r="FZ211" s="55"/>
      <c r="GA211" s="55"/>
      <c r="GB211" s="55"/>
      <c r="GC211" s="55"/>
      <c r="GD211" s="55"/>
      <c r="GE211" s="55"/>
      <c r="GF211" s="55"/>
      <c r="GG211" s="55"/>
      <c r="GH211" s="55"/>
      <c r="GI211" s="55"/>
      <c r="GJ211" s="55"/>
      <c r="GK211" s="55"/>
      <c r="GL211" s="55"/>
      <c r="GM211" s="55"/>
      <c r="GN211" s="55"/>
      <c r="GO211" s="55"/>
      <c r="GP211" s="55"/>
      <c r="GQ211" s="55"/>
      <c r="GR211" s="55"/>
      <c r="GS211" s="55"/>
      <c r="GT211" s="55"/>
      <c r="GU211" s="55"/>
      <c r="GV211" s="55"/>
      <c r="GW211" s="55"/>
      <c r="GX211" s="55"/>
      <c r="GY211" s="55"/>
      <c r="GZ211" s="55"/>
      <c r="HA211" s="55"/>
      <c r="HB211" s="55"/>
      <c r="HC211" s="55"/>
      <c r="HD211" s="55"/>
      <c r="HE211" s="55"/>
      <c r="HF211" s="55"/>
      <c r="HG211" s="55"/>
      <c r="HH211" s="55"/>
      <c r="HI211" s="55"/>
      <c r="HJ211" s="55"/>
      <c r="HK211" s="55"/>
      <c r="HL211" s="55"/>
      <c r="HM211" s="55"/>
      <c r="HN211" s="55"/>
      <c r="HO211" s="55"/>
      <c r="HP211" s="55"/>
      <c r="HQ211" s="55"/>
      <c r="HR211" s="55"/>
      <c r="HS211" s="55"/>
      <c r="HT211" s="55"/>
      <c r="HU211" s="55"/>
      <c r="HV211" s="55"/>
      <c r="HW211" s="55"/>
      <c r="HX211" s="55"/>
      <c r="HY211" s="55"/>
      <c r="HZ211" s="55"/>
      <c r="IA211" s="55"/>
      <c r="IB211" s="55"/>
      <c r="IC211" s="55"/>
      <c r="ID211" s="55"/>
    </row>
    <row r="212" s="52" customFormat="1" ht="25.5" spans="1:238">
      <c r="A212" s="112" t="s">
        <v>95</v>
      </c>
      <c r="B212" s="112" t="s">
        <v>890</v>
      </c>
      <c r="C212" s="64" t="s">
        <v>891</v>
      </c>
      <c r="D212" s="65"/>
      <c r="E212" s="77"/>
      <c r="F212" s="77" t="s">
        <v>35</v>
      </c>
      <c r="G212" s="64" t="s">
        <v>110</v>
      </c>
      <c r="H212" s="78">
        <v>231</v>
      </c>
      <c r="I212" s="78">
        <v>207</v>
      </c>
      <c r="J212" s="83"/>
      <c r="K212" s="83"/>
      <c r="L212" s="83"/>
      <c r="M212" s="41">
        <v>205</v>
      </c>
      <c r="N212" s="41">
        <v>185</v>
      </c>
      <c r="O212" s="41">
        <v>155</v>
      </c>
      <c r="P212" s="64" t="s">
        <v>37</v>
      </c>
      <c r="Q212" s="64" t="s">
        <v>35</v>
      </c>
      <c r="R212" s="64" t="s">
        <v>35</v>
      </c>
      <c r="S212" s="83"/>
      <c r="T212" s="77"/>
      <c r="U212" s="105" t="s">
        <v>892</v>
      </c>
      <c r="V212" s="105">
        <v>33040502001</v>
      </c>
      <c r="W212" s="106" t="s">
        <v>893</v>
      </c>
      <c r="X212" s="105"/>
      <c r="Y212" s="105"/>
      <c r="Z212" s="105" t="s">
        <v>36</v>
      </c>
      <c r="AA212" s="110" t="s">
        <v>35</v>
      </c>
      <c r="AB212" s="50">
        <v>880</v>
      </c>
      <c r="AC212" s="50">
        <v>795</v>
      </c>
      <c r="AD212" s="50">
        <v>675</v>
      </c>
      <c r="AE212" s="112" t="s">
        <v>37</v>
      </c>
      <c r="AF212" s="60"/>
      <c r="AG212" s="55"/>
      <c r="AH212" s="55"/>
      <c r="AI212" s="55"/>
      <c r="AJ212" s="55"/>
      <c r="AK212" s="55"/>
      <c r="AL212" s="55"/>
      <c r="AM212" s="55"/>
      <c r="AN212" s="55"/>
      <c r="AO212" s="55"/>
      <c r="AP212" s="55"/>
      <c r="AQ212" s="55"/>
      <c r="AR212" s="55"/>
      <c r="AS212" s="55"/>
      <c r="AT212" s="55"/>
      <c r="AU212" s="55"/>
      <c r="AV212" s="55"/>
      <c r="AW212" s="55"/>
      <c r="AX212" s="55"/>
      <c r="AY212" s="55"/>
      <c r="AZ212" s="55"/>
      <c r="BA212" s="55"/>
      <c r="BB212" s="55"/>
      <c r="BC212" s="55"/>
      <c r="BD212" s="55"/>
      <c r="BE212" s="55"/>
      <c r="BF212" s="55"/>
      <c r="BG212" s="55"/>
      <c r="BH212" s="55"/>
      <c r="BI212" s="55"/>
      <c r="BJ212" s="55"/>
      <c r="BK212" s="55"/>
      <c r="BL212" s="55"/>
      <c r="BM212" s="55"/>
      <c r="BN212" s="55"/>
      <c r="BO212" s="55"/>
      <c r="BP212" s="55"/>
      <c r="BQ212" s="55"/>
      <c r="BR212" s="55"/>
      <c r="BS212" s="55"/>
      <c r="BT212" s="55"/>
      <c r="BU212" s="55"/>
      <c r="BV212" s="55"/>
      <c r="BW212" s="55"/>
      <c r="BX212" s="55"/>
      <c r="BY212" s="55"/>
      <c r="BZ212" s="55"/>
      <c r="CA212" s="55"/>
      <c r="CB212" s="55"/>
      <c r="CC212" s="55"/>
      <c r="CD212" s="55"/>
      <c r="CE212" s="55"/>
      <c r="CF212" s="55"/>
      <c r="CG212" s="55"/>
      <c r="CH212" s="55"/>
      <c r="CI212" s="55"/>
      <c r="CJ212" s="55"/>
      <c r="CK212" s="55"/>
      <c r="CL212" s="55"/>
      <c r="CM212" s="55"/>
      <c r="CN212" s="55"/>
      <c r="CO212" s="55"/>
      <c r="CP212" s="55"/>
      <c r="CQ212" s="55"/>
      <c r="CR212" s="55"/>
      <c r="CS212" s="55"/>
      <c r="CT212" s="55"/>
      <c r="CU212" s="55"/>
      <c r="CV212" s="55"/>
      <c r="CW212" s="55"/>
      <c r="CX212" s="55"/>
      <c r="CY212" s="55"/>
      <c r="CZ212" s="55"/>
      <c r="DA212" s="55"/>
      <c r="DB212" s="55"/>
      <c r="DC212" s="55"/>
      <c r="DD212" s="55"/>
      <c r="DE212" s="55"/>
      <c r="DF212" s="55"/>
      <c r="DG212" s="55"/>
      <c r="DH212" s="55"/>
      <c r="DI212" s="55"/>
      <c r="DJ212" s="55"/>
      <c r="DK212" s="55"/>
      <c r="DL212" s="55"/>
      <c r="DM212" s="55"/>
      <c r="DN212" s="55"/>
      <c r="DO212" s="55"/>
      <c r="DP212" s="55"/>
      <c r="DQ212" s="55"/>
      <c r="DR212" s="55"/>
      <c r="DS212" s="55"/>
      <c r="DT212" s="55"/>
      <c r="DU212" s="55"/>
      <c r="DV212" s="55"/>
      <c r="DW212" s="55"/>
      <c r="DX212" s="55"/>
      <c r="DY212" s="55"/>
      <c r="DZ212" s="55"/>
      <c r="EA212" s="55"/>
      <c r="EB212" s="55"/>
      <c r="EC212" s="55"/>
      <c r="ED212" s="55"/>
      <c r="EE212" s="55"/>
      <c r="EF212" s="55"/>
      <c r="EG212" s="55"/>
      <c r="EH212" s="55"/>
      <c r="EI212" s="55"/>
      <c r="EJ212" s="55"/>
      <c r="EK212" s="55"/>
      <c r="EL212" s="55"/>
      <c r="EM212" s="55"/>
      <c r="EN212" s="55"/>
      <c r="EO212" s="55"/>
      <c r="EP212" s="55"/>
      <c r="EQ212" s="55"/>
      <c r="ER212" s="55"/>
      <c r="ES212" s="55"/>
      <c r="ET212" s="55"/>
      <c r="EU212" s="55"/>
      <c r="EV212" s="55"/>
      <c r="EW212" s="55"/>
      <c r="EX212" s="55"/>
      <c r="EY212" s="55"/>
      <c r="EZ212" s="55"/>
      <c r="FA212" s="55"/>
      <c r="FB212" s="55"/>
      <c r="FC212" s="55"/>
      <c r="FD212" s="55"/>
      <c r="FE212" s="55"/>
      <c r="FF212" s="55"/>
      <c r="FG212" s="55"/>
      <c r="FH212" s="55"/>
      <c r="FI212" s="55"/>
      <c r="FJ212" s="55"/>
      <c r="FK212" s="55"/>
      <c r="FL212" s="55"/>
      <c r="FM212" s="55"/>
      <c r="FN212" s="55"/>
      <c r="FO212" s="55"/>
      <c r="FP212" s="55"/>
      <c r="FQ212" s="55"/>
      <c r="FR212" s="55"/>
      <c r="FS212" s="55"/>
      <c r="FT212" s="55"/>
      <c r="FU212" s="55"/>
      <c r="FV212" s="55"/>
      <c r="FW212" s="55"/>
      <c r="FX212" s="55"/>
      <c r="FY212" s="55"/>
      <c r="FZ212" s="55"/>
      <c r="GA212" s="55"/>
      <c r="GB212" s="55"/>
      <c r="GC212" s="55"/>
      <c r="GD212" s="55"/>
      <c r="GE212" s="55"/>
      <c r="GF212" s="55"/>
      <c r="GG212" s="55"/>
      <c r="GH212" s="55"/>
      <c r="GI212" s="55"/>
      <c r="GJ212" s="55"/>
      <c r="GK212" s="55"/>
      <c r="GL212" s="55"/>
      <c r="GM212" s="55"/>
      <c r="GN212" s="55"/>
      <c r="GO212" s="55"/>
      <c r="GP212" s="55"/>
      <c r="GQ212" s="55"/>
      <c r="GR212" s="55"/>
      <c r="GS212" s="55"/>
      <c r="GT212" s="55"/>
      <c r="GU212" s="55"/>
      <c r="GV212" s="55"/>
      <c r="GW212" s="55"/>
      <c r="GX212" s="55"/>
      <c r="GY212" s="55"/>
      <c r="GZ212" s="55"/>
      <c r="HA212" s="55"/>
      <c r="HB212" s="55"/>
      <c r="HC212" s="55"/>
      <c r="HD212" s="55"/>
      <c r="HE212" s="55"/>
      <c r="HF212" s="55"/>
      <c r="HG212" s="55"/>
      <c r="HH212" s="55"/>
      <c r="HI212" s="55"/>
      <c r="HJ212" s="55"/>
      <c r="HK212" s="55"/>
      <c r="HL212" s="55"/>
      <c r="HM212" s="55"/>
      <c r="HN212" s="55"/>
      <c r="HO212" s="55"/>
      <c r="HP212" s="55"/>
      <c r="HQ212" s="55"/>
      <c r="HR212" s="55"/>
      <c r="HS212" s="55"/>
      <c r="HT212" s="55"/>
      <c r="HU212" s="55"/>
      <c r="HV212" s="55"/>
      <c r="HW212" s="55"/>
      <c r="HX212" s="55"/>
      <c r="HY212" s="55"/>
      <c r="HZ212" s="55"/>
      <c r="IA212" s="55"/>
      <c r="IB212" s="55"/>
      <c r="IC212" s="55"/>
      <c r="ID212" s="55"/>
    </row>
    <row r="213" s="52" customFormat="1" ht="25.5" spans="1:238">
      <c r="A213" s="112"/>
      <c r="B213" s="112"/>
      <c r="C213" s="64"/>
      <c r="D213" s="65"/>
      <c r="E213" s="77"/>
      <c r="F213" s="77"/>
      <c r="G213" s="64"/>
      <c r="H213" s="42"/>
      <c r="I213" s="42"/>
      <c r="J213" s="83"/>
      <c r="K213" s="83"/>
      <c r="L213" s="83"/>
      <c r="M213" s="41"/>
      <c r="N213" s="41"/>
      <c r="O213" s="41"/>
      <c r="P213" s="64"/>
      <c r="Q213" s="64"/>
      <c r="R213" s="64"/>
      <c r="S213" s="83"/>
      <c r="T213" s="77"/>
      <c r="U213" s="117" t="s">
        <v>894</v>
      </c>
      <c r="V213" s="117">
        <v>33040501801</v>
      </c>
      <c r="W213" s="118" t="s">
        <v>895</v>
      </c>
      <c r="X213" s="117"/>
      <c r="Y213" s="117"/>
      <c r="Z213" s="117" t="s">
        <v>36</v>
      </c>
      <c r="AA213" s="120" t="s">
        <v>35</v>
      </c>
      <c r="AB213" s="96">
        <v>815</v>
      </c>
      <c r="AC213" s="96">
        <v>780</v>
      </c>
      <c r="AD213" s="96">
        <v>665</v>
      </c>
      <c r="AE213" s="143" t="s">
        <v>37</v>
      </c>
      <c r="AF213" s="131" t="s">
        <v>887</v>
      </c>
      <c r="AG213" s="55"/>
      <c r="AH213" s="55"/>
      <c r="AI213" s="55"/>
      <c r="AJ213" s="55"/>
      <c r="AK213" s="55"/>
      <c r="AL213" s="55"/>
      <c r="AM213" s="55"/>
      <c r="AN213" s="55"/>
      <c r="AO213" s="55"/>
      <c r="AP213" s="55"/>
      <c r="AQ213" s="55"/>
      <c r="AR213" s="55"/>
      <c r="AS213" s="55"/>
      <c r="AT213" s="55"/>
      <c r="AU213" s="55"/>
      <c r="AV213" s="55"/>
      <c r="AW213" s="55"/>
      <c r="AX213" s="55"/>
      <c r="AY213" s="55"/>
      <c r="AZ213" s="55"/>
      <c r="BA213" s="55"/>
      <c r="BB213" s="55"/>
      <c r="BC213" s="55"/>
      <c r="BD213" s="55"/>
      <c r="BE213" s="55"/>
      <c r="BF213" s="55"/>
      <c r="BG213" s="55"/>
      <c r="BH213" s="55"/>
      <c r="BI213" s="55"/>
      <c r="BJ213" s="55"/>
      <c r="BK213" s="55"/>
      <c r="BL213" s="55"/>
      <c r="BM213" s="55"/>
      <c r="BN213" s="55"/>
      <c r="BO213" s="55"/>
      <c r="BP213" s="55"/>
      <c r="BQ213" s="55"/>
      <c r="BR213" s="55"/>
      <c r="BS213" s="55"/>
      <c r="BT213" s="55"/>
      <c r="BU213" s="55"/>
      <c r="BV213" s="55"/>
      <c r="BW213" s="55"/>
      <c r="BX213" s="55"/>
      <c r="BY213" s="55"/>
      <c r="BZ213" s="55"/>
      <c r="CA213" s="55"/>
      <c r="CB213" s="55"/>
      <c r="CC213" s="55"/>
      <c r="CD213" s="55"/>
      <c r="CE213" s="55"/>
      <c r="CF213" s="55"/>
      <c r="CG213" s="55"/>
      <c r="CH213" s="55"/>
      <c r="CI213" s="55"/>
      <c r="CJ213" s="55"/>
      <c r="CK213" s="55"/>
      <c r="CL213" s="55"/>
      <c r="CM213" s="55"/>
      <c r="CN213" s="55"/>
      <c r="CO213" s="55"/>
      <c r="CP213" s="55"/>
      <c r="CQ213" s="55"/>
      <c r="CR213" s="55"/>
      <c r="CS213" s="55"/>
      <c r="CT213" s="55"/>
      <c r="CU213" s="55"/>
      <c r="CV213" s="55"/>
      <c r="CW213" s="55"/>
      <c r="CX213" s="55"/>
      <c r="CY213" s="55"/>
      <c r="CZ213" s="55"/>
      <c r="DA213" s="55"/>
      <c r="DB213" s="55"/>
      <c r="DC213" s="55"/>
      <c r="DD213" s="55"/>
      <c r="DE213" s="55"/>
      <c r="DF213" s="55"/>
      <c r="DG213" s="55"/>
      <c r="DH213" s="55"/>
      <c r="DI213" s="55"/>
      <c r="DJ213" s="55"/>
      <c r="DK213" s="55"/>
      <c r="DL213" s="55"/>
      <c r="DM213" s="55"/>
      <c r="DN213" s="55"/>
      <c r="DO213" s="55"/>
      <c r="DP213" s="55"/>
      <c r="DQ213" s="55"/>
      <c r="DR213" s="55"/>
      <c r="DS213" s="55"/>
      <c r="DT213" s="55"/>
      <c r="DU213" s="55"/>
      <c r="DV213" s="55"/>
      <c r="DW213" s="55"/>
      <c r="DX213" s="55"/>
      <c r="DY213" s="55"/>
      <c r="DZ213" s="55"/>
      <c r="EA213" s="55"/>
      <c r="EB213" s="55"/>
      <c r="EC213" s="55"/>
      <c r="ED213" s="55"/>
      <c r="EE213" s="55"/>
      <c r="EF213" s="55"/>
      <c r="EG213" s="55"/>
      <c r="EH213" s="55"/>
      <c r="EI213" s="55"/>
      <c r="EJ213" s="55"/>
      <c r="EK213" s="55"/>
      <c r="EL213" s="55"/>
      <c r="EM213" s="55"/>
      <c r="EN213" s="55"/>
      <c r="EO213" s="55"/>
      <c r="EP213" s="55"/>
      <c r="EQ213" s="55"/>
      <c r="ER213" s="55"/>
      <c r="ES213" s="55"/>
      <c r="ET213" s="55"/>
      <c r="EU213" s="55"/>
      <c r="EV213" s="55"/>
      <c r="EW213" s="55"/>
      <c r="EX213" s="55"/>
      <c r="EY213" s="55"/>
      <c r="EZ213" s="55"/>
      <c r="FA213" s="55"/>
      <c r="FB213" s="55"/>
      <c r="FC213" s="55"/>
      <c r="FD213" s="55"/>
      <c r="FE213" s="55"/>
      <c r="FF213" s="55"/>
      <c r="FG213" s="55"/>
      <c r="FH213" s="55"/>
      <c r="FI213" s="55"/>
      <c r="FJ213" s="55"/>
      <c r="FK213" s="55"/>
      <c r="FL213" s="55"/>
      <c r="FM213" s="55"/>
      <c r="FN213" s="55"/>
      <c r="FO213" s="55"/>
      <c r="FP213" s="55"/>
      <c r="FQ213" s="55"/>
      <c r="FR213" s="55"/>
      <c r="FS213" s="55"/>
      <c r="FT213" s="55"/>
      <c r="FU213" s="55"/>
      <c r="FV213" s="55"/>
      <c r="FW213" s="55"/>
      <c r="FX213" s="55"/>
      <c r="FY213" s="55"/>
      <c r="FZ213" s="55"/>
      <c r="GA213" s="55"/>
      <c r="GB213" s="55"/>
      <c r="GC213" s="55"/>
      <c r="GD213" s="55"/>
      <c r="GE213" s="55"/>
      <c r="GF213" s="55"/>
      <c r="GG213" s="55"/>
      <c r="GH213" s="55"/>
      <c r="GI213" s="55"/>
      <c r="GJ213" s="55"/>
      <c r="GK213" s="55"/>
      <c r="GL213" s="55"/>
      <c r="GM213" s="55"/>
      <c r="GN213" s="55"/>
      <c r="GO213" s="55"/>
      <c r="GP213" s="55"/>
      <c r="GQ213" s="55"/>
      <c r="GR213" s="55"/>
      <c r="GS213" s="55"/>
      <c r="GT213" s="55"/>
      <c r="GU213" s="55"/>
      <c r="GV213" s="55"/>
      <c r="GW213" s="55"/>
      <c r="GX213" s="55"/>
      <c r="GY213" s="55"/>
      <c r="GZ213" s="55"/>
      <c r="HA213" s="55"/>
      <c r="HB213" s="55"/>
      <c r="HC213" s="55"/>
      <c r="HD213" s="55"/>
      <c r="HE213" s="55"/>
      <c r="HF213" s="55"/>
      <c r="HG213" s="55"/>
      <c r="HH213" s="55"/>
      <c r="HI213" s="55"/>
      <c r="HJ213" s="55"/>
      <c r="HK213" s="55"/>
      <c r="HL213" s="55"/>
      <c r="HM213" s="55"/>
      <c r="HN213" s="55"/>
      <c r="HO213" s="55"/>
      <c r="HP213" s="55"/>
      <c r="HQ213" s="55"/>
      <c r="HR213" s="55"/>
      <c r="HS213" s="55"/>
      <c r="HT213" s="55"/>
      <c r="HU213" s="55"/>
      <c r="HV213" s="55"/>
      <c r="HW213" s="55"/>
      <c r="HX213" s="55"/>
      <c r="HY213" s="55"/>
      <c r="HZ213" s="55"/>
      <c r="IA213" s="55"/>
      <c r="IB213" s="55"/>
      <c r="IC213" s="55"/>
      <c r="ID213" s="55"/>
    </row>
    <row r="214" s="52" customFormat="1" ht="25.5" spans="1:238">
      <c r="A214" s="112"/>
      <c r="B214" s="112"/>
      <c r="C214" s="64"/>
      <c r="D214" s="65"/>
      <c r="E214" s="77"/>
      <c r="F214" s="77"/>
      <c r="G214" s="64"/>
      <c r="H214" s="42"/>
      <c r="I214" s="42"/>
      <c r="J214" s="83"/>
      <c r="K214" s="83"/>
      <c r="L214" s="83"/>
      <c r="M214" s="41"/>
      <c r="N214" s="41"/>
      <c r="O214" s="41"/>
      <c r="P214" s="64"/>
      <c r="Q214" s="64"/>
      <c r="R214" s="64"/>
      <c r="S214" s="83"/>
      <c r="T214" s="77"/>
      <c r="U214" s="105" t="s">
        <v>896</v>
      </c>
      <c r="V214" s="105">
        <v>33040501901</v>
      </c>
      <c r="W214" s="106" t="s">
        <v>897</v>
      </c>
      <c r="X214" s="105"/>
      <c r="Y214" s="105"/>
      <c r="Z214" s="105" t="s">
        <v>36</v>
      </c>
      <c r="AA214" s="110" t="s">
        <v>35</v>
      </c>
      <c r="AB214" s="50">
        <v>650</v>
      </c>
      <c r="AC214" s="50">
        <v>625</v>
      </c>
      <c r="AD214" s="50">
        <v>530</v>
      </c>
      <c r="AE214" s="112" t="s">
        <v>37</v>
      </c>
      <c r="AF214" s="60"/>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55"/>
      <c r="CT214" s="55"/>
      <c r="CU214" s="55"/>
      <c r="CV214" s="55"/>
      <c r="CW214" s="55"/>
      <c r="CX214" s="55"/>
      <c r="CY214" s="55"/>
      <c r="CZ214" s="55"/>
      <c r="DA214" s="55"/>
      <c r="DB214" s="55"/>
      <c r="DC214" s="55"/>
      <c r="DD214" s="55"/>
      <c r="DE214" s="55"/>
      <c r="DF214" s="55"/>
      <c r="DG214" s="55"/>
      <c r="DH214" s="55"/>
      <c r="DI214" s="55"/>
      <c r="DJ214" s="55"/>
      <c r="DK214" s="55"/>
      <c r="DL214" s="55"/>
      <c r="DM214" s="55"/>
      <c r="DN214" s="55"/>
      <c r="DO214" s="55"/>
      <c r="DP214" s="55"/>
      <c r="DQ214" s="55"/>
      <c r="DR214" s="55"/>
      <c r="DS214" s="55"/>
      <c r="DT214" s="55"/>
      <c r="DU214" s="55"/>
      <c r="DV214" s="55"/>
      <c r="DW214" s="55"/>
      <c r="DX214" s="55"/>
      <c r="DY214" s="55"/>
      <c r="DZ214" s="55"/>
      <c r="EA214" s="55"/>
      <c r="EB214" s="55"/>
      <c r="EC214" s="55"/>
      <c r="ED214" s="55"/>
      <c r="EE214" s="55"/>
      <c r="EF214" s="55"/>
      <c r="EG214" s="55"/>
      <c r="EH214" s="55"/>
      <c r="EI214" s="55"/>
      <c r="EJ214" s="55"/>
      <c r="EK214" s="55"/>
      <c r="EL214" s="55"/>
      <c r="EM214" s="55"/>
      <c r="EN214" s="55"/>
      <c r="EO214" s="55"/>
      <c r="EP214" s="55"/>
      <c r="EQ214" s="55"/>
      <c r="ER214" s="55"/>
      <c r="ES214" s="55"/>
      <c r="ET214" s="55"/>
      <c r="EU214" s="55"/>
      <c r="EV214" s="55"/>
      <c r="EW214" s="55"/>
      <c r="EX214" s="55"/>
      <c r="EY214" s="55"/>
      <c r="EZ214" s="55"/>
      <c r="FA214" s="55"/>
      <c r="FB214" s="55"/>
      <c r="FC214" s="55"/>
      <c r="FD214" s="55"/>
      <c r="FE214" s="55"/>
      <c r="FF214" s="55"/>
      <c r="FG214" s="55"/>
      <c r="FH214" s="55"/>
      <c r="FI214" s="55"/>
      <c r="FJ214" s="55"/>
      <c r="FK214" s="55"/>
      <c r="FL214" s="55"/>
      <c r="FM214" s="55"/>
      <c r="FN214" s="55"/>
      <c r="FO214" s="55"/>
      <c r="FP214" s="55"/>
      <c r="FQ214" s="55"/>
      <c r="FR214" s="55"/>
      <c r="FS214" s="55"/>
      <c r="FT214" s="55"/>
      <c r="FU214" s="55"/>
      <c r="FV214" s="55"/>
      <c r="FW214" s="55"/>
      <c r="FX214" s="55"/>
      <c r="FY214" s="55"/>
      <c r="FZ214" s="55"/>
      <c r="GA214" s="55"/>
      <c r="GB214" s="55"/>
      <c r="GC214" s="55"/>
      <c r="GD214" s="55"/>
      <c r="GE214" s="55"/>
      <c r="GF214" s="55"/>
      <c r="GG214" s="55"/>
      <c r="GH214" s="55"/>
      <c r="GI214" s="55"/>
      <c r="GJ214" s="55"/>
      <c r="GK214" s="55"/>
      <c r="GL214" s="55"/>
      <c r="GM214" s="55"/>
      <c r="GN214" s="55"/>
      <c r="GO214" s="55"/>
      <c r="GP214" s="55"/>
      <c r="GQ214" s="55"/>
      <c r="GR214" s="55"/>
      <c r="GS214" s="55"/>
      <c r="GT214" s="55"/>
      <c r="GU214" s="55"/>
      <c r="GV214" s="55"/>
      <c r="GW214" s="55"/>
      <c r="GX214" s="55"/>
      <c r="GY214" s="55"/>
      <c r="GZ214" s="55"/>
      <c r="HA214" s="55"/>
      <c r="HB214" s="55"/>
      <c r="HC214" s="55"/>
      <c r="HD214" s="55"/>
      <c r="HE214" s="55"/>
      <c r="HF214" s="55"/>
      <c r="HG214" s="55"/>
      <c r="HH214" s="55"/>
      <c r="HI214" s="55"/>
      <c r="HJ214" s="55"/>
      <c r="HK214" s="55"/>
      <c r="HL214" s="55"/>
      <c r="HM214" s="55"/>
      <c r="HN214" s="55"/>
      <c r="HO214" s="55"/>
      <c r="HP214" s="55"/>
      <c r="HQ214" s="55"/>
      <c r="HR214" s="55"/>
      <c r="HS214" s="55"/>
      <c r="HT214" s="55"/>
      <c r="HU214" s="55"/>
      <c r="HV214" s="55"/>
      <c r="HW214" s="55"/>
      <c r="HX214" s="55"/>
      <c r="HY214" s="55"/>
      <c r="HZ214" s="55"/>
      <c r="IA214" s="55"/>
      <c r="IB214" s="55"/>
      <c r="IC214" s="55"/>
      <c r="ID214" s="55"/>
    </row>
    <row r="215" s="52" customFormat="1" ht="76" customHeight="1" spans="1:238">
      <c r="A215" s="64">
        <v>65</v>
      </c>
      <c r="B215" s="64" t="s">
        <v>898</v>
      </c>
      <c r="C215" s="64" t="s">
        <v>899</v>
      </c>
      <c r="D215" s="65" t="s">
        <v>900</v>
      </c>
      <c r="E215" s="77" t="s">
        <v>901</v>
      </c>
      <c r="F215" s="77" t="s">
        <v>35</v>
      </c>
      <c r="G215" s="64" t="s">
        <v>110</v>
      </c>
      <c r="H215" s="78">
        <v>1540</v>
      </c>
      <c r="I215" s="78">
        <v>1386</v>
      </c>
      <c r="J215" s="83">
        <v>1350</v>
      </c>
      <c r="K215" s="83">
        <v>1220</v>
      </c>
      <c r="L215" s="83">
        <v>1040</v>
      </c>
      <c r="M215" s="41">
        <v>1350</v>
      </c>
      <c r="N215" s="41">
        <v>1220</v>
      </c>
      <c r="O215" s="41">
        <v>1040</v>
      </c>
      <c r="P215" s="64" t="s">
        <v>37</v>
      </c>
      <c r="Q215" s="64" t="s">
        <v>35</v>
      </c>
      <c r="R215" s="64" t="s">
        <v>35</v>
      </c>
      <c r="S215" s="83" t="s">
        <v>381</v>
      </c>
      <c r="T215" s="77" t="s">
        <v>381</v>
      </c>
      <c r="U215" s="105" t="s">
        <v>902</v>
      </c>
      <c r="V215" s="105">
        <v>330405017</v>
      </c>
      <c r="W215" s="106" t="s">
        <v>903</v>
      </c>
      <c r="X215" s="105"/>
      <c r="Y215" s="105" t="s">
        <v>904</v>
      </c>
      <c r="Z215" s="105" t="s">
        <v>36</v>
      </c>
      <c r="AA215" s="110" t="s">
        <v>35</v>
      </c>
      <c r="AB215" s="50">
        <v>1350</v>
      </c>
      <c r="AC215" s="50">
        <v>1220</v>
      </c>
      <c r="AD215" s="50">
        <v>1040</v>
      </c>
      <c r="AE215" s="112" t="s">
        <v>37</v>
      </c>
      <c r="AF215" s="60"/>
      <c r="AG215" s="55"/>
      <c r="AH215" s="55"/>
      <c r="AI215" s="55"/>
      <c r="AJ215" s="55"/>
      <c r="AK215" s="55"/>
      <c r="AL215" s="55"/>
      <c r="AM215" s="55"/>
      <c r="AN215" s="55"/>
      <c r="AO215" s="55"/>
      <c r="AP215" s="55"/>
      <c r="AQ215" s="55"/>
      <c r="AR215" s="55"/>
      <c r="AS215" s="55"/>
      <c r="AT215" s="55"/>
      <c r="AU215" s="55"/>
      <c r="AV215" s="55"/>
      <c r="AW215" s="55"/>
      <c r="AX215" s="55"/>
      <c r="AY215" s="55"/>
      <c r="AZ215" s="55"/>
      <c r="BA215" s="55"/>
      <c r="BB215" s="55"/>
      <c r="BC215" s="55"/>
      <c r="BD215" s="55"/>
      <c r="BE215" s="55"/>
      <c r="BF215" s="55"/>
      <c r="BG215" s="55"/>
      <c r="BH215" s="55"/>
      <c r="BI215" s="55"/>
      <c r="BJ215" s="55"/>
      <c r="BK215" s="55"/>
      <c r="BL215" s="55"/>
      <c r="BM215" s="55"/>
      <c r="BN215" s="55"/>
      <c r="BO215" s="55"/>
      <c r="BP215" s="55"/>
      <c r="BQ215" s="55"/>
      <c r="BR215" s="55"/>
      <c r="BS215" s="55"/>
      <c r="BT215" s="55"/>
      <c r="BU215" s="55"/>
      <c r="BV215" s="55"/>
      <c r="BW215" s="55"/>
      <c r="BX215" s="55"/>
      <c r="BY215" s="55"/>
      <c r="BZ215" s="55"/>
      <c r="CA215" s="55"/>
      <c r="CB215" s="55"/>
      <c r="CC215" s="55"/>
      <c r="CD215" s="55"/>
      <c r="CE215" s="55"/>
      <c r="CF215" s="55"/>
      <c r="CG215" s="55"/>
      <c r="CH215" s="55"/>
      <c r="CI215" s="55"/>
      <c r="CJ215" s="55"/>
      <c r="CK215" s="55"/>
      <c r="CL215" s="55"/>
      <c r="CM215" s="55"/>
      <c r="CN215" s="55"/>
      <c r="CO215" s="55"/>
      <c r="CP215" s="55"/>
      <c r="CQ215" s="55"/>
      <c r="CR215" s="55"/>
      <c r="CS215" s="55"/>
      <c r="CT215" s="55"/>
      <c r="CU215" s="55"/>
      <c r="CV215" s="55"/>
      <c r="CW215" s="55"/>
      <c r="CX215" s="55"/>
      <c r="CY215" s="55"/>
      <c r="CZ215" s="55"/>
      <c r="DA215" s="55"/>
      <c r="DB215" s="55"/>
      <c r="DC215" s="55"/>
      <c r="DD215" s="55"/>
      <c r="DE215" s="55"/>
      <c r="DF215" s="55"/>
      <c r="DG215" s="55"/>
      <c r="DH215" s="55"/>
      <c r="DI215" s="55"/>
      <c r="DJ215" s="55"/>
      <c r="DK215" s="55"/>
      <c r="DL215" s="55"/>
      <c r="DM215" s="55"/>
      <c r="DN215" s="55"/>
      <c r="DO215" s="55"/>
      <c r="DP215" s="55"/>
      <c r="DQ215" s="55"/>
      <c r="DR215" s="55"/>
      <c r="DS215" s="55"/>
      <c r="DT215" s="55"/>
      <c r="DU215" s="55"/>
      <c r="DV215" s="55"/>
      <c r="DW215" s="55"/>
      <c r="DX215" s="55"/>
      <c r="DY215" s="55"/>
      <c r="DZ215" s="55"/>
      <c r="EA215" s="55"/>
      <c r="EB215" s="55"/>
      <c r="EC215" s="55"/>
      <c r="ED215" s="55"/>
      <c r="EE215" s="55"/>
      <c r="EF215" s="55"/>
      <c r="EG215" s="55"/>
      <c r="EH215" s="55"/>
      <c r="EI215" s="55"/>
      <c r="EJ215" s="55"/>
      <c r="EK215" s="55"/>
      <c r="EL215" s="55"/>
      <c r="EM215" s="55"/>
      <c r="EN215" s="55"/>
      <c r="EO215" s="55"/>
      <c r="EP215" s="55"/>
      <c r="EQ215" s="55"/>
      <c r="ER215" s="55"/>
      <c r="ES215" s="55"/>
      <c r="ET215" s="55"/>
      <c r="EU215" s="55"/>
      <c r="EV215" s="55"/>
      <c r="EW215" s="55"/>
      <c r="EX215" s="55"/>
      <c r="EY215" s="55"/>
      <c r="EZ215" s="55"/>
      <c r="FA215" s="55"/>
      <c r="FB215" s="55"/>
      <c r="FC215" s="55"/>
      <c r="FD215" s="55"/>
      <c r="FE215" s="55"/>
      <c r="FF215" s="55"/>
      <c r="FG215" s="55"/>
      <c r="FH215" s="55"/>
      <c r="FI215" s="55"/>
      <c r="FJ215" s="55"/>
      <c r="FK215" s="55"/>
      <c r="FL215" s="55"/>
      <c r="FM215" s="55"/>
      <c r="FN215" s="55"/>
      <c r="FO215" s="55"/>
      <c r="FP215" s="55"/>
      <c r="FQ215" s="55"/>
      <c r="FR215" s="55"/>
      <c r="FS215" s="55"/>
      <c r="FT215" s="55"/>
      <c r="FU215" s="55"/>
      <c r="FV215" s="55"/>
      <c r="FW215" s="55"/>
      <c r="FX215" s="55"/>
      <c r="FY215" s="55"/>
      <c r="FZ215" s="55"/>
      <c r="GA215" s="55"/>
      <c r="GB215" s="55"/>
      <c r="GC215" s="55"/>
      <c r="GD215" s="55"/>
      <c r="GE215" s="55"/>
      <c r="GF215" s="55"/>
      <c r="GG215" s="55"/>
      <c r="GH215" s="55"/>
      <c r="GI215" s="55"/>
      <c r="GJ215" s="55"/>
      <c r="GK215" s="55"/>
      <c r="GL215" s="55"/>
      <c r="GM215" s="55"/>
      <c r="GN215" s="55"/>
      <c r="GO215" s="55"/>
      <c r="GP215" s="55"/>
      <c r="GQ215" s="55"/>
      <c r="GR215" s="55"/>
      <c r="GS215" s="55"/>
      <c r="GT215" s="55"/>
      <c r="GU215" s="55"/>
      <c r="GV215" s="55"/>
      <c r="GW215" s="55"/>
      <c r="GX215" s="55"/>
      <c r="GY215" s="55"/>
      <c r="GZ215" s="55"/>
      <c r="HA215" s="55"/>
      <c r="HB215" s="55"/>
      <c r="HC215" s="55"/>
      <c r="HD215" s="55"/>
      <c r="HE215" s="55"/>
      <c r="HF215" s="55"/>
      <c r="HG215" s="55"/>
      <c r="HH215" s="55"/>
      <c r="HI215" s="55"/>
      <c r="HJ215" s="55"/>
      <c r="HK215" s="55"/>
      <c r="HL215" s="55"/>
      <c r="HM215" s="55"/>
      <c r="HN215" s="55"/>
      <c r="HO215" s="55"/>
      <c r="HP215" s="55"/>
      <c r="HQ215" s="55"/>
      <c r="HR215" s="55"/>
      <c r="HS215" s="55"/>
      <c r="HT215" s="55"/>
      <c r="HU215" s="55"/>
      <c r="HV215" s="55"/>
      <c r="HW215" s="55"/>
      <c r="HX215" s="55"/>
      <c r="HY215" s="55"/>
      <c r="HZ215" s="55"/>
      <c r="IA215" s="55"/>
      <c r="IB215" s="55"/>
      <c r="IC215" s="55"/>
      <c r="ID215" s="55"/>
    </row>
    <row r="216" s="52" customFormat="1" ht="34" customHeight="1" spans="1:238">
      <c r="A216" s="112" t="s">
        <v>95</v>
      </c>
      <c r="B216" s="112" t="s">
        <v>905</v>
      </c>
      <c r="C216" s="64" t="s">
        <v>906</v>
      </c>
      <c r="D216" s="65"/>
      <c r="E216" s="77"/>
      <c r="F216" s="77" t="s">
        <v>35</v>
      </c>
      <c r="G216" s="64" t="s">
        <v>110</v>
      </c>
      <c r="H216" s="78">
        <v>462</v>
      </c>
      <c r="I216" s="78">
        <v>416</v>
      </c>
      <c r="J216" s="83">
        <v>405</v>
      </c>
      <c r="K216" s="83">
        <v>365</v>
      </c>
      <c r="L216" s="83">
        <v>305</v>
      </c>
      <c r="M216" s="41">
        <v>405</v>
      </c>
      <c r="N216" s="41">
        <v>365</v>
      </c>
      <c r="O216" s="41">
        <v>310</v>
      </c>
      <c r="P216" s="64" t="s">
        <v>37</v>
      </c>
      <c r="Q216" s="64" t="s">
        <v>35</v>
      </c>
      <c r="R216" s="64" t="s">
        <v>35</v>
      </c>
      <c r="S216" s="83"/>
      <c r="T216" s="77" t="s">
        <v>186</v>
      </c>
      <c r="U216" s="105" t="s">
        <v>907</v>
      </c>
      <c r="V216" s="105">
        <v>33040501701</v>
      </c>
      <c r="W216" s="106" t="s">
        <v>908</v>
      </c>
      <c r="X216" s="105"/>
      <c r="Y216" s="105"/>
      <c r="Z216" s="105" t="s">
        <v>36</v>
      </c>
      <c r="AA216" s="110" t="s">
        <v>35</v>
      </c>
      <c r="AB216" s="50">
        <v>1755</v>
      </c>
      <c r="AC216" s="50">
        <v>1585</v>
      </c>
      <c r="AD216" s="50">
        <v>1345</v>
      </c>
      <c r="AE216" s="112" t="s">
        <v>37</v>
      </c>
      <c r="AF216" s="60"/>
      <c r="AG216" s="55"/>
      <c r="AH216" s="55"/>
      <c r="AI216" s="55"/>
      <c r="AJ216" s="55"/>
      <c r="AK216" s="55"/>
      <c r="AL216" s="55"/>
      <c r="AM216" s="55"/>
      <c r="AN216" s="55"/>
      <c r="AO216" s="55"/>
      <c r="AP216" s="55"/>
      <c r="AQ216" s="55"/>
      <c r="AR216" s="55"/>
      <c r="AS216" s="55"/>
      <c r="AT216" s="55"/>
      <c r="AU216" s="55"/>
      <c r="AV216" s="55"/>
      <c r="AW216" s="55"/>
      <c r="AX216" s="55"/>
      <c r="AY216" s="55"/>
      <c r="AZ216" s="55"/>
      <c r="BA216" s="55"/>
      <c r="BB216" s="55"/>
      <c r="BC216" s="55"/>
      <c r="BD216" s="55"/>
      <c r="BE216" s="55"/>
      <c r="BF216" s="55"/>
      <c r="BG216" s="55"/>
      <c r="BH216" s="55"/>
      <c r="BI216" s="55"/>
      <c r="BJ216" s="55"/>
      <c r="BK216" s="55"/>
      <c r="BL216" s="55"/>
      <c r="BM216" s="55"/>
      <c r="BN216" s="55"/>
      <c r="BO216" s="55"/>
      <c r="BP216" s="55"/>
      <c r="BQ216" s="55"/>
      <c r="BR216" s="55"/>
      <c r="BS216" s="55"/>
      <c r="BT216" s="55"/>
      <c r="BU216" s="55"/>
      <c r="BV216" s="55"/>
      <c r="BW216" s="55"/>
      <c r="BX216" s="55"/>
      <c r="BY216" s="55"/>
      <c r="BZ216" s="55"/>
      <c r="CA216" s="55"/>
      <c r="CB216" s="55"/>
      <c r="CC216" s="55"/>
      <c r="CD216" s="55"/>
      <c r="CE216" s="55"/>
      <c r="CF216" s="55"/>
      <c r="CG216" s="55"/>
      <c r="CH216" s="55"/>
      <c r="CI216" s="55"/>
      <c r="CJ216" s="55"/>
      <c r="CK216" s="55"/>
      <c r="CL216" s="55"/>
      <c r="CM216" s="55"/>
      <c r="CN216" s="55"/>
      <c r="CO216" s="55"/>
      <c r="CP216" s="55"/>
      <c r="CQ216" s="55"/>
      <c r="CR216" s="55"/>
      <c r="CS216" s="55"/>
      <c r="CT216" s="55"/>
      <c r="CU216" s="55"/>
      <c r="CV216" s="55"/>
      <c r="CW216" s="55"/>
      <c r="CX216" s="55"/>
      <c r="CY216" s="55"/>
      <c r="CZ216" s="55"/>
      <c r="DA216" s="55"/>
      <c r="DB216" s="55"/>
      <c r="DC216" s="55"/>
      <c r="DD216" s="55"/>
      <c r="DE216" s="55"/>
      <c r="DF216" s="55"/>
      <c r="DG216" s="55"/>
      <c r="DH216" s="55"/>
      <c r="DI216" s="55"/>
      <c r="DJ216" s="55"/>
      <c r="DK216" s="55"/>
      <c r="DL216" s="55"/>
      <c r="DM216" s="55"/>
      <c r="DN216" s="55"/>
      <c r="DO216" s="55"/>
      <c r="DP216" s="55"/>
      <c r="DQ216" s="55"/>
      <c r="DR216" s="55"/>
      <c r="DS216" s="55"/>
      <c r="DT216" s="55"/>
      <c r="DU216" s="55"/>
      <c r="DV216" s="55"/>
      <c r="DW216" s="55"/>
      <c r="DX216" s="55"/>
      <c r="DY216" s="55"/>
      <c r="DZ216" s="55"/>
      <c r="EA216" s="55"/>
      <c r="EB216" s="55"/>
      <c r="EC216" s="55"/>
      <c r="ED216" s="55"/>
      <c r="EE216" s="55"/>
      <c r="EF216" s="55"/>
      <c r="EG216" s="55"/>
      <c r="EH216" s="55"/>
      <c r="EI216" s="55"/>
      <c r="EJ216" s="55"/>
      <c r="EK216" s="55"/>
      <c r="EL216" s="55"/>
      <c r="EM216" s="55"/>
      <c r="EN216" s="55"/>
      <c r="EO216" s="55"/>
      <c r="EP216" s="55"/>
      <c r="EQ216" s="55"/>
      <c r="ER216" s="55"/>
      <c r="ES216" s="55"/>
      <c r="ET216" s="55"/>
      <c r="EU216" s="55"/>
      <c r="EV216" s="55"/>
      <c r="EW216" s="55"/>
      <c r="EX216" s="55"/>
      <c r="EY216" s="55"/>
      <c r="EZ216" s="55"/>
      <c r="FA216" s="55"/>
      <c r="FB216" s="55"/>
      <c r="FC216" s="55"/>
      <c r="FD216" s="55"/>
      <c r="FE216" s="55"/>
      <c r="FF216" s="55"/>
      <c r="FG216" s="55"/>
      <c r="FH216" s="55"/>
      <c r="FI216" s="55"/>
      <c r="FJ216" s="55"/>
      <c r="FK216" s="55"/>
      <c r="FL216" s="55"/>
      <c r="FM216" s="55"/>
      <c r="FN216" s="55"/>
      <c r="FO216" s="55"/>
      <c r="FP216" s="55"/>
      <c r="FQ216" s="55"/>
      <c r="FR216" s="55"/>
      <c r="FS216" s="55"/>
      <c r="FT216" s="55"/>
      <c r="FU216" s="55"/>
      <c r="FV216" s="55"/>
      <c r="FW216" s="55"/>
      <c r="FX216" s="55"/>
      <c r="FY216" s="55"/>
      <c r="FZ216" s="55"/>
      <c r="GA216" s="55"/>
      <c r="GB216" s="55"/>
      <c r="GC216" s="55"/>
      <c r="GD216" s="55"/>
      <c r="GE216" s="55"/>
      <c r="GF216" s="55"/>
      <c r="GG216" s="55"/>
      <c r="GH216" s="55"/>
      <c r="GI216" s="55"/>
      <c r="GJ216" s="55"/>
      <c r="GK216" s="55"/>
      <c r="GL216" s="55"/>
      <c r="GM216" s="55"/>
      <c r="GN216" s="55"/>
      <c r="GO216" s="55"/>
      <c r="GP216" s="55"/>
      <c r="GQ216" s="55"/>
      <c r="GR216" s="55"/>
      <c r="GS216" s="55"/>
      <c r="GT216" s="55"/>
      <c r="GU216" s="55"/>
      <c r="GV216" s="55"/>
      <c r="GW216" s="55"/>
      <c r="GX216" s="55"/>
      <c r="GY216" s="55"/>
      <c r="GZ216" s="55"/>
      <c r="HA216" s="55"/>
      <c r="HB216" s="55"/>
      <c r="HC216" s="55"/>
      <c r="HD216" s="55"/>
      <c r="HE216" s="55"/>
      <c r="HF216" s="55"/>
      <c r="HG216" s="55"/>
      <c r="HH216" s="55"/>
      <c r="HI216" s="55"/>
      <c r="HJ216" s="55"/>
      <c r="HK216" s="55"/>
      <c r="HL216" s="55"/>
      <c r="HM216" s="55"/>
      <c r="HN216" s="55"/>
      <c r="HO216" s="55"/>
      <c r="HP216" s="55"/>
      <c r="HQ216" s="55"/>
      <c r="HR216" s="55"/>
      <c r="HS216" s="55"/>
      <c r="HT216" s="55"/>
      <c r="HU216" s="55"/>
      <c r="HV216" s="55"/>
      <c r="HW216" s="55"/>
      <c r="HX216" s="55"/>
      <c r="HY216" s="55"/>
      <c r="HZ216" s="55"/>
      <c r="IA216" s="55"/>
      <c r="IB216" s="55"/>
      <c r="IC216" s="55"/>
      <c r="ID216" s="55"/>
    </row>
    <row r="217" s="52" customFormat="1" ht="70" customHeight="1" spans="1:238">
      <c r="A217" s="112">
        <v>66</v>
      </c>
      <c r="B217" s="112" t="s">
        <v>909</v>
      </c>
      <c r="C217" s="64" t="s">
        <v>910</v>
      </c>
      <c r="D217" s="65" t="s">
        <v>911</v>
      </c>
      <c r="E217" s="77" t="s">
        <v>912</v>
      </c>
      <c r="F217" s="77" t="s">
        <v>35</v>
      </c>
      <c r="G217" s="64" t="s">
        <v>110</v>
      </c>
      <c r="H217" s="78">
        <v>1120</v>
      </c>
      <c r="I217" s="78">
        <v>1008</v>
      </c>
      <c r="J217" s="83"/>
      <c r="K217" s="83"/>
      <c r="L217" s="83"/>
      <c r="M217" s="41">
        <v>1010</v>
      </c>
      <c r="N217" s="41">
        <v>910</v>
      </c>
      <c r="O217" s="41">
        <v>775</v>
      </c>
      <c r="P217" s="64" t="s">
        <v>37</v>
      </c>
      <c r="Q217" s="64" t="s">
        <v>35</v>
      </c>
      <c r="R217" s="64" t="s">
        <v>647</v>
      </c>
      <c r="S217" s="83" t="s">
        <v>400</v>
      </c>
      <c r="T217" s="77" t="s">
        <v>648</v>
      </c>
      <c r="U217" s="112"/>
      <c r="V217" s="112"/>
      <c r="W217" s="112"/>
      <c r="X217" s="64"/>
      <c r="Y217" s="112"/>
      <c r="Z217" s="112"/>
      <c r="AA217" s="110"/>
      <c r="AB217" s="50"/>
      <c r="AC217" s="50"/>
      <c r="AD217" s="50"/>
      <c r="AE217" s="112"/>
      <c r="AF217" s="60"/>
      <c r="AG217" s="55"/>
      <c r="AH217" s="55"/>
      <c r="AI217" s="55"/>
      <c r="AJ217" s="55"/>
      <c r="AK217" s="55"/>
      <c r="AL217" s="55"/>
      <c r="AM217" s="55"/>
      <c r="AN217" s="55"/>
      <c r="AO217" s="55"/>
      <c r="AP217" s="55"/>
      <c r="AQ217" s="55"/>
      <c r="AR217" s="55"/>
      <c r="AS217" s="55"/>
      <c r="AT217" s="55"/>
      <c r="AU217" s="55"/>
      <c r="AV217" s="55"/>
      <c r="AW217" s="55"/>
      <c r="AX217" s="55"/>
      <c r="AY217" s="55"/>
      <c r="AZ217" s="55"/>
      <c r="BA217" s="55"/>
      <c r="BB217" s="55"/>
      <c r="BC217" s="55"/>
      <c r="BD217" s="55"/>
      <c r="BE217" s="55"/>
      <c r="BF217" s="55"/>
      <c r="BG217" s="55"/>
      <c r="BH217" s="55"/>
      <c r="BI217" s="55"/>
      <c r="BJ217" s="55"/>
      <c r="BK217" s="55"/>
      <c r="BL217" s="55"/>
      <c r="BM217" s="55"/>
      <c r="BN217" s="55"/>
      <c r="BO217" s="55"/>
      <c r="BP217" s="55"/>
      <c r="BQ217" s="55"/>
      <c r="BR217" s="55"/>
      <c r="BS217" s="55"/>
      <c r="BT217" s="55"/>
      <c r="BU217" s="55"/>
      <c r="BV217" s="55"/>
      <c r="BW217" s="55"/>
      <c r="BX217" s="55"/>
      <c r="BY217" s="55"/>
      <c r="BZ217" s="55"/>
      <c r="CA217" s="55"/>
      <c r="CB217" s="55"/>
      <c r="CC217" s="55"/>
      <c r="CD217" s="55"/>
      <c r="CE217" s="55"/>
      <c r="CF217" s="55"/>
      <c r="CG217" s="55"/>
      <c r="CH217" s="55"/>
      <c r="CI217" s="55"/>
      <c r="CJ217" s="55"/>
      <c r="CK217" s="55"/>
      <c r="CL217" s="55"/>
      <c r="CM217" s="55"/>
      <c r="CN217" s="55"/>
      <c r="CO217" s="55"/>
      <c r="CP217" s="55"/>
      <c r="CQ217" s="55"/>
      <c r="CR217" s="55"/>
      <c r="CS217" s="55"/>
      <c r="CT217" s="55"/>
      <c r="CU217" s="55"/>
      <c r="CV217" s="55"/>
      <c r="CW217" s="55"/>
      <c r="CX217" s="55"/>
      <c r="CY217" s="55"/>
      <c r="CZ217" s="55"/>
      <c r="DA217" s="55"/>
      <c r="DB217" s="55"/>
      <c r="DC217" s="55"/>
      <c r="DD217" s="55"/>
      <c r="DE217" s="55"/>
      <c r="DF217" s="55"/>
      <c r="DG217" s="55"/>
      <c r="DH217" s="55"/>
      <c r="DI217" s="55"/>
      <c r="DJ217" s="55"/>
      <c r="DK217" s="55"/>
      <c r="DL217" s="55"/>
      <c r="DM217" s="55"/>
      <c r="DN217" s="55"/>
      <c r="DO217" s="55"/>
      <c r="DP217" s="55"/>
      <c r="DQ217" s="55"/>
      <c r="DR217" s="55"/>
      <c r="DS217" s="55"/>
      <c r="DT217" s="55"/>
      <c r="DU217" s="55"/>
      <c r="DV217" s="55"/>
      <c r="DW217" s="55"/>
      <c r="DX217" s="55"/>
      <c r="DY217" s="55"/>
      <c r="DZ217" s="55"/>
      <c r="EA217" s="55"/>
      <c r="EB217" s="55"/>
      <c r="EC217" s="55"/>
      <c r="ED217" s="55"/>
      <c r="EE217" s="55"/>
      <c r="EF217" s="55"/>
      <c r="EG217" s="55"/>
      <c r="EH217" s="55"/>
      <c r="EI217" s="55"/>
      <c r="EJ217" s="55"/>
      <c r="EK217" s="55"/>
      <c r="EL217" s="55"/>
      <c r="EM217" s="55"/>
      <c r="EN217" s="55"/>
      <c r="EO217" s="55"/>
      <c r="EP217" s="55"/>
      <c r="EQ217" s="55"/>
      <c r="ER217" s="55"/>
      <c r="ES217" s="55"/>
      <c r="ET217" s="55"/>
      <c r="EU217" s="55"/>
      <c r="EV217" s="55"/>
      <c r="EW217" s="55"/>
      <c r="EX217" s="55"/>
      <c r="EY217" s="55"/>
      <c r="EZ217" s="55"/>
      <c r="FA217" s="55"/>
      <c r="FB217" s="55"/>
      <c r="FC217" s="55"/>
      <c r="FD217" s="55"/>
      <c r="FE217" s="55"/>
      <c r="FF217" s="55"/>
      <c r="FG217" s="55"/>
      <c r="FH217" s="55"/>
      <c r="FI217" s="55"/>
      <c r="FJ217" s="55"/>
      <c r="FK217" s="55"/>
      <c r="FL217" s="55"/>
      <c r="FM217" s="55"/>
      <c r="FN217" s="55"/>
      <c r="FO217" s="55"/>
      <c r="FP217" s="55"/>
      <c r="FQ217" s="55"/>
      <c r="FR217" s="55"/>
      <c r="FS217" s="55"/>
      <c r="FT217" s="55"/>
      <c r="FU217" s="55"/>
      <c r="FV217" s="55"/>
      <c r="FW217" s="55"/>
      <c r="FX217" s="55"/>
      <c r="FY217" s="55"/>
      <c r="FZ217" s="55"/>
      <c r="GA217" s="55"/>
      <c r="GB217" s="55"/>
      <c r="GC217" s="55"/>
      <c r="GD217" s="55"/>
      <c r="GE217" s="55"/>
      <c r="GF217" s="55"/>
      <c r="GG217" s="55"/>
      <c r="GH217" s="55"/>
      <c r="GI217" s="55"/>
      <c r="GJ217" s="55"/>
      <c r="GK217" s="55"/>
      <c r="GL217" s="55"/>
      <c r="GM217" s="55"/>
      <c r="GN217" s="55"/>
      <c r="GO217" s="55"/>
      <c r="GP217" s="55"/>
      <c r="GQ217" s="55"/>
      <c r="GR217" s="55"/>
      <c r="GS217" s="55"/>
      <c r="GT217" s="55"/>
      <c r="GU217" s="55"/>
      <c r="GV217" s="55"/>
      <c r="GW217" s="55"/>
      <c r="GX217" s="55"/>
      <c r="GY217" s="55"/>
      <c r="GZ217" s="55"/>
      <c r="HA217" s="55"/>
      <c r="HB217" s="55"/>
      <c r="HC217" s="55"/>
      <c r="HD217" s="55"/>
      <c r="HE217" s="55"/>
      <c r="HF217" s="55"/>
      <c r="HG217" s="55"/>
      <c r="HH217" s="55"/>
      <c r="HI217" s="55"/>
      <c r="HJ217" s="55"/>
      <c r="HK217" s="55"/>
      <c r="HL217" s="55"/>
      <c r="HM217" s="55"/>
      <c r="HN217" s="55"/>
      <c r="HO217" s="55"/>
      <c r="HP217" s="55"/>
      <c r="HQ217" s="55"/>
      <c r="HR217" s="55"/>
      <c r="HS217" s="55"/>
      <c r="HT217" s="55"/>
      <c r="HU217" s="55"/>
      <c r="HV217" s="55"/>
      <c r="HW217" s="55"/>
      <c r="HX217" s="55"/>
      <c r="HY217" s="55"/>
      <c r="HZ217" s="55"/>
      <c r="IA217" s="55"/>
      <c r="IB217" s="55"/>
      <c r="IC217" s="55"/>
      <c r="ID217" s="55"/>
    </row>
    <row r="218" s="52" customFormat="1" ht="36" customHeight="1" spans="1:238">
      <c r="A218" s="112" t="s">
        <v>95</v>
      </c>
      <c r="B218" s="112" t="s">
        <v>913</v>
      </c>
      <c r="C218" s="64" t="s">
        <v>914</v>
      </c>
      <c r="D218" s="65"/>
      <c r="E218" s="77"/>
      <c r="F218" s="77" t="s">
        <v>35</v>
      </c>
      <c r="G218" s="64" t="s">
        <v>110</v>
      </c>
      <c r="H218" s="78">
        <v>336</v>
      </c>
      <c r="I218" s="78">
        <v>302</v>
      </c>
      <c r="J218" s="83"/>
      <c r="K218" s="83"/>
      <c r="L218" s="83"/>
      <c r="M218" s="41">
        <v>305</v>
      </c>
      <c r="N218" s="41">
        <v>275</v>
      </c>
      <c r="O218" s="41">
        <v>230</v>
      </c>
      <c r="P218" s="64" t="s">
        <v>37</v>
      </c>
      <c r="Q218" s="64" t="s">
        <v>35</v>
      </c>
      <c r="R218" s="64" t="s">
        <v>647</v>
      </c>
      <c r="S218" s="83"/>
      <c r="T218" s="77" t="s">
        <v>186</v>
      </c>
      <c r="U218" s="112"/>
      <c r="V218" s="112"/>
      <c r="W218" s="112"/>
      <c r="X218" s="64"/>
      <c r="Y218" s="112"/>
      <c r="Z218" s="112"/>
      <c r="AA218" s="110"/>
      <c r="AB218" s="50"/>
      <c r="AC218" s="50"/>
      <c r="AD218" s="50"/>
      <c r="AE218" s="112"/>
      <c r="AF218" s="60"/>
      <c r="AG218" s="55"/>
      <c r="AH218" s="55"/>
      <c r="AI218" s="55"/>
      <c r="AJ218" s="55"/>
      <c r="AK218" s="55"/>
      <c r="AL218" s="55"/>
      <c r="AM218" s="55"/>
      <c r="AN218" s="55"/>
      <c r="AO218" s="55"/>
      <c r="AP218" s="55"/>
      <c r="AQ218" s="55"/>
      <c r="AR218" s="55"/>
      <c r="AS218" s="55"/>
      <c r="AT218" s="55"/>
      <c r="AU218" s="55"/>
      <c r="AV218" s="55"/>
      <c r="AW218" s="55"/>
      <c r="AX218" s="55"/>
      <c r="AY218" s="55"/>
      <c r="AZ218" s="55"/>
      <c r="BA218" s="55"/>
      <c r="BB218" s="55"/>
      <c r="BC218" s="55"/>
      <c r="BD218" s="55"/>
      <c r="BE218" s="55"/>
      <c r="BF218" s="55"/>
      <c r="BG218" s="55"/>
      <c r="BH218" s="55"/>
      <c r="BI218" s="55"/>
      <c r="BJ218" s="55"/>
      <c r="BK218" s="55"/>
      <c r="BL218" s="55"/>
      <c r="BM218" s="55"/>
      <c r="BN218" s="55"/>
      <c r="BO218" s="55"/>
      <c r="BP218" s="55"/>
      <c r="BQ218" s="55"/>
      <c r="BR218" s="55"/>
      <c r="BS218" s="55"/>
      <c r="BT218" s="55"/>
      <c r="BU218" s="55"/>
      <c r="BV218" s="55"/>
      <c r="BW218" s="55"/>
      <c r="BX218" s="55"/>
      <c r="BY218" s="55"/>
      <c r="BZ218" s="55"/>
      <c r="CA218" s="55"/>
      <c r="CB218" s="55"/>
      <c r="CC218" s="55"/>
      <c r="CD218" s="55"/>
      <c r="CE218" s="55"/>
      <c r="CF218" s="55"/>
      <c r="CG218" s="55"/>
      <c r="CH218" s="55"/>
      <c r="CI218" s="55"/>
      <c r="CJ218" s="55"/>
      <c r="CK218" s="55"/>
      <c r="CL218" s="55"/>
      <c r="CM218" s="55"/>
      <c r="CN218" s="55"/>
      <c r="CO218" s="55"/>
      <c r="CP218" s="55"/>
      <c r="CQ218" s="55"/>
      <c r="CR218" s="55"/>
      <c r="CS218" s="55"/>
      <c r="CT218" s="55"/>
      <c r="CU218" s="55"/>
      <c r="CV218" s="55"/>
      <c r="CW218" s="55"/>
      <c r="CX218" s="55"/>
      <c r="CY218" s="55"/>
      <c r="CZ218" s="55"/>
      <c r="DA218" s="55"/>
      <c r="DB218" s="55"/>
      <c r="DC218" s="55"/>
      <c r="DD218" s="55"/>
      <c r="DE218" s="55"/>
      <c r="DF218" s="55"/>
      <c r="DG218" s="55"/>
      <c r="DH218" s="55"/>
      <c r="DI218" s="55"/>
      <c r="DJ218" s="55"/>
      <c r="DK218" s="55"/>
      <c r="DL218" s="55"/>
      <c r="DM218" s="55"/>
      <c r="DN218" s="55"/>
      <c r="DO218" s="55"/>
      <c r="DP218" s="55"/>
      <c r="DQ218" s="55"/>
      <c r="DR218" s="55"/>
      <c r="DS218" s="55"/>
      <c r="DT218" s="55"/>
      <c r="DU218" s="55"/>
      <c r="DV218" s="55"/>
      <c r="DW218" s="55"/>
      <c r="DX218" s="55"/>
      <c r="DY218" s="55"/>
      <c r="DZ218" s="55"/>
      <c r="EA218" s="55"/>
      <c r="EB218" s="55"/>
      <c r="EC218" s="55"/>
      <c r="ED218" s="55"/>
      <c r="EE218" s="55"/>
      <c r="EF218" s="55"/>
      <c r="EG218" s="55"/>
      <c r="EH218" s="55"/>
      <c r="EI218" s="55"/>
      <c r="EJ218" s="55"/>
      <c r="EK218" s="55"/>
      <c r="EL218" s="55"/>
      <c r="EM218" s="55"/>
      <c r="EN218" s="55"/>
      <c r="EO218" s="55"/>
      <c r="EP218" s="55"/>
      <c r="EQ218" s="55"/>
      <c r="ER218" s="55"/>
      <c r="ES218" s="55"/>
      <c r="ET218" s="55"/>
      <c r="EU218" s="55"/>
      <c r="EV218" s="55"/>
      <c r="EW218" s="55"/>
      <c r="EX218" s="55"/>
      <c r="EY218" s="55"/>
      <c r="EZ218" s="55"/>
      <c r="FA218" s="55"/>
      <c r="FB218" s="55"/>
      <c r="FC218" s="55"/>
      <c r="FD218" s="55"/>
      <c r="FE218" s="55"/>
      <c r="FF218" s="55"/>
      <c r="FG218" s="55"/>
      <c r="FH218" s="55"/>
      <c r="FI218" s="55"/>
      <c r="FJ218" s="55"/>
      <c r="FK218" s="55"/>
      <c r="FL218" s="55"/>
      <c r="FM218" s="55"/>
      <c r="FN218" s="55"/>
      <c r="FO218" s="55"/>
      <c r="FP218" s="55"/>
      <c r="FQ218" s="55"/>
      <c r="FR218" s="55"/>
      <c r="FS218" s="55"/>
      <c r="FT218" s="55"/>
      <c r="FU218" s="55"/>
      <c r="FV218" s="55"/>
      <c r="FW218" s="55"/>
      <c r="FX218" s="55"/>
      <c r="FY218" s="55"/>
      <c r="FZ218" s="55"/>
      <c r="GA218" s="55"/>
      <c r="GB218" s="55"/>
      <c r="GC218" s="55"/>
      <c r="GD218" s="55"/>
      <c r="GE218" s="55"/>
      <c r="GF218" s="55"/>
      <c r="GG218" s="55"/>
      <c r="GH218" s="55"/>
      <c r="GI218" s="55"/>
      <c r="GJ218" s="55"/>
      <c r="GK218" s="55"/>
      <c r="GL218" s="55"/>
      <c r="GM218" s="55"/>
      <c r="GN218" s="55"/>
      <c r="GO218" s="55"/>
      <c r="GP218" s="55"/>
      <c r="GQ218" s="55"/>
      <c r="GR218" s="55"/>
      <c r="GS218" s="55"/>
      <c r="GT218" s="55"/>
      <c r="GU218" s="55"/>
      <c r="GV218" s="55"/>
      <c r="GW218" s="55"/>
      <c r="GX218" s="55"/>
      <c r="GY218" s="55"/>
      <c r="GZ218" s="55"/>
      <c r="HA218" s="55"/>
      <c r="HB218" s="55"/>
      <c r="HC218" s="55"/>
      <c r="HD218" s="55"/>
      <c r="HE218" s="55"/>
      <c r="HF218" s="55"/>
      <c r="HG218" s="55"/>
      <c r="HH218" s="55"/>
      <c r="HI218" s="55"/>
      <c r="HJ218" s="55"/>
      <c r="HK218" s="55"/>
      <c r="HL218" s="55"/>
      <c r="HM218" s="55"/>
      <c r="HN218" s="55"/>
      <c r="HO218" s="55"/>
      <c r="HP218" s="55"/>
      <c r="HQ218" s="55"/>
      <c r="HR218" s="55"/>
      <c r="HS218" s="55"/>
      <c r="HT218" s="55"/>
      <c r="HU218" s="55"/>
      <c r="HV218" s="55"/>
      <c r="HW218" s="55"/>
      <c r="HX218" s="55"/>
      <c r="HY218" s="55"/>
      <c r="HZ218" s="55"/>
      <c r="IA218" s="55"/>
      <c r="IB218" s="55"/>
      <c r="IC218" s="55"/>
      <c r="ID218" s="55"/>
    </row>
    <row r="219" s="52" customFormat="1" ht="69" customHeight="1" spans="1:238">
      <c r="A219" s="112">
        <v>67</v>
      </c>
      <c r="B219" s="112" t="s">
        <v>915</v>
      </c>
      <c r="C219" s="64" t="s">
        <v>916</v>
      </c>
      <c r="D219" s="65" t="s">
        <v>917</v>
      </c>
      <c r="E219" s="77" t="s">
        <v>918</v>
      </c>
      <c r="F219" s="77" t="s">
        <v>919</v>
      </c>
      <c r="G219" s="64" t="s">
        <v>110</v>
      </c>
      <c r="H219" s="78">
        <v>1430</v>
      </c>
      <c r="I219" s="78">
        <v>1287</v>
      </c>
      <c r="J219" s="83"/>
      <c r="K219" s="83"/>
      <c r="L219" s="83"/>
      <c r="M219" s="41">
        <v>1300</v>
      </c>
      <c r="N219" s="41">
        <v>1170</v>
      </c>
      <c r="O219" s="41">
        <v>995</v>
      </c>
      <c r="P219" s="64" t="s">
        <v>37</v>
      </c>
      <c r="Q219" s="64" t="s">
        <v>35</v>
      </c>
      <c r="R219" s="64" t="s">
        <v>647</v>
      </c>
      <c r="S219" s="83" t="s">
        <v>400</v>
      </c>
      <c r="T219" s="77" t="s">
        <v>648</v>
      </c>
      <c r="U219" s="112"/>
      <c r="V219" s="112"/>
      <c r="W219" s="112"/>
      <c r="X219" s="64"/>
      <c r="Y219" s="112"/>
      <c r="Z219" s="112"/>
      <c r="AA219" s="110"/>
      <c r="AB219" s="50"/>
      <c r="AC219" s="50"/>
      <c r="AD219" s="50"/>
      <c r="AE219" s="112"/>
      <c r="AF219" s="60"/>
      <c r="AG219" s="55"/>
      <c r="AH219" s="55"/>
      <c r="AI219" s="55"/>
      <c r="AJ219" s="55"/>
      <c r="AK219" s="55"/>
      <c r="AL219" s="55"/>
      <c r="AM219" s="55"/>
      <c r="AN219" s="55"/>
      <c r="AO219" s="55"/>
      <c r="AP219" s="55"/>
      <c r="AQ219" s="55"/>
      <c r="AR219" s="55"/>
      <c r="AS219" s="55"/>
      <c r="AT219" s="55"/>
      <c r="AU219" s="55"/>
      <c r="AV219" s="55"/>
      <c r="AW219" s="55"/>
      <c r="AX219" s="55"/>
      <c r="AY219" s="55"/>
      <c r="AZ219" s="55"/>
      <c r="BA219" s="55"/>
      <c r="BB219" s="55"/>
      <c r="BC219" s="55"/>
      <c r="BD219" s="55"/>
      <c r="BE219" s="55"/>
      <c r="BF219" s="55"/>
      <c r="BG219" s="55"/>
      <c r="BH219" s="55"/>
      <c r="BI219" s="55"/>
      <c r="BJ219" s="55"/>
      <c r="BK219" s="55"/>
      <c r="BL219" s="55"/>
      <c r="BM219" s="55"/>
      <c r="BN219" s="55"/>
      <c r="BO219" s="55"/>
      <c r="BP219" s="55"/>
      <c r="BQ219" s="55"/>
      <c r="BR219" s="55"/>
      <c r="BS219" s="55"/>
      <c r="BT219" s="55"/>
      <c r="BU219" s="55"/>
      <c r="BV219" s="55"/>
      <c r="BW219" s="55"/>
      <c r="BX219" s="55"/>
      <c r="BY219" s="55"/>
      <c r="BZ219" s="55"/>
      <c r="CA219" s="55"/>
      <c r="CB219" s="55"/>
      <c r="CC219" s="55"/>
      <c r="CD219" s="55"/>
      <c r="CE219" s="55"/>
      <c r="CF219" s="55"/>
      <c r="CG219" s="55"/>
      <c r="CH219" s="55"/>
      <c r="CI219" s="55"/>
      <c r="CJ219" s="55"/>
      <c r="CK219" s="55"/>
      <c r="CL219" s="55"/>
      <c r="CM219" s="55"/>
      <c r="CN219" s="55"/>
      <c r="CO219" s="55"/>
      <c r="CP219" s="55"/>
      <c r="CQ219" s="55"/>
      <c r="CR219" s="55"/>
      <c r="CS219" s="55"/>
      <c r="CT219" s="55"/>
      <c r="CU219" s="55"/>
      <c r="CV219" s="55"/>
      <c r="CW219" s="55"/>
      <c r="CX219" s="55"/>
      <c r="CY219" s="55"/>
      <c r="CZ219" s="55"/>
      <c r="DA219" s="55"/>
      <c r="DB219" s="55"/>
      <c r="DC219" s="55"/>
      <c r="DD219" s="55"/>
      <c r="DE219" s="55"/>
      <c r="DF219" s="55"/>
      <c r="DG219" s="55"/>
      <c r="DH219" s="55"/>
      <c r="DI219" s="55"/>
      <c r="DJ219" s="55"/>
      <c r="DK219" s="55"/>
      <c r="DL219" s="55"/>
      <c r="DM219" s="55"/>
      <c r="DN219" s="55"/>
      <c r="DO219" s="55"/>
      <c r="DP219" s="55"/>
      <c r="DQ219" s="55"/>
      <c r="DR219" s="55"/>
      <c r="DS219" s="55"/>
      <c r="DT219" s="55"/>
      <c r="DU219" s="55"/>
      <c r="DV219" s="55"/>
      <c r="DW219" s="55"/>
      <c r="DX219" s="55"/>
      <c r="DY219" s="55"/>
      <c r="DZ219" s="55"/>
      <c r="EA219" s="55"/>
      <c r="EB219" s="55"/>
      <c r="EC219" s="55"/>
      <c r="ED219" s="55"/>
      <c r="EE219" s="55"/>
      <c r="EF219" s="55"/>
      <c r="EG219" s="55"/>
      <c r="EH219" s="55"/>
      <c r="EI219" s="55"/>
      <c r="EJ219" s="55"/>
      <c r="EK219" s="55"/>
      <c r="EL219" s="55"/>
      <c r="EM219" s="55"/>
      <c r="EN219" s="55"/>
      <c r="EO219" s="55"/>
      <c r="EP219" s="55"/>
      <c r="EQ219" s="55"/>
      <c r="ER219" s="55"/>
      <c r="ES219" s="55"/>
      <c r="ET219" s="55"/>
      <c r="EU219" s="55"/>
      <c r="EV219" s="55"/>
      <c r="EW219" s="55"/>
      <c r="EX219" s="55"/>
      <c r="EY219" s="55"/>
      <c r="EZ219" s="55"/>
      <c r="FA219" s="55"/>
      <c r="FB219" s="55"/>
      <c r="FC219" s="55"/>
      <c r="FD219" s="55"/>
      <c r="FE219" s="55"/>
      <c r="FF219" s="55"/>
      <c r="FG219" s="55"/>
      <c r="FH219" s="55"/>
      <c r="FI219" s="55"/>
      <c r="FJ219" s="55"/>
      <c r="FK219" s="55"/>
      <c r="FL219" s="55"/>
      <c r="FM219" s="55"/>
      <c r="FN219" s="55"/>
      <c r="FO219" s="55"/>
      <c r="FP219" s="55"/>
      <c r="FQ219" s="55"/>
      <c r="FR219" s="55"/>
      <c r="FS219" s="55"/>
      <c r="FT219" s="55"/>
      <c r="FU219" s="55"/>
      <c r="FV219" s="55"/>
      <c r="FW219" s="55"/>
      <c r="FX219" s="55"/>
      <c r="FY219" s="55"/>
      <c r="FZ219" s="55"/>
      <c r="GA219" s="55"/>
      <c r="GB219" s="55"/>
      <c r="GC219" s="55"/>
      <c r="GD219" s="55"/>
      <c r="GE219" s="55"/>
      <c r="GF219" s="55"/>
      <c r="GG219" s="55"/>
      <c r="GH219" s="55"/>
      <c r="GI219" s="55"/>
      <c r="GJ219" s="55"/>
      <c r="GK219" s="55"/>
      <c r="GL219" s="55"/>
      <c r="GM219" s="55"/>
      <c r="GN219" s="55"/>
      <c r="GO219" s="55"/>
      <c r="GP219" s="55"/>
      <c r="GQ219" s="55"/>
      <c r="GR219" s="55"/>
      <c r="GS219" s="55"/>
      <c r="GT219" s="55"/>
      <c r="GU219" s="55"/>
      <c r="GV219" s="55"/>
      <c r="GW219" s="55"/>
      <c r="GX219" s="55"/>
      <c r="GY219" s="55"/>
      <c r="GZ219" s="55"/>
      <c r="HA219" s="55"/>
      <c r="HB219" s="55"/>
      <c r="HC219" s="55"/>
      <c r="HD219" s="55"/>
      <c r="HE219" s="55"/>
      <c r="HF219" s="55"/>
      <c r="HG219" s="55"/>
      <c r="HH219" s="55"/>
      <c r="HI219" s="55"/>
      <c r="HJ219" s="55"/>
      <c r="HK219" s="55"/>
      <c r="HL219" s="55"/>
      <c r="HM219" s="55"/>
      <c r="HN219" s="55"/>
      <c r="HO219" s="55"/>
      <c r="HP219" s="55"/>
      <c r="HQ219" s="55"/>
      <c r="HR219" s="55"/>
      <c r="HS219" s="55"/>
      <c r="HT219" s="55"/>
      <c r="HU219" s="55"/>
      <c r="HV219" s="55"/>
      <c r="HW219" s="55"/>
      <c r="HX219" s="55"/>
      <c r="HY219" s="55"/>
      <c r="HZ219" s="55"/>
      <c r="IA219" s="55"/>
      <c r="IB219" s="55"/>
      <c r="IC219" s="55"/>
      <c r="ID219" s="55"/>
    </row>
    <row r="220" s="52" customFormat="1" ht="33" customHeight="1" spans="1:238">
      <c r="A220" s="112" t="s">
        <v>95</v>
      </c>
      <c r="B220" s="112" t="s">
        <v>920</v>
      </c>
      <c r="C220" s="64" t="s">
        <v>921</v>
      </c>
      <c r="D220" s="65"/>
      <c r="E220" s="77"/>
      <c r="F220" s="77" t="s">
        <v>35</v>
      </c>
      <c r="G220" s="64" t="s">
        <v>110</v>
      </c>
      <c r="H220" s="78">
        <v>429</v>
      </c>
      <c r="I220" s="78">
        <v>386</v>
      </c>
      <c r="J220" s="83"/>
      <c r="K220" s="83"/>
      <c r="L220" s="83"/>
      <c r="M220" s="41">
        <v>390</v>
      </c>
      <c r="N220" s="41">
        <v>350</v>
      </c>
      <c r="O220" s="41">
        <v>30</v>
      </c>
      <c r="P220" s="64" t="s">
        <v>37</v>
      </c>
      <c r="Q220" s="64" t="s">
        <v>35</v>
      </c>
      <c r="R220" s="64" t="s">
        <v>647</v>
      </c>
      <c r="S220" s="83"/>
      <c r="T220" s="77" t="s">
        <v>186</v>
      </c>
      <c r="U220" s="112"/>
      <c r="V220" s="112"/>
      <c r="W220" s="112"/>
      <c r="X220" s="64"/>
      <c r="Y220" s="112"/>
      <c r="Z220" s="112"/>
      <c r="AA220" s="110"/>
      <c r="AB220" s="50"/>
      <c r="AC220" s="50"/>
      <c r="AD220" s="50"/>
      <c r="AE220" s="112"/>
      <c r="AF220" s="60"/>
      <c r="AG220" s="55"/>
      <c r="AH220" s="55"/>
      <c r="AI220" s="55"/>
      <c r="AJ220" s="55"/>
      <c r="AK220" s="55"/>
      <c r="AL220" s="55"/>
      <c r="AM220" s="55"/>
      <c r="AN220" s="55"/>
      <c r="AO220" s="55"/>
      <c r="AP220" s="55"/>
      <c r="AQ220" s="55"/>
      <c r="AR220" s="55"/>
      <c r="AS220" s="55"/>
      <c r="AT220" s="55"/>
      <c r="AU220" s="55"/>
      <c r="AV220" s="55"/>
      <c r="AW220" s="55"/>
      <c r="AX220" s="55"/>
      <c r="AY220" s="55"/>
      <c r="AZ220" s="55"/>
      <c r="BA220" s="55"/>
      <c r="BB220" s="55"/>
      <c r="BC220" s="55"/>
      <c r="BD220" s="55"/>
      <c r="BE220" s="55"/>
      <c r="BF220" s="55"/>
      <c r="BG220" s="55"/>
      <c r="BH220" s="55"/>
      <c r="BI220" s="55"/>
      <c r="BJ220" s="55"/>
      <c r="BK220" s="55"/>
      <c r="BL220" s="55"/>
      <c r="BM220" s="55"/>
      <c r="BN220" s="55"/>
      <c r="BO220" s="55"/>
      <c r="BP220" s="55"/>
      <c r="BQ220" s="55"/>
      <c r="BR220" s="55"/>
      <c r="BS220" s="55"/>
      <c r="BT220" s="55"/>
      <c r="BU220" s="55"/>
      <c r="BV220" s="55"/>
      <c r="BW220" s="55"/>
      <c r="BX220" s="55"/>
      <c r="BY220" s="55"/>
      <c r="BZ220" s="55"/>
      <c r="CA220" s="55"/>
      <c r="CB220" s="55"/>
      <c r="CC220" s="55"/>
      <c r="CD220" s="55"/>
      <c r="CE220" s="55"/>
      <c r="CF220" s="55"/>
      <c r="CG220" s="55"/>
      <c r="CH220" s="55"/>
      <c r="CI220" s="55"/>
      <c r="CJ220" s="55"/>
      <c r="CK220" s="55"/>
      <c r="CL220" s="55"/>
      <c r="CM220" s="55"/>
      <c r="CN220" s="55"/>
      <c r="CO220" s="55"/>
      <c r="CP220" s="55"/>
      <c r="CQ220" s="55"/>
      <c r="CR220" s="55"/>
      <c r="CS220" s="55"/>
      <c r="CT220" s="55"/>
      <c r="CU220" s="55"/>
      <c r="CV220" s="55"/>
      <c r="CW220" s="55"/>
      <c r="CX220" s="55"/>
      <c r="CY220" s="55"/>
      <c r="CZ220" s="55"/>
      <c r="DA220" s="55"/>
      <c r="DB220" s="55"/>
      <c r="DC220" s="55"/>
      <c r="DD220" s="55"/>
      <c r="DE220" s="55"/>
      <c r="DF220" s="55"/>
      <c r="DG220" s="55"/>
      <c r="DH220" s="55"/>
      <c r="DI220" s="55"/>
      <c r="DJ220" s="55"/>
      <c r="DK220" s="55"/>
      <c r="DL220" s="55"/>
      <c r="DM220" s="55"/>
      <c r="DN220" s="55"/>
      <c r="DO220" s="55"/>
      <c r="DP220" s="55"/>
      <c r="DQ220" s="55"/>
      <c r="DR220" s="55"/>
      <c r="DS220" s="55"/>
      <c r="DT220" s="55"/>
      <c r="DU220" s="55"/>
      <c r="DV220" s="55"/>
      <c r="DW220" s="55"/>
      <c r="DX220" s="55"/>
      <c r="DY220" s="55"/>
      <c r="DZ220" s="55"/>
      <c r="EA220" s="55"/>
      <c r="EB220" s="55"/>
      <c r="EC220" s="55"/>
      <c r="ED220" s="55"/>
      <c r="EE220" s="55"/>
      <c r="EF220" s="55"/>
      <c r="EG220" s="55"/>
      <c r="EH220" s="55"/>
      <c r="EI220" s="55"/>
      <c r="EJ220" s="55"/>
      <c r="EK220" s="55"/>
      <c r="EL220" s="55"/>
      <c r="EM220" s="55"/>
      <c r="EN220" s="55"/>
      <c r="EO220" s="55"/>
      <c r="EP220" s="55"/>
      <c r="EQ220" s="55"/>
      <c r="ER220" s="55"/>
      <c r="ES220" s="55"/>
      <c r="ET220" s="55"/>
      <c r="EU220" s="55"/>
      <c r="EV220" s="55"/>
      <c r="EW220" s="55"/>
      <c r="EX220" s="55"/>
      <c r="EY220" s="55"/>
      <c r="EZ220" s="55"/>
      <c r="FA220" s="55"/>
      <c r="FB220" s="55"/>
      <c r="FC220" s="55"/>
      <c r="FD220" s="55"/>
      <c r="FE220" s="55"/>
      <c r="FF220" s="55"/>
      <c r="FG220" s="55"/>
      <c r="FH220" s="55"/>
      <c r="FI220" s="55"/>
      <c r="FJ220" s="55"/>
      <c r="FK220" s="55"/>
      <c r="FL220" s="55"/>
      <c r="FM220" s="55"/>
      <c r="FN220" s="55"/>
      <c r="FO220" s="55"/>
      <c r="FP220" s="55"/>
      <c r="FQ220" s="55"/>
      <c r="FR220" s="55"/>
      <c r="FS220" s="55"/>
      <c r="FT220" s="55"/>
      <c r="FU220" s="55"/>
      <c r="FV220" s="55"/>
      <c r="FW220" s="55"/>
      <c r="FX220" s="55"/>
      <c r="FY220" s="55"/>
      <c r="FZ220" s="55"/>
      <c r="GA220" s="55"/>
      <c r="GB220" s="55"/>
      <c r="GC220" s="55"/>
      <c r="GD220" s="55"/>
      <c r="GE220" s="55"/>
      <c r="GF220" s="55"/>
      <c r="GG220" s="55"/>
      <c r="GH220" s="55"/>
      <c r="GI220" s="55"/>
      <c r="GJ220" s="55"/>
      <c r="GK220" s="55"/>
      <c r="GL220" s="55"/>
      <c r="GM220" s="55"/>
      <c r="GN220" s="55"/>
      <c r="GO220" s="55"/>
      <c r="GP220" s="55"/>
      <c r="GQ220" s="55"/>
      <c r="GR220" s="55"/>
      <c r="GS220" s="55"/>
      <c r="GT220" s="55"/>
      <c r="GU220" s="55"/>
      <c r="GV220" s="55"/>
      <c r="GW220" s="55"/>
      <c r="GX220" s="55"/>
      <c r="GY220" s="55"/>
      <c r="GZ220" s="55"/>
      <c r="HA220" s="55"/>
      <c r="HB220" s="55"/>
      <c r="HC220" s="55"/>
      <c r="HD220" s="55"/>
      <c r="HE220" s="55"/>
      <c r="HF220" s="55"/>
      <c r="HG220" s="55"/>
      <c r="HH220" s="55"/>
      <c r="HI220" s="55"/>
      <c r="HJ220" s="55"/>
      <c r="HK220" s="55"/>
      <c r="HL220" s="55"/>
      <c r="HM220" s="55"/>
      <c r="HN220" s="55"/>
      <c r="HO220" s="55"/>
      <c r="HP220" s="55"/>
      <c r="HQ220" s="55"/>
      <c r="HR220" s="55"/>
      <c r="HS220" s="55"/>
      <c r="HT220" s="55"/>
      <c r="HU220" s="55"/>
      <c r="HV220" s="55"/>
      <c r="HW220" s="55"/>
      <c r="HX220" s="55"/>
      <c r="HY220" s="55"/>
      <c r="HZ220" s="55"/>
      <c r="IA220" s="55"/>
      <c r="IB220" s="55"/>
      <c r="IC220" s="55"/>
      <c r="ID220" s="55"/>
    </row>
    <row r="221" s="52" customFormat="1" ht="42" customHeight="1" spans="1:238">
      <c r="A221" s="64">
        <v>68</v>
      </c>
      <c r="B221" s="64" t="s">
        <v>922</v>
      </c>
      <c r="C221" s="64" t="s">
        <v>923</v>
      </c>
      <c r="D221" s="65" t="s">
        <v>924</v>
      </c>
      <c r="E221" s="77" t="s">
        <v>925</v>
      </c>
      <c r="F221" s="77" t="s">
        <v>926</v>
      </c>
      <c r="G221" s="64" t="s">
        <v>110</v>
      </c>
      <c r="H221" s="78">
        <v>1540</v>
      </c>
      <c r="I221" s="78">
        <v>1386</v>
      </c>
      <c r="J221" s="83">
        <v>1350</v>
      </c>
      <c r="K221" s="83">
        <v>1220</v>
      </c>
      <c r="L221" s="83"/>
      <c r="M221" s="41">
        <v>1350</v>
      </c>
      <c r="N221" s="41">
        <v>1220</v>
      </c>
      <c r="O221" s="41">
        <v>1040</v>
      </c>
      <c r="P221" s="64" t="s">
        <v>37</v>
      </c>
      <c r="Q221" s="64" t="s">
        <v>35</v>
      </c>
      <c r="R221" s="64" t="s">
        <v>35</v>
      </c>
      <c r="S221" s="83" t="s">
        <v>381</v>
      </c>
      <c r="T221" s="77" t="s">
        <v>381</v>
      </c>
      <c r="U221" s="105" t="s">
        <v>927</v>
      </c>
      <c r="V221" s="105">
        <v>330407004</v>
      </c>
      <c r="W221" s="106" t="s">
        <v>928</v>
      </c>
      <c r="X221" s="105" t="s">
        <v>929</v>
      </c>
      <c r="Y221" s="105" t="s">
        <v>930</v>
      </c>
      <c r="Z221" s="105" t="s">
        <v>36</v>
      </c>
      <c r="AA221" s="110" t="s">
        <v>931</v>
      </c>
      <c r="AB221" s="50">
        <v>1350</v>
      </c>
      <c r="AC221" s="50">
        <v>1220</v>
      </c>
      <c r="AD221" s="50">
        <v>1040</v>
      </c>
      <c r="AE221" s="112" t="s">
        <v>37</v>
      </c>
      <c r="AF221" s="60"/>
      <c r="AG221" s="55"/>
      <c r="AH221" s="55"/>
      <c r="AI221" s="55"/>
      <c r="AJ221" s="55"/>
      <c r="AK221" s="55"/>
      <c r="AL221" s="55"/>
      <c r="AM221" s="55"/>
      <c r="AN221" s="55"/>
      <c r="AO221" s="55"/>
      <c r="AP221" s="55"/>
      <c r="AQ221" s="55"/>
      <c r="AR221" s="55"/>
      <c r="AS221" s="55"/>
      <c r="AT221" s="55"/>
      <c r="AU221" s="55"/>
      <c r="AV221" s="55"/>
      <c r="AW221" s="55"/>
      <c r="AX221" s="55"/>
      <c r="AY221" s="55"/>
      <c r="AZ221" s="55"/>
      <c r="BA221" s="55"/>
      <c r="BB221" s="55"/>
      <c r="BC221" s="55"/>
      <c r="BD221" s="55"/>
      <c r="BE221" s="55"/>
      <c r="BF221" s="55"/>
      <c r="BG221" s="55"/>
      <c r="BH221" s="55"/>
      <c r="BI221" s="55"/>
      <c r="BJ221" s="55"/>
      <c r="BK221" s="55"/>
      <c r="BL221" s="55"/>
      <c r="BM221" s="55"/>
      <c r="BN221" s="55"/>
      <c r="BO221" s="55"/>
      <c r="BP221" s="55"/>
      <c r="BQ221" s="55"/>
      <c r="BR221" s="55"/>
      <c r="BS221" s="55"/>
      <c r="BT221" s="55"/>
      <c r="BU221" s="55"/>
      <c r="BV221" s="55"/>
      <c r="BW221" s="55"/>
      <c r="BX221" s="55"/>
      <c r="BY221" s="55"/>
      <c r="BZ221" s="55"/>
      <c r="CA221" s="55"/>
      <c r="CB221" s="55"/>
      <c r="CC221" s="55"/>
      <c r="CD221" s="55"/>
      <c r="CE221" s="55"/>
      <c r="CF221" s="55"/>
      <c r="CG221" s="55"/>
      <c r="CH221" s="55"/>
      <c r="CI221" s="55"/>
      <c r="CJ221" s="55"/>
      <c r="CK221" s="55"/>
      <c r="CL221" s="55"/>
      <c r="CM221" s="55"/>
      <c r="CN221" s="55"/>
      <c r="CO221" s="55"/>
      <c r="CP221" s="55"/>
      <c r="CQ221" s="55"/>
      <c r="CR221" s="55"/>
      <c r="CS221" s="55"/>
      <c r="CT221" s="55"/>
      <c r="CU221" s="55"/>
      <c r="CV221" s="55"/>
      <c r="CW221" s="55"/>
      <c r="CX221" s="55"/>
      <c r="CY221" s="55"/>
      <c r="CZ221" s="55"/>
      <c r="DA221" s="55"/>
      <c r="DB221" s="55"/>
      <c r="DC221" s="55"/>
      <c r="DD221" s="55"/>
      <c r="DE221" s="55"/>
      <c r="DF221" s="55"/>
      <c r="DG221" s="55"/>
      <c r="DH221" s="55"/>
      <c r="DI221" s="55"/>
      <c r="DJ221" s="55"/>
      <c r="DK221" s="55"/>
      <c r="DL221" s="55"/>
      <c r="DM221" s="55"/>
      <c r="DN221" s="55"/>
      <c r="DO221" s="55"/>
      <c r="DP221" s="55"/>
      <c r="DQ221" s="55"/>
      <c r="DR221" s="55"/>
      <c r="DS221" s="55"/>
      <c r="DT221" s="55"/>
      <c r="DU221" s="55"/>
      <c r="DV221" s="55"/>
      <c r="DW221" s="55"/>
      <c r="DX221" s="55"/>
      <c r="DY221" s="55"/>
      <c r="DZ221" s="55"/>
      <c r="EA221" s="55"/>
      <c r="EB221" s="55"/>
      <c r="EC221" s="55"/>
      <c r="ED221" s="55"/>
      <c r="EE221" s="55"/>
      <c r="EF221" s="55"/>
      <c r="EG221" s="55"/>
      <c r="EH221" s="55"/>
      <c r="EI221" s="55"/>
      <c r="EJ221" s="55"/>
      <c r="EK221" s="55"/>
      <c r="EL221" s="55"/>
      <c r="EM221" s="55"/>
      <c r="EN221" s="55"/>
      <c r="EO221" s="55"/>
      <c r="EP221" s="55"/>
      <c r="EQ221" s="55"/>
      <c r="ER221" s="55"/>
      <c r="ES221" s="55"/>
      <c r="ET221" s="55"/>
      <c r="EU221" s="55"/>
      <c r="EV221" s="55"/>
      <c r="EW221" s="55"/>
      <c r="EX221" s="55"/>
      <c r="EY221" s="55"/>
      <c r="EZ221" s="55"/>
      <c r="FA221" s="55"/>
      <c r="FB221" s="55"/>
      <c r="FC221" s="55"/>
      <c r="FD221" s="55"/>
      <c r="FE221" s="55"/>
      <c r="FF221" s="55"/>
      <c r="FG221" s="55"/>
      <c r="FH221" s="55"/>
      <c r="FI221" s="55"/>
      <c r="FJ221" s="55"/>
      <c r="FK221" s="55"/>
      <c r="FL221" s="55"/>
      <c r="FM221" s="55"/>
      <c r="FN221" s="55"/>
      <c r="FO221" s="55"/>
      <c r="FP221" s="55"/>
      <c r="FQ221" s="55"/>
      <c r="FR221" s="55"/>
      <c r="FS221" s="55"/>
      <c r="FT221" s="55"/>
      <c r="FU221" s="55"/>
      <c r="FV221" s="55"/>
      <c r="FW221" s="55"/>
      <c r="FX221" s="55"/>
      <c r="FY221" s="55"/>
      <c r="FZ221" s="55"/>
      <c r="GA221" s="55"/>
      <c r="GB221" s="55"/>
      <c r="GC221" s="55"/>
      <c r="GD221" s="55"/>
      <c r="GE221" s="55"/>
      <c r="GF221" s="55"/>
      <c r="GG221" s="55"/>
      <c r="GH221" s="55"/>
      <c r="GI221" s="55"/>
      <c r="GJ221" s="55"/>
      <c r="GK221" s="55"/>
      <c r="GL221" s="55"/>
      <c r="GM221" s="55"/>
      <c r="GN221" s="55"/>
      <c r="GO221" s="55"/>
      <c r="GP221" s="55"/>
      <c r="GQ221" s="55"/>
      <c r="GR221" s="55"/>
      <c r="GS221" s="55"/>
      <c r="GT221" s="55"/>
      <c r="GU221" s="55"/>
      <c r="GV221" s="55"/>
      <c r="GW221" s="55"/>
      <c r="GX221" s="55"/>
      <c r="GY221" s="55"/>
      <c r="GZ221" s="55"/>
      <c r="HA221" s="55"/>
      <c r="HB221" s="55"/>
      <c r="HC221" s="55"/>
      <c r="HD221" s="55"/>
      <c r="HE221" s="55"/>
      <c r="HF221" s="55"/>
      <c r="HG221" s="55"/>
      <c r="HH221" s="55"/>
      <c r="HI221" s="55"/>
      <c r="HJ221" s="55"/>
      <c r="HK221" s="55"/>
      <c r="HL221" s="55"/>
      <c r="HM221" s="55"/>
      <c r="HN221" s="55"/>
      <c r="HO221" s="55"/>
      <c r="HP221" s="55"/>
      <c r="HQ221" s="55"/>
      <c r="HR221" s="55"/>
      <c r="HS221" s="55"/>
      <c r="HT221" s="55"/>
      <c r="HU221" s="55"/>
      <c r="HV221" s="55"/>
      <c r="HW221" s="55"/>
      <c r="HX221" s="55"/>
      <c r="HY221" s="55"/>
      <c r="HZ221" s="55"/>
      <c r="IA221" s="55"/>
      <c r="IB221" s="55"/>
      <c r="IC221" s="55"/>
      <c r="ID221" s="55"/>
    </row>
    <row r="222" s="52" customFormat="1" ht="42" customHeight="1" spans="1:238">
      <c r="A222" s="64"/>
      <c r="B222" s="64"/>
      <c r="C222" s="64"/>
      <c r="D222" s="65"/>
      <c r="E222" s="77"/>
      <c r="F222" s="77"/>
      <c r="G222" s="64"/>
      <c r="H222" s="42"/>
      <c r="I222" s="42"/>
      <c r="J222" s="83"/>
      <c r="K222" s="83"/>
      <c r="L222" s="83"/>
      <c r="M222" s="41"/>
      <c r="N222" s="41"/>
      <c r="O222" s="41"/>
      <c r="P222" s="64"/>
      <c r="Q222" s="64"/>
      <c r="R222" s="64"/>
      <c r="S222" s="83"/>
      <c r="T222" s="77"/>
      <c r="U222" s="105" t="s">
        <v>932</v>
      </c>
      <c r="V222" s="105">
        <v>33040700401</v>
      </c>
      <c r="W222" s="106" t="s">
        <v>933</v>
      </c>
      <c r="X222" s="105" t="s">
        <v>35</v>
      </c>
      <c r="Y222" s="105"/>
      <c r="Z222" s="105" t="s">
        <v>36</v>
      </c>
      <c r="AA222" s="110" t="s">
        <v>934</v>
      </c>
      <c r="AB222" s="50">
        <v>1300</v>
      </c>
      <c r="AC222" s="50">
        <v>1170</v>
      </c>
      <c r="AD222" s="50">
        <v>995</v>
      </c>
      <c r="AE222" s="112" t="s">
        <v>37</v>
      </c>
      <c r="AF222" s="60"/>
      <c r="AG222" s="55"/>
      <c r="AH222" s="55"/>
      <c r="AI222" s="55"/>
      <c r="AJ222" s="55"/>
      <c r="AK222" s="55"/>
      <c r="AL222" s="55"/>
      <c r="AM222" s="55"/>
      <c r="AN222" s="55"/>
      <c r="AO222" s="55"/>
      <c r="AP222" s="55"/>
      <c r="AQ222" s="55"/>
      <c r="AR222" s="55"/>
      <c r="AS222" s="55"/>
      <c r="AT222" s="55"/>
      <c r="AU222" s="55"/>
      <c r="AV222" s="55"/>
      <c r="AW222" s="55"/>
      <c r="AX222" s="55"/>
      <c r="AY222" s="55"/>
      <c r="AZ222" s="55"/>
      <c r="BA222" s="55"/>
      <c r="BB222" s="55"/>
      <c r="BC222" s="55"/>
      <c r="BD222" s="55"/>
      <c r="BE222" s="55"/>
      <c r="BF222" s="55"/>
      <c r="BG222" s="55"/>
      <c r="BH222" s="55"/>
      <c r="BI222" s="55"/>
      <c r="BJ222" s="55"/>
      <c r="BK222" s="55"/>
      <c r="BL222" s="55"/>
      <c r="BM222" s="55"/>
      <c r="BN222" s="55"/>
      <c r="BO222" s="55"/>
      <c r="BP222" s="55"/>
      <c r="BQ222" s="55"/>
      <c r="BR222" s="55"/>
      <c r="BS222" s="55"/>
      <c r="BT222" s="55"/>
      <c r="BU222" s="55"/>
      <c r="BV222" s="55"/>
      <c r="BW222" s="55"/>
      <c r="BX222" s="55"/>
      <c r="BY222" s="55"/>
      <c r="BZ222" s="55"/>
      <c r="CA222" s="55"/>
      <c r="CB222" s="55"/>
      <c r="CC222" s="55"/>
      <c r="CD222" s="55"/>
      <c r="CE222" s="55"/>
      <c r="CF222" s="55"/>
      <c r="CG222" s="55"/>
      <c r="CH222" s="55"/>
      <c r="CI222" s="55"/>
      <c r="CJ222" s="55"/>
      <c r="CK222" s="55"/>
      <c r="CL222" s="55"/>
      <c r="CM222" s="55"/>
      <c r="CN222" s="55"/>
      <c r="CO222" s="55"/>
      <c r="CP222" s="55"/>
      <c r="CQ222" s="55"/>
      <c r="CR222" s="55"/>
      <c r="CS222" s="55"/>
      <c r="CT222" s="55"/>
      <c r="CU222" s="55"/>
      <c r="CV222" s="55"/>
      <c r="CW222" s="55"/>
      <c r="CX222" s="55"/>
      <c r="CY222" s="55"/>
      <c r="CZ222" s="55"/>
      <c r="DA222" s="55"/>
      <c r="DB222" s="55"/>
      <c r="DC222" s="55"/>
      <c r="DD222" s="55"/>
      <c r="DE222" s="55"/>
      <c r="DF222" s="55"/>
      <c r="DG222" s="55"/>
      <c r="DH222" s="55"/>
      <c r="DI222" s="55"/>
      <c r="DJ222" s="55"/>
      <c r="DK222" s="55"/>
      <c r="DL222" s="55"/>
      <c r="DM222" s="55"/>
      <c r="DN222" s="55"/>
      <c r="DO222" s="55"/>
      <c r="DP222" s="55"/>
      <c r="DQ222" s="55"/>
      <c r="DR222" s="55"/>
      <c r="DS222" s="55"/>
      <c r="DT222" s="55"/>
      <c r="DU222" s="55"/>
      <c r="DV222" s="55"/>
      <c r="DW222" s="55"/>
      <c r="DX222" s="55"/>
      <c r="DY222" s="55"/>
      <c r="DZ222" s="55"/>
      <c r="EA222" s="55"/>
      <c r="EB222" s="55"/>
      <c r="EC222" s="55"/>
      <c r="ED222" s="55"/>
      <c r="EE222" s="55"/>
      <c r="EF222" s="55"/>
      <c r="EG222" s="55"/>
      <c r="EH222" s="55"/>
      <c r="EI222" s="55"/>
      <c r="EJ222" s="55"/>
      <c r="EK222" s="55"/>
      <c r="EL222" s="55"/>
      <c r="EM222" s="55"/>
      <c r="EN222" s="55"/>
      <c r="EO222" s="55"/>
      <c r="EP222" s="55"/>
      <c r="EQ222" s="55"/>
      <c r="ER222" s="55"/>
      <c r="ES222" s="55"/>
      <c r="ET222" s="55"/>
      <c r="EU222" s="55"/>
      <c r="EV222" s="55"/>
      <c r="EW222" s="55"/>
      <c r="EX222" s="55"/>
      <c r="EY222" s="55"/>
      <c r="EZ222" s="55"/>
      <c r="FA222" s="55"/>
      <c r="FB222" s="55"/>
      <c r="FC222" s="55"/>
      <c r="FD222" s="55"/>
      <c r="FE222" s="55"/>
      <c r="FF222" s="55"/>
      <c r="FG222" s="55"/>
      <c r="FH222" s="55"/>
      <c r="FI222" s="55"/>
      <c r="FJ222" s="55"/>
      <c r="FK222" s="55"/>
      <c r="FL222" s="55"/>
      <c r="FM222" s="55"/>
      <c r="FN222" s="55"/>
      <c r="FO222" s="55"/>
      <c r="FP222" s="55"/>
      <c r="FQ222" s="55"/>
      <c r="FR222" s="55"/>
      <c r="FS222" s="55"/>
      <c r="FT222" s="55"/>
      <c r="FU222" s="55"/>
      <c r="FV222" s="55"/>
      <c r="FW222" s="55"/>
      <c r="FX222" s="55"/>
      <c r="FY222" s="55"/>
      <c r="FZ222" s="55"/>
      <c r="GA222" s="55"/>
      <c r="GB222" s="55"/>
      <c r="GC222" s="55"/>
      <c r="GD222" s="55"/>
      <c r="GE222" s="55"/>
      <c r="GF222" s="55"/>
      <c r="GG222" s="55"/>
      <c r="GH222" s="55"/>
      <c r="GI222" s="55"/>
      <c r="GJ222" s="55"/>
      <c r="GK222" s="55"/>
      <c r="GL222" s="55"/>
      <c r="GM222" s="55"/>
      <c r="GN222" s="55"/>
      <c r="GO222" s="55"/>
      <c r="GP222" s="55"/>
      <c r="GQ222" s="55"/>
      <c r="GR222" s="55"/>
      <c r="GS222" s="55"/>
      <c r="GT222" s="55"/>
      <c r="GU222" s="55"/>
      <c r="GV222" s="55"/>
      <c r="GW222" s="55"/>
      <c r="GX222" s="55"/>
      <c r="GY222" s="55"/>
      <c r="GZ222" s="55"/>
      <c r="HA222" s="55"/>
      <c r="HB222" s="55"/>
      <c r="HC222" s="55"/>
      <c r="HD222" s="55"/>
      <c r="HE222" s="55"/>
      <c r="HF222" s="55"/>
      <c r="HG222" s="55"/>
      <c r="HH222" s="55"/>
      <c r="HI222" s="55"/>
      <c r="HJ222" s="55"/>
      <c r="HK222" s="55"/>
      <c r="HL222" s="55"/>
      <c r="HM222" s="55"/>
      <c r="HN222" s="55"/>
      <c r="HO222" s="55"/>
      <c r="HP222" s="55"/>
      <c r="HQ222" s="55"/>
      <c r="HR222" s="55"/>
      <c r="HS222" s="55"/>
      <c r="HT222" s="55"/>
      <c r="HU222" s="55"/>
      <c r="HV222" s="55"/>
      <c r="HW222" s="55"/>
      <c r="HX222" s="55"/>
      <c r="HY222" s="55"/>
      <c r="HZ222" s="55"/>
      <c r="IA222" s="55"/>
      <c r="IB222" s="55"/>
      <c r="IC222" s="55"/>
      <c r="ID222" s="55"/>
    </row>
    <row r="223" s="52" customFormat="1" ht="30" customHeight="1" spans="1:238">
      <c r="A223" s="64" t="s">
        <v>95</v>
      </c>
      <c r="B223" s="64" t="s">
        <v>935</v>
      </c>
      <c r="C223" s="64" t="s">
        <v>936</v>
      </c>
      <c r="D223" s="65"/>
      <c r="E223" s="77"/>
      <c r="F223" s="77" t="s">
        <v>35</v>
      </c>
      <c r="G223" s="64" t="s">
        <v>110</v>
      </c>
      <c r="H223" s="78">
        <v>462</v>
      </c>
      <c r="I223" s="78">
        <v>416</v>
      </c>
      <c r="J223" s="83"/>
      <c r="K223" s="83"/>
      <c r="L223" s="83"/>
      <c r="M223" s="41">
        <v>405</v>
      </c>
      <c r="N223" s="41">
        <v>365</v>
      </c>
      <c r="O223" s="41">
        <v>310</v>
      </c>
      <c r="P223" s="64" t="s">
        <v>37</v>
      </c>
      <c r="Q223" s="64" t="s">
        <v>35</v>
      </c>
      <c r="R223" s="64" t="s">
        <v>35</v>
      </c>
      <c r="S223" s="83"/>
      <c r="T223" s="77" t="s">
        <v>186</v>
      </c>
      <c r="U223" s="105" t="s">
        <v>937</v>
      </c>
      <c r="V223" s="105">
        <v>33040700402</v>
      </c>
      <c r="W223" s="106" t="s">
        <v>938</v>
      </c>
      <c r="X223" s="105"/>
      <c r="Y223" s="105"/>
      <c r="Z223" s="105" t="s">
        <v>36</v>
      </c>
      <c r="AA223" s="110" t="s">
        <v>35</v>
      </c>
      <c r="AB223" s="50">
        <v>1755</v>
      </c>
      <c r="AC223" s="50">
        <v>1585</v>
      </c>
      <c r="AD223" s="50">
        <v>1345</v>
      </c>
      <c r="AE223" s="112" t="s">
        <v>37</v>
      </c>
      <c r="AF223" s="60"/>
      <c r="AG223" s="55"/>
      <c r="AH223" s="55"/>
      <c r="AI223" s="55"/>
      <c r="AJ223" s="55"/>
      <c r="AK223" s="55"/>
      <c r="AL223" s="55"/>
      <c r="AM223" s="55"/>
      <c r="AN223" s="55"/>
      <c r="AO223" s="55"/>
      <c r="AP223" s="55"/>
      <c r="AQ223" s="55"/>
      <c r="AR223" s="55"/>
      <c r="AS223" s="55"/>
      <c r="AT223" s="55"/>
      <c r="AU223" s="55"/>
      <c r="AV223" s="55"/>
      <c r="AW223" s="55"/>
      <c r="AX223" s="55"/>
      <c r="AY223" s="55"/>
      <c r="AZ223" s="55"/>
      <c r="BA223" s="55"/>
      <c r="BB223" s="55"/>
      <c r="BC223" s="55"/>
      <c r="BD223" s="55"/>
      <c r="BE223" s="55"/>
      <c r="BF223" s="55"/>
      <c r="BG223" s="55"/>
      <c r="BH223" s="55"/>
      <c r="BI223" s="55"/>
      <c r="BJ223" s="55"/>
      <c r="BK223" s="55"/>
      <c r="BL223" s="55"/>
      <c r="BM223" s="55"/>
      <c r="BN223" s="55"/>
      <c r="BO223" s="55"/>
      <c r="BP223" s="55"/>
      <c r="BQ223" s="55"/>
      <c r="BR223" s="55"/>
      <c r="BS223" s="55"/>
      <c r="BT223" s="55"/>
      <c r="BU223" s="55"/>
      <c r="BV223" s="55"/>
      <c r="BW223" s="55"/>
      <c r="BX223" s="55"/>
      <c r="BY223" s="55"/>
      <c r="BZ223" s="55"/>
      <c r="CA223" s="55"/>
      <c r="CB223" s="55"/>
      <c r="CC223" s="55"/>
      <c r="CD223" s="55"/>
      <c r="CE223" s="55"/>
      <c r="CF223" s="55"/>
      <c r="CG223" s="55"/>
      <c r="CH223" s="55"/>
      <c r="CI223" s="55"/>
      <c r="CJ223" s="55"/>
      <c r="CK223" s="55"/>
      <c r="CL223" s="55"/>
      <c r="CM223" s="55"/>
      <c r="CN223" s="55"/>
      <c r="CO223" s="55"/>
      <c r="CP223" s="55"/>
      <c r="CQ223" s="55"/>
      <c r="CR223" s="55"/>
      <c r="CS223" s="55"/>
      <c r="CT223" s="55"/>
      <c r="CU223" s="55"/>
      <c r="CV223" s="55"/>
      <c r="CW223" s="55"/>
      <c r="CX223" s="55"/>
      <c r="CY223" s="55"/>
      <c r="CZ223" s="55"/>
      <c r="DA223" s="55"/>
      <c r="DB223" s="55"/>
      <c r="DC223" s="55"/>
      <c r="DD223" s="55"/>
      <c r="DE223" s="55"/>
      <c r="DF223" s="55"/>
      <c r="DG223" s="55"/>
      <c r="DH223" s="55"/>
      <c r="DI223" s="55"/>
      <c r="DJ223" s="55"/>
      <c r="DK223" s="55"/>
      <c r="DL223" s="55"/>
      <c r="DM223" s="55"/>
      <c r="DN223" s="55"/>
      <c r="DO223" s="55"/>
      <c r="DP223" s="55"/>
      <c r="DQ223" s="55"/>
      <c r="DR223" s="55"/>
      <c r="DS223" s="55"/>
      <c r="DT223" s="55"/>
      <c r="DU223" s="55"/>
      <c r="DV223" s="55"/>
      <c r="DW223" s="55"/>
      <c r="DX223" s="55"/>
      <c r="DY223" s="55"/>
      <c r="DZ223" s="55"/>
      <c r="EA223" s="55"/>
      <c r="EB223" s="55"/>
      <c r="EC223" s="55"/>
      <c r="ED223" s="55"/>
      <c r="EE223" s="55"/>
      <c r="EF223" s="55"/>
      <c r="EG223" s="55"/>
      <c r="EH223" s="55"/>
      <c r="EI223" s="55"/>
      <c r="EJ223" s="55"/>
      <c r="EK223" s="55"/>
      <c r="EL223" s="55"/>
      <c r="EM223" s="55"/>
      <c r="EN223" s="55"/>
      <c r="EO223" s="55"/>
      <c r="EP223" s="55"/>
      <c r="EQ223" s="55"/>
      <c r="ER223" s="55"/>
      <c r="ES223" s="55"/>
      <c r="ET223" s="55"/>
      <c r="EU223" s="55"/>
      <c r="EV223" s="55"/>
      <c r="EW223" s="55"/>
      <c r="EX223" s="55"/>
      <c r="EY223" s="55"/>
      <c r="EZ223" s="55"/>
      <c r="FA223" s="55"/>
      <c r="FB223" s="55"/>
      <c r="FC223" s="55"/>
      <c r="FD223" s="55"/>
      <c r="FE223" s="55"/>
      <c r="FF223" s="55"/>
      <c r="FG223" s="55"/>
      <c r="FH223" s="55"/>
      <c r="FI223" s="55"/>
      <c r="FJ223" s="55"/>
      <c r="FK223" s="55"/>
      <c r="FL223" s="55"/>
      <c r="FM223" s="55"/>
      <c r="FN223" s="55"/>
      <c r="FO223" s="55"/>
      <c r="FP223" s="55"/>
      <c r="FQ223" s="55"/>
      <c r="FR223" s="55"/>
      <c r="FS223" s="55"/>
      <c r="FT223" s="55"/>
      <c r="FU223" s="55"/>
      <c r="FV223" s="55"/>
      <c r="FW223" s="55"/>
      <c r="FX223" s="55"/>
      <c r="FY223" s="55"/>
      <c r="FZ223" s="55"/>
      <c r="GA223" s="55"/>
      <c r="GB223" s="55"/>
      <c r="GC223" s="55"/>
      <c r="GD223" s="55"/>
      <c r="GE223" s="55"/>
      <c r="GF223" s="55"/>
      <c r="GG223" s="55"/>
      <c r="GH223" s="55"/>
      <c r="GI223" s="55"/>
      <c r="GJ223" s="55"/>
      <c r="GK223" s="55"/>
      <c r="GL223" s="55"/>
      <c r="GM223" s="55"/>
      <c r="GN223" s="55"/>
      <c r="GO223" s="55"/>
      <c r="GP223" s="55"/>
      <c r="GQ223" s="55"/>
      <c r="GR223" s="55"/>
      <c r="GS223" s="55"/>
      <c r="GT223" s="55"/>
      <c r="GU223" s="55"/>
      <c r="GV223" s="55"/>
      <c r="GW223" s="55"/>
      <c r="GX223" s="55"/>
      <c r="GY223" s="55"/>
      <c r="GZ223" s="55"/>
      <c r="HA223" s="55"/>
      <c r="HB223" s="55"/>
      <c r="HC223" s="55"/>
      <c r="HD223" s="55"/>
      <c r="HE223" s="55"/>
      <c r="HF223" s="55"/>
      <c r="HG223" s="55"/>
      <c r="HH223" s="55"/>
      <c r="HI223" s="55"/>
      <c r="HJ223" s="55"/>
      <c r="HK223" s="55"/>
      <c r="HL223" s="55"/>
      <c r="HM223" s="55"/>
      <c r="HN223" s="55"/>
      <c r="HO223" s="55"/>
      <c r="HP223" s="55"/>
      <c r="HQ223" s="55"/>
      <c r="HR223" s="55"/>
      <c r="HS223" s="55"/>
      <c r="HT223" s="55"/>
      <c r="HU223" s="55"/>
      <c r="HV223" s="55"/>
      <c r="HW223" s="55"/>
      <c r="HX223" s="55"/>
      <c r="HY223" s="55"/>
      <c r="HZ223" s="55"/>
      <c r="IA223" s="55"/>
      <c r="IB223" s="55"/>
      <c r="IC223" s="55"/>
      <c r="ID223" s="55"/>
    </row>
    <row r="224" s="52" customFormat="1" ht="30" customHeight="1" spans="1:238">
      <c r="A224" s="64"/>
      <c r="B224" s="64"/>
      <c r="C224" s="64"/>
      <c r="D224" s="65"/>
      <c r="E224" s="77"/>
      <c r="F224" s="77"/>
      <c r="G224" s="64"/>
      <c r="H224" s="42"/>
      <c r="I224" s="42"/>
      <c r="J224" s="83"/>
      <c r="K224" s="83"/>
      <c r="L224" s="83"/>
      <c r="M224" s="41"/>
      <c r="N224" s="41"/>
      <c r="O224" s="41"/>
      <c r="P224" s="64"/>
      <c r="Q224" s="64"/>
      <c r="R224" s="64"/>
      <c r="S224" s="83"/>
      <c r="T224" s="77"/>
      <c r="U224" s="105" t="s">
        <v>939</v>
      </c>
      <c r="V224" s="105">
        <v>33040700403</v>
      </c>
      <c r="W224" s="106" t="s">
        <v>940</v>
      </c>
      <c r="X224" s="105" t="s">
        <v>35</v>
      </c>
      <c r="Y224" s="105"/>
      <c r="Z224" s="105" t="s">
        <v>36</v>
      </c>
      <c r="AA224" s="110" t="s">
        <v>934</v>
      </c>
      <c r="AB224" s="50">
        <v>1690</v>
      </c>
      <c r="AC224" s="50">
        <v>1520</v>
      </c>
      <c r="AD224" s="50">
        <v>1290</v>
      </c>
      <c r="AE224" s="112" t="s">
        <v>37</v>
      </c>
      <c r="AF224" s="60"/>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c r="BC224" s="55"/>
      <c r="BD224" s="55"/>
      <c r="BE224" s="55"/>
      <c r="BF224" s="55"/>
      <c r="BG224" s="55"/>
      <c r="BH224" s="55"/>
      <c r="BI224" s="55"/>
      <c r="BJ224" s="55"/>
      <c r="BK224" s="55"/>
      <c r="BL224" s="55"/>
      <c r="BM224" s="55"/>
      <c r="BN224" s="55"/>
      <c r="BO224" s="55"/>
      <c r="BP224" s="55"/>
      <c r="BQ224" s="55"/>
      <c r="BR224" s="55"/>
      <c r="BS224" s="55"/>
      <c r="BT224" s="55"/>
      <c r="BU224" s="55"/>
      <c r="BV224" s="55"/>
      <c r="BW224" s="55"/>
      <c r="BX224" s="55"/>
      <c r="BY224" s="55"/>
      <c r="BZ224" s="55"/>
      <c r="CA224" s="55"/>
      <c r="CB224" s="55"/>
      <c r="CC224" s="55"/>
      <c r="CD224" s="55"/>
      <c r="CE224" s="55"/>
      <c r="CF224" s="55"/>
      <c r="CG224" s="55"/>
      <c r="CH224" s="55"/>
      <c r="CI224" s="55"/>
      <c r="CJ224" s="55"/>
      <c r="CK224" s="55"/>
      <c r="CL224" s="55"/>
      <c r="CM224" s="55"/>
      <c r="CN224" s="55"/>
      <c r="CO224" s="55"/>
      <c r="CP224" s="55"/>
      <c r="CQ224" s="55"/>
      <c r="CR224" s="55"/>
      <c r="CS224" s="55"/>
      <c r="CT224" s="55"/>
      <c r="CU224" s="55"/>
      <c r="CV224" s="55"/>
      <c r="CW224" s="55"/>
      <c r="CX224" s="55"/>
      <c r="CY224" s="55"/>
      <c r="CZ224" s="55"/>
      <c r="DA224" s="55"/>
      <c r="DB224" s="55"/>
      <c r="DC224" s="55"/>
      <c r="DD224" s="55"/>
      <c r="DE224" s="55"/>
      <c r="DF224" s="55"/>
      <c r="DG224" s="55"/>
      <c r="DH224" s="55"/>
      <c r="DI224" s="55"/>
      <c r="DJ224" s="55"/>
      <c r="DK224" s="55"/>
      <c r="DL224" s="55"/>
      <c r="DM224" s="55"/>
      <c r="DN224" s="55"/>
      <c r="DO224" s="55"/>
      <c r="DP224" s="55"/>
      <c r="DQ224" s="55"/>
      <c r="DR224" s="55"/>
      <c r="DS224" s="55"/>
      <c r="DT224" s="55"/>
      <c r="DU224" s="55"/>
      <c r="DV224" s="55"/>
      <c r="DW224" s="55"/>
      <c r="DX224" s="55"/>
      <c r="DY224" s="55"/>
      <c r="DZ224" s="55"/>
      <c r="EA224" s="55"/>
      <c r="EB224" s="55"/>
      <c r="EC224" s="55"/>
      <c r="ED224" s="55"/>
      <c r="EE224" s="55"/>
      <c r="EF224" s="55"/>
      <c r="EG224" s="55"/>
      <c r="EH224" s="55"/>
      <c r="EI224" s="55"/>
      <c r="EJ224" s="55"/>
      <c r="EK224" s="55"/>
      <c r="EL224" s="55"/>
      <c r="EM224" s="55"/>
      <c r="EN224" s="55"/>
      <c r="EO224" s="55"/>
      <c r="EP224" s="55"/>
      <c r="EQ224" s="55"/>
      <c r="ER224" s="55"/>
      <c r="ES224" s="55"/>
      <c r="ET224" s="55"/>
      <c r="EU224" s="55"/>
      <c r="EV224" s="55"/>
      <c r="EW224" s="55"/>
      <c r="EX224" s="55"/>
      <c r="EY224" s="55"/>
      <c r="EZ224" s="55"/>
      <c r="FA224" s="55"/>
      <c r="FB224" s="55"/>
      <c r="FC224" s="55"/>
      <c r="FD224" s="55"/>
      <c r="FE224" s="55"/>
      <c r="FF224" s="55"/>
      <c r="FG224" s="55"/>
      <c r="FH224" s="55"/>
      <c r="FI224" s="55"/>
      <c r="FJ224" s="55"/>
      <c r="FK224" s="55"/>
      <c r="FL224" s="55"/>
      <c r="FM224" s="55"/>
      <c r="FN224" s="55"/>
      <c r="FO224" s="55"/>
      <c r="FP224" s="55"/>
      <c r="FQ224" s="55"/>
      <c r="FR224" s="55"/>
      <c r="FS224" s="55"/>
      <c r="FT224" s="55"/>
      <c r="FU224" s="55"/>
      <c r="FV224" s="55"/>
      <c r="FW224" s="55"/>
      <c r="FX224" s="55"/>
      <c r="FY224" s="55"/>
      <c r="FZ224" s="55"/>
      <c r="GA224" s="55"/>
      <c r="GB224" s="55"/>
      <c r="GC224" s="55"/>
      <c r="GD224" s="55"/>
      <c r="GE224" s="55"/>
      <c r="GF224" s="55"/>
      <c r="GG224" s="55"/>
      <c r="GH224" s="55"/>
      <c r="GI224" s="55"/>
      <c r="GJ224" s="55"/>
      <c r="GK224" s="55"/>
      <c r="GL224" s="55"/>
      <c r="GM224" s="55"/>
      <c r="GN224" s="55"/>
      <c r="GO224" s="55"/>
      <c r="GP224" s="55"/>
      <c r="GQ224" s="55"/>
      <c r="GR224" s="55"/>
      <c r="GS224" s="55"/>
      <c r="GT224" s="55"/>
      <c r="GU224" s="55"/>
      <c r="GV224" s="55"/>
      <c r="GW224" s="55"/>
      <c r="GX224" s="55"/>
      <c r="GY224" s="55"/>
      <c r="GZ224" s="55"/>
      <c r="HA224" s="55"/>
      <c r="HB224" s="55"/>
      <c r="HC224" s="55"/>
      <c r="HD224" s="55"/>
      <c r="HE224" s="55"/>
      <c r="HF224" s="55"/>
      <c r="HG224" s="55"/>
      <c r="HH224" s="55"/>
      <c r="HI224" s="55"/>
      <c r="HJ224" s="55"/>
      <c r="HK224" s="55"/>
      <c r="HL224" s="55"/>
      <c r="HM224" s="55"/>
      <c r="HN224" s="55"/>
      <c r="HO224" s="55"/>
      <c r="HP224" s="55"/>
      <c r="HQ224" s="55"/>
      <c r="HR224" s="55"/>
      <c r="HS224" s="55"/>
      <c r="HT224" s="55"/>
      <c r="HU224" s="55"/>
      <c r="HV224" s="55"/>
      <c r="HW224" s="55"/>
      <c r="HX224" s="55"/>
      <c r="HY224" s="55"/>
      <c r="HZ224" s="55"/>
      <c r="IA224" s="55"/>
      <c r="IB224" s="55"/>
      <c r="IC224" s="55"/>
      <c r="ID224" s="55"/>
    </row>
    <row r="225" s="52" customFormat="1" ht="25" customHeight="1" spans="1:238">
      <c r="A225" s="64">
        <v>69</v>
      </c>
      <c r="B225" s="64" t="s">
        <v>941</v>
      </c>
      <c r="C225" s="64" t="s">
        <v>942</v>
      </c>
      <c r="D225" s="65" t="s">
        <v>943</v>
      </c>
      <c r="E225" s="77" t="s">
        <v>925</v>
      </c>
      <c r="F225" s="77" t="s">
        <v>944</v>
      </c>
      <c r="G225" s="64" t="s">
        <v>110</v>
      </c>
      <c r="H225" s="78">
        <v>4500</v>
      </c>
      <c r="I225" s="78">
        <v>4050</v>
      </c>
      <c r="J225" s="84">
        <v>4324.41220238095</v>
      </c>
      <c r="K225" s="84">
        <v>4203.62453531598</v>
      </c>
      <c r="L225" s="84" t="e">
        <v>#DIV/0!</v>
      </c>
      <c r="M225" s="41">
        <v>4325</v>
      </c>
      <c r="N225" s="41">
        <v>4050</v>
      </c>
      <c r="O225" s="41">
        <v>3450</v>
      </c>
      <c r="P225" s="64" t="s">
        <v>37</v>
      </c>
      <c r="Q225" s="64" t="s">
        <v>35</v>
      </c>
      <c r="R225" s="64" t="s">
        <v>35</v>
      </c>
      <c r="S225" s="83" t="s">
        <v>191</v>
      </c>
      <c r="T225" s="77" t="s">
        <v>945</v>
      </c>
      <c r="U225" s="105" t="s">
        <v>946</v>
      </c>
      <c r="V225" s="105">
        <v>330407005</v>
      </c>
      <c r="W225" s="106" t="s">
        <v>947</v>
      </c>
      <c r="X225" s="105" t="s">
        <v>948</v>
      </c>
      <c r="Y225" s="105" t="s">
        <v>949</v>
      </c>
      <c r="Z225" s="105" t="s">
        <v>36</v>
      </c>
      <c r="AA225" s="110" t="s">
        <v>950</v>
      </c>
      <c r="AB225" s="50">
        <v>4275</v>
      </c>
      <c r="AC225" s="50">
        <v>4050</v>
      </c>
      <c r="AD225" s="50">
        <v>3450</v>
      </c>
      <c r="AE225" s="112" t="s">
        <v>37</v>
      </c>
      <c r="AF225" s="60"/>
      <c r="AG225" s="55"/>
      <c r="AH225" s="55"/>
      <c r="AI225" s="55"/>
      <c r="AJ225" s="55"/>
      <c r="AK225" s="55"/>
      <c r="AL225" s="55"/>
      <c r="AM225" s="55"/>
      <c r="AN225" s="55"/>
      <c r="AO225" s="55"/>
      <c r="AP225" s="55"/>
      <c r="AQ225" s="55"/>
      <c r="AR225" s="55"/>
      <c r="AS225" s="55"/>
      <c r="AT225" s="55"/>
      <c r="AU225" s="55"/>
      <c r="AV225" s="55"/>
      <c r="AW225" s="55"/>
      <c r="AX225" s="55"/>
      <c r="AY225" s="55"/>
      <c r="AZ225" s="55"/>
      <c r="BA225" s="55"/>
      <c r="BB225" s="55"/>
      <c r="BC225" s="55"/>
      <c r="BD225" s="55"/>
      <c r="BE225" s="55"/>
      <c r="BF225" s="55"/>
      <c r="BG225" s="55"/>
      <c r="BH225" s="55"/>
      <c r="BI225" s="55"/>
      <c r="BJ225" s="55"/>
      <c r="BK225" s="55"/>
      <c r="BL225" s="55"/>
      <c r="BM225" s="55"/>
      <c r="BN225" s="55"/>
      <c r="BO225" s="55"/>
      <c r="BP225" s="55"/>
      <c r="BQ225" s="55"/>
      <c r="BR225" s="55"/>
      <c r="BS225" s="55"/>
      <c r="BT225" s="55"/>
      <c r="BU225" s="55"/>
      <c r="BV225" s="55"/>
      <c r="BW225" s="55"/>
      <c r="BX225" s="55"/>
      <c r="BY225" s="55"/>
      <c r="BZ225" s="55"/>
      <c r="CA225" s="55"/>
      <c r="CB225" s="55"/>
      <c r="CC225" s="55"/>
      <c r="CD225" s="55"/>
      <c r="CE225" s="55"/>
      <c r="CF225" s="55"/>
      <c r="CG225" s="55"/>
      <c r="CH225" s="55"/>
      <c r="CI225" s="55"/>
      <c r="CJ225" s="55"/>
      <c r="CK225" s="55"/>
      <c r="CL225" s="55"/>
      <c r="CM225" s="55"/>
      <c r="CN225" s="55"/>
      <c r="CO225" s="55"/>
      <c r="CP225" s="55"/>
      <c r="CQ225" s="55"/>
      <c r="CR225" s="55"/>
      <c r="CS225" s="55"/>
      <c r="CT225" s="55"/>
      <c r="CU225" s="55"/>
      <c r="CV225" s="55"/>
      <c r="CW225" s="55"/>
      <c r="CX225" s="55"/>
      <c r="CY225" s="55"/>
      <c r="CZ225" s="55"/>
      <c r="DA225" s="55"/>
      <c r="DB225" s="55"/>
      <c r="DC225" s="55"/>
      <c r="DD225" s="55"/>
      <c r="DE225" s="55"/>
      <c r="DF225" s="55"/>
      <c r="DG225" s="55"/>
      <c r="DH225" s="55"/>
      <c r="DI225" s="55"/>
      <c r="DJ225" s="55"/>
      <c r="DK225" s="55"/>
      <c r="DL225" s="55"/>
      <c r="DM225" s="55"/>
      <c r="DN225" s="55"/>
      <c r="DO225" s="55"/>
      <c r="DP225" s="55"/>
      <c r="DQ225" s="55"/>
      <c r="DR225" s="55"/>
      <c r="DS225" s="55"/>
      <c r="DT225" s="55"/>
      <c r="DU225" s="55"/>
      <c r="DV225" s="55"/>
      <c r="DW225" s="55"/>
      <c r="DX225" s="55"/>
      <c r="DY225" s="55"/>
      <c r="DZ225" s="55"/>
      <c r="EA225" s="55"/>
      <c r="EB225" s="55"/>
      <c r="EC225" s="55"/>
      <c r="ED225" s="55"/>
      <c r="EE225" s="55"/>
      <c r="EF225" s="55"/>
      <c r="EG225" s="55"/>
      <c r="EH225" s="55"/>
      <c r="EI225" s="55"/>
      <c r="EJ225" s="55"/>
      <c r="EK225" s="55"/>
      <c r="EL225" s="55"/>
      <c r="EM225" s="55"/>
      <c r="EN225" s="55"/>
      <c r="EO225" s="55"/>
      <c r="EP225" s="55"/>
      <c r="EQ225" s="55"/>
      <c r="ER225" s="55"/>
      <c r="ES225" s="55"/>
      <c r="ET225" s="55"/>
      <c r="EU225" s="55"/>
      <c r="EV225" s="55"/>
      <c r="EW225" s="55"/>
      <c r="EX225" s="55"/>
      <c r="EY225" s="55"/>
      <c r="EZ225" s="55"/>
      <c r="FA225" s="55"/>
      <c r="FB225" s="55"/>
      <c r="FC225" s="55"/>
      <c r="FD225" s="55"/>
      <c r="FE225" s="55"/>
      <c r="FF225" s="55"/>
      <c r="FG225" s="55"/>
      <c r="FH225" s="55"/>
      <c r="FI225" s="55"/>
      <c r="FJ225" s="55"/>
      <c r="FK225" s="55"/>
      <c r="FL225" s="55"/>
      <c r="FM225" s="55"/>
      <c r="FN225" s="55"/>
      <c r="FO225" s="55"/>
      <c r="FP225" s="55"/>
      <c r="FQ225" s="55"/>
      <c r="FR225" s="55"/>
      <c r="FS225" s="55"/>
      <c r="FT225" s="55"/>
      <c r="FU225" s="55"/>
      <c r="FV225" s="55"/>
      <c r="FW225" s="55"/>
      <c r="FX225" s="55"/>
      <c r="FY225" s="55"/>
      <c r="FZ225" s="55"/>
      <c r="GA225" s="55"/>
      <c r="GB225" s="55"/>
      <c r="GC225" s="55"/>
      <c r="GD225" s="55"/>
      <c r="GE225" s="55"/>
      <c r="GF225" s="55"/>
      <c r="GG225" s="55"/>
      <c r="GH225" s="55"/>
      <c r="GI225" s="55"/>
      <c r="GJ225" s="55"/>
      <c r="GK225" s="55"/>
      <c r="GL225" s="55"/>
      <c r="GM225" s="55"/>
      <c r="GN225" s="55"/>
      <c r="GO225" s="55"/>
      <c r="GP225" s="55"/>
      <c r="GQ225" s="55"/>
      <c r="GR225" s="55"/>
      <c r="GS225" s="55"/>
      <c r="GT225" s="55"/>
      <c r="GU225" s="55"/>
      <c r="GV225" s="55"/>
      <c r="GW225" s="55"/>
      <c r="GX225" s="55"/>
      <c r="GY225" s="55"/>
      <c r="GZ225" s="55"/>
      <c r="HA225" s="55"/>
      <c r="HB225" s="55"/>
      <c r="HC225" s="55"/>
      <c r="HD225" s="55"/>
      <c r="HE225" s="55"/>
      <c r="HF225" s="55"/>
      <c r="HG225" s="55"/>
      <c r="HH225" s="55"/>
      <c r="HI225" s="55"/>
      <c r="HJ225" s="55"/>
      <c r="HK225" s="55"/>
      <c r="HL225" s="55"/>
      <c r="HM225" s="55"/>
      <c r="HN225" s="55"/>
      <c r="HO225" s="55"/>
      <c r="HP225" s="55"/>
      <c r="HQ225" s="55"/>
      <c r="HR225" s="55"/>
      <c r="HS225" s="55"/>
      <c r="HT225" s="55"/>
      <c r="HU225" s="55"/>
      <c r="HV225" s="55"/>
      <c r="HW225" s="55"/>
      <c r="HX225" s="55"/>
      <c r="HY225" s="55"/>
      <c r="HZ225" s="55"/>
      <c r="IA225" s="55"/>
      <c r="IB225" s="55"/>
      <c r="IC225" s="55"/>
      <c r="ID225" s="55"/>
    </row>
    <row r="226" s="52" customFormat="1" ht="25" customHeight="1" spans="1:238">
      <c r="A226" s="64"/>
      <c r="B226" s="64"/>
      <c r="C226" s="64"/>
      <c r="D226" s="65"/>
      <c r="E226" s="77"/>
      <c r="F226" s="77"/>
      <c r="G226" s="64"/>
      <c r="H226" s="42"/>
      <c r="I226" s="42"/>
      <c r="J226" s="84"/>
      <c r="K226" s="84"/>
      <c r="L226" s="84"/>
      <c r="M226" s="41"/>
      <c r="N226" s="41"/>
      <c r="O226" s="41"/>
      <c r="P226" s="64"/>
      <c r="Q226" s="64"/>
      <c r="R226" s="64"/>
      <c r="S226" s="83"/>
      <c r="T226" s="77"/>
      <c r="U226" s="105" t="s">
        <v>951</v>
      </c>
      <c r="V226" s="105">
        <v>33040700501</v>
      </c>
      <c r="W226" s="106" t="s">
        <v>952</v>
      </c>
      <c r="X226" s="105"/>
      <c r="Y226" s="105"/>
      <c r="Z226" s="105" t="s">
        <v>36</v>
      </c>
      <c r="AA226" s="110" t="s">
        <v>35</v>
      </c>
      <c r="AB226" s="50">
        <v>4500</v>
      </c>
      <c r="AC226" s="50">
        <v>4275</v>
      </c>
      <c r="AD226" s="50">
        <v>3650</v>
      </c>
      <c r="AE226" s="112" t="s">
        <v>37</v>
      </c>
      <c r="AF226" s="60"/>
      <c r="AG226" s="55"/>
      <c r="AH226" s="55"/>
      <c r="AI226" s="55"/>
      <c r="AJ226" s="55"/>
      <c r="AK226" s="55"/>
      <c r="AL226" s="55"/>
      <c r="AM226" s="55"/>
      <c r="AN226" s="55"/>
      <c r="AO226" s="55"/>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c r="BM226" s="55"/>
      <c r="BN226" s="55"/>
      <c r="BO226" s="55"/>
      <c r="BP226" s="55"/>
      <c r="BQ226" s="55"/>
      <c r="BR226" s="55"/>
      <c r="BS226" s="55"/>
      <c r="BT226" s="55"/>
      <c r="BU226" s="55"/>
      <c r="BV226" s="55"/>
      <c r="BW226" s="55"/>
      <c r="BX226" s="55"/>
      <c r="BY226" s="55"/>
      <c r="BZ226" s="55"/>
      <c r="CA226" s="55"/>
      <c r="CB226" s="55"/>
      <c r="CC226" s="55"/>
      <c r="CD226" s="55"/>
      <c r="CE226" s="55"/>
      <c r="CF226" s="55"/>
      <c r="CG226" s="55"/>
      <c r="CH226" s="55"/>
      <c r="CI226" s="55"/>
      <c r="CJ226" s="55"/>
      <c r="CK226" s="55"/>
      <c r="CL226" s="55"/>
      <c r="CM226" s="55"/>
      <c r="CN226" s="55"/>
      <c r="CO226" s="55"/>
      <c r="CP226" s="55"/>
      <c r="CQ226" s="55"/>
      <c r="CR226" s="55"/>
      <c r="CS226" s="55"/>
      <c r="CT226" s="55"/>
      <c r="CU226" s="55"/>
      <c r="CV226" s="55"/>
      <c r="CW226" s="55"/>
      <c r="CX226" s="55"/>
      <c r="CY226" s="55"/>
      <c r="CZ226" s="55"/>
      <c r="DA226" s="55"/>
      <c r="DB226" s="55"/>
      <c r="DC226" s="55"/>
      <c r="DD226" s="55"/>
      <c r="DE226" s="55"/>
      <c r="DF226" s="55"/>
      <c r="DG226" s="55"/>
      <c r="DH226" s="55"/>
      <c r="DI226" s="55"/>
      <c r="DJ226" s="55"/>
      <c r="DK226" s="55"/>
      <c r="DL226" s="55"/>
      <c r="DM226" s="55"/>
      <c r="DN226" s="55"/>
      <c r="DO226" s="55"/>
      <c r="DP226" s="55"/>
      <c r="DQ226" s="55"/>
      <c r="DR226" s="55"/>
      <c r="DS226" s="55"/>
      <c r="DT226" s="55"/>
      <c r="DU226" s="55"/>
      <c r="DV226" s="55"/>
      <c r="DW226" s="55"/>
      <c r="DX226" s="55"/>
      <c r="DY226" s="55"/>
      <c r="DZ226" s="55"/>
      <c r="EA226" s="55"/>
      <c r="EB226" s="55"/>
      <c r="EC226" s="55"/>
      <c r="ED226" s="55"/>
      <c r="EE226" s="55"/>
      <c r="EF226" s="55"/>
      <c r="EG226" s="55"/>
      <c r="EH226" s="55"/>
      <c r="EI226" s="55"/>
      <c r="EJ226" s="55"/>
      <c r="EK226" s="55"/>
      <c r="EL226" s="55"/>
      <c r="EM226" s="55"/>
      <c r="EN226" s="55"/>
      <c r="EO226" s="55"/>
      <c r="EP226" s="55"/>
      <c r="EQ226" s="55"/>
      <c r="ER226" s="55"/>
      <c r="ES226" s="55"/>
      <c r="ET226" s="55"/>
      <c r="EU226" s="55"/>
      <c r="EV226" s="55"/>
      <c r="EW226" s="55"/>
      <c r="EX226" s="55"/>
      <c r="EY226" s="55"/>
      <c r="EZ226" s="55"/>
      <c r="FA226" s="55"/>
      <c r="FB226" s="55"/>
      <c r="FC226" s="55"/>
      <c r="FD226" s="55"/>
      <c r="FE226" s="55"/>
      <c r="FF226" s="55"/>
      <c r="FG226" s="55"/>
      <c r="FH226" s="55"/>
      <c r="FI226" s="55"/>
      <c r="FJ226" s="55"/>
      <c r="FK226" s="55"/>
      <c r="FL226" s="55"/>
      <c r="FM226" s="55"/>
      <c r="FN226" s="55"/>
      <c r="FO226" s="55"/>
      <c r="FP226" s="55"/>
      <c r="FQ226" s="55"/>
      <c r="FR226" s="55"/>
      <c r="FS226" s="55"/>
      <c r="FT226" s="55"/>
      <c r="FU226" s="55"/>
      <c r="FV226" s="55"/>
      <c r="FW226" s="55"/>
      <c r="FX226" s="55"/>
      <c r="FY226" s="55"/>
      <c r="FZ226" s="55"/>
      <c r="GA226" s="55"/>
      <c r="GB226" s="55"/>
      <c r="GC226" s="55"/>
      <c r="GD226" s="55"/>
      <c r="GE226" s="55"/>
      <c r="GF226" s="55"/>
      <c r="GG226" s="55"/>
      <c r="GH226" s="55"/>
      <c r="GI226" s="55"/>
      <c r="GJ226" s="55"/>
      <c r="GK226" s="55"/>
      <c r="GL226" s="55"/>
      <c r="GM226" s="55"/>
      <c r="GN226" s="55"/>
      <c r="GO226" s="55"/>
      <c r="GP226" s="55"/>
      <c r="GQ226" s="55"/>
      <c r="GR226" s="55"/>
      <c r="GS226" s="55"/>
      <c r="GT226" s="55"/>
      <c r="GU226" s="55"/>
      <c r="GV226" s="55"/>
      <c r="GW226" s="55"/>
      <c r="GX226" s="55"/>
      <c r="GY226" s="55"/>
      <c r="GZ226" s="55"/>
      <c r="HA226" s="55"/>
      <c r="HB226" s="55"/>
      <c r="HC226" s="55"/>
      <c r="HD226" s="55"/>
      <c r="HE226" s="55"/>
      <c r="HF226" s="55"/>
      <c r="HG226" s="55"/>
      <c r="HH226" s="55"/>
      <c r="HI226" s="55"/>
      <c r="HJ226" s="55"/>
      <c r="HK226" s="55"/>
      <c r="HL226" s="55"/>
      <c r="HM226" s="55"/>
      <c r="HN226" s="55"/>
      <c r="HO226" s="55"/>
      <c r="HP226" s="55"/>
      <c r="HQ226" s="55"/>
      <c r="HR226" s="55"/>
      <c r="HS226" s="55"/>
      <c r="HT226" s="55"/>
      <c r="HU226" s="55"/>
      <c r="HV226" s="55"/>
      <c r="HW226" s="55"/>
      <c r="HX226" s="55"/>
      <c r="HY226" s="55"/>
      <c r="HZ226" s="55"/>
      <c r="IA226" s="55"/>
      <c r="IB226" s="55"/>
      <c r="IC226" s="55"/>
      <c r="ID226" s="55"/>
    </row>
    <row r="227" s="52" customFormat="1" ht="25" customHeight="1" spans="1:238">
      <c r="A227" s="64"/>
      <c r="B227" s="64"/>
      <c r="C227" s="64"/>
      <c r="D227" s="65"/>
      <c r="E227" s="77"/>
      <c r="F227" s="77"/>
      <c r="G227" s="64"/>
      <c r="H227" s="42"/>
      <c r="I227" s="42"/>
      <c r="J227" s="84"/>
      <c r="K227" s="84"/>
      <c r="L227" s="84"/>
      <c r="M227" s="41"/>
      <c r="N227" s="41"/>
      <c r="O227" s="41"/>
      <c r="P227" s="64"/>
      <c r="Q227" s="64"/>
      <c r="R227" s="64"/>
      <c r="S227" s="83"/>
      <c r="T227" s="77"/>
      <c r="U227" s="117" t="s">
        <v>953</v>
      </c>
      <c r="V227" s="117">
        <v>33040700504</v>
      </c>
      <c r="W227" s="118" t="s">
        <v>954</v>
      </c>
      <c r="X227" s="117" t="s">
        <v>955</v>
      </c>
      <c r="Y227" s="117" t="s">
        <v>956</v>
      </c>
      <c r="Z227" s="117" t="s">
        <v>36</v>
      </c>
      <c r="AA227" s="120" t="s">
        <v>35</v>
      </c>
      <c r="AB227" s="96">
        <v>4275</v>
      </c>
      <c r="AC227" s="96">
        <v>4050</v>
      </c>
      <c r="AD227" s="96">
        <v>3450</v>
      </c>
      <c r="AE227" s="143" t="s">
        <v>37</v>
      </c>
      <c r="AF227" s="131" t="s">
        <v>957</v>
      </c>
      <c r="AG227" s="55"/>
      <c r="AH227" s="55"/>
      <c r="AI227" s="55"/>
      <c r="AJ227" s="55"/>
      <c r="AK227" s="55"/>
      <c r="AL227" s="55"/>
      <c r="AM227" s="55"/>
      <c r="AN227" s="55"/>
      <c r="AO227" s="55"/>
      <c r="AP227" s="55"/>
      <c r="AQ227" s="55"/>
      <c r="AR227" s="55"/>
      <c r="AS227" s="55"/>
      <c r="AT227" s="55"/>
      <c r="AU227" s="55"/>
      <c r="AV227" s="55"/>
      <c r="AW227" s="55"/>
      <c r="AX227" s="55"/>
      <c r="AY227" s="55"/>
      <c r="AZ227" s="55"/>
      <c r="BA227" s="55"/>
      <c r="BB227" s="55"/>
      <c r="BC227" s="55"/>
      <c r="BD227" s="55"/>
      <c r="BE227" s="55"/>
      <c r="BF227" s="55"/>
      <c r="BG227" s="55"/>
      <c r="BH227" s="55"/>
      <c r="BI227" s="55"/>
      <c r="BJ227" s="55"/>
      <c r="BK227" s="55"/>
      <c r="BL227" s="55"/>
      <c r="BM227" s="55"/>
      <c r="BN227" s="55"/>
      <c r="BO227" s="55"/>
      <c r="BP227" s="55"/>
      <c r="BQ227" s="55"/>
      <c r="BR227" s="55"/>
      <c r="BS227" s="55"/>
      <c r="BT227" s="55"/>
      <c r="BU227" s="55"/>
      <c r="BV227" s="55"/>
      <c r="BW227" s="55"/>
      <c r="BX227" s="55"/>
      <c r="BY227" s="55"/>
      <c r="BZ227" s="55"/>
      <c r="CA227" s="55"/>
      <c r="CB227" s="55"/>
      <c r="CC227" s="55"/>
      <c r="CD227" s="55"/>
      <c r="CE227" s="55"/>
      <c r="CF227" s="55"/>
      <c r="CG227" s="55"/>
      <c r="CH227" s="55"/>
      <c r="CI227" s="55"/>
      <c r="CJ227" s="55"/>
      <c r="CK227" s="55"/>
      <c r="CL227" s="55"/>
      <c r="CM227" s="55"/>
      <c r="CN227" s="55"/>
      <c r="CO227" s="55"/>
      <c r="CP227" s="55"/>
      <c r="CQ227" s="55"/>
      <c r="CR227" s="55"/>
      <c r="CS227" s="55"/>
      <c r="CT227" s="55"/>
      <c r="CU227" s="55"/>
      <c r="CV227" s="55"/>
      <c r="CW227" s="55"/>
      <c r="CX227" s="55"/>
      <c r="CY227" s="55"/>
      <c r="CZ227" s="55"/>
      <c r="DA227" s="55"/>
      <c r="DB227" s="55"/>
      <c r="DC227" s="55"/>
      <c r="DD227" s="55"/>
      <c r="DE227" s="55"/>
      <c r="DF227" s="55"/>
      <c r="DG227" s="55"/>
      <c r="DH227" s="55"/>
      <c r="DI227" s="55"/>
      <c r="DJ227" s="55"/>
      <c r="DK227" s="55"/>
      <c r="DL227" s="55"/>
      <c r="DM227" s="55"/>
      <c r="DN227" s="55"/>
      <c r="DO227" s="55"/>
      <c r="DP227" s="55"/>
      <c r="DQ227" s="55"/>
      <c r="DR227" s="55"/>
      <c r="DS227" s="55"/>
      <c r="DT227" s="55"/>
      <c r="DU227" s="55"/>
      <c r="DV227" s="55"/>
      <c r="DW227" s="55"/>
      <c r="DX227" s="55"/>
      <c r="DY227" s="55"/>
      <c r="DZ227" s="55"/>
      <c r="EA227" s="55"/>
      <c r="EB227" s="55"/>
      <c r="EC227" s="55"/>
      <c r="ED227" s="55"/>
      <c r="EE227" s="55"/>
      <c r="EF227" s="55"/>
      <c r="EG227" s="55"/>
      <c r="EH227" s="55"/>
      <c r="EI227" s="55"/>
      <c r="EJ227" s="55"/>
      <c r="EK227" s="55"/>
      <c r="EL227" s="55"/>
      <c r="EM227" s="55"/>
      <c r="EN227" s="55"/>
      <c r="EO227" s="55"/>
      <c r="EP227" s="55"/>
      <c r="EQ227" s="55"/>
      <c r="ER227" s="55"/>
      <c r="ES227" s="55"/>
      <c r="ET227" s="55"/>
      <c r="EU227" s="55"/>
      <c r="EV227" s="55"/>
      <c r="EW227" s="55"/>
      <c r="EX227" s="55"/>
      <c r="EY227" s="55"/>
      <c r="EZ227" s="55"/>
      <c r="FA227" s="55"/>
      <c r="FB227" s="55"/>
      <c r="FC227" s="55"/>
      <c r="FD227" s="55"/>
      <c r="FE227" s="55"/>
      <c r="FF227" s="55"/>
      <c r="FG227" s="55"/>
      <c r="FH227" s="55"/>
      <c r="FI227" s="55"/>
      <c r="FJ227" s="55"/>
      <c r="FK227" s="55"/>
      <c r="FL227" s="55"/>
      <c r="FM227" s="55"/>
      <c r="FN227" s="55"/>
      <c r="FO227" s="55"/>
      <c r="FP227" s="55"/>
      <c r="FQ227" s="55"/>
      <c r="FR227" s="55"/>
      <c r="FS227" s="55"/>
      <c r="FT227" s="55"/>
      <c r="FU227" s="55"/>
      <c r="FV227" s="55"/>
      <c r="FW227" s="55"/>
      <c r="FX227" s="55"/>
      <c r="FY227" s="55"/>
      <c r="FZ227" s="55"/>
      <c r="GA227" s="55"/>
      <c r="GB227" s="55"/>
      <c r="GC227" s="55"/>
      <c r="GD227" s="55"/>
      <c r="GE227" s="55"/>
      <c r="GF227" s="55"/>
      <c r="GG227" s="55"/>
      <c r="GH227" s="55"/>
      <c r="GI227" s="55"/>
      <c r="GJ227" s="55"/>
      <c r="GK227" s="55"/>
      <c r="GL227" s="55"/>
      <c r="GM227" s="55"/>
      <c r="GN227" s="55"/>
      <c r="GO227" s="55"/>
      <c r="GP227" s="55"/>
      <c r="GQ227" s="55"/>
      <c r="GR227" s="55"/>
      <c r="GS227" s="55"/>
      <c r="GT227" s="55"/>
      <c r="GU227" s="55"/>
      <c r="GV227" s="55"/>
      <c r="GW227" s="55"/>
      <c r="GX227" s="55"/>
      <c r="GY227" s="55"/>
      <c r="GZ227" s="55"/>
      <c r="HA227" s="55"/>
      <c r="HB227" s="55"/>
      <c r="HC227" s="55"/>
      <c r="HD227" s="55"/>
      <c r="HE227" s="55"/>
      <c r="HF227" s="55"/>
      <c r="HG227" s="55"/>
      <c r="HH227" s="55"/>
      <c r="HI227" s="55"/>
      <c r="HJ227" s="55"/>
      <c r="HK227" s="55"/>
      <c r="HL227" s="55"/>
      <c r="HM227" s="55"/>
      <c r="HN227" s="55"/>
      <c r="HO227" s="55"/>
      <c r="HP227" s="55"/>
      <c r="HQ227" s="55"/>
      <c r="HR227" s="55"/>
      <c r="HS227" s="55"/>
      <c r="HT227" s="55"/>
      <c r="HU227" s="55"/>
      <c r="HV227" s="55"/>
      <c r="HW227" s="55"/>
      <c r="HX227" s="55"/>
      <c r="HY227" s="55"/>
      <c r="HZ227" s="55"/>
      <c r="IA227" s="55"/>
      <c r="IB227" s="55"/>
      <c r="IC227" s="55"/>
      <c r="ID227" s="55"/>
    </row>
    <row r="228" s="52" customFormat="1" ht="25" customHeight="1" spans="1:238">
      <c r="A228" s="64"/>
      <c r="B228" s="64"/>
      <c r="C228" s="64"/>
      <c r="D228" s="65"/>
      <c r="E228" s="77"/>
      <c r="F228" s="77"/>
      <c r="G228" s="64"/>
      <c r="H228" s="42"/>
      <c r="I228" s="42"/>
      <c r="J228" s="84"/>
      <c r="K228" s="84"/>
      <c r="L228" s="84"/>
      <c r="M228" s="41"/>
      <c r="N228" s="41"/>
      <c r="O228" s="41"/>
      <c r="P228" s="64"/>
      <c r="Q228" s="64"/>
      <c r="R228" s="64"/>
      <c r="S228" s="83"/>
      <c r="T228" s="77"/>
      <c r="U228" s="105" t="s">
        <v>958</v>
      </c>
      <c r="V228" s="105">
        <v>330407006</v>
      </c>
      <c r="W228" s="106" t="s">
        <v>959</v>
      </c>
      <c r="X228" s="105"/>
      <c r="Y228" s="105" t="s">
        <v>960</v>
      </c>
      <c r="Z228" s="105" t="s">
        <v>36</v>
      </c>
      <c r="AA228" s="110" t="s">
        <v>35</v>
      </c>
      <c r="AB228" s="50">
        <v>1010</v>
      </c>
      <c r="AC228" s="50">
        <v>910</v>
      </c>
      <c r="AD228" s="50">
        <v>775</v>
      </c>
      <c r="AE228" s="112" t="s">
        <v>37</v>
      </c>
      <c r="AF228" s="60"/>
      <c r="AG228" s="55"/>
      <c r="AH228" s="55"/>
      <c r="AI228" s="55"/>
      <c r="AJ228" s="55"/>
      <c r="AK228" s="55"/>
      <c r="AL228" s="55"/>
      <c r="AM228" s="55"/>
      <c r="AN228" s="55"/>
      <c r="AO228" s="55"/>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55"/>
      <c r="BR228" s="55"/>
      <c r="BS228" s="55"/>
      <c r="BT228" s="55"/>
      <c r="BU228" s="55"/>
      <c r="BV228" s="55"/>
      <c r="BW228" s="55"/>
      <c r="BX228" s="55"/>
      <c r="BY228" s="55"/>
      <c r="BZ228" s="55"/>
      <c r="CA228" s="55"/>
      <c r="CB228" s="55"/>
      <c r="CC228" s="55"/>
      <c r="CD228" s="55"/>
      <c r="CE228" s="55"/>
      <c r="CF228" s="55"/>
      <c r="CG228" s="55"/>
      <c r="CH228" s="55"/>
      <c r="CI228" s="55"/>
      <c r="CJ228" s="55"/>
      <c r="CK228" s="55"/>
      <c r="CL228" s="55"/>
      <c r="CM228" s="55"/>
      <c r="CN228" s="55"/>
      <c r="CO228" s="55"/>
      <c r="CP228" s="55"/>
      <c r="CQ228" s="55"/>
      <c r="CR228" s="55"/>
      <c r="CS228" s="55"/>
      <c r="CT228" s="55"/>
      <c r="CU228" s="55"/>
      <c r="CV228" s="55"/>
      <c r="CW228" s="55"/>
      <c r="CX228" s="55"/>
      <c r="CY228" s="55"/>
      <c r="CZ228" s="55"/>
      <c r="DA228" s="55"/>
      <c r="DB228" s="55"/>
      <c r="DC228" s="55"/>
      <c r="DD228" s="55"/>
      <c r="DE228" s="55"/>
      <c r="DF228" s="55"/>
      <c r="DG228" s="55"/>
      <c r="DH228" s="55"/>
      <c r="DI228" s="55"/>
      <c r="DJ228" s="55"/>
      <c r="DK228" s="55"/>
      <c r="DL228" s="55"/>
      <c r="DM228" s="55"/>
      <c r="DN228" s="55"/>
      <c r="DO228" s="55"/>
      <c r="DP228" s="55"/>
      <c r="DQ228" s="55"/>
      <c r="DR228" s="55"/>
      <c r="DS228" s="55"/>
      <c r="DT228" s="55"/>
      <c r="DU228" s="55"/>
      <c r="DV228" s="55"/>
      <c r="DW228" s="55"/>
      <c r="DX228" s="55"/>
      <c r="DY228" s="55"/>
      <c r="DZ228" s="55"/>
      <c r="EA228" s="55"/>
      <c r="EB228" s="55"/>
      <c r="EC228" s="55"/>
      <c r="ED228" s="55"/>
      <c r="EE228" s="55"/>
      <c r="EF228" s="55"/>
      <c r="EG228" s="55"/>
      <c r="EH228" s="55"/>
      <c r="EI228" s="55"/>
      <c r="EJ228" s="55"/>
      <c r="EK228" s="55"/>
      <c r="EL228" s="55"/>
      <c r="EM228" s="55"/>
      <c r="EN228" s="55"/>
      <c r="EO228" s="55"/>
      <c r="EP228" s="55"/>
      <c r="EQ228" s="55"/>
      <c r="ER228" s="55"/>
      <c r="ES228" s="55"/>
      <c r="ET228" s="55"/>
      <c r="EU228" s="55"/>
      <c r="EV228" s="55"/>
      <c r="EW228" s="55"/>
      <c r="EX228" s="55"/>
      <c r="EY228" s="55"/>
      <c r="EZ228" s="55"/>
      <c r="FA228" s="55"/>
      <c r="FB228" s="55"/>
      <c r="FC228" s="55"/>
      <c r="FD228" s="55"/>
      <c r="FE228" s="55"/>
      <c r="FF228" s="55"/>
      <c r="FG228" s="55"/>
      <c r="FH228" s="55"/>
      <c r="FI228" s="55"/>
      <c r="FJ228" s="55"/>
      <c r="FK228" s="55"/>
      <c r="FL228" s="55"/>
      <c r="FM228" s="55"/>
      <c r="FN228" s="55"/>
      <c r="FO228" s="55"/>
      <c r="FP228" s="55"/>
      <c r="FQ228" s="55"/>
      <c r="FR228" s="55"/>
      <c r="FS228" s="55"/>
      <c r="FT228" s="55"/>
      <c r="FU228" s="55"/>
      <c r="FV228" s="55"/>
      <c r="FW228" s="55"/>
      <c r="FX228" s="55"/>
      <c r="FY228" s="55"/>
      <c r="FZ228" s="55"/>
      <c r="GA228" s="55"/>
      <c r="GB228" s="55"/>
      <c r="GC228" s="55"/>
      <c r="GD228" s="55"/>
      <c r="GE228" s="55"/>
      <c r="GF228" s="55"/>
      <c r="GG228" s="55"/>
      <c r="GH228" s="55"/>
      <c r="GI228" s="55"/>
      <c r="GJ228" s="55"/>
      <c r="GK228" s="55"/>
      <c r="GL228" s="55"/>
      <c r="GM228" s="55"/>
      <c r="GN228" s="55"/>
      <c r="GO228" s="55"/>
      <c r="GP228" s="55"/>
      <c r="GQ228" s="55"/>
      <c r="GR228" s="55"/>
      <c r="GS228" s="55"/>
      <c r="GT228" s="55"/>
      <c r="GU228" s="55"/>
      <c r="GV228" s="55"/>
      <c r="GW228" s="55"/>
      <c r="GX228" s="55"/>
      <c r="GY228" s="55"/>
      <c r="GZ228" s="55"/>
      <c r="HA228" s="55"/>
      <c r="HB228" s="55"/>
      <c r="HC228" s="55"/>
      <c r="HD228" s="55"/>
      <c r="HE228" s="55"/>
      <c r="HF228" s="55"/>
      <c r="HG228" s="55"/>
      <c r="HH228" s="55"/>
      <c r="HI228" s="55"/>
      <c r="HJ228" s="55"/>
      <c r="HK228" s="55"/>
      <c r="HL228" s="55"/>
      <c r="HM228" s="55"/>
      <c r="HN228" s="55"/>
      <c r="HO228" s="55"/>
      <c r="HP228" s="55"/>
      <c r="HQ228" s="55"/>
      <c r="HR228" s="55"/>
      <c r="HS228" s="55"/>
      <c r="HT228" s="55"/>
      <c r="HU228" s="55"/>
      <c r="HV228" s="55"/>
      <c r="HW228" s="55"/>
      <c r="HX228" s="55"/>
      <c r="HY228" s="55"/>
      <c r="HZ228" s="55"/>
      <c r="IA228" s="55"/>
      <c r="IB228" s="55"/>
      <c r="IC228" s="55"/>
      <c r="ID228" s="55"/>
    </row>
    <row r="229" s="52" customFormat="1" ht="25" customHeight="1" spans="1:238">
      <c r="A229" s="64"/>
      <c r="B229" s="64"/>
      <c r="C229" s="64"/>
      <c r="D229" s="65"/>
      <c r="E229" s="77"/>
      <c r="F229" s="77"/>
      <c r="G229" s="64"/>
      <c r="H229" s="42"/>
      <c r="I229" s="42"/>
      <c r="J229" s="84"/>
      <c r="K229" s="84"/>
      <c r="L229" s="84"/>
      <c r="M229" s="41"/>
      <c r="N229" s="41"/>
      <c r="O229" s="41"/>
      <c r="P229" s="64"/>
      <c r="Q229" s="64"/>
      <c r="R229" s="64"/>
      <c r="S229" s="83"/>
      <c r="T229" s="77"/>
      <c r="U229" s="105" t="s">
        <v>961</v>
      </c>
      <c r="V229" s="105">
        <v>330407007</v>
      </c>
      <c r="W229" s="106" t="s">
        <v>962</v>
      </c>
      <c r="X229" s="105"/>
      <c r="Y229" s="105"/>
      <c r="Z229" s="105" t="s">
        <v>36</v>
      </c>
      <c r="AA229" s="110" t="s">
        <v>35</v>
      </c>
      <c r="AB229" s="50">
        <v>1010</v>
      </c>
      <c r="AC229" s="50">
        <v>910</v>
      </c>
      <c r="AD229" s="50">
        <v>775</v>
      </c>
      <c r="AE229" s="112" t="s">
        <v>37</v>
      </c>
      <c r="AF229" s="60"/>
      <c r="AG229" s="55"/>
      <c r="AH229" s="55"/>
      <c r="AI229" s="55"/>
      <c r="AJ229" s="55"/>
      <c r="AK229" s="55"/>
      <c r="AL229" s="55"/>
      <c r="AM229" s="55"/>
      <c r="AN229" s="55"/>
      <c r="AO229" s="55"/>
      <c r="AP229" s="55"/>
      <c r="AQ229" s="55"/>
      <c r="AR229" s="55"/>
      <c r="AS229" s="55"/>
      <c r="AT229" s="55"/>
      <c r="AU229" s="55"/>
      <c r="AV229" s="55"/>
      <c r="AW229" s="55"/>
      <c r="AX229" s="55"/>
      <c r="AY229" s="55"/>
      <c r="AZ229" s="55"/>
      <c r="BA229" s="55"/>
      <c r="BB229" s="55"/>
      <c r="BC229" s="55"/>
      <c r="BD229" s="55"/>
      <c r="BE229" s="55"/>
      <c r="BF229" s="55"/>
      <c r="BG229" s="55"/>
      <c r="BH229" s="55"/>
      <c r="BI229" s="55"/>
      <c r="BJ229" s="55"/>
      <c r="BK229" s="55"/>
      <c r="BL229" s="55"/>
      <c r="BM229" s="55"/>
      <c r="BN229" s="55"/>
      <c r="BO229" s="55"/>
      <c r="BP229" s="55"/>
      <c r="BQ229" s="55"/>
      <c r="BR229" s="55"/>
      <c r="BS229" s="55"/>
      <c r="BT229" s="55"/>
      <c r="BU229" s="55"/>
      <c r="BV229" s="55"/>
      <c r="BW229" s="55"/>
      <c r="BX229" s="55"/>
      <c r="BY229" s="55"/>
      <c r="BZ229" s="55"/>
      <c r="CA229" s="55"/>
      <c r="CB229" s="55"/>
      <c r="CC229" s="55"/>
      <c r="CD229" s="55"/>
      <c r="CE229" s="55"/>
      <c r="CF229" s="55"/>
      <c r="CG229" s="55"/>
      <c r="CH229" s="55"/>
      <c r="CI229" s="55"/>
      <c r="CJ229" s="55"/>
      <c r="CK229" s="55"/>
      <c r="CL229" s="55"/>
      <c r="CM229" s="55"/>
      <c r="CN229" s="55"/>
      <c r="CO229" s="55"/>
      <c r="CP229" s="55"/>
      <c r="CQ229" s="55"/>
      <c r="CR229" s="55"/>
      <c r="CS229" s="55"/>
      <c r="CT229" s="55"/>
      <c r="CU229" s="55"/>
      <c r="CV229" s="55"/>
      <c r="CW229" s="55"/>
      <c r="CX229" s="55"/>
      <c r="CY229" s="55"/>
      <c r="CZ229" s="55"/>
      <c r="DA229" s="55"/>
      <c r="DB229" s="55"/>
      <c r="DC229" s="55"/>
      <c r="DD229" s="55"/>
      <c r="DE229" s="55"/>
      <c r="DF229" s="55"/>
      <c r="DG229" s="55"/>
      <c r="DH229" s="55"/>
      <c r="DI229" s="55"/>
      <c r="DJ229" s="55"/>
      <c r="DK229" s="55"/>
      <c r="DL229" s="55"/>
      <c r="DM229" s="55"/>
      <c r="DN229" s="55"/>
      <c r="DO229" s="55"/>
      <c r="DP229" s="55"/>
      <c r="DQ229" s="55"/>
      <c r="DR229" s="55"/>
      <c r="DS229" s="55"/>
      <c r="DT229" s="55"/>
      <c r="DU229" s="55"/>
      <c r="DV229" s="55"/>
      <c r="DW229" s="55"/>
      <c r="DX229" s="55"/>
      <c r="DY229" s="55"/>
      <c r="DZ229" s="55"/>
      <c r="EA229" s="55"/>
      <c r="EB229" s="55"/>
      <c r="EC229" s="55"/>
      <c r="ED229" s="55"/>
      <c r="EE229" s="55"/>
      <c r="EF229" s="55"/>
      <c r="EG229" s="55"/>
      <c r="EH229" s="55"/>
      <c r="EI229" s="55"/>
      <c r="EJ229" s="55"/>
      <c r="EK229" s="55"/>
      <c r="EL229" s="55"/>
      <c r="EM229" s="55"/>
      <c r="EN229" s="55"/>
      <c r="EO229" s="55"/>
      <c r="EP229" s="55"/>
      <c r="EQ229" s="55"/>
      <c r="ER229" s="55"/>
      <c r="ES229" s="55"/>
      <c r="ET229" s="55"/>
      <c r="EU229" s="55"/>
      <c r="EV229" s="55"/>
      <c r="EW229" s="55"/>
      <c r="EX229" s="55"/>
      <c r="EY229" s="55"/>
      <c r="EZ229" s="55"/>
      <c r="FA229" s="55"/>
      <c r="FB229" s="55"/>
      <c r="FC229" s="55"/>
      <c r="FD229" s="55"/>
      <c r="FE229" s="55"/>
      <c r="FF229" s="55"/>
      <c r="FG229" s="55"/>
      <c r="FH229" s="55"/>
      <c r="FI229" s="55"/>
      <c r="FJ229" s="55"/>
      <c r="FK229" s="55"/>
      <c r="FL229" s="55"/>
      <c r="FM229" s="55"/>
      <c r="FN229" s="55"/>
      <c r="FO229" s="55"/>
      <c r="FP229" s="55"/>
      <c r="FQ229" s="55"/>
      <c r="FR229" s="55"/>
      <c r="FS229" s="55"/>
      <c r="FT229" s="55"/>
      <c r="FU229" s="55"/>
      <c r="FV229" s="55"/>
      <c r="FW229" s="55"/>
      <c r="FX229" s="55"/>
      <c r="FY229" s="55"/>
      <c r="FZ229" s="55"/>
      <c r="GA229" s="55"/>
      <c r="GB229" s="55"/>
      <c r="GC229" s="55"/>
      <c r="GD229" s="55"/>
      <c r="GE229" s="55"/>
      <c r="GF229" s="55"/>
      <c r="GG229" s="55"/>
      <c r="GH229" s="55"/>
      <c r="GI229" s="55"/>
      <c r="GJ229" s="55"/>
      <c r="GK229" s="55"/>
      <c r="GL229" s="55"/>
      <c r="GM229" s="55"/>
      <c r="GN229" s="55"/>
      <c r="GO229" s="55"/>
      <c r="GP229" s="55"/>
      <c r="GQ229" s="55"/>
      <c r="GR229" s="55"/>
      <c r="GS229" s="55"/>
      <c r="GT229" s="55"/>
      <c r="GU229" s="55"/>
      <c r="GV229" s="55"/>
      <c r="GW229" s="55"/>
      <c r="GX229" s="55"/>
      <c r="GY229" s="55"/>
      <c r="GZ229" s="55"/>
      <c r="HA229" s="55"/>
      <c r="HB229" s="55"/>
      <c r="HC229" s="55"/>
      <c r="HD229" s="55"/>
      <c r="HE229" s="55"/>
      <c r="HF229" s="55"/>
      <c r="HG229" s="55"/>
      <c r="HH229" s="55"/>
      <c r="HI229" s="55"/>
      <c r="HJ229" s="55"/>
      <c r="HK229" s="55"/>
      <c r="HL229" s="55"/>
      <c r="HM229" s="55"/>
      <c r="HN229" s="55"/>
      <c r="HO229" s="55"/>
      <c r="HP229" s="55"/>
      <c r="HQ229" s="55"/>
      <c r="HR229" s="55"/>
      <c r="HS229" s="55"/>
      <c r="HT229" s="55"/>
      <c r="HU229" s="55"/>
      <c r="HV229" s="55"/>
      <c r="HW229" s="55"/>
      <c r="HX229" s="55"/>
      <c r="HY229" s="55"/>
      <c r="HZ229" s="55"/>
      <c r="IA229" s="55"/>
      <c r="IB229" s="55"/>
      <c r="IC229" s="55"/>
      <c r="ID229" s="55"/>
    </row>
    <row r="230" s="52" customFormat="1" ht="25" customHeight="1" spans="1:238">
      <c r="A230" s="64"/>
      <c r="B230" s="64"/>
      <c r="C230" s="64"/>
      <c r="D230" s="65"/>
      <c r="E230" s="77"/>
      <c r="F230" s="77"/>
      <c r="G230" s="64"/>
      <c r="H230" s="42"/>
      <c r="I230" s="42"/>
      <c r="J230" s="84"/>
      <c r="K230" s="84"/>
      <c r="L230" s="84"/>
      <c r="M230" s="41"/>
      <c r="N230" s="41"/>
      <c r="O230" s="41"/>
      <c r="P230" s="64"/>
      <c r="Q230" s="64"/>
      <c r="R230" s="64"/>
      <c r="S230" s="83"/>
      <c r="T230" s="77"/>
      <c r="U230" s="105" t="s">
        <v>963</v>
      </c>
      <c r="V230" s="105">
        <v>330407008</v>
      </c>
      <c r="W230" s="106" t="s">
        <v>964</v>
      </c>
      <c r="X230" s="105"/>
      <c r="Y230" s="105"/>
      <c r="Z230" s="105" t="s">
        <v>36</v>
      </c>
      <c r="AA230" s="110" t="s">
        <v>35</v>
      </c>
      <c r="AB230" s="50">
        <v>2780</v>
      </c>
      <c r="AC230" s="50">
        <v>2500</v>
      </c>
      <c r="AD230" s="50">
        <v>2130</v>
      </c>
      <c r="AE230" s="112" t="s">
        <v>37</v>
      </c>
      <c r="AF230" s="60"/>
      <c r="AG230" s="55"/>
      <c r="AH230" s="55"/>
      <c r="AI230" s="55"/>
      <c r="AJ230" s="55"/>
      <c r="AK230" s="55"/>
      <c r="AL230" s="55"/>
      <c r="AM230" s="55"/>
      <c r="AN230" s="55"/>
      <c r="AO230" s="55"/>
      <c r="AP230" s="55"/>
      <c r="AQ230" s="55"/>
      <c r="AR230" s="55"/>
      <c r="AS230" s="55"/>
      <c r="AT230" s="55"/>
      <c r="AU230" s="55"/>
      <c r="AV230" s="55"/>
      <c r="AW230" s="55"/>
      <c r="AX230" s="55"/>
      <c r="AY230" s="55"/>
      <c r="AZ230" s="55"/>
      <c r="BA230" s="55"/>
      <c r="BB230" s="55"/>
      <c r="BC230" s="55"/>
      <c r="BD230" s="55"/>
      <c r="BE230" s="55"/>
      <c r="BF230" s="55"/>
      <c r="BG230" s="55"/>
      <c r="BH230" s="55"/>
      <c r="BI230" s="55"/>
      <c r="BJ230" s="55"/>
      <c r="BK230" s="55"/>
      <c r="BL230" s="55"/>
      <c r="BM230" s="55"/>
      <c r="BN230" s="55"/>
      <c r="BO230" s="55"/>
      <c r="BP230" s="55"/>
      <c r="BQ230" s="55"/>
      <c r="BR230" s="55"/>
      <c r="BS230" s="55"/>
      <c r="BT230" s="55"/>
      <c r="BU230" s="55"/>
      <c r="BV230" s="55"/>
      <c r="BW230" s="55"/>
      <c r="BX230" s="55"/>
      <c r="BY230" s="55"/>
      <c r="BZ230" s="55"/>
      <c r="CA230" s="55"/>
      <c r="CB230" s="55"/>
      <c r="CC230" s="55"/>
      <c r="CD230" s="55"/>
      <c r="CE230" s="55"/>
      <c r="CF230" s="55"/>
      <c r="CG230" s="55"/>
      <c r="CH230" s="55"/>
      <c r="CI230" s="55"/>
      <c r="CJ230" s="55"/>
      <c r="CK230" s="55"/>
      <c r="CL230" s="55"/>
      <c r="CM230" s="55"/>
      <c r="CN230" s="55"/>
      <c r="CO230" s="55"/>
      <c r="CP230" s="55"/>
      <c r="CQ230" s="55"/>
      <c r="CR230" s="55"/>
      <c r="CS230" s="55"/>
      <c r="CT230" s="55"/>
      <c r="CU230" s="55"/>
      <c r="CV230" s="55"/>
      <c r="CW230" s="55"/>
      <c r="CX230" s="55"/>
      <c r="CY230" s="55"/>
      <c r="CZ230" s="55"/>
      <c r="DA230" s="55"/>
      <c r="DB230" s="55"/>
      <c r="DC230" s="55"/>
      <c r="DD230" s="55"/>
      <c r="DE230" s="55"/>
      <c r="DF230" s="55"/>
      <c r="DG230" s="55"/>
      <c r="DH230" s="55"/>
      <c r="DI230" s="55"/>
      <c r="DJ230" s="55"/>
      <c r="DK230" s="55"/>
      <c r="DL230" s="55"/>
      <c r="DM230" s="55"/>
      <c r="DN230" s="55"/>
      <c r="DO230" s="55"/>
      <c r="DP230" s="55"/>
      <c r="DQ230" s="55"/>
      <c r="DR230" s="55"/>
      <c r="DS230" s="55"/>
      <c r="DT230" s="55"/>
      <c r="DU230" s="55"/>
      <c r="DV230" s="55"/>
      <c r="DW230" s="55"/>
      <c r="DX230" s="55"/>
      <c r="DY230" s="55"/>
      <c r="DZ230" s="55"/>
      <c r="EA230" s="55"/>
      <c r="EB230" s="55"/>
      <c r="EC230" s="55"/>
      <c r="ED230" s="55"/>
      <c r="EE230" s="55"/>
      <c r="EF230" s="55"/>
      <c r="EG230" s="55"/>
      <c r="EH230" s="55"/>
      <c r="EI230" s="55"/>
      <c r="EJ230" s="55"/>
      <c r="EK230" s="55"/>
      <c r="EL230" s="55"/>
      <c r="EM230" s="55"/>
      <c r="EN230" s="55"/>
      <c r="EO230" s="55"/>
      <c r="EP230" s="55"/>
      <c r="EQ230" s="55"/>
      <c r="ER230" s="55"/>
      <c r="ES230" s="55"/>
      <c r="ET230" s="55"/>
      <c r="EU230" s="55"/>
      <c r="EV230" s="55"/>
      <c r="EW230" s="55"/>
      <c r="EX230" s="55"/>
      <c r="EY230" s="55"/>
      <c r="EZ230" s="55"/>
      <c r="FA230" s="55"/>
      <c r="FB230" s="55"/>
      <c r="FC230" s="55"/>
      <c r="FD230" s="55"/>
      <c r="FE230" s="55"/>
      <c r="FF230" s="55"/>
      <c r="FG230" s="55"/>
      <c r="FH230" s="55"/>
      <c r="FI230" s="55"/>
      <c r="FJ230" s="55"/>
      <c r="FK230" s="55"/>
      <c r="FL230" s="55"/>
      <c r="FM230" s="55"/>
      <c r="FN230" s="55"/>
      <c r="FO230" s="55"/>
      <c r="FP230" s="55"/>
      <c r="FQ230" s="55"/>
      <c r="FR230" s="55"/>
      <c r="FS230" s="55"/>
      <c r="FT230" s="55"/>
      <c r="FU230" s="55"/>
      <c r="FV230" s="55"/>
      <c r="FW230" s="55"/>
      <c r="FX230" s="55"/>
      <c r="FY230" s="55"/>
      <c r="FZ230" s="55"/>
      <c r="GA230" s="55"/>
      <c r="GB230" s="55"/>
      <c r="GC230" s="55"/>
      <c r="GD230" s="55"/>
      <c r="GE230" s="55"/>
      <c r="GF230" s="55"/>
      <c r="GG230" s="55"/>
      <c r="GH230" s="55"/>
      <c r="GI230" s="55"/>
      <c r="GJ230" s="55"/>
      <c r="GK230" s="55"/>
      <c r="GL230" s="55"/>
      <c r="GM230" s="55"/>
      <c r="GN230" s="55"/>
      <c r="GO230" s="55"/>
      <c r="GP230" s="55"/>
      <c r="GQ230" s="55"/>
      <c r="GR230" s="55"/>
      <c r="GS230" s="55"/>
      <c r="GT230" s="55"/>
      <c r="GU230" s="55"/>
      <c r="GV230" s="55"/>
      <c r="GW230" s="55"/>
      <c r="GX230" s="55"/>
      <c r="GY230" s="55"/>
      <c r="GZ230" s="55"/>
      <c r="HA230" s="55"/>
      <c r="HB230" s="55"/>
      <c r="HC230" s="55"/>
      <c r="HD230" s="55"/>
      <c r="HE230" s="55"/>
      <c r="HF230" s="55"/>
      <c r="HG230" s="55"/>
      <c r="HH230" s="55"/>
      <c r="HI230" s="55"/>
      <c r="HJ230" s="55"/>
      <c r="HK230" s="55"/>
      <c r="HL230" s="55"/>
      <c r="HM230" s="55"/>
      <c r="HN230" s="55"/>
      <c r="HO230" s="55"/>
      <c r="HP230" s="55"/>
      <c r="HQ230" s="55"/>
      <c r="HR230" s="55"/>
      <c r="HS230" s="55"/>
      <c r="HT230" s="55"/>
      <c r="HU230" s="55"/>
      <c r="HV230" s="55"/>
      <c r="HW230" s="55"/>
      <c r="HX230" s="55"/>
      <c r="HY230" s="55"/>
      <c r="HZ230" s="55"/>
      <c r="IA230" s="55"/>
      <c r="IB230" s="55"/>
      <c r="IC230" s="55"/>
      <c r="ID230" s="55"/>
    </row>
    <row r="231" s="52" customFormat="1" ht="25" customHeight="1" spans="1:238">
      <c r="A231" s="64"/>
      <c r="B231" s="64"/>
      <c r="C231" s="64"/>
      <c r="D231" s="65"/>
      <c r="E231" s="77"/>
      <c r="F231" s="77"/>
      <c r="G231" s="64"/>
      <c r="H231" s="42"/>
      <c r="I231" s="42"/>
      <c r="J231" s="84"/>
      <c r="K231" s="84"/>
      <c r="L231" s="84"/>
      <c r="M231" s="41"/>
      <c r="N231" s="41"/>
      <c r="O231" s="41"/>
      <c r="P231" s="64"/>
      <c r="Q231" s="64"/>
      <c r="R231" s="64"/>
      <c r="S231" s="83"/>
      <c r="T231" s="77"/>
      <c r="U231" s="105" t="s">
        <v>965</v>
      </c>
      <c r="V231" s="105">
        <v>330407009</v>
      </c>
      <c r="W231" s="106" t="s">
        <v>966</v>
      </c>
      <c r="X231" s="105"/>
      <c r="Y231" s="105"/>
      <c r="Z231" s="105" t="s">
        <v>36</v>
      </c>
      <c r="AA231" s="110" t="s">
        <v>35</v>
      </c>
      <c r="AB231" s="50">
        <v>2780</v>
      </c>
      <c r="AC231" s="50">
        <v>2500</v>
      </c>
      <c r="AD231" s="50">
        <v>2130</v>
      </c>
      <c r="AE231" s="112" t="s">
        <v>37</v>
      </c>
      <c r="AF231" s="60"/>
      <c r="AG231" s="55"/>
      <c r="AH231" s="55"/>
      <c r="AI231" s="55"/>
      <c r="AJ231" s="55"/>
      <c r="AK231" s="55"/>
      <c r="AL231" s="55"/>
      <c r="AM231" s="55"/>
      <c r="AN231" s="55"/>
      <c r="AO231" s="55"/>
      <c r="AP231" s="55"/>
      <c r="AQ231" s="55"/>
      <c r="AR231" s="55"/>
      <c r="AS231" s="55"/>
      <c r="AT231" s="55"/>
      <c r="AU231" s="55"/>
      <c r="AV231" s="55"/>
      <c r="AW231" s="55"/>
      <c r="AX231" s="55"/>
      <c r="AY231" s="55"/>
      <c r="AZ231" s="55"/>
      <c r="BA231" s="55"/>
      <c r="BB231" s="55"/>
      <c r="BC231" s="55"/>
      <c r="BD231" s="55"/>
      <c r="BE231" s="55"/>
      <c r="BF231" s="55"/>
      <c r="BG231" s="55"/>
      <c r="BH231" s="55"/>
      <c r="BI231" s="55"/>
      <c r="BJ231" s="55"/>
      <c r="BK231" s="55"/>
      <c r="BL231" s="55"/>
      <c r="BM231" s="55"/>
      <c r="BN231" s="55"/>
      <c r="BO231" s="55"/>
      <c r="BP231" s="55"/>
      <c r="BQ231" s="55"/>
      <c r="BR231" s="55"/>
      <c r="BS231" s="55"/>
      <c r="BT231" s="55"/>
      <c r="BU231" s="55"/>
      <c r="BV231" s="55"/>
      <c r="BW231" s="55"/>
      <c r="BX231" s="55"/>
      <c r="BY231" s="55"/>
      <c r="BZ231" s="55"/>
      <c r="CA231" s="55"/>
      <c r="CB231" s="55"/>
      <c r="CC231" s="55"/>
      <c r="CD231" s="55"/>
      <c r="CE231" s="55"/>
      <c r="CF231" s="55"/>
      <c r="CG231" s="55"/>
      <c r="CH231" s="55"/>
      <c r="CI231" s="55"/>
      <c r="CJ231" s="55"/>
      <c r="CK231" s="55"/>
      <c r="CL231" s="55"/>
      <c r="CM231" s="55"/>
      <c r="CN231" s="55"/>
      <c r="CO231" s="55"/>
      <c r="CP231" s="55"/>
      <c r="CQ231" s="55"/>
      <c r="CR231" s="55"/>
      <c r="CS231" s="55"/>
      <c r="CT231" s="55"/>
      <c r="CU231" s="55"/>
      <c r="CV231" s="55"/>
      <c r="CW231" s="55"/>
      <c r="CX231" s="55"/>
      <c r="CY231" s="55"/>
      <c r="CZ231" s="55"/>
      <c r="DA231" s="55"/>
      <c r="DB231" s="55"/>
      <c r="DC231" s="55"/>
      <c r="DD231" s="55"/>
      <c r="DE231" s="55"/>
      <c r="DF231" s="55"/>
      <c r="DG231" s="55"/>
      <c r="DH231" s="55"/>
      <c r="DI231" s="55"/>
      <c r="DJ231" s="55"/>
      <c r="DK231" s="55"/>
      <c r="DL231" s="55"/>
      <c r="DM231" s="55"/>
      <c r="DN231" s="55"/>
      <c r="DO231" s="55"/>
      <c r="DP231" s="55"/>
      <c r="DQ231" s="55"/>
      <c r="DR231" s="55"/>
      <c r="DS231" s="55"/>
      <c r="DT231" s="55"/>
      <c r="DU231" s="55"/>
      <c r="DV231" s="55"/>
      <c r="DW231" s="55"/>
      <c r="DX231" s="55"/>
      <c r="DY231" s="55"/>
      <c r="DZ231" s="55"/>
      <c r="EA231" s="55"/>
      <c r="EB231" s="55"/>
      <c r="EC231" s="55"/>
      <c r="ED231" s="55"/>
      <c r="EE231" s="55"/>
      <c r="EF231" s="55"/>
      <c r="EG231" s="55"/>
      <c r="EH231" s="55"/>
      <c r="EI231" s="55"/>
      <c r="EJ231" s="55"/>
      <c r="EK231" s="55"/>
      <c r="EL231" s="55"/>
      <c r="EM231" s="55"/>
      <c r="EN231" s="55"/>
      <c r="EO231" s="55"/>
      <c r="EP231" s="55"/>
      <c r="EQ231" s="55"/>
      <c r="ER231" s="55"/>
      <c r="ES231" s="55"/>
      <c r="ET231" s="55"/>
      <c r="EU231" s="55"/>
      <c r="EV231" s="55"/>
      <c r="EW231" s="55"/>
      <c r="EX231" s="55"/>
      <c r="EY231" s="55"/>
      <c r="EZ231" s="55"/>
      <c r="FA231" s="55"/>
      <c r="FB231" s="55"/>
      <c r="FC231" s="55"/>
      <c r="FD231" s="55"/>
      <c r="FE231" s="55"/>
      <c r="FF231" s="55"/>
      <c r="FG231" s="55"/>
      <c r="FH231" s="55"/>
      <c r="FI231" s="55"/>
      <c r="FJ231" s="55"/>
      <c r="FK231" s="55"/>
      <c r="FL231" s="55"/>
      <c r="FM231" s="55"/>
      <c r="FN231" s="55"/>
      <c r="FO231" s="55"/>
      <c r="FP231" s="55"/>
      <c r="FQ231" s="55"/>
      <c r="FR231" s="55"/>
      <c r="FS231" s="55"/>
      <c r="FT231" s="55"/>
      <c r="FU231" s="55"/>
      <c r="FV231" s="55"/>
      <c r="FW231" s="55"/>
      <c r="FX231" s="55"/>
      <c r="FY231" s="55"/>
      <c r="FZ231" s="55"/>
      <c r="GA231" s="55"/>
      <c r="GB231" s="55"/>
      <c r="GC231" s="55"/>
      <c r="GD231" s="55"/>
      <c r="GE231" s="55"/>
      <c r="GF231" s="55"/>
      <c r="GG231" s="55"/>
      <c r="GH231" s="55"/>
      <c r="GI231" s="55"/>
      <c r="GJ231" s="55"/>
      <c r="GK231" s="55"/>
      <c r="GL231" s="55"/>
      <c r="GM231" s="55"/>
      <c r="GN231" s="55"/>
      <c r="GO231" s="55"/>
      <c r="GP231" s="55"/>
      <c r="GQ231" s="55"/>
      <c r="GR231" s="55"/>
      <c r="GS231" s="55"/>
      <c r="GT231" s="55"/>
      <c r="GU231" s="55"/>
      <c r="GV231" s="55"/>
      <c r="GW231" s="55"/>
      <c r="GX231" s="55"/>
      <c r="GY231" s="55"/>
      <c r="GZ231" s="55"/>
      <c r="HA231" s="55"/>
      <c r="HB231" s="55"/>
      <c r="HC231" s="55"/>
      <c r="HD231" s="55"/>
      <c r="HE231" s="55"/>
      <c r="HF231" s="55"/>
      <c r="HG231" s="55"/>
      <c r="HH231" s="55"/>
      <c r="HI231" s="55"/>
      <c r="HJ231" s="55"/>
      <c r="HK231" s="55"/>
      <c r="HL231" s="55"/>
      <c r="HM231" s="55"/>
      <c r="HN231" s="55"/>
      <c r="HO231" s="55"/>
      <c r="HP231" s="55"/>
      <c r="HQ231" s="55"/>
      <c r="HR231" s="55"/>
      <c r="HS231" s="55"/>
      <c r="HT231" s="55"/>
      <c r="HU231" s="55"/>
      <c r="HV231" s="55"/>
      <c r="HW231" s="55"/>
      <c r="HX231" s="55"/>
      <c r="HY231" s="55"/>
      <c r="HZ231" s="55"/>
      <c r="IA231" s="55"/>
      <c r="IB231" s="55"/>
      <c r="IC231" s="55"/>
      <c r="ID231" s="55"/>
    </row>
    <row r="232" s="52" customFormat="1" ht="25" customHeight="1" spans="1:238">
      <c r="A232" s="64"/>
      <c r="B232" s="64"/>
      <c r="C232" s="64"/>
      <c r="D232" s="65"/>
      <c r="E232" s="77"/>
      <c r="F232" s="77"/>
      <c r="G232" s="64"/>
      <c r="H232" s="42"/>
      <c r="I232" s="42"/>
      <c r="J232" s="84"/>
      <c r="K232" s="84"/>
      <c r="L232" s="84"/>
      <c r="M232" s="41"/>
      <c r="N232" s="41"/>
      <c r="O232" s="41"/>
      <c r="P232" s="64"/>
      <c r="Q232" s="64"/>
      <c r="R232" s="64"/>
      <c r="S232" s="83"/>
      <c r="T232" s="77"/>
      <c r="U232" s="105" t="s">
        <v>967</v>
      </c>
      <c r="V232" s="105">
        <v>330407010</v>
      </c>
      <c r="W232" s="106" t="s">
        <v>968</v>
      </c>
      <c r="X232" s="105"/>
      <c r="Y232" s="105"/>
      <c r="Z232" s="105" t="s">
        <v>36</v>
      </c>
      <c r="AA232" s="110" t="s">
        <v>35</v>
      </c>
      <c r="AB232" s="50">
        <v>2780</v>
      </c>
      <c r="AC232" s="50">
        <v>2500</v>
      </c>
      <c r="AD232" s="50">
        <v>2130</v>
      </c>
      <c r="AE232" s="112" t="s">
        <v>37</v>
      </c>
      <c r="AF232" s="60"/>
      <c r="AG232" s="55"/>
      <c r="AH232" s="55"/>
      <c r="AI232" s="55"/>
      <c r="AJ232" s="55"/>
      <c r="AK232" s="55"/>
      <c r="AL232" s="55"/>
      <c r="AM232" s="55"/>
      <c r="AN232" s="55"/>
      <c r="AO232" s="55"/>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c r="BM232" s="55"/>
      <c r="BN232" s="55"/>
      <c r="BO232" s="55"/>
      <c r="BP232" s="55"/>
      <c r="BQ232" s="55"/>
      <c r="BR232" s="55"/>
      <c r="BS232" s="55"/>
      <c r="BT232" s="55"/>
      <c r="BU232" s="55"/>
      <c r="BV232" s="55"/>
      <c r="BW232" s="55"/>
      <c r="BX232" s="55"/>
      <c r="BY232" s="55"/>
      <c r="BZ232" s="55"/>
      <c r="CA232" s="55"/>
      <c r="CB232" s="55"/>
      <c r="CC232" s="55"/>
      <c r="CD232" s="55"/>
      <c r="CE232" s="55"/>
      <c r="CF232" s="55"/>
      <c r="CG232" s="55"/>
      <c r="CH232" s="55"/>
      <c r="CI232" s="55"/>
      <c r="CJ232" s="55"/>
      <c r="CK232" s="55"/>
      <c r="CL232" s="55"/>
      <c r="CM232" s="55"/>
      <c r="CN232" s="55"/>
      <c r="CO232" s="55"/>
      <c r="CP232" s="55"/>
      <c r="CQ232" s="55"/>
      <c r="CR232" s="55"/>
      <c r="CS232" s="55"/>
      <c r="CT232" s="55"/>
      <c r="CU232" s="55"/>
      <c r="CV232" s="55"/>
      <c r="CW232" s="55"/>
      <c r="CX232" s="55"/>
      <c r="CY232" s="55"/>
      <c r="CZ232" s="55"/>
      <c r="DA232" s="55"/>
      <c r="DB232" s="55"/>
      <c r="DC232" s="55"/>
      <c r="DD232" s="55"/>
      <c r="DE232" s="55"/>
      <c r="DF232" s="55"/>
      <c r="DG232" s="55"/>
      <c r="DH232" s="55"/>
      <c r="DI232" s="55"/>
      <c r="DJ232" s="55"/>
      <c r="DK232" s="55"/>
      <c r="DL232" s="55"/>
      <c r="DM232" s="55"/>
      <c r="DN232" s="55"/>
      <c r="DO232" s="55"/>
      <c r="DP232" s="55"/>
      <c r="DQ232" s="55"/>
      <c r="DR232" s="55"/>
      <c r="DS232" s="55"/>
      <c r="DT232" s="55"/>
      <c r="DU232" s="55"/>
      <c r="DV232" s="55"/>
      <c r="DW232" s="55"/>
      <c r="DX232" s="55"/>
      <c r="DY232" s="55"/>
      <c r="DZ232" s="55"/>
      <c r="EA232" s="55"/>
      <c r="EB232" s="55"/>
      <c r="EC232" s="55"/>
      <c r="ED232" s="55"/>
      <c r="EE232" s="55"/>
      <c r="EF232" s="55"/>
      <c r="EG232" s="55"/>
      <c r="EH232" s="55"/>
      <c r="EI232" s="55"/>
      <c r="EJ232" s="55"/>
      <c r="EK232" s="55"/>
      <c r="EL232" s="55"/>
      <c r="EM232" s="55"/>
      <c r="EN232" s="55"/>
      <c r="EO232" s="55"/>
      <c r="EP232" s="55"/>
      <c r="EQ232" s="55"/>
      <c r="ER232" s="55"/>
      <c r="ES232" s="55"/>
      <c r="ET232" s="55"/>
      <c r="EU232" s="55"/>
      <c r="EV232" s="55"/>
      <c r="EW232" s="55"/>
      <c r="EX232" s="55"/>
      <c r="EY232" s="55"/>
      <c r="EZ232" s="55"/>
      <c r="FA232" s="55"/>
      <c r="FB232" s="55"/>
      <c r="FC232" s="55"/>
      <c r="FD232" s="55"/>
      <c r="FE232" s="55"/>
      <c r="FF232" s="55"/>
      <c r="FG232" s="55"/>
      <c r="FH232" s="55"/>
      <c r="FI232" s="55"/>
      <c r="FJ232" s="55"/>
      <c r="FK232" s="55"/>
      <c r="FL232" s="55"/>
      <c r="FM232" s="55"/>
      <c r="FN232" s="55"/>
      <c r="FO232" s="55"/>
      <c r="FP232" s="55"/>
      <c r="FQ232" s="55"/>
      <c r="FR232" s="55"/>
      <c r="FS232" s="55"/>
      <c r="FT232" s="55"/>
      <c r="FU232" s="55"/>
      <c r="FV232" s="55"/>
      <c r="FW232" s="55"/>
      <c r="FX232" s="55"/>
      <c r="FY232" s="55"/>
      <c r="FZ232" s="55"/>
      <c r="GA232" s="55"/>
      <c r="GB232" s="55"/>
      <c r="GC232" s="55"/>
      <c r="GD232" s="55"/>
      <c r="GE232" s="55"/>
      <c r="GF232" s="55"/>
      <c r="GG232" s="55"/>
      <c r="GH232" s="55"/>
      <c r="GI232" s="55"/>
      <c r="GJ232" s="55"/>
      <c r="GK232" s="55"/>
      <c r="GL232" s="55"/>
      <c r="GM232" s="55"/>
      <c r="GN232" s="55"/>
      <c r="GO232" s="55"/>
      <c r="GP232" s="55"/>
      <c r="GQ232" s="55"/>
      <c r="GR232" s="55"/>
      <c r="GS232" s="55"/>
      <c r="GT232" s="55"/>
      <c r="GU232" s="55"/>
      <c r="GV232" s="55"/>
      <c r="GW232" s="55"/>
      <c r="GX232" s="55"/>
      <c r="GY232" s="55"/>
      <c r="GZ232" s="55"/>
      <c r="HA232" s="55"/>
      <c r="HB232" s="55"/>
      <c r="HC232" s="55"/>
      <c r="HD232" s="55"/>
      <c r="HE232" s="55"/>
      <c r="HF232" s="55"/>
      <c r="HG232" s="55"/>
      <c r="HH232" s="55"/>
      <c r="HI232" s="55"/>
      <c r="HJ232" s="55"/>
      <c r="HK232" s="55"/>
      <c r="HL232" s="55"/>
      <c r="HM232" s="55"/>
      <c r="HN232" s="55"/>
      <c r="HO232" s="55"/>
      <c r="HP232" s="55"/>
      <c r="HQ232" s="55"/>
      <c r="HR232" s="55"/>
      <c r="HS232" s="55"/>
      <c r="HT232" s="55"/>
      <c r="HU232" s="55"/>
      <c r="HV232" s="55"/>
      <c r="HW232" s="55"/>
      <c r="HX232" s="55"/>
      <c r="HY232" s="55"/>
      <c r="HZ232" s="55"/>
      <c r="IA232" s="55"/>
      <c r="IB232" s="55"/>
      <c r="IC232" s="55"/>
      <c r="ID232" s="55"/>
    </row>
    <row r="233" s="52" customFormat="1" ht="30" customHeight="1" spans="1:238">
      <c r="A233" s="64" t="s">
        <v>95</v>
      </c>
      <c r="B233" s="64" t="s">
        <v>969</v>
      </c>
      <c r="C233" s="64" t="s">
        <v>970</v>
      </c>
      <c r="D233" s="65"/>
      <c r="E233" s="77"/>
      <c r="F233" s="77" t="s">
        <v>35</v>
      </c>
      <c r="G233" s="64" t="s">
        <v>110</v>
      </c>
      <c r="H233" s="78">
        <v>1350</v>
      </c>
      <c r="I233" s="78">
        <v>1215</v>
      </c>
      <c r="J233" s="83"/>
      <c r="K233" s="83"/>
      <c r="L233" s="83"/>
      <c r="M233" s="41">
        <v>1300</v>
      </c>
      <c r="N233" s="41">
        <v>1215</v>
      </c>
      <c r="O233" s="41">
        <v>1035</v>
      </c>
      <c r="P233" s="64" t="s">
        <v>37</v>
      </c>
      <c r="Q233" s="64" t="s">
        <v>35</v>
      </c>
      <c r="R233" s="64" t="s">
        <v>35</v>
      </c>
      <c r="S233" s="83"/>
      <c r="T233" s="77" t="s">
        <v>186</v>
      </c>
      <c r="U233" s="105" t="s">
        <v>971</v>
      </c>
      <c r="V233" s="105">
        <v>33040700502</v>
      </c>
      <c r="W233" s="106" t="s">
        <v>972</v>
      </c>
      <c r="X233" s="105"/>
      <c r="Y233" s="105"/>
      <c r="Z233" s="105" t="s">
        <v>36</v>
      </c>
      <c r="AA233" s="110" t="s">
        <v>35</v>
      </c>
      <c r="AB233" s="50">
        <v>5560</v>
      </c>
      <c r="AC233" s="50">
        <v>5265</v>
      </c>
      <c r="AD233" s="50">
        <v>4485</v>
      </c>
      <c r="AE233" s="112" t="s">
        <v>37</v>
      </c>
      <c r="AF233" s="60"/>
      <c r="AG233" s="55"/>
      <c r="AH233" s="55"/>
      <c r="AI233" s="55"/>
      <c r="AJ233" s="55"/>
      <c r="AK233" s="55"/>
      <c r="AL233" s="55"/>
      <c r="AM233" s="55"/>
      <c r="AN233" s="55"/>
      <c r="AO233" s="55"/>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55"/>
      <c r="BR233" s="55"/>
      <c r="BS233" s="55"/>
      <c r="BT233" s="55"/>
      <c r="BU233" s="55"/>
      <c r="BV233" s="55"/>
      <c r="BW233" s="55"/>
      <c r="BX233" s="55"/>
      <c r="BY233" s="55"/>
      <c r="BZ233" s="55"/>
      <c r="CA233" s="55"/>
      <c r="CB233" s="55"/>
      <c r="CC233" s="55"/>
      <c r="CD233" s="55"/>
      <c r="CE233" s="55"/>
      <c r="CF233" s="55"/>
      <c r="CG233" s="55"/>
      <c r="CH233" s="55"/>
      <c r="CI233" s="55"/>
      <c r="CJ233" s="55"/>
      <c r="CK233" s="55"/>
      <c r="CL233" s="55"/>
      <c r="CM233" s="55"/>
      <c r="CN233" s="55"/>
      <c r="CO233" s="55"/>
      <c r="CP233" s="55"/>
      <c r="CQ233" s="55"/>
      <c r="CR233" s="55"/>
      <c r="CS233" s="55"/>
      <c r="CT233" s="55"/>
      <c r="CU233" s="55"/>
      <c r="CV233" s="55"/>
      <c r="CW233" s="55"/>
      <c r="CX233" s="55"/>
      <c r="CY233" s="55"/>
      <c r="CZ233" s="55"/>
      <c r="DA233" s="55"/>
      <c r="DB233" s="55"/>
      <c r="DC233" s="55"/>
      <c r="DD233" s="55"/>
      <c r="DE233" s="55"/>
      <c r="DF233" s="55"/>
      <c r="DG233" s="55"/>
      <c r="DH233" s="55"/>
      <c r="DI233" s="55"/>
      <c r="DJ233" s="55"/>
      <c r="DK233" s="55"/>
      <c r="DL233" s="55"/>
      <c r="DM233" s="55"/>
      <c r="DN233" s="55"/>
      <c r="DO233" s="55"/>
      <c r="DP233" s="55"/>
      <c r="DQ233" s="55"/>
      <c r="DR233" s="55"/>
      <c r="DS233" s="55"/>
      <c r="DT233" s="55"/>
      <c r="DU233" s="55"/>
      <c r="DV233" s="55"/>
      <c r="DW233" s="55"/>
      <c r="DX233" s="55"/>
      <c r="DY233" s="55"/>
      <c r="DZ233" s="55"/>
      <c r="EA233" s="55"/>
      <c r="EB233" s="55"/>
      <c r="EC233" s="55"/>
      <c r="ED233" s="55"/>
      <c r="EE233" s="55"/>
      <c r="EF233" s="55"/>
      <c r="EG233" s="55"/>
      <c r="EH233" s="55"/>
      <c r="EI233" s="55"/>
      <c r="EJ233" s="55"/>
      <c r="EK233" s="55"/>
      <c r="EL233" s="55"/>
      <c r="EM233" s="55"/>
      <c r="EN233" s="55"/>
      <c r="EO233" s="55"/>
      <c r="EP233" s="55"/>
      <c r="EQ233" s="55"/>
      <c r="ER233" s="55"/>
      <c r="ES233" s="55"/>
      <c r="ET233" s="55"/>
      <c r="EU233" s="55"/>
      <c r="EV233" s="55"/>
      <c r="EW233" s="55"/>
      <c r="EX233" s="55"/>
      <c r="EY233" s="55"/>
      <c r="EZ233" s="55"/>
      <c r="FA233" s="55"/>
      <c r="FB233" s="55"/>
      <c r="FC233" s="55"/>
      <c r="FD233" s="55"/>
      <c r="FE233" s="55"/>
      <c r="FF233" s="55"/>
      <c r="FG233" s="55"/>
      <c r="FH233" s="55"/>
      <c r="FI233" s="55"/>
      <c r="FJ233" s="55"/>
      <c r="FK233" s="55"/>
      <c r="FL233" s="55"/>
      <c r="FM233" s="55"/>
      <c r="FN233" s="55"/>
      <c r="FO233" s="55"/>
      <c r="FP233" s="55"/>
      <c r="FQ233" s="55"/>
      <c r="FR233" s="55"/>
      <c r="FS233" s="55"/>
      <c r="FT233" s="55"/>
      <c r="FU233" s="55"/>
      <c r="FV233" s="55"/>
      <c r="FW233" s="55"/>
      <c r="FX233" s="55"/>
      <c r="FY233" s="55"/>
      <c r="FZ233" s="55"/>
      <c r="GA233" s="55"/>
      <c r="GB233" s="55"/>
      <c r="GC233" s="55"/>
      <c r="GD233" s="55"/>
      <c r="GE233" s="55"/>
      <c r="GF233" s="55"/>
      <c r="GG233" s="55"/>
      <c r="GH233" s="55"/>
      <c r="GI233" s="55"/>
      <c r="GJ233" s="55"/>
      <c r="GK233" s="55"/>
      <c r="GL233" s="55"/>
      <c r="GM233" s="55"/>
      <c r="GN233" s="55"/>
      <c r="GO233" s="55"/>
      <c r="GP233" s="55"/>
      <c r="GQ233" s="55"/>
      <c r="GR233" s="55"/>
      <c r="GS233" s="55"/>
      <c r="GT233" s="55"/>
      <c r="GU233" s="55"/>
      <c r="GV233" s="55"/>
      <c r="GW233" s="55"/>
      <c r="GX233" s="55"/>
      <c r="GY233" s="55"/>
      <c r="GZ233" s="55"/>
      <c r="HA233" s="55"/>
      <c r="HB233" s="55"/>
      <c r="HC233" s="55"/>
      <c r="HD233" s="55"/>
      <c r="HE233" s="55"/>
      <c r="HF233" s="55"/>
      <c r="HG233" s="55"/>
      <c r="HH233" s="55"/>
      <c r="HI233" s="55"/>
      <c r="HJ233" s="55"/>
      <c r="HK233" s="55"/>
      <c r="HL233" s="55"/>
      <c r="HM233" s="55"/>
      <c r="HN233" s="55"/>
      <c r="HO233" s="55"/>
      <c r="HP233" s="55"/>
      <c r="HQ233" s="55"/>
      <c r="HR233" s="55"/>
      <c r="HS233" s="55"/>
      <c r="HT233" s="55"/>
      <c r="HU233" s="55"/>
      <c r="HV233" s="55"/>
      <c r="HW233" s="55"/>
      <c r="HX233" s="55"/>
      <c r="HY233" s="55"/>
      <c r="HZ233" s="55"/>
      <c r="IA233" s="55"/>
      <c r="IB233" s="55"/>
      <c r="IC233" s="55"/>
      <c r="ID233" s="55"/>
    </row>
    <row r="234" s="52" customFormat="1" ht="30" customHeight="1" spans="1:238">
      <c r="A234" s="64"/>
      <c r="B234" s="64"/>
      <c r="C234" s="64"/>
      <c r="D234" s="65"/>
      <c r="E234" s="77"/>
      <c r="F234" s="77"/>
      <c r="G234" s="64"/>
      <c r="H234" s="42"/>
      <c r="I234" s="42"/>
      <c r="J234" s="83"/>
      <c r="K234" s="83"/>
      <c r="L234" s="83"/>
      <c r="M234" s="41"/>
      <c r="N234" s="41"/>
      <c r="O234" s="41"/>
      <c r="P234" s="64"/>
      <c r="Q234" s="64"/>
      <c r="R234" s="64"/>
      <c r="S234" s="83"/>
      <c r="T234" s="77"/>
      <c r="U234" s="105" t="s">
        <v>973</v>
      </c>
      <c r="V234" s="105">
        <v>33040700503</v>
      </c>
      <c r="W234" s="106" t="s">
        <v>974</v>
      </c>
      <c r="X234" s="105"/>
      <c r="Y234" s="105"/>
      <c r="Z234" s="105" t="s">
        <v>36</v>
      </c>
      <c r="AA234" s="110" t="s">
        <v>35</v>
      </c>
      <c r="AB234" s="50">
        <v>5850</v>
      </c>
      <c r="AC234" s="50">
        <v>5560</v>
      </c>
      <c r="AD234" s="50">
        <v>4745</v>
      </c>
      <c r="AE234" s="112" t="s">
        <v>37</v>
      </c>
      <c r="AF234" s="60"/>
      <c r="AG234" s="55"/>
      <c r="AH234" s="55"/>
      <c r="AI234" s="55"/>
      <c r="AJ234" s="55"/>
      <c r="AK234" s="55"/>
      <c r="AL234" s="55"/>
      <c r="AM234" s="55"/>
      <c r="AN234" s="55"/>
      <c r="AO234" s="55"/>
      <c r="AP234" s="55"/>
      <c r="AQ234" s="55"/>
      <c r="AR234" s="55"/>
      <c r="AS234" s="55"/>
      <c r="AT234" s="55"/>
      <c r="AU234" s="55"/>
      <c r="AV234" s="55"/>
      <c r="AW234" s="55"/>
      <c r="AX234" s="55"/>
      <c r="AY234" s="55"/>
      <c r="AZ234" s="55"/>
      <c r="BA234" s="55"/>
      <c r="BB234" s="55"/>
      <c r="BC234" s="55"/>
      <c r="BD234" s="55"/>
      <c r="BE234" s="55"/>
      <c r="BF234" s="55"/>
      <c r="BG234" s="55"/>
      <c r="BH234" s="55"/>
      <c r="BI234" s="55"/>
      <c r="BJ234" s="55"/>
      <c r="BK234" s="55"/>
      <c r="BL234" s="55"/>
      <c r="BM234" s="55"/>
      <c r="BN234" s="55"/>
      <c r="BO234" s="55"/>
      <c r="BP234" s="55"/>
      <c r="BQ234" s="55"/>
      <c r="BR234" s="55"/>
      <c r="BS234" s="55"/>
      <c r="BT234" s="55"/>
      <c r="BU234" s="55"/>
      <c r="BV234" s="55"/>
      <c r="BW234" s="55"/>
      <c r="BX234" s="55"/>
      <c r="BY234" s="55"/>
      <c r="BZ234" s="55"/>
      <c r="CA234" s="55"/>
      <c r="CB234" s="55"/>
      <c r="CC234" s="55"/>
      <c r="CD234" s="55"/>
      <c r="CE234" s="55"/>
      <c r="CF234" s="55"/>
      <c r="CG234" s="55"/>
      <c r="CH234" s="55"/>
      <c r="CI234" s="55"/>
      <c r="CJ234" s="55"/>
      <c r="CK234" s="55"/>
      <c r="CL234" s="55"/>
      <c r="CM234" s="55"/>
      <c r="CN234" s="55"/>
      <c r="CO234" s="55"/>
      <c r="CP234" s="55"/>
      <c r="CQ234" s="55"/>
      <c r="CR234" s="55"/>
      <c r="CS234" s="55"/>
      <c r="CT234" s="55"/>
      <c r="CU234" s="55"/>
      <c r="CV234" s="55"/>
      <c r="CW234" s="55"/>
      <c r="CX234" s="55"/>
      <c r="CY234" s="55"/>
      <c r="CZ234" s="55"/>
      <c r="DA234" s="55"/>
      <c r="DB234" s="55"/>
      <c r="DC234" s="55"/>
      <c r="DD234" s="55"/>
      <c r="DE234" s="55"/>
      <c r="DF234" s="55"/>
      <c r="DG234" s="55"/>
      <c r="DH234" s="55"/>
      <c r="DI234" s="55"/>
      <c r="DJ234" s="55"/>
      <c r="DK234" s="55"/>
      <c r="DL234" s="55"/>
      <c r="DM234" s="55"/>
      <c r="DN234" s="55"/>
      <c r="DO234" s="55"/>
      <c r="DP234" s="55"/>
      <c r="DQ234" s="55"/>
      <c r="DR234" s="55"/>
      <c r="DS234" s="55"/>
      <c r="DT234" s="55"/>
      <c r="DU234" s="55"/>
      <c r="DV234" s="55"/>
      <c r="DW234" s="55"/>
      <c r="DX234" s="55"/>
      <c r="DY234" s="55"/>
      <c r="DZ234" s="55"/>
      <c r="EA234" s="55"/>
      <c r="EB234" s="55"/>
      <c r="EC234" s="55"/>
      <c r="ED234" s="55"/>
      <c r="EE234" s="55"/>
      <c r="EF234" s="55"/>
      <c r="EG234" s="55"/>
      <c r="EH234" s="55"/>
      <c r="EI234" s="55"/>
      <c r="EJ234" s="55"/>
      <c r="EK234" s="55"/>
      <c r="EL234" s="55"/>
      <c r="EM234" s="55"/>
      <c r="EN234" s="55"/>
      <c r="EO234" s="55"/>
      <c r="EP234" s="55"/>
      <c r="EQ234" s="55"/>
      <c r="ER234" s="55"/>
      <c r="ES234" s="55"/>
      <c r="ET234" s="55"/>
      <c r="EU234" s="55"/>
      <c r="EV234" s="55"/>
      <c r="EW234" s="55"/>
      <c r="EX234" s="55"/>
      <c r="EY234" s="55"/>
      <c r="EZ234" s="55"/>
      <c r="FA234" s="55"/>
      <c r="FB234" s="55"/>
      <c r="FC234" s="55"/>
      <c r="FD234" s="55"/>
      <c r="FE234" s="55"/>
      <c r="FF234" s="55"/>
      <c r="FG234" s="55"/>
      <c r="FH234" s="55"/>
      <c r="FI234" s="55"/>
      <c r="FJ234" s="55"/>
      <c r="FK234" s="55"/>
      <c r="FL234" s="55"/>
      <c r="FM234" s="55"/>
      <c r="FN234" s="55"/>
      <c r="FO234" s="55"/>
      <c r="FP234" s="55"/>
      <c r="FQ234" s="55"/>
      <c r="FR234" s="55"/>
      <c r="FS234" s="55"/>
      <c r="FT234" s="55"/>
      <c r="FU234" s="55"/>
      <c r="FV234" s="55"/>
      <c r="FW234" s="55"/>
      <c r="FX234" s="55"/>
      <c r="FY234" s="55"/>
      <c r="FZ234" s="55"/>
      <c r="GA234" s="55"/>
      <c r="GB234" s="55"/>
      <c r="GC234" s="55"/>
      <c r="GD234" s="55"/>
      <c r="GE234" s="55"/>
      <c r="GF234" s="55"/>
      <c r="GG234" s="55"/>
      <c r="GH234" s="55"/>
      <c r="GI234" s="55"/>
      <c r="GJ234" s="55"/>
      <c r="GK234" s="55"/>
      <c r="GL234" s="55"/>
      <c r="GM234" s="55"/>
      <c r="GN234" s="55"/>
      <c r="GO234" s="55"/>
      <c r="GP234" s="55"/>
      <c r="GQ234" s="55"/>
      <c r="GR234" s="55"/>
      <c r="GS234" s="55"/>
      <c r="GT234" s="55"/>
      <c r="GU234" s="55"/>
      <c r="GV234" s="55"/>
      <c r="GW234" s="55"/>
      <c r="GX234" s="55"/>
      <c r="GY234" s="55"/>
      <c r="GZ234" s="55"/>
      <c r="HA234" s="55"/>
      <c r="HB234" s="55"/>
      <c r="HC234" s="55"/>
      <c r="HD234" s="55"/>
      <c r="HE234" s="55"/>
      <c r="HF234" s="55"/>
      <c r="HG234" s="55"/>
      <c r="HH234" s="55"/>
      <c r="HI234" s="55"/>
      <c r="HJ234" s="55"/>
      <c r="HK234" s="55"/>
      <c r="HL234" s="55"/>
      <c r="HM234" s="55"/>
      <c r="HN234" s="55"/>
      <c r="HO234" s="55"/>
      <c r="HP234" s="55"/>
      <c r="HQ234" s="55"/>
      <c r="HR234" s="55"/>
      <c r="HS234" s="55"/>
      <c r="HT234" s="55"/>
      <c r="HU234" s="55"/>
      <c r="HV234" s="55"/>
      <c r="HW234" s="55"/>
      <c r="HX234" s="55"/>
      <c r="HY234" s="55"/>
      <c r="HZ234" s="55"/>
      <c r="IA234" s="55"/>
      <c r="IB234" s="55"/>
      <c r="IC234" s="55"/>
      <c r="ID234" s="55"/>
    </row>
    <row r="235" s="52" customFormat="1" ht="30" customHeight="1" spans="1:238">
      <c r="A235" s="64"/>
      <c r="B235" s="64"/>
      <c r="C235" s="64"/>
      <c r="D235" s="65"/>
      <c r="E235" s="77"/>
      <c r="F235" s="77"/>
      <c r="G235" s="64"/>
      <c r="H235" s="42"/>
      <c r="I235" s="42"/>
      <c r="J235" s="83"/>
      <c r="K235" s="83"/>
      <c r="L235" s="83"/>
      <c r="M235" s="41"/>
      <c r="N235" s="41"/>
      <c r="O235" s="41"/>
      <c r="P235" s="64"/>
      <c r="Q235" s="64"/>
      <c r="R235" s="64"/>
      <c r="S235" s="83"/>
      <c r="T235" s="77"/>
      <c r="U235" s="117" t="s">
        <v>975</v>
      </c>
      <c r="V235" s="117">
        <v>33040700505</v>
      </c>
      <c r="W235" s="118" t="s">
        <v>976</v>
      </c>
      <c r="X235" s="117"/>
      <c r="Y235" s="117" t="s">
        <v>956</v>
      </c>
      <c r="Z235" s="117" t="s">
        <v>36</v>
      </c>
      <c r="AA235" s="120" t="s">
        <v>35</v>
      </c>
      <c r="AB235" s="96">
        <v>5560</v>
      </c>
      <c r="AC235" s="96">
        <v>5265</v>
      </c>
      <c r="AD235" s="96">
        <v>4485</v>
      </c>
      <c r="AE235" s="143" t="s">
        <v>37</v>
      </c>
      <c r="AF235" s="60"/>
      <c r="AG235" s="55"/>
      <c r="AH235" s="55"/>
      <c r="AI235" s="55"/>
      <c r="AJ235" s="55"/>
      <c r="AK235" s="55"/>
      <c r="AL235" s="55"/>
      <c r="AM235" s="55"/>
      <c r="AN235" s="55"/>
      <c r="AO235" s="55"/>
      <c r="AP235" s="55"/>
      <c r="AQ235" s="55"/>
      <c r="AR235" s="55"/>
      <c r="AS235" s="55"/>
      <c r="AT235" s="55"/>
      <c r="AU235" s="55"/>
      <c r="AV235" s="55"/>
      <c r="AW235" s="55"/>
      <c r="AX235" s="55"/>
      <c r="AY235" s="55"/>
      <c r="AZ235" s="55"/>
      <c r="BA235" s="55"/>
      <c r="BB235" s="55"/>
      <c r="BC235" s="55"/>
      <c r="BD235" s="55"/>
      <c r="BE235" s="55"/>
      <c r="BF235" s="55"/>
      <c r="BG235" s="55"/>
      <c r="BH235" s="55"/>
      <c r="BI235" s="55"/>
      <c r="BJ235" s="55"/>
      <c r="BK235" s="55"/>
      <c r="BL235" s="55"/>
      <c r="BM235" s="55"/>
      <c r="BN235" s="55"/>
      <c r="BO235" s="55"/>
      <c r="BP235" s="55"/>
      <c r="BQ235" s="55"/>
      <c r="BR235" s="55"/>
      <c r="BS235" s="55"/>
      <c r="BT235" s="55"/>
      <c r="BU235" s="55"/>
      <c r="BV235" s="55"/>
      <c r="BW235" s="55"/>
      <c r="BX235" s="55"/>
      <c r="BY235" s="55"/>
      <c r="BZ235" s="55"/>
      <c r="CA235" s="55"/>
      <c r="CB235" s="55"/>
      <c r="CC235" s="55"/>
      <c r="CD235" s="55"/>
      <c r="CE235" s="55"/>
      <c r="CF235" s="55"/>
      <c r="CG235" s="55"/>
      <c r="CH235" s="55"/>
      <c r="CI235" s="55"/>
      <c r="CJ235" s="55"/>
      <c r="CK235" s="55"/>
      <c r="CL235" s="55"/>
      <c r="CM235" s="55"/>
      <c r="CN235" s="55"/>
      <c r="CO235" s="55"/>
      <c r="CP235" s="55"/>
      <c r="CQ235" s="55"/>
      <c r="CR235" s="55"/>
      <c r="CS235" s="55"/>
      <c r="CT235" s="55"/>
      <c r="CU235" s="55"/>
      <c r="CV235" s="55"/>
      <c r="CW235" s="55"/>
      <c r="CX235" s="55"/>
      <c r="CY235" s="55"/>
      <c r="CZ235" s="55"/>
      <c r="DA235" s="55"/>
      <c r="DB235" s="55"/>
      <c r="DC235" s="55"/>
      <c r="DD235" s="55"/>
      <c r="DE235" s="55"/>
      <c r="DF235" s="55"/>
      <c r="DG235" s="55"/>
      <c r="DH235" s="55"/>
      <c r="DI235" s="55"/>
      <c r="DJ235" s="55"/>
      <c r="DK235" s="55"/>
      <c r="DL235" s="55"/>
      <c r="DM235" s="55"/>
      <c r="DN235" s="55"/>
      <c r="DO235" s="55"/>
      <c r="DP235" s="55"/>
      <c r="DQ235" s="55"/>
      <c r="DR235" s="55"/>
      <c r="DS235" s="55"/>
      <c r="DT235" s="55"/>
      <c r="DU235" s="55"/>
      <c r="DV235" s="55"/>
      <c r="DW235" s="55"/>
      <c r="DX235" s="55"/>
      <c r="DY235" s="55"/>
      <c r="DZ235" s="55"/>
      <c r="EA235" s="55"/>
      <c r="EB235" s="55"/>
      <c r="EC235" s="55"/>
      <c r="ED235" s="55"/>
      <c r="EE235" s="55"/>
      <c r="EF235" s="55"/>
      <c r="EG235" s="55"/>
      <c r="EH235" s="55"/>
      <c r="EI235" s="55"/>
      <c r="EJ235" s="55"/>
      <c r="EK235" s="55"/>
      <c r="EL235" s="55"/>
      <c r="EM235" s="55"/>
      <c r="EN235" s="55"/>
      <c r="EO235" s="55"/>
      <c r="EP235" s="55"/>
      <c r="EQ235" s="55"/>
      <c r="ER235" s="55"/>
      <c r="ES235" s="55"/>
      <c r="ET235" s="55"/>
      <c r="EU235" s="55"/>
      <c r="EV235" s="55"/>
      <c r="EW235" s="55"/>
      <c r="EX235" s="55"/>
      <c r="EY235" s="55"/>
      <c r="EZ235" s="55"/>
      <c r="FA235" s="55"/>
      <c r="FB235" s="55"/>
      <c r="FC235" s="55"/>
      <c r="FD235" s="55"/>
      <c r="FE235" s="55"/>
      <c r="FF235" s="55"/>
      <c r="FG235" s="55"/>
      <c r="FH235" s="55"/>
      <c r="FI235" s="55"/>
      <c r="FJ235" s="55"/>
      <c r="FK235" s="55"/>
      <c r="FL235" s="55"/>
      <c r="FM235" s="55"/>
      <c r="FN235" s="55"/>
      <c r="FO235" s="55"/>
      <c r="FP235" s="55"/>
      <c r="FQ235" s="55"/>
      <c r="FR235" s="55"/>
      <c r="FS235" s="55"/>
      <c r="FT235" s="55"/>
      <c r="FU235" s="55"/>
      <c r="FV235" s="55"/>
      <c r="FW235" s="55"/>
      <c r="FX235" s="55"/>
      <c r="FY235" s="55"/>
      <c r="FZ235" s="55"/>
      <c r="GA235" s="55"/>
      <c r="GB235" s="55"/>
      <c r="GC235" s="55"/>
      <c r="GD235" s="55"/>
      <c r="GE235" s="55"/>
      <c r="GF235" s="55"/>
      <c r="GG235" s="55"/>
      <c r="GH235" s="55"/>
      <c r="GI235" s="55"/>
      <c r="GJ235" s="55"/>
      <c r="GK235" s="55"/>
      <c r="GL235" s="55"/>
      <c r="GM235" s="55"/>
      <c r="GN235" s="55"/>
      <c r="GO235" s="55"/>
      <c r="GP235" s="55"/>
      <c r="GQ235" s="55"/>
      <c r="GR235" s="55"/>
      <c r="GS235" s="55"/>
      <c r="GT235" s="55"/>
      <c r="GU235" s="55"/>
      <c r="GV235" s="55"/>
      <c r="GW235" s="55"/>
      <c r="GX235" s="55"/>
      <c r="GY235" s="55"/>
      <c r="GZ235" s="55"/>
      <c r="HA235" s="55"/>
      <c r="HB235" s="55"/>
      <c r="HC235" s="55"/>
      <c r="HD235" s="55"/>
      <c r="HE235" s="55"/>
      <c r="HF235" s="55"/>
      <c r="HG235" s="55"/>
      <c r="HH235" s="55"/>
      <c r="HI235" s="55"/>
      <c r="HJ235" s="55"/>
      <c r="HK235" s="55"/>
      <c r="HL235" s="55"/>
      <c r="HM235" s="55"/>
      <c r="HN235" s="55"/>
      <c r="HO235" s="55"/>
      <c r="HP235" s="55"/>
      <c r="HQ235" s="55"/>
      <c r="HR235" s="55"/>
      <c r="HS235" s="55"/>
      <c r="HT235" s="55"/>
      <c r="HU235" s="55"/>
      <c r="HV235" s="55"/>
      <c r="HW235" s="55"/>
      <c r="HX235" s="55"/>
      <c r="HY235" s="55"/>
      <c r="HZ235" s="55"/>
      <c r="IA235" s="55"/>
      <c r="IB235" s="55"/>
      <c r="IC235" s="55"/>
      <c r="ID235" s="55"/>
    </row>
    <row r="236" s="52" customFormat="1" ht="30" customHeight="1" spans="1:238">
      <c r="A236" s="64"/>
      <c r="B236" s="64"/>
      <c r="C236" s="64"/>
      <c r="D236" s="65"/>
      <c r="E236" s="77"/>
      <c r="F236" s="77"/>
      <c r="G236" s="64"/>
      <c r="H236" s="42"/>
      <c r="I236" s="42"/>
      <c r="J236" s="83"/>
      <c r="K236" s="83"/>
      <c r="L236" s="83"/>
      <c r="M236" s="41"/>
      <c r="N236" s="41"/>
      <c r="O236" s="41"/>
      <c r="P236" s="64"/>
      <c r="Q236" s="64"/>
      <c r="R236" s="64"/>
      <c r="S236" s="83"/>
      <c r="T236" s="77"/>
      <c r="U236" s="105" t="s">
        <v>977</v>
      </c>
      <c r="V236" s="105">
        <v>33040700601</v>
      </c>
      <c r="W236" s="106" t="s">
        <v>978</v>
      </c>
      <c r="X236" s="105"/>
      <c r="Y236" s="105"/>
      <c r="Z236" s="105" t="s">
        <v>36</v>
      </c>
      <c r="AA236" s="110" t="s">
        <v>35</v>
      </c>
      <c r="AB236" s="50">
        <v>1315</v>
      </c>
      <c r="AC236" s="50">
        <v>1185</v>
      </c>
      <c r="AD236" s="50">
        <v>1005</v>
      </c>
      <c r="AE236" s="112" t="s">
        <v>37</v>
      </c>
      <c r="AF236" s="60"/>
      <c r="AG236" s="55"/>
      <c r="AH236" s="55"/>
      <c r="AI236" s="55"/>
      <c r="AJ236" s="55"/>
      <c r="AK236" s="55"/>
      <c r="AL236" s="55"/>
      <c r="AM236" s="55"/>
      <c r="AN236" s="55"/>
      <c r="AO236" s="55"/>
      <c r="AP236" s="55"/>
      <c r="AQ236" s="55"/>
      <c r="AR236" s="55"/>
      <c r="AS236" s="55"/>
      <c r="AT236" s="55"/>
      <c r="AU236" s="55"/>
      <c r="AV236" s="55"/>
      <c r="AW236" s="55"/>
      <c r="AX236" s="55"/>
      <c r="AY236" s="55"/>
      <c r="AZ236" s="55"/>
      <c r="BA236" s="55"/>
      <c r="BB236" s="55"/>
      <c r="BC236" s="55"/>
      <c r="BD236" s="55"/>
      <c r="BE236" s="55"/>
      <c r="BF236" s="55"/>
      <c r="BG236" s="55"/>
      <c r="BH236" s="55"/>
      <c r="BI236" s="55"/>
      <c r="BJ236" s="55"/>
      <c r="BK236" s="55"/>
      <c r="BL236" s="55"/>
      <c r="BM236" s="55"/>
      <c r="BN236" s="55"/>
      <c r="BO236" s="55"/>
      <c r="BP236" s="55"/>
      <c r="BQ236" s="55"/>
      <c r="BR236" s="55"/>
      <c r="BS236" s="55"/>
      <c r="BT236" s="55"/>
      <c r="BU236" s="55"/>
      <c r="BV236" s="55"/>
      <c r="BW236" s="55"/>
      <c r="BX236" s="55"/>
      <c r="BY236" s="55"/>
      <c r="BZ236" s="55"/>
      <c r="CA236" s="55"/>
      <c r="CB236" s="55"/>
      <c r="CC236" s="55"/>
      <c r="CD236" s="55"/>
      <c r="CE236" s="55"/>
      <c r="CF236" s="55"/>
      <c r="CG236" s="55"/>
      <c r="CH236" s="55"/>
      <c r="CI236" s="55"/>
      <c r="CJ236" s="55"/>
      <c r="CK236" s="55"/>
      <c r="CL236" s="55"/>
      <c r="CM236" s="55"/>
      <c r="CN236" s="55"/>
      <c r="CO236" s="55"/>
      <c r="CP236" s="55"/>
      <c r="CQ236" s="55"/>
      <c r="CR236" s="55"/>
      <c r="CS236" s="55"/>
      <c r="CT236" s="55"/>
      <c r="CU236" s="55"/>
      <c r="CV236" s="55"/>
      <c r="CW236" s="55"/>
      <c r="CX236" s="55"/>
      <c r="CY236" s="55"/>
      <c r="CZ236" s="55"/>
      <c r="DA236" s="55"/>
      <c r="DB236" s="55"/>
      <c r="DC236" s="55"/>
      <c r="DD236" s="55"/>
      <c r="DE236" s="55"/>
      <c r="DF236" s="55"/>
      <c r="DG236" s="55"/>
      <c r="DH236" s="55"/>
      <c r="DI236" s="55"/>
      <c r="DJ236" s="55"/>
      <c r="DK236" s="55"/>
      <c r="DL236" s="55"/>
      <c r="DM236" s="55"/>
      <c r="DN236" s="55"/>
      <c r="DO236" s="55"/>
      <c r="DP236" s="55"/>
      <c r="DQ236" s="55"/>
      <c r="DR236" s="55"/>
      <c r="DS236" s="55"/>
      <c r="DT236" s="55"/>
      <c r="DU236" s="55"/>
      <c r="DV236" s="55"/>
      <c r="DW236" s="55"/>
      <c r="DX236" s="55"/>
      <c r="DY236" s="55"/>
      <c r="DZ236" s="55"/>
      <c r="EA236" s="55"/>
      <c r="EB236" s="55"/>
      <c r="EC236" s="55"/>
      <c r="ED236" s="55"/>
      <c r="EE236" s="55"/>
      <c r="EF236" s="55"/>
      <c r="EG236" s="55"/>
      <c r="EH236" s="55"/>
      <c r="EI236" s="55"/>
      <c r="EJ236" s="55"/>
      <c r="EK236" s="55"/>
      <c r="EL236" s="55"/>
      <c r="EM236" s="55"/>
      <c r="EN236" s="55"/>
      <c r="EO236" s="55"/>
      <c r="EP236" s="55"/>
      <c r="EQ236" s="55"/>
      <c r="ER236" s="55"/>
      <c r="ES236" s="55"/>
      <c r="ET236" s="55"/>
      <c r="EU236" s="55"/>
      <c r="EV236" s="55"/>
      <c r="EW236" s="55"/>
      <c r="EX236" s="55"/>
      <c r="EY236" s="55"/>
      <c r="EZ236" s="55"/>
      <c r="FA236" s="55"/>
      <c r="FB236" s="55"/>
      <c r="FC236" s="55"/>
      <c r="FD236" s="55"/>
      <c r="FE236" s="55"/>
      <c r="FF236" s="55"/>
      <c r="FG236" s="55"/>
      <c r="FH236" s="55"/>
      <c r="FI236" s="55"/>
      <c r="FJ236" s="55"/>
      <c r="FK236" s="55"/>
      <c r="FL236" s="55"/>
      <c r="FM236" s="55"/>
      <c r="FN236" s="55"/>
      <c r="FO236" s="55"/>
      <c r="FP236" s="55"/>
      <c r="FQ236" s="55"/>
      <c r="FR236" s="55"/>
      <c r="FS236" s="55"/>
      <c r="FT236" s="55"/>
      <c r="FU236" s="55"/>
      <c r="FV236" s="55"/>
      <c r="FW236" s="55"/>
      <c r="FX236" s="55"/>
      <c r="FY236" s="55"/>
      <c r="FZ236" s="55"/>
      <c r="GA236" s="55"/>
      <c r="GB236" s="55"/>
      <c r="GC236" s="55"/>
      <c r="GD236" s="55"/>
      <c r="GE236" s="55"/>
      <c r="GF236" s="55"/>
      <c r="GG236" s="55"/>
      <c r="GH236" s="55"/>
      <c r="GI236" s="55"/>
      <c r="GJ236" s="55"/>
      <c r="GK236" s="55"/>
      <c r="GL236" s="55"/>
      <c r="GM236" s="55"/>
      <c r="GN236" s="55"/>
      <c r="GO236" s="55"/>
      <c r="GP236" s="55"/>
      <c r="GQ236" s="55"/>
      <c r="GR236" s="55"/>
      <c r="GS236" s="55"/>
      <c r="GT236" s="55"/>
      <c r="GU236" s="55"/>
      <c r="GV236" s="55"/>
      <c r="GW236" s="55"/>
      <c r="GX236" s="55"/>
      <c r="GY236" s="55"/>
      <c r="GZ236" s="55"/>
      <c r="HA236" s="55"/>
      <c r="HB236" s="55"/>
      <c r="HC236" s="55"/>
      <c r="HD236" s="55"/>
      <c r="HE236" s="55"/>
      <c r="HF236" s="55"/>
      <c r="HG236" s="55"/>
      <c r="HH236" s="55"/>
      <c r="HI236" s="55"/>
      <c r="HJ236" s="55"/>
      <c r="HK236" s="55"/>
      <c r="HL236" s="55"/>
      <c r="HM236" s="55"/>
      <c r="HN236" s="55"/>
      <c r="HO236" s="55"/>
      <c r="HP236" s="55"/>
      <c r="HQ236" s="55"/>
      <c r="HR236" s="55"/>
      <c r="HS236" s="55"/>
      <c r="HT236" s="55"/>
      <c r="HU236" s="55"/>
      <c r="HV236" s="55"/>
      <c r="HW236" s="55"/>
      <c r="HX236" s="55"/>
      <c r="HY236" s="55"/>
      <c r="HZ236" s="55"/>
      <c r="IA236" s="55"/>
      <c r="IB236" s="55"/>
      <c r="IC236" s="55"/>
      <c r="ID236" s="55"/>
    </row>
    <row r="237" s="52" customFormat="1" ht="30" customHeight="1" spans="1:238">
      <c r="A237" s="64"/>
      <c r="B237" s="64"/>
      <c r="C237" s="64"/>
      <c r="D237" s="65"/>
      <c r="E237" s="77"/>
      <c r="F237" s="77"/>
      <c r="G237" s="64"/>
      <c r="H237" s="42"/>
      <c r="I237" s="42"/>
      <c r="J237" s="83"/>
      <c r="K237" s="83"/>
      <c r="L237" s="83"/>
      <c r="M237" s="41"/>
      <c r="N237" s="41"/>
      <c r="O237" s="41"/>
      <c r="P237" s="64"/>
      <c r="Q237" s="64"/>
      <c r="R237" s="64"/>
      <c r="S237" s="83"/>
      <c r="T237" s="77"/>
      <c r="U237" s="105" t="s">
        <v>979</v>
      </c>
      <c r="V237" s="105">
        <v>33040700701</v>
      </c>
      <c r="W237" s="106" t="s">
        <v>980</v>
      </c>
      <c r="X237" s="105"/>
      <c r="Y237" s="105"/>
      <c r="Z237" s="105" t="s">
        <v>36</v>
      </c>
      <c r="AA237" s="110" t="s">
        <v>35</v>
      </c>
      <c r="AB237" s="50">
        <v>1315</v>
      </c>
      <c r="AC237" s="50">
        <v>1185</v>
      </c>
      <c r="AD237" s="50">
        <v>1005</v>
      </c>
      <c r="AE237" s="112" t="s">
        <v>37</v>
      </c>
      <c r="AF237" s="60"/>
      <c r="AG237" s="55"/>
      <c r="AH237" s="55"/>
      <c r="AI237" s="55"/>
      <c r="AJ237" s="55"/>
      <c r="AK237" s="55"/>
      <c r="AL237" s="55"/>
      <c r="AM237" s="55"/>
      <c r="AN237" s="55"/>
      <c r="AO237" s="55"/>
      <c r="AP237" s="55"/>
      <c r="AQ237" s="55"/>
      <c r="AR237" s="55"/>
      <c r="AS237" s="55"/>
      <c r="AT237" s="55"/>
      <c r="AU237" s="55"/>
      <c r="AV237" s="55"/>
      <c r="AW237" s="55"/>
      <c r="AX237" s="55"/>
      <c r="AY237" s="55"/>
      <c r="AZ237" s="55"/>
      <c r="BA237" s="55"/>
      <c r="BB237" s="55"/>
      <c r="BC237" s="55"/>
      <c r="BD237" s="55"/>
      <c r="BE237" s="55"/>
      <c r="BF237" s="55"/>
      <c r="BG237" s="55"/>
      <c r="BH237" s="55"/>
      <c r="BI237" s="55"/>
      <c r="BJ237" s="55"/>
      <c r="BK237" s="55"/>
      <c r="BL237" s="55"/>
      <c r="BM237" s="55"/>
      <c r="BN237" s="55"/>
      <c r="BO237" s="55"/>
      <c r="BP237" s="55"/>
      <c r="BQ237" s="55"/>
      <c r="BR237" s="55"/>
      <c r="BS237" s="55"/>
      <c r="BT237" s="55"/>
      <c r="BU237" s="55"/>
      <c r="BV237" s="55"/>
      <c r="BW237" s="55"/>
      <c r="BX237" s="55"/>
      <c r="BY237" s="55"/>
      <c r="BZ237" s="55"/>
      <c r="CA237" s="55"/>
      <c r="CB237" s="55"/>
      <c r="CC237" s="55"/>
      <c r="CD237" s="55"/>
      <c r="CE237" s="55"/>
      <c r="CF237" s="55"/>
      <c r="CG237" s="55"/>
      <c r="CH237" s="55"/>
      <c r="CI237" s="55"/>
      <c r="CJ237" s="55"/>
      <c r="CK237" s="55"/>
      <c r="CL237" s="55"/>
      <c r="CM237" s="55"/>
      <c r="CN237" s="55"/>
      <c r="CO237" s="55"/>
      <c r="CP237" s="55"/>
      <c r="CQ237" s="55"/>
      <c r="CR237" s="55"/>
      <c r="CS237" s="55"/>
      <c r="CT237" s="55"/>
      <c r="CU237" s="55"/>
      <c r="CV237" s="55"/>
      <c r="CW237" s="55"/>
      <c r="CX237" s="55"/>
      <c r="CY237" s="55"/>
      <c r="CZ237" s="55"/>
      <c r="DA237" s="55"/>
      <c r="DB237" s="55"/>
      <c r="DC237" s="55"/>
      <c r="DD237" s="55"/>
      <c r="DE237" s="55"/>
      <c r="DF237" s="55"/>
      <c r="DG237" s="55"/>
      <c r="DH237" s="55"/>
      <c r="DI237" s="55"/>
      <c r="DJ237" s="55"/>
      <c r="DK237" s="55"/>
      <c r="DL237" s="55"/>
      <c r="DM237" s="55"/>
      <c r="DN237" s="55"/>
      <c r="DO237" s="55"/>
      <c r="DP237" s="55"/>
      <c r="DQ237" s="55"/>
      <c r="DR237" s="55"/>
      <c r="DS237" s="55"/>
      <c r="DT237" s="55"/>
      <c r="DU237" s="55"/>
      <c r="DV237" s="55"/>
      <c r="DW237" s="55"/>
      <c r="DX237" s="55"/>
      <c r="DY237" s="55"/>
      <c r="DZ237" s="55"/>
      <c r="EA237" s="55"/>
      <c r="EB237" s="55"/>
      <c r="EC237" s="55"/>
      <c r="ED237" s="55"/>
      <c r="EE237" s="55"/>
      <c r="EF237" s="55"/>
      <c r="EG237" s="55"/>
      <c r="EH237" s="55"/>
      <c r="EI237" s="55"/>
      <c r="EJ237" s="55"/>
      <c r="EK237" s="55"/>
      <c r="EL237" s="55"/>
      <c r="EM237" s="55"/>
      <c r="EN237" s="55"/>
      <c r="EO237" s="55"/>
      <c r="EP237" s="55"/>
      <c r="EQ237" s="55"/>
      <c r="ER237" s="55"/>
      <c r="ES237" s="55"/>
      <c r="ET237" s="55"/>
      <c r="EU237" s="55"/>
      <c r="EV237" s="55"/>
      <c r="EW237" s="55"/>
      <c r="EX237" s="55"/>
      <c r="EY237" s="55"/>
      <c r="EZ237" s="55"/>
      <c r="FA237" s="55"/>
      <c r="FB237" s="55"/>
      <c r="FC237" s="55"/>
      <c r="FD237" s="55"/>
      <c r="FE237" s="55"/>
      <c r="FF237" s="55"/>
      <c r="FG237" s="55"/>
      <c r="FH237" s="55"/>
      <c r="FI237" s="55"/>
      <c r="FJ237" s="55"/>
      <c r="FK237" s="55"/>
      <c r="FL237" s="55"/>
      <c r="FM237" s="55"/>
      <c r="FN237" s="55"/>
      <c r="FO237" s="55"/>
      <c r="FP237" s="55"/>
      <c r="FQ237" s="55"/>
      <c r="FR237" s="55"/>
      <c r="FS237" s="55"/>
      <c r="FT237" s="55"/>
      <c r="FU237" s="55"/>
      <c r="FV237" s="55"/>
      <c r="FW237" s="55"/>
      <c r="FX237" s="55"/>
      <c r="FY237" s="55"/>
      <c r="FZ237" s="55"/>
      <c r="GA237" s="55"/>
      <c r="GB237" s="55"/>
      <c r="GC237" s="55"/>
      <c r="GD237" s="55"/>
      <c r="GE237" s="55"/>
      <c r="GF237" s="55"/>
      <c r="GG237" s="55"/>
      <c r="GH237" s="55"/>
      <c r="GI237" s="55"/>
      <c r="GJ237" s="55"/>
      <c r="GK237" s="55"/>
      <c r="GL237" s="55"/>
      <c r="GM237" s="55"/>
      <c r="GN237" s="55"/>
      <c r="GO237" s="55"/>
      <c r="GP237" s="55"/>
      <c r="GQ237" s="55"/>
      <c r="GR237" s="55"/>
      <c r="GS237" s="55"/>
      <c r="GT237" s="55"/>
      <c r="GU237" s="55"/>
      <c r="GV237" s="55"/>
      <c r="GW237" s="55"/>
      <c r="GX237" s="55"/>
      <c r="GY237" s="55"/>
      <c r="GZ237" s="55"/>
      <c r="HA237" s="55"/>
      <c r="HB237" s="55"/>
      <c r="HC237" s="55"/>
      <c r="HD237" s="55"/>
      <c r="HE237" s="55"/>
      <c r="HF237" s="55"/>
      <c r="HG237" s="55"/>
      <c r="HH237" s="55"/>
      <c r="HI237" s="55"/>
      <c r="HJ237" s="55"/>
      <c r="HK237" s="55"/>
      <c r="HL237" s="55"/>
      <c r="HM237" s="55"/>
      <c r="HN237" s="55"/>
      <c r="HO237" s="55"/>
      <c r="HP237" s="55"/>
      <c r="HQ237" s="55"/>
      <c r="HR237" s="55"/>
      <c r="HS237" s="55"/>
      <c r="HT237" s="55"/>
      <c r="HU237" s="55"/>
      <c r="HV237" s="55"/>
      <c r="HW237" s="55"/>
      <c r="HX237" s="55"/>
      <c r="HY237" s="55"/>
      <c r="HZ237" s="55"/>
      <c r="IA237" s="55"/>
      <c r="IB237" s="55"/>
      <c r="IC237" s="55"/>
      <c r="ID237" s="55"/>
    </row>
    <row r="238" s="52" customFormat="1" ht="30" customHeight="1" spans="1:238">
      <c r="A238" s="64"/>
      <c r="B238" s="64"/>
      <c r="C238" s="64"/>
      <c r="D238" s="65"/>
      <c r="E238" s="77"/>
      <c r="F238" s="77"/>
      <c r="G238" s="64"/>
      <c r="H238" s="42"/>
      <c r="I238" s="42"/>
      <c r="J238" s="83"/>
      <c r="K238" s="83"/>
      <c r="L238" s="83"/>
      <c r="M238" s="41"/>
      <c r="N238" s="41"/>
      <c r="O238" s="41"/>
      <c r="P238" s="64"/>
      <c r="Q238" s="64"/>
      <c r="R238" s="64"/>
      <c r="S238" s="83"/>
      <c r="T238" s="77"/>
      <c r="U238" s="105" t="s">
        <v>981</v>
      </c>
      <c r="V238" s="105">
        <v>33040700801</v>
      </c>
      <c r="W238" s="106" t="s">
        <v>982</v>
      </c>
      <c r="X238" s="105"/>
      <c r="Y238" s="105"/>
      <c r="Z238" s="105" t="s">
        <v>36</v>
      </c>
      <c r="AA238" s="110" t="s">
        <v>35</v>
      </c>
      <c r="AB238" s="50">
        <v>3615</v>
      </c>
      <c r="AC238" s="50">
        <v>3250</v>
      </c>
      <c r="AD238" s="50">
        <v>2765</v>
      </c>
      <c r="AE238" s="112" t="s">
        <v>37</v>
      </c>
      <c r="AF238" s="60"/>
      <c r="AG238" s="55"/>
      <c r="AH238" s="55"/>
      <c r="AI238" s="55"/>
      <c r="AJ238" s="55"/>
      <c r="AK238" s="55"/>
      <c r="AL238" s="55"/>
      <c r="AM238" s="55"/>
      <c r="AN238" s="55"/>
      <c r="AO238" s="55"/>
      <c r="AP238" s="55"/>
      <c r="AQ238" s="55"/>
      <c r="AR238" s="55"/>
      <c r="AS238" s="55"/>
      <c r="AT238" s="55"/>
      <c r="AU238" s="55"/>
      <c r="AV238" s="55"/>
      <c r="AW238" s="55"/>
      <c r="AX238" s="55"/>
      <c r="AY238" s="55"/>
      <c r="AZ238" s="55"/>
      <c r="BA238" s="55"/>
      <c r="BB238" s="55"/>
      <c r="BC238" s="55"/>
      <c r="BD238" s="55"/>
      <c r="BE238" s="55"/>
      <c r="BF238" s="55"/>
      <c r="BG238" s="55"/>
      <c r="BH238" s="55"/>
      <c r="BI238" s="55"/>
      <c r="BJ238" s="55"/>
      <c r="BK238" s="55"/>
      <c r="BL238" s="55"/>
      <c r="BM238" s="55"/>
      <c r="BN238" s="55"/>
      <c r="BO238" s="55"/>
      <c r="BP238" s="55"/>
      <c r="BQ238" s="55"/>
      <c r="BR238" s="55"/>
      <c r="BS238" s="55"/>
      <c r="BT238" s="55"/>
      <c r="BU238" s="55"/>
      <c r="BV238" s="55"/>
      <c r="BW238" s="55"/>
      <c r="BX238" s="55"/>
      <c r="BY238" s="55"/>
      <c r="BZ238" s="55"/>
      <c r="CA238" s="55"/>
      <c r="CB238" s="55"/>
      <c r="CC238" s="55"/>
      <c r="CD238" s="55"/>
      <c r="CE238" s="55"/>
      <c r="CF238" s="55"/>
      <c r="CG238" s="55"/>
      <c r="CH238" s="55"/>
      <c r="CI238" s="55"/>
      <c r="CJ238" s="55"/>
      <c r="CK238" s="55"/>
      <c r="CL238" s="55"/>
      <c r="CM238" s="55"/>
      <c r="CN238" s="55"/>
      <c r="CO238" s="55"/>
      <c r="CP238" s="55"/>
      <c r="CQ238" s="55"/>
      <c r="CR238" s="55"/>
      <c r="CS238" s="55"/>
      <c r="CT238" s="55"/>
      <c r="CU238" s="55"/>
      <c r="CV238" s="55"/>
      <c r="CW238" s="55"/>
      <c r="CX238" s="55"/>
      <c r="CY238" s="55"/>
      <c r="CZ238" s="55"/>
      <c r="DA238" s="55"/>
      <c r="DB238" s="55"/>
      <c r="DC238" s="55"/>
      <c r="DD238" s="55"/>
      <c r="DE238" s="55"/>
      <c r="DF238" s="55"/>
      <c r="DG238" s="55"/>
      <c r="DH238" s="55"/>
      <c r="DI238" s="55"/>
      <c r="DJ238" s="55"/>
      <c r="DK238" s="55"/>
      <c r="DL238" s="55"/>
      <c r="DM238" s="55"/>
      <c r="DN238" s="55"/>
      <c r="DO238" s="55"/>
      <c r="DP238" s="55"/>
      <c r="DQ238" s="55"/>
      <c r="DR238" s="55"/>
      <c r="DS238" s="55"/>
      <c r="DT238" s="55"/>
      <c r="DU238" s="55"/>
      <c r="DV238" s="55"/>
      <c r="DW238" s="55"/>
      <c r="DX238" s="55"/>
      <c r="DY238" s="55"/>
      <c r="DZ238" s="55"/>
      <c r="EA238" s="55"/>
      <c r="EB238" s="55"/>
      <c r="EC238" s="55"/>
      <c r="ED238" s="55"/>
      <c r="EE238" s="55"/>
      <c r="EF238" s="55"/>
      <c r="EG238" s="55"/>
      <c r="EH238" s="55"/>
      <c r="EI238" s="55"/>
      <c r="EJ238" s="55"/>
      <c r="EK238" s="55"/>
      <c r="EL238" s="55"/>
      <c r="EM238" s="55"/>
      <c r="EN238" s="55"/>
      <c r="EO238" s="55"/>
      <c r="EP238" s="55"/>
      <c r="EQ238" s="55"/>
      <c r="ER238" s="55"/>
      <c r="ES238" s="55"/>
      <c r="ET238" s="55"/>
      <c r="EU238" s="55"/>
      <c r="EV238" s="55"/>
      <c r="EW238" s="55"/>
      <c r="EX238" s="55"/>
      <c r="EY238" s="55"/>
      <c r="EZ238" s="55"/>
      <c r="FA238" s="55"/>
      <c r="FB238" s="55"/>
      <c r="FC238" s="55"/>
      <c r="FD238" s="55"/>
      <c r="FE238" s="55"/>
      <c r="FF238" s="55"/>
      <c r="FG238" s="55"/>
      <c r="FH238" s="55"/>
      <c r="FI238" s="55"/>
      <c r="FJ238" s="55"/>
      <c r="FK238" s="55"/>
      <c r="FL238" s="55"/>
      <c r="FM238" s="55"/>
      <c r="FN238" s="55"/>
      <c r="FO238" s="55"/>
      <c r="FP238" s="55"/>
      <c r="FQ238" s="55"/>
      <c r="FR238" s="55"/>
      <c r="FS238" s="55"/>
      <c r="FT238" s="55"/>
      <c r="FU238" s="55"/>
      <c r="FV238" s="55"/>
      <c r="FW238" s="55"/>
      <c r="FX238" s="55"/>
      <c r="FY238" s="55"/>
      <c r="FZ238" s="55"/>
      <c r="GA238" s="55"/>
      <c r="GB238" s="55"/>
      <c r="GC238" s="55"/>
      <c r="GD238" s="55"/>
      <c r="GE238" s="55"/>
      <c r="GF238" s="55"/>
      <c r="GG238" s="55"/>
      <c r="GH238" s="55"/>
      <c r="GI238" s="55"/>
      <c r="GJ238" s="55"/>
      <c r="GK238" s="55"/>
      <c r="GL238" s="55"/>
      <c r="GM238" s="55"/>
      <c r="GN238" s="55"/>
      <c r="GO238" s="55"/>
      <c r="GP238" s="55"/>
      <c r="GQ238" s="55"/>
      <c r="GR238" s="55"/>
      <c r="GS238" s="55"/>
      <c r="GT238" s="55"/>
      <c r="GU238" s="55"/>
      <c r="GV238" s="55"/>
      <c r="GW238" s="55"/>
      <c r="GX238" s="55"/>
      <c r="GY238" s="55"/>
      <c r="GZ238" s="55"/>
      <c r="HA238" s="55"/>
      <c r="HB238" s="55"/>
      <c r="HC238" s="55"/>
      <c r="HD238" s="55"/>
      <c r="HE238" s="55"/>
      <c r="HF238" s="55"/>
      <c r="HG238" s="55"/>
      <c r="HH238" s="55"/>
      <c r="HI238" s="55"/>
      <c r="HJ238" s="55"/>
      <c r="HK238" s="55"/>
      <c r="HL238" s="55"/>
      <c r="HM238" s="55"/>
      <c r="HN238" s="55"/>
      <c r="HO238" s="55"/>
      <c r="HP238" s="55"/>
      <c r="HQ238" s="55"/>
      <c r="HR238" s="55"/>
      <c r="HS238" s="55"/>
      <c r="HT238" s="55"/>
      <c r="HU238" s="55"/>
      <c r="HV238" s="55"/>
      <c r="HW238" s="55"/>
      <c r="HX238" s="55"/>
      <c r="HY238" s="55"/>
      <c r="HZ238" s="55"/>
      <c r="IA238" s="55"/>
      <c r="IB238" s="55"/>
      <c r="IC238" s="55"/>
      <c r="ID238" s="55"/>
    </row>
    <row r="239" s="52" customFormat="1" ht="30" customHeight="1" spans="1:238">
      <c r="A239" s="64"/>
      <c r="B239" s="64"/>
      <c r="C239" s="64"/>
      <c r="D239" s="65"/>
      <c r="E239" s="77"/>
      <c r="F239" s="77"/>
      <c r="G239" s="64"/>
      <c r="H239" s="42"/>
      <c r="I239" s="42"/>
      <c r="J239" s="83"/>
      <c r="K239" s="83"/>
      <c r="L239" s="83"/>
      <c r="M239" s="41"/>
      <c r="N239" s="41"/>
      <c r="O239" s="41"/>
      <c r="P239" s="64"/>
      <c r="Q239" s="64"/>
      <c r="R239" s="64"/>
      <c r="S239" s="83"/>
      <c r="T239" s="77"/>
      <c r="U239" s="105" t="s">
        <v>983</v>
      </c>
      <c r="V239" s="105">
        <v>33040700901</v>
      </c>
      <c r="W239" s="106" t="s">
        <v>984</v>
      </c>
      <c r="X239" s="105"/>
      <c r="Y239" s="105"/>
      <c r="Z239" s="105" t="s">
        <v>36</v>
      </c>
      <c r="AA239" s="110" t="s">
        <v>35</v>
      </c>
      <c r="AB239" s="50">
        <v>3615</v>
      </c>
      <c r="AC239" s="50">
        <v>3250</v>
      </c>
      <c r="AD239" s="50">
        <v>2765</v>
      </c>
      <c r="AE239" s="112" t="s">
        <v>37</v>
      </c>
      <c r="AF239" s="60"/>
      <c r="AG239" s="55"/>
      <c r="AH239" s="55"/>
      <c r="AI239" s="55"/>
      <c r="AJ239" s="55"/>
      <c r="AK239" s="55"/>
      <c r="AL239" s="55"/>
      <c r="AM239" s="55"/>
      <c r="AN239" s="55"/>
      <c r="AO239" s="55"/>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55"/>
      <c r="BR239" s="55"/>
      <c r="BS239" s="55"/>
      <c r="BT239" s="55"/>
      <c r="BU239" s="55"/>
      <c r="BV239" s="55"/>
      <c r="BW239" s="55"/>
      <c r="BX239" s="55"/>
      <c r="BY239" s="55"/>
      <c r="BZ239" s="55"/>
      <c r="CA239" s="55"/>
      <c r="CB239" s="55"/>
      <c r="CC239" s="55"/>
      <c r="CD239" s="55"/>
      <c r="CE239" s="55"/>
      <c r="CF239" s="55"/>
      <c r="CG239" s="55"/>
      <c r="CH239" s="55"/>
      <c r="CI239" s="55"/>
      <c r="CJ239" s="55"/>
      <c r="CK239" s="55"/>
      <c r="CL239" s="55"/>
      <c r="CM239" s="55"/>
      <c r="CN239" s="55"/>
      <c r="CO239" s="55"/>
      <c r="CP239" s="55"/>
      <c r="CQ239" s="55"/>
      <c r="CR239" s="55"/>
      <c r="CS239" s="55"/>
      <c r="CT239" s="55"/>
      <c r="CU239" s="55"/>
      <c r="CV239" s="55"/>
      <c r="CW239" s="55"/>
      <c r="CX239" s="55"/>
      <c r="CY239" s="55"/>
      <c r="CZ239" s="55"/>
      <c r="DA239" s="55"/>
      <c r="DB239" s="55"/>
      <c r="DC239" s="55"/>
      <c r="DD239" s="55"/>
      <c r="DE239" s="55"/>
      <c r="DF239" s="55"/>
      <c r="DG239" s="55"/>
      <c r="DH239" s="55"/>
      <c r="DI239" s="55"/>
      <c r="DJ239" s="55"/>
      <c r="DK239" s="55"/>
      <c r="DL239" s="55"/>
      <c r="DM239" s="55"/>
      <c r="DN239" s="55"/>
      <c r="DO239" s="55"/>
      <c r="DP239" s="55"/>
      <c r="DQ239" s="55"/>
      <c r="DR239" s="55"/>
      <c r="DS239" s="55"/>
      <c r="DT239" s="55"/>
      <c r="DU239" s="55"/>
      <c r="DV239" s="55"/>
      <c r="DW239" s="55"/>
      <c r="DX239" s="55"/>
      <c r="DY239" s="55"/>
      <c r="DZ239" s="55"/>
      <c r="EA239" s="55"/>
      <c r="EB239" s="55"/>
      <c r="EC239" s="55"/>
      <c r="ED239" s="55"/>
      <c r="EE239" s="55"/>
      <c r="EF239" s="55"/>
      <c r="EG239" s="55"/>
      <c r="EH239" s="55"/>
      <c r="EI239" s="55"/>
      <c r="EJ239" s="55"/>
      <c r="EK239" s="55"/>
      <c r="EL239" s="55"/>
      <c r="EM239" s="55"/>
      <c r="EN239" s="55"/>
      <c r="EO239" s="55"/>
      <c r="EP239" s="55"/>
      <c r="EQ239" s="55"/>
      <c r="ER239" s="55"/>
      <c r="ES239" s="55"/>
      <c r="ET239" s="55"/>
      <c r="EU239" s="55"/>
      <c r="EV239" s="55"/>
      <c r="EW239" s="55"/>
      <c r="EX239" s="55"/>
      <c r="EY239" s="55"/>
      <c r="EZ239" s="55"/>
      <c r="FA239" s="55"/>
      <c r="FB239" s="55"/>
      <c r="FC239" s="55"/>
      <c r="FD239" s="55"/>
      <c r="FE239" s="55"/>
      <c r="FF239" s="55"/>
      <c r="FG239" s="55"/>
      <c r="FH239" s="55"/>
      <c r="FI239" s="55"/>
      <c r="FJ239" s="55"/>
      <c r="FK239" s="55"/>
      <c r="FL239" s="55"/>
      <c r="FM239" s="55"/>
      <c r="FN239" s="55"/>
      <c r="FO239" s="55"/>
      <c r="FP239" s="55"/>
      <c r="FQ239" s="55"/>
      <c r="FR239" s="55"/>
      <c r="FS239" s="55"/>
      <c r="FT239" s="55"/>
      <c r="FU239" s="55"/>
      <c r="FV239" s="55"/>
      <c r="FW239" s="55"/>
      <c r="FX239" s="55"/>
      <c r="FY239" s="55"/>
      <c r="FZ239" s="55"/>
      <c r="GA239" s="55"/>
      <c r="GB239" s="55"/>
      <c r="GC239" s="55"/>
      <c r="GD239" s="55"/>
      <c r="GE239" s="55"/>
      <c r="GF239" s="55"/>
      <c r="GG239" s="55"/>
      <c r="GH239" s="55"/>
      <c r="GI239" s="55"/>
      <c r="GJ239" s="55"/>
      <c r="GK239" s="55"/>
      <c r="GL239" s="55"/>
      <c r="GM239" s="55"/>
      <c r="GN239" s="55"/>
      <c r="GO239" s="55"/>
      <c r="GP239" s="55"/>
      <c r="GQ239" s="55"/>
      <c r="GR239" s="55"/>
      <c r="GS239" s="55"/>
      <c r="GT239" s="55"/>
      <c r="GU239" s="55"/>
      <c r="GV239" s="55"/>
      <c r="GW239" s="55"/>
      <c r="GX239" s="55"/>
      <c r="GY239" s="55"/>
      <c r="GZ239" s="55"/>
      <c r="HA239" s="55"/>
      <c r="HB239" s="55"/>
      <c r="HC239" s="55"/>
      <c r="HD239" s="55"/>
      <c r="HE239" s="55"/>
      <c r="HF239" s="55"/>
      <c r="HG239" s="55"/>
      <c r="HH239" s="55"/>
      <c r="HI239" s="55"/>
      <c r="HJ239" s="55"/>
      <c r="HK239" s="55"/>
      <c r="HL239" s="55"/>
      <c r="HM239" s="55"/>
      <c r="HN239" s="55"/>
      <c r="HO239" s="55"/>
      <c r="HP239" s="55"/>
      <c r="HQ239" s="55"/>
      <c r="HR239" s="55"/>
      <c r="HS239" s="55"/>
      <c r="HT239" s="55"/>
      <c r="HU239" s="55"/>
      <c r="HV239" s="55"/>
      <c r="HW239" s="55"/>
      <c r="HX239" s="55"/>
      <c r="HY239" s="55"/>
      <c r="HZ239" s="55"/>
      <c r="IA239" s="55"/>
      <c r="IB239" s="55"/>
      <c r="IC239" s="55"/>
      <c r="ID239" s="55"/>
    </row>
    <row r="240" s="52" customFormat="1" ht="30" customHeight="1" spans="1:238">
      <c r="A240" s="64"/>
      <c r="B240" s="64"/>
      <c r="C240" s="64"/>
      <c r="D240" s="65"/>
      <c r="E240" s="77"/>
      <c r="F240" s="77"/>
      <c r="G240" s="64"/>
      <c r="H240" s="42"/>
      <c r="I240" s="42"/>
      <c r="J240" s="83"/>
      <c r="K240" s="83"/>
      <c r="L240" s="83"/>
      <c r="M240" s="41"/>
      <c r="N240" s="41"/>
      <c r="O240" s="41"/>
      <c r="P240" s="64"/>
      <c r="Q240" s="64"/>
      <c r="R240" s="64"/>
      <c r="S240" s="83"/>
      <c r="T240" s="77"/>
      <c r="U240" s="105" t="s">
        <v>985</v>
      </c>
      <c r="V240" s="105">
        <v>33040701001</v>
      </c>
      <c r="W240" s="106" t="s">
        <v>986</v>
      </c>
      <c r="X240" s="105"/>
      <c r="Y240" s="105"/>
      <c r="Z240" s="105" t="s">
        <v>36</v>
      </c>
      <c r="AA240" s="110" t="s">
        <v>35</v>
      </c>
      <c r="AB240" s="50">
        <v>3615</v>
      </c>
      <c r="AC240" s="50">
        <v>3250</v>
      </c>
      <c r="AD240" s="50">
        <v>2765</v>
      </c>
      <c r="AE240" s="112" t="s">
        <v>37</v>
      </c>
      <c r="AF240" s="60"/>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5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c r="EJ240" s="55"/>
      <c r="EK240" s="55"/>
      <c r="EL240" s="55"/>
      <c r="EM240" s="55"/>
      <c r="EN240" s="55"/>
      <c r="EO240" s="55"/>
      <c r="EP240" s="55"/>
      <c r="EQ240" s="55"/>
      <c r="ER240" s="55"/>
      <c r="ES240" s="55"/>
      <c r="ET240" s="55"/>
      <c r="EU240" s="55"/>
      <c r="EV240" s="55"/>
      <c r="EW240" s="55"/>
      <c r="EX240" s="55"/>
      <c r="EY240" s="55"/>
      <c r="EZ240" s="55"/>
      <c r="FA240" s="55"/>
      <c r="FB240" s="55"/>
      <c r="FC240" s="55"/>
      <c r="FD240" s="55"/>
      <c r="FE240" s="55"/>
      <c r="FF240" s="55"/>
      <c r="FG240" s="55"/>
      <c r="FH240" s="55"/>
      <c r="FI240" s="55"/>
      <c r="FJ240" s="55"/>
      <c r="FK240" s="55"/>
      <c r="FL240" s="55"/>
      <c r="FM240" s="55"/>
      <c r="FN240" s="55"/>
      <c r="FO240" s="55"/>
      <c r="FP240" s="55"/>
      <c r="FQ240" s="55"/>
      <c r="FR240" s="55"/>
      <c r="FS240" s="55"/>
      <c r="FT240" s="55"/>
      <c r="FU240" s="55"/>
      <c r="FV240" s="55"/>
      <c r="FW240" s="55"/>
      <c r="FX240" s="55"/>
      <c r="FY240" s="55"/>
      <c r="FZ240" s="55"/>
      <c r="GA240" s="55"/>
      <c r="GB240" s="55"/>
      <c r="GC240" s="55"/>
      <c r="GD240" s="55"/>
      <c r="GE240" s="55"/>
      <c r="GF240" s="55"/>
      <c r="GG240" s="55"/>
      <c r="GH240" s="55"/>
      <c r="GI240" s="55"/>
      <c r="GJ240" s="55"/>
      <c r="GK240" s="55"/>
      <c r="GL240" s="55"/>
      <c r="GM240" s="55"/>
      <c r="GN240" s="55"/>
      <c r="GO240" s="55"/>
      <c r="GP240" s="55"/>
      <c r="GQ240" s="55"/>
      <c r="GR240" s="55"/>
      <c r="GS240" s="55"/>
      <c r="GT240" s="55"/>
      <c r="GU240" s="55"/>
      <c r="GV240" s="55"/>
      <c r="GW240" s="55"/>
      <c r="GX240" s="55"/>
      <c r="GY240" s="55"/>
      <c r="GZ240" s="55"/>
      <c r="HA240" s="55"/>
      <c r="HB240" s="55"/>
      <c r="HC240" s="55"/>
      <c r="HD240" s="55"/>
      <c r="HE240" s="55"/>
      <c r="HF240" s="55"/>
      <c r="HG240" s="55"/>
      <c r="HH240" s="55"/>
      <c r="HI240" s="55"/>
      <c r="HJ240" s="55"/>
      <c r="HK240" s="55"/>
      <c r="HL240" s="55"/>
      <c r="HM240" s="55"/>
      <c r="HN240" s="55"/>
      <c r="HO240" s="55"/>
      <c r="HP240" s="55"/>
      <c r="HQ240" s="55"/>
      <c r="HR240" s="55"/>
      <c r="HS240" s="55"/>
      <c r="HT240" s="55"/>
      <c r="HU240" s="55"/>
      <c r="HV240" s="55"/>
      <c r="HW240" s="55"/>
      <c r="HX240" s="55"/>
      <c r="HY240" s="55"/>
      <c r="HZ240" s="55"/>
      <c r="IA240" s="55"/>
      <c r="IB240" s="55"/>
      <c r="IC240" s="55"/>
      <c r="ID240" s="55"/>
    </row>
    <row r="241" s="52" customFormat="1" ht="73" customHeight="1" spans="1:238">
      <c r="A241" s="112">
        <v>70</v>
      </c>
      <c r="B241" s="112" t="s">
        <v>987</v>
      </c>
      <c r="C241" s="64" t="s">
        <v>988</v>
      </c>
      <c r="D241" s="65" t="s">
        <v>989</v>
      </c>
      <c r="E241" s="77" t="s">
        <v>990</v>
      </c>
      <c r="F241" s="77" t="s">
        <v>991</v>
      </c>
      <c r="G241" s="64" t="s">
        <v>110</v>
      </c>
      <c r="H241" s="78">
        <v>1540</v>
      </c>
      <c r="I241" s="78">
        <v>1386</v>
      </c>
      <c r="J241" s="83"/>
      <c r="K241" s="83"/>
      <c r="L241" s="83"/>
      <c r="M241" s="41">
        <v>1400</v>
      </c>
      <c r="N241" s="41">
        <v>1260</v>
      </c>
      <c r="O241" s="41">
        <v>1070</v>
      </c>
      <c r="P241" s="64" t="s">
        <v>37</v>
      </c>
      <c r="Q241" s="64" t="s">
        <v>35</v>
      </c>
      <c r="R241" s="64" t="s">
        <v>35</v>
      </c>
      <c r="S241" s="83" t="s">
        <v>400</v>
      </c>
      <c r="T241" s="77" t="s">
        <v>648</v>
      </c>
      <c r="U241" s="153"/>
      <c r="V241" s="153"/>
      <c r="W241" s="154"/>
      <c r="X241" s="155"/>
      <c r="Y241" s="153"/>
      <c r="Z241" s="153"/>
      <c r="AA241" s="156"/>
      <c r="AB241" s="157"/>
      <c r="AC241" s="157"/>
      <c r="AD241" s="157"/>
      <c r="AE241" s="153"/>
      <c r="AF241" s="60"/>
      <c r="AG241" s="55"/>
      <c r="AH241" s="55"/>
      <c r="AI241" s="55"/>
      <c r="AJ241" s="55"/>
      <c r="AK241" s="55"/>
      <c r="AL241" s="55"/>
      <c r="AM241" s="55"/>
      <c r="AN241" s="55"/>
      <c r="AO241" s="55"/>
      <c r="AP241" s="55"/>
      <c r="AQ241" s="55"/>
      <c r="AR241" s="55"/>
      <c r="AS241" s="55"/>
      <c r="AT241" s="55"/>
      <c r="AU241" s="55"/>
      <c r="AV241" s="55"/>
      <c r="AW241" s="55"/>
      <c r="AX241" s="55"/>
      <c r="AY241" s="55"/>
      <c r="AZ241" s="55"/>
      <c r="BA241" s="55"/>
      <c r="BB241" s="55"/>
      <c r="BC241" s="55"/>
      <c r="BD241" s="55"/>
      <c r="BE241" s="55"/>
      <c r="BF241" s="55"/>
      <c r="BG241" s="55"/>
      <c r="BH241" s="55"/>
      <c r="BI241" s="55"/>
      <c r="BJ241" s="55"/>
      <c r="BK241" s="55"/>
      <c r="BL241" s="55"/>
      <c r="BM241" s="55"/>
      <c r="BN241" s="55"/>
      <c r="BO241" s="55"/>
      <c r="BP241" s="55"/>
      <c r="BQ241" s="55"/>
      <c r="BR241" s="55"/>
      <c r="BS241" s="55"/>
      <c r="BT241" s="55"/>
      <c r="BU241" s="55"/>
      <c r="BV241" s="55"/>
      <c r="BW241" s="55"/>
      <c r="BX241" s="55"/>
      <c r="BY241" s="55"/>
      <c r="BZ241" s="55"/>
      <c r="CA241" s="55"/>
      <c r="CB241" s="55"/>
      <c r="CC241" s="55"/>
      <c r="CD241" s="55"/>
      <c r="CE241" s="55"/>
      <c r="CF241" s="55"/>
      <c r="CG241" s="55"/>
      <c r="CH241" s="55"/>
      <c r="CI241" s="55"/>
      <c r="CJ241" s="55"/>
      <c r="CK241" s="55"/>
      <c r="CL241" s="55"/>
      <c r="CM241" s="55"/>
      <c r="CN241" s="55"/>
      <c r="CO241" s="55"/>
      <c r="CP241" s="55"/>
      <c r="CQ241" s="55"/>
      <c r="CR241" s="55"/>
      <c r="CS241" s="55"/>
      <c r="CT241" s="55"/>
      <c r="CU241" s="55"/>
      <c r="CV241" s="55"/>
      <c r="CW241" s="55"/>
      <c r="CX241" s="55"/>
      <c r="CY241" s="55"/>
      <c r="CZ241" s="55"/>
      <c r="DA241" s="55"/>
      <c r="DB241" s="55"/>
      <c r="DC241" s="55"/>
      <c r="DD241" s="55"/>
      <c r="DE241" s="55"/>
      <c r="DF241" s="55"/>
      <c r="DG241" s="55"/>
      <c r="DH241" s="55"/>
      <c r="DI241" s="55"/>
      <c r="DJ241" s="55"/>
      <c r="DK241" s="55"/>
      <c r="DL241" s="55"/>
      <c r="DM241" s="55"/>
      <c r="DN241" s="55"/>
      <c r="DO241" s="55"/>
      <c r="DP241" s="55"/>
      <c r="DQ241" s="55"/>
      <c r="DR241" s="55"/>
      <c r="DS241" s="55"/>
      <c r="DT241" s="55"/>
      <c r="DU241" s="55"/>
      <c r="DV241" s="55"/>
      <c r="DW241" s="55"/>
      <c r="DX241" s="55"/>
      <c r="DY241" s="55"/>
      <c r="DZ241" s="55"/>
      <c r="EA241" s="55"/>
      <c r="EB241" s="55"/>
      <c r="EC241" s="55"/>
      <c r="ED241" s="55"/>
      <c r="EE241" s="55"/>
      <c r="EF241" s="55"/>
      <c r="EG241" s="55"/>
      <c r="EH241" s="55"/>
      <c r="EI241" s="55"/>
      <c r="EJ241" s="55"/>
      <c r="EK241" s="55"/>
      <c r="EL241" s="55"/>
      <c r="EM241" s="55"/>
      <c r="EN241" s="55"/>
      <c r="EO241" s="55"/>
      <c r="EP241" s="55"/>
      <c r="EQ241" s="55"/>
      <c r="ER241" s="55"/>
      <c r="ES241" s="55"/>
      <c r="ET241" s="55"/>
      <c r="EU241" s="55"/>
      <c r="EV241" s="55"/>
      <c r="EW241" s="55"/>
      <c r="EX241" s="55"/>
      <c r="EY241" s="55"/>
      <c r="EZ241" s="55"/>
      <c r="FA241" s="55"/>
      <c r="FB241" s="55"/>
      <c r="FC241" s="55"/>
      <c r="FD241" s="55"/>
      <c r="FE241" s="55"/>
      <c r="FF241" s="55"/>
      <c r="FG241" s="55"/>
      <c r="FH241" s="55"/>
      <c r="FI241" s="55"/>
      <c r="FJ241" s="55"/>
      <c r="FK241" s="55"/>
      <c r="FL241" s="55"/>
      <c r="FM241" s="55"/>
      <c r="FN241" s="55"/>
      <c r="FO241" s="55"/>
      <c r="FP241" s="55"/>
      <c r="FQ241" s="55"/>
      <c r="FR241" s="55"/>
      <c r="FS241" s="55"/>
      <c r="FT241" s="55"/>
      <c r="FU241" s="55"/>
      <c r="FV241" s="55"/>
      <c r="FW241" s="55"/>
      <c r="FX241" s="55"/>
      <c r="FY241" s="55"/>
      <c r="FZ241" s="55"/>
      <c r="GA241" s="55"/>
      <c r="GB241" s="55"/>
      <c r="GC241" s="55"/>
      <c r="GD241" s="55"/>
      <c r="GE241" s="55"/>
      <c r="GF241" s="55"/>
      <c r="GG241" s="55"/>
      <c r="GH241" s="55"/>
      <c r="GI241" s="55"/>
      <c r="GJ241" s="55"/>
      <c r="GK241" s="55"/>
      <c r="GL241" s="55"/>
      <c r="GM241" s="55"/>
      <c r="GN241" s="55"/>
      <c r="GO241" s="55"/>
      <c r="GP241" s="55"/>
      <c r="GQ241" s="55"/>
      <c r="GR241" s="55"/>
      <c r="GS241" s="55"/>
      <c r="GT241" s="55"/>
      <c r="GU241" s="55"/>
      <c r="GV241" s="55"/>
      <c r="GW241" s="55"/>
      <c r="GX241" s="55"/>
      <c r="GY241" s="55"/>
      <c r="GZ241" s="55"/>
      <c r="HA241" s="55"/>
      <c r="HB241" s="55"/>
      <c r="HC241" s="55"/>
      <c r="HD241" s="55"/>
      <c r="HE241" s="55"/>
      <c r="HF241" s="55"/>
      <c r="HG241" s="55"/>
      <c r="HH241" s="55"/>
      <c r="HI241" s="55"/>
      <c r="HJ241" s="55"/>
      <c r="HK241" s="55"/>
      <c r="HL241" s="55"/>
      <c r="HM241" s="55"/>
      <c r="HN241" s="55"/>
      <c r="HO241" s="55"/>
      <c r="HP241" s="55"/>
      <c r="HQ241" s="55"/>
      <c r="HR241" s="55"/>
      <c r="HS241" s="55"/>
      <c r="HT241" s="55"/>
      <c r="HU241" s="55"/>
      <c r="HV241" s="55"/>
      <c r="HW241" s="55"/>
      <c r="HX241" s="55"/>
      <c r="HY241" s="55"/>
      <c r="HZ241" s="55"/>
      <c r="IA241" s="55"/>
      <c r="IB241" s="55"/>
      <c r="IC241" s="55"/>
      <c r="ID241" s="55"/>
    </row>
    <row r="242" s="52" customFormat="1" ht="35" customHeight="1" spans="1:238">
      <c r="A242" s="112" t="s">
        <v>95</v>
      </c>
      <c r="B242" s="112" t="s">
        <v>992</v>
      </c>
      <c r="C242" s="64" t="s">
        <v>993</v>
      </c>
      <c r="D242" s="65"/>
      <c r="E242" s="77"/>
      <c r="F242" s="77" t="s">
        <v>35</v>
      </c>
      <c r="G242" s="64" t="s">
        <v>110</v>
      </c>
      <c r="H242" s="78">
        <v>462</v>
      </c>
      <c r="I242" s="78">
        <v>416</v>
      </c>
      <c r="J242" s="83"/>
      <c r="K242" s="83"/>
      <c r="L242" s="83"/>
      <c r="M242" s="41">
        <v>420</v>
      </c>
      <c r="N242" s="41">
        <v>380</v>
      </c>
      <c r="O242" s="41">
        <v>320</v>
      </c>
      <c r="P242" s="64" t="s">
        <v>37</v>
      </c>
      <c r="Q242" s="64" t="s">
        <v>35</v>
      </c>
      <c r="R242" s="64" t="s">
        <v>35</v>
      </c>
      <c r="S242" s="83"/>
      <c r="T242" s="77" t="s">
        <v>186</v>
      </c>
      <c r="U242" s="105"/>
      <c r="V242" s="105"/>
      <c r="W242" s="106"/>
      <c r="X242" s="105"/>
      <c r="Y242" s="105"/>
      <c r="Z242" s="105"/>
      <c r="AA242" s="110"/>
      <c r="AB242" s="50"/>
      <c r="AC242" s="50"/>
      <c r="AD242" s="50"/>
      <c r="AE242" s="112"/>
      <c r="AF242" s="60"/>
      <c r="AG242" s="55"/>
      <c r="AH242" s="55"/>
      <c r="AI242" s="55"/>
      <c r="AJ242" s="55"/>
      <c r="AK242" s="55"/>
      <c r="AL242" s="55"/>
      <c r="AM242" s="55"/>
      <c r="AN242" s="55"/>
      <c r="AO242" s="55"/>
      <c r="AP242" s="55"/>
      <c r="AQ242" s="55"/>
      <c r="AR242" s="55"/>
      <c r="AS242" s="55"/>
      <c r="AT242" s="55"/>
      <c r="AU242" s="55"/>
      <c r="AV242" s="55"/>
      <c r="AW242" s="55"/>
      <c r="AX242" s="55"/>
      <c r="AY242" s="55"/>
      <c r="AZ242" s="55"/>
      <c r="BA242" s="55"/>
      <c r="BB242" s="55"/>
      <c r="BC242" s="55"/>
      <c r="BD242" s="55"/>
      <c r="BE242" s="55"/>
      <c r="BF242" s="55"/>
      <c r="BG242" s="55"/>
      <c r="BH242" s="55"/>
      <c r="BI242" s="55"/>
      <c r="BJ242" s="55"/>
      <c r="BK242" s="55"/>
      <c r="BL242" s="55"/>
      <c r="BM242" s="55"/>
      <c r="BN242" s="55"/>
      <c r="BO242" s="55"/>
      <c r="BP242" s="55"/>
      <c r="BQ242" s="55"/>
      <c r="BR242" s="55"/>
      <c r="BS242" s="55"/>
      <c r="BT242" s="55"/>
      <c r="BU242" s="55"/>
      <c r="BV242" s="55"/>
      <c r="BW242" s="55"/>
      <c r="BX242" s="55"/>
      <c r="BY242" s="55"/>
      <c r="BZ242" s="55"/>
      <c r="CA242" s="55"/>
      <c r="CB242" s="55"/>
      <c r="CC242" s="55"/>
      <c r="CD242" s="55"/>
      <c r="CE242" s="55"/>
      <c r="CF242" s="55"/>
      <c r="CG242" s="55"/>
      <c r="CH242" s="55"/>
      <c r="CI242" s="55"/>
      <c r="CJ242" s="55"/>
      <c r="CK242" s="55"/>
      <c r="CL242" s="55"/>
      <c r="CM242" s="55"/>
      <c r="CN242" s="55"/>
      <c r="CO242" s="55"/>
      <c r="CP242" s="55"/>
      <c r="CQ242" s="55"/>
      <c r="CR242" s="55"/>
      <c r="CS242" s="55"/>
      <c r="CT242" s="55"/>
      <c r="CU242" s="55"/>
      <c r="CV242" s="55"/>
      <c r="CW242" s="55"/>
      <c r="CX242" s="55"/>
      <c r="CY242" s="55"/>
      <c r="CZ242" s="55"/>
      <c r="DA242" s="55"/>
      <c r="DB242" s="55"/>
      <c r="DC242" s="55"/>
      <c r="DD242" s="55"/>
      <c r="DE242" s="55"/>
      <c r="DF242" s="55"/>
      <c r="DG242" s="55"/>
      <c r="DH242" s="55"/>
      <c r="DI242" s="55"/>
      <c r="DJ242" s="55"/>
      <c r="DK242" s="55"/>
      <c r="DL242" s="55"/>
      <c r="DM242" s="55"/>
      <c r="DN242" s="55"/>
      <c r="DO242" s="55"/>
      <c r="DP242" s="55"/>
      <c r="DQ242" s="55"/>
      <c r="DR242" s="55"/>
      <c r="DS242" s="55"/>
      <c r="DT242" s="55"/>
      <c r="DU242" s="55"/>
      <c r="DV242" s="55"/>
      <c r="DW242" s="55"/>
      <c r="DX242" s="55"/>
      <c r="DY242" s="55"/>
      <c r="DZ242" s="55"/>
      <c r="EA242" s="55"/>
      <c r="EB242" s="55"/>
      <c r="EC242" s="55"/>
      <c r="ED242" s="55"/>
      <c r="EE242" s="55"/>
      <c r="EF242" s="55"/>
      <c r="EG242" s="55"/>
      <c r="EH242" s="55"/>
      <c r="EI242" s="55"/>
      <c r="EJ242" s="55"/>
      <c r="EK242" s="55"/>
      <c r="EL242" s="55"/>
      <c r="EM242" s="55"/>
      <c r="EN242" s="55"/>
      <c r="EO242" s="55"/>
      <c r="EP242" s="55"/>
      <c r="EQ242" s="55"/>
      <c r="ER242" s="55"/>
      <c r="ES242" s="55"/>
      <c r="ET242" s="55"/>
      <c r="EU242" s="55"/>
      <c r="EV242" s="55"/>
      <c r="EW242" s="55"/>
      <c r="EX242" s="55"/>
      <c r="EY242" s="55"/>
      <c r="EZ242" s="55"/>
      <c r="FA242" s="55"/>
      <c r="FB242" s="55"/>
      <c r="FC242" s="55"/>
      <c r="FD242" s="55"/>
      <c r="FE242" s="55"/>
      <c r="FF242" s="55"/>
      <c r="FG242" s="55"/>
      <c r="FH242" s="55"/>
      <c r="FI242" s="55"/>
      <c r="FJ242" s="55"/>
      <c r="FK242" s="55"/>
      <c r="FL242" s="55"/>
      <c r="FM242" s="55"/>
      <c r="FN242" s="55"/>
      <c r="FO242" s="55"/>
      <c r="FP242" s="55"/>
      <c r="FQ242" s="55"/>
      <c r="FR242" s="55"/>
      <c r="FS242" s="55"/>
      <c r="FT242" s="55"/>
      <c r="FU242" s="55"/>
      <c r="FV242" s="55"/>
      <c r="FW242" s="55"/>
      <c r="FX242" s="55"/>
      <c r="FY242" s="55"/>
      <c r="FZ242" s="55"/>
      <c r="GA242" s="55"/>
      <c r="GB242" s="55"/>
      <c r="GC242" s="55"/>
      <c r="GD242" s="55"/>
      <c r="GE242" s="55"/>
      <c r="GF242" s="55"/>
      <c r="GG242" s="55"/>
      <c r="GH242" s="55"/>
      <c r="GI242" s="55"/>
      <c r="GJ242" s="55"/>
      <c r="GK242" s="55"/>
      <c r="GL242" s="55"/>
      <c r="GM242" s="55"/>
      <c r="GN242" s="55"/>
      <c r="GO242" s="55"/>
      <c r="GP242" s="55"/>
      <c r="GQ242" s="55"/>
      <c r="GR242" s="55"/>
      <c r="GS242" s="55"/>
      <c r="GT242" s="55"/>
      <c r="GU242" s="55"/>
      <c r="GV242" s="55"/>
      <c r="GW242" s="55"/>
      <c r="GX242" s="55"/>
      <c r="GY242" s="55"/>
      <c r="GZ242" s="55"/>
      <c r="HA242" s="55"/>
      <c r="HB242" s="55"/>
      <c r="HC242" s="55"/>
      <c r="HD242" s="55"/>
      <c r="HE242" s="55"/>
      <c r="HF242" s="55"/>
      <c r="HG242" s="55"/>
      <c r="HH242" s="55"/>
      <c r="HI242" s="55"/>
      <c r="HJ242" s="55"/>
      <c r="HK242" s="55"/>
      <c r="HL242" s="55"/>
      <c r="HM242" s="55"/>
      <c r="HN242" s="55"/>
      <c r="HO242" s="55"/>
      <c r="HP242" s="55"/>
      <c r="HQ242" s="55"/>
      <c r="HR242" s="55"/>
      <c r="HS242" s="55"/>
      <c r="HT242" s="55"/>
      <c r="HU242" s="55"/>
      <c r="HV242" s="55"/>
      <c r="HW242" s="55"/>
      <c r="HX242" s="55"/>
      <c r="HY242" s="55"/>
      <c r="HZ242" s="55"/>
      <c r="IA242" s="55"/>
      <c r="IB242" s="55"/>
      <c r="IC242" s="55"/>
      <c r="ID242" s="55"/>
    </row>
    <row r="243" s="52" customFormat="1" ht="66" customHeight="1" spans="1:238">
      <c r="A243" s="112">
        <v>71</v>
      </c>
      <c r="B243" s="112" t="s">
        <v>994</v>
      </c>
      <c r="C243" s="64" t="s">
        <v>995</v>
      </c>
      <c r="D243" s="65" t="s">
        <v>996</v>
      </c>
      <c r="E243" s="77" t="s">
        <v>997</v>
      </c>
      <c r="F243" s="77" t="s">
        <v>35</v>
      </c>
      <c r="G243" s="64" t="s">
        <v>110</v>
      </c>
      <c r="H243" s="78">
        <v>4500</v>
      </c>
      <c r="I243" s="78">
        <v>4050</v>
      </c>
      <c r="J243" s="83"/>
      <c r="K243" s="83"/>
      <c r="L243" s="83"/>
      <c r="M243" s="41">
        <v>4325</v>
      </c>
      <c r="N243" s="41">
        <v>4050</v>
      </c>
      <c r="O243" s="41">
        <v>3450</v>
      </c>
      <c r="P243" s="64" t="s">
        <v>621</v>
      </c>
      <c r="Q243" s="64" t="s">
        <v>35</v>
      </c>
      <c r="R243" s="64" t="s">
        <v>35</v>
      </c>
      <c r="S243" s="83" t="s">
        <v>400</v>
      </c>
      <c r="T243" s="77" t="s">
        <v>998</v>
      </c>
      <c r="U243" s="112"/>
      <c r="V243" s="112"/>
      <c r="W243" s="112"/>
      <c r="X243" s="64"/>
      <c r="Y243" s="112"/>
      <c r="Z243" s="112"/>
      <c r="AA243" s="110"/>
      <c r="AB243" s="50"/>
      <c r="AC243" s="50"/>
      <c r="AD243" s="50"/>
      <c r="AE243" s="112"/>
      <c r="AF243" s="60"/>
      <c r="AG243" s="55"/>
      <c r="AH243" s="55"/>
      <c r="AI243" s="55"/>
      <c r="AJ243" s="55"/>
      <c r="AK243" s="55"/>
      <c r="AL243" s="55"/>
      <c r="AM243" s="55"/>
      <c r="AN243" s="55"/>
      <c r="AO243" s="55"/>
      <c r="AP243" s="55"/>
      <c r="AQ243" s="55"/>
      <c r="AR243" s="55"/>
      <c r="AS243" s="55"/>
      <c r="AT243" s="55"/>
      <c r="AU243" s="55"/>
      <c r="AV243" s="55"/>
      <c r="AW243" s="55"/>
      <c r="AX243" s="55"/>
      <c r="AY243" s="55"/>
      <c r="AZ243" s="55"/>
      <c r="BA243" s="55"/>
      <c r="BB243" s="55"/>
      <c r="BC243" s="55"/>
      <c r="BD243" s="55"/>
      <c r="BE243" s="55"/>
      <c r="BF243" s="55"/>
      <c r="BG243" s="55"/>
      <c r="BH243" s="55"/>
      <c r="BI243" s="55"/>
      <c r="BJ243" s="55"/>
      <c r="BK243" s="55"/>
      <c r="BL243" s="55"/>
      <c r="BM243" s="55"/>
      <c r="BN243" s="55"/>
      <c r="BO243" s="55"/>
      <c r="BP243" s="55"/>
      <c r="BQ243" s="55"/>
      <c r="BR243" s="55"/>
      <c r="BS243" s="55"/>
      <c r="BT243" s="55"/>
      <c r="BU243" s="55"/>
      <c r="BV243" s="55"/>
      <c r="BW243" s="55"/>
      <c r="BX243" s="55"/>
      <c r="BY243" s="55"/>
      <c r="BZ243" s="55"/>
      <c r="CA243" s="55"/>
      <c r="CB243" s="55"/>
      <c r="CC243" s="55"/>
      <c r="CD243" s="55"/>
      <c r="CE243" s="55"/>
      <c r="CF243" s="55"/>
      <c r="CG243" s="55"/>
      <c r="CH243" s="55"/>
      <c r="CI243" s="55"/>
      <c r="CJ243" s="55"/>
      <c r="CK243" s="55"/>
      <c r="CL243" s="55"/>
      <c r="CM243" s="55"/>
      <c r="CN243" s="55"/>
      <c r="CO243" s="55"/>
      <c r="CP243" s="55"/>
      <c r="CQ243" s="55"/>
      <c r="CR243" s="55"/>
      <c r="CS243" s="55"/>
      <c r="CT243" s="55"/>
      <c r="CU243" s="55"/>
      <c r="CV243" s="55"/>
      <c r="CW243" s="55"/>
      <c r="CX243" s="55"/>
      <c r="CY243" s="55"/>
      <c r="CZ243" s="55"/>
      <c r="DA243" s="55"/>
      <c r="DB243" s="55"/>
      <c r="DC243" s="55"/>
      <c r="DD243" s="55"/>
      <c r="DE243" s="55"/>
      <c r="DF243" s="55"/>
      <c r="DG243" s="55"/>
      <c r="DH243" s="55"/>
      <c r="DI243" s="55"/>
      <c r="DJ243" s="55"/>
      <c r="DK243" s="55"/>
      <c r="DL243" s="55"/>
      <c r="DM243" s="55"/>
      <c r="DN243" s="55"/>
      <c r="DO243" s="55"/>
      <c r="DP243" s="55"/>
      <c r="DQ243" s="55"/>
      <c r="DR243" s="55"/>
      <c r="DS243" s="55"/>
      <c r="DT243" s="55"/>
      <c r="DU243" s="55"/>
      <c r="DV243" s="55"/>
      <c r="DW243" s="55"/>
      <c r="DX243" s="55"/>
      <c r="DY243" s="55"/>
      <c r="DZ243" s="55"/>
      <c r="EA243" s="55"/>
      <c r="EB243" s="55"/>
      <c r="EC243" s="55"/>
      <c r="ED243" s="55"/>
      <c r="EE243" s="55"/>
      <c r="EF243" s="55"/>
      <c r="EG243" s="55"/>
      <c r="EH243" s="55"/>
      <c r="EI243" s="55"/>
      <c r="EJ243" s="55"/>
      <c r="EK243" s="55"/>
      <c r="EL243" s="55"/>
      <c r="EM243" s="55"/>
      <c r="EN243" s="55"/>
      <c r="EO243" s="55"/>
      <c r="EP243" s="55"/>
      <c r="EQ243" s="55"/>
      <c r="ER243" s="55"/>
      <c r="ES243" s="55"/>
      <c r="ET243" s="55"/>
      <c r="EU243" s="55"/>
      <c r="EV243" s="55"/>
      <c r="EW243" s="55"/>
      <c r="EX243" s="55"/>
      <c r="EY243" s="55"/>
      <c r="EZ243" s="55"/>
      <c r="FA243" s="55"/>
      <c r="FB243" s="55"/>
      <c r="FC243" s="55"/>
      <c r="FD243" s="55"/>
      <c r="FE243" s="55"/>
      <c r="FF243" s="55"/>
      <c r="FG243" s="55"/>
      <c r="FH243" s="55"/>
      <c r="FI243" s="55"/>
      <c r="FJ243" s="55"/>
      <c r="FK243" s="55"/>
      <c r="FL243" s="55"/>
      <c r="FM243" s="55"/>
      <c r="FN243" s="55"/>
      <c r="FO243" s="55"/>
      <c r="FP243" s="55"/>
      <c r="FQ243" s="55"/>
      <c r="FR243" s="55"/>
      <c r="FS243" s="55"/>
      <c r="FT243" s="55"/>
      <c r="FU243" s="55"/>
      <c r="FV243" s="55"/>
      <c r="FW243" s="55"/>
      <c r="FX243" s="55"/>
      <c r="FY243" s="55"/>
      <c r="FZ243" s="55"/>
      <c r="GA243" s="55"/>
      <c r="GB243" s="55"/>
      <c r="GC243" s="55"/>
      <c r="GD243" s="55"/>
      <c r="GE243" s="55"/>
      <c r="GF243" s="55"/>
      <c r="GG243" s="55"/>
      <c r="GH243" s="55"/>
      <c r="GI243" s="55"/>
      <c r="GJ243" s="55"/>
      <c r="GK243" s="55"/>
      <c r="GL243" s="55"/>
      <c r="GM243" s="55"/>
      <c r="GN243" s="55"/>
      <c r="GO243" s="55"/>
      <c r="GP243" s="55"/>
      <c r="GQ243" s="55"/>
      <c r="GR243" s="55"/>
      <c r="GS243" s="55"/>
      <c r="GT243" s="55"/>
      <c r="GU243" s="55"/>
      <c r="GV243" s="55"/>
      <c r="GW243" s="55"/>
      <c r="GX243" s="55"/>
      <c r="GY243" s="55"/>
      <c r="GZ243" s="55"/>
      <c r="HA243" s="55"/>
      <c r="HB243" s="55"/>
      <c r="HC243" s="55"/>
      <c r="HD243" s="55"/>
      <c r="HE243" s="55"/>
      <c r="HF243" s="55"/>
      <c r="HG243" s="55"/>
      <c r="HH243" s="55"/>
      <c r="HI243" s="55"/>
      <c r="HJ243" s="55"/>
      <c r="HK243" s="55"/>
      <c r="HL243" s="55"/>
      <c r="HM243" s="55"/>
      <c r="HN243" s="55"/>
      <c r="HO243" s="55"/>
      <c r="HP243" s="55"/>
      <c r="HQ243" s="55"/>
      <c r="HR243" s="55"/>
      <c r="HS243" s="55"/>
      <c r="HT243" s="55"/>
      <c r="HU243" s="55"/>
      <c r="HV243" s="55"/>
      <c r="HW243" s="55"/>
      <c r="HX243" s="55"/>
      <c r="HY243" s="55"/>
      <c r="HZ243" s="55"/>
      <c r="IA243" s="55"/>
      <c r="IB243" s="55"/>
      <c r="IC243" s="55"/>
      <c r="ID243" s="55"/>
    </row>
    <row r="244" s="52" customFormat="1" ht="31" customHeight="1" spans="1:238">
      <c r="A244" s="112" t="s">
        <v>95</v>
      </c>
      <c r="B244" s="112" t="s">
        <v>999</v>
      </c>
      <c r="C244" s="64" t="s">
        <v>1000</v>
      </c>
      <c r="D244" s="65"/>
      <c r="E244" s="77"/>
      <c r="F244" s="77" t="s">
        <v>35</v>
      </c>
      <c r="G244" s="64" t="s">
        <v>110</v>
      </c>
      <c r="H244" s="78">
        <v>1350</v>
      </c>
      <c r="I244" s="78">
        <v>1215</v>
      </c>
      <c r="J244" s="83"/>
      <c r="K244" s="83"/>
      <c r="L244" s="83"/>
      <c r="M244" s="41">
        <v>1300</v>
      </c>
      <c r="N244" s="41">
        <v>1215</v>
      </c>
      <c r="O244" s="41">
        <v>1035</v>
      </c>
      <c r="P244" s="64" t="s">
        <v>621</v>
      </c>
      <c r="Q244" s="64" t="s">
        <v>35</v>
      </c>
      <c r="R244" s="64" t="s">
        <v>35</v>
      </c>
      <c r="S244" s="83"/>
      <c r="T244" s="77" t="s">
        <v>186</v>
      </c>
      <c r="U244" s="112"/>
      <c r="V244" s="112"/>
      <c r="W244" s="112"/>
      <c r="X244" s="64"/>
      <c r="Y244" s="112"/>
      <c r="Z244" s="112"/>
      <c r="AA244" s="110"/>
      <c r="AB244" s="50"/>
      <c r="AC244" s="50"/>
      <c r="AD244" s="50"/>
      <c r="AE244" s="112"/>
      <c r="AF244" s="60"/>
      <c r="AG244" s="55"/>
      <c r="AH244" s="55"/>
      <c r="AI244" s="55"/>
      <c r="AJ244" s="55"/>
      <c r="AK244" s="55"/>
      <c r="AL244" s="55"/>
      <c r="AM244" s="55"/>
      <c r="AN244" s="55"/>
      <c r="AO244" s="55"/>
      <c r="AP244" s="55"/>
      <c r="AQ244" s="55"/>
      <c r="AR244" s="55"/>
      <c r="AS244" s="55"/>
      <c r="AT244" s="55"/>
      <c r="AU244" s="55"/>
      <c r="AV244" s="55"/>
      <c r="AW244" s="55"/>
      <c r="AX244" s="55"/>
      <c r="AY244" s="55"/>
      <c r="AZ244" s="55"/>
      <c r="BA244" s="55"/>
      <c r="BB244" s="55"/>
      <c r="BC244" s="55"/>
      <c r="BD244" s="55"/>
      <c r="BE244" s="55"/>
      <c r="BF244" s="55"/>
      <c r="BG244" s="55"/>
      <c r="BH244" s="55"/>
      <c r="BI244" s="55"/>
      <c r="BJ244" s="55"/>
      <c r="BK244" s="55"/>
      <c r="BL244" s="55"/>
      <c r="BM244" s="55"/>
      <c r="BN244" s="55"/>
      <c r="BO244" s="55"/>
      <c r="BP244" s="55"/>
      <c r="BQ244" s="55"/>
      <c r="BR244" s="55"/>
      <c r="BS244" s="55"/>
      <c r="BT244" s="55"/>
      <c r="BU244" s="55"/>
      <c r="BV244" s="55"/>
      <c r="BW244" s="55"/>
      <c r="BX244" s="55"/>
      <c r="BY244" s="55"/>
      <c r="BZ244" s="55"/>
      <c r="CA244" s="55"/>
      <c r="CB244" s="55"/>
      <c r="CC244" s="55"/>
      <c r="CD244" s="55"/>
      <c r="CE244" s="55"/>
      <c r="CF244" s="55"/>
      <c r="CG244" s="55"/>
      <c r="CH244" s="55"/>
      <c r="CI244" s="55"/>
      <c r="CJ244" s="55"/>
      <c r="CK244" s="55"/>
      <c r="CL244" s="55"/>
      <c r="CM244" s="55"/>
      <c r="CN244" s="55"/>
      <c r="CO244" s="55"/>
      <c r="CP244" s="55"/>
      <c r="CQ244" s="55"/>
      <c r="CR244" s="55"/>
      <c r="CS244" s="55"/>
      <c r="CT244" s="55"/>
      <c r="CU244" s="55"/>
      <c r="CV244" s="55"/>
      <c r="CW244" s="55"/>
      <c r="CX244" s="55"/>
      <c r="CY244" s="55"/>
      <c r="CZ244" s="55"/>
      <c r="DA244" s="55"/>
      <c r="DB244" s="55"/>
      <c r="DC244" s="55"/>
      <c r="DD244" s="55"/>
      <c r="DE244" s="55"/>
      <c r="DF244" s="55"/>
      <c r="DG244" s="55"/>
      <c r="DH244" s="55"/>
      <c r="DI244" s="55"/>
      <c r="DJ244" s="55"/>
      <c r="DK244" s="55"/>
      <c r="DL244" s="55"/>
      <c r="DM244" s="55"/>
      <c r="DN244" s="55"/>
      <c r="DO244" s="55"/>
      <c r="DP244" s="55"/>
      <c r="DQ244" s="55"/>
      <c r="DR244" s="55"/>
      <c r="DS244" s="55"/>
      <c r="DT244" s="55"/>
      <c r="DU244" s="55"/>
      <c r="DV244" s="55"/>
      <c r="DW244" s="55"/>
      <c r="DX244" s="55"/>
      <c r="DY244" s="55"/>
      <c r="DZ244" s="55"/>
      <c r="EA244" s="55"/>
      <c r="EB244" s="55"/>
      <c r="EC244" s="55"/>
      <c r="ED244" s="55"/>
      <c r="EE244" s="55"/>
      <c r="EF244" s="55"/>
      <c r="EG244" s="55"/>
      <c r="EH244" s="55"/>
      <c r="EI244" s="55"/>
      <c r="EJ244" s="55"/>
      <c r="EK244" s="55"/>
      <c r="EL244" s="55"/>
      <c r="EM244" s="55"/>
      <c r="EN244" s="55"/>
      <c r="EO244" s="55"/>
      <c r="EP244" s="55"/>
      <c r="EQ244" s="55"/>
      <c r="ER244" s="55"/>
      <c r="ES244" s="55"/>
      <c r="ET244" s="55"/>
      <c r="EU244" s="55"/>
      <c r="EV244" s="55"/>
      <c r="EW244" s="55"/>
      <c r="EX244" s="55"/>
      <c r="EY244" s="55"/>
      <c r="EZ244" s="55"/>
      <c r="FA244" s="55"/>
      <c r="FB244" s="55"/>
      <c r="FC244" s="55"/>
      <c r="FD244" s="55"/>
      <c r="FE244" s="55"/>
      <c r="FF244" s="55"/>
      <c r="FG244" s="55"/>
      <c r="FH244" s="55"/>
      <c r="FI244" s="55"/>
      <c r="FJ244" s="55"/>
      <c r="FK244" s="55"/>
      <c r="FL244" s="55"/>
      <c r="FM244" s="55"/>
      <c r="FN244" s="55"/>
      <c r="FO244" s="55"/>
      <c r="FP244" s="55"/>
      <c r="FQ244" s="55"/>
      <c r="FR244" s="55"/>
      <c r="FS244" s="55"/>
      <c r="FT244" s="55"/>
      <c r="FU244" s="55"/>
      <c r="FV244" s="55"/>
      <c r="FW244" s="55"/>
      <c r="FX244" s="55"/>
      <c r="FY244" s="55"/>
      <c r="FZ244" s="55"/>
      <c r="GA244" s="55"/>
      <c r="GB244" s="55"/>
      <c r="GC244" s="55"/>
      <c r="GD244" s="55"/>
      <c r="GE244" s="55"/>
      <c r="GF244" s="55"/>
      <c r="GG244" s="55"/>
      <c r="GH244" s="55"/>
      <c r="GI244" s="55"/>
      <c r="GJ244" s="55"/>
      <c r="GK244" s="55"/>
      <c r="GL244" s="55"/>
      <c r="GM244" s="55"/>
      <c r="GN244" s="55"/>
      <c r="GO244" s="55"/>
      <c r="GP244" s="55"/>
      <c r="GQ244" s="55"/>
      <c r="GR244" s="55"/>
      <c r="GS244" s="55"/>
      <c r="GT244" s="55"/>
      <c r="GU244" s="55"/>
      <c r="GV244" s="55"/>
      <c r="GW244" s="55"/>
      <c r="GX244" s="55"/>
      <c r="GY244" s="55"/>
      <c r="GZ244" s="55"/>
      <c r="HA244" s="55"/>
      <c r="HB244" s="55"/>
      <c r="HC244" s="55"/>
      <c r="HD244" s="55"/>
      <c r="HE244" s="55"/>
      <c r="HF244" s="55"/>
      <c r="HG244" s="55"/>
      <c r="HH244" s="55"/>
      <c r="HI244" s="55"/>
      <c r="HJ244" s="55"/>
      <c r="HK244" s="55"/>
      <c r="HL244" s="55"/>
      <c r="HM244" s="55"/>
      <c r="HN244" s="55"/>
      <c r="HO244" s="55"/>
      <c r="HP244" s="55"/>
      <c r="HQ244" s="55"/>
      <c r="HR244" s="55"/>
      <c r="HS244" s="55"/>
      <c r="HT244" s="55"/>
      <c r="HU244" s="55"/>
      <c r="HV244" s="55"/>
      <c r="HW244" s="55"/>
      <c r="HX244" s="55"/>
      <c r="HY244" s="55"/>
      <c r="HZ244" s="55"/>
      <c r="IA244" s="55"/>
      <c r="IB244" s="55"/>
      <c r="IC244" s="55"/>
      <c r="ID244" s="55"/>
    </row>
    <row r="245" s="52" customFormat="1" ht="75" customHeight="1" spans="1:238">
      <c r="A245" s="112">
        <v>72</v>
      </c>
      <c r="B245" s="112" t="s">
        <v>1001</v>
      </c>
      <c r="C245" s="64" t="s">
        <v>1002</v>
      </c>
      <c r="D245" s="65" t="s">
        <v>1003</v>
      </c>
      <c r="E245" s="77" t="s">
        <v>1004</v>
      </c>
      <c r="F245" s="77" t="s">
        <v>35</v>
      </c>
      <c r="G245" s="64" t="s">
        <v>110</v>
      </c>
      <c r="H245" s="78">
        <v>1150</v>
      </c>
      <c r="I245" s="78">
        <v>1035</v>
      </c>
      <c r="J245" s="83">
        <v>1010</v>
      </c>
      <c r="K245" s="83">
        <v>910</v>
      </c>
      <c r="L245" s="83">
        <v>775</v>
      </c>
      <c r="M245" s="41">
        <v>1010</v>
      </c>
      <c r="N245" s="41">
        <v>910</v>
      </c>
      <c r="O245" s="41">
        <v>775</v>
      </c>
      <c r="P245" s="64" t="s">
        <v>37</v>
      </c>
      <c r="Q245" s="64" t="s">
        <v>35</v>
      </c>
      <c r="R245" s="64" t="s">
        <v>35</v>
      </c>
      <c r="S245" s="83" t="s">
        <v>381</v>
      </c>
      <c r="T245" s="77" t="s">
        <v>381</v>
      </c>
      <c r="U245" s="105" t="s">
        <v>1005</v>
      </c>
      <c r="V245" s="105">
        <v>330405009</v>
      </c>
      <c r="W245" s="106" t="s">
        <v>1006</v>
      </c>
      <c r="X245" s="105"/>
      <c r="Y245" s="105"/>
      <c r="Z245" s="105" t="s">
        <v>36</v>
      </c>
      <c r="AA245" s="110" t="s">
        <v>35</v>
      </c>
      <c r="AB245" s="50">
        <v>1010</v>
      </c>
      <c r="AC245" s="50">
        <v>910</v>
      </c>
      <c r="AD245" s="50">
        <v>775</v>
      </c>
      <c r="AE245" s="112" t="s">
        <v>37</v>
      </c>
      <c r="AF245" s="60"/>
      <c r="AG245" s="55"/>
      <c r="AH245" s="55"/>
      <c r="AI245" s="55"/>
      <c r="AJ245" s="55"/>
      <c r="AK245" s="55"/>
      <c r="AL245" s="55"/>
      <c r="AM245" s="55"/>
      <c r="AN245" s="55"/>
      <c r="AO245" s="55"/>
      <c r="AP245" s="55"/>
      <c r="AQ245" s="55"/>
      <c r="AR245" s="55"/>
      <c r="AS245" s="55"/>
      <c r="AT245" s="55"/>
      <c r="AU245" s="55"/>
      <c r="AV245" s="55"/>
      <c r="AW245" s="55"/>
      <c r="AX245" s="55"/>
      <c r="AY245" s="55"/>
      <c r="AZ245" s="55"/>
      <c r="BA245" s="55"/>
      <c r="BB245" s="55"/>
      <c r="BC245" s="55"/>
      <c r="BD245" s="55"/>
      <c r="BE245" s="55"/>
      <c r="BF245" s="55"/>
      <c r="BG245" s="55"/>
      <c r="BH245" s="55"/>
      <c r="BI245" s="55"/>
      <c r="BJ245" s="55"/>
      <c r="BK245" s="55"/>
      <c r="BL245" s="55"/>
      <c r="BM245" s="55"/>
      <c r="BN245" s="55"/>
      <c r="BO245" s="55"/>
      <c r="BP245" s="55"/>
      <c r="BQ245" s="55"/>
      <c r="BR245" s="55"/>
      <c r="BS245" s="55"/>
      <c r="BT245" s="55"/>
      <c r="BU245" s="55"/>
      <c r="BV245" s="55"/>
      <c r="BW245" s="55"/>
      <c r="BX245" s="55"/>
      <c r="BY245" s="55"/>
      <c r="BZ245" s="55"/>
      <c r="CA245" s="55"/>
      <c r="CB245" s="55"/>
      <c r="CC245" s="55"/>
      <c r="CD245" s="55"/>
      <c r="CE245" s="55"/>
      <c r="CF245" s="55"/>
      <c r="CG245" s="55"/>
      <c r="CH245" s="55"/>
      <c r="CI245" s="55"/>
      <c r="CJ245" s="55"/>
      <c r="CK245" s="55"/>
      <c r="CL245" s="55"/>
      <c r="CM245" s="55"/>
      <c r="CN245" s="55"/>
      <c r="CO245" s="55"/>
      <c r="CP245" s="55"/>
      <c r="CQ245" s="55"/>
      <c r="CR245" s="55"/>
      <c r="CS245" s="55"/>
      <c r="CT245" s="55"/>
      <c r="CU245" s="55"/>
      <c r="CV245" s="55"/>
      <c r="CW245" s="55"/>
      <c r="CX245" s="55"/>
      <c r="CY245" s="55"/>
      <c r="CZ245" s="55"/>
      <c r="DA245" s="55"/>
      <c r="DB245" s="55"/>
      <c r="DC245" s="55"/>
      <c r="DD245" s="55"/>
      <c r="DE245" s="55"/>
      <c r="DF245" s="55"/>
      <c r="DG245" s="55"/>
      <c r="DH245" s="55"/>
      <c r="DI245" s="55"/>
      <c r="DJ245" s="55"/>
      <c r="DK245" s="55"/>
      <c r="DL245" s="55"/>
      <c r="DM245" s="55"/>
      <c r="DN245" s="55"/>
      <c r="DO245" s="55"/>
      <c r="DP245" s="55"/>
      <c r="DQ245" s="55"/>
      <c r="DR245" s="55"/>
      <c r="DS245" s="55"/>
      <c r="DT245" s="55"/>
      <c r="DU245" s="55"/>
      <c r="DV245" s="55"/>
      <c r="DW245" s="55"/>
      <c r="DX245" s="55"/>
      <c r="DY245" s="55"/>
      <c r="DZ245" s="55"/>
      <c r="EA245" s="55"/>
      <c r="EB245" s="55"/>
      <c r="EC245" s="55"/>
      <c r="ED245" s="55"/>
      <c r="EE245" s="55"/>
      <c r="EF245" s="55"/>
      <c r="EG245" s="55"/>
      <c r="EH245" s="55"/>
      <c r="EI245" s="55"/>
      <c r="EJ245" s="55"/>
      <c r="EK245" s="55"/>
      <c r="EL245" s="55"/>
      <c r="EM245" s="55"/>
      <c r="EN245" s="55"/>
      <c r="EO245" s="55"/>
      <c r="EP245" s="55"/>
      <c r="EQ245" s="55"/>
      <c r="ER245" s="55"/>
      <c r="ES245" s="55"/>
      <c r="ET245" s="55"/>
      <c r="EU245" s="55"/>
      <c r="EV245" s="55"/>
      <c r="EW245" s="55"/>
      <c r="EX245" s="55"/>
      <c r="EY245" s="55"/>
      <c r="EZ245" s="55"/>
      <c r="FA245" s="55"/>
      <c r="FB245" s="55"/>
      <c r="FC245" s="55"/>
      <c r="FD245" s="55"/>
      <c r="FE245" s="55"/>
      <c r="FF245" s="55"/>
      <c r="FG245" s="55"/>
      <c r="FH245" s="55"/>
      <c r="FI245" s="55"/>
      <c r="FJ245" s="55"/>
      <c r="FK245" s="55"/>
      <c r="FL245" s="55"/>
      <c r="FM245" s="55"/>
      <c r="FN245" s="55"/>
      <c r="FO245" s="55"/>
      <c r="FP245" s="55"/>
      <c r="FQ245" s="55"/>
      <c r="FR245" s="55"/>
      <c r="FS245" s="55"/>
      <c r="FT245" s="55"/>
      <c r="FU245" s="55"/>
      <c r="FV245" s="55"/>
      <c r="FW245" s="55"/>
      <c r="FX245" s="55"/>
      <c r="FY245" s="55"/>
      <c r="FZ245" s="55"/>
      <c r="GA245" s="55"/>
      <c r="GB245" s="55"/>
      <c r="GC245" s="55"/>
      <c r="GD245" s="55"/>
      <c r="GE245" s="55"/>
      <c r="GF245" s="55"/>
      <c r="GG245" s="55"/>
      <c r="GH245" s="55"/>
      <c r="GI245" s="55"/>
      <c r="GJ245" s="55"/>
      <c r="GK245" s="55"/>
      <c r="GL245" s="55"/>
      <c r="GM245" s="55"/>
      <c r="GN245" s="55"/>
      <c r="GO245" s="55"/>
      <c r="GP245" s="55"/>
      <c r="GQ245" s="55"/>
      <c r="GR245" s="55"/>
      <c r="GS245" s="55"/>
      <c r="GT245" s="55"/>
      <c r="GU245" s="55"/>
      <c r="GV245" s="55"/>
      <c r="GW245" s="55"/>
      <c r="GX245" s="55"/>
      <c r="GY245" s="55"/>
      <c r="GZ245" s="55"/>
      <c r="HA245" s="55"/>
      <c r="HB245" s="55"/>
      <c r="HC245" s="55"/>
      <c r="HD245" s="55"/>
      <c r="HE245" s="55"/>
      <c r="HF245" s="55"/>
      <c r="HG245" s="55"/>
      <c r="HH245" s="55"/>
      <c r="HI245" s="55"/>
      <c r="HJ245" s="55"/>
      <c r="HK245" s="55"/>
      <c r="HL245" s="55"/>
      <c r="HM245" s="55"/>
      <c r="HN245" s="55"/>
      <c r="HO245" s="55"/>
      <c r="HP245" s="55"/>
      <c r="HQ245" s="55"/>
      <c r="HR245" s="55"/>
      <c r="HS245" s="55"/>
      <c r="HT245" s="55"/>
      <c r="HU245" s="55"/>
      <c r="HV245" s="55"/>
      <c r="HW245" s="55"/>
      <c r="HX245" s="55"/>
      <c r="HY245" s="55"/>
      <c r="HZ245" s="55"/>
      <c r="IA245" s="55"/>
      <c r="IB245" s="55"/>
      <c r="IC245" s="55"/>
      <c r="ID245" s="55"/>
    </row>
    <row r="246" s="52" customFormat="1" ht="40" customHeight="1" spans="1:238">
      <c r="A246" s="112" t="s">
        <v>95</v>
      </c>
      <c r="B246" s="112" t="s">
        <v>1007</v>
      </c>
      <c r="C246" s="64" t="s">
        <v>1008</v>
      </c>
      <c r="D246" s="65"/>
      <c r="E246" s="77"/>
      <c r="F246" s="77" t="s">
        <v>35</v>
      </c>
      <c r="G246" s="64" t="s">
        <v>110</v>
      </c>
      <c r="H246" s="78">
        <v>345</v>
      </c>
      <c r="I246" s="78">
        <v>311</v>
      </c>
      <c r="J246" s="83">
        <v>305</v>
      </c>
      <c r="K246" s="83">
        <v>275</v>
      </c>
      <c r="L246" s="83">
        <v>230</v>
      </c>
      <c r="M246" s="41">
        <v>305</v>
      </c>
      <c r="N246" s="41">
        <v>275</v>
      </c>
      <c r="O246" s="41">
        <v>230</v>
      </c>
      <c r="P246" s="64" t="s">
        <v>37</v>
      </c>
      <c r="Q246" s="64" t="s">
        <v>35</v>
      </c>
      <c r="R246" s="64" t="s">
        <v>35</v>
      </c>
      <c r="S246" s="83"/>
      <c r="T246" s="77" t="s">
        <v>186</v>
      </c>
      <c r="U246" s="105" t="s">
        <v>1009</v>
      </c>
      <c r="V246" s="105">
        <v>33040500901</v>
      </c>
      <c r="W246" s="106" t="s">
        <v>1010</v>
      </c>
      <c r="X246" s="105"/>
      <c r="Y246" s="105"/>
      <c r="Z246" s="105" t="s">
        <v>36</v>
      </c>
      <c r="AA246" s="110" t="s">
        <v>35</v>
      </c>
      <c r="AB246" s="50">
        <v>1315</v>
      </c>
      <c r="AC246" s="50">
        <v>1185</v>
      </c>
      <c r="AD246" s="50">
        <v>1005</v>
      </c>
      <c r="AE246" s="112" t="s">
        <v>37</v>
      </c>
      <c r="AF246" s="60"/>
      <c r="AG246" s="55"/>
      <c r="AH246" s="55"/>
      <c r="AI246" s="55"/>
      <c r="AJ246" s="55"/>
      <c r="AK246" s="55"/>
      <c r="AL246" s="55"/>
      <c r="AM246" s="55"/>
      <c r="AN246" s="55"/>
      <c r="AO246" s="55"/>
      <c r="AP246" s="55"/>
      <c r="AQ246" s="55"/>
      <c r="AR246" s="55"/>
      <c r="AS246" s="55"/>
      <c r="AT246" s="55"/>
      <c r="AU246" s="55"/>
      <c r="AV246" s="55"/>
      <c r="AW246" s="55"/>
      <c r="AX246" s="55"/>
      <c r="AY246" s="55"/>
      <c r="AZ246" s="55"/>
      <c r="BA246" s="55"/>
      <c r="BB246" s="55"/>
      <c r="BC246" s="55"/>
      <c r="BD246" s="55"/>
      <c r="BE246" s="55"/>
      <c r="BF246" s="55"/>
      <c r="BG246" s="55"/>
      <c r="BH246" s="55"/>
      <c r="BI246" s="55"/>
      <c r="BJ246" s="55"/>
      <c r="BK246" s="55"/>
      <c r="BL246" s="55"/>
      <c r="BM246" s="55"/>
      <c r="BN246" s="55"/>
      <c r="BO246" s="55"/>
      <c r="BP246" s="55"/>
      <c r="BQ246" s="55"/>
      <c r="BR246" s="55"/>
      <c r="BS246" s="55"/>
      <c r="BT246" s="55"/>
      <c r="BU246" s="55"/>
      <c r="BV246" s="55"/>
      <c r="BW246" s="55"/>
      <c r="BX246" s="55"/>
      <c r="BY246" s="55"/>
      <c r="BZ246" s="55"/>
      <c r="CA246" s="55"/>
      <c r="CB246" s="55"/>
      <c r="CC246" s="55"/>
      <c r="CD246" s="55"/>
      <c r="CE246" s="55"/>
      <c r="CF246" s="55"/>
      <c r="CG246" s="55"/>
      <c r="CH246" s="55"/>
      <c r="CI246" s="55"/>
      <c r="CJ246" s="55"/>
      <c r="CK246" s="55"/>
      <c r="CL246" s="55"/>
      <c r="CM246" s="55"/>
      <c r="CN246" s="55"/>
      <c r="CO246" s="55"/>
      <c r="CP246" s="55"/>
      <c r="CQ246" s="55"/>
      <c r="CR246" s="55"/>
      <c r="CS246" s="55"/>
      <c r="CT246" s="55"/>
      <c r="CU246" s="55"/>
      <c r="CV246" s="55"/>
      <c r="CW246" s="55"/>
      <c r="CX246" s="55"/>
      <c r="CY246" s="55"/>
      <c r="CZ246" s="55"/>
      <c r="DA246" s="55"/>
      <c r="DB246" s="55"/>
      <c r="DC246" s="55"/>
      <c r="DD246" s="55"/>
      <c r="DE246" s="55"/>
      <c r="DF246" s="55"/>
      <c r="DG246" s="55"/>
      <c r="DH246" s="55"/>
      <c r="DI246" s="55"/>
      <c r="DJ246" s="55"/>
      <c r="DK246" s="55"/>
      <c r="DL246" s="55"/>
      <c r="DM246" s="55"/>
      <c r="DN246" s="55"/>
      <c r="DO246" s="55"/>
      <c r="DP246" s="55"/>
      <c r="DQ246" s="55"/>
      <c r="DR246" s="55"/>
      <c r="DS246" s="55"/>
      <c r="DT246" s="55"/>
      <c r="DU246" s="55"/>
      <c r="DV246" s="55"/>
      <c r="DW246" s="55"/>
      <c r="DX246" s="55"/>
      <c r="DY246" s="55"/>
      <c r="DZ246" s="55"/>
      <c r="EA246" s="55"/>
      <c r="EB246" s="55"/>
      <c r="EC246" s="55"/>
      <c r="ED246" s="55"/>
      <c r="EE246" s="55"/>
      <c r="EF246" s="55"/>
      <c r="EG246" s="55"/>
      <c r="EH246" s="55"/>
      <c r="EI246" s="55"/>
      <c r="EJ246" s="55"/>
      <c r="EK246" s="55"/>
      <c r="EL246" s="55"/>
      <c r="EM246" s="55"/>
      <c r="EN246" s="55"/>
      <c r="EO246" s="55"/>
      <c r="EP246" s="55"/>
      <c r="EQ246" s="55"/>
      <c r="ER246" s="55"/>
      <c r="ES246" s="55"/>
      <c r="ET246" s="55"/>
      <c r="EU246" s="55"/>
      <c r="EV246" s="55"/>
      <c r="EW246" s="55"/>
      <c r="EX246" s="55"/>
      <c r="EY246" s="55"/>
      <c r="EZ246" s="55"/>
      <c r="FA246" s="55"/>
      <c r="FB246" s="55"/>
      <c r="FC246" s="55"/>
      <c r="FD246" s="55"/>
      <c r="FE246" s="55"/>
      <c r="FF246" s="55"/>
      <c r="FG246" s="55"/>
      <c r="FH246" s="55"/>
      <c r="FI246" s="55"/>
      <c r="FJ246" s="55"/>
      <c r="FK246" s="55"/>
      <c r="FL246" s="55"/>
      <c r="FM246" s="55"/>
      <c r="FN246" s="55"/>
      <c r="FO246" s="55"/>
      <c r="FP246" s="55"/>
      <c r="FQ246" s="55"/>
      <c r="FR246" s="55"/>
      <c r="FS246" s="55"/>
      <c r="FT246" s="55"/>
      <c r="FU246" s="55"/>
      <c r="FV246" s="55"/>
      <c r="FW246" s="55"/>
      <c r="FX246" s="55"/>
      <c r="FY246" s="55"/>
      <c r="FZ246" s="55"/>
      <c r="GA246" s="55"/>
      <c r="GB246" s="55"/>
      <c r="GC246" s="55"/>
      <c r="GD246" s="55"/>
      <c r="GE246" s="55"/>
      <c r="GF246" s="55"/>
      <c r="GG246" s="55"/>
      <c r="GH246" s="55"/>
      <c r="GI246" s="55"/>
      <c r="GJ246" s="55"/>
      <c r="GK246" s="55"/>
      <c r="GL246" s="55"/>
      <c r="GM246" s="55"/>
      <c r="GN246" s="55"/>
      <c r="GO246" s="55"/>
      <c r="GP246" s="55"/>
      <c r="GQ246" s="55"/>
      <c r="GR246" s="55"/>
      <c r="GS246" s="55"/>
      <c r="GT246" s="55"/>
      <c r="GU246" s="55"/>
      <c r="GV246" s="55"/>
      <c r="GW246" s="55"/>
      <c r="GX246" s="55"/>
      <c r="GY246" s="55"/>
      <c r="GZ246" s="55"/>
      <c r="HA246" s="55"/>
      <c r="HB246" s="55"/>
      <c r="HC246" s="55"/>
      <c r="HD246" s="55"/>
      <c r="HE246" s="55"/>
      <c r="HF246" s="55"/>
      <c r="HG246" s="55"/>
      <c r="HH246" s="55"/>
      <c r="HI246" s="55"/>
      <c r="HJ246" s="55"/>
      <c r="HK246" s="55"/>
      <c r="HL246" s="55"/>
      <c r="HM246" s="55"/>
      <c r="HN246" s="55"/>
      <c r="HO246" s="55"/>
      <c r="HP246" s="55"/>
      <c r="HQ246" s="55"/>
      <c r="HR246" s="55"/>
      <c r="HS246" s="55"/>
      <c r="HT246" s="55"/>
      <c r="HU246" s="55"/>
      <c r="HV246" s="55"/>
      <c r="HW246" s="55"/>
      <c r="HX246" s="55"/>
      <c r="HY246" s="55"/>
      <c r="HZ246" s="55"/>
      <c r="IA246" s="55"/>
      <c r="IB246" s="55"/>
      <c r="IC246" s="55"/>
      <c r="ID246" s="55"/>
    </row>
    <row r="247" s="55" customFormat="1" ht="25.5" spans="1:32">
      <c r="A247" s="112" t="s">
        <v>95</v>
      </c>
      <c r="B247" s="112" t="s">
        <v>1011</v>
      </c>
      <c r="C247" s="64" t="s">
        <v>1012</v>
      </c>
      <c r="D247" s="65"/>
      <c r="E247" s="77"/>
      <c r="F247" s="77" t="s">
        <v>35</v>
      </c>
      <c r="G247" s="64" t="s">
        <v>110</v>
      </c>
      <c r="H247" s="78">
        <v>115</v>
      </c>
      <c r="I247" s="78">
        <v>104</v>
      </c>
      <c r="J247" s="83"/>
      <c r="K247" s="83"/>
      <c r="L247" s="83"/>
      <c r="M247" s="41">
        <v>101</v>
      </c>
      <c r="N247" s="41">
        <v>91</v>
      </c>
      <c r="O247" s="41">
        <v>78</v>
      </c>
      <c r="P247" s="64" t="s">
        <v>37</v>
      </c>
      <c r="Q247" s="64" t="s">
        <v>35</v>
      </c>
      <c r="R247" s="64" t="s">
        <v>35</v>
      </c>
      <c r="S247" s="83"/>
      <c r="T247" s="77"/>
      <c r="U247" s="105"/>
      <c r="V247" s="105"/>
      <c r="W247" s="106"/>
      <c r="X247" s="105"/>
      <c r="Y247" s="105"/>
      <c r="Z247" s="105"/>
      <c r="AA247" s="110"/>
      <c r="AB247" s="50"/>
      <c r="AC247" s="50"/>
      <c r="AD247" s="50"/>
      <c r="AE247" s="112"/>
      <c r="AF247" s="60"/>
    </row>
    <row r="248" s="52" customFormat="1" ht="63.75" spans="1:238">
      <c r="A248" s="112">
        <v>73</v>
      </c>
      <c r="B248" s="112" t="s">
        <v>1013</v>
      </c>
      <c r="C248" s="64" t="s">
        <v>1014</v>
      </c>
      <c r="D248" s="65" t="s">
        <v>1015</v>
      </c>
      <c r="E248" s="77" t="s">
        <v>1016</v>
      </c>
      <c r="F248" s="77" t="s">
        <v>35</v>
      </c>
      <c r="G248" s="64" t="s">
        <v>110</v>
      </c>
      <c r="H248" s="78">
        <v>3000</v>
      </c>
      <c r="I248" s="78">
        <v>2700</v>
      </c>
      <c r="J248" s="83">
        <v>2310</v>
      </c>
      <c r="K248" s="83">
        <v>2080</v>
      </c>
      <c r="L248" s="83">
        <v>1770</v>
      </c>
      <c r="M248" s="89">
        <v>2700</v>
      </c>
      <c r="N248" s="89">
        <v>2430</v>
      </c>
      <c r="O248" s="89">
        <v>2065</v>
      </c>
      <c r="P248" s="64" t="s">
        <v>37</v>
      </c>
      <c r="Q248" s="64" t="s">
        <v>35</v>
      </c>
      <c r="R248" s="64" t="s">
        <v>35</v>
      </c>
      <c r="S248" s="83" t="s">
        <v>485</v>
      </c>
      <c r="T248" s="104" t="s">
        <v>1017</v>
      </c>
      <c r="U248" s="105" t="s">
        <v>1018</v>
      </c>
      <c r="V248" s="105">
        <v>330407011</v>
      </c>
      <c r="W248" s="106" t="s">
        <v>1019</v>
      </c>
      <c r="X248" s="105"/>
      <c r="Y248" s="105"/>
      <c r="Z248" s="105" t="s">
        <v>36</v>
      </c>
      <c r="AA248" s="110" t="s">
        <v>35</v>
      </c>
      <c r="AB248" s="50">
        <v>2310</v>
      </c>
      <c r="AC248" s="50">
        <v>2080</v>
      </c>
      <c r="AD248" s="50">
        <v>1770</v>
      </c>
      <c r="AE248" s="112" t="s">
        <v>37</v>
      </c>
      <c r="AF248" s="60"/>
      <c r="AG248" s="55"/>
      <c r="AH248" s="55"/>
      <c r="AI248" s="55"/>
      <c r="AJ248" s="55"/>
      <c r="AK248" s="55"/>
      <c r="AL248" s="55"/>
      <c r="AM248" s="55"/>
      <c r="AN248" s="55"/>
      <c r="AO248" s="55"/>
      <c r="AP248" s="55"/>
      <c r="AQ248" s="55"/>
      <c r="AR248" s="55"/>
      <c r="AS248" s="55"/>
      <c r="AT248" s="55"/>
      <c r="AU248" s="55"/>
      <c r="AV248" s="55"/>
      <c r="AW248" s="55"/>
      <c r="AX248" s="55"/>
      <c r="AY248" s="55"/>
      <c r="AZ248" s="55"/>
      <c r="BA248" s="55"/>
      <c r="BB248" s="55"/>
      <c r="BC248" s="55"/>
      <c r="BD248" s="55"/>
      <c r="BE248" s="55"/>
      <c r="BF248" s="55"/>
      <c r="BG248" s="55"/>
      <c r="BH248" s="55"/>
      <c r="BI248" s="55"/>
      <c r="BJ248" s="55"/>
      <c r="BK248" s="55"/>
      <c r="BL248" s="55"/>
      <c r="BM248" s="55"/>
      <c r="BN248" s="55"/>
      <c r="BO248" s="55"/>
      <c r="BP248" s="55"/>
      <c r="BQ248" s="55"/>
      <c r="BR248" s="55"/>
      <c r="BS248" s="55"/>
      <c r="BT248" s="55"/>
      <c r="BU248" s="55"/>
      <c r="BV248" s="55"/>
      <c r="BW248" s="55"/>
      <c r="BX248" s="55"/>
      <c r="BY248" s="55"/>
      <c r="BZ248" s="55"/>
      <c r="CA248" s="55"/>
      <c r="CB248" s="55"/>
      <c r="CC248" s="55"/>
      <c r="CD248" s="55"/>
      <c r="CE248" s="55"/>
      <c r="CF248" s="55"/>
      <c r="CG248" s="55"/>
      <c r="CH248" s="55"/>
      <c r="CI248" s="55"/>
      <c r="CJ248" s="55"/>
      <c r="CK248" s="55"/>
      <c r="CL248" s="55"/>
      <c r="CM248" s="55"/>
      <c r="CN248" s="55"/>
      <c r="CO248" s="55"/>
      <c r="CP248" s="55"/>
      <c r="CQ248" s="55"/>
      <c r="CR248" s="55"/>
      <c r="CS248" s="55"/>
      <c r="CT248" s="55"/>
      <c r="CU248" s="55"/>
      <c r="CV248" s="55"/>
      <c r="CW248" s="55"/>
      <c r="CX248" s="55"/>
      <c r="CY248" s="55"/>
      <c r="CZ248" s="55"/>
      <c r="DA248" s="55"/>
      <c r="DB248" s="55"/>
      <c r="DC248" s="55"/>
      <c r="DD248" s="55"/>
      <c r="DE248" s="55"/>
      <c r="DF248" s="55"/>
      <c r="DG248" s="55"/>
      <c r="DH248" s="55"/>
      <c r="DI248" s="55"/>
      <c r="DJ248" s="55"/>
      <c r="DK248" s="55"/>
      <c r="DL248" s="55"/>
      <c r="DM248" s="55"/>
      <c r="DN248" s="55"/>
      <c r="DO248" s="55"/>
      <c r="DP248" s="55"/>
      <c r="DQ248" s="55"/>
      <c r="DR248" s="55"/>
      <c r="DS248" s="55"/>
      <c r="DT248" s="55"/>
      <c r="DU248" s="55"/>
      <c r="DV248" s="55"/>
      <c r="DW248" s="55"/>
      <c r="DX248" s="55"/>
      <c r="DY248" s="55"/>
      <c r="DZ248" s="55"/>
      <c r="EA248" s="55"/>
      <c r="EB248" s="55"/>
      <c r="EC248" s="55"/>
      <c r="ED248" s="55"/>
      <c r="EE248" s="55"/>
      <c r="EF248" s="55"/>
      <c r="EG248" s="55"/>
      <c r="EH248" s="55"/>
      <c r="EI248" s="55"/>
      <c r="EJ248" s="55"/>
      <c r="EK248" s="55"/>
      <c r="EL248" s="55"/>
      <c r="EM248" s="55"/>
      <c r="EN248" s="55"/>
      <c r="EO248" s="55"/>
      <c r="EP248" s="55"/>
      <c r="EQ248" s="55"/>
      <c r="ER248" s="55"/>
      <c r="ES248" s="55"/>
      <c r="ET248" s="55"/>
      <c r="EU248" s="55"/>
      <c r="EV248" s="55"/>
      <c r="EW248" s="55"/>
      <c r="EX248" s="55"/>
      <c r="EY248" s="55"/>
      <c r="EZ248" s="55"/>
      <c r="FA248" s="55"/>
      <c r="FB248" s="55"/>
      <c r="FC248" s="55"/>
      <c r="FD248" s="55"/>
      <c r="FE248" s="55"/>
      <c r="FF248" s="55"/>
      <c r="FG248" s="55"/>
      <c r="FH248" s="55"/>
      <c r="FI248" s="55"/>
      <c r="FJ248" s="55"/>
      <c r="FK248" s="55"/>
      <c r="FL248" s="55"/>
      <c r="FM248" s="55"/>
      <c r="FN248" s="55"/>
      <c r="FO248" s="55"/>
      <c r="FP248" s="55"/>
      <c r="FQ248" s="55"/>
      <c r="FR248" s="55"/>
      <c r="FS248" s="55"/>
      <c r="FT248" s="55"/>
      <c r="FU248" s="55"/>
      <c r="FV248" s="55"/>
      <c r="FW248" s="55"/>
      <c r="FX248" s="55"/>
      <c r="FY248" s="55"/>
      <c r="FZ248" s="55"/>
      <c r="GA248" s="55"/>
      <c r="GB248" s="55"/>
      <c r="GC248" s="55"/>
      <c r="GD248" s="55"/>
      <c r="GE248" s="55"/>
      <c r="GF248" s="55"/>
      <c r="GG248" s="55"/>
      <c r="GH248" s="55"/>
      <c r="GI248" s="55"/>
      <c r="GJ248" s="55"/>
      <c r="GK248" s="55"/>
      <c r="GL248" s="55"/>
      <c r="GM248" s="55"/>
      <c r="GN248" s="55"/>
      <c r="GO248" s="55"/>
      <c r="GP248" s="55"/>
      <c r="GQ248" s="55"/>
      <c r="GR248" s="55"/>
      <c r="GS248" s="55"/>
      <c r="GT248" s="55"/>
      <c r="GU248" s="55"/>
      <c r="GV248" s="55"/>
      <c r="GW248" s="55"/>
      <c r="GX248" s="55"/>
      <c r="GY248" s="55"/>
      <c r="GZ248" s="55"/>
      <c r="HA248" s="55"/>
      <c r="HB248" s="55"/>
      <c r="HC248" s="55"/>
      <c r="HD248" s="55"/>
      <c r="HE248" s="55"/>
      <c r="HF248" s="55"/>
      <c r="HG248" s="55"/>
      <c r="HH248" s="55"/>
      <c r="HI248" s="55"/>
      <c r="HJ248" s="55"/>
      <c r="HK248" s="55"/>
      <c r="HL248" s="55"/>
      <c r="HM248" s="55"/>
      <c r="HN248" s="55"/>
      <c r="HO248" s="55"/>
      <c r="HP248" s="55"/>
      <c r="HQ248" s="55"/>
      <c r="HR248" s="55"/>
      <c r="HS248" s="55"/>
      <c r="HT248" s="55"/>
      <c r="HU248" s="55"/>
      <c r="HV248" s="55"/>
      <c r="HW248" s="55"/>
      <c r="HX248" s="55"/>
      <c r="HY248" s="55"/>
      <c r="HZ248" s="55"/>
      <c r="IA248" s="55"/>
      <c r="IB248" s="55"/>
      <c r="IC248" s="55"/>
      <c r="ID248" s="55"/>
    </row>
    <row r="249" s="52" customFormat="1" ht="25.5" spans="1:238">
      <c r="A249" s="112" t="s">
        <v>95</v>
      </c>
      <c r="B249" s="112" t="s">
        <v>1020</v>
      </c>
      <c r="C249" s="64" t="s">
        <v>1021</v>
      </c>
      <c r="D249" s="65"/>
      <c r="E249" s="77"/>
      <c r="F249" s="77" t="s">
        <v>35</v>
      </c>
      <c r="G249" s="64" t="s">
        <v>110</v>
      </c>
      <c r="H249" s="78">
        <v>900</v>
      </c>
      <c r="I249" s="78">
        <v>810</v>
      </c>
      <c r="J249" s="83">
        <v>695</v>
      </c>
      <c r="K249" s="83">
        <v>625</v>
      </c>
      <c r="L249" s="83">
        <v>530</v>
      </c>
      <c r="M249" s="41">
        <v>810</v>
      </c>
      <c r="N249" s="41">
        <v>730</v>
      </c>
      <c r="O249" s="41">
        <v>620</v>
      </c>
      <c r="P249" s="64" t="s">
        <v>37</v>
      </c>
      <c r="Q249" s="64" t="s">
        <v>35</v>
      </c>
      <c r="R249" s="64" t="s">
        <v>35</v>
      </c>
      <c r="S249" s="83"/>
      <c r="T249" s="77" t="s">
        <v>186</v>
      </c>
      <c r="U249" s="105" t="s">
        <v>1022</v>
      </c>
      <c r="V249" s="105">
        <v>33040701101</v>
      </c>
      <c r="W249" s="106" t="s">
        <v>1023</v>
      </c>
      <c r="X249" s="105"/>
      <c r="Y249" s="105"/>
      <c r="Z249" s="105" t="s">
        <v>36</v>
      </c>
      <c r="AA249" s="110" t="s">
        <v>35</v>
      </c>
      <c r="AB249" s="50">
        <v>3005</v>
      </c>
      <c r="AC249" s="50">
        <v>2705</v>
      </c>
      <c r="AD249" s="50">
        <v>2300</v>
      </c>
      <c r="AE249" s="112" t="s">
        <v>37</v>
      </c>
      <c r="AF249" s="60"/>
      <c r="AG249" s="55"/>
      <c r="AH249" s="55"/>
      <c r="AI249" s="55"/>
      <c r="AJ249" s="55"/>
      <c r="AK249" s="55"/>
      <c r="AL249" s="55"/>
      <c r="AM249" s="55"/>
      <c r="AN249" s="55"/>
      <c r="AO249" s="55"/>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55"/>
      <c r="BR249" s="55"/>
      <c r="BS249" s="55"/>
      <c r="BT249" s="55"/>
      <c r="BU249" s="55"/>
      <c r="BV249" s="55"/>
      <c r="BW249" s="55"/>
      <c r="BX249" s="55"/>
      <c r="BY249" s="55"/>
      <c r="BZ249" s="55"/>
      <c r="CA249" s="55"/>
      <c r="CB249" s="55"/>
      <c r="CC249" s="55"/>
      <c r="CD249" s="55"/>
      <c r="CE249" s="55"/>
      <c r="CF249" s="55"/>
      <c r="CG249" s="55"/>
      <c r="CH249" s="55"/>
      <c r="CI249" s="55"/>
      <c r="CJ249" s="55"/>
      <c r="CK249" s="55"/>
      <c r="CL249" s="55"/>
      <c r="CM249" s="55"/>
      <c r="CN249" s="55"/>
      <c r="CO249" s="55"/>
      <c r="CP249" s="55"/>
      <c r="CQ249" s="55"/>
      <c r="CR249" s="55"/>
      <c r="CS249" s="55"/>
      <c r="CT249" s="55"/>
      <c r="CU249" s="55"/>
      <c r="CV249" s="55"/>
      <c r="CW249" s="55"/>
      <c r="CX249" s="55"/>
      <c r="CY249" s="55"/>
      <c r="CZ249" s="55"/>
      <c r="DA249" s="55"/>
      <c r="DB249" s="55"/>
      <c r="DC249" s="55"/>
      <c r="DD249" s="55"/>
      <c r="DE249" s="55"/>
      <c r="DF249" s="55"/>
      <c r="DG249" s="55"/>
      <c r="DH249" s="55"/>
      <c r="DI249" s="55"/>
      <c r="DJ249" s="55"/>
      <c r="DK249" s="55"/>
      <c r="DL249" s="55"/>
      <c r="DM249" s="55"/>
      <c r="DN249" s="55"/>
      <c r="DO249" s="55"/>
      <c r="DP249" s="55"/>
      <c r="DQ249" s="55"/>
      <c r="DR249" s="55"/>
      <c r="DS249" s="55"/>
      <c r="DT249" s="55"/>
      <c r="DU249" s="55"/>
      <c r="DV249" s="55"/>
      <c r="DW249" s="55"/>
      <c r="DX249" s="55"/>
      <c r="DY249" s="55"/>
      <c r="DZ249" s="55"/>
      <c r="EA249" s="55"/>
      <c r="EB249" s="55"/>
      <c r="EC249" s="55"/>
      <c r="ED249" s="55"/>
      <c r="EE249" s="55"/>
      <c r="EF249" s="55"/>
      <c r="EG249" s="55"/>
      <c r="EH249" s="55"/>
      <c r="EI249" s="55"/>
      <c r="EJ249" s="55"/>
      <c r="EK249" s="55"/>
      <c r="EL249" s="55"/>
      <c r="EM249" s="55"/>
      <c r="EN249" s="55"/>
      <c r="EO249" s="55"/>
      <c r="EP249" s="55"/>
      <c r="EQ249" s="55"/>
      <c r="ER249" s="55"/>
      <c r="ES249" s="55"/>
      <c r="ET249" s="55"/>
      <c r="EU249" s="55"/>
      <c r="EV249" s="55"/>
      <c r="EW249" s="55"/>
      <c r="EX249" s="55"/>
      <c r="EY249" s="55"/>
      <c r="EZ249" s="55"/>
      <c r="FA249" s="55"/>
      <c r="FB249" s="55"/>
      <c r="FC249" s="55"/>
      <c r="FD249" s="55"/>
      <c r="FE249" s="55"/>
      <c r="FF249" s="55"/>
      <c r="FG249" s="55"/>
      <c r="FH249" s="55"/>
      <c r="FI249" s="55"/>
      <c r="FJ249" s="55"/>
      <c r="FK249" s="55"/>
      <c r="FL249" s="55"/>
      <c r="FM249" s="55"/>
      <c r="FN249" s="55"/>
      <c r="FO249" s="55"/>
      <c r="FP249" s="55"/>
      <c r="FQ249" s="55"/>
      <c r="FR249" s="55"/>
      <c r="FS249" s="55"/>
      <c r="FT249" s="55"/>
      <c r="FU249" s="55"/>
      <c r="FV249" s="55"/>
      <c r="FW249" s="55"/>
      <c r="FX249" s="55"/>
      <c r="FY249" s="55"/>
      <c r="FZ249" s="55"/>
      <c r="GA249" s="55"/>
      <c r="GB249" s="55"/>
      <c r="GC249" s="55"/>
      <c r="GD249" s="55"/>
      <c r="GE249" s="55"/>
      <c r="GF249" s="55"/>
      <c r="GG249" s="55"/>
      <c r="GH249" s="55"/>
      <c r="GI249" s="55"/>
      <c r="GJ249" s="55"/>
      <c r="GK249" s="55"/>
      <c r="GL249" s="55"/>
      <c r="GM249" s="55"/>
      <c r="GN249" s="55"/>
      <c r="GO249" s="55"/>
      <c r="GP249" s="55"/>
      <c r="GQ249" s="55"/>
      <c r="GR249" s="55"/>
      <c r="GS249" s="55"/>
      <c r="GT249" s="55"/>
      <c r="GU249" s="55"/>
      <c r="GV249" s="55"/>
      <c r="GW249" s="55"/>
      <c r="GX249" s="55"/>
      <c r="GY249" s="55"/>
      <c r="GZ249" s="55"/>
      <c r="HA249" s="55"/>
      <c r="HB249" s="55"/>
      <c r="HC249" s="55"/>
      <c r="HD249" s="55"/>
      <c r="HE249" s="55"/>
      <c r="HF249" s="55"/>
      <c r="HG249" s="55"/>
      <c r="HH249" s="55"/>
      <c r="HI249" s="55"/>
      <c r="HJ249" s="55"/>
      <c r="HK249" s="55"/>
      <c r="HL249" s="55"/>
      <c r="HM249" s="55"/>
      <c r="HN249" s="55"/>
      <c r="HO249" s="55"/>
      <c r="HP249" s="55"/>
      <c r="HQ249" s="55"/>
      <c r="HR249" s="55"/>
      <c r="HS249" s="55"/>
      <c r="HT249" s="55"/>
      <c r="HU249" s="55"/>
      <c r="HV249" s="55"/>
      <c r="HW249" s="55"/>
      <c r="HX249" s="55"/>
      <c r="HY249" s="55"/>
      <c r="HZ249" s="55"/>
      <c r="IA249" s="55"/>
      <c r="IB249" s="55"/>
      <c r="IC249" s="55"/>
      <c r="ID249" s="55"/>
    </row>
    <row r="250" s="52" customFormat="1" ht="36" customHeight="1" spans="1:238">
      <c r="A250" s="64">
        <v>74</v>
      </c>
      <c r="B250" s="64" t="s">
        <v>1024</v>
      </c>
      <c r="C250" s="64" t="s">
        <v>1025</v>
      </c>
      <c r="D250" s="65" t="s">
        <v>1026</v>
      </c>
      <c r="E250" s="77" t="s">
        <v>1027</v>
      </c>
      <c r="F250" s="77" t="s">
        <v>35</v>
      </c>
      <c r="G250" s="64" t="s">
        <v>110</v>
      </c>
      <c r="H250" s="78">
        <v>540</v>
      </c>
      <c r="I250" s="78">
        <v>486</v>
      </c>
      <c r="J250" s="83">
        <v>500</v>
      </c>
      <c r="K250" s="83">
        <v>480</v>
      </c>
      <c r="L250" s="83">
        <v>408</v>
      </c>
      <c r="M250" s="41">
        <v>500</v>
      </c>
      <c r="N250" s="41">
        <v>480</v>
      </c>
      <c r="O250" s="41">
        <v>408</v>
      </c>
      <c r="P250" s="64" t="s">
        <v>37</v>
      </c>
      <c r="Q250" s="64" t="s">
        <v>35</v>
      </c>
      <c r="R250" s="64" t="s">
        <v>348</v>
      </c>
      <c r="S250" s="83" t="s">
        <v>381</v>
      </c>
      <c r="T250" s="77" t="s">
        <v>1028</v>
      </c>
      <c r="U250" s="105" t="s">
        <v>1029</v>
      </c>
      <c r="V250" s="105">
        <v>330405021</v>
      </c>
      <c r="W250" s="106" t="s">
        <v>1030</v>
      </c>
      <c r="X250" s="105"/>
      <c r="Y250" s="105"/>
      <c r="Z250" s="105" t="s">
        <v>36</v>
      </c>
      <c r="AA250" s="110" t="s">
        <v>35</v>
      </c>
      <c r="AB250" s="50">
        <v>500</v>
      </c>
      <c r="AC250" s="50">
        <v>480</v>
      </c>
      <c r="AD250" s="50">
        <v>408</v>
      </c>
      <c r="AE250" s="112" t="s">
        <v>37</v>
      </c>
      <c r="AF250" s="60"/>
      <c r="AG250" s="55"/>
      <c r="AH250" s="55"/>
      <c r="AI250" s="55"/>
      <c r="AJ250" s="55"/>
      <c r="AK250" s="55"/>
      <c r="AL250" s="55"/>
      <c r="AM250" s="55"/>
      <c r="AN250" s="55"/>
      <c r="AO250" s="55"/>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55"/>
      <c r="BR250" s="55"/>
      <c r="BS250" s="55"/>
      <c r="BT250" s="55"/>
      <c r="BU250" s="55"/>
      <c r="BV250" s="55"/>
      <c r="BW250" s="55"/>
      <c r="BX250" s="55"/>
      <c r="BY250" s="55"/>
      <c r="BZ250" s="55"/>
      <c r="CA250" s="55"/>
      <c r="CB250" s="55"/>
      <c r="CC250" s="55"/>
      <c r="CD250" s="55"/>
      <c r="CE250" s="55"/>
      <c r="CF250" s="55"/>
      <c r="CG250" s="55"/>
      <c r="CH250" s="55"/>
      <c r="CI250" s="55"/>
      <c r="CJ250" s="55"/>
      <c r="CK250" s="55"/>
      <c r="CL250" s="55"/>
      <c r="CM250" s="55"/>
      <c r="CN250" s="55"/>
      <c r="CO250" s="55"/>
      <c r="CP250" s="55"/>
      <c r="CQ250" s="55"/>
      <c r="CR250" s="55"/>
      <c r="CS250" s="55"/>
      <c r="CT250" s="55"/>
      <c r="CU250" s="55"/>
      <c r="CV250" s="55"/>
      <c r="CW250" s="55"/>
      <c r="CX250" s="55"/>
      <c r="CY250" s="55"/>
      <c r="CZ250" s="55"/>
      <c r="DA250" s="55"/>
      <c r="DB250" s="55"/>
      <c r="DC250" s="55"/>
      <c r="DD250" s="55"/>
      <c r="DE250" s="55"/>
      <c r="DF250" s="55"/>
      <c r="DG250" s="55"/>
      <c r="DH250" s="55"/>
      <c r="DI250" s="55"/>
      <c r="DJ250" s="55"/>
      <c r="DK250" s="55"/>
      <c r="DL250" s="55"/>
      <c r="DM250" s="55"/>
      <c r="DN250" s="55"/>
      <c r="DO250" s="55"/>
      <c r="DP250" s="55"/>
      <c r="DQ250" s="55"/>
      <c r="DR250" s="55"/>
      <c r="DS250" s="55"/>
      <c r="DT250" s="55"/>
      <c r="DU250" s="55"/>
      <c r="DV250" s="55"/>
      <c r="DW250" s="55"/>
      <c r="DX250" s="55"/>
      <c r="DY250" s="55"/>
      <c r="DZ250" s="55"/>
      <c r="EA250" s="55"/>
      <c r="EB250" s="55"/>
      <c r="EC250" s="55"/>
      <c r="ED250" s="55"/>
      <c r="EE250" s="55"/>
      <c r="EF250" s="55"/>
      <c r="EG250" s="55"/>
      <c r="EH250" s="55"/>
      <c r="EI250" s="55"/>
      <c r="EJ250" s="55"/>
      <c r="EK250" s="55"/>
      <c r="EL250" s="55"/>
      <c r="EM250" s="55"/>
      <c r="EN250" s="55"/>
      <c r="EO250" s="55"/>
      <c r="EP250" s="55"/>
      <c r="EQ250" s="55"/>
      <c r="ER250" s="55"/>
      <c r="ES250" s="55"/>
      <c r="ET250" s="55"/>
      <c r="EU250" s="55"/>
      <c r="EV250" s="55"/>
      <c r="EW250" s="55"/>
      <c r="EX250" s="55"/>
      <c r="EY250" s="55"/>
      <c r="EZ250" s="55"/>
      <c r="FA250" s="55"/>
      <c r="FB250" s="55"/>
      <c r="FC250" s="55"/>
      <c r="FD250" s="55"/>
      <c r="FE250" s="55"/>
      <c r="FF250" s="55"/>
      <c r="FG250" s="55"/>
      <c r="FH250" s="55"/>
      <c r="FI250" s="55"/>
      <c r="FJ250" s="55"/>
      <c r="FK250" s="55"/>
      <c r="FL250" s="55"/>
      <c r="FM250" s="55"/>
      <c r="FN250" s="55"/>
      <c r="FO250" s="55"/>
      <c r="FP250" s="55"/>
      <c r="FQ250" s="55"/>
      <c r="FR250" s="55"/>
      <c r="FS250" s="55"/>
      <c r="FT250" s="55"/>
      <c r="FU250" s="55"/>
      <c r="FV250" s="55"/>
      <c r="FW250" s="55"/>
      <c r="FX250" s="55"/>
      <c r="FY250" s="55"/>
      <c r="FZ250" s="55"/>
      <c r="GA250" s="55"/>
      <c r="GB250" s="55"/>
      <c r="GC250" s="55"/>
      <c r="GD250" s="55"/>
      <c r="GE250" s="55"/>
      <c r="GF250" s="55"/>
      <c r="GG250" s="55"/>
      <c r="GH250" s="55"/>
      <c r="GI250" s="55"/>
      <c r="GJ250" s="55"/>
      <c r="GK250" s="55"/>
      <c r="GL250" s="55"/>
      <c r="GM250" s="55"/>
      <c r="GN250" s="55"/>
      <c r="GO250" s="55"/>
      <c r="GP250" s="55"/>
      <c r="GQ250" s="55"/>
      <c r="GR250" s="55"/>
      <c r="GS250" s="55"/>
      <c r="GT250" s="55"/>
      <c r="GU250" s="55"/>
      <c r="GV250" s="55"/>
      <c r="GW250" s="55"/>
      <c r="GX250" s="55"/>
      <c r="GY250" s="55"/>
      <c r="GZ250" s="55"/>
      <c r="HA250" s="55"/>
      <c r="HB250" s="55"/>
      <c r="HC250" s="55"/>
      <c r="HD250" s="55"/>
      <c r="HE250" s="55"/>
      <c r="HF250" s="55"/>
      <c r="HG250" s="55"/>
      <c r="HH250" s="55"/>
      <c r="HI250" s="55"/>
      <c r="HJ250" s="55"/>
      <c r="HK250" s="55"/>
      <c r="HL250" s="55"/>
      <c r="HM250" s="55"/>
      <c r="HN250" s="55"/>
      <c r="HO250" s="55"/>
      <c r="HP250" s="55"/>
      <c r="HQ250" s="55"/>
      <c r="HR250" s="55"/>
      <c r="HS250" s="55"/>
      <c r="HT250" s="55"/>
      <c r="HU250" s="55"/>
      <c r="HV250" s="55"/>
      <c r="HW250" s="55"/>
      <c r="HX250" s="55"/>
      <c r="HY250" s="55"/>
      <c r="HZ250" s="55"/>
      <c r="IA250" s="55"/>
      <c r="IB250" s="55"/>
      <c r="IC250" s="55"/>
      <c r="ID250" s="55"/>
    </row>
    <row r="251" s="52" customFormat="1" ht="36" customHeight="1" spans="1:238">
      <c r="A251" s="64"/>
      <c r="B251" s="64"/>
      <c r="C251" s="64"/>
      <c r="D251" s="65"/>
      <c r="E251" s="77"/>
      <c r="F251" s="77"/>
      <c r="G251" s="64"/>
      <c r="H251" s="42"/>
      <c r="I251" s="42"/>
      <c r="J251" s="83"/>
      <c r="K251" s="83"/>
      <c r="L251" s="83"/>
      <c r="M251" s="41"/>
      <c r="N251" s="41"/>
      <c r="O251" s="41"/>
      <c r="P251" s="64"/>
      <c r="Q251" s="64"/>
      <c r="R251" s="64"/>
      <c r="S251" s="83"/>
      <c r="T251" s="77"/>
      <c r="U251" s="105" t="s">
        <v>1031</v>
      </c>
      <c r="V251" s="105">
        <v>310300083</v>
      </c>
      <c r="W251" s="106" t="s">
        <v>1032</v>
      </c>
      <c r="X251" s="105"/>
      <c r="Y251" s="105"/>
      <c r="Z251" s="105" t="s">
        <v>36</v>
      </c>
      <c r="AA251" s="110" t="s">
        <v>35</v>
      </c>
      <c r="AB251" s="50"/>
      <c r="AC251" s="50"/>
      <c r="AD251" s="50"/>
      <c r="AE251" s="112"/>
      <c r="AF251" s="60"/>
      <c r="AG251" s="55"/>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55"/>
      <c r="BR251" s="55"/>
      <c r="BS251" s="55"/>
      <c r="BT251" s="55"/>
      <c r="BU251" s="55"/>
      <c r="BV251" s="55"/>
      <c r="BW251" s="55"/>
      <c r="BX251" s="55"/>
      <c r="BY251" s="55"/>
      <c r="BZ251" s="55"/>
      <c r="CA251" s="55"/>
      <c r="CB251" s="55"/>
      <c r="CC251" s="55"/>
      <c r="CD251" s="55"/>
      <c r="CE251" s="55"/>
      <c r="CF251" s="55"/>
      <c r="CG251" s="55"/>
      <c r="CH251" s="55"/>
      <c r="CI251" s="55"/>
      <c r="CJ251" s="55"/>
      <c r="CK251" s="55"/>
      <c r="CL251" s="55"/>
      <c r="CM251" s="55"/>
      <c r="CN251" s="55"/>
      <c r="CO251" s="55"/>
      <c r="CP251" s="55"/>
      <c r="CQ251" s="55"/>
      <c r="CR251" s="55"/>
      <c r="CS251" s="55"/>
      <c r="CT251" s="55"/>
      <c r="CU251" s="55"/>
      <c r="CV251" s="55"/>
      <c r="CW251" s="55"/>
      <c r="CX251" s="55"/>
      <c r="CY251" s="55"/>
      <c r="CZ251" s="55"/>
      <c r="DA251" s="55"/>
      <c r="DB251" s="55"/>
      <c r="DC251" s="55"/>
      <c r="DD251" s="55"/>
      <c r="DE251" s="55"/>
      <c r="DF251" s="55"/>
      <c r="DG251" s="55"/>
      <c r="DH251" s="55"/>
      <c r="DI251" s="55"/>
      <c r="DJ251" s="55"/>
      <c r="DK251" s="55"/>
      <c r="DL251" s="55"/>
      <c r="DM251" s="55"/>
      <c r="DN251" s="55"/>
      <c r="DO251" s="55"/>
      <c r="DP251" s="55"/>
      <c r="DQ251" s="55"/>
      <c r="DR251" s="55"/>
      <c r="DS251" s="55"/>
      <c r="DT251" s="55"/>
      <c r="DU251" s="55"/>
      <c r="DV251" s="55"/>
      <c r="DW251" s="55"/>
      <c r="DX251" s="55"/>
      <c r="DY251" s="55"/>
      <c r="DZ251" s="55"/>
      <c r="EA251" s="55"/>
      <c r="EB251" s="55"/>
      <c r="EC251" s="55"/>
      <c r="ED251" s="55"/>
      <c r="EE251" s="55"/>
      <c r="EF251" s="55"/>
      <c r="EG251" s="55"/>
      <c r="EH251" s="55"/>
      <c r="EI251" s="55"/>
      <c r="EJ251" s="55"/>
      <c r="EK251" s="55"/>
      <c r="EL251" s="55"/>
      <c r="EM251" s="55"/>
      <c r="EN251" s="55"/>
      <c r="EO251" s="55"/>
      <c r="EP251" s="55"/>
      <c r="EQ251" s="55"/>
      <c r="ER251" s="55"/>
      <c r="ES251" s="55"/>
      <c r="ET251" s="55"/>
      <c r="EU251" s="55"/>
      <c r="EV251" s="55"/>
      <c r="EW251" s="55"/>
      <c r="EX251" s="55"/>
      <c r="EY251" s="55"/>
      <c r="EZ251" s="55"/>
      <c r="FA251" s="55"/>
      <c r="FB251" s="55"/>
      <c r="FC251" s="55"/>
      <c r="FD251" s="55"/>
      <c r="FE251" s="55"/>
      <c r="FF251" s="55"/>
      <c r="FG251" s="55"/>
      <c r="FH251" s="55"/>
      <c r="FI251" s="55"/>
      <c r="FJ251" s="55"/>
      <c r="FK251" s="55"/>
      <c r="FL251" s="55"/>
      <c r="FM251" s="55"/>
      <c r="FN251" s="55"/>
      <c r="FO251" s="55"/>
      <c r="FP251" s="55"/>
      <c r="FQ251" s="55"/>
      <c r="FR251" s="55"/>
      <c r="FS251" s="55"/>
      <c r="FT251" s="55"/>
      <c r="FU251" s="55"/>
      <c r="FV251" s="55"/>
      <c r="FW251" s="55"/>
      <c r="FX251" s="55"/>
      <c r="FY251" s="55"/>
      <c r="FZ251" s="55"/>
      <c r="GA251" s="55"/>
      <c r="GB251" s="55"/>
      <c r="GC251" s="55"/>
      <c r="GD251" s="55"/>
      <c r="GE251" s="55"/>
      <c r="GF251" s="55"/>
      <c r="GG251" s="55"/>
      <c r="GH251" s="55"/>
      <c r="GI251" s="55"/>
      <c r="GJ251" s="55"/>
      <c r="GK251" s="55"/>
      <c r="GL251" s="55"/>
      <c r="GM251" s="55"/>
      <c r="GN251" s="55"/>
      <c r="GO251" s="55"/>
      <c r="GP251" s="55"/>
      <c r="GQ251" s="55"/>
      <c r="GR251" s="55"/>
      <c r="GS251" s="55"/>
      <c r="GT251" s="55"/>
      <c r="GU251" s="55"/>
      <c r="GV251" s="55"/>
      <c r="GW251" s="55"/>
      <c r="GX251" s="55"/>
      <c r="GY251" s="55"/>
      <c r="GZ251" s="55"/>
      <c r="HA251" s="55"/>
      <c r="HB251" s="55"/>
      <c r="HC251" s="55"/>
      <c r="HD251" s="55"/>
      <c r="HE251" s="55"/>
      <c r="HF251" s="55"/>
      <c r="HG251" s="55"/>
      <c r="HH251" s="55"/>
      <c r="HI251" s="55"/>
      <c r="HJ251" s="55"/>
      <c r="HK251" s="55"/>
      <c r="HL251" s="55"/>
      <c r="HM251" s="55"/>
      <c r="HN251" s="55"/>
      <c r="HO251" s="55"/>
      <c r="HP251" s="55"/>
      <c r="HQ251" s="55"/>
      <c r="HR251" s="55"/>
      <c r="HS251" s="55"/>
      <c r="HT251" s="55"/>
      <c r="HU251" s="55"/>
      <c r="HV251" s="55"/>
      <c r="HW251" s="55"/>
      <c r="HX251" s="55"/>
      <c r="HY251" s="55"/>
      <c r="HZ251" s="55"/>
      <c r="IA251" s="55"/>
      <c r="IB251" s="55"/>
      <c r="IC251" s="55"/>
      <c r="ID251" s="55"/>
    </row>
    <row r="252" s="52" customFormat="1" ht="32" customHeight="1" spans="1:238">
      <c r="A252" s="112" t="s">
        <v>95</v>
      </c>
      <c r="B252" s="112" t="s">
        <v>1033</v>
      </c>
      <c r="C252" s="64" t="s">
        <v>1034</v>
      </c>
      <c r="D252" s="65"/>
      <c r="E252" s="77"/>
      <c r="F252" s="77" t="s">
        <v>35</v>
      </c>
      <c r="G252" s="64" t="s">
        <v>110</v>
      </c>
      <c r="H252" s="78">
        <v>162</v>
      </c>
      <c r="I252" s="78">
        <v>146</v>
      </c>
      <c r="J252" s="83">
        <v>150</v>
      </c>
      <c r="K252" s="83">
        <v>145</v>
      </c>
      <c r="L252" s="83">
        <v>122</v>
      </c>
      <c r="M252" s="41">
        <v>150</v>
      </c>
      <c r="N252" s="41">
        <v>145</v>
      </c>
      <c r="O252" s="41">
        <v>120</v>
      </c>
      <c r="P252" s="64" t="s">
        <v>37</v>
      </c>
      <c r="Q252" s="64" t="s">
        <v>35</v>
      </c>
      <c r="R252" s="64" t="s">
        <v>348</v>
      </c>
      <c r="S252" s="83"/>
      <c r="T252" s="77" t="s">
        <v>186</v>
      </c>
      <c r="U252" s="105" t="s">
        <v>1035</v>
      </c>
      <c r="V252" s="105">
        <v>33040502101</v>
      </c>
      <c r="W252" s="106" t="s">
        <v>1036</v>
      </c>
      <c r="X252" s="105"/>
      <c r="Y252" s="105"/>
      <c r="Z252" s="105" t="s">
        <v>36</v>
      </c>
      <c r="AA252" s="110" t="s">
        <v>35</v>
      </c>
      <c r="AB252" s="50">
        <v>650</v>
      </c>
      <c r="AC252" s="50">
        <v>625</v>
      </c>
      <c r="AD252" s="50">
        <v>530</v>
      </c>
      <c r="AE252" s="112" t="s">
        <v>37</v>
      </c>
      <c r="AF252" s="60"/>
      <c r="AG252" s="55"/>
      <c r="AH252" s="55"/>
      <c r="AI252" s="55"/>
      <c r="AJ252" s="55"/>
      <c r="AK252" s="55"/>
      <c r="AL252" s="55"/>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c r="BM252" s="55"/>
      <c r="BN252" s="55"/>
      <c r="BO252" s="55"/>
      <c r="BP252" s="55"/>
      <c r="BQ252" s="55"/>
      <c r="BR252" s="55"/>
      <c r="BS252" s="55"/>
      <c r="BT252" s="55"/>
      <c r="BU252" s="55"/>
      <c r="BV252" s="55"/>
      <c r="BW252" s="55"/>
      <c r="BX252" s="55"/>
      <c r="BY252" s="55"/>
      <c r="BZ252" s="55"/>
      <c r="CA252" s="55"/>
      <c r="CB252" s="55"/>
      <c r="CC252" s="55"/>
      <c r="CD252" s="55"/>
      <c r="CE252" s="55"/>
      <c r="CF252" s="55"/>
      <c r="CG252" s="55"/>
      <c r="CH252" s="55"/>
      <c r="CI252" s="55"/>
      <c r="CJ252" s="55"/>
      <c r="CK252" s="55"/>
      <c r="CL252" s="55"/>
      <c r="CM252" s="55"/>
      <c r="CN252" s="55"/>
      <c r="CO252" s="55"/>
      <c r="CP252" s="55"/>
      <c r="CQ252" s="55"/>
      <c r="CR252" s="55"/>
      <c r="CS252" s="55"/>
      <c r="CT252" s="55"/>
      <c r="CU252" s="55"/>
      <c r="CV252" s="55"/>
      <c r="CW252" s="55"/>
      <c r="CX252" s="55"/>
      <c r="CY252" s="55"/>
      <c r="CZ252" s="55"/>
      <c r="DA252" s="55"/>
      <c r="DB252" s="55"/>
      <c r="DC252" s="55"/>
      <c r="DD252" s="55"/>
      <c r="DE252" s="55"/>
      <c r="DF252" s="55"/>
      <c r="DG252" s="55"/>
      <c r="DH252" s="55"/>
      <c r="DI252" s="55"/>
      <c r="DJ252" s="55"/>
      <c r="DK252" s="55"/>
      <c r="DL252" s="55"/>
      <c r="DM252" s="55"/>
      <c r="DN252" s="55"/>
      <c r="DO252" s="55"/>
      <c r="DP252" s="55"/>
      <c r="DQ252" s="55"/>
      <c r="DR252" s="55"/>
      <c r="DS252" s="55"/>
      <c r="DT252" s="55"/>
      <c r="DU252" s="55"/>
      <c r="DV252" s="55"/>
      <c r="DW252" s="55"/>
      <c r="DX252" s="55"/>
      <c r="DY252" s="55"/>
      <c r="DZ252" s="55"/>
      <c r="EA252" s="55"/>
      <c r="EB252" s="55"/>
      <c r="EC252" s="55"/>
      <c r="ED252" s="55"/>
      <c r="EE252" s="55"/>
      <c r="EF252" s="55"/>
      <c r="EG252" s="55"/>
      <c r="EH252" s="55"/>
      <c r="EI252" s="55"/>
      <c r="EJ252" s="55"/>
      <c r="EK252" s="55"/>
      <c r="EL252" s="55"/>
      <c r="EM252" s="55"/>
      <c r="EN252" s="55"/>
      <c r="EO252" s="55"/>
      <c r="EP252" s="55"/>
      <c r="EQ252" s="55"/>
      <c r="ER252" s="55"/>
      <c r="ES252" s="55"/>
      <c r="ET252" s="55"/>
      <c r="EU252" s="55"/>
      <c r="EV252" s="55"/>
      <c r="EW252" s="55"/>
      <c r="EX252" s="55"/>
      <c r="EY252" s="55"/>
      <c r="EZ252" s="55"/>
      <c r="FA252" s="55"/>
      <c r="FB252" s="55"/>
      <c r="FC252" s="55"/>
      <c r="FD252" s="55"/>
      <c r="FE252" s="55"/>
      <c r="FF252" s="55"/>
      <c r="FG252" s="55"/>
      <c r="FH252" s="55"/>
      <c r="FI252" s="55"/>
      <c r="FJ252" s="55"/>
      <c r="FK252" s="55"/>
      <c r="FL252" s="55"/>
      <c r="FM252" s="55"/>
      <c r="FN252" s="55"/>
      <c r="FO252" s="55"/>
      <c r="FP252" s="55"/>
      <c r="FQ252" s="55"/>
      <c r="FR252" s="55"/>
      <c r="FS252" s="55"/>
      <c r="FT252" s="55"/>
      <c r="FU252" s="55"/>
      <c r="FV252" s="55"/>
      <c r="FW252" s="55"/>
      <c r="FX252" s="55"/>
      <c r="FY252" s="55"/>
      <c r="FZ252" s="55"/>
      <c r="GA252" s="55"/>
      <c r="GB252" s="55"/>
      <c r="GC252" s="55"/>
      <c r="GD252" s="55"/>
      <c r="GE252" s="55"/>
      <c r="GF252" s="55"/>
      <c r="GG252" s="55"/>
      <c r="GH252" s="55"/>
      <c r="GI252" s="55"/>
      <c r="GJ252" s="55"/>
      <c r="GK252" s="55"/>
      <c r="GL252" s="55"/>
      <c r="GM252" s="55"/>
      <c r="GN252" s="55"/>
      <c r="GO252" s="55"/>
      <c r="GP252" s="55"/>
      <c r="GQ252" s="55"/>
      <c r="GR252" s="55"/>
      <c r="GS252" s="55"/>
      <c r="GT252" s="55"/>
      <c r="GU252" s="55"/>
      <c r="GV252" s="55"/>
      <c r="GW252" s="55"/>
      <c r="GX252" s="55"/>
      <c r="GY252" s="55"/>
      <c r="GZ252" s="55"/>
      <c r="HA252" s="55"/>
      <c r="HB252" s="55"/>
      <c r="HC252" s="55"/>
      <c r="HD252" s="55"/>
      <c r="HE252" s="55"/>
      <c r="HF252" s="55"/>
      <c r="HG252" s="55"/>
      <c r="HH252" s="55"/>
      <c r="HI252" s="55"/>
      <c r="HJ252" s="55"/>
      <c r="HK252" s="55"/>
      <c r="HL252" s="55"/>
      <c r="HM252" s="55"/>
      <c r="HN252" s="55"/>
      <c r="HO252" s="55"/>
      <c r="HP252" s="55"/>
      <c r="HQ252" s="55"/>
      <c r="HR252" s="55"/>
      <c r="HS252" s="55"/>
      <c r="HT252" s="55"/>
      <c r="HU252" s="55"/>
      <c r="HV252" s="55"/>
      <c r="HW252" s="55"/>
      <c r="HX252" s="55"/>
      <c r="HY252" s="55"/>
      <c r="HZ252" s="55"/>
      <c r="IA252" s="55"/>
      <c r="IB252" s="55"/>
      <c r="IC252" s="55"/>
      <c r="ID252" s="55"/>
    </row>
    <row r="253" s="52" customFormat="1" ht="32" customHeight="1" spans="1:238">
      <c r="A253" s="112" t="s">
        <v>95</v>
      </c>
      <c r="B253" s="112" t="s">
        <v>1037</v>
      </c>
      <c r="C253" s="64" t="s">
        <v>1038</v>
      </c>
      <c r="D253" s="65"/>
      <c r="E253" s="77"/>
      <c r="F253" s="77" t="s">
        <v>35</v>
      </c>
      <c r="G253" s="64" t="s">
        <v>110</v>
      </c>
      <c r="H253" s="78">
        <v>540</v>
      </c>
      <c r="I253" s="78">
        <v>486</v>
      </c>
      <c r="J253" s="83"/>
      <c r="K253" s="83"/>
      <c r="L253" s="83"/>
      <c r="M253" s="41">
        <v>500</v>
      </c>
      <c r="N253" s="41">
        <v>480</v>
      </c>
      <c r="O253" s="41">
        <v>408</v>
      </c>
      <c r="P253" s="64" t="s">
        <v>37</v>
      </c>
      <c r="Q253" s="64" t="s">
        <v>35</v>
      </c>
      <c r="R253" s="64" t="s">
        <v>348</v>
      </c>
      <c r="S253" s="83"/>
      <c r="T253" s="77"/>
      <c r="U253" s="105"/>
      <c r="V253" s="105"/>
      <c r="W253" s="106"/>
      <c r="X253" s="105"/>
      <c r="Y253" s="105"/>
      <c r="Z253" s="105"/>
      <c r="AA253" s="110"/>
      <c r="AB253" s="50"/>
      <c r="AC253" s="50"/>
      <c r="AD253" s="50"/>
      <c r="AE253" s="112"/>
      <c r="AF253" s="60"/>
      <c r="AG253" s="55"/>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55"/>
      <c r="BR253" s="55"/>
      <c r="BS253" s="55"/>
      <c r="BT253" s="55"/>
      <c r="BU253" s="55"/>
      <c r="BV253" s="55"/>
      <c r="BW253" s="55"/>
      <c r="BX253" s="55"/>
      <c r="BY253" s="55"/>
      <c r="BZ253" s="55"/>
      <c r="CA253" s="55"/>
      <c r="CB253" s="55"/>
      <c r="CC253" s="55"/>
      <c r="CD253" s="55"/>
      <c r="CE253" s="55"/>
      <c r="CF253" s="55"/>
      <c r="CG253" s="55"/>
      <c r="CH253" s="55"/>
      <c r="CI253" s="55"/>
      <c r="CJ253" s="55"/>
      <c r="CK253" s="55"/>
      <c r="CL253" s="55"/>
      <c r="CM253" s="55"/>
      <c r="CN253" s="55"/>
      <c r="CO253" s="55"/>
      <c r="CP253" s="55"/>
      <c r="CQ253" s="55"/>
      <c r="CR253" s="55"/>
      <c r="CS253" s="55"/>
      <c r="CT253" s="55"/>
      <c r="CU253" s="55"/>
      <c r="CV253" s="55"/>
      <c r="CW253" s="55"/>
      <c r="CX253" s="55"/>
      <c r="CY253" s="55"/>
      <c r="CZ253" s="55"/>
      <c r="DA253" s="55"/>
      <c r="DB253" s="55"/>
      <c r="DC253" s="55"/>
      <c r="DD253" s="55"/>
      <c r="DE253" s="55"/>
      <c r="DF253" s="55"/>
      <c r="DG253" s="55"/>
      <c r="DH253" s="55"/>
      <c r="DI253" s="55"/>
      <c r="DJ253" s="55"/>
      <c r="DK253" s="55"/>
      <c r="DL253" s="55"/>
      <c r="DM253" s="55"/>
      <c r="DN253" s="55"/>
      <c r="DO253" s="55"/>
      <c r="DP253" s="55"/>
      <c r="DQ253" s="55"/>
      <c r="DR253" s="55"/>
      <c r="DS253" s="55"/>
      <c r="DT253" s="55"/>
      <c r="DU253" s="55"/>
      <c r="DV253" s="55"/>
      <c r="DW253" s="55"/>
      <c r="DX253" s="55"/>
      <c r="DY253" s="55"/>
      <c r="DZ253" s="55"/>
      <c r="EA253" s="55"/>
      <c r="EB253" s="55"/>
      <c r="EC253" s="55"/>
      <c r="ED253" s="55"/>
      <c r="EE253" s="55"/>
      <c r="EF253" s="55"/>
      <c r="EG253" s="55"/>
      <c r="EH253" s="55"/>
      <c r="EI253" s="55"/>
      <c r="EJ253" s="55"/>
      <c r="EK253" s="55"/>
      <c r="EL253" s="55"/>
      <c r="EM253" s="55"/>
      <c r="EN253" s="55"/>
      <c r="EO253" s="55"/>
      <c r="EP253" s="55"/>
      <c r="EQ253" s="55"/>
      <c r="ER253" s="55"/>
      <c r="ES253" s="55"/>
      <c r="ET253" s="55"/>
      <c r="EU253" s="55"/>
      <c r="EV253" s="55"/>
      <c r="EW253" s="55"/>
      <c r="EX253" s="55"/>
      <c r="EY253" s="55"/>
      <c r="EZ253" s="55"/>
      <c r="FA253" s="55"/>
      <c r="FB253" s="55"/>
      <c r="FC253" s="55"/>
      <c r="FD253" s="55"/>
      <c r="FE253" s="55"/>
      <c r="FF253" s="55"/>
      <c r="FG253" s="55"/>
      <c r="FH253" s="55"/>
      <c r="FI253" s="55"/>
      <c r="FJ253" s="55"/>
      <c r="FK253" s="55"/>
      <c r="FL253" s="55"/>
      <c r="FM253" s="55"/>
      <c r="FN253" s="55"/>
      <c r="FO253" s="55"/>
      <c r="FP253" s="55"/>
      <c r="FQ253" s="55"/>
      <c r="FR253" s="55"/>
      <c r="FS253" s="55"/>
      <c r="FT253" s="55"/>
      <c r="FU253" s="55"/>
      <c r="FV253" s="55"/>
      <c r="FW253" s="55"/>
      <c r="FX253" s="55"/>
      <c r="FY253" s="55"/>
      <c r="FZ253" s="55"/>
      <c r="GA253" s="55"/>
      <c r="GB253" s="55"/>
      <c r="GC253" s="55"/>
      <c r="GD253" s="55"/>
      <c r="GE253" s="55"/>
      <c r="GF253" s="55"/>
      <c r="GG253" s="55"/>
      <c r="GH253" s="55"/>
      <c r="GI253" s="55"/>
      <c r="GJ253" s="55"/>
      <c r="GK253" s="55"/>
      <c r="GL253" s="55"/>
      <c r="GM253" s="55"/>
      <c r="GN253" s="55"/>
      <c r="GO253" s="55"/>
      <c r="GP253" s="55"/>
      <c r="GQ253" s="55"/>
      <c r="GR253" s="55"/>
      <c r="GS253" s="55"/>
      <c r="GT253" s="55"/>
      <c r="GU253" s="55"/>
      <c r="GV253" s="55"/>
      <c r="GW253" s="55"/>
      <c r="GX253" s="55"/>
      <c r="GY253" s="55"/>
      <c r="GZ253" s="55"/>
      <c r="HA253" s="55"/>
      <c r="HB253" s="55"/>
      <c r="HC253" s="55"/>
      <c r="HD253" s="55"/>
      <c r="HE253" s="55"/>
      <c r="HF253" s="55"/>
      <c r="HG253" s="55"/>
      <c r="HH253" s="55"/>
      <c r="HI253" s="55"/>
      <c r="HJ253" s="55"/>
      <c r="HK253" s="55"/>
      <c r="HL253" s="55"/>
      <c r="HM253" s="55"/>
      <c r="HN253" s="55"/>
      <c r="HO253" s="55"/>
      <c r="HP253" s="55"/>
      <c r="HQ253" s="55"/>
      <c r="HR253" s="55"/>
      <c r="HS253" s="55"/>
      <c r="HT253" s="55"/>
      <c r="HU253" s="55"/>
      <c r="HV253" s="55"/>
      <c r="HW253" s="55"/>
      <c r="HX253" s="55"/>
      <c r="HY253" s="55"/>
      <c r="HZ253" s="55"/>
      <c r="IA253" s="55"/>
      <c r="IB253" s="55"/>
      <c r="IC253" s="55"/>
      <c r="ID253" s="55"/>
    </row>
    <row r="254" s="55" customFormat="1" ht="62" customHeight="1" spans="1:32">
      <c r="A254" s="112">
        <v>75</v>
      </c>
      <c r="B254" s="112" t="s">
        <v>1039</v>
      </c>
      <c r="C254" s="64" t="s">
        <v>1040</v>
      </c>
      <c r="D254" s="65" t="s">
        <v>1041</v>
      </c>
      <c r="E254" s="77" t="s">
        <v>1042</v>
      </c>
      <c r="F254" s="77" t="s">
        <v>35</v>
      </c>
      <c r="G254" s="64" t="s">
        <v>110</v>
      </c>
      <c r="H254" s="78">
        <v>1540</v>
      </c>
      <c r="I254" s="78">
        <v>1386</v>
      </c>
      <c r="J254" s="83">
        <v>1350</v>
      </c>
      <c r="K254" s="83">
        <v>1220</v>
      </c>
      <c r="L254" s="83">
        <v>1040</v>
      </c>
      <c r="M254" s="41">
        <v>1350</v>
      </c>
      <c r="N254" s="41">
        <v>1220</v>
      </c>
      <c r="O254" s="41">
        <v>1040</v>
      </c>
      <c r="P254" s="64" t="s">
        <v>37</v>
      </c>
      <c r="Q254" s="64" t="s">
        <v>35</v>
      </c>
      <c r="R254" s="64" t="s">
        <v>35</v>
      </c>
      <c r="S254" s="83" t="s">
        <v>381</v>
      </c>
      <c r="T254" s="77" t="s">
        <v>381</v>
      </c>
      <c r="U254" s="105" t="s">
        <v>1043</v>
      </c>
      <c r="V254" s="105">
        <v>330407012</v>
      </c>
      <c r="W254" s="106" t="s">
        <v>1044</v>
      </c>
      <c r="X254" s="105" t="s">
        <v>1045</v>
      </c>
      <c r="Y254" s="105" t="s">
        <v>930</v>
      </c>
      <c r="Z254" s="105" t="s">
        <v>36</v>
      </c>
      <c r="AA254" s="110" t="s">
        <v>35</v>
      </c>
      <c r="AB254" s="50">
        <v>1350</v>
      </c>
      <c r="AC254" s="50">
        <v>1220</v>
      </c>
      <c r="AD254" s="50">
        <v>1040</v>
      </c>
      <c r="AE254" s="112" t="s">
        <v>37</v>
      </c>
      <c r="AF254" s="60"/>
    </row>
    <row r="255" s="55" customFormat="1" ht="38" customHeight="1" spans="1:32">
      <c r="A255" s="112" t="s">
        <v>95</v>
      </c>
      <c r="B255" s="112" t="s">
        <v>1046</v>
      </c>
      <c r="C255" s="64" t="s">
        <v>1047</v>
      </c>
      <c r="D255" s="65"/>
      <c r="E255" s="77"/>
      <c r="F255" s="77" t="s">
        <v>35</v>
      </c>
      <c r="G255" s="64" t="s">
        <v>110</v>
      </c>
      <c r="H255" s="78">
        <v>462</v>
      </c>
      <c r="I255" s="78">
        <v>416</v>
      </c>
      <c r="J255" s="83">
        <v>405</v>
      </c>
      <c r="K255" s="83">
        <v>365</v>
      </c>
      <c r="L255" s="83">
        <v>305</v>
      </c>
      <c r="M255" s="41">
        <v>405</v>
      </c>
      <c r="N255" s="41">
        <v>365</v>
      </c>
      <c r="O255" s="94">
        <v>310</v>
      </c>
      <c r="P255" s="64" t="s">
        <v>37</v>
      </c>
      <c r="Q255" s="64" t="s">
        <v>35</v>
      </c>
      <c r="R255" s="64" t="s">
        <v>35</v>
      </c>
      <c r="S255" s="83"/>
      <c r="T255" s="77" t="s">
        <v>186</v>
      </c>
      <c r="U255" s="105" t="s">
        <v>1048</v>
      </c>
      <c r="V255" s="105">
        <v>33040701201</v>
      </c>
      <c r="W255" s="106" t="s">
        <v>1049</v>
      </c>
      <c r="X255" s="105"/>
      <c r="Y255" s="105"/>
      <c r="Z255" s="105" t="s">
        <v>36</v>
      </c>
      <c r="AA255" s="110" t="s">
        <v>35</v>
      </c>
      <c r="AB255" s="50">
        <v>1755</v>
      </c>
      <c r="AC255" s="50">
        <v>1585</v>
      </c>
      <c r="AD255" s="50">
        <v>1345</v>
      </c>
      <c r="AE255" s="112" t="s">
        <v>37</v>
      </c>
      <c r="AF255" s="60"/>
    </row>
    <row r="256" s="52" customFormat="1" ht="61" customHeight="1" spans="1:238">
      <c r="A256" s="112">
        <v>76</v>
      </c>
      <c r="B256" s="112" t="s">
        <v>1050</v>
      </c>
      <c r="C256" s="64" t="s">
        <v>1051</v>
      </c>
      <c r="D256" s="65" t="s">
        <v>1052</v>
      </c>
      <c r="E256" s="77" t="s">
        <v>1053</v>
      </c>
      <c r="F256" s="77" t="s">
        <v>35</v>
      </c>
      <c r="G256" s="64" t="s">
        <v>110</v>
      </c>
      <c r="H256" s="78">
        <v>962</v>
      </c>
      <c r="I256" s="78">
        <v>866</v>
      </c>
      <c r="J256" s="152"/>
      <c r="K256" s="83"/>
      <c r="L256" s="83"/>
      <c r="M256" s="41">
        <v>870</v>
      </c>
      <c r="N256" s="41">
        <v>785</v>
      </c>
      <c r="O256" s="41">
        <v>670</v>
      </c>
      <c r="P256" s="64" t="s">
        <v>37</v>
      </c>
      <c r="Q256" s="64" t="s">
        <v>35</v>
      </c>
      <c r="R256" s="64" t="s">
        <v>35</v>
      </c>
      <c r="S256" s="83" t="s">
        <v>400</v>
      </c>
      <c r="T256" s="77" t="s">
        <v>648</v>
      </c>
      <c r="U256" s="112"/>
      <c r="V256" s="112"/>
      <c r="W256" s="112"/>
      <c r="X256" s="64"/>
      <c r="Y256" s="112"/>
      <c r="Z256" s="112"/>
      <c r="AA256" s="110"/>
      <c r="AB256" s="50"/>
      <c r="AC256" s="50"/>
      <c r="AD256" s="50"/>
      <c r="AE256" s="112"/>
      <c r="AF256" s="60"/>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55"/>
      <c r="BR256" s="55"/>
      <c r="BS256" s="55"/>
      <c r="BT256" s="55"/>
      <c r="BU256" s="55"/>
      <c r="BV256" s="55"/>
      <c r="BW256" s="55"/>
      <c r="BX256" s="55"/>
      <c r="BY256" s="55"/>
      <c r="BZ256" s="55"/>
      <c r="CA256" s="55"/>
      <c r="CB256" s="55"/>
      <c r="CC256" s="55"/>
      <c r="CD256" s="55"/>
      <c r="CE256" s="55"/>
      <c r="CF256" s="55"/>
      <c r="CG256" s="55"/>
      <c r="CH256" s="55"/>
      <c r="CI256" s="55"/>
      <c r="CJ256" s="55"/>
      <c r="CK256" s="55"/>
      <c r="CL256" s="55"/>
      <c r="CM256" s="55"/>
      <c r="CN256" s="55"/>
      <c r="CO256" s="55"/>
      <c r="CP256" s="55"/>
      <c r="CQ256" s="55"/>
      <c r="CR256" s="55"/>
      <c r="CS256" s="55"/>
      <c r="CT256" s="55"/>
      <c r="CU256" s="55"/>
      <c r="CV256" s="55"/>
      <c r="CW256" s="55"/>
      <c r="CX256" s="55"/>
      <c r="CY256" s="55"/>
      <c r="CZ256" s="55"/>
      <c r="DA256" s="55"/>
      <c r="DB256" s="55"/>
      <c r="DC256" s="55"/>
      <c r="DD256" s="55"/>
      <c r="DE256" s="55"/>
      <c r="DF256" s="55"/>
      <c r="DG256" s="55"/>
      <c r="DH256" s="55"/>
      <c r="DI256" s="55"/>
      <c r="DJ256" s="55"/>
      <c r="DK256" s="55"/>
      <c r="DL256" s="55"/>
      <c r="DM256" s="55"/>
      <c r="DN256" s="55"/>
      <c r="DO256" s="55"/>
      <c r="DP256" s="55"/>
      <c r="DQ256" s="55"/>
      <c r="DR256" s="55"/>
      <c r="DS256" s="55"/>
      <c r="DT256" s="55"/>
      <c r="DU256" s="55"/>
      <c r="DV256" s="55"/>
      <c r="DW256" s="55"/>
      <c r="DX256" s="55"/>
      <c r="DY256" s="55"/>
      <c r="DZ256" s="55"/>
      <c r="EA256" s="55"/>
      <c r="EB256" s="55"/>
      <c r="EC256" s="55"/>
      <c r="ED256" s="55"/>
      <c r="EE256" s="55"/>
      <c r="EF256" s="55"/>
      <c r="EG256" s="55"/>
      <c r="EH256" s="55"/>
      <c r="EI256" s="55"/>
      <c r="EJ256" s="55"/>
      <c r="EK256" s="55"/>
      <c r="EL256" s="55"/>
      <c r="EM256" s="55"/>
      <c r="EN256" s="55"/>
      <c r="EO256" s="55"/>
      <c r="EP256" s="55"/>
      <c r="EQ256" s="55"/>
      <c r="ER256" s="55"/>
      <c r="ES256" s="55"/>
      <c r="ET256" s="55"/>
      <c r="EU256" s="55"/>
      <c r="EV256" s="55"/>
      <c r="EW256" s="55"/>
      <c r="EX256" s="55"/>
      <c r="EY256" s="55"/>
      <c r="EZ256" s="55"/>
      <c r="FA256" s="55"/>
      <c r="FB256" s="55"/>
      <c r="FC256" s="55"/>
      <c r="FD256" s="55"/>
      <c r="FE256" s="55"/>
      <c r="FF256" s="55"/>
      <c r="FG256" s="55"/>
      <c r="FH256" s="55"/>
      <c r="FI256" s="55"/>
      <c r="FJ256" s="55"/>
      <c r="FK256" s="55"/>
      <c r="FL256" s="55"/>
      <c r="FM256" s="55"/>
      <c r="FN256" s="55"/>
      <c r="FO256" s="55"/>
      <c r="FP256" s="55"/>
      <c r="FQ256" s="55"/>
      <c r="FR256" s="55"/>
      <c r="FS256" s="55"/>
      <c r="FT256" s="55"/>
      <c r="FU256" s="55"/>
      <c r="FV256" s="55"/>
      <c r="FW256" s="55"/>
      <c r="FX256" s="55"/>
      <c r="FY256" s="55"/>
      <c r="FZ256" s="55"/>
      <c r="GA256" s="55"/>
      <c r="GB256" s="55"/>
      <c r="GC256" s="55"/>
      <c r="GD256" s="55"/>
      <c r="GE256" s="55"/>
      <c r="GF256" s="55"/>
      <c r="GG256" s="55"/>
      <c r="GH256" s="55"/>
      <c r="GI256" s="55"/>
      <c r="GJ256" s="55"/>
      <c r="GK256" s="55"/>
      <c r="GL256" s="55"/>
      <c r="GM256" s="55"/>
      <c r="GN256" s="55"/>
      <c r="GO256" s="55"/>
      <c r="GP256" s="55"/>
      <c r="GQ256" s="55"/>
      <c r="GR256" s="55"/>
      <c r="GS256" s="55"/>
      <c r="GT256" s="55"/>
      <c r="GU256" s="55"/>
      <c r="GV256" s="55"/>
      <c r="GW256" s="55"/>
      <c r="GX256" s="55"/>
      <c r="GY256" s="55"/>
      <c r="GZ256" s="55"/>
      <c r="HA256" s="55"/>
      <c r="HB256" s="55"/>
      <c r="HC256" s="55"/>
      <c r="HD256" s="55"/>
      <c r="HE256" s="55"/>
      <c r="HF256" s="55"/>
      <c r="HG256" s="55"/>
      <c r="HH256" s="55"/>
      <c r="HI256" s="55"/>
      <c r="HJ256" s="55"/>
      <c r="HK256" s="55"/>
      <c r="HL256" s="55"/>
      <c r="HM256" s="55"/>
      <c r="HN256" s="55"/>
      <c r="HO256" s="55"/>
      <c r="HP256" s="55"/>
      <c r="HQ256" s="55"/>
      <c r="HR256" s="55"/>
      <c r="HS256" s="55"/>
      <c r="HT256" s="55"/>
      <c r="HU256" s="55"/>
      <c r="HV256" s="55"/>
      <c r="HW256" s="55"/>
      <c r="HX256" s="55"/>
      <c r="HY256" s="55"/>
      <c r="HZ256" s="55"/>
      <c r="IA256" s="55"/>
      <c r="IB256" s="55"/>
      <c r="IC256" s="55"/>
      <c r="ID256" s="55"/>
    </row>
    <row r="257" s="52" customFormat="1" ht="40" customHeight="1" spans="1:238">
      <c r="A257" s="112" t="s">
        <v>95</v>
      </c>
      <c r="B257" s="112" t="s">
        <v>1054</v>
      </c>
      <c r="C257" s="64" t="s">
        <v>1055</v>
      </c>
      <c r="D257" s="65"/>
      <c r="E257" s="77"/>
      <c r="F257" s="77" t="s">
        <v>35</v>
      </c>
      <c r="G257" s="64" t="s">
        <v>110</v>
      </c>
      <c r="H257" s="78">
        <v>289</v>
      </c>
      <c r="I257" s="78">
        <v>260</v>
      </c>
      <c r="J257" s="83"/>
      <c r="K257" s="83"/>
      <c r="L257" s="83"/>
      <c r="M257" s="41">
        <v>260</v>
      </c>
      <c r="N257" s="41">
        <v>235</v>
      </c>
      <c r="O257" s="41">
        <v>200</v>
      </c>
      <c r="P257" s="64" t="s">
        <v>37</v>
      </c>
      <c r="Q257" s="64" t="s">
        <v>35</v>
      </c>
      <c r="R257" s="64" t="s">
        <v>35</v>
      </c>
      <c r="S257" s="83"/>
      <c r="T257" s="77" t="s">
        <v>186</v>
      </c>
      <c r="U257" s="112"/>
      <c r="V257" s="112"/>
      <c r="W257" s="112"/>
      <c r="X257" s="64"/>
      <c r="Y257" s="112"/>
      <c r="Z257" s="112"/>
      <c r="AA257" s="110"/>
      <c r="AB257" s="50"/>
      <c r="AC257" s="50"/>
      <c r="AD257" s="50"/>
      <c r="AE257" s="112"/>
      <c r="AF257" s="60"/>
      <c r="AG257" s="55"/>
      <c r="AH257" s="55"/>
      <c r="AI257" s="55"/>
      <c r="AJ257" s="55"/>
      <c r="AK257" s="55"/>
      <c r="AL257" s="55"/>
      <c r="AM257" s="55"/>
      <c r="AN257" s="55"/>
      <c r="AO257" s="55"/>
      <c r="AP257" s="55"/>
      <c r="AQ257" s="55"/>
      <c r="AR257" s="55"/>
      <c r="AS257" s="55"/>
      <c r="AT257" s="55"/>
      <c r="AU257" s="55"/>
      <c r="AV257" s="55"/>
      <c r="AW257" s="55"/>
      <c r="AX257" s="55"/>
      <c r="AY257" s="55"/>
      <c r="AZ257" s="55"/>
      <c r="BA257" s="55"/>
      <c r="BB257" s="55"/>
      <c r="BC257" s="55"/>
      <c r="BD257" s="55"/>
      <c r="BE257" s="55"/>
      <c r="BF257" s="55"/>
      <c r="BG257" s="55"/>
      <c r="BH257" s="55"/>
      <c r="BI257" s="55"/>
      <c r="BJ257" s="55"/>
      <c r="BK257" s="55"/>
      <c r="BL257" s="55"/>
      <c r="BM257" s="55"/>
      <c r="BN257" s="55"/>
      <c r="BO257" s="55"/>
      <c r="BP257" s="55"/>
      <c r="BQ257" s="55"/>
      <c r="BR257" s="55"/>
      <c r="BS257" s="55"/>
      <c r="BT257" s="55"/>
      <c r="BU257" s="55"/>
      <c r="BV257" s="55"/>
      <c r="BW257" s="55"/>
      <c r="BX257" s="55"/>
      <c r="BY257" s="55"/>
      <c r="BZ257" s="55"/>
      <c r="CA257" s="55"/>
      <c r="CB257" s="55"/>
      <c r="CC257" s="55"/>
      <c r="CD257" s="55"/>
      <c r="CE257" s="55"/>
      <c r="CF257" s="55"/>
      <c r="CG257" s="55"/>
      <c r="CH257" s="55"/>
      <c r="CI257" s="55"/>
      <c r="CJ257" s="55"/>
      <c r="CK257" s="55"/>
      <c r="CL257" s="55"/>
      <c r="CM257" s="55"/>
      <c r="CN257" s="55"/>
      <c r="CO257" s="55"/>
      <c r="CP257" s="55"/>
      <c r="CQ257" s="55"/>
      <c r="CR257" s="55"/>
      <c r="CS257" s="55"/>
      <c r="CT257" s="55"/>
      <c r="CU257" s="55"/>
      <c r="CV257" s="55"/>
      <c r="CW257" s="55"/>
      <c r="CX257" s="55"/>
      <c r="CY257" s="55"/>
      <c r="CZ257" s="55"/>
      <c r="DA257" s="55"/>
      <c r="DB257" s="55"/>
      <c r="DC257" s="55"/>
      <c r="DD257" s="55"/>
      <c r="DE257" s="55"/>
      <c r="DF257" s="55"/>
      <c r="DG257" s="55"/>
      <c r="DH257" s="55"/>
      <c r="DI257" s="55"/>
      <c r="DJ257" s="55"/>
      <c r="DK257" s="55"/>
      <c r="DL257" s="55"/>
      <c r="DM257" s="55"/>
      <c r="DN257" s="55"/>
      <c r="DO257" s="55"/>
      <c r="DP257" s="55"/>
      <c r="DQ257" s="55"/>
      <c r="DR257" s="55"/>
      <c r="DS257" s="55"/>
      <c r="DT257" s="55"/>
      <c r="DU257" s="55"/>
      <c r="DV257" s="55"/>
      <c r="DW257" s="55"/>
      <c r="DX257" s="55"/>
      <c r="DY257" s="55"/>
      <c r="DZ257" s="55"/>
      <c r="EA257" s="55"/>
      <c r="EB257" s="55"/>
      <c r="EC257" s="55"/>
      <c r="ED257" s="55"/>
      <c r="EE257" s="55"/>
      <c r="EF257" s="55"/>
      <c r="EG257" s="55"/>
      <c r="EH257" s="55"/>
      <c r="EI257" s="55"/>
      <c r="EJ257" s="55"/>
      <c r="EK257" s="55"/>
      <c r="EL257" s="55"/>
      <c r="EM257" s="55"/>
      <c r="EN257" s="55"/>
      <c r="EO257" s="55"/>
      <c r="EP257" s="55"/>
      <c r="EQ257" s="55"/>
      <c r="ER257" s="55"/>
      <c r="ES257" s="55"/>
      <c r="ET257" s="55"/>
      <c r="EU257" s="55"/>
      <c r="EV257" s="55"/>
      <c r="EW257" s="55"/>
      <c r="EX257" s="55"/>
      <c r="EY257" s="55"/>
      <c r="EZ257" s="55"/>
      <c r="FA257" s="55"/>
      <c r="FB257" s="55"/>
      <c r="FC257" s="55"/>
      <c r="FD257" s="55"/>
      <c r="FE257" s="55"/>
      <c r="FF257" s="55"/>
      <c r="FG257" s="55"/>
      <c r="FH257" s="55"/>
      <c r="FI257" s="55"/>
      <c r="FJ257" s="55"/>
      <c r="FK257" s="55"/>
      <c r="FL257" s="55"/>
      <c r="FM257" s="55"/>
      <c r="FN257" s="55"/>
      <c r="FO257" s="55"/>
      <c r="FP257" s="55"/>
      <c r="FQ257" s="55"/>
      <c r="FR257" s="55"/>
      <c r="FS257" s="55"/>
      <c r="FT257" s="55"/>
      <c r="FU257" s="55"/>
      <c r="FV257" s="55"/>
      <c r="FW257" s="55"/>
      <c r="FX257" s="55"/>
      <c r="FY257" s="55"/>
      <c r="FZ257" s="55"/>
      <c r="GA257" s="55"/>
      <c r="GB257" s="55"/>
      <c r="GC257" s="55"/>
      <c r="GD257" s="55"/>
      <c r="GE257" s="55"/>
      <c r="GF257" s="55"/>
      <c r="GG257" s="55"/>
      <c r="GH257" s="55"/>
      <c r="GI257" s="55"/>
      <c r="GJ257" s="55"/>
      <c r="GK257" s="55"/>
      <c r="GL257" s="55"/>
      <c r="GM257" s="55"/>
      <c r="GN257" s="55"/>
      <c r="GO257" s="55"/>
      <c r="GP257" s="55"/>
      <c r="GQ257" s="55"/>
      <c r="GR257" s="55"/>
      <c r="GS257" s="55"/>
      <c r="GT257" s="55"/>
      <c r="GU257" s="55"/>
      <c r="GV257" s="55"/>
      <c r="GW257" s="55"/>
      <c r="GX257" s="55"/>
      <c r="GY257" s="55"/>
      <c r="GZ257" s="55"/>
      <c r="HA257" s="55"/>
      <c r="HB257" s="55"/>
      <c r="HC257" s="55"/>
      <c r="HD257" s="55"/>
      <c r="HE257" s="55"/>
      <c r="HF257" s="55"/>
      <c r="HG257" s="55"/>
      <c r="HH257" s="55"/>
      <c r="HI257" s="55"/>
      <c r="HJ257" s="55"/>
      <c r="HK257" s="55"/>
      <c r="HL257" s="55"/>
      <c r="HM257" s="55"/>
      <c r="HN257" s="55"/>
      <c r="HO257" s="55"/>
      <c r="HP257" s="55"/>
      <c r="HQ257" s="55"/>
      <c r="HR257" s="55"/>
      <c r="HS257" s="55"/>
      <c r="HT257" s="55"/>
      <c r="HU257" s="55"/>
      <c r="HV257" s="55"/>
      <c r="HW257" s="55"/>
      <c r="HX257" s="55"/>
      <c r="HY257" s="55"/>
      <c r="HZ257" s="55"/>
      <c r="IA257" s="55"/>
      <c r="IB257" s="55"/>
      <c r="IC257" s="55"/>
      <c r="ID257" s="55"/>
    </row>
    <row r="258" s="52" customFormat="1" ht="75" customHeight="1" spans="1:238">
      <c r="A258" s="112">
        <v>77</v>
      </c>
      <c r="B258" s="112" t="s">
        <v>1056</v>
      </c>
      <c r="C258" s="64" t="s">
        <v>1057</v>
      </c>
      <c r="D258" s="65" t="s">
        <v>1058</v>
      </c>
      <c r="E258" s="77" t="s">
        <v>1059</v>
      </c>
      <c r="F258" s="77" t="s">
        <v>1060</v>
      </c>
      <c r="G258" s="64" t="s">
        <v>110</v>
      </c>
      <c r="H258" s="78">
        <v>1012</v>
      </c>
      <c r="I258" s="78">
        <v>911</v>
      </c>
      <c r="J258" s="83"/>
      <c r="K258" s="83"/>
      <c r="L258" s="83"/>
      <c r="M258" s="41">
        <v>915</v>
      </c>
      <c r="N258" s="41">
        <v>825</v>
      </c>
      <c r="O258" s="41">
        <v>700</v>
      </c>
      <c r="P258" s="64" t="s">
        <v>621</v>
      </c>
      <c r="Q258" s="64" t="s">
        <v>35</v>
      </c>
      <c r="R258" s="64" t="s">
        <v>35</v>
      </c>
      <c r="S258" s="83" t="s">
        <v>400</v>
      </c>
      <c r="T258" s="77" t="s">
        <v>648</v>
      </c>
      <c r="U258" s="112"/>
      <c r="V258" s="112"/>
      <c r="W258" s="112"/>
      <c r="X258" s="64"/>
      <c r="Y258" s="112"/>
      <c r="Z258" s="112"/>
      <c r="AA258" s="110"/>
      <c r="AB258" s="50"/>
      <c r="AC258" s="50"/>
      <c r="AD258" s="50"/>
      <c r="AE258" s="112"/>
      <c r="AF258" s="60"/>
      <c r="AG258" s="55"/>
      <c r="AH258" s="55"/>
      <c r="AI258" s="55"/>
      <c r="AJ258" s="55"/>
      <c r="AK258" s="55"/>
      <c r="AL258" s="55"/>
      <c r="AM258" s="55"/>
      <c r="AN258" s="55"/>
      <c r="AO258" s="55"/>
      <c r="AP258" s="55"/>
      <c r="AQ258" s="55"/>
      <c r="AR258" s="55"/>
      <c r="AS258" s="55"/>
      <c r="AT258" s="55"/>
      <c r="AU258" s="55"/>
      <c r="AV258" s="55"/>
      <c r="AW258" s="55"/>
      <c r="AX258" s="55"/>
      <c r="AY258" s="55"/>
      <c r="AZ258" s="55"/>
      <c r="BA258" s="55"/>
      <c r="BB258" s="55"/>
      <c r="BC258" s="55"/>
      <c r="BD258" s="55"/>
      <c r="BE258" s="55"/>
      <c r="BF258" s="55"/>
      <c r="BG258" s="55"/>
      <c r="BH258" s="55"/>
      <c r="BI258" s="55"/>
      <c r="BJ258" s="55"/>
      <c r="BK258" s="55"/>
      <c r="BL258" s="55"/>
      <c r="BM258" s="55"/>
      <c r="BN258" s="55"/>
      <c r="BO258" s="55"/>
      <c r="BP258" s="55"/>
      <c r="BQ258" s="55"/>
      <c r="BR258" s="55"/>
      <c r="BS258" s="55"/>
      <c r="BT258" s="55"/>
      <c r="BU258" s="55"/>
      <c r="BV258" s="55"/>
      <c r="BW258" s="55"/>
      <c r="BX258" s="55"/>
      <c r="BY258" s="55"/>
      <c r="BZ258" s="55"/>
      <c r="CA258" s="55"/>
      <c r="CB258" s="55"/>
      <c r="CC258" s="55"/>
      <c r="CD258" s="55"/>
      <c r="CE258" s="55"/>
      <c r="CF258" s="55"/>
      <c r="CG258" s="55"/>
      <c r="CH258" s="55"/>
      <c r="CI258" s="55"/>
      <c r="CJ258" s="55"/>
      <c r="CK258" s="55"/>
      <c r="CL258" s="55"/>
      <c r="CM258" s="55"/>
      <c r="CN258" s="55"/>
      <c r="CO258" s="55"/>
      <c r="CP258" s="55"/>
      <c r="CQ258" s="55"/>
      <c r="CR258" s="55"/>
      <c r="CS258" s="55"/>
      <c r="CT258" s="55"/>
      <c r="CU258" s="55"/>
      <c r="CV258" s="55"/>
      <c r="CW258" s="55"/>
      <c r="CX258" s="55"/>
      <c r="CY258" s="55"/>
      <c r="CZ258" s="55"/>
      <c r="DA258" s="55"/>
      <c r="DB258" s="55"/>
      <c r="DC258" s="55"/>
      <c r="DD258" s="55"/>
      <c r="DE258" s="55"/>
      <c r="DF258" s="55"/>
      <c r="DG258" s="55"/>
      <c r="DH258" s="55"/>
      <c r="DI258" s="55"/>
      <c r="DJ258" s="55"/>
      <c r="DK258" s="55"/>
      <c r="DL258" s="55"/>
      <c r="DM258" s="55"/>
      <c r="DN258" s="55"/>
      <c r="DO258" s="55"/>
      <c r="DP258" s="55"/>
      <c r="DQ258" s="55"/>
      <c r="DR258" s="55"/>
      <c r="DS258" s="55"/>
      <c r="DT258" s="55"/>
      <c r="DU258" s="55"/>
      <c r="DV258" s="55"/>
      <c r="DW258" s="55"/>
      <c r="DX258" s="55"/>
      <c r="DY258" s="55"/>
      <c r="DZ258" s="55"/>
      <c r="EA258" s="55"/>
      <c r="EB258" s="55"/>
      <c r="EC258" s="55"/>
      <c r="ED258" s="55"/>
      <c r="EE258" s="55"/>
      <c r="EF258" s="55"/>
      <c r="EG258" s="55"/>
      <c r="EH258" s="55"/>
      <c r="EI258" s="55"/>
      <c r="EJ258" s="55"/>
      <c r="EK258" s="55"/>
      <c r="EL258" s="55"/>
      <c r="EM258" s="55"/>
      <c r="EN258" s="55"/>
      <c r="EO258" s="55"/>
      <c r="EP258" s="55"/>
      <c r="EQ258" s="55"/>
      <c r="ER258" s="55"/>
      <c r="ES258" s="55"/>
      <c r="ET258" s="55"/>
      <c r="EU258" s="55"/>
      <c r="EV258" s="55"/>
      <c r="EW258" s="55"/>
      <c r="EX258" s="55"/>
      <c r="EY258" s="55"/>
      <c r="EZ258" s="55"/>
      <c r="FA258" s="55"/>
      <c r="FB258" s="55"/>
      <c r="FC258" s="55"/>
      <c r="FD258" s="55"/>
      <c r="FE258" s="55"/>
      <c r="FF258" s="55"/>
      <c r="FG258" s="55"/>
      <c r="FH258" s="55"/>
      <c r="FI258" s="55"/>
      <c r="FJ258" s="55"/>
      <c r="FK258" s="55"/>
      <c r="FL258" s="55"/>
      <c r="FM258" s="55"/>
      <c r="FN258" s="55"/>
      <c r="FO258" s="55"/>
      <c r="FP258" s="55"/>
      <c r="FQ258" s="55"/>
      <c r="FR258" s="55"/>
      <c r="FS258" s="55"/>
      <c r="FT258" s="55"/>
      <c r="FU258" s="55"/>
      <c r="FV258" s="55"/>
      <c r="FW258" s="55"/>
      <c r="FX258" s="55"/>
      <c r="FY258" s="55"/>
      <c r="FZ258" s="55"/>
      <c r="GA258" s="55"/>
      <c r="GB258" s="55"/>
      <c r="GC258" s="55"/>
      <c r="GD258" s="55"/>
      <c r="GE258" s="55"/>
      <c r="GF258" s="55"/>
      <c r="GG258" s="55"/>
      <c r="GH258" s="55"/>
      <c r="GI258" s="55"/>
      <c r="GJ258" s="55"/>
      <c r="GK258" s="55"/>
      <c r="GL258" s="55"/>
      <c r="GM258" s="55"/>
      <c r="GN258" s="55"/>
      <c r="GO258" s="55"/>
      <c r="GP258" s="55"/>
      <c r="GQ258" s="55"/>
      <c r="GR258" s="55"/>
      <c r="GS258" s="55"/>
      <c r="GT258" s="55"/>
      <c r="GU258" s="55"/>
      <c r="GV258" s="55"/>
      <c r="GW258" s="55"/>
      <c r="GX258" s="55"/>
      <c r="GY258" s="55"/>
      <c r="GZ258" s="55"/>
      <c r="HA258" s="55"/>
      <c r="HB258" s="55"/>
      <c r="HC258" s="55"/>
      <c r="HD258" s="55"/>
      <c r="HE258" s="55"/>
      <c r="HF258" s="55"/>
      <c r="HG258" s="55"/>
      <c r="HH258" s="55"/>
      <c r="HI258" s="55"/>
      <c r="HJ258" s="55"/>
      <c r="HK258" s="55"/>
      <c r="HL258" s="55"/>
      <c r="HM258" s="55"/>
      <c r="HN258" s="55"/>
      <c r="HO258" s="55"/>
      <c r="HP258" s="55"/>
      <c r="HQ258" s="55"/>
      <c r="HR258" s="55"/>
      <c r="HS258" s="55"/>
      <c r="HT258" s="55"/>
      <c r="HU258" s="55"/>
      <c r="HV258" s="55"/>
      <c r="HW258" s="55"/>
      <c r="HX258" s="55"/>
      <c r="HY258" s="55"/>
      <c r="HZ258" s="55"/>
      <c r="IA258" s="55"/>
      <c r="IB258" s="55"/>
      <c r="IC258" s="55"/>
      <c r="ID258" s="55"/>
    </row>
    <row r="259" s="52" customFormat="1" ht="32" customHeight="1" spans="1:238">
      <c r="A259" s="112" t="s">
        <v>95</v>
      </c>
      <c r="B259" s="112" t="s">
        <v>1061</v>
      </c>
      <c r="C259" s="64" t="s">
        <v>1062</v>
      </c>
      <c r="D259" s="65"/>
      <c r="E259" s="77"/>
      <c r="F259" s="77" t="s">
        <v>35</v>
      </c>
      <c r="G259" s="64" t="s">
        <v>110</v>
      </c>
      <c r="H259" s="78">
        <v>304</v>
      </c>
      <c r="I259" s="78">
        <v>273</v>
      </c>
      <c r="J259" s="83"/>
      <c r="K259" s="83"/>
      <c r="L259" s="83"/>
      <c r="M259" s="41">
        <v>275</v>
      </c>
      <c r="N259" s="41">
        <v>250</v>
      </c>
      <c r="O259" s="41">
        <v>210</v>
      </c>
      <c r="P259" s="64" t="s">
        <v>621</v>
      </c>
      <c r="Q259" s="64" t="s">
        <v>35</v>
      </c>
      <c r="R259" s="64" t="s">
        <v>35</v>
      </c>
      <c r="S259" s="83"/>
      <c r="T259" s="77" t="s">
        <v>186</v>
      </c>
      <c r="U259" s="112"/>
      <c r="V259" s="112"/>
      <c r="W259" s="112"/>
      <c r="X259" s="64"/>
      <c r="Y259" s="112"/>
      <c r="Z259" s="112"/>
      <c r="AA259" s="110"/>
      <c r="AB259" s="50"/>
      <c r="AC259" s="50"/>
      <c r="AD259" s="50"/>
      <c r="AE259" s="112"/>
      <c r="AF259" s="60"/>
      <c r="AG259" s="55"/>
      <c r="AH259" s="55"/>
      <c r="AI259" s="55"/>
      <c r="AJ259" s="55"/>
      <c r="AK259" s="55"/>
      <c r="AL259" s="55"/>
      <c r="AM259" s="55"/>
      <c r="AN259" s="55"/>
      <c r="AO259" s="55"/>
      <c r="AP259" s="55"/>
      <c r="AQ259" s="55"/>
      <c r="AR259" s="55"/>
      <c r="AS259" s="55"/>
      <c r="AT259" s="55"/>
      <c r="AU259" s="55"/>
      <c r="AV259" s="55"/>
      <c r="AW259" s="55"/>
      <c r="AX259" s="55"/>
      <c r="AY259" s="55"/>
      <c r="AZ259" s="55"/>
      <c r="BA259" s="55"/>
      <c r="BB259" s="55"/>
      <c r="BC259" s="55"/>
      <c r="BD259" s="55"/>
      <c r="BE259" s="55"/>
      <c r="BF259" s="55"/>
      <c r="BG259" s="55"/>
      <c r="BH259" s="55"/>
      <c r="BI259" s="55"/>
      <c r="BJ259" s="55"/>
      <c r="BK259" s="55"/>
      <c r="BL259" s="55"/>
      <c r="BM259" s="55"/>
      <c r="BN259" s="55"/>
      <c r="BO259" s="55"/>
      <c r="BP259" s="55"/>
      <c r="BQ259" s="55"/>
      <c r="BR259" s="55"/>
      <c r="BS259" s="55"/>
      <c r="BT259" s="55"/>
      <c r="BU259" s="55"/>
      <c r="BV259" s="55"/>
      <c r="BW259" s="55"/>
      <c r="BX259" s="55"/>
      <c r="BY259" s="55"/>
      <c r="BZ259" s="55"/>
      <c r="CA259" s="55"/>
      <c r="CB259" s="55"/>
      <c r="CC259" s="55"/>
      <c r="CD259" s="55"/>
      <c r="CE259" s="55"/>
      <c r="CF259" s="55"/>
      <c r="CG259" s="55"/>
      <c r="CH259" s="55"/>
      <c r="CI259" s="55"/>
      <c r="CJ259" s="55"/>
      <c r="CK259" s="55"/>
      <c r="CL259" s="55"/>
      <c r="CM259" s="55"/>
      <c r="CN259" s="55"/>
      <c r="CO259" s="55"/>
      <c r="CP259" s="55"/>
      <c r="CQ259" s="55"/>
      <c r="CR259" s="55"/>
      <c r="CS259" s="55"/>
      <c r="CT259" s="55"/>
      <c r="CU259" s="55"/>
      <c r="CV259" s="55"/>
      <c r="CW259" s="55"/>
      <c r="CX259" s="55"/>
      <c r="CY259" s="55"/>
      <c r="CZ259" s="55"/>
      <c r="DA259" s="55"/>
      <c r="DB259" s="55"/>
      <c r="DC259" s="55"/>
      <c r="DD259" s="55"/>
      <c r="DE259" s="55"/>
      <c r="DF259" s="55"/>
      <c r="DG259" s="55"/>
      <c r="DH259" s="55"/>
      <c r="DI259" s="55"/>
      <c r="DJ259" s="55"/>
      <c r="DK259" s="55"/>
      <c r="DL259" s="55"/>
      <c r="DM259" s="55"/>
      <c r="DN259" s="55"/>
      <c r="DO259" s="55"/>
      <c r="DP259" s="55"/>
      <c r="DQ259" s="55"/>
      <c r="DR259" s="55"/>
      <c r="DS259" s="55"/>
      <c r="DT259" s="55"/>
      <c r="DU259" s="55"/>
      <c r="DV259" s="55"/>
      <c r="DW259" s="55"/>
      <c r="DX259" s="55"/>
      <c r="DY259" s="55"/>
      <c r="DZ259" s="55"/>
      <c r="EA259" s="55"/>
      <c r="EB259" s="55"/>
      <c r="EC259" s="55"/>
      <c r="ED259" s="55"/>
      <c r="EE259" s="55"/>
      <c r="EF259" s="55"/>
      <c r="EG259" s="55"/>
      <c r="EH259" s="55"/>
      <c r="EI259" s="55"/>
      <c r="EJ259" s="55"/>
      <c r="EK259" s="55"/>
      <c r="EL259" s="55"/>
      <c r="EM259" s="55"/>
      <c r="EN259" s="55"/>
      <c r="EO259" s="55"/>
      <c r="EP259" s="55"/>
      <c r="EQ259" s="55"/>
      <c r="ER259" s="55"/>
      <c r="ES259" s="55"/>
      <c r="ET259" s="55"/>
      <c r="EU259" s="55"/>
      <c r="EV259" s="55"/>
      <c r="EW259" s="55"/>
      <c r="EX259" s="55"/>
      <c r="EY259" s="55"/>
      <c r="EZ259" s="55"/>
      <c r="FA259" s="55"/>
      <c r="FB259" s="55"/>
      <c r="FC259" s="55"/>
      <c r="FD259" s="55"/>
      <c r="FE259" s="55"/>
      <c r="FF259" s="55"/>
      <c r="FG259" s="55"/>
      <c r="FH259" s="55"/>
      <c r="FI259" s="55"/>
      <c r="FJ259" s="55"/>
      <c r="FK259" s="55"/>
      <c r="FL259" s="55"/>
      <c r="FM259" s="55"/>
      <c r="FN259" s="55"/>
      <c r="FO259" s="55"/>
      <c r="FP259" s="55"/>
      <c r="FQ259" s="55"/>
      <c r="FR259" s="55"/>
      <c r="FS259" s="55"/>
      <c r="FT259" s="55"/>
      <c r="FU259" s="55"/>
      <c r="FV259" s="55"/>
      <c r="FW259" s="55"/>
      <c r="FX259" s="55"/>
      <c r="FY259" s="55"/>
      <c r="FZ259" s="55"/>
      <c r="GA259" s="55"/>
      <c r="GB259" s="55"/>
      <c r="GC259" s="55"/>
      <c r="GD259" s="55"/>
      <c r="GE259" s="55"/>
      <c r="GF259" s="55"/>
      <c r="GG259" s="55"/>
      <c r="GH259" s="55"/>
      <c r="GI259" s="55"/>
      <c r="GJ259" s="55"/>
      <c r="GK259" s="55"/>
      <c r="GL259" s="55"/>
      <c r="GM259" s="55"/>
      <c r="GN259" s="55"/>
      <c r="GO259" s="55"/>
      <c r="GP259" s="55"/>
      <c r="GQ259" s="55"/>
      <c r="GR259" s="55"/>
      <c r="GS259" s="55"/>
      <c r="GT259" s="55"/>
      <c r="GU259" s="55"/>
      <c r="GV259" s="55"/>
      <c r="GW259" s="55"/>
      <c r="GX259" s="55"/>
      <c r="GY259" s="55"/>
      <c r="GZ259" s="55"/>
      <c r="HA259" s="55"/>
      <c r="HB259" s="55"/>
      <c r="HC259" s="55"/>
      <c r="HD259" s="55"/>
      <c r="HE259" s="55"/>
      <c r="HF259" s="55"/>
      <c r="HG259" s="55"/>
      <c r="HH259" s="55"/>
      <c r="HI259" s="55"/>
      <c r="HJ259" s="55"/>
      <c r="HK259" s="55"/>
      <c r="HL259" s="55"/>
      <c r="HM259" s="55"/>
      <c r="HN259" s="55"/>
      <c r="HO259" s="55"/>
      <c r="HP259" s="55"/>
      <c r="HQ259" s="55"/>
      <c r="HR259" s="55"/>
      <c r="HS259" s="55"/>
      <c r="HT259" s="55"/>
      <c r="HU259" s="55"/>
      <c r="HV259" s="55"/>
      <c r="HW259" s="55"/>
      <c r="HX259" s="55"/>
      <c r="HY259" s="55"/>
      <c r="HZ259" s="55"/>
      <c r="IA259" s="55"/>
      <c r="IB259" s="55"/>
      <c r="IC259" s="55"/>
      <c r="ID259" s="55"/>
    </row>
    <row r="260" s="52" customFormat="1" ht="32" customHeight="1" spans="1:238">
      <c r="A260" s="112" t="s">
        <v>95</v>
      </c>
      <c r="B260" s="112" t="s">
        <v>1063</v>
      </c>
      <c r="C260" s="64" t="s">
        <v>1064</v>
      </c>
      <c r="D260" s="65"/>
      <c r="E260" s="77"/>
      <c r="F260" s="77" t="s">
        <v>35</v>
      </c>
      <c r="G260" s="64" t="s">
        <v>110</v>
      </c>
      <c r="H260" s="78">
        <v>1012</v>
      </c>
      <c r="I260" s="78">
        <v>911</v>
      </c>
      <c r="J260" s="83"/>
      <c r="K260" s="83"/>
      <c r="L260" s="83"/>
      <c r="M260" s="41">
        <v>915</v>
      </c>
      <c r="N260" s="41">
        <v>825</v>
      </c>
      <c r="O260" s="41">
        <v>700</v>
      </c>
      <c r="P260" s="64" t="s">
        <v>621</v>
      </c>
      <c r="Q260" s="64" t="s">
        <v>35</v>
      </c>
      <c r="R260" s="64" t="s">
        <v>35</v>
      </c>
      <c r="S260" s="83"/>
      <c r="T260" s="77"/>
      <c r="U260" s="112"/>
      <c r="V260" s="112"/>
      <c r="W260" s="112"/>
      <c r="X260" s="64"/>
      <c r="Y260" s="112"/>
      <c r="Z260" s="112"/>
      <c r="AA260" s="110"/>
      <c r="AB260" s="50"/>
      <c r="AC260" s="50"/>
      <c r="AD260" s="50"/>
      <c r="AE260" s="112"/>
      <c r="AF260" s="60"/>
      <c r="AG260" s="55"/>
      <c r="AH260" s="55"/>
      <c r="AI260" s="55"/>
      <c r="AJ260" s="55"/>
      <c r="AK260" s="55"/>
      <c r="AL260" s="55"/>
      <c r="AM260" s="55"/>
      <c r="AN260" s="55"/>
      <c r="AO260" s="55"/>
      <c r="AP260" s="55"/>
      <c r="AQ260" s="55"/>
      <c r="AR260" s="55"/>
      <c r="AS260" s="55"/>
      <c r="AT260" s="55"/>
      <c r="AU260" s="55"/>
      <c r="AV260" s="55"/>
      <c r="AW260" s="55"/>
      <c r="AX260" s="55"/>
      <c r="AY260" s="55"/>
      <c r="AZ260" s="55"/>
      <c r="BA260" s="55"/>
      <c r="BB260" s="55"/>
      <c r="BC260" s="55"/>
      <c r="BD260" s="55"/>
      <c r="BE260" s="55"/>
      <c r="BF260" s="55"/>
      <c r="BG260" s="55"/>
      <c r="BH260" s="55"/>
      <c r="BI260" s="55"/>
      <c r="BJ260" s="55"/>
      <c r="BK260" s="55"/>
      <c r="BL260" s="55"/>
      <c r="BM260" s="55"/>
      <c r="BN260" s="55"/>
      <c r="BO260" s="55"/>
      <c r="BP260" s="55"/>
      <c r="BQ260" s="55"/>
      <c r="BR260" s="55"/>
      <c r="BS260" s="55"/>
      <c r="BT260" s="55"/>
      <c r="BU260" s="55"/>
      <c r="BV260" s="55"/>
      <c r="BW260" s="55"/>
      <c r="BX260" s="55"/>
      <c r="BY260" s="55"/>
      <c r="BZ260" s="55"/>
      <c r="CA260" s="55"/>
      <c r="CB260" s="55"/>
      <c r="CC260" s="55"/>
      <c r="CD260" s="55"/>
      <c r="CE260" s="55"/>
      <c r="CF260" s="55"/>
      <c r="CG260" s="55"/>
      <c r="CH260" s="55"/>
      <c r="CI260" s="55"/>
      <c r="CJ260" s="55"/>
      <c r="CK260" s="55"/>
      <c r="CL260" s="55"/>
      <c r="CM260" s="55"/>
      <c r="CN260" s="55"/>
      <c r="CO260" s="55"/>
      <c r="CP260" s="55"/>
      <c r="CQ260" s="55"/>
      <c r="CR260" s="55"/>
      <c r="CS260" s="55"/>
      <c r="CT260" s="55"/>
      <c r="CU260" s="55"/>
      <c r="CV260" s="55"/>
      <c r="CW260" s="55"/>
      <c r="CX260" s="55"/>
      <c r="CY260" s="55"/>
      <c r="CZ260" s="55"/>
      <c r="DA260" s="55"/>
      <c r="DB260" s="55"/>
      <c r="DC260" s="55"/>
      <c r="DD260" s="55"/>
      <c r="DE260" s="55"/>
      <c r="DF260" s="55"/>
      <c r="DG260" s="55"/>
      <c r="DH260" s="55"/>
      <c r="DI260" s="55"/>
      <c r="DJ260" s="55"/>
      <c r="DK260" s="55"/>
      <c r="DL260" s="55"/>
      <c r="DM260" s="55"/>
      <c r="DN260" s="55"/>
      <c r="DO260" s="55"/>
      <c r="DP260" s="55"/>
      <c r="DQ260" s="55"/>
      <c r="DR260" s="55"/>
      <c r="DS260" s="55"/>
      <c r="DT260" s="55"/>
      <c r="DU260" s="55"/>
      <c r="DV260" s="55"/>
      <c r="DW260" s="55"/>
      <c r="DX260" s="55"/>
      <c r="DY260" s="55"/>
      <c r="DZ260" s="55"/>
      <c r="EA260" s="55"/>
      <c r="EB260" s="55"/>
      <c r="EC260" s="55"/>
      <c r="ED260" s="55"/>
      <c r="EE260" s="55"/>
      <c r="EF260" s="55"/>
      <c r="EG260" s="55"/>
      <c r="EH260" s="55"/>
      <c r="EI260" s="55"/>
      <c r="EJ260" s="55"/>
      <c r="EK260" s="55"/>
      <c r="EL260" s="55"/>
      <c r="EM260" s="55"/>
      <c r="EN260" s="55"/>
      <c r="EO260" s="55"/>
      <c r="EP260" s="55"/>
      <c r="EQ260" s="55"/>
      <c r="ER260" s="55"/>
      <c r="ES260" s="55"/>
      <c r="ET260" s="55"/>
      <c r="EU260" s="55"/>
      <c r="EV260" s="55"/>
      <c r="EW260" s="55"/>
      <c r="EX260" s="55"/>
      <c r="EY260" s="55"/>
      <c r="EZ260" s="55"/>
      <c r="FA260" s="55"/>
      <c r="FB260" s="55"/>
      <c r="FC260" s="55"/>
      <c r="FD260" s="55"/>
      <c r="FE260" s="55"/>
      <c r="FF260" s="55"/>
      <c r="FG260" s="55"/>
      <c r="FH260" s="55"/>
      <c r="FI260" s="55"/>
      <c r="FJ260" s="55"/>
      <c r="FK260" s="55"/>
      <c r="FL260" s="55"/>
      <c r="FM260" s="55"/>
      <c r="FN260" s="55"/>
      <c r="FO260" s="55"/>
      <c r="FP260" s="55"/>
      <c r="FQ260" s="55"/>
      <c r="FR260" s="55"/>
      <c r="FS260" s="55"/>
      <c r="FT260" s="55"/>
      <c r="FU260" s="55"/>
      <c r="FV260" s="55"/>
      <c r="FW260" s="55"/>
      <c r="FX260" s="55"/>
      <c r="FY260" s="55"/>
      <c r="FZ260" s="55"/>
      <c r="GA260" s="55"/>
      <c r="GB260" s="55"/>
      <c r="GC260" s="55"/>
      <c r="GD260" s="55"/>
      <c r="GE260" s="55"/>
      <c r="GF260" s="55"/>
      <c r="GG260" s="55"/>
      <c r="GH260" s="55"/>
      <c r="GI260" s="55"/>
      <c r="GJ260" s="55"/>
      <c r="GK260" s="55"/>
      <c r="GL260" s="55"/>
      <c r="GM260" s="55"/>
      <c r="GN260" s="55"/>
      <c r="GO260" s="55"/>
      <c r="GP260" s="55"/>
      <c r="GQ260" s="55"/>
      <c r="GR260" s="55"/>
      <c r="GS260" s="55"/>
      <c r="GT260" s="55"/>
      <c r="GU260" s="55"/>
      <c r="GV260" s="55"/>
      <c r="GW260" s="55"/>
      <c r="GX260" s="55"/>
      <c r="GY260" s="55"/>
      <c r="GZ260" s="55"/>
      <c r="HA260" s="55"/>
      <c r="HB260" s="55"/>
      <c r="HC260" s="55"/>
      <c r="HD260" s="55"/>
      <c r="HE260" s="55"/>
      <c r="HF260" s="55"/>
      <c r="HG260" s="55"/>
      <c r="HH260" s="55"/>
      <c r="HI260" s="55"/>
      <c r="HJ260" s="55"/>
      <c r="HK260" s="55"/>
      <c r="HL260" s="55"/>
      <c r="HM260" s="55"/>
      <c r="HN260" s="55"/>
      <c r="HO260" s="55"/>
      <c r="HP260" s="55"/>
      <c r="HQ260" s="55"/>
      <c r="HR260" s="55"/>
      <c r="HS260" s="55"/>
      <c r="HT260" s="55"/>
      <c r="HU260" s="55"/>
      <c r="HV260" s="55"/>
      <c r="HW260" s="55"/>
      <c r="HX260" s="55"/>
      <c r="HY260" s="55"/>
      <c r="HZ260" s="55"/>
      <c r="IA260" s="55"/>
      <c r="IB260" s="55"/>
      <c r="IC260" s="55"/>
      <c r="ID260" s="55"/>
    </row>
    <row r="261" s="52" customFormat="1" ht="42" customHeight="1" spans="1:238">
      <c r="A261" s="112">
        <v>78</v>
      </c>
      <c r="B261" s="112" t="s">
        <v>1065</v>
      </c>
      <c r="C261" s="64" t="s">
        <v>1066</v>
      </c>
      <c r="D261" s="65" t="s">
        <v>1067</v>
      </c>
      <c r="E261" s="77" t="s">
        <v>1068</v>
      </c>
      <c r="F261" s="77" t="s">
        <v>1069</v>
      </c>
      <c r="G261" s="64" t="s">
        <v>110</v>
      </c>
      <c r="H261" s="78">
        <v>945</v>
      </c>
      <c r="I261" s="78">
        <v>851</v>
      </c>
      <c r="J261" s="83">
        <v>875</v>
      </c>
      <c r="K261" s="83">
        <v>840</v>
      </c>
      <c r="L261" s="83"/>
      <c r="M261" s="41">
        <v>875</v>
      </c>
      <c r="N261" s="41">
        <v>840</v>
      </c>
      <c r="O261" s="41">
        <v>714</v>
      </c>
      <c r="P261" s="64" t="s">
        <v>37</v>
      </c>
      <c r="Q261" s="64" t="s">
        <v>35</v>
      </c>
      <c r="R261" s="64" t="s">
        <v>35</v>
      </c>
      <c r="S261" s="83" t="s">
        <v>381</v>
      </c>
      <c r="T261" s="77" t="s">
        <v>1070</v>
      </c>
      <c r="U261" s="105" t="s">
        <v>1071</v>
      </c>
      <c r="V261" s="105">
        <v>330405003</v>
      </c>
      <c r="W261" s="106" t="s">
        <v>1072</v>
      </c>
      <c r="X261" s="105"/>
      <c r="Y261" s="105"/>
      <c r="Z261" s="105" t="s">
        <v>36</v>
      </c>
      <c r="AA261" s="110" t="s">
        <v>35</v>
      </c>
      <c r="AB261" s="50">
        <v>875</v>
      </c>
      <c r="AC261" s="50">
        <v>840</v>
      </c>
      <c r="AD261" s="50">
        <v>714</v>
      </c>
      <c r="AE261" s="112" t="s">
        <v>37</v>
      </c>
      <c r="AF261" s="60"/>
      <c r="AG261" s="55"/>
      <c r="AH261" s="55"/>
      <c r="AI261" s="55"/>
      <c r="AJ261" s="55"/>
      <c r="AK261" s="55"/>
      <c r="AL261" s="55"/>
      <c r="AM261" s="55"/>
      <c r="AN261" s="55"/>
      <c r="AO261" s="55"/>
      <c r="AP261" s="55"/>
      <c r="AQ261" s="55"/>
      <c r="AR261" s="55"/>
      <c r="AS261" s="55"/>
      <c r="AT261" s="55"/>
      <c r="AU261" s="55"/>
      <c r="AV261" s="55"/>
      <c r="AW261" s="55"/>
      <c r="AX261" s="55"/>
      <c r="AY261" s="55"/>
      <c r="AZ261" s="55"/>
      <c r="BA261" s="55"/>
      <c r="BB261" s="55"/>
      <c r="BC261" s="55"/>
      <c r="BD261" s="55"/>
      <c r="BE261" s="55"/>
      <c r="BF261" s="55"/>
      <c r="BG261" s="55"/>
      <c r="BH261" s="55"/>
      <c r="BI261" s="55"/>
      <c r="BJ261" s="55"/>
      <c r="BK261" s="55"/>
      <c r="BL261" s="55"/>
      <c r="BM261" s="55"/>
      <c r="BN261" s="55"/>
      <c r="BO261" s="55"/>
      <c r="BP261" s="55"/>
      <c r="BQ261" s="55"/>
      <c r="BR261" s="55"/>
      <c r="BS261" s="55"/>
      <c r="BT261" s="55"/>
      <c r="BU261" s="55"/>
      <c r="BV261" s="55"/>
      <c r="BW261" s="55"/>
      <c r="BX261" s="55"/>
      <c r="BY261" s="55"/>
      <c r="BZ261" s="55"/>
      <c r="CA261" s="55"/>
      <c r="CB261" s="55"/>
      <c r="CC261" s="55"/>
      <c r="CD261" s="55"/>
      <c r="CE261" s="55"/>
      <c r="CF261" s="55"/>
      <c r="CG261" s="55"/>
      <c r="CH261" s="55"/>
      <c r="CI261" s="55"/>
      <c r="CJ261" s="55"/>
      <c r="CK261" s="55"/>
      <c r="CL261" s="55"/>
      <c r="CM261" s="55"/>
      <c r="CN261" s="55"/>
      <c r="CO261" s="55"/>
      <c r="CP261" s="55"/>
      <c r="CQ261" s="55"/>
      <c r="CR261" s="55"/>
      <c r="CS261" s="55"/>
      <c r="CT261" s="55"/>
      <c r="CU261" s="55"/>
      <c r="CV261" s="55"/>
      <c r="CW261" s="55"/>
      <c r="CX261" s="55"/>
      <c r="CY261" s="55"/>
      <c r="CZ261" s="55"/>
      <c r="DA261" s="55"/>
      <c r="DB261" s="55"/>
      <c r="DC261" s="55"/>
      <c r="DD261" s="55"/>
      <c r="DE261" s="55"/>
      <c r="DF261" s="55"/>
      <c r="DG261" s="55"/>
      <c r="DH261" s="55"/>
      <c r="DI261" s="55"/>
      <c r="DJ261" s="55"/>
      <c r="DK261" s="55"/>
      <c r="DL261" s="55"/>
      <c r="DM261" s="55"/>
      <c r="DN261" s="55"/>
      <c r="DO261" s="55"/>
      <c r="DP261" s="55"/>
      <c r="DQ261" s="55"/>
      <c r="DR261" s="55"/>
      <c r="DS261" s="55"/>
      <c r="DT261" s="55"/>
      <c r="DU261" s="55"/>
      <c r="DV261" s="55"/>
      <c r="DW261" s="55"/>
      <c r="DX261" s="55"/>
      <c r="DY261" s="55"/>
      <c r="DZ261" s="55"/>
      <c r="EA261" s="55"/>
      <c r="EB261" s="55"/>
      <c r="EC261" s="55"/>
      <c r="ED261" s="55"/>
      <c r="EE261" s="55"/>
      <c r="EF261" s="55"/>
      <c r="EG261" s="55"/>
      <c r="EH261" s="55"/>
      <c r="EI261" s="55"/>
      <c r="EJ261" s="55"/>
      <c r="EK261" s="55"/>
      <c r="EL261" s="55"/>
      <c r="EM261" s="55"/>
      <c r="EN261" s="55"/>
      <c r="EO261" s="55"/>
      <c r="EP261" s="55"/>
      <c r="EQ261" s="55"/>
      <c r="ER261" s="55"/>
      <c r="ES261" s="55"/>
      <c r="ET261" s="55"/>
      <c r="EU261" s="55"/>
      <c r="EV261" s="55"/>
      <c r="EW261" s="55"/>
      <c r="EX261" s="55"/>
      <c r="EY261" s="55"/>
      <c r="EZ261" s="55"/>
      <c r="FA261" s="55"/>
      <c r="FB261" s="55"/>
      <c r="FC261" s="55"/>
      <c r="FD261" s="55"/>
      <c r="FE261" s="55"/>
      <c r="FF261" s="55"/>
      <c r="FG261" s="55"/>
      <c r="FH261" s="55"/>
      <c r="FI261" s="55"/>
      <c r="FJ261" s="55"/>
      <c r="FK261" s="55"/>
      <c r="FL261" s="55"/>
      <c r="FM261" s="55"/>
      <c r="FN261" s="55"/>
      <c r="FO261" s="55"/>
      <c r="FP261" s="55"/>
      <c r="FQ261" s="55"/>
      <c r="FR261" s="55"/>
      <c r="FS261" s="55"/>
      <c r="FT261" s="55"/>
      <c r="FU261" s="55"/>
      <c r="FV261" s="55"/>
      <c r="FW261" s="55"/>
      <c r="FX261" s="55"/>
      <c r="FY261" s="55"/>
      <c r="FZ261" s="55"/>
      <c r="GA261" s="55"/>
      <c r="GB261" s="55"/>
      <c r="GC261" s="55"/>
      <c r="GD261" s="55"/>
      <c r="GE261" s="55"/>
      <c r="GF261" s="55"/>
      <c r="GG261" s="55"/>
      <c r="GH261" s="55"/>
      <c r="GI261" s="55"/>
      <c r="GJ261" s="55"/>
      <c r="GK261" s="55"/>
      <c r="GL261" s="55"/>
      <c r="GM261" s="55"/>
      <c r="GN261" s="55"/>
      <c r="GO261" s="55"/>
      <c r="GP261" s="55"/>
      <c r="GQ261" s="55"/>
      <c r="GR261" s="55"/>
      <c r="GS261" s="55"/>
      <c r="GT261" s="55"/>
      <c r="GU261" s="55"/>
      <c r="GV261" s="55"/>
      <c r="GW261" s="55"/>
      <c r="GX261" s="55"/>
      <c r="GY261" s="55"/>
      <c r="GZ261" s="55"/>
      <c r="HA261" s="55"/>
      <c r="HB261" s="55"/>
      <c r="HC261" s="55"/>
      <c r="HD261" s="55"/>
      <c r="HE261" s="55"/>
      <c r="HF261" s="55"/>
      <c r="HG261" s="55"/>
      <c r="HH261" s="55"/>
      <c r="HI261" s="55"/>
      <c r="HJ261" s="55"/>
      <c r="HK261" s="55"/>
      <c r="HL261" s="55"/>
      <c r="HM261" s="55"/>
      <c r="HN261" s="55"/>
      <c r="HO261" s="55"/>
      <c r="HP261" s="55"/>
      <c r="HQ261" s="55"/>
      <c r="HR261" s="55"/>
      <c r="HS261" s="55"/>
      <c r="HT261" s="55"/>
      <c r="HU261" s="55"/>
      <c r="HV261" s="55"/>
      <c r="HW261" s="55"/>
      <c r="HX261" s="55"/>
      <c r="HY261" s="55"/>
      <c r="HZ261" s="55"/>
      <c r="IA261" s="55"/>
      <c r="IB261" s="55"/>
      <c r="IC261" s="55"/>
      <c r="ID261" s="55"/>
    </row>
    <row r="262" s="52" customFormat="1" ht="42" customHeight="1" spans="1:238">
      <c r="A262" s="112"/>
      <c r="B262" s="112"/>
      <c r="C262" s="64"/>
      <c r="D262" s="65"/>
      <c r="E262" s="77"/>
      <c r="F262" s="77"/>
      <c r="G262" s="64"/>
      <c r="H262" s="42"/>
      <c r="I262" s="42"/>
      <c r="J262" s="83"/>
      <c r="K262" s="83"/>
      <c r="L262" s="83"/>
      <c r="M262" s="41"/>
      <c r="N262" s="41"/>
      <c r="O262" s="41"/>
      <c r="P262" s="64"/>
      <c r="Q262" s="64"/>
      <c r="R262" s="64"/>
      <c r="S262" s="83"/>
      <c r="T262" s="77"/>
      <c r="U262" s="105" t="s">
        <v>1073</v>
      </c>
      <c r="V262" s="105">
        <v>330405006</v>
      </c>
      <c r="W262" s="106" t="s">
        <v>1074</v>
      </c>
      <c r="X262" s="105"/>
      <c r="Y262" s="105" t="s">
        <v>1075</v>
      </c>
      <c r="Z262" s="105" t="s">
        <v>36</v>
      </c>
      <c r="AA262" s="110" t="s">
        <v>35</v>
      </c>
      <c r="AB262" s="50">
        <v>1125</v>
      </c>
      <c r="AC262" s="50">
        <v>1080</v>
      </c>
      <c r="AD262" s="50">
        <v>918</v>
      </c>
      <c r="AE262" s="112" t="s">
        <v>37</v>
      </c>
      <c r="AF262" s="60"/>
      <c r="AG262" s="55"/>
      <c r="AH262" s="55"/>
      <c r="AI262" s="55"/>
      <c r="AJ262" s="55"/>
      <c r="AK262" s="55"/>
      <c r="AL262" s="55"/>
      <c r="AM262" s="55"/>
      <c r="AN262" s="55"/>
      <c r="AO262" s="55"/>
      <c r="AP262" s="55"/>
      <c r="AQ262" s="55"/>
      <c r="AR262" s="55"/>
      <c r="AS262" s="55"/>
      <c r="AT262" s="55"/>
      <c r="AU262" s="55"/>
      <c r="AV262" s="55"/>
      <c r="AW262" s="55"/>
      <c r="AX262" s="55"/>
      <c r="AY262" s="55"/>
      <c r="AZ262" s="55"/>
      <c r="BA262" s="55"/>
      <c r="BB262" s="55"/>
      <c r="BC262" s="55"/>
      <c r="BD262" s="55"/>
      <c r="BE262" s="55"/>
      <c r="BF262" s="55"/>
      <c r="BG262" s="55"/>
      <c r="BH262" s="55"/>
      <c r="BI262" s="55"/>
      <c r="BJ262" s="55"/>
      <c r="BK262" s="55"/>
      <c r="BL262" s="55"/>
      <c r="BM262" s="55"/>
      <c r="BN262" s="55"/>
      <c r="BO262" s="55"/>
      <c r="BP262" s="55"/>
      <c r="BQ262" s="55"/>
      <c r="BR262" s="55"/>
      <c r="BS262" s="55"/>
      <c r="BT262" s="55"/>
      <c r="BU262" s="55"/>
      <c r="BV262" s="55"/>
      <c r="BW262" s="55"/>
      <c r="BX262" s="55"/>
      <c r="BY262" s="55"/>
      <c r="BZ262" s="55"/>
      <c r="CA262" s="55"/>
      <c r="CB262" s="55"/>
      <c r="CC262" s="55"/>
      <c r="CD262" s="55"/>
      <c r="CE262" s="55"/>
      <c r="CF262" s="55"/>
      <c r="CG262" s="55"/>
      <c r="CH262" s="55"/>
      <c r="CI262" s="55"/>
      <c r="CJ262" s="55"/>
      <c r="CK262" s="55"/>
      <c r="CL262" s="55"/>
      <c r="CM262" s="55"/>
      <c r="CN262" s="55"/>
      <c r="CO262" s="55"/>
      <c r="CP262" s="55"/>
      <c r="CQ262" s="55"/>
      <c r="CR262" s="55"/>
      <c r="CS262" s="55"/>
      <c r="CT262" s="55"/>
      <c r="CU262" s="55"/>
      <c r="CV262" s="55"/>
      <c r="CW262" s="55"/>
      <c r="CX262" s="55"/>
      <c r="CY262" s="55"/>
      <c r="CZ262" s="55"/>
      <c r="DA262" s="55"/>
      <c r="DB262" s="55"/>
      <c r="DC262" s="55"/>
      <c r="DD262" s="55"/>
      <c r="DE262" s="55"/>
      <c r="DF262" s="55"/>
      <c r="DG262" s="55"/>
      <c r="DH262" s="55"/>
      <c r="DI262" s="55"/>
      <c r="DJ262" s="55"/>
      <c r="DK262" s="55"/>
      <c r="DL262" s="55"/>
      <c r="DM262" s="55"/>
      <c r="DN262" s="55"/>
      <c r="DO262" s="55"/>
      <c r="DP262" s="55"/>
      <c r="DQ262" s="55"/>
      <c r="DR262" s="55"/>
      <c r="DS262" s="55"/>
      <c r="DT262" s="55"/>
      <c r="DU262" s="55"/>
      <c r="DV262" s="55"/>
      <c r="DW262" s="55"/>
      <c r="DX262" s="55"/>
      <c r="DY262" s="55"/>
      <c r="DZ262" s="55"/>
      <c r="EA262" s="55"/>
      <c r="EB262" s="55"/>
      <c r="EC262" s="55"/>
      <c r="ED262" s="55"/>
      <c r="EE262" s="55"/>
      <c r="EF262" s="55"/>
      <c r="EG262" s="55"/>
      <c r="EH262" s="55"/>
      <c r="EI262" s="55"/>
      <c r="EJ262" s="55"/>
      <c r="EK262" s="55"/>
      <c r="EL262" s="55"/>
      <c r="EM262" s="55"/>
      <c r="EN262" s="55"/>
      <c r="EO262" s="55"/>
      <c r="EP262" s="55"/>
      <c r="EQ262" s="55"/>
      <c r="ER262" s="55"/>
      <c r="ES262" s="55"/>
      <c r="ET262" s="55"/>
      <c r="EU262" s="55"/>
      <c r="EV262" s="55"/>
      <c r="EW262" s="55"/>
      <c r="EX262" s="55"/>
      <c r="EY262" s="55"/>
      <c r="EZ262" s="55"/>
      <c r="FA262" s="55"/>
      <c r="FB262" s="55"/>
      <c r="FC262" s="55"/>
      <c r="FD262" s="55"/>
      <c r="FE262" s="55"/>
      <c r="FF262" s="55"/>
      <c r="FG262" s="55"/>
      <c r="FH262" s="55"/>
      <c r="FI262" s="55"/>
      <c r="FJ262" s="55"/>
      <c r="FK262" s="55"/>
      <c r="FL262" s="55"/>
      <c r="FM262" s="55"/>
      <c r="FN262" s="55"/>
      <c r="FO262" s="55"/>
      <c r="FP262" s="55"/>
      <c r="FQ262" s="55"/>
      <c r="FR262" s="55"/>
      <c r="FS262" s="55"/>
      <c r="FT262" s="55"/>
      <c r="FU262" s="55"/>
      <c r="FV262" s="55"/>
      <c r="FW262" s="55"/>
      <c r="FX262" s="55"/>
      <c r="FY262" s="55"/>
      <c r="FZ262" s="55"/>
      <c r="GA262" s="55"/>
      <c r="GB262" s="55"/>
      <c r="GC262" s="55"/>
      <c r="GD262" s="55"/>
      <c r="GE262" s="55"/>
      <c r="GF262" s="55"/>
      <c r="GG262" s="55"/>
      <c r="GH262" s="55"/>
      <c r="GI262" s="55"/>
      <c r="GJ262" s="55"/>
      <c r="GK262" s="55"/>
      <c r="GL262" s="55"/>
      <c r="GM262" s="55"/>
      <c r="GN262" s="55"/>
      <c r="GO262" s="55"/>
      <c r="GP262" s="55"/>
      <c r="GQ262" s="55"/>
      <c r="GR262" s="55"/>
      <c r="GS262" s="55"/>
      <c r="GT262" s="55"/>
      <c r="GU262" s="55"/>
      <c r="GV262" s="55"/>
      <c r="GW262" s="55"/>
      <c r="GX262" s="55"/>
      <c r="GY262" s="55"/>
      <c r="GZ262" s="55"/>
      <c r="HA262" s="55"/>
      <c r="HB262" s="55"/>
      <c r="HC262" s="55"/>
      <c r="HD262" s="55"/>
      <c r="HE262" s="55"/>
      <c r="HF262" s="55"/>
      <c r="HG262" s="55"/>
      <c r="HH262" s="55"/>
      <c r="HI262" s="55"/>
      <c r="HJ262" s="55"/>
      <c r="HK262" s="55"/>
      <c r="HL262" s="55"/>
      <c r="HM262" s="55"/>
      <c r="HN262" s="55"/>
      <c r="HO262" s="55"/>
      <c r="HP262" s="55"/>
      <c r="HQ262" s="55"/>
      <c r="HR262" s="55"/>
      <c r="HS262" s="55"/>
      <c r="HT262" s="55"/>
      <c r="HU262" s="55"/>
      <c r="HV262" s="55"/>
      <c r="HW262" s="55"/>
      <c r="HX262" s="55"/>
      <c r="HY262" s="55"/>
      <c r="HZ262" s="55"/>
      <c r="IA262" s="55"/>
      <c r="IB262" s="55"/>
      <c r="IC262" s="55"/>
      <c r="ID262" s="55"/>
    </row>
    <row r="263" s="52" customFormat="1" ht="25.5" spans="1:238">
      <c r="A263" s="112" t="s">
        <v>95</v>
      </c>
      <c r="B263" s="112" t="s">
        <v>1076</v>
      </c>
      <c r="C263" s="64" t="s">
        <v>1077</v>
      </c>
      <c r="D263" s="65"/>
      <c r="E263" s="77"/>
      <c r="F263" s="77" t="s">
        <v>35</v>
      </c>
      <c r="G263" s="64" t="s">
        <v>110</v>
      </c>
      <c r="H263" s="78">
        <v>284</v>
      </c>
      <c r="I263" s="78">
        <v>255</v>
      </c>
      <c r="J263" s="83"/>
      <c r="K263" s="83"/>
      <c r="L263" s="83"/>
      <c r="M263" s="41">
        <v>265</v>
      </c>
      <c r="N263" s="41">
        <v>250</v>
      </c>
      <c r="O263" s="41">
        <v>215</v>
      </c>
      <c r="P263" s="64" t="s">
        <v>37</v>
      </c>
      <c r="Q263" s="64" t="s">
        <v>35</v>
      </c>
      <c r="R263" s="64" t="s">
        <v>35</v>
      </c>
      <c r="S263" s="83"/>
      <c r="T263" s="77" t="s">
        <v>186</v>
      </c>
      <c r="U263" s="105" t="s">
        <v>1078</v>
      </c>
      <c r="V263" s="105">
        <v>33040500301</v>
      </c>
      <c r="W263" s="106" t="s">
        <v>1079</v>
      </c>
      <c r="X263" s="105"/>
      <c r="Y263" s="105"/>
      <c r="Z263" s="105" t="s">
        <v>36</v>
      </c>
      <c r="AA263" s="110" t="s">
        <v>35</v>
      </c>
      <c r="AB263" s="50">
        <v>1140</v>
      </c>
      <c r="AC263" s="50">
        <v>1090</v>
      </c>
      <c r="AD263" s="50">
        <v>925</v>
      </c>
      <c r="AE263" s="112" t="s">
        <v>37</v>
      </c>
      <c r="AF263" s="60"/>
      <c r="AG263" s="55"/>
      <c r="AH263" s="55"/>
      <c r="AI263" s="55"/>
      <c r="AJ263" s="55"/>
      <c r="AK263" s="55"/>
      <c r="AL263" s="55"/>
      <c r="AM263" s="55"/>
      <c r="AN263" s="55"/>
      <c r="AO263" s="55"/>
      <c r="AP263" s="55"/>
      <c r="AQ263" s="55"/>
      <c r="AR263" s="55"/>
      <c r="AS263" s="55"/>
      <c r="AT263" s="55"/>
      <c r="AU263" s="55"/>
      <c r="AV263" s="55"/>
      <c r="AW263" s="55"/>
      <c r="AX263" s="55"/>
      <c r="AY263" s="55"/>
      <c r="AZ263" s="55"/>
      <c r="BA263" s="55"/>
      <c r="BB263" s="55"/>
      <c r="BC263" s="55"/>
      <c r="BD263" s="55"/>
      <c r="BE263" s="55"/>
      <c r="BF263" s="55"/>
      <c r="BG263" s="55"/>
      <c r="BH263" s="55"/>
      <c r="BI263" s="55"/>
      <c r="BJ263" s="55"/>
      <c r="BK263" s="55"/>
      <c r="BL263" s="55"/>
      <c r="BM263" s="55"/>
      <c r="BN263" s="55"/>
      <c r="BO263" s="55"/>
      <c r="BP263" s="55"/>
      <c r="BQ263" s="55"/>
      <c r="BR263" s="55"/>
      <c r="BS263" s="55"/>
      <c r="BT263" s="55"/>
      <c r="BU263" s="55"/>
      <c r="BV263" s="55"/>
      <c r="BW263" s="55"/>
      <c r="BX263" s="55"/>
      <c r="BY263" s="55"/>
      <c r="BZ263" s="55"/>
      <c r="CA263" s="55"/>
      <c r="CB263" s="55"/>
      <c r="CC263" s="55"/>
      <c r="CD263" s="55"/>
      <c r="CE263" s="55"/>
      <c r="CF263" s="55"/>
      <c r="CG263" s="55"/>
      <c r="CH263" s="55"/>
      <c r="CI263" s="55"/>
      <c r="CJ263" s="55"/>
      <c r="CK263" s="55"/>
      <c r="CL263" s="55"/>
      <c r="CM263" s="55"/>
      <c r="CN263" s="55"/>
      <c r="CO263" s="55"/>
      <c r="CP263" s="55"/>
      <c r="CQ263" s="55"/>
      <c r="CR263" s="55"/>
      <c r="CS263" s="55"/>
      <c r="CT263" s="55"/>
      <c r="CU263" s="55"/>
      <c r="CV263" s="55"/>
      <c r="CW263" s="55"/>
      <c r="CX263" s="55"/>
      <c r="CY263" s="55"/>
      <c r="CZ263" s="55"/>
      <c r="DA263" s="55"/>
      <c r="DB263" s="55"/>
      <c r="DC263" s="55"/>
      <c r="DD263" s="55"/>
      <c r="DE263" s="55"/>
      <c r="DF263" s="55"/>
      <c r="DG263" s="55"/>
      <c r="DH263" s="55"/>
      <c r="DI263" s="55"/>
      <c r="DJ263" s="55"/>
      <c r="DK263" s="55"/>
      <c r="DL263" s="55"/>
      <c r="DM263" s="55"/>
      <c r="DN263" s="55"/>
      <c r="DO263" s="55"/>
      <c r="DP263" s="55"/>
      <c r="DQ263" s="55"/>
      <c r="DR263" s="55"/>
      <c r="DS263" s="55"/>
      <c r="DT263" s="55"/>
      <c r="DU263" s="55"/>
      <c r="DV263" s="55"/>
      <c r="DW263" s="55"/>
      <c r="DX263" s="55"/>
      <c r="DY263" s="55"/>
      <c r="DZ263" s="55"/>
      <c r="EA263" s="55"/>
      <c r="EB263" s="55"/>
      <c r="EC263" s="55"/>
      <c r="ED263" s="55"/>
      <c r="EE263" s="55"/>
      <c r="EF263" s="55"/>
      <c r="EG263" s="55"/>
      <c r="EH263" s="55"/>
      <c r="EI263" s="55"/>
      <c r="EJ263" s="55"/>
      <c r="EK263" s="55"/>
      <c r="EL263" s="55"/>
      <c r="EM263" s="55"/>
      <c r="EN263" s="55"/>
      <c r="EO263" s="55"/>
      <c r="EP263" s="55"/>
      <c r="EQ263" s="55"/>
      <c r="ER263" s="55"/>
      <c r="ES263" s="55"/>
      <c r="ET263" s="55"/>
      <c r="EU263" s="55"/>
      <c r="EV263" s="55"/>
      <c r="EW263" s="55"/>
      <c r="EX263" s="55"/>
      <c r="EY263" s="55"/>
      <c r="EZ263" s="55"/>
      <c r="FA263" s="55"/>
      <c r="FB263" s="55"/>
      <c r="FC263" s="55"/>
      <c r="FD263" s="55"/>
      <c r="FE263" s="55"/>
      <c r="FF263" s="55"/>
      <c r="FG263" s="55"/>
      <c r="FH263" s="55"/>
      <c r="FI263" s="55"/>
      <c r="FJ263" s="55"/>
      <c r="FK263" s="55"/>
      <c r="FL263" s="55"/>
      <c r="FM263" s="55"/>
      <c r="FN263" s="55"/>
      <c r="FO263" s="55"/>
      <c r="FP263" s="55"/>
      <c r="FQ263" s="55"/>
      <c r="FR263" s="55"/>
      <c r="FS263" s="55"/>
      <c r="FT263" s="55"/>
      <c r="FU263" s="55"/>
      <c r="FV263" s="55"/>
      <c r="FW263" s="55"/>
      <c r="FX263" s="55"/>
      <c r="FY263" s="55"/>
      <c r="FZ263" s="55"/>
      <c r="GA263" s="55"/>
      <c r="GB263" s="55"/>
      <c r="GC263" s="55"/>
      <c r="GD263" s="55"/>
      <c r="GE263" s="55"/>
      <c r="GF263" s="55"/>
      <c r="GG263" s="55"/>
      <c r="GH263" s="55"/>
      <c r="GI263" s="55"/>
      <c r="GJ263" s="55"/>
      <c r="GK263" s="55"/>
      <c r="GL263" s="55"/>
      <c r="GM263" s="55"/>
      <c r="GN263" s="55"/>
      <c r="GO263" s="55"/>
      <c r="GP263" s="55"/>
      <c r="GQ263" s="55"/>
      <c r="GR263" s="55"/>
      <c r="GS263" s="55"/>
      <c r="GT263" s="55"/>
      <c r="GU263" s="55"/>
      <c r="GV263" s="55"/>
      <c r="GW263" s="55"/>
      <c r="GX263" s="55"/>
      <c r="GY263" s="55"/>
      <c r="GZ263" s="55"/>
      <c r="HA263" s="55"/>
      <c r="HB263" s="55"/>
      <c r="HC263" s="55"/>
      <c r="HD263" s="55"/>
      <c r="HE263" s="55"/>
      <c r="HF263" s="55"/>
      <c r="HG263" s="55"/>
      <c r="HH263" s="55"/>
      <c r="HI263" s="55"/>
      <c r="HJ263" s="55"/>
      <c r="HK263" s="55"/>
      <c r="HL263" s="55"/>
      <c r="HM263" s="55"/>
      <c r="HN263" s="55"/>
      <c r="HO263" s="55"/>
      <c r="HP263" s="55"/>
      <c r="HQ263" s="55"/>
      <c r="HR263" s="55"/>
      <c r="HS263" s="55"/>
      <c r="HT263" s="55"/>
      <c r="HU263" s="55"/>
      <c r="HV263" s="55"/>
      <c r="HW263" s="55"/>
      <c r="HX263" s="55"/>
      <c r="HY263" s="55"/>
      <c r="HZ263" s="55"/>
      <c r="IA263" s="55"/>
      <c r="IB263" s="55"/>
      <c r="IC263" s="55"/>
      <c r="ID263" s="55"/>
    </row>
    <row r="264" s="52" customFormat="1" ht="25.5" spans="1:238">
      <c r="A264" s="112"/>
      <c r="B264" s="112"/>
      <c r="C264" s="64"/>
      <c r="D264" s="65"/>
      <c r="E264" s="77"/>
      <c r="F264" s="77"/>
      <c r="G264" s="64"/>
      <c r="H264" s="42"/>
      <c r="I264" s="42"/>
      <c r="J264" s="83"/>
      <c r="K264" s="83"/>
      <c r="L264" s="83"/>
      <c r="M264" s="41"/>
      <c r="N264" s="41"/>
      <c r="O264" s="41"/>
      <c r="P264" s="64"/>
      <c r="Q264" s="64"/>
      <c r="R264" s="64"/>
      <c r="S264" s="83"/>
      <c r="T264" s="77"/>
      <c r="U264" s="105" t="s">
        <v>1080</v>
      </c>
      <c r="V264" s="105">
        <v>33040500601</v>
      </c>
      <c r="W264" s="106" t="s">
        <v>1081</v>
      </c>
      <c r="X264" s="105"/>
      <c r="Y264" s="105"/>
      <c r="Z264" s="105" t="s">
        <v>36</v>
      </c>
      <c r="AA264" s="110" t="s">
        <v>35</v>
      </c>
      <c r="AB264" s="50">
        <v>1465</v>
      </c>
      <c r="AC264" s="50">
        <v>1405</v>
      </c>
      <c r="AD264" s="50">
        <v>1195</v>
      </c>
      <c r="AE264" s="112" t="s">
        <v>37</v>
      </c>
      <c r="AF264" s="60"/>
      <c r="AG264" s="55"/>
      <c r="AH264" s="55"/>
      <c r="AI264" s="55"/>
      <c r="AJ264" s="55"/>
      <c r="AK264" s="55"/>
      <c r="AL264" s="55"/>
      <c r="AM264" s="55"/>
      <c r="AN264" s="55"/>
      <c r="AO264" s="55"/>
      <c r="AP264" s="55"/>
      <c r="AQ264" s="55"/>
      <c r="AR264" s="55"/>
      <c r="AS264" s="55"/>
      <c r="AT264" s="55"/>
      <c r="AU264" s="55"/>
      <c r="AV264" s="55"/>
      <c r="AW264" s="55"/>
      <c r="AX264" s="55"/>
      <c r="AY264" s="55"/>
      <c r="AZ264" s="55"/>
      <c r="BA264" s="55"/>
      <c r="BB264" s="55"/>
      <c r="BC264" s="55"/>
      <c r="BD264" s="55"/>
      <c r="BE264" s="55"/>
      <c r="BF264" s="55"/>
      <c r="BG264" s="55"/>
      <c r="BH264" s="55"/>
      <c r="BI264" s="55"/>
      <c r="BJ264" s="55"/>
      <c r="BK264" s="55"/>
      <c r="BL264" s="55"/>
      <c r="BM264" s="55"/>
      <c r="BN264" s="55"/>
      <c r="BO264" s="55"/>
      <c r="BP264" s="55"/>
      <c r="BQ264" s="55"/>
      <c r="BR264" s="55"/>
      <c r="BS264" s="55"/>
      <c r="BT264" s="55"/>
      <c r="BU264" s="55"/>
      <c r="BV264" s="55"/>
      <c r="BW264" s="55"/>
      <c r="BX264" s="55"/>
      <c r="BY264" s="55"/>
      <c r="BZ264" s="55"/>
      <c r="CA264" s="55"/>
      <c r="CB264" s="55"/>
      <c r="CC264" s="55"/>
      <c r="CD264" s="55"/>
      <c r="CE264" s="55"/>
      <c r="CF264" s="55"/>
      <c r="CG264" s="55"/>
      <c r="CH264" s="55"/>
      <c r="CI264" s="55"/>
      <c r="CJ264" s="55"/>
      <c r="CK264" s="55"/>
      <c r="CL264" s="55"/>
      <c r="CM264" s="55"/>
      <c r="CN264" s="55"/>
      <c r="CO264" s="55"/>
      <c r="CP264" s="55"/>
      <c r="CQ264" s="55"/>
      <c r="CR264" s="55"/>
      <c r="CS264" s="55"/>
      <c r="CT264" s="55"/>
      <c r="CU264" s="55"/>
      <c r="CV264" s="55"/>
      <c r="CW264" s="55"/>
      <c r="CX264" s="55"/>
      <c r="CY264" s="55"/>
      <c r="CZ264" s="55"/>
      <c r="DA264" s="55"/>
      <c r="DB264" s="55"/>
      <c r="DC264" s="55"/>
      <c r="DD264" s="55"/>
      <c r="DE264" s="55"/>
      <c r="DF264" s="55"/>
      <c r="DG264" s="55"/>
      <c r="DH264" s="55"/>
      <c r="DI264" s="55"/>
      <c r="DJ264" s="55"/>
      <c r="DK264" s="55"/>
      <c r="DL264" s="55"/>
      <c r="DM264" s="55"/>
      <c r="DN264" s="55"/>
      <c r="DO264" s="55"/>
      <c r="DP264" s="55"/>
      <c r="DQ264" s="55"/>
      <c r="DR264" s="55"/>
      <c r="DS264" s="55"/>
      <c r="DT264" s="55"/>
      <c r="DU264" s="55"/>
      <c r="DV264" s="55"/>
      <c r="DW264" s="55"/>
      <c r="DX264" s="55"/>
      <c r="DY264" s="55"/>
      <c r="DZ264" s="55"/>
      <c r="EA264" s="55"/>
      <c r="EB264" s="55"/>
      <c r="EC264" s="55"/>
      <c r="ED264" s="55"/>
      <c r="EE264" s="55"/>
      <c r="EF264" s="55"/>
      <c r="EG264" s="55"/>
      <c r="EH264" s="55"/>
      <c r="EI264" s="55"/>
      <c r="EJ264" s="55"/>
      <c r="EK264" s="55"/>
      <c r="EL264" s="55"/>
      <c r="EM264" s="55"/>
      <c r="EN264" s="55"/>
      <c r="EO264" s="55"/>
      <c r="EP264" s="55"/>
      <c r="EQ264" s="55"/>
      <c r="ER264" s="55"/>
      <c r="ES264" s="55"/>
      <c r="ET264" s="55"/>
      <c r="EU264" s="55"/>
      <c r="EV264" s="55"/>
      <c r="EW264" s="55"/>
      <c r="EX264" s="55"/>
      <c r="EY264" s="55"/>
      <c r="EZ264" s="55"/>
      <c r="FA264" s="55"/>
      <c r="FB264" s="55"/>
      <c r="FC264" s="55"/>
      <c r="FD264" s="55"/>
      <c r="FE264" s="55"/>
      <c r="FF264" s="55"/>
      <c r="FG264" s="55"/>
      <c r="FH264" s="55"/>
      <c r="FI264" s="55"/>
      <c r="FJ264" s="55"/>
      <c r="FK264" s="55"/>
      <c r="FL264" s="55"/>
      <c r="FM264" s="55"/>
      <c r="FN264" s="55"/>
      <c r="FO264" s="55"/>
      <c r="FP264" s="55"/>
      <c r="FQ264" s="55"/>
      <c r="FR264" s="55"/>
      <c r="FS264" s="55"/>
      <c r="FT264" s="55"/>
      <c r="FU264" s="55"/>
      <c r="FV264" s="55"/>
      <c r="FW264" s="55"/>
      <c r="FX264" s="55"/>
      <c r="FY264" s="55"/>
      <c r="FZ264" s="55"/>
      <c r="GA264" s="55"/>
      <c r="GB264" s="55"/>
      <c r="GC264" s="55"/>
      <c r="GD264" s="55"/>
      <c r="GE264" s="55"/>
      <c r="GF264" s="55"/>
      <c r="GG264" s="55"/>
      <c r="GH264" s="55"/>
      <c r="GI264" s="55"/>
      <c r="GJ264" s="55"/>
      <c r="GK264" s="55"/>
      <c r="GL264" s="55"/>
      <c r="GM264" s="55"/>
      <c r="GN264" s="55"/>
      <c r="GO264" s="55"/>
      <c r="GP264" s="55"/>
      <c r="GQ264" s="55"/>
      <c r="GR264" s="55"/>
      <c r="GS264" s="55"/>
      <c r="GT264" s="55"/>
      <c r="GU264" s="55"/>
      <c r="GV264" s="55"/>
      <c r="GW264" s="55"/>
      <c r="GX264" s="55"/>
      <c r="GY264" s="55"/>
      <c r="GZ264" s="55"/>
      <c r="HA264" s="55"/>
      <c r="HB264" s="55"/>
      <c r="HC264" s="55"/>
      <c r="HD264" s="55"/>
      <c r="HE264" s="55"/>
      <c r="HF264" s="55"/>
      <c r="HG264" s="55"/>
      <c r="HH264" s="55"/>
      <c r="HI264" s="55"/>
      <c r="HJ264" s="55"/>
      <c r="HK264" s="55"/>
      <c r="HL264" s="55"/>
      <c r="HM264" s="55"/>
      <c r="HN264" s="55"/>
      <c r="HO264" s="55"/>
      <c r="HP264" s="55"/>
      <c r="HQ264" s="55"/>
      <c r="HR264" s="55"/>
      <c r="HS264" s="55"/>
      <c r="HT264" s="55"/>
      <c r="HU264" s="55"/>
      <c r="HV264" s="55"/>
      <c r="HW264" s="55"/>
      <c r="HX264" s="55"/>
      <c r="HY264" s="55"/>
      <c r="HZ264" s="55"/>
      <c r="IA264" s="55"/>
      <c r="IB264" s="55"/>
      <c r="IC264" s="55"/>
      <c r="ID264" s="55"/>
    </row>
    <row r="265" s="52" customFormat="1" ht="25.5" spans="1:238">
      <c r="A265" s="64">
        <v>79</v>
      </c>
      <c r="B265" s="64" t="s">
        <v>1082</v>
      </c>
      <c r="C265" s="64" t="s">
        <v>1083</v>
      </c>
      <c r="D265" s="65" t="s">
        <v>1084</v>
      </c>
      <c r="E265" s="77" t="s">
        <v>1085</v>
      </c>
      <c r="F265" s="77" t="s">
        <v>35</v>
      </c>
      <c r="G265" s="64" t="s">
        <v>110</v>
      </c>
      <c r="H265" s="78">
        <v>475</v>
      </c>
      <c r="I265" s="78">
        <v>430</v>
      </c>
      <c r="J265" s="84">
        <v>499.533582089552</v>
      </c>
      <c r="K265" s="84">
        <v>484.615384615385</v>
      </c>
      <c r="L265" s="84">
        <v>408</v>
      </c>
      <c r="M265" s="89">
        <v>470</v>
      </c>
      <c r="N265" s="89">
        <v>430</v>
      </c>
      <c r="O265" s="89">
        <v>380</v>
      </c>
      <c r="P265" s="64" t="s">
        <v>37</v>
      </c>
      <c r="Q265" s="64" t="s">
        <v>35</v>
      </c>
      <c r="R265" s="64" t="s">
        <v>35</v>
      </c>
      <c r="S265" s="83" t="s">
        <v>131</v>
      </c>
      <c r="T265" s="104" t="s">
        <v>767</v>
      </c>
      <c r="U265" s="105" t="s">
        <v>1086</v>
      </c>
      <c r="V265" s="105">
        <v>330405001</v>
      </c>
      <c r="W265" s="106" t="s">
        <v>1087</v>
      </c>
      <c r="X265" s="105"/>
      <c r="Y265" s="105"/>
      <c r="Z265" s="105" t="s">
        <v>36</v>
      </c>
      <c r="AA265" s="110" t="s">
        <v>35</v>
      </c>
      <c r="AB265" s="50">
        <v>437.5</v>
      </c>
      <c r="AC265" s="50">
        <v>420</v>
      </c>
      <c r="AD265" s="50">
        <v>357</v>
      </c>
      <c r="AE265" s="112" t="s">
        <v>37</v>
      </c>
      <c r="AF265" s="60"/>
      <c r="AG265" s="55"/>
      <c r="AH265" s="55"/>
      <c r="AI265" s="55"/>
      <c r="AJ265" s="55"/>
      <c r="AK265" s="55"/>
      <c r="AL265" s="55"/>
      <c r="AM265" s="55"/>
      <c r="AN265" s="55"/>
      <c r="AO265" s="55"/>
      <c r="AP265" s="55"/>
      <c r="AQ265" s="55"/>
      <c r="AR265" s="55"/>
      <c r="AS265" s="55"/>
      <c r="AT265" s="55"/>
      <c r="AU265" s="55"/>
      <c r="AV265" s="55"/>
      <c r="AW265" s="55"/>
      <c r="AX265" s="55"/>
      <c r="AY265" s="55"/>
      <c r="AZ265" s="55"/>
      <c r="BA265" s="55"/>
      <c r="BB265" s="55"/>
      <c r="BC265" s="55"/>
      <c r="BD265" s="55"/>
      <c r="BE265" s="55"/>
      <c r="BF265" s="55"/>
      <c r="BG265" s="55"/>
      <c r="BH265" s="55"/>
      <c r="BI265" s="55"/>
      <c r="BJ265" s="55"/>
      <c r="BK265" s="55"/>
      <c r="BL265" s="55"/>
      <c r="BM265" s="55"/>
      <c r="BN265" s="55"/>
      <c r="BO265" s="55"/>
      <c r="BP265" s="55"/>
      <c r="BQ265" s="55"/>
      <c r="BR265" s="55"/>
      <c r="BS265" s="55"/>
      <c r="BT265" s="55"/>
      <c r="BU265" s="55"/>
      <c r="BV265" s="55"/>
      <c r="BW265" s="55"/>
      <c r="BX265" s="55"/>
      <c r="BY265" s="55"/>
      <c r="BZ265" s="55"/>
      <c r="CA265" s="55"/>
      <c r="CB265" s="55"/>
      <c r="CC265" s="55"/>
      <c r="CD265" s="55"/>
      <c r="CE265" s="55"/>
      <c r="CF265" s="55"/>
      <c r="CG265" s="55"/>
      <c r="CH265" s="55"/>
      <c r="CI265" s="55"/>
      <c r="CJ265" s="55"/>
      <c r="CK265" s="55"/>
      <c r="CL265" s="55"/>
      <c r="CM265" s="55"/>
      <c r="CN265" s="55"/>
      <c r="CO265" s="55"/>
      <c r="CP265" s="55"/>
      <c r="CQ265" s="55"/>
      <c r="CR265" s="55"/>
      <c r="CS265" s="55"/>
      <c r="CT265" s="55"/>
      <c r="CU265" s="55"/>
      <c r="CV265" s="55"/>
      <c r="CW265" s="55"/>
      <c r="CX265" s="55"/>
      <c r="CY265" s="55"/>
      <c r="CZ265" s="55"/>
      <c r="DA265" s="55"/>
      <c r="DB265" s="55"/>
      <c r="DC265" s="55"/>
      <c r="DD265" s="55"/>
      <c r="DE265" s="55"/>
      <c r="DF265" s="55"/>
      <c r="DG265" s="55"/>
      <c r="DH265" s="55"/>
      <c r="DI265" s="55"/>
      <c r="DJ265" s="55"/>
      <c r="DK265" s="55"/>
      <c r="DL265" s="55"/>
      <c r="DM265" s="55"/>
      <c r="DN265" s="55"/>
      <c r="DO265" s="55"/>
      <c r="DP265" s="55"/>
      <c r="DQ265" s="55"/>
      <c r="DR265" s="55"/>
      <c r="DS265" s="55"/>
      <c r="DT265" s="55"/>
      <c r="DU265" s="55"/>
      <c r="DV265" s="55"/>
      <c r="DW265" s="55"/>
      <c r="DX265" s="55"/>
      <c r="DY265" s="55"/>
      <c r="DZ265" s="55"/>
      <c r="EA265" s="55"/>
      <c r="EB265" s="55"/>
      <c r="EC265" s="55"/>
      <c r="ED265" s="55"/>
      <c r="EE265" s="55"/>
      <c r="EF265" s="55"/>
      <c r="EG265" s="55"/>
      <c r="EH265" s="55"/>
      <c r="EI265" s="55"/>
      <c r="EJ265" s="55"/>
      <c r="EK265" s="55"/>
      <c r="EL265" s="55"/>
      <c r="EM265" s="55"/>
      <c r="EN265" s="55"/>
      <c r="EO265" s="55"/>
      <c r="EP265" s="55"/>
      <c r="EQ265" s="55"/>
      <c r="ER265" s="55"/>
      <c r="ES265" s="55"/>
      <c r="ET265" s="55"/>
      <c r="EU265" s="55"/>
      <c r="EV265" s="55"/>
      <c r="EW265" s="55"/>
      <c r="EX265" s="55"/>
      <c r="EY265" s="55"/>
      <c r="EZ265" s="55"/>
      <c r="FA265" s="55"/>
      <c r="FB265" s="55"/>
      <c r="FC265" s="55"/>
      <c r="FD265" s="55"/>
      <c r="FE265" s="55"/>
      <c r="FF265" s="55"/>
      <c r="FG265" s="55"/>
      <c r="FH265" s="55"/>
      <c r="FI265" s="55"/>
      <c r="FJ265" s="55"/>
      <c r="FK265" s="55"/>
      <c r="FL265" s="55"/>
      <c r="FM265" s="55"/>
      <c r="FN265" s="55"/>
      <c r="FO265" s="55"/>
      <c r="FP265" s="55"/>
      <c r="FQ265" s="55"/>
      <c r="FR265" s="55"/>
      <c r="FS265" s="55"/>
      <c r="FT265" s="55"/>
      <c r="FU265" s="55"/>
      <c r="FV265" s="55"/>
      <c r="FW265" s="55"/>
      <c r="FX265" s="55"/>
      <c r="FY265" s="55"/>
      <c r="FZ265" s="55"/>
      <c r="GA265" s="55"/>
      <c r="GB265" s="55"/>
      <c r="GC265" s="55"/>
      <c r="GD265" s="55"/>
      <c r="GE265" s="55"/>
      <c r="GF265" s="55"/>
      <c r="GG265" s="55"/>
      <c r="GH265" s="55"/>
      <c r="GI265" s="55"/>
      <c r="GJ265" s="55"/>
      <c r="GK265" s="55"/>
      <c r="GL265" s="55"/>
      <c r="GM265" s="55"/>
      <c r="GN265" s="55"/>
      <c r="GO265" s="55"/>
      <c r="GP265" s="55"/>
      <c r="GQ265" s="55"/>
      <c r="GR265" s="55"/>
      <c r="GS265" s="55"/>
      <c r="GT265" s="55"/>
      <c r="GU265" s="55"/>
      <c r="GV265" s="55"/>
      <c r="GW265" s="55"/>
      <c r="GX265" s="55"/>
      <c r="GY265" s="55"/>
      <c r="GZ265" s="55"/>
      <c r="HA265" s="55"/>
      <c r="HB265" s="55"/>
      <c r="HC265" s="55"/>
      <c r="HD265" s="55"/>
      <c r="HE265" s="55"/>
      <c r="HF265" s="55"/>
      <c r="HG265" s="55"/>
      <c r="HH265" s="55"/>
      <c r="HI265" s="55"/>
      <c r="HJ265" s="55"/>
      <c r="HK265" s="55"/>
      <c r="HL265" s="55"/>
      <c r="HM265" s="55"/>
      <c r="HN265" s="55"/>
      <c r="HO265" s="55"/>
      <c r="HP265" s="55"/>
      <c r="HQ265" s="55"/>
      <c r="HR265" s="55"/>
      <c r="HS265" s="55"/>
      <c r="HT265" s="55"/>
      <c r="HU265" s="55"/>
      <c r="HV265" s="55"/>
      <c r="HW265" s="55"/>
      <c r="HX265" s="55"/>
      <c r="HY265" s="55"/>
      <c r="HZ265" s="55"/>
      <c r="IA265" s="55"/>
      <c r="IB265" s="55"/>
      <c r="IC265" s="55"/>
      <c r="ID265" s="55"/>
    </row>
    <row r="266" s="52" customFormat="1" ht="25.5" spans="1:238">
      <c r="A266" s="64"/>
      <c r="B266" s="64"/>
      <c r="C266" s="64"/>
      <c r="D266" s="65"/>
      <c r="E266" s="77"/>
      <c r="F266" s="77"/>
      <c r="G266" s="64"/>
      <c r="H266" s="42"/>
      <c r="I266" s="42"/>
      <c r="J266" s="84"/>
      <c r="K266" s="84"/>
      <c r="L266" s="84"/>
      <c r="M266" s="89"/>
      <c r="N266" s="89"/>
      <c r="O266" s="89"/>
      <c r="P266" s="64"/>
      <c r="Q266" s="64"/>
      <c r="R266" s="64"/>
      <c r="S266" s="83"/>
      <c r="T266" s="104"/>
      <c r="U266" s="105" t="s">
        <v>1088</v>
      </c>
      <c r="V266" s="105">
        <v>330405005</v>
      </c>
      <c r="W266" s="106" t="s">
        <v>1089</v>
      </c>
      <c r="X266" s="105"/>
      <c r="Y266" s="105" t="s">
        <v>1090</v>
      </c>
      <c r="Z266" s="105" t="s">
        <v>36</v>
      </c>
      <c r="AA266" s="110" t="s">
        <v>35</v>
      </c>
      <c r="AB266" s="50">
        <v>625</v>
      </c>
      <c r="AC266" s="50">
        <v>600</v>
      </c>
      <c r="AD266" s="50">
        <v>510</v>
      </c>
      <c r="AE266" s="112" t="s">
        <v>37</v>
      </c>
      <c r="AF266" s="60"/>
      <c r="AG266" s="55"/>
      <c r="AH266" s="55"/>
      <c r="AI266" s="55"/>
      <c r="AJ266" s="55"/>
      <c r="AK266" s="55"/>
      <c r="AL266" s="55"/>
      <c r="AM266" s="55"/>
      <c r="AN266" s="55"/>
      <c r="AO266" s="55"/>
      <c r="AP266" s="55"/>
      <c r="AQ266" s="55"/>
      <c r="AR266" s="55"/>
      <c r="AS266" s="55"/>
      <c r="AT266" s="55"/>
      <c r="AU266" s="55"/>
      <c r="AV266" s="55"/>
      <c r="AW266" s="55"/>
      <c r="AX266" s="55"/>
      <c r="AY266" s="55"/>
      <c r="AZ266" s="55"/>
      <c r="BA266" s="55"/>
      <c r="BB266" s="55"/>
      <c r="BC266" s="55"/>
      <c r="BD266" s="55"/>
      <c r="BE266" s="55"/>
      <c r="BF266" s="55"/>
      <c r="BG266" s="55"/>
      <c r="BH266" s="55"/>
      <c r="BI266" s="55"/>
      <c r="BJ266" s="55"/>
      <c r="BK266" s="55"/>
      <c r="BL266" s="55"/>
      <c r="BM266" s="55"/>
      <c r="BN266" s="55"/>
      <c r="BO266" s="55"/>
      <c r="BP266" s="55"/>
      <c r="BQ266" s="55"/>
      <c r="BR266" s="55"/>
      <c r="BS266" s="55"/>
      <c r="BT266" s="55"/>
      <c r="BU266" s="55"/>
      <c r="BV266" s="55"/>
      <c r="BW266" s="55"/>
      <c r="BX266" s="55"/>
      <c r="BY266" s="55"/>
      <c r="BZ266" s="55"/>
      <c r="CA266" s="55"/>
      <c r="CB266" s="55"/>
      <c r="CC266" s="55"/>
      <c r="CD266" s="55"/>
      <c r="CE266" s="55"/>
      <c r="CF266" s="55"/>
      <c r="CG266" s="55"/>
      <c r="CH266" s="55"/>
      <c r="CI266" s="55"/>
      <c r="CJ266" s="55"/>
      <c r="CK266" s="55"/>
      <c r="CL266" s="55"/>
      <c r="CM266" s="55"/>
      <c r="CN266" s="55"/>
      <c r="CO266" s="55"/>
      <c r="CP266" s="55"/>
      <c r="CQ266" s="55"/>
      <c r="CR266" s="55"/>
      <c r="CS266" s="55"/>
      <c r="CT266" s="55"/>
      <c r="CU266" s="55"/>
      <c r="CV266" s="55"/>
      <c r="CW266" s="55"/>
      <c r="CX266" s="55"/>
      <c r="CY266" s="55"/>
      <c r="CZ266" s="55"/>
      <c r="DA266" s="55"/>
      <c r="DB266" s="55"/>
      <c r="DC266" s="55"/>
      <c r="DD266" s="55"/>
      <c r="DE266" s="55"/>
      <c r="DF266" s="55"/>
      <c r="DG266" s="55"/>
      <c r="DH266" s="55"/>
      <c r="DI266" s="55"/>
      <c r="DJ266" s="55"/>
      <c r="DK266" s="55"/>
      <c r="DL266" s="55"/>
      <c r="DM266" s="55"/>
      <c r="DN266" s="55"/>
      <c r="DO266" s="55"/>
      <c r="DP266" s="55"/>
      <c r="DQ266" s="55"/>
      <c r="DR266" s="55"/>
      <c r="DS266" s="55"/>
      <c r="DT266" s="55"/>
      <c r="DU266" s="55"/>
      <c r="DV266" s="55"/>
      <c r="DW266" s="55"/>
      <c r="DX266" s="55"/>
      <c r="DY266" s="55"/>
      <c r="DZ266" s="55"/>
      <c r="EA266" s="55"/>
      <c r="EB266" s="55"/>
      <c r="EC266" s="55"/>
      <c r="ED266" s="55"/>
      <c r="EE266" s="55"/>
      <c r="EF266" s="55"/>
      <c r="EG266" s="55"/>
      <c r="EH266" s="55"/>
      <c r="EI266" s="55"/>
      <c r="EJ266" s="55"/>
      <c r="EK266" s="55"/>
      <c r="EL266" s="55"/>
      <c r="EM266" s="55"/>
      <c r="EN266" s="55"/>
      <c r="EO266" s="55"/>
      <c r="EP266" s="55"/>
      <c r="EQ266" s="55"/>
      <c r="ER266" s="55"/>
      <c r="ES266" s="55"/>
      <c r="ET266" s="55"/>
      <c r="EU266" s="55"/>
      <c r="EV266" s="55"/>
      <c r="EW266" s="55"/>
      <c r="EX266" s="55"/>
      <c r="EY266" s="55"/>
      <c r="EZ266" s="55"/>
      <c r="FA266" s="55"/>
      <c r="FB266" s="55"/>
      <c r="FC266" s="55"/>
      <c r="FD266" s="55"/>
      <c r="FE266" s="55"/>
      <c r="FF266" s="55"/>
      <c r="FG266" s="55"/>
      <c r="FH266" s="55"/>
      <c r="FI266" s="55"/>
      <c r="FJ266" s="55"/>
      <c r="FK266" s="55"/>
      <c r="FL266" s="55"/>
      <c r="FM266" s="55"/>
      <c r="FN266" s="55"/>
      <c r="FO266" s="55"/>
      <c r="FP266" s="55"/>
      <c r="FQ266" s="55"/>
      <c r="FR266" s="55"/>
      <c r="FS266" s="55"/>
      <c r="FT266" s="55"/>
      <c r="FU266" s="55"/>
      <c r="FV266" s="55"/>
      <c r="FW266" s="55"/>
      <c r="FX266" s="55"/>
      <c r="FY266" s="55"/>
      <c r="FZ266" s="55"/>
      <c r="GA266" s="55"/>
      <c r="GB266" s="55"/>
      <c r="GC266" s="55"/>
      <c r="GD266" s="55"/>
      <c r="GE266" s="55"/>
      <c r="GF266" s="55"/>
      <c r="GG266" s="55"/>
      <c r="GH266" s="55"/>
      <c r="GI266" s="55"/>
      <c r="GJ266" s="55"/>
      <c r="GK266" s="55"/>
      <c r="GL266" s="55"/>
      <c r="GM266" s="55"/>
      <c r="GN266" s="55"/>
      <c r="GO266" s="55"/>
      <c r="GP266" s="55"/>
      <c r="GQ266" s="55"/>
      <c r="GR266" s="55"/>
      <c r="GS266" s="55"/>
      <c r="GT266" s="55"/>
      <c r="GU266" s="55"/>
      <c r="GV266" s="55"/>
      <c r="GW266" s="55"/>
      <c r="GX266" s="55"/>
      <c r="GY266" s="55"/>
      <c r="GZ266" s="55"/>
      <c r="HA266" s="55"/>
      <c r="HB266" s="55"/>
      <c r="HC266" s="55"/>
      <c r="HD266" s="55"/>
      <c r="HE266" s="55"/>
      <c r="HF266" s="55"/>
      <c r="HG266" s="55"/>
      <c r="HH266" s="55"/>
      <c r="HI266" s="55"/>
      <c r="HJ266" s="55"/>
      <c r="HK266" s="55"/>
      <c r="HL266" s="55"/>
      <c r="HM266" s="55"/>
      <c r="HN266" s="55"/>
      <c r="HO266" s="55"/>
      <c r="HP266" s="55"/>
      <c r="HQ266" s="55"/>
      <c r="HR266" s="55"/>
      <c r="HS266" s="55"/>
      <c r="HT266" s="55"/>
      <c r="HU266" s="55"/>
      <c r="HV266" s="55"/>
      <c r="HW266" s="55"/>
      <c r="HX266" s="55"/>
      <c r="HY266" s="55"/>
      <c r="HZ266" s="55"/>
      <c r="IA266" s="55"/>
      <c r="IB266" s="55"/>
      <c r="IC266" s="55"/>
      <c r="ID266" s="55"/>
    </row>
    <row r="267" s="52" customFormat="1" ht="25.5" spans="1:238">
      <c r="A267" s="64"/>
      <c r="B267" s="64"/>
      <c r="C267" s="64"/>
      <c r="D267" s="65"/>
      <c r="E267" s="77"/>
      <c r="F267" s="77"/>
      <c r="G267" s="64"/>
      <c r="H267" s="42"/>
      <c r="I267" s="42"/>
      <c r="J267" s="84"/>
      <c r="K267" s="84"/>
      <c r="L267" s="84"/>
      <c r="M267" s="89"/>
      <c r="N267" s="89"/>
      <c r="O267" s="89"/>
      <c r="P267" s="64"/>
      <c r="Q267" s="64"/>
      <c r="R267" s="64"/>
      <c r="S267" s="83"/>
      <c r="T267" s="104"/>
      <c r="U267" s="105" t="s">
        <v>1091</v>
      </c>
      <c r="V267" s="105">
        <v>330405002</v>
      </c>
      <c r="W267" s="106" t="s">
        <v>1092</v>
      </c>
      <c r="X267" s="105"/>
      <c r="Y267" s="105"/>
      <c r="Z267" s="105" t="s">
        <v>36</v>
      </c>
      <c r="AA267" s="110" t="s">
        <v>35</v>
      </c>
      <c r="AB267" s="50">
        <v>500</v>
      </c>
      <c r="AC267" s="50">
        <v>480</v>
      </c>
      <c r="AD267" s="50">
        <v>408</v>
      </c>
      <c r="AE267" s="112" t="s">
        <v>37</v>
      </c>
      <c r="AF267" s="60"/>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c r="BM267" s="55"/>
      <c r="BN267" s="55"/>
      <c r="BO267" s="55"/>
      <c r="BP267" s="55"/>
      <c r="BQ267" s="55"/>
      <c r="BR267" s="55"/>
      <c r="BS267" s="55"/>
      <c r="BT267" s="55"/>
      <c r="BU267" s="55"/>
      <c r="BV267" s="55"/>
      <c r="BW267" s="55"/>
      <c r="BX267" s="55"/>
      <c r="BY267" s="55"/>
      <c r="BZ267" s="55"/>
      <c r="CA267" s="55"/>
      <c r="CB267" s="55"/>
      <c r="CC267" s="55"/>
      <c r="CD267" s="55"/>
      <c r="CE267" s="55"/>
      <c r="CF267" s="55"/>
      <c r="CG267" s="55"/>
      <c r="CH267" s="55"/>
      <c r="CI267" s="55"/>
      <c r="CJ267" s="55"/>
      <c r="CK267" s="55"/>
      <c r="CL267" s="55"/>
      <c r="CM267" s="55"/>
      <c r="CN267" s="55"/>
      <c r="CO267" s="55"/>
      <c r="CP267" s="55"/>
      <c r="CQ267" s="55"/>
      <c r="CR267" s="55"/>
      <c r="CS267" s="55"/>
      <c r="CT267" s="55"/>
      <c r="CU267" s="55"/>
      <c r="CV267" s="55"/>
      <c r="CW267" s="55"/>
      <c r="CX267" s="55"/>
      <c r="CY267" s="55"/>
      <c r="CZ267" s="55"/>
      <c r="DA267" s="55"/>
      <c r="DB267" s="55"/>
      <c r="DC267" s="55"/>
      <c r="DD267" s="55"/>
      <c r="DE267" s="55"/>
      <c r="DF267" s="55"/>
      <c r="DG267" s="55"/>
      <c r="DH267" s="55"/>
      <c r="DI267" s="55"/>
      <c r="DJ267" s="55"/>
      <c r="DK267" s="55"/>
      <c r="DL267" s="55"/>
      <c r="DM267" s="55"/>
      <c r="DN267" s="55"/>
      <c r="DO267" s="55"/>
      <c r="DP267" s="55"/>
      <c r="DQ267" s="55"/>
      <c r="DR267" s="55"/>
      <c r="DS267" s="55"/>
      <c r="DT267" s="55"/>
      <c r="DU267" s="55"/>
      <c r="DV267" s="55"/>
      <c r="DW267" s="55"/>
      <c r="DX267" s="55"/>
      <c r="DY267" s="55"/>
      <c r="DZ267" s="55"/>
      <c r="EA267" s="55"/>
      <c r="EB267" s="55"/>
      <c r="EC267" s="55"/>
      <c r="ED267" s="55"/>
      <c r="EE267" s="55"/>
      <c r="EF267" s="55"/>
      <c r="EG267" s="55"/>
      <c r="EH267" s="55"/>
      <c r="EI267" s="55"/>
      <c r="EJ267" s="55"/>
      <c r="EK267" s="55"/>
      <c r="EL267" s="55"/>
      <c r="EM267" s="55"/>
      <c r="EN267" s="55"/>
      <c r="EO267" s="55"/>
      <c r="EP267" s="55"/>
      <c r="EQ267" s="55"/>
      <c r="ER267" s="55"/>
      <c r="ES267" s="55"/>
      <c r="ET267" s="55"/>
      <c r="EU267" s="55"/>
      <c r="EV267" s="55"/>
      <c r="EW267" s="55"/>
      <c r="EX267" s="55"/>
      <c r="EY267" s="55"/>
      <c r="EZ267" s="55"/>
      <c r="FA267" s="55"/>
      <c r="FB267" s="55"/>
      <c r="FC267" s="55"/>
      <c r="FD267" s="55"/>
      <c r="FE267" s="55"/>
      <c r="FF267" s="55"/>
      <c r="FG267" s="55"/>
      <c r="FH267" s="55"/>
      <c r="FI267" s="55"/>
      <c r="FJ267" s="55"/>
      <c r="FK267" s="55"/>
      <c r="FL267" s="55"/>
      <c r="FM267" s="55"/>
      <c r="FN267" s="55"/>
      <c r="FO267" s="55"/>
      <c r="FP267" s="55"/>
      <c r="FQ267" s="55"/>
      <c r="FR267" s="55"/>
      <c r="FS267" s="55"/>
      <c r="FT267" s="55"/>
      <c r="FU267" s="55"/>
      <c r="FV267" s="55"/>
      <c r="FW267" s="55"/>
      <c r="FX267" s="55"/>
      <c r="FY267" s="55"/>
      <c r="FZ267" s="55"/>
      <c r="GA267" s="55"/>
      <c r="GB267" s="55"/>
      <c r="GC267" s="55"/>
      <c r="GD267" s="55"/>
      <c r="GE267" s="55"/>
      <c r="GF267" s="55"/>
      <c r="GG267" s="55"/>
      <c r="GH267" s="55"/>
      <c r="GI267" s="55"/>
      <c r="GJ267" s="55"/>
      <c r="GK267" s="55"/>
      <c r="GL267" s="55"/>
      <c r="GM267" s="55"/>
      <c r="GN267" s="55"/>
      <c r="GO267" s="55"/>
      <c r="GP267" s="55"/>
      <c r="GQ267" s="55"/>
      <c r="GR267" s="55"/>
      <c r="GS267" s="55"/>
      <c r="GT267" s="55"/>
      <c r="GU267" s="55"/>
      <c r="GV267" s="55"/>
      <c r="GW267" s="55"/>
      <c r="GX267" s="55"/>
      <c r="GY267" s="55"/>
      <c r="GZ267" s="55"/>
      <c r="HA267" s="55"/>
      <c r="HB267" s="55"/>
      <c r="HC267" s="55"/>
      <c r="HD267" s="55"/>
      <c r="HE267" s="55"/>
      <c r="HF267" s="55"/>
      <c r="HG267" s="55"/>
      <c r="HH267" s="55"/>
      <c r="HI267" s="55"/>
      <c r="HJ267" s="55"/>
      <c r="HK267" s="55"/>
      <c r="HL267" s="55"/>
      <c r="HM267" s="55"/>
      <c r="HN267" s="55"/>
      <c r="HO267" s="55"/>
      <c r="HP267" s="55"/>
      <c r="HQ267" s="55"/>
      <c r="HR267" s="55"/>
      <c r="HS267" s="55"/>
      <c r="HT267" s="55"/>
      <c r="HU267" s="55"/>
      <c r="HV267" s="55"/>
      <c r="HW267" s="55"/>
      <c r="HX267" s="55"/>
      <c r="HY267" s="55"/>
      <c r="HZ267" s="55"/>
      <c r="IA267" s="55"/>
      <c r="IB267" s="55"/>
      <c r="IC267" s="55"/>
      <c r="ID267" s="55"/>
    </row>
    <row r="268" s="52" customFormat="1" ht="25.5" spans="1:238">
      <c r="A268" s="64"/>
      <c r="B268" s="64"/>
      <c r="C268" s="64"/>
      <c r="D268" s="65"/>
      <c r="E268" s="77"/>
      <c r="F268" s="77"/>
      <c r="G268" s="64"/>
      <c r="H268" s="42"/>
      <c r="I268" s="42"/>
      <c r="J268" s="84"/>
      <c r="K268" s="84"/>
      <c r="L268" s="84"/>
      <c r="M268" s="89"/>
      <c r="N268" s="89"/>
      <c r="O268" s="89"/>
      <c r="P268" s="64"/>
      <c r="Q268" s="64"/>
      <c r="R268" s="64"/>
      <c r="S268" s="83"/>
      <c r="T268" s="104"/>
      <c r="U268" s="105" t="s">
        <v>1093</v>
      </c>
      <c r="V268" s="105">
        <v>330405004</v>
      </c>
      <c r="W268" s="106" t="s">
        <v>1094</v>
      </c>
      <c r="X268" s="105"/>
      <c r="Y268" s="105"/>
      <c r="Z268" s="105" t="s">
        <v>36</v>
      </c>
      <c r="AA268" s="110" t="s">
        <v>35</v>
      </c>
      <c r="AB268" s="50">
        <v>500</v>
      </c>
      <c r="AC268" s="50">
        <v>480</v>
      </c>
      <c r="AD268" s="50">
        <v>408</v>
      </c>
      <c r="AE268" s="112" t="s">
        <v>37</v>
      </c>
      <c r="AF268" s="60"/>
      <c r="AG268" s="55"/>
      <c r="AH268" s="55"/>
      <c r="AI268" s="55"/>
      <c r="AJ268" s="55"/>
      <c r="AK268" s="55"/>
      <c r="AL268" s="55"/>
      <c r="AM268" s="55"/>
      <c r="AN268" s="55"/>
      <c r="AO268" s="55"/>
      <c r="AP268" s="55"/>
      <c r="AQ268" s="55"/>
      <c r="AR268" s="55"/>
      <c r="AS268" s="55"/>
      <c r="AT268" s="55"/>
      <c r="AU268" s="55"/>
      <c r="AV268" s="55"/>
      <c r="AW268" s="55"/>
      <c r="AX268" s="55"/>
      <c r="AY268" s="55"/>
      <c r="AZ268" s="55"/>
      <c r="BA268" s="55"/>
      <c r="BB268" s="55"/>
      <c r="BC268" s="55"/>
      <c r="BD268" s="55"/>
      <c r="BE268" s="55"/>
      <c r="BF268" s="55"/>
      <c r="BG268" s="55"/>
      <c r="BH268" s="55"/>
      <c r="BI268" s="55"/>
      <c r="BJ268" s="55"/>
      <c r="BK268" s="55"/>
      <c r="BL268" s="55"/>
      <c r="BM268" s="55"/>
      <c r="BN268" s="55"/>
      <c r="BO268" s="55"/>
      <c r="BP268" s="55"/>
      <c r="BQ268" s="55"/>
      <c r="BR268" s="55"/>
      <c r="BS268" s="55"/>
      <c r="BT268" s="55"/>
      <c r="BU268" s="55"/>
      <c r="BV268" s="55"/>
      <c r="BW268" s="55"/>
      <c r="BX268" s="55"/>
      <c r="BY268" s="55"/>
      <c r="BZ268" s="55"/>
      <c r="CA268" s="55"/>
      <c r="CB268" s="55"/>
      <c r="CC268" s="55"/>
      <c r="CD268" s="55"/>
      <c r="CE268" s="55"/>
      <c r="CF268" s="55"/>
      <c r="CG268" s="55"/>
      <c r="CH268" s="55"/>
      <c r="CI268" s="55"/>
      <c r="CJ268" s="55"/>
      <c r="CK268" s="55"/>
      <c r="CL268" s="55"/>
      <c r="CM268" s="55"/>
      <c r="CN268" s="55"/>
      <c r="CO268" s="55"/>
      <c r="CP268" s="55"/>
      <c r="CQ268" s="55"/>
      <c r="CR268" s="55"/>
      <c r="CS268" s="55"/>
      <c r="CT268" s="55"/>
      <c r="CU268" s="55"/>
      <c r="CV268" s="55"/>
      <c r="CW268" s="55"/>
      <c r="CX268" s="55"/>
      <c r="CY268" s="55"/>
      <c r="CZ268" s="55"/>
      <c r="DA268" s="55"/>
      <c r="DB268" s="55"/>
      <c r="DC268" s="55"/>
      <c r="DD268" s="55"/>
      <c r="DE268" s="55"/>
      <c r="DF268" s="55"/>
      <c r="DG268" s="55"/>
      <c r="DH268" s="55"/>
      <c r="DI268" s="55"/>
      <c r="DJ268" s="55"/>
      <c r="DK268" s="55"/>
      <c r="DL268" s="55"/>
      <c r="DM268" s="55"/>
      <c r="DN268" s="55"/>
      <c r="DO268" s="55"/>
      <c r="DP268" s="55"/>
      <c r="DQ268" s="55"/>
      <c r="DR268" s="55"/>
      <c r="DS268" s="55"/>
      <c r="DT268" s="55"/>
      <c r="DU268" s="55"/>
      <c r="DV268" s="55"/>
      <c r="DW268" s="55"/>
      <c r="DX268" s="55"/>
      <c r="DY268" s="55"/>
      <c r="DZ268" s="55"/>
      <c r="EA268" s="55"/>
      <c r="EB268" s="55"/>
      <c r="EC268" s="55"/>
      <c r="ED268" s="55"/>
      <c r="EE268" s="55"/>
      <c r="EF268" s="55"/>
      <c r="EG268" s="55"/>
      <c r="EH268" s="55"/>
      <c r="EI268" s="55"/>
      <c r="EJ268" s="55"/>
      <c r="EK268" s="55"/>
      <c r="EL268" s="55"/>
      <c r="EM268" s="55"/>
      <c r="EN268" s="55"/>
      <c r="EO268" s="55"/>
      <c r="EP268" s="55"/>
      <c r="EQ268" s="55"/>
      <c r="ER268" s="55"/>
      <c r="ES268" s="55"/>
      <c r="ET268" s="55"/>
      <c r="EU268" s="55"/>
      <c r="EV268" s="55"/>
      <c r="EW268" s="55"/>
      <c r="EX268" s="55"/>
      <c r="EY268" s="55"/>
      <c r="EZ268" s="55"/>
      <c r="FA268" s="55"/>
      <c r="FB268" s="55"/>
      <c r="FC268" s="55"/>
      <c r="FD268" s="55"/>
      <c r="FE268" s="55"/>
      <c r="FF268" s="55"/>
      <c r="FG268" s="55"/>
      <c r="FH268" s="55"/>
      <c r="FI268" s="55"/>
      <c r="FJ268" s="55"/>
      <c r="FK268" s="55"/>
      <c r="FL268" s="55"/>
      <c r="FM268" s="55"/>
      <c r="FN268" s="55"/>
      <c r="FO268" s="55"/>
      <c r="FP268" s="55"/>
      <c r="FQ268" s="55"/>
      <c r="FR268" s="55"/>
      <c r="FS268" s="55"/>
      <c r="FT268" s="55"/>
      <c r="FU268" s="55"/>
      <c r="FV268" s="55"/>
      <c r="FW268" s="55"/>
      <c r="FX268" s="55"/>
      <c r="FY268" s="55"/>
      <c r="FZ268" s="55"/>
      <c r="GA268" s="55"/>
      <c r="GB268" s="55"/>
      <c r="GC268" s="55"/>
      <c r="GD268" s="55"/>
      <c r="GE268" s="55"/>
      <c r="GF268" s="55"/>
      <c r="GG268" s="55"/>
      <c r="GH268" s="55"/>
      <c r="GI268" s="55"/>
      <c r="GJ268" s="55"/>
      <c r="GK268" s="55"/>
      <c r="GL268" s="55"/>
      <c r="GM268" s="55"/>
      <c r="GN268" s="55"/>
      <c r="GO268" s="55"/>
      <c r="GP268" s="55"/>
      <c r="GQ268" s="55"/>
      <c r="GR268" s="55"/>
      <c r="GS268" s="55"/>
      <c r="GT268" s="55"/>
      <c r="GU268" s="55"/>
      <c r="GV268" s="55"/>
      <c r="GW268" s="55"/>
      <c r="GX268" s="55"/>
      <c r="GY268" s="55"/>
      <c r="GZ268" s="55"/>
      <c r="HA268" s="55"/>
      <c r="HB268" s="55"/>
      <c r="HC268" s="55"/>
      <c r="HD268" s="55"/>
      <c r="HE268" s="55"/>
      <c r="HF268" s="55"/>
      <c r="HG268" s="55"/>
      <c r="HH268" s="55"/>
      <c r="HI268" s="55"/>
      <c r="HJ268" s="55"/>
      <c r="HK268" s="55"/>
      <c r="HL268" s="55"/>
      <c r="HM268" s="55"/>
      <c r="HN268" s="55"/>
      <c r="HO268" s="55"/>
      <c r="HP268" s="55"/>
      <c r="HQ268" s="55"/>
      <c r="HR268" s="55"/>
      <c r="HS268" s="55"/>
      <c r="HT268" s="55"/>
      <c r="HU268" s="55"/>
      <c r="HV268" s="55"/>
      <c r="HW268" s="55"/>
      <c r="HX268" s="55"/>
      <c r="HY268" s="55"/>
      <c r="HZ268" s="55"/>
      <c r="IA268" s="55"/>
      <c r="IB268" s="55"/>
      <c r="IC268" s="55"/>
      <c r="ID268" s="55"/>
    </row>
    <row r="269" s="52" customFormat="1" ht="25.5" spans="1:238">
      <c r="A269" s="64" t="s">
        <v>95</v>
      </c>
      <c r="B269" s="64" t="s">
        <v>1095</v>
      </c>
      <c r="C269" s="64" t="s">
        <v>1096</v>
      </c>
      <c r="D269" s="65"/>
      <c r="E269" s="77"/>
      <c r="F269" s="77" t="s">
        <v>35</v>
      </c>
      <c r="G269" s="64" t="s">
        <v>110</v>
      </c>
      <c r="H269" s="78">
        <v>143</v>
      </c>
      <c r="I269" s="78">
        <v>129</v>
      </c>
      <c r="J269" s="83"/>
      <c r="K269" s="83"/>
      <c r="L269" s="83"/>
      <c r="M269" s="41">
        <v>140</v>
      </c>
      <c r="N269" s="89">
        <v>125</v>
      </c>
      <c r="O269" s="41">
        <v>115</v>
      </c>
      <c r="P269" s="64" t="s">
        <v>37</v>
      </c>
      <c r="Q269" s="64" t="s">
        <v>35</v>
      </c>
      <c r="R269" s="64" t="s">
        <v>35</v>
      </c>
      <c r="S269" s="83"/>
      <c r="T269" s="77" t="s">
        <v>186</v>
      </c>
      <c r="U269" s="105" t="s">
        <v>1097</v>
      </c>
      <c r="V269" s="105">
        <v>33040500101</v>
      </c>
      <c r="W269" s="106" t="s">
        <v>1098</v>
      </c>
      <c r="X269" s="105"/>
      <c r="Y269" s="105"/>
      <c r="Z269" s="105" t="s">
        <v>36</v>
      </c>
      <c r="AA269" s="110" t="s">
        <v>35</v>
      </c>
      <c r="AB269" s="50">
        <v>570</v>
      </c>
      <c r="AC269" s="50">
        <v>545</v>
      </c>
      <c r="AD269" s="50">
        <v>465</v>
      </c>
      <c r="AE269" s="112" t="s">
        <v>37</v>
      </c>
      <c r="AF269" s="60"/>
      <c r="AG269" s="55"/>
      <c r="AH269" s="55"/>
      <c r="AI269" s="55"/>
      <c r="AJ269" s="55"/>
      <c r="AK269" s="55"/>
      <c r="AL269" s="55"/>
      <c r="AM269" s="55"/>
      <c r="AN269" s="55"/>
      <c r="AO269" s="55"/>
      <c r="AP269" s="55"/>
      <c r="AQ269" s="55"/>
      <c r="AR269" s="55"/>
      <c r="AS269" s="55"/>
      <c r="AT269" s="55"/>
      <c r="AU269" s="55"/>
      <c r="AV269" s="55"/>
      <c r="AW269" s="55"/>
      <c r="AX269" s="55"/>
      <c r="AY269" s="55"/>
      <c r="AZ269" s="55"/>
      <c r="BA269" s="55"/>
      <c r="BB269" s="55"/>
      <c r="BC269" s="55"/>
      <c r="BD269" s="55"/>
      <c r="BE269" s="55"/>
      <c r="BF269" s="55"/>
      <c r="BG269" s="55"/>
      <c r="BH269" s="55"/>
      <c r="BI269" s="55"/>
      <c r="BJ269" s="55"/>
      <c r="BK269" s="55"/>
      <c r="BL269" s="55"/>
      <c r="BM269" s="55"/>
      <c r="BN269" s="55"/>
      <c r="BO269" s="55"/>
      <c r="BP269" s="55"/>
      <c r="BQ269" s="55"/>
      <c r="BR269" s="55"/>
      <c r="BS269" s="55"/>
      <c r="BT269" s="55"/>
      <c r="BU269" s="55"/>
      <c r="BV269" s="55"/>
      <c r="BW269" s="55"/>
      <c r="BX269" s="55"/>
      <c r="BY269" s="55"/>
      <c r="BZ269" s="55"/>
      <c r="CA269" s="55"/>
      <c r="CB269" s="55"/>
      <c r="CC269" s="55"/>
      <c r="CD269" s="55"/>
      <c r="CE269" s="55"/>
      <c r="CF269" s="55"/>
      <c r="CG269" s="55"/>
      <c r="CH269" s="55"/>
      <c r="CI269" s="55"/>
      <c r="CJ269" s="55"/>
      <c r="CK269" s="55"/>
      <c r="CL269" s="55"/>
      <c r="CM269" s="55"/>
      <c r="CN269" s="55"/>
      <c r="CO269" s="55"/>
      <c r="CP269" s="55"/>
      <c r="CQ269" s="55"/>
      <c r="CR269" s="55"/>
      <c r="CS269" s="55"/>
      <c r="CT269" s="55"/>
      <c r="CU269" s="55"/>
      <c r="CV269" s="55"/>
      <c r="CW269" s="55"/>
      <c r="CX269" s="55"/>
      <c r="CY269" s="55"/>
      <c r="CZ269" s="55"/>
      <c r="DA269" s="55"/>
      <c r="DB269" s="55"/>
      <c r="DC269" s="55"/>
      <c r="DD269" s="55"/>
      <c r="DE269" s="55"/>
      <c r="DF269" s="55"/>
      <c r="DG269" s="55"/>
      <c r="DH269" s="55"/>
      <c r="DI269" s="55"/>
      <c r="DJ269" s="55"/>
      <c r="DK269" s="55"/>
      <c r="DL269" s="55"/>
      <c r="DM269" s="55"/>
      <c r="DN269" s="55"/>
      <c r="DO269" s="55"/>
      <c r="DP269" s="55"/>
      <c r="DQ269" s="55"/>
      <c r="DR269" s="55"/>
      <c r="DS269" s="55"/>
      <c r="DT269" s="55"/>
      <c r="DU269" s="55"/>
      <c r="DV269" s="55"/>
      <c r="DW269" s="55"/>
      <c r="DX269" s="55"/>
      <c r="DY269" s="55"/>
      <c r="DZ269" s="55"/>
      <c r="EA269" s="55"/>
      <c r="EB269" s="55"/>
      <c r="EC269" s="55"/>
      <c r="ED269" s="55"/>
      <c r="EE269" s="55"/>
      <c r="EF269" s="55"/>
      <c r="EG269" s="55"/>
      <c r="EH269" s="55"/>
      <c r="EI269" s="55"/>
      <c r="EJ269" s="55"/>
      <c r="EK269" s="55"/>
      <c r="EL269" s="55"/>
      <c r="EM269" s="55"/>
      <c r="EN269" s="55"/>
      <c r="EO269" s="55"/>
      <c r="EP269" s="55"/>
      <c r="EQ269" s="55"/>
      <c r="ER269" s="55"/>
      <c r="ES269" s="55"/>
      <c r="ET269" s="55"/>
      <c r="EU269" s="55"/>
      <c r="EV269" s="55"/>
      <c r="EW269" s="55"/>
      <c r="EX269" s="55"/>
      <c r="EY269" s="55"/>
      <c r="EZ269" s="55"/>
      <c r="FA269" s="55"/>
      <c r="FB269" s="55"/>
      <c r="FC269" s="55"/>
      <c r="FD269" s="55"/>
      <c r="FE269" s="55"/>
      <c r="FF269" s="55"/>
      <c r="FG269" s="55"/>
      <c r="FH269" s="55"/>
      <c r="FI269" s="55"/>
      <c r="FJ269" s="55"/>
      <c r="FK269" s="55"/>
      <c r="FL269" s="55"/>
      <c r="FM269" s="55"/>
      <c r="FN269" s="55"/>
      <c r="FO269" s="55"/>
      <c r="FP269" s="55"/>
      <c r="FQ269" s="55"/>
      <c r="FR269" s="55"/>
      <c r="FS269" s="55"/>
      <c r="FT269" s="55"/>
      <c r="FU269" s="55"/>
      <c r="FV269" s="55"/>
      <c r="FW269" s="55"/>
      <c r="FX269" s="55"/>
      <c r="FY269" s="55"/>
      <c r="FZ269" s="55"/>
      <c r="GA269" s="55"/>
      <c r="GB269" s="55"/>
      <c r="GC269" s="55"/>
      <c r="GD269" s="55"/>
      <c r="GE269" s="55"/>
      <c r="GF269" s="55"/>
      <c r="GG269" s="55"/>
      <c r="GH269" s="55"/>
      <c r="GI269" s="55"/>
      <c r="GJ269" s="55"/>
      <c r="GK269" s="55"/>
      <c r="GL269" s="55"/>
      <c r="GM269" s="55"/>
      <c r="GN269" s="55"/>
      <c r="GO269" s="55"/>
      <c r="GP269" s="55"/>
      <c r="GQ269" s="55"/>
      <c r="GR269" s="55"/>
      <c r="GS269" s="55"/>
      <c r="GT269" s="55"/>
      <c r="GU269" s="55"/>
      <c r="GV269" s="55"/>
      <c r="GW269" s="55"/>
      <c r="GX269" s="55"/>
      <c r="GY269" s="55"/>
      <c r="GZ269" s="55"/>
      <c r="HA269" s="55"/>
      <c r="HB269" s="55"/>
      <c r="HC269" s="55"/>
      <c r="HD269" s="55"/>
      <c r="HE269" s="55"/>
      <c r="HF269" s="55"/>
      <c r="HG269" s="55"/>
      <c r="HH269" s="55"/>
      <c r="HI269" s="55"/>
      <c r="HJ269" s="55"/>
      <c r="HK269" s="55"/>
      <c r="HL269" s="55"/>
      <c r="HM269" s="55"/>
      <c r="HN269" s="55"/>
      <c r="HO269" s="55"/>
      <c r="HP269" s="55"/>
      <c r="HQ269" s="55"/>
      <c r="HR269" s="55"/>
      <c r="HS269" s="55"/>
      <c r="HT269" s="55"/>
      <c r="HU269" s="55"/>
      <c r="HV269" s="55"/>
      <c r="HW269" s="55"/>
      <c r="HX269" s="55"/>
      <c r="HY269" s="55"/>
      <c r="HZ269" s="55"/>
      <c r="IA269" s="55"/>
      <c r="IB269" s="55"/>
      <c r="IC269" s="55"/>
      <c r="ID269" s="55"/>
    </row>
    <row r="270" s="52" customFormat="1" ht="25.5" spans="1:238">
      <c r="A270" s="64"/>
      <c r="B270" s="64"/>
      <c r="C270" s="64"/>
      <c r="D270" s="65"/>
      <c r="E270" s="77"/>
      <c r="F270" s="77"/>
      <c r="G270" s="64"/>
      <c r="H270" s="42"/>
      <c r="I270" s="42"/>
      <c r="J270" s="83"/>
      <c r="K270" s="83"/>
      <c r="L270" s="83"/>
      <c r="M270" s="41"/>
      <c r="N270" s="89"/>
      <c r="O270" s="41"/>
      <c r="P270" s="64"/>
      <c r="Q270" s="64"/>
      <c r="R270" s="64"/>
      <c r="S270" s="83"/>
      <c r="T270" s="77"/>
      <c r="U270" s="105" t="s">
        <v>1099</v>
      </c>
      <c r="V270" s="105">
        <v>33040500501</v>
      </c>
      <c r="W270" s="106" t="s">
        <v>1100</v>
      </c>
      <c r="X270" s="105"/>
      <c r="Y270" s="105"/>
      <c r="Z270" s="105" t="s">
        <v>36</v>
      </c>
      <c r="AA270" s="110" t="s">
        <v>35</v>
      </c>
      <c r="AB270" s="50">
        <v>815</v>
      </c>
      <c r="AC270" s="50">
        <v>780</v>
      </c>
      <c r="AD270" s="50">
        <v>665</v>
      </c>
      <c r="AE270" s="112" t="s">
        <v>37</v>
      </c>
      <c r="AF270" s="60"/>
      <c r="AG270" s="55"/>
      <c r="AH270" s="55"/>
      <c r="AI270" s="55"/>
      <c r="AJ270" s="55"/>
      <c r="AK270" s="55"/>
      <c r="AL270" s="55"/>
      <c r="AM270" s="55"/>
      <c r="AN270" s="55"/>
      <c r="AO270" s="55"/>
      <c r="AP270" s="55"/>
      <c r="AQ270" s="55"/>
      <c r="AR270" s="55"/>
      <c r="AS270" s="55"/>
      <c r="AT270" s="55"/>
      <c r="AU270" s="55"/>
      <c r="AV270" s="55"/>
      <c r="AW270" s="55"/>
      <c r="AX270" s="55"/>
      <c r="AY270" s="55"/>
      <c r="AZ270" s="55"/>
      <c r="BA270" s="55"/>
      <c r="BB270" s="55"/>
      <c r="BC270" s="55"/>
      <c r="BD270" s="55"/>
      <c r="BE270" s="55"/>
      <c r="BF270" s="55"/>
      <c r="BG270" s="55"/>
      <c r="BH270" s="55"/>
      <c r="BI270" s="55"/>
      <c r="BJ270" s="55"/>
      <c r="BK270" s="55"/>
      <c r="BL270" s="55"/>
      <c r="BM270" s="55"/>
      <c r="BN270" s="55"/>
      <c r="BO270" s="55"/>
      <c r="BP270" s="55"/>
      <c r="BQ270" s="55"/>
      <c r="BR270" s="55"/>
      <c r="BS270" s="55"/>
      <c r="BT270" s="55"/>
      <c r="BU270" s="55"/>
      <c r="BV270" s="55"/>
      <c r="BW270" s="55"/>
      <c r="BX270" s="55"/>
      <c r="BY270" s="55"/>
      <c r="BZ270" s="55"/>
      <c r="CA270" s="55"/>
      <c r="CB270" s="55"/>
      <c r="CC270" s="55"/>
      <c r="CD270" s="55"/>
      <c r="CE270" s="55"/>
      <c r="CF270" s="55"/>
      <c r="CG270" s="55"/>
      <c r="CH270" s="55"/>
      <c r="CI270" s="55"/>
      <c r="CJ270" s="55"/>
      <c r="CK270" s="55"/>
      <c r="CL270" s="55"/>
      <c r="CM270" s="55"/>
      <c r="CN270" s="55"/>
      <c r="CO270" s="55"/>
      <c r="CP270" s="55"/>
      <c r="CQ270" s="55"/>
      <c r="CR270" s="55"/>
      <c r="CS270" s="55"/>
      <c r="CT270" s="55"/>
      <c r="CU270" s="55"/>
      <c r="CV270" s="55"/>
      <c r="CW270" s="55"/>
      <c r="CX270" s="55"/>
      <c r="CY270" s="55"/>
      <c r="CZ270" s="55"/>
      <c r="DA270" s="55"/>
      <c r="DB270" s="55"/>
      <c r="DC270" s="55"/>
      <c r="DD270" s="55"/>
      <c r="DE270" s="55"/>
      <c r="DF270" s="55"/>
      <c r="DG270" s="55"/>
      <c r="DH270" s="55"/>
      <c r="DI270" s="55"/>
      <c r="DJ270" s="55"/>
      <c r="DK270" s="55"/>
      <c r="DL270" s="55"/>
      <c r="DM270" s="55"/>
      <c r="DN270" s="55"/>
      <c r="DO270" s="55"/>
      <c r="DP270" s="55"/>
      <c r="DQ270" s="55"/>
      <c r="DR270" s="55"/>
      <c r="DS270" s="55"/>
      <c r="DT270" s="55"/>
      <c r="DU270" s="55"/>
      <c r="DV270" s="55"/>
      <c r="DW270" s="55"/>
      <c r="DX270" s="55"/>
      <c r="DY270" s="55"/>
      <c r="DZ270" s="55"/>
      <c r="EA270" s="55"/>
      <c r="EB270" s="55"/>
      <c r="EC270" s="55"/>
      <c r="ED270" s="55"/>
      <c r="EE270" s="55"/>
      <c r="EF270" s="55"/>
      <c r="EG270" s="55"/>
      <c r="EH270" s="55"/>
      <c r="EI270" s="55"/>
      <c r="EJ270" s="55"/>
      <c r="EK270" s="55"/>
      <c r="EL270" s="55"/>
      <c r="EM270" s="55"/>
      <c r="EN270" s="55"/>
      <c r="EO270" s="55"/>
      <c r="EP270" s="55"/>
      <c r="EQ270" s="55"/>
      <c r="ER270" s="55"/>
      <c r="ES270" s="55"/>
      <c r="ET270" s="55"/>
      <c r="EU270" s="55"/>
      <c r="EV270" s="55"/>
      <c r="EW270" s="55"/>
      <c r="EX270" s="55"/>
      <c r="EY270" s="55"/>
      <c r="EZ270" s="55"/>
      <c r="FA270" s="55"/>
      <c r="FB270" s="55"/>
      <c r="FC270" s="55"/>
      <c r="FD270" s="55"/>
      <c r="FE270" s="55"/>
      <c r="FF270" s="55"/>
      <c r="FG270" s="55"/>
      <c r="FH270" s="55"/>
      <c r="FI270" s="55"/>
      <c r="FJ270" s="55"/>
      <c r="FK270" s="55"/>
      <c r="FL270" s="55"/>
      <c r="FM270" s="55"/>
      <c r="FN270" s="55"/>
      <c r="FO270" s="55"/>
      <c r="FP270" s="55"/>
      <c r="FQ270" s="55"/>
      <c r="FR270" s="55"/>
      <c r="FS270" s="55"/>
      <c r="FT270" s="55"/>
      <c r="FU270" s="55"/>
      <c r="FV270" s="55"/>
      <c r="FW270" s="55"/>
      <c r="FX270" s="55"/>
      <c r="FY270" s="55"/>
      <c r="FZ270" s="55"/>
      <c r="GA270" s="55"/>
      <c r="GB270" s="55"/>
      <c r="GC270" s="55"/>
      <c r="GD270" s="55"/>
      <c r="GE270" s="55"/>
      <c r="GF270" s="55"/>
      <c r="GG270" s="55"/>
      <c r="GH270" s="55"/>
      <c r="GI270" s="55"/>
      <c r="GJ270" s="55"/>
      <c r="GK270" s="55"/>
      <c r="GL270" s="55"/>
      <c r="GM270" s="55"/>
      <c r="GN270" s="55"/>
      <c r="GO270" s="55"/>
      <c r="GP270" s="55"/>
      <c r="GQ270" s="55"/>
      <c r="GR270" s="55"/>
      <c r="GS270" s="55"/>
      <c r="GT270" s="55"/>
      <c r="GU270" s="55"/>
      <c r="GV270" s="55"/>
      <c r="GW270" s="55"/>
      <c r="GX270" s="55"/>
      <c r="GY270" s="55"/>
      <c r="GZ270" s="55"/>
      <c r="HA270" s="55"/>
      <c r="HB270" s="55"/>
      <c r="HC270" s="55"/>
      <c r="HD270" s="55"/>
      <c r="HE270" s="55"/>
      <c r="HF270" s="55"/>
      <c r="HG270" s="55"/>
      <c r="HH270" s="55"/>
      <c r="HI270" s="55"/>
      <c r="HJ270" s="55"/>
      <c r="HK270" s="55"/>
      <c r="HL270" s="55"/>
      <c r="HM270" s="55"/>
      <c r="HN270" s="55"/>
      <c r="HO270" s="55"/>
      <c r="HP270" s="55"/>
      <c r="HQ270" s="55"/>
      <c r="HR270" s="55"/>
      <c r="HS270" s="55"/>
      <c r="HT270" s="55"/>
      <c r="HU270" s="55"/>
      <c r="HV270" s="55"/>
      <c r="HW270" s="55"/>
      <c r="HX270" s="55"/>
      <c r="HY270" s="55"/>
      <c r="HZ270" s="55"/>
      <c r="IA270" s="55"/>
      <c r="IB270" s="55"/>
      <c r="IC270" s="55"/>
      <c r="ID270" s="55"/>
    </row>
    <row r="271" s="52" customFormat="1" ht="25.5" spans="1:238">
      <c r="A271" s="64"/>
      <c r="B271" s="64"/>
      <c r="C271" s="64"/>
      <c r="D271" s="65"/>
      <c r="E271" s="77"/>
      <c r="F271" s="77"/>
      <c r="G271" s="64"/>
      <c r="H271" s="42"/>
      <c r="I271" s="42"/>
      <c r="J271" s="83"/>
      <c r="K271" s="83"/>
      <c r="L271" s="83"/>
      <c r="M271" s="41"/>
      <c r="N271" s="89"/>
      <c r="O271" s="41"/>
      <c r="P271" s="64"/>
      <c r="Q271" s="64"/>
      <c r="R271" s="64"/>
      <c r="S271" s="83"/>
      <c r="T271" s="77"/>
      <c r="U271" s="105" t="s">
        <v>1101</v>
      </c>
      <c r="V271" s="105">
        <v>33040500201</v>
      </c>
      <c r="W271" s="106" t="s">
        <v>1102</v>
      </c>
      <c r="X271" s="105"/>
      <c r="Y271" s="105"/>
      <c r="Z271" s="105" t="s">
        <v>36</v>
      </c>
      <c r="AA271" s="110" t="s">
        <v>35</v>
      </c>
      <c r="AB271" s="50">
        <v>650</v>
      </c>
      <c r="AC271" s="50">
        <v>625</v>
      </c>
      <c r="AD271" s="50">
        <v>530</v>
      </c>
      <c r="AE271" s="112" t="s">
        <v>37</v>
      </c>
      <c r="AF271" s="60"/>
      <c r="AG271" s="55"/>
      <c r="AH271" s="55"/>
      <c r="AI271" s="55"/>
      <c r="AJ271" s="55"/>
      <c r="AK271" s="55"/>
      <c r="AL271" s="55"/>
      <c r="AM271" s="55"/>
      <c r="AN271" s="55"/>
      <c r="AO271" s="55"/>
      <c r="AP271" s="55"/>
      <c r="AQ271" s="55"/>
      <c r="AR271" s="55"/>
      <c r="AS271" s="55"/>
      <c r="AT271" s="55"/>
      <c r="AU271" s="55"/>
      <c r="AV271" s="55"/>
      <c r="AW271" s="55"/>
      <c r="AX271" s="55"/>
      <c r="AY271" s="55"/>
      <c r="AZ271" s="55"/>
      <c r="BA271" s="55"/>
      <c r="BB271" s="55"/>
      <c r="BC271" s="55"/>
      <c r="BD271" s="55"/>
      <c r="BE271" s="55"/>
      <c r="BF271" s="55"/>
      <c r="BG271" s="55"/>
      <c r="BH271" s="55"/>
      <c r="BI271" s="55"/>
      <c r="BJ271" s="55"/>
      <c r="BK271" s="55"/>
      <c r="BL271" s="55"/>
      <c r="BM271" s="55"/>
      <c r="BN271" s="55"/>
      <c r="BO271" s="55"/>
      <c r="BP271" s="55"/>
      <c r="BQ271" s="55"/>
      <c r="BR271" s="55"/>
      <c r="BS271" s="55"/>
      <c r="BT271" s="55"/>
      <c r="BU271" s="55"/>
      <c r="BV271" s="55"/>
      <c r="BW271" s="55"/>
      <c r="BX271" s="55"/>
      <c r="BY271" s="55"/>
      <c r="BZ271" s="55"/>
      <c r="CA271" s="55"/>
      <c r="CB271" s="55"/>
      <c r="CC271" s="55"/>
      <c r="CD271" s="55"/>
      <c r="CE271" s="55"/>
      <c r="CF271" s="55"/>
      <c r="CG271" s="55"/>
      <c r="CH271" s="55"/>
      <c r="CI271" s="55"/>
      <c r="CJ271" s="55"/>
      <c r="CK271" s="55"/>
      <c r="CL271" s="55"/>
      <c r="CM271" s="55"/>
      <c r="CN271" s="55"/>
      <c r="CO271" s="55"/>
      <c r="CP271" s="55"/>
      <c r="CQ271" s="55"/>
      <c r="CR271" s="55"/>
      <c r="CS271" s="55"/>
      <c r="CT271" s="55"/>
      <c r="CU271" s="55"/>
      <c r="CV271" s="55"/>
      <c r="CW271" s="55"/>
      <c r="CX271" s="55"/>
      <c r="CY271" s="55"/>
      <c r="CZ271" s="55"/>
      <c r="DA271" s="55"/>
      <c r="DB271" s="55"/>
      <c r="DC271" s="55"/>
      <c r="DD271" s="55"/>
      <c r="DE271" s="55"/>
      <c r="DF271" s="55"/>
      <c r="DG271" s="55"/>
      <c r="DH271" s="55"/>
      <c r="DI271" s="55"/>
      <c r="DJ271" s="55"/>
      <c r="DK271" s="55"/>
      <c r="DL271" s="55"/>
      <c r="DM271" s="55"/>
      <c r="DN271" s="55"/>
      <c r="DO271" s="55"/>
      <c r="DP271" s="55"/>
      <c r="DQ271" s="55"/>
      <c r="DR271" s="55"/>
      <c r="DS271" s="55"/>
      <c r="DT271" s="55"/>
      <c r="DU271" s="55"/>
      <c r="DV271" s="55"/>
      <c r="DW271" s="55"/>
      <c r="DX271" s="55"/>
      <c r="DY271" s="55"/>
      <c r="DZ271" s="55"/>
      <c r="EA271" s="55"/>
      <c r="EB271" s="55"/>
      <c r="EC271" s="55"/>
      <c r="ED271" s="55"/>
      <c r="EE271" s="55"/>
      <c r="EF271" s="55"/>
      <c r="EG271" s="55"/>
      <c r="EH271" s="55"/>
      <c r="EI271" s="55"/>
      <c r="EJ271" s="55"/>
      <c r="EK271" s="55"/>
      <c r="EL271" s="55"/>
      <c r="EM271" s="55"/>
      <c r="EN271" s="55"/>
      <c r="EO271" s="55"/>
      <c r="EP271" s="55"/>
      <c r="EQ271" s="55"/>
      <c r="ER271" s="55"/>
      <c r="ES271" s="55"/>
      <c r="ET271" s="55"/>
      <c r="EU271" s="55"/>
      <c r="EV271" s="55"/>
      <c r="EW271" s="55"/>
      <c r="EX271" s="55"/>
      <c r="EY271" s="55"/>
      <c r="EZ271" s="55"/>
      <c r="FA271" s="55"/>
      <c r="FB271" s="55"/>
      <c r="FC271" s="55"/>
      <c r="FD271" s="55"/>
      <c r="FE271" s="55"/>
      <c r="FF271" s="55"/>
      <c r="FG271" s="55"/>
      <c r="FH271" s="55"/>
      <c r="FI271" s="55"/>
      <c r="FJ271" s="55"/>
      <c r="FK271" s="55"/>
      <c r="FL271" s="55"/>
      <c r="FM271" s="55"/>
      <c r="FN271" s="55"/>
      <c r="FO271" s="55"/>
      <c r="FP271" s="55"/>
      <c r="FQ271" s="55"/>
      <c r="FR271" s="55"/>
      <c r="FS271" s="55"/>
      <c r="FT271" s="55"/>
      <c r="FU271" s="55"/>
      <c r="FV271" s="55"/>
      <c r="FW271" s="55"/>
      <c r="FX271" s="55"/>
      <c r="FY271" s="55"/>
      <c r="FZ271" s="55"/>
      <c r="GA271" s="55"/>
      <c r="GB271" s="55"/>
      <c r="GC271" s="55"/>
      <c r="GD271" s="55"/>
      <c r="GE271" s="55"/>
      <c r="GF271" s="55"/>
      <c r="GG271" s="55"/>
      <c r="GH271" s="55"/>
      <c r="GI271" s="55"/>
      <c r="GJ271" s="55"/>
      <c r="GK271" s="55"/>
      <c r="GL271" s="55"/>
      <c r="GM271" s="55"/>
      <c r="GN271" s="55"/>
      <c r="GO271" s="55"/>
      <c r="GP271" s="55"/>
      <c r="GQ271" s="55"/>
      <c r="GR271" s="55"/>
      <c r="GS271" s="55"/>
      <c r="GT271" s="55"/>
      <c r="GU271" s="55"/>
      <c r="GV271" s="55"/>
      <c r="GW271" s="55"/>
      <c r="GX271" s="55"/>
      <c r="GY271" s="55"/>
      <c r="GZ271" s="55"/>
      <c r="HA271" s="55"/>
      <c r="HB271" s="55"/>
      <c r="HC271" s="55"/>
      <c r="HD271" s="55"/>
      <c r="HE271" s="55"/>
      <c r="HF271" s="55"/>
      <c r="HG271" s="55"/>
      <c r="HH271" s="55"/>
      <c r="HI271" s="55"/>
      <c r="HJ271" s="55"/>
      <c r="HK271" s="55"/>
      <c r="HL271" s="55"/>
      <c r="HM271" s="55"/>
      <c r="HN271" s="55"/>
      <c r="HO271" s="55"/>
      <c r="HP271" s="55"/>
      <c r="HQ271" s="55"/>
      <c r="HR271" s="55"/>
      <c r="HS271" s="55"/>
      <c r="HT271" s="55"/>
      <c r="HU271" s="55"/>
      <c r="HV271" s="55"/>
      <c r="HW271" s="55"/>
      <c r="HX271" s="55"/>
      <c r="HY271" s="55"/>
      <c r="HZ271" s="55"/>
      <c r="IA271" s="55"/>
      <c r="IB271" s="55"/>
      <c r="IC271" s="55"/>
      <c r="ID271" s="55"/>
    </row>
    <row r="272" s="52" customFormat="1" ht="25.5" spans="1:238">
      <c r="A272" s="64"/>
      <c r="B272" s="64"/>
      <c r="C272" s="64"/>
      <c r="D272" s="65"/>
      <c r="E272" s="77"/>
      <c r="F272" s="77"/>
      <c r="G272" s="64"/>
      <c r="H272" s="42"/>
      <c r="I272" s="42"/>
      <c r="J272" s="83"/>
      <c r="K272" s="83"/>
      <c r="L272" s="83"/>
      <c r="M272" s="41"/>
      <c r="N272" s="89"/>
      <c r="O272" s="41"/>
      <c r="P272" s="64"/>
      <c r="Q272" s="64"/>
      <c r="R272" s="64"/>
      <c r="S272" s="83"/>
      <c r="T272" s="77"/>
      <c r="U272" s="105" t="s">
        <v>1103</v>
      </c>
      <c r="V272" s="105">
        <v>33040500401</v>
      </c>
      <c r="W272" s="106" t="s">
        <v>1104</v>
      </c>
      <c r="X272" s="105"/>
      <c r="Y272" s="105"/>
      <c r="Z272" s="105" t="s">
        <v>36</v>
      </c>
      <c r="AA272" s="110" t="s">
        <v>35</v>
      </c>
      <c r="AB272" s="50">
        <v>650</v>
      </c>
      <c r="AC272" s="50">
        <v>625</v>
      </c>
      <c r="AD272" s="50">
        <v>530</v>
      </c>
      <c r="AE272" s="112" t="s">
        <v>37</v>
      </c>
      <c r="AF272" s="60"/>
      <c r="AG272" s="55"/>
      <c r="AH272" s="55"/>
      <c r="AI272" s="55"/>
      <c r="AJ272" s="55"/>
      <c r="AK272" s="55"/>
      <c r="AL272" s="55"/>
      <c r="AM272" s="55"/>
      <c r="AN272" s="55"/>
      <c r="AO272" s="55"/>
      <c r="AP272" s="55"/>
      <c r="AQ272" s="55"/>
      <c r="AR272" s="55"/>
      <c r="AS272" s="55"/>
      <c r="AT272" s="55"/>
      <c r="AU272" s="55"/>
      <c r="AV272" s="55"/>
      <c r="AW272" s="55"/>
      <c r="AX272" s="55"/>
      <c r="AY272" s="55"/>
      <c r="AZ272" s="55"/>
      <c r="BA272" s="55"/>
      <c r="BB272" s="55"/>
      <c r="BC272" s="55"/>
      <c r="BD272" s="55"/>
      <c r="BE272" s="55"/>
      <c r="BF272" s="55"/>
      <c r="BG272" s="55"/>
      <c r="BH272" s="55"/>
      <c r="BI272" s="55"/>
      <c r="BJ272" s="55"/>
      <c r="BK272" s="55"/>
      <c r="BL272" s="55"/>
      <c r="BM272" s="55"/>
      <c r="BN272" s="55"/>
      <c r="BO272" s="55"/>
      <c r="BP272" s="55"/>
      <c r="BQ272" s="55"/>
      <c r="BR272" s="55"/>
      <c r="BS272" s="55"/>
      <c r="BT272" s="55"/>
      <c r="BU272" s="55"/>
      <c r="BV272" s="55"/>
      <c r="BW272" s="55"/>
      <c r="BX272" s="55"/>
      <c r="BY272" s="55"/>
      <c r="BZ272" s="55"/>
      <c r="CA272" s="55"/>
      <c r="CB272" s="55"/>
      <c r="CC272" s="55"/>
      <c r="CD272" s="55"/>
      <c r="CE272" s="55"/>
      <c r="CF272" s="55"/>
      <c r="CG272" s="55"/>
      <c r="CH272" s="55"/>
      <c r="CI272" s="55"/>
      <c r="CJ272" s="55"/>
      <c r="CK272" s="55"/>
      <c r="CL272" s="55"/>
      <c r="CM272" s="55"/>
      <c r="CN272" s="55"/>
      <c r="CO272" s="55"/>
      <c r="CP272" s="55"/>
      <c r="CQ272" s="55"/>
      <c r="CR272" s="55"/>
      <c r="CS272" s="55"/>
      <c r="CT272" s="55"/>
      <c r="CU272" s="55"/>
      <c r="CV272" s="55"/>
      <c r="CW272" s="55"/>
      <c r="CX272" s="55"/>
      <c r="CY272" s="55"/>
      <c r="CZ272" s="55"/>
      <c r="DA272" s="55"/>
      <c r="DB272" s="55"/>
      <c r="DC272" s="55"/>
      <c r="DD272" s="55"/>
      <c r="DE272" s="55"/>
      <c r="DF272" s="55"/>
      <c r="DG272" s="55"/>
      <c r="DH272" s="55"/>
      <c r="DI272" s="55"/>
      <c r="DJ272" s="55"/>
      <c r="DK272" s="55"/>
      <c r="DL272" s="55"/>
      <c r="DM272" s="55"/>
      <c r="DN272" s="55"/>
      <c r="DO272" s="55"/>
      <c r="DP272" s="55"/>
      <c r="DQ272" s="55"/>
      <c r="DR272" s="55"/>
      <c r="DS272" s="55"/>
      <c r="DT272" s="55"/>
      <c r="DU272" s="55"/>
      <c r="DV272" s="55"/>
      <c r="DW272" s="55"/>
      <c r="DX272" s="55"/>
      <c r="DY272" s="55"/>
      <c r="DZ272" s="55"/>
      <c r="EA272" s="55"/>
      <c r="EB272" s="55"/>
      <c r="EC272" s="55"/>
      <c r="ED272" s="55"/>
      <c r="EE272" s="55"/>
      <c r="EF272" s="55"/>
      <c r="EG272" s="55"/>
      <c r="EH272" s="55"/>
      <c r="EI272" s="55"/>
      <c r="EJ272" s="55"/>
      <c r="EK272" s="55"/>
      <c r="EL272" s="55"/>
      <c r="EM272" s="55"/>
      <c r="EN272" s="55"/>
      <c r="EO272" s="55"/>
      <c r="EP272" s="55"/>
      <c r="EQ272" s="55"/>
      <c r="ER272" s="55"/>
      <c r="ES272" s="55"/>
      <c r="ET272" s="55"/>
      <c r="EU272" s="55"/>
      <c r="EV272" s="55"/>
      <c r="EW272" s="55"/>
      <c r="EX272" s="55"/>
      <c r="EY272" s="55"/>
      <c r="EZ272" s="55"/>
      <c r="FA272" s="55"/>
      <c r="FB272" s="55"/>
      <c r="FC272" s="55"/>
      <c r="FD272" s="55"/>
      <c r="FE272" s="55"/>
      <c r="FF272" s="55"/>
      <c r="FG272" s="55"/>
      <c r="FH272" s="55"/>
      <c r="FI272" s="55"/>
      <c r="FJ272" s="55"/>
      <c r="FK272" s="55"/>
      <c r="FL272" s="55"/>
      <c r="FM272" s="55"/>
      <c r="FN272" s="55"/>
      <c r="FO272" s="55"/>
      <c r="FP272" s="55"/>
      <c r="FQ272" s="55"/>
      <c r="FR272" s="55"/>
      <c r="FS272" s="55"/>
      <c r="FT272" s="55"/>
      <c r="FU272" s="55"/>
      <c r="FV272" s="55"/>
      <c r="FW272" s="55"/>
      <c r="FX272" s="55"/>
      <c r="FY272" s="55"/>
      <c r="FZ272" s="55"/>
      <c r="GA272" s="55"/>
      <c r="GB272" s="55"/>
      <c r="GC272" s="55"/>
      <c r="GD272" s="55"/>
      <c r="GE272" s="55"/>
      <c r="GF272" s="55"/>
      <c r="GG272" s="55"/>
      <c r="GH272" s="55"/>
      <c r="GI272" s="55"/>
      <c r="GJ272" s="55"/>
      <c r="GK272" s="55"/>
      <c r="GL272" s="55"/>
      <c r="GM272" s="55"/>
      <c r="GN272" s="55"/>
      <c r="GO272" s="55"/>
      <c r="GP272" s="55"/>
      <c r="GQ272" s="55"/>
      <c r="GR272" s="55"/>
      <c r="GS272" s="55"/>
      <c r="GT272" s="55"/>
      <c r="GU272" s="55"/>
      <c r="GV272" s="55"/>
      <c r="GW272" s="55"/>
      <c r="GX272" s="55"/>
      <c r="GY272" s="55"/>
      <c r="GZ272" s="55"/>
      <c r="HA272" s="55"/>
      <c r="HB272" s="55"/>
      <c r="HC272" s="55"/>
      <c r="HD272" s="55"/>
      <c r="HE272" s="55"/>
      <c r="HF272" s="55"/>
      <c r="HG272" s="55"/>
      <c r="HH272" s="55"/>
      <c r="HI272" s="55"/>
      <c r="HJ272" s="55"/>
      <c r="HK272" s="55"/>
      <c r="HL272" s="55"/>
      <c r="HM272" s="55"/>
      <c r="HN272" s="55"/>
      <c r="HO272" s="55"/>
      <c r="HP272" s="55"/>
      <c r="HQ272" s="55"/>
      <c r="HR272" s="55"/>
      <c r="HS272" s="55"/>
      <c r="HT272" s="55"/>
      <c r="HU272" s="55"/>
      <c r="HV272" s="55"/>
      <c r="HW272" s="55"/>
      <c r="HX272" s="55"/>
      <c r="HY272" s="55"/>
      <c r="HZ272" s="55"/>
      <c r="IA272" s="55"/>
      <c r="IB272" s="55"/>
      <c r="IC272" s="55"/>
      <c r="ID272" s="55"/>
    </row>
    <row r="273" s="52" customFormat="1" ht="30" customHeight="1" spans="1:238">
      <c r="A273" s="64">
        <v>80</v>
      </c>
      <c r="B273" s="64" t="s">
        <v>1105</v>
      </c>
      <c r="C273" s="64" t="s">
        <v>1106</v>
      </c>
      <c r="D273" s="65" t="s">
        <v>1107</v>
      </c>
      <c r="E273" s="77" t="s">
        <v>1108</v>
      </c>
      <c r="F273" s="77" t="s">
        <v>1109</v>
      </c>
      <c r="G273" s="64" t="s">
        <v>110</v>
      </c>
      <c r="H273" s="78">
        <v>1080</v>
      </c>
      <c r="I273" s="78">
        <v>972</v>
      </c>
      <c r="J273" s="83">
        <v>1000</v>
      </c>
      <c r="K273" s="83">
        <v>960</v>
      </c>
      <c r="L273" s="83">
        <v>816</v>
      </c>
      <c r="M273" s="41">
        <v>1000</v>
      </c>
      <c r="N273" s="41">
        <v>960</v>
      </c>
      <c r="O273" s="41">
        <v>816</v>
      </c>
      <c r="P273" s="64" t="s">
        <v>37</v>
      </c>
      <c r="Q273" s="64" t="s">
        <v>35</v>
      </c>
      <c r="R273" s="64" t="s">
        <v>35</v>
      </c>
      <c r="S273" s="83" t="s">
        <v>381</v>
      </c>
      <c r="T273" s="77" t="s">
        <v>381</v>
      </c>
      <c r="U273" s="105" t="s">
        <v>1110</v>
      </c>
      <c r="V273" s="105">
        <v>330404013</v>
      </c>
      <c r="W273" s="106" t="s">
        <v>1111</v>
      </c>
      <c r="X273" s="105" t="s">
        <v>1112</v>
      </c>
      <c r="Y273" s="105" t="s">
        <v>1090</v>
      </c>
      <c r="Z273" s="105" t="s">
        <v>36</v>
      </c>
      <c r="AA273" s="110" t="s">
        <v>35</v>
      </c>
      <c r="AB273" s="50">
        <v>1000</v>
      </c>
      <c r="AC273" s="50">
        <v>960</v>
      </c>
      <c r="AD273" s="50">
        <v>816</v>
      </c>
      <c r="AE273" s="112" t="s">
        <v>37</v>
      </c>
      <c r="AF273" s="60"/>
      <c r="AG273" s="55"/>
      <c r="AH273" s="55"/>
      <c r="AI273" s="55"/>
      <c r="AJ273" s="55"/>
      <c r="AK273" s="55"/>
      <c r="AL273" s="55"/>
      <c r="AM273" s="55"/>
      <c r="AN273" s="55"/>
      <c r="AO273" s="55"/>
      <c r="AP273" s="55"/>
      <c r="AQ273" s="55"/>
      <c r="AR273" s="55"/>
      <c r="AS273" s="55"/>
      <c r="AT273" s="55"/>
      <c r="AU273" s="55"/>
      <c r="AV273" s="55"/>
      <c r="AW273" s="55"/>
      <c r="AX273" s="55"/>
      <c r="AY273" s="55"/>
      <c r="AZ273" s="55"/>
      <c r="BA273" s="55"/>
      <c r="BB273" s="55"/>
      <c r="BC273" s="55"/>
      <c r="BD273" s="55"/>
      <c r="BE273" s="55"/>
      <c r="BF273" s="55"/>
      <c r="BG273" s="55"/>
      <c r="BH273" s="55"/>
      <c r="BI273" s="55"/>
      <c r="BJ273" s="55"/>
      <c r="BK273" s="55"/>
      <c r="BL273" s="55"/>
      <c r="BM273" s="55"/>
      <c r="BN273" s="55"/>
      <c r="BO273" s="55"/>
      <c r="BP273" s="55"/>
      <c r="BQ273" s="55"/>
      <c r="BR273" s="55"/>
      <c r="BS273" s="55"/>
      <c r="BT273" s="55"/>
      <c r="BU273" s="55"/>
      <c r="BV273" s="55"/>
      <c r="BW273" s="55"/>
      <c r="BX273" s="55"/>
      <c r="BY273" s="55"/>
      <c r="BZ273" s="55"/>
      <c r="CA273" s="55"/>
      <c r="CB273" s="55"/>
      <c r="CC273" s="55"/>
      <c r="CD273" s="55"/>
      <c r="CE273" s="55"/>
      <c r="CF273" s="55"/>
      <c r="CG273" s="55"/>
      <c r="CH273" s="55"/>
      <c r="CI273" s="55"/>
      <c r="CJ273" s="55"/>
      <c r="CK273" s="55"/>
      <c r="CL273" s="55"/>
      <c r="CM273" s="55"/>
      <c r="CN273" s="55"/>
      <c r="CO273" s="55"/>
      <c r="CP273" s="55"/>
      <c r="CQ273" s="55"/>
      <c r="CR273" s="55"/>
      <c r="CS273" s="55"/>
      <c r="CT273" s="55"/>
      <c r="CU273" s="55"/>
      <c r="CV273" s="55"/>
      <c r="CW273" s="55"/>
      <c r="CX273" s="55"/>
      <c r="CY273" s="55"/>
      <c r="CZ273" s="55"/>
      <c r="DA273" s="55"/>
      <c r="DB273" s="55"/>
      <c r="DC273" s="55"/>
      <c r="DD273" s="55"/>
      <c r="DE273" s="55"/>
      <c r="DF273" s="55"/>
      <c r="DG273" s="55"/>
      <c r="DH273" s="55"/>
      <c r="DI273" s="55"/>
      <c r="DJ273" s="55"/>
      <c r="DK273" s="55"/>
      <c r="DL273" s="55"/>
      <c r="DM273" s="55"/>
      <c r="DN273" s="55"/>
      <c r="DO273" s="55"/>
      <c r="DP273" s="55"/>
      <c r="DQ273" s="55"/>
      <c r="DR273" s="55"/>
      <c r="DS273" s="55"/>
      <c r="DT273" s="55"/>
      <c r="DU273" s="55"/>
      <c r="DV273" s="55"/>
      <c r="DW273" s="55"/>
      <c r="DX273" s="55"/>
      <c r="DY273" s="55"/>
      <c r="DZ273" s="55"/>
      <c r="EA273" s="55"/>
      <c r="EB273" s="55"/>
      <c r="EC273" s="55"/>
      <c r="ED273" s="55"/>
      <c r="EE273" s="55"/>
      <c r="EF273" s="55"/>
      <c r="EG273" s="55"/>
      <c r="EH273" s="55"/>
      <c r="EI273" s="55"/>
      <c r="EJ273" s="55"/>
      <c r="EK273" s="55"/>
      <c r="EL273" s="55"/>
      <c r="EM273" s="55"/>
      <c r="EN273" s="55"/>
      <c r="EO273" s="55"/>
      <c r="EP273" s="55"/>
      <c r="EQ273" s="55"/>
      <c r="ER273" s="55"/>
      <c r="ES273" s="55"/>
      <c r="ET273" s="55"/>
      <c r="EU273" s="55"/>
      <c r="EV273" s="55"/>
      <c r="EW273" s="55"/>
      <c r="EX273" s="55"/>
      <c r="EY273" s="55"/>
      <c r="EZ273" s="55"/>
      <c r="FA273" s="55"/>
      <c r="FB273" s="55"/>
      <c r="FC273" s="55"/>
      <c r="FD273" s="55"/>
      <c r="FE273" s="55"/>
      <c r="FF273" s="55"/>
      <c r="FG273" s="55"/>
      <c r="FH273" s="55"/>
      <c r="FI273" s="55"/>
      <c r="FJ273" s="55"/>
      <c r="FK273" s="55"/>
      <c r="FL273" s="55"/>
      <c r="FM273" s="55"/>
      <c r="FN273" s="55"/>
      <c r="FO273" s="55"/>
      <c r="FP273" s="55"/>
      <c r="FQ273" s="55"/>
      <c r="FR273" s="55"/>
      <c r="FS273" s="55"/>
      <c r="FT273" s="55"/>
      <c r="FU273" s="55"/>
      <c r="FV273" s="55"/>
      <c r="FW273" s="55"/>
      <c r="FX273" s="55"/>
      <c r="FY273" s="55"/>
      <c r="FZ273" s="55"/>
      <c r="GA273" s="55"/>
      <c r="GB273" s="55"/>
      <c r="GC273" s="55"/>
      <c r="GD273" s="55"/>
      <c r="GE273" s="55"/>
      <c r="GF273" s="55"/>
      <c r="GG273" s="55"/>
      <c r="GH273" s="55"/>
      <c r="GI273" s="55"/>
      <c r="GJ273" s="55"/>
      <c r="GK273" s="55"/>
      <c r="GL273" s="55"/>
      <c r="GM273" s="55"/>
      <c r="GN273" s="55"/>
      <c r="GO273" s="55"/>
      <c r="GP273" s="55"/>
      <c r="GQ273" s="55"/>
      <c r="GR273" s="55"/>
      <c r="GS273" s="55"/>
      <c r="GT273" s="55"/>
      <c r="GU273" s="55"/>
      <c r="GV273" s="55"/>
      <c r="GW273" s="55"/>
      <c r="GX273" s="55"/>
      <c r="GY273" s="55"/>
      <c r="GZ273" s="55"/>
      <c r="HA273" s="55"/>
      <c r="HB273" s="55"/>
      <c r="HC273" s="55"/>
      <c r="HD273" s="55"/>
      <c r="HE273" s="55"/>
      <c r="HF273" s="55"/>
      <c r="HG273" s="55"/>
      <c r="HH273" s="55"/>
      <c r="HI273" s="55"/>
      <c r="HJ273" s="55"/>
      <c r="HK273" s="55"/>
      <c r="HL273" s="55"/>
      <c r="HM273" s="55"/>
      <c r="HN273" s="55"/>
      <c r="HO273" s="55"/>
      <c r="HP273" s="55"/>
      <c r="HQ273" s="55"/>
      <c r="HR273" s="55"/>
      <c r="HS273" s="55"/>
      <c r="HT273" s="55"/>
      <c r="HU273" s="55"/>
      <c r="HV273" s="55"/>
      <c r="HW273" s="55"/>
      <c r="HX273" s="55"/>
      <c r="HY273" s="55"/>
      <c r="HZ273" s="55"/>
      <c r="IA273" s="55"/>
      <c r="IB273" s="55"/>
      <c r="IC273" s="55"/>
      <c r="ID273" s="55"/>
    </row>
    <row r="274" s="52" customFormat="1" ht="30" customHeight="1" spans="1:238">
      <c r="A274" s="64"/>
      <c r="B274" s="64"/>
      <c r="C274" s="64"/>
      <c r="D274" s="65"/>
      <c r="E274" s="77"/>
      <c r="F274" s="77"/>
      <c r="G274" s="64"/>
      <c r="H274" s="42"/>
      <c r="I274" s="42"/>
      <c r="J274" s="83"/>
      <c r="K274" s="83"/>
      <c r="L274" s="83"/>
      <c r="M274" s="41"/>
      <c r="N274" s="41"/>
      <c r="O274" s="41"/>
      <c r="P274" s="64"/>
      <c r="Q274" s="64"/>
      <c r="R274" s="64"/>
      <c r="S274" s="83"/>
      <c r="T274" s="77"/>
      <c r="U274" s="105" t="s">
        <v>1113</v>
      </c>
      <c r="V274" s="105">
        <v>33040401302</v>
      </c>
      <c r="W274" s="106" t="s">
        <v>1114</v>
      </c>
      <c r="X274" s="105"/>
      <c r="Y274" s="105"/>
      <c r="Z274" s="105" t="s">
        <v>36</v>
      </c>
      <c r="AA274" s="110" t="s">
        <v>35</v>
      </c>
      <c r="AB274" s="50">
        <v>1000</v>
      </c>
      <c r="AC274" s="50">
        <v>960</v>
      </c>
      <c r="AD274" s="50">
        <v>816</v>
      </c>
      <c r="AE274" s="112" t="s">
        <v>37</v>
      </c>
      <c r="AF274" s="60"/>
      <c r="AG274" s="55"/>
      <c r="AH274" s="55"/>
      <c r="AI274" s="55"/>
      <c r="AJ274" s="55"/>
      <c r="AK274" s="55"/>
      <c r="AL274" s="55"/>
      <c r="AM274" s="55"/>
      <c r="AN274" s="55"/>
      <c r="AO274" s="55"/>
      <c r="AP274" s="55"/>
      <c r="AQ274" s="55"/>
      <c r="AR274" s="55"/>
      <c r="AS274" s="55"/>
      <c r="AT274" s="55"/>
      <c r="AU274" s="55"/>
      <c r="AV274" s="55"/>
      <c r="AW274" s="55"/>
      <c r="AX274" s="55"/>
      <c r="AY274" s="55"/>
      <c r="AZ274" s="55"/>
      <c r="BA274" s="55"/>
      <c r="BB274" s="55"/>
      <c r="BC274" s="55"/>
      <c r="BD274" s="55"/>
      <c r="BE274" s="55"/>
      <c r="BF274" s="55"/>
      <c r="BG274" s="55"/>
      <c r="BH274" s="55"/>
      <c r="BI274" s="55"/>
      <c r="BJ274" s="55"/>
      <c r="BK274" s="55"/>
      <c r="BL274" s="55"/>
      <c r="BM274" s="55"/>
      <c r="BN274" s="55"/>
      <c r="BO274" s="55"/>
      <c r="BP274" s="55"/>
      <c r="BQ274" s="55"/>
      <c r="BR274" s="55"/>
      <c r="BS274" s="55"/>
      <c r="BT274" s="55"/>
      <c r="BU274" s="55"/>
      <c r="BV274" s="55"/>
      <c r="BW274" s="55"/>
      <c r="BX274" s="55"/>
      <c r="BY274" s="55"/>
      <c r="BZ274" s="55"/>
      <c r="CA274" s="55"/>
      <c r="CB274" s="55"/>
      <c r="CC274" s="55"/>
      <c r="CD274" s="55"/>
      <c r="CE274" s="55"/>
      <c r="CF274" s="55"/>
      <c r="CG274" s="55"/>
      <c r="CH274" s="55"/>
      <c r="CI274" s="55"/>
      <c r="CJ274" s="55"/>
      <c r="CK274" s="55"/>
      <c r="CL274" s="55"/>
      <c r="CM274" s="55"/>
      <c r="CN274" s="55"/>
      <c r="CO274" s="55"/>
      <c r="CP274" s="55"/>
      <c r="CQ274" s="55"/>
      <c r="CR274" s="55"/>
      <c r="CS274" s="55"/>
      <c r="CT274" s="55"/>
      <c r="CU274" s="55"/>
      <c r="CV274" s="55"/>
      <c r="CW274" s="55"/>
      <c r="CX274" s="55"/>
      <c r="CY274" s="55"/>
      <c r="CZ274" s="55"/>
      <c r="DA274" s="55"/>
      <c r="DB274" s="55"/>
      <c r="DC274" s="55"/>
      <c r="DD274" s="55"/>
      <c r="DE274" s="55"/>
      <c r="DF274" s="55"/>
      <c r="DG274" s="55"/>
      <c r="DH274" s="55"/>
      <c r="DI274" s="55"/>
      <c r="DJ274" s="55"/>
      <c r="DK274" s="55"/>
      <c r="DL274" s="55"/>
      <c r="DM274" s="55"/>
      <c r="DN274" s="55"/>
      <c r="DO274" s="55"/>
      <c r="DP274" s="55"/>
      <c r="DQ274" s="55"/>
      <c r="DR274" s="55"/>
      <c r="DS274" s="55"/>
      <c r="DT274" s="55"/>
      <c r="DU274" s="55"/>
      <c r="DV274" s="55"/>
      <c r="DW274" s="55"/>
      <c r="DX274" s="55"/>
      <c r="DY274" s="55"/>
      <c r="DZ274" s="55"/>
      <c r="EA274" s="55"/>
      <c r="EB274" s="55"/>
      <c r="EC274" s="55"/>
      <c r="ED274" s="55"/>
      <c r="EE274" s="55"/>
      <c r="EF274" s="55"/>
      <c r="EG274" s="55"/>
      <c r="EH274" s="55"/>
      <c r="EI274" s="55"/>
      <c r="EJ274" s="55"/>
      <c r="EK274" s="55"/>
      <c r="EL274" s="55"/>
      <c r="EM274" s="55"/>
      <c r="EN274" s="55"/>
      <c r="EO274" s="55"/>
      <c r="EP274" s="55"/>
      <c r="EQ274" s="55"/>
      <c r="ER274" s="55"/>
      <c r="ES274" s="55"/>
      <c r="ET274" s="55"/>
      <c r="EU274" s="55"/>
      <c r="EV274" s="55"/>
      <c r="EW274" s="55"/>
      <c r="EX274" s="55"/>
      <c r="EY274" s="55"/>
      <c r="EZ274" s="55"/>
      <c r="FA274" s="55"/>
      <c r="FB274" s="55"/>
      <c r="FC274" s="55"/>
      <c r="FD274" s="55"/>
      <c r="FE274" s="55"/>
      <c r="FF274" s="55"/>
      <c r="FG274" s="55"/>
      <c r="FH274" s="55"/>
      <c r="FI274" s="55"/>
      <c r="FJ274" s="55"/>
      <c r="FK274" s="55"/>
      <c r="FL274" s="55"/>
      <c r="FM274" s="55"/>
      <c r="FN274" s="55"/>
      <c r="FO274" s="55"/>
      <c r="FP274" s="55"/>
      <c r="FQ274" s="55"/>
      <c r="FR274" s="55"/>
      <c r="FS274" s="55"/>
      <c r="FT274" s="55"/>
      <c r="FU274" s="55"/>
      <c r="FV274" s="55"/>
      <c r="FW274" s="55"/>
      <c r="FX274" s="55"/>
      <c r="FY274" s="55"/>
      <c r="FZ274" s="55"/>
      <c r="GA274" s="55"/>
      <c r="GB274" s="55"/>
      <c r="GC274" s="55"/>
      <c r="GD274" s="55"/>
      <c r="GE274" s="55"/>
      <c r="GF274" s="55"/>
      <c r="GG274" s="55"/>
      <c r="GH274" s="55"/>
      <c r="GI274" s="55"/>
      <c r="GJ274" s="55"/>
      <c r="GK274" s="55"/>
      <c r="GL274" s="55"/>
      <c r="GM274" s="55"/>
      <c r="GN274" s="55"/>
      <c r="GO274" s="55"/>
      <c r="GP274" s="55"/>
      <c r="GQ274" s="55"/>
      <c r="GR274" s="55"/>
      <c r="GS274" s="55"/>
      <c r="GT274" s="55"/>
      <c r="GU274" s="55"/>
      <c r="GV274" s="55"/>
      <c r="GW274" s="55"/>
      <c r="GX274" s="55"/>
      <c r="GY274" s="55"/>
      <c r="GZ274" s="55"/>
      <c r="HA274" s="55"/>
      <c r="HB274" s="55"/>
      <c r="HC274" s="55"/>
      <c r="HD274" s="55"/>
      <c r="HE274" s="55"/>
      <c r="HF274" s="55"/>
      <c r="HG274" s="55"/>
      <c r="HH274" s="55"/>
      <c r="HI274" s="55"/>
      <c r="HJ274" s="55"/>
      <c r="HK274" s="55"/>
      <c r="HL274" s="55"/>
      <c r="HM274" s="55"/>
      <c r="HN274" s="55"/>
      <c r="HO274" s="55"/>
      <c r="HP274" s="55"/>
      <c r="HQ274" s="55"/>
      <c r="HR274" s="55"/>
      <c r="HS274" s="55"/>
      <c r="HT274" s="55"/>
      <c r="HU274" s="55"/>
      <c r="HV274" s="55"/>
      <c r="HW274" s="55"/>
      <c r="HX274" s="55"/>
      <c r="HY274" s="55"/>
      <c r="HZ274" s="55"/>
      <c r="IA274" s="55"/>
      <c r="IB274" s="55"/>
      <c r="IC274" s="55"/>
      <c r="ID274" s="55"/>
    </row>
    <row r="275" s="52" customFormat="1" ht="27" customHeight="1" spans="1:238">
      <c r="A275" s="64" t="s">
        <v>95</v>
      </c>
      <c r="B275" s="64" t="s">
        <v>1115</v>
      </c>
      <c r="C275" s="64" t="s">
        <v>1116</v>
      </c>
      <c r="D275" s="65"/>
      <c r="E275" s="77"/>
      <c r="F275" s="77" t="s">
        <v>35</v>
      </c>
      <c r="G275" s="64" t="s">
        <v>110</v>
      </c>
      <c r="H275" s="78">
        <v>324</v>
      </c>
      <c r="I275" s="78">
        <v>292</v>
      </c>
      <c r="J275" s="83">
        <v>300</v>
      </c>
      <c r="K275" s="83">
        <v>290</v>
      </c>
      <c r="L275" s="83">
        <v>249</v>
      </c>
      <c r="M275" s="41">
        <v>300</v>
      </c>
      <c r="N275" s="41">
        <v>290</v>
      </c>
      <c r="O275" s="41">
        <v>245</v>
      </c>
      <c r="P275" s="64" t="s">
        <v>37</v>
      </c>
      <c r="Q275" s="64" t="s">
        <v>35</v>
      </c>
      <c r="R275" s="64" t="s">
        <v>35</v>
      </c>
      <c r="S275" s="83"/>
      <c r="T275" s="77" t="s">
        <v>186</v>
      </c>
      <c r="U275" s="105" t="s">
        <v>1117</v>
      </c>
      <c r="V275" s="105">
        <v>33040401301</v>
      </c>
      <c r="W275" s="106" t="s">
        <v>1118</v>
      </c>
      <c r="X275" s="105"/>
      <c r="Y275" s="105"/>
      <c r="Z275" s="105" t="s">
        <v>36</v>
      </c>
      <c r="AA275" s="110" t="s">
        <v>35</v>
      </c>
      <c r="AB275" s="50">
        <v>1300</v>
      </c>
      <c r="AC275" s="50">
        <v>1250</v>
      </c>
      <c r="AD275" s="50">
        <v>1065</v>
      </c>
      <c r="AE275" s="112" t="s">
        <v>37</v>
      </c>
      <c r="AF275" s="60"/>
      <c r="AG275" s="55"/>
      <c r="AH275" s="55"/>
      <c r="AI275" s="55"/>
      <c r="AJ275" s="55"/>
      <c r="AK275" s="55"/>
      <c r="AL275" s="55"/>
      <c r="AM275" s="55"/>
      <c r="AN275" s="55"/>
      <c r="AO275" s="55"/>
      <c r="AP275" s="55"/>
      <c r="AQ275" s="55"/>
      <c r="AR275" s="55"/>
      <c r="AS275" s="55"/>
      <c r="AT275" s="55"/>
      <c r="AU275" s="55"/>
      <c r="AV275" s="55"/>
      <c r="AW275" s="55"/>
      <c r="AX275" s="55"/>
      <c r="AY275" s="55"/>
      <c r="AZ275" s="55"/>
      <c r="BA275" s="55"/>
      <c r="BB275" s="55"/>
      <c r="BC275" s="55"/>
      <c r="BD275" s="55"/>
      <c r="BE275" s="55"/>
      <c r="BF275" s="55"/>
      <c r="BG275" s="55"/>
      <c r="BH275" s="55"/>
      <c r="BI275" s="55"/>
      <c r="BJ275" s="55"/>
      <c r="BK275" s="55"/>
      <c r="BL275" s="55"/>
      <c r="BM275" s="55"/>
      <c r="BN275" s="55"/>
      <c r="BO275" s="55"/>
      <c r="BP275" s="55"/>
      <c r="BQ275" s="55"/>
      <c r="BR275" s="55"/>
      <c r="BS275" s="55"/>
      <c r="BT275" s="55"/>
      <c r="BU275" s="55"/>
      <c r="BV275" s="55"/>
      <c r="BW275" s="55"/>
      <c r="BX275" s="55"/>
      <c r="BY275" s="55"/>
      <c r="BZ275" s="55"/>
      <c r="CA275" s="55"/>
      <c r="CB275" s="55"/>
      <c r="CC275" s="55"/>
      <c r="CD275" s="55"/>
      <c r="CE275" s="55"/>
      <c r="CF275" s="55"/>
      <c r="CG275" s="55"/>
      <c r="CH275" s="55"/>
      <c r="CI275" s="55"/>
      <c r="CJ275" s="55"/>
      <c r="CK275" s="55"/>
      <c r="CL275" s="55"/>
      <c r="CM275" s="55"/>
      <c r="CN275" s="55"/>
      <c r="CO275" s="55"/>
      <c r="CP275" s="55"/>
      <c r="CQ275" s="55"/>
      <c r="CR275" s="55"/>
      <c r="CS275" s="55"/>
      <c r="CT275" s="55"/>
      <c r="CU275" s="55"/>
      <c r="CV275" s="55"/>
      <c r="CW275" s="55"/>
      <c r="CX275" s="55"/>
      <c r="CY275" s="55"/>
      <c r="CZ275" s="55"/>
      <c r="DA275" s="55"/>
      <c r="DB275" s="55"/>
      <c r="DC275" s="55"/>
      <c r="DD275" s="55"/>
      <c r="DE275" s="55"/>
      <c r="DF275" s="55"/>
      <c r="DG275" s="55"/>
      <c r="DH275" s="55"/>
      <c r="DI275" s="55"/>
      <c r="DJ275" s="55"/>
      <c r="DK275" s="55"/>
      <c r="DL275" s="55"/>
      <c r="DM275" s="55"/>
      <c r="DN275" s="55"/>
      <c r="DO275" s="55"/>
      <c r="DP275" s="55"/>
      <c r="DQ275" s="55"/>
      <c r="DR275" s="55"/>
      <c r="DS275" s="55"/>
      <c r="DT275" s="55"/>
      <c r="DU275" s="55"/>
      <c r="DV275" s="55"/>
      <c r="DW275" s="55"/>
      <c r="DX275" s="55"/>
      <c r="DY275" s="55"/>
      <c r="DZ275" s="55"/>
      <c r="EA275" s="55"/>
      <c r="EB275" s="55"/>
      <c r="EC275" s="55"/>
      <c r="ED275" s="55"/>
      <c r="EE275" s="55"/>
      <c r="EF275" s="55"/>
      <c r="EG275" s="55"/>
      <c r="EH275" s="55"/>
      <c r="EI275" s="55"/>
      <c r="EJ275" s="55"/>
      <c r="EK275" s="55"/>
      <c r="EL275" s="55"/>
      <c r="EM275" s="55"/>
      <c r="EN275" s="55"/>
      <c r="EO275" s="55"/>
      <c r="EP275" s="55"/>
      <c r="EQ275" s="55"/>
      <c r="ER275" s="55"/>
      <c r="ES275" s="55"/>
      <c r="ET275" s="55"/>
      <c r="EU275" s="55"/>
      <c r="EV275" s="55"/>
      <c r="EW275" s="55"/>
      <c r="EX275" s="55"/>
      <c r="EY275" s="55"/>
      <c r="EZ275" s="55"/>
      <c r="FA275" s="55"/>
      <c r="FB275" s="55"/>
      <c r="FC275" s="55"/>
      <c r="FD275" s="55"/>
      <c r="FE275" s="55"/>
      <c r="FF275" s="55"/>
      <c r="FG275" s="55"/>
      <c r="FH275" s="55"/>
      <c r="FI275" s="55"/>
      <c r="FJ275" s="55"/>
      <c r="FK275" s="55"/>
      <c r="FL275" s="55"/>
      <c r="FM275" s="55"/>
      <c r="FN275" s="55"/>
      <c r="FO275" s="55"/>
      <c r="FP275" s="55"/>
      <c r="FQ275" s="55"/>
      <c r="FR275" s="55"/>
      <c r="FS275" s="55"/>
      <c r="FT275" s="55"/>
      <c r="FU275" s="55"/>
      <c r="FV275" s="55"/>
      <c r="FW275" s="55"/>
      <c r="FX275" s="55"/>
      <c r="FY275" s="55"/>
      <c r="FZ275" s="55"/>
      <c r="GA275" s="55"/>
      <c r="GB275" s="55"/>
      <c r="GC275" s="55"/>
      <c r="GD275" s="55"/>
      <c r="GE275" s="55"/>
      <c r="GF275" s="55"/>
      <c r="GG275" s="55"/>
      <c r="GH275" s="55"/>
      <c r="GI275" s="55"/>
      <c r="GJ275" s="55"/>
      <c r="GK275" s="55"/>
      <c r="GL275" s="55"/>
      <c r="GM275" s="55"/>
      <c r="GN275" s="55"/>
      <c r="GO275" s="55"/>
      <c r="GP275" s="55"/>
      <c r="GQ275" s="55"/>
      <c r="GR275" s="55"/>
      <c r="GS275" s="55"/>
      <c r="GT275" s="55"/>
      <c r="GU275" s="55"/>
      <c r="GV275" s="55"/>
      <c r="GW275" s="55"/>
      <c r="GX275" s="55"/>
      <c r="GY275" s="55"/>
      <c r="GZ275" s="55"/>
      <c r="HA275" s="55"/>
      <c r="HB275" s="55"/>
      <c r="HC275" s="55"/>
      <c r="HD275" s="55"/>
      <c r="HE275" s="55"/>
      <c r="HF275" s="55"/>
      <c r="HG275" s="55"/>
      <c r="HH275" s="55"/>
      <c r="HI275" s="55"/>
      <c r="HJ275" s="55"/>
      <c r="HK275" s="55"/>
      <c r="HL275" s="55"/>
      <c r="HM275" s="55"/>
      <c r="HN275" s="55"/>
      <c r="HO275" s="55"/>
      <c r="HP275" s="55"/>
      <c r="HQ275" s="55"/>
      <c r="HR275" s="55"/>
      <c r="HS275" s="55"/>
      <c r="HT275" s="55"/>
      <c r="HU275" s="55"/>
      <c r="HV275" s="55"/>
      <c r="HW275" s="55"/>
      <c r="HX275" s="55"/>
      <c r="HY275" s="55"/>
      <c r="HZ275" s="55"/>
      <c r="IA275" s="55"/>
      <c r="IB275" s="55"/>
      <c r="IC275" s="55"/>
      <c r="ID275" s="55"/>
    </row>
    <row r="276" s="52" customFormat="1" ht="27" customHeight="1" spans="1:238">
      <c r="A276" s="64"/>
      <c r="B276" s="64"/>
      <c r="C276" s="64"/>
      <c r="D276" s="65"/>
      <c r="E276" s="77"/>
      <c r="F276" s="77"/>
      <c r="G276" s="64"/>
      <c r="H276" s="42"/>
      <c r="I276" s="42"/>
      <c r="J276" s="83"/>
      <c r="K276" s="83"/>
      <c r="L276" s="83"/>
      <c r="M276" s="41"/>
      <c r="N276" s="41"/>
      <c r="O276" s="41"/>
      <c r="P276" s="64"/>
      <c r="Q276" s="64"/>
      <c r="R276" s="64"/>
      <c r="S276" s="83"/>
      <c r="T276" s="77"/>
      <c r="U276" s="105" t="s">
        <v>1119</v>
      </c>
      <c r="V276" s="105">
        <v>33040401303</v>
      </c>
      <c r="W276" s="106" t="s">
        <v>1120</v>
      </c>
      <c r="X276" s="105"/>
      <c r="Y276" s="105"/>
      <c r="Z276" s="105" t="s">
        <v>36</v>
      </c>
      <c r="AA276" s="110" t="s">
        <v>35</v>
      </c>
      <c r="AB276" s="50">
        <v>1300</v>
      </c>
      <c r="AC276" s="50">
        <v>1250</v>
      </c>
      <c r="AD276" s="50">
        <v>1065</v>
      </c>
      <c r="AE276" s="112" t="s">
        <v>37</v>
      </c>
      <c r="AF276" s="60"/>
      <c r="AG276" s="55"/>
      <c r="AH276" s="55"/>
      <c r="AI276" s="55"/>
      <c r="AJ276" s="55"/>
      <c r="AK276" s="55"/>
      <c r="AL276" s="55"/>
      <c r="AM276" s="55"/>
      <c r="AN276" s="55"/>
      <c r="AO276" s="55"/>
      <c r="AP276" s="55"/>
      <c r="AQ276" s="55"/>
      <c r="AR276" s="55"/>
      <c r="AS276" s="55"/>
      <c r="AT276" s="55"/>
      <c r="AU276" s="55"/>
      <c r="AV276" s="55"/>
      <c r="AW276" s="55"/>
      <c r="AX276" s="55"/>
      <c r="AY276" s="55"/>
      <c r="AZ276" s="55"/>
      <c r="BA276" s="55"/>
      <c r="BB276" s="55"/>
      <c r="BC276" s="55"/>
      <c r="BD276" s="55"/>
      <c r="BE276" s="55"/>
      <c r="BF276" s="55"/>
      <c r="BG276" s="55"/>
      <c r="BH276" s="55"/>
      <c r="BI276" s="55"/>
      <c r="BJ276" s="55"/>
      <c r="BK276" s="55"/>
      <c r="BL276" s="55"/>
      <c r="BM276" s="55"/>
      <c r="BN276" s="55"/>
      <c r="BO276" s="55"/>
      <c r="BP276" s="55"/>
      <c r="BQ276" s="55"/>
      <c r="BR276" s="55"/>
      <c r="BS276" s="55"/>
      <c r="BT276" s="55"/>
      <c r="BU276" s="55"/>
      <c r="BV276" s="55"/>
      <c r="BW276" s="55"/>
      <c r="BX276" s="55"/>
      <c r="BY276" s="55"/>
      <c r="BZ276" s="55"/>
      <c r="CA276" s="55"/>
      <c r="CB276" s="55"/>
      <c r="CC276" s="55"/>
      <c r="CD276" s="55"/>
      <c r="CE276" s="55"/>
      <c r="CF276" s="55"/>
      <c r="CG276" s="55"/>
      <c r="CH276" s="55"/>
      <c r="CI276" s="55"/>
      <c r="CJ276" s="55"/>
      <c r="CK276" s="55"/>
      <c r="CL276" s="55"/>
      <c r="CM276" s="55"/>
      <c r="CN276" s="55"/>
      <c r="CO276" s="55"/>
      <c r="CP276" s="55"/>
      <c r="CQ276" s="55"/>
      <c r="CR276" s="55"/>
      <c r="CS276" s="55"/>
      <c r="CT276" s="55"/>
      <c r="CU276" s="55"/>
      <c r="CV276" s="55"/>
      <c r="CW276" s="55"/>
      <c r="CX276" s="55"/>
      <c r="CY276" s="55"/>
      <c r="CZ276" s="55"/>
      <c r="DA276" s="55"/>
      <c r="DB276" s="55"/>
      <c r="DC276" s="55"/>
      <c r="DD276" s="55"/>
      <c r="DE276" s="55"/>
      <c r="DF276" s="55"/>
      <c r="DG276" s="55"/>
      <c r="DH276" s="55"/>
      <c r="DI276" s="55"/>
      <c r="DJ276" s="55"/>
      <c r="DK276" s="55"/>
      <c r="DL276" s="55"/>
      <c r="DM276" s="55"/>
      <c r="DN276" s="55"/>
      <c r="DO276" s="55"/>
      <c r="DP276" s="55"/>
      <c r="DQ276" s="55"/>
      <c r="DR276" s="55"/>
      <c r="DS276" s="55"/>
      <c r="DT276" s="55"/>
      <c r="DU276" s="55"/>
      <c r="DV276" s="55"/>
      <c r="DW276" s="55"/>
      <c r="DX276" s="55"/>
      <c r="DY276" s="55"/>
      <c r="DZ276" s="55"/>
      <c r="EA276" s="55"/>
      <c r="EB276" s="55"/>
      <c r="EC276" s="55"/>
      <c r="ED276" s="55"/>
      <c r="EE276" s="55"/>
      <c r="EF276" s="55"/>
      <c r="EG276" s="55"/>
      <c r="EH276" s="55"/>
      <c r="EI276" s="55"/>
      <c r="EJ276" s="55"/>
      <c r="EK276" s="55"/>
      <c r="EL276" s="55"/>
      <c r="EM276" s="55"/>
      <c r="EN276" s="55"/>
      <c r="EO276" s="55"/>
      <c r="EP276" s="55"/>
      <c r="EQ276" s="55"/>
      <c r="ER276" s="55"/>
      <c r="ES276" s="55"/>
      <c r="ET276" s="55"/>
      <c r="EU276" s="55"/>
      <c r="EV276" s="55"/>
      <c r="EW276" s="55"/>
      <c r="EX276" s="55"/>
      <c r="EY276" s="55"/>
      <c r="EZ276" s="55"/>
      <c r="FA276" s="55"/>
      <c r="FB276" s="55"/>
      <c r="FC276" s="55"/>
      <c r="FD276" s="55"/>
      <c r="FE276" s="55"/>
      <c r="FF276" s="55"/>
      <c r="FG276" s="55"/>
      <c r="FH276" s="55"/>
      <c r="FI276" s="55"/>
      <c r="FJ276" s="55"/>
      <c r="FK276" s="55"/>
      <c r="FL276" s="55"/>
      <c r="FM276" s="55"/>
      <c r="FN276" s="55"/>
      <c r="FO276" s="55"/>
      <c r="FP276" s="55"/>
      <c r="FQ276" s="55"/>
      <c r="FR276" s="55"/>
      <c r="FS276" s="55"/>
      <c r="FT276" s="55"/>
      <c r="FU276" s="55"/>
      <c r="FV276" s="55"/>
      <c r="FW276" s="55"/>
      <c r="FX276" s="55"/>
      <c r="FY276" s="55"/>
      <c r="FZ276" s="55"/>
      <c r="GA276" s="55"/>
      <c r="GB276" s="55"/>
      <c r="GC276" s="55"/>
      <c r="GD276" s="55"/>
      <c r="GE276" s="55"/>
      <c r="GF276" s="55"/>
      <c r="GG276" s="55"/>
      <c r="GH276" s="55"/>
      <c r="GI276" s="55"/>
      <c r="GJ276" s="55"/>
      <c r="GK276" s="55"/>
      <c r="GL276" s="55"/>
      <c r="GM276" s="55"/>
      <c r="GN276" s="55"/>
      <c r="GO276" s="55"/>
      <c r="GP276" s="55"/>
      <c r="GQ276" s="55"/>
      <c r="GR276" s="55"/>
      <c r="GS276" s="55"/>
      <c r="GT276" s="55"/>
      <c r="GU276" s="55"/>
      <c r="GV276" s="55"/>
      <c r="GW276" s="55"/>
      <c r="GX276" s="55"/>
      <c r="GY276" s="55"/>
      <c r="GZ276" s="55"/>
      <c r="HA276" s="55"/>
      <c r="HB276" s="55"/>
      <c r="HC276" s="55"/>
      <c r="HD276" s="55"/>
      <c r="HE276" s="55"/>
      <c r="HF276" s="55"/>
      <c r="HG276" s="55"/>
      <c r="HH276" s="55"/>
      <c r="HI276" s="55"/>
      <c r="HJ276" s="55"/>
      <c r="HK276" s="55"/>
      <c r="HL276" s="55"/>
      <c r="HM276" s="55"/>
      <c r="HN276" s="55"/>
      <c r="HO276" s="55"/>
      <c r="HP276" s="55"/>
      <c r="HQ276" s="55"/>
      <c r="HR276" s="55"/>
      <c r="HS276" s="55"/>
      <c r="HT276" s="55"/>
      <c r="HU276" s="55"/>
      <c r="HV276" s="55"/>
      <c r="HW276" s="55"/>
      <c r="HX276" s="55"/>
      <c r="HY276" s="55"/>
      <c r="HZ276" s="55"/>
      <c r="IA276" s="55"/>
      <c r="IB276" s="55"/>
      <c r="IC276" s="55"/>
      <c r="ID276" s="55"/>
    </row>
    <row r="277" s="52" customFormat="1" ht="30" customHeight="1" spans="1:238">
      <c r="A277" s="64" t="s">
        <v>95</v>
      </c>
      <c r="B277" s="64" t="s">
        <v>1121</v>
      </c>
      <c r="C277" s="64" t="s">
        <v>1122</v>
      </c>
      <c r="D277" s="65"/>
      <c r="E277" s="77"/>
      <c r="F277" s="77" t="s">
        <v>35</v>
      </c>
      <c r="G277" s="64" t="s">
        <v>110</v>
      </c>
      <c r="H277" s="78">
        <v>1080</v>
      </c>
      <c r="I277" s="78">
        <v>972</v>
      </c>
      <c r="J277" s="125">
        <v>625</v>
      </c>
      <c r="K277" s="125">
        <v>600</v>
      </c>
      <c r="L277" s="125">
        <v>510</v>
      </c>
      <c r="M277" s="89">
        <v>1000</v>
      </c>
      <c r="N277" s="89">
        <v>960</v>
      </c>
      <c r="O277" s="89">
        <v>816</v>
      </c>
      <c r="P277" s="64" t="s">
        <v>37</v>
      </c>
      <c r="Q277" s="64" t="s">
        <v>35</v>
      </c>
      <c r="R277" s="64" t="s">
        <v>35</v>
      </c>
      <c r="S277" s="83"/>
      <c r="T277" s="77" t="s">
        <v>523</v>
      </c>
      <c r="U277" s="105" t="s">
        <v>1123</v>
      </c>
      <c r="V277" s="105">
        <v>330405012</v>
      </c>
      <c r="W277" s="106" t="s">
        <v>1124</v>
      </c>
      <c r="X277" s="105"/>
      <c r="Y277" s="105" t="s">
        <v>1090</v>
      </c>
      <c r="Z277" s="105" t="s">
        <v>36</v>
      </c>
      <c r="AA277" s="110" t="s">
        <v>35</v>
      </c>
      <c r="AB277" s="50">
        <v>625</v>
      </c>
      <c r="AC277" s="50">
        <v>600</v>
      </c>
      <c r="AD277" s="50">
        <v>510</v>
      </c>
      <c r="AE277" s="112" t="s">
        <v>37</v>
      </c>
      <c r="AF277" s="60"/>
      <c r="AG277" s="55"/>
      <c r="AH277" s="55"/>
      <c r="AI277" s="55"/>
      <c r="AJ277" s="55"/>
      <c r="AK277" s="55"/>
      <c r="AL277" s="55"/>
      <c r="AM277" s="55"/>
      <c r="AN277" s="55"/>
      <c r="AO277" s="55"/>
      <c r="AP277" s="55"/>
      <c r="AQ277" s="55"/>
      <c r="AR277" s="55"/>
      <c r="AS277" s="55"/>
      <c r="AT277" s="55"/>
      <c r="AU277" s="55"/>
      <c r="AV277" s="55"/>
      <c r="AW277" s="55"/>
      <c r="AX277" s="55"/>
      <c r="AY277" s="55"/>
      <c r="AZ277" s="55"/>
      <c r="BA277" s="55"/>
      <c r="BB277" s="55"/>
      <c r="BC277" s="55"/>
      <c r="BD277" s="55"/>
      <c r="BE277" s="55"/>
      <c r="BF277" s="55"/>
      <c r="BG277" s="55"/>
      <c r="BH277" s="55"/>
      <c r="BI277" s="55"/>
      <c r="BJ277" s="55"/>
      <c r="BK277" s="55"/>
      <c r="BL277" s="55"/>
      <c r="BM277" s="55"/>
      <c r="BN277" s="55"/>
      <c r="BO277" s="55"/>
      <c r="BP277" s="55"/>
      <c r="BQ277" s="55"/>
      <c r="BR277" s="55"/>
      <c r="BS277" s="55"/>
      <c r="BT277" s="55"/>
      <c r="BU277" s="55"/>
      <c r="BV277" s="55"/>
      <c r="BW277" s="55"/>
      <c r="BX277" s="55"/>
      <c r="BY277" s="55"/>
      <c r="BZ277" s="55"/>
      <c r="CA277" s="55"/>
      <c r="CB277" s="55"/>
      <c r="CC277" s="55"/>
      <c r="CD277" s="55"/>
      <c r="CE277" s="55"/>
      <c r="CF277" s="55"/>
      <c r="CG277" s="55"/>
      <c r="CH277" s="55"/>
      <c r="CI277" s="55"/>
      <c r="CJ277" s="55"/>
      <c r="CK277" s="55"/>
      <c r="CL277" s="55"/>
      <c r="CM277" s="55"/>
      <c r="CN277" s="55"/>
      <c r="CO277" s="55"/>
      <c r="CP277" s="55"/>
      <c r="CQ277" s="55"/>
      <c r="CR277" s="55"/>
      <c r="CS277" s="55"/>
      <c r="CT277" s="55"/>
      <c r="CU277" s="55"/>
      <c r="CV277" s="55"/>
      <c r="CW277" s="55"/>
      <c r="CX277" s="55"/>
      <c r="CY277" s="55"/>
      <c r="CZ277" s="55"/>
      <c r="DA277" s="55"/>
      <c r="DB277" s="55"/>
      <c r="DC277" s="55"/>
      <c r="DD277" s="55"/>
      <c r="DE277" s="55"/>
      <c r="DF277" s="55"/>
      <c r="DG277" s="55"/>
      <c r="DH277" s="55"/>
      <c r="DI277" s="55"/>
      <c r="DJ277" s="55"/>
      <c r="DK277" s="55"/>
      <c r="DL277" s="55"/>
      <c r="DM277" s="55"/>
      <c r="DN277" s="55"/>
      <c r="DO277" s="55"/>
      <c r="DP277" s="55"/>
      <c r="DQ277" s="55"/>
      <c r="DR277" s="55"/>
      <c r="DS277" s="55"/>
      <c r="DT277" s="55"/>
      <c r="DU277" s="55"/>
      <c r="DV277" s="55"/>
      <c r="DW277" s="55"/>
      <c r="DX277" s="55"/>
      <c r="DY277" s="55"/>
      <c r="DZ277" s="55"/>
      <c r="EA277" s="55"/>
      <c r="EB277" s="55"/>
      <c r="EC277" s="55"/>
      <c r="ED277" s="55"/>
      <c r="EE277" s="55"/>
      <c r="EF277" s="55"/>
      <c r="EG277" s="55"/>
      <c r="EH277" s="55"/>
      <c r="EI277" s="55"/>
      <c r="EJ277" s="55"/>
      <c r="EK277" s="55"/>
      <c r="EL277" s="55"/>
      <c r="EM277" s="55"/>
      <c r="EN277" s="55"/>
      <c r="EO277" s="55"/>
      <c r="EP277" s="55"/>
      <c r="EQ277" s="55"/>
      <c r="ER277" s="55"/>
      <c r="ES277" s="55"/>
      <c r="ET277" s="55"/>
      <c r="EU277" s="55"/>
      <c r="EV277" s="55"/>
      <c r="EW277" s="55"/>
      <c r="EX277" s="55"/>
      <c r="EY277" s="55"/>
      <c r="EZ277" s="55"/>
      <c r="FA277" s="55"/>
      <c r="FB277" s="55"/>
      <c r="FC277" s="55"/>
      <c r="FD277" s="55"/>
      <c r="FE277" s="55"/>
      <c r="FF277" s="55"/>
      <c r="FG277" s="55"/>
      <c r="FH277" s="55"/>
      <c r="FI277" s="55"/>
      <c r="FJ277" s="55"/>
      <c r="FK277" s="55"/>
      <c r="FL277" s="55"/>
      <c r="FM277" s="55"/>
      <c r="FN277" s="55"/>
      <c r="FO277" s="55"/>
      <c r="FP277" s="55"/>
      <c r="FQ277" s="55"/>
      <c r="FR277" s="55"/>
      <c r="FS277" s="55"/>
      <c r="FT277" s="55"/>
      <c r="FU277" s="55"/>
      <c r="FV277" s="55"/>
      <c r="FW277" s="55"/>
      <c r="FX277" s="55"/>
      <c r="FY277" s="55"/>
      <c r="FZ277" s="55"/>
      <c r="GA277" s="55"/>
      <c r="GB277" s="55"/>
      <c r="GC277" s="55"/>
      <c r="GD277" s="55"/>
      <c r="GE277" s="55"/>
      <c r="GF277" s="55"/>
      <c r="GG277" s="55"/>
      <c r="GH277" s="55"/>
      <c r="GI277" s="55"/>
      <c r="GJ277" s="55"/>
      <c r="GK277" s="55"/>
      <c r="GL277" s="55"/>
      <c r="GM277" s="55"/>
      <c r="GN277" s="55"/>
      <c r="GO277" s="55"/>
      <c r="GP277" s="55"/>
      <c r="GQ277" s="55"/>
      <c r="GR277" s="55"/>
      <c r="GS277" s="55"/>
      <c r="GT277" s="55"/>
      <c r="GU277" s="55"/>
      <c r="GV277" s="55"/>
      <c r="GW277" s="55"/>
      <c r="GX277" s="55"/>
      <c r="GY277" s="55"/>
      <c r="GZ277" s="55"/>
      <c r="HA277" s="55"/>
      <c r="HB277" s="55"/>
      <c r="HC277" s="55"/>
      <c r="HD277" s="55"/>
      <c r="HE277" s="55"/>
      <c r="HF277" s="55"/>
      <c r="HG277" s="55"/>
      <c r="HH277" s="55"/>
      <c r="HI277" s="55"/>
      <c r="HJ277" s="55"/>
      <c r="HK277" s="55"/>
      <c r="HL277" s="55"/>
      <c r="HM277" s="55"/>
      <c r="HN277" s="55"/>
      <c r="HO277" s="55"/>
      <c r="HP277" s="55"/>
      <c r="HQ277" s="55"/>
      <c r="HR277" s="55"/>
      <c r="HS277" s="55"/>
      <c r="HT277" s="55"/>
      <c r="HU277" s="55"/>
      <c r="HV277" s="55"/>
      <c r="HW277" s="55"/>
      <c r="HX277" s="55"/>
      <c r="HY277" s="55"/>
      <c r="HZ277" s="55"/>
      <c r="IA277" s="55"/>
      <c r="IB277" s="55"/>
      <c r="IC277" s="55"/>
      <c r="ID277" s="55"/>
    </row>
    <row r="278" s="52" customFormat="1" ht="30" customHeight="1" spans="1:238">
      <c r="A278" s="64"/>
      <c r="B278" s="64"/>
      <c r="C278" s="64"/>
      <c r="D278" s="65"/>
      <c r="E278" s="77"/>
      <c r="F278" s="77"/>
      <c r="G278" s="64"/>
      <c r="H278" s="42"/>
      <c r="I278" s="42"/>
      <c r="J278" s="125"/>
      <c r="K278" s="125"/>
      <c r="L278" s="125"/>
      <c r="M278" s="89"/>
      <c r="N278" s="89"/>
      <c r="O278" s="89"/>
      <c r="P278" s="64"/>
      <c r="Q278" s="64"/>
      <c r="R278" s="64"/>
      <c r="S278" s="83"/>
      <c r="T278" s="77"/>
      <c r="U278" s="105" t="s">
        <v>1125</v>
      </c>
      <c r="V278" s="105">
        <v>33040501201</v>
      </c>
      <c r="W278" s="106" t="s">
        <v>1126</v>
      </c>
      <c r="X278" s="105"/>
      <c r="Y278" s="105"/>
      <c r="Z278" s="105" t="s">
        <v>36</v>
      </c>
      <c r="AA278" s="110" t="s">
        <v>35</v>
      </c>
      <c r="AB278" s="50">
        <v>815</v>
      </c>
      <c r="AC278" s="50">
        <v>780</v>
      </c>
      <c r="AD278" s="50">
        <v>665</v>
      </c>
      <c r="AE278" s="112" t="s">
        <v>37</v>
      </c>
      <c r="AF278" s="60"/>
      <c r="AG278" s="55"/>
      <c r="AH278" s="55"/>
      <c r="AI278" s="55"/>
      <c r="AJ278" s="55"/>
      <c r="AK278" s="55"/>
      <c r="AL278" s="55"/>
      <c r="AM278" s="55"/>
      <c r="AN278" s="55"/>
      <c r="AO278" s="55"/>
      <c r="AP278" s="55"/>
      <c r="AQ278" s="55"/>
      <c r="AR278" s="55"/>
      <c r="AS278" s="55"/>
      <c r="AT278" s="55"/>
      <c r="AU278" s="55"/>
      <c r="AV278" s="55"/>
      <c r="AW278" s="55"/>
      <c r="AX278" s="55"/>
      <c r="AY278" s="55"/>
      <c r="AZ278" s="55"/>
      <c r="BA278" s="55"/>
      <c r="BB278" s="55"/>
      <c r="BC278" s="55"/>
      <c r="BD278" s="55"/>
      <c r="BE278" s="55"/>
      <c r="BF278" s="55"/>
      <c r="BG278" s="55"/>
      <c r="BH278" s="55"/>
      <c r="BI278" s="55"/>
      <c r="BJ278" s="55"/>
      <c r="BK278" s="55"/>
      <c r="BL278" s="55"/>
      <c r="BM278" s="55"/>
      <c r="BN278" s="55"/>
      <c r="BO278" s="55"/>
      <c r="BP278" s="55"/>
      <c r="BQ278" s="55"/>
      <c r="BR278" s="55"/>
      <c r="BS278" s="55"/>
      <c r="BT278" s="55"/>
      <c r="BU278" s="55"/>
      <c r="BV278" s="55"/>
      <c r="BW278" s="55"/>
      <c r="BX278" s="55"/>
      <c r="BY278" s="55"/>
      <c r="BZ278" s="55"/>
      <c r="CA278" s="55"/>
      <c r="CB278" s="55"/>
      <c r="CC278" s="55"/>
      <c r="CD278" s="55"/>
      <c r="CE278" s="55"/>
      <c r="CF278" s="55"/>
      <c r="CG278" s="55"/>
      <c r="CH278" s="55"/>
      <c r="CI278" s="55"/>
      <c r="CJ278" s="55"/>
      <c r="CK278" s="55"/>
      <c r="CL278" s="55"/>
      <c r="CM278" s="55"/>
      <c r="CN278" s="55"/>
      <c r="CO278" s="55"/>
      <c r="CP278" s="55"/>
      <c r="CQ278" s="55"/>
      <c r="CR278" s="55"/>
      <c r="CS278" s="55"/>
      <c r="CT278" s="55"/>
      <c r="CU278" s="55"/>
      <c r="CV278" s="55"/>
      <c r="CW278" s="55"/>
      <c r="CX278" s="55"/>
      <c r="CY278" s="55"/>
      <c r="CZ278" s="55"/>
      <c r="DA278" s="55"/>
      <c r="DB278" s="55"/>
      <c r="DC278" s="55"/>
      <c r="DD278" s="55"/>
      <c r="DE278" s="55"/>
      <c r="DF278" s="55"/>
      <c r="DG278" s="55"/>
      <c r="DH278" s="55"/>
      <c r="DI278" s="55"/>
      <c r="DJ278" s="55"/>
      <c r="DK278" s="55"/>
      <c r="DL278" s="55"/>
      <c r="DM278" s="55"/>
      <c r="DN278" s="55"/>
      <c r="DO278" s="55"/>
      <c r="DP278" s="55"/>
      <c r="DQ278" s="55"/>
      <c r="DR278" s="55"/>
      <c r="DS278" s="55"/>
      <c r="DT278" s="55"/>
      <c r="DU278" s="55"/>
      <c r="DV278" s="55"/>
      <c r="DW278" s="55"/>
      <c r="DX278" s="55"/>
      <c r="DY278" s="55"/>
      <c r="DZ278" s="55"/>
      <c r="EA278" s="55"/>
      <c r="EB278" s="55"/>
      <c r="EC278" s="55"/>
      <c r="ED278" s="55"/>
      <c r="EE278" s="55"/>
      <c r="EF278" s="55"/>
      <c r="EG278" s="55"/>
      <c r="EH278" s="55"/>
      <c r="EI278" s="55"/>
      <c r="EJ278" s="55"/>
      <c r="EK278" s="55"/>
      <c r="EL278" s="55"/>
      <c r="EM278" s="55"/>
      <c r="EN278" s="55"/>
      <c r="EO278" s="55"/>
      <c r="EP278" s="55"/>
      <c r="EQ278" s="55"/>
      <c r="ER278" s="55"/>
      <c r="ES278" s="55"/>
      <c r="ET278" s="55"/>
      <c r="EU278" s="55"/>
      <c r="EV278" s="55"/>
      <c r="EW278" s="55"/>
      <c r="EX278" s="55"/>
      <c r="EY278" s="55"/>
      <c r="EZ278" s="55"/>
      <c r="FA278" s="55"/>
      <c r="FB278" s="55"/>
      <c r="FC278" s="55"/>
      <c r="FD278" s="55"/>
      <c r="FE278" s="55"/>
      <c r="FF278" s="55"/>
      <c r="FG278" s="55"/>
      <c r="FH278" s="55"/>
      <c r="FI278" s="55"/>
      <c r="FJ278" s="55"/>
      <c r="FK278" s="55"/>
      <c r="FL278" s="55"/>
      <c r="FM278" s="55"/>
      <c r="FN278" s="55"/>
      <c r="FO278" s="55"/>
      <c r="FP278" s="55"/>
      <c r="FQ278" s="55"/>
      <c r="FR278" s="55"/>
      <c r="FS278" s="55"/>
      <c r="FT278" s="55"/>
      <c r="FU278" s="55"/>
      <c r="FV278" s="55"/>
      <c r="FW278" s="55"/>
      <c r="FX278" s="55"/>
      <c r="FY278" s="55"/>
      <c r="FZ278" s="55"/>
      <c r="GA278" s="55"/>
      <c r="GB278" s="55"/>
      <c r="GC278" s="55"/>
      <c r="GD278" s="55"/>
      <c r="GE278" s="55"/>
      <c r="GF278" s="55"/>
      <c r="GG278" s="55"/>
      <c r="GH278" s="55"/>
      <c r="GI278" s="55"/>
      <c r="GJ278" s="55"/>
      <c r="GK278" s="55"/>
      <c r="GL278" s="55"/>
      <c r="GM278" s="55"/>
      <c r="GN278" s="55"/>
      <c r="GO278" s="55"/>
      <c r="GP278" s="55"/>
      <c r="GQ278" s="55"/>
      <c r="GR278" s="55"/>
      <c r="GS278" s="55"/>
      <c r="GT278" s="55"/>
      <c r="GU278" s="55"/>
      <c r="GV278" s="55"/>
      <c r="GW278" s="55"/>
      <c r="GX278" s="55"/>
      <c r="GY278" s="55"/>
      <c r="GZ278" s="55"/>
      <c r="HA278" s="55"/>
      <c r="HB278" s="55"/>
      <c r="HC278" s="55"/>
      <c r="HD278" s="55"/>
      <c r="HE278" s="55"/>
      <c r="HF278" s="55"/>
      <c r="HG278" s="55"/>
      <c r="HH278" s="55"/>
      <c r="HI278" s="55"/>
      <c r="HJ278" s="55"/>
      <c r="HK278" s="55"/>
      <c r="HL278" s="55"/>
      <c r="HM278" s="55"/>
      <c r="HN278" s="55"/>
      <c r="HO278" s="55"/>
      <c r="HP278" s="55"/>
      <c r="HQ278" s="55"/>
      <c r="HR278" s="55"/>
      <c r="HS278" s="55"/>
      <c r="HT278" s="55"/>
      <c r="HU278" s="55"/>
      <c r="HV278" s="55"/>
      <c r="HW278" s="55"/>
      <c r="HX278" s="55"/>
      <c r="HY278" s="55"/>
      <c r="HZ278" s="55"/>
      <c r="IA278" s="55"/>
      <c r="IB278" s="55"/>
      <c r="IC278" s="55"/>
      <c r="ID278" s="55"/>
    </row>
    <row r="279" s="52" customFormat="1" ht="25.5" spans="1:238">
      <c r="A279" s="112">
        <v>81</v>
      </c>
      <c r="B279" s="112" t="s">
        <v>1127</v>
      </c>
      <c r="C279" s="64" t="s">
        <v>1128</v>
      </c>
      <c r="D279" s="65" t="s">
        <v>1129</v>
      </c>
      <c r="E279" s="77" t="s">
        <v>1130</v>
      </c>
      <c r="F279" s="77" t="s">
        <v>35</v>
      </c>
      <c r="G279" s="64" t="s">
        <v>110</v>
      </c>
      <c r="H279" s="78">
        <v>500</v>
      </c>
      <c r="I279" s="78">
        <v>450</v>
      </c>
      <c r="J279" s="84">
        <v>416.666666666667</v>
      </c>
      <c r="K279" s="84">
        <v>667.741935483871</v>
      </c>
      <c r="L279" s="84"/>
      <c r="M279" s="89">
        <v>470</v>
      </c>
      <c r="N279" s="89">
        <v>450</v>
      </c>
      <c r="O279" s="89">
        <v>385</v>
      </c>
      <c r="P279" s="64" t="s">
        <v>37</v>
      </c>
      <c r="Q279" s="64" t="s">
        <v>1131</v>
      </c>
      <c r="R279" s="64" t="s">
        <v>348</v>
      </c>
      <c r="S279" s="83" t="s">
        <v>131</v>
      </c>
      <c r="T279" s="104" t="s">
        <v>1132</v>
      </c>
      <c r="U279" s="105" t="s">
        <v>1133</v>
      </c>
      <c r="V279" s="105">
        <v>330401005</v>
      </c>
      <c r="W279" s="106" t="s">
        <v>1134</v>
      </c>
      <c r="X279" s="105"/>
      <c r="Y279" s="105"/>
      <c r="Z279" s="105" t="s">
        <v>36</v>
      </c>
      <c r="AA279" s="110" t="s">
        <v>35</v>
      </c>
      <c r="AB279" s="50">
        <v>1010</v>
      </c>
      <c r="AC279" s="50">
        <v>910</v>
      </c>
      <c r="AD279" s="50">
        <v>775</v>
      </c>
      <c r="AE279" s="112" t="s">
        <v>37</v>
      </c>
      <c r="AF279" s="60"/>
      <c r="AG279" s="55"/>
      <c r="AH279" s="55"/>
      <c r="AI279" s="55"/>
      <c r="AJ279" s="55"/>
      <c r="AK279" s="55"/>
      <c r="AL279" s="55"/>
      <c r="AM279" s="55"/>
      <c r="AN279" s="55"/>
      <c r="AO279" s="55"/>
      <c r="AP279" s="55"/>
      <c r="AQ279" s="55"/>
      <c r="AR279" s="55"/>
      <c r="AS279" s="55"/>
      <c r="AT279" s="55"/>
      <c r="AU279" s="55"/>
      <c r="AV279" s="55"/>
      <c r="AW279" s="55"/>
      <c r="AX279" s="55"/>
      <c r="AY279" s="55"/>
      <c r="AZ279" s="55"/>
      <c r="BA279" s="55"/>
      <c r="BB279" s="55"/>
      <c r="BC279" s="55"/>
      <c r="BD279" s="55"/>
      <c r="BE279" s="55"/>
      <c r="BF279" s="55"/>
      <c r="BG279" s="55"/>
      <c r="BH279" s="55"/>
      <c r="BI279" s="55"/>
      <c r="BJ279" s="55"/>
      <c r="BK279" s="55"/>
      <c r="BL279" s="55"/>
      <c r="BM279" s="55"/>
      <c r="BN279" s="55"/>
      <c r="BO279" s="55"/>
      <c r="BP279" s="55"/>
      <c r="BQ279" s="55"/>
      <c r="BR279" s="55"/>
      <c r="BS279" s="55"/>
      <c r="BT279" s="55"/>
      <c r="BU279" s="55"/>
      <c r="BV279" s="55"/>
      <c r="BW279" s="55"/>
      <c r="BX279" s="55"/>
      <c r="BY279" s="55"/>
      <c r="BZ279" s="55"/>
      <c r="CA279" s="55"/>
      <c r="CB279" s="55"/>
      <c r="CC279" s="55"/>
      <c r="CD279" s="55"/>
      <c r="CE279" s="55"/>
      <c r="CF279" s="55"/>
      <c r="CG279" s="55"/>
      <c r="CH279" s="55"/>
      <c r="CI279" s="55"/>
      <c r="CJ279" s="55"/>
      <c r="CK279" s="55"/>
      <c r="CL279" s="55"/>
      <c r="CM279" s="55"/>
      <c r="CN279" s="55"/>
      <c r="CO279" s="55"/>
      <c r="CP279" s="55"/>
      <c r="CQ279" s="55"/>
      <c r="CR279" s="55"/>
      <c r="CS279" s="55"/>
      <c r="CT279" s="55"/>
      <c r="CU279" s="55"/>
      <c r="CV279" s="55"/>
      <c r="CW279" s="55"/>
      <c r="CX279" s="55"/>
      <c r="CY279" s="55"/>
      <c r="CZ279" s="55"/>
      <c r="DA279" s="55"/>
      <c r="DB279" s="55"/>
      <c r="DC279" s="55"/>
      <c r="DD279" s="55"/>
      <c r="DE279" s="55"/>
      <c r="DF279" s="55"/>
      <c r="DG279" s="55"/>
      <c r="DH279" s="55"/>
      <c r="DI279" s="55"/>
      <c r="DJ279" s="55"/>
      <c r="DK279" s="55"/>
      <c r="DL279" s="55"/>
      <c r="DM279" s="55"/>
      <c r="DN279" s="55"/>
      <c r="DO279" s="55"/>
      <c r="DP279" s="55"/>
      <c r="DQ279" s="55"/>
      <c r="DR279" s="55"/>
      <c r="DS279" s="55"/>
      <c r="DT279" s="55"/>
      <c r="DU279" s="55"/>
      <c r="DV279" s="55"/>
      <c r="DW279" s="55"/>
      <c r="DX279" s="55"/>
      <c r="DY279" s="55"/>
      <c r="DZ279" s="55"/>
      <c r="EA279" s="55"/>
      <c r="EB279" s="55"/>
      <c r="EC279" s="55"/>
      <c r="ED279" s="55"/>
      <c r="EE279" s="55"/>
      <c r="EF279" s="55"/>
      <c r="EG279" s="55"/>
      <c r="EH279" s="55"/>
      <c r="EI279" s="55"/>
      <c r="EJ279" s="55"/>
      <c r="EK279" s="55"/>
      <c r="EL279" s="55"/>
      <c r="EM279" s="55"/>
      <c r="EN279" s="55"/>
      <c r="EO279" s="55"/>
      <c r="EP279" s="55"/>
      <c r="EQ279" s="55"/>
      <c r="ER279" s="55"/>
      <c r="ES279" s="55"/>
      <c r="ET279" s="55"/>
      <c r="EU279" s="55"/>
      <c r="EV279" s="55"/>
      <c r="EW279" s="55"/>
      <c r="EX279" s="55"/>
      <c r="EY279" s="55"/>
      <c r="EZ279" s="55"/>
      <c r="FA279" s="55"/>
      <c r="FB279" s="55"/>
      <c r="FC279" s="55"/>
      <c r="FD279" s="55"/>
      <c r="FE279" s="55"/>
      <c r="FF279" s="55"/>
      <c r="FG279" s="55"/>
      <c r="FH279" s="55"/>
      <c r="FI279" s="55"/>
      <c r="FJ279" s="55"/>
      <c r="FK279" s="55"/>
      <c r="FL279" s="55"/>
      <c r="FM279" s="55"/>
      <c r="FN279" s="55"/>
      <c r="FO279" s="55"/>
      <c r="FP279" s="55"/>
      <c r="FQ279" s="55"/>
      <c r="FR279" s="55"/>
      <c r="FS279" s="55"/>
      <c r="FT279" s="55"/>
      <c r="FU279" s="55"/>
      <c r="FV279" s="55"/>
      <c r="FW279" s="55"/>
      <c r="FX279" s="55"/>
      <c r="FY279" s="55"/>
      <c r="FZ279" s="55"/>
      <c r="GA279" s="55"/>
      <c r="GB279" s="55"/>
      <c r="GC279" s="55"/>
      <c r="GD279" s="55"/>
      <c r="GE279" s="55"/>
      <c r="GF279" s="55"/>
      <c r="GG279" s="55"/>
      <c r="GH279" s="55"/>
      <c r="GI279" s="55"/>
      <c r="GJ279" s="55"/>
      <c r="GK279" s="55"/>
      <c r="GL279" s="55"/>
      <c r="GM279" s="55"/>
      <c r="GN279" s="55"/>
      <c r="GO279" s="55"/>
      <c r="GP279" s="55"/>
      <c r="GQ279" s="55"/>
      <c r="GR279" s="55"/>
      <c r="GS279" s="55"/>
      <c r="GT279" s="55"/>
      <c r="GU279" s="55"/>
      <c r="GV279" s="55"/>
      <c r="GW279" s="55"/>
      <c r="GX279" s="55"/>
      <c r="GY279" s="55"/>
      <c r="GZ279" s="55"/>
      <c r="HA279" s="55"/>
      <c r="HB279" s="55"/>
      <c r="HC279" s="55"/>
      <c r="HD279" s="55"/>
      <c r="HE279" s="55"/>
      <c r="HF279" s="55"/>
      <c r="HG279" s="55"/>
      <c r="HH279" s="55"/>
      <c r="HI279" s="55"/>
      <c r="HJ279" s="55"/>
      <c r="HK279" s="55"/>
      <c r="HL279" s="55"/>
      <c r="HM279" s="55"/>
      <c r="HN279" s="55"/>
      <c r="HO279" s="55"/>
      <c r="HP279" s="55"/>
      <c r="HQ279" s="55"/>
      <c r="HR279" s="55"/>
      <c r="HS279" s="55"/>
      <c r="HT279" s="55"/>
      <c r="HU279" s="55"/>
      <c r="HV279" s="55"/>
      <c r="HW279" s="55"/>
      <c r="HX279" s="55"/>
      <c r="HY279" s="55"/>
      <c r="HZ279" s="55"/>
      <c r="IA279" s="55"/>
      <c r="IB279" s="55"/>
      <c r="IC279" s="55"/>
      <c r="ID279" s="55"/>
    </row>
    <row r="280" s="52" customFormat="1" ht="25.5" spans="1:238">
      <c r="A280" s="112"/>
      <c r="B280" s="112"/>
      <c r="C280" s="64"/>
      <c r="D280" s="65"/>
      <c r="E280" s="77"/>
      <c r="F280" s="77"/>
      <c r="G280" s="64"/>
      <c r="H280" s="42"/>
      <c r="I280" s="42"/>
      <c r="J280" s="84"/>
      <c r="K280" s="84"/>
      <c r="L280" s="84"/>
      <c r="M280" s="89"/>
      <c r="N280" s="89"/>
      <c r="O280" s="89"/>
      <c r="P280" s="64"/>
      <c r="Q280" s="64"/>
      <c r="R280" s="64"/>
      <c r="S280" s="83"/>
      <c r="T280" s="104"/>
      <c r="U280" s="105" t="s">
        <v>1135</v>
      </c>
      <c r="V280" s="105">
        <v>330401010</v>
      </c>
      <c r="W280" s="106" t="s">
        <v>1136</v>
      </c>
      <c r="X280" s="105"/>
      <c r="Y280" s="105"/>
      <c r="Z280" s="105" t="s">
        <v>36</v>
      </c>
      <c r="AA280" s="110" t="s">
        <v>35</v>
      </c>
      <c r="AB280" s="50">
        <v>750</v>
      </c>
      <c r="AC280" s="50">
        <v>720</v>
      </c>
      <c r="AD280" s="50">
        <v>612</v>
      </c>
      <c r="AE280" s="112" t="s">
        <v>37</v>
      </c>
      <c r="AF280" s="60"/>
      <c r="AG280" s="55"/>
      <c r="AH280" s="55"/>
      <c r="AI280" s="55"/>
      <c r="AJ280" s="55"/>
      <c r="AK280" s="55"/>
      <c r="AL280" s="55"/>
      <c r="AM280" s="55"/>
      <c r="AN280" s="55"/>
      <c r="AO280" s="55"/>
      <c r="AP280" s="55"/>
      <c r="AQ280" s="55"/>
      <c r="AR280" s="55"/>
      <c r="AS280" s="55"/>
      <c r="AT280" s="55"/>
      <c r="AU280" s="55"/>
      <c r="AV280" s="55"/>
      <c r="AW280" s="55"/>
      <c r="AX280" s="55"/>
      <c r="AY280" s="55"/>
      <c r="AZ280" s="55"/>
      <c r="BA280" s="55"/>
      <c r="BB280" s="55"/>
      <c r="BC280" s="55"/>
      <c r="BD280" s="55"/>
      <c r="BE280" s="55"/>
      <c r="BF280" s="55"/>
      <c r="BG280" s="55"/>
      <c r="BH280" s="55"/>
      <c r="BI280" s="55"/>
      <c r="BJ280" s="55"/>
      <c r="BK280" s="55"/>
      <c r="BL280" s="55"/>
      <c r="BM280" s="55"/>
      <c r="BN280" s="55"/>
      <c r="BO280" s="55"/>
      <c r="BP280" s="55"/>
      <c r="BQ280" s="55"/>
      <c r="BR280" s="55"/>
      <c r="BS280" s="55"/>
      <c r="BT280" s="55"/>
      <c r="BU280" s="55"/>
      <c r="BV280" s="55"/>
      <c r="BW280" s="55"/>
      <c r="BX280" s="55"/>
      <c r="BY280" s="55"/>
      <c r="BZ280" s="55"/>
      <c r="CA280" s="55"/>
      <c r="CB280" s="55"/>
      <c r="CC280" s="55"/>
      <c r="CD280" s="55"/>
      <c r="CE280" s="55"/>
      <c r="CF280" s="55"/>
      <c r="CG280" s="55"/>
      <c r="CH280" s="55"/>
      <c r="CI280" s="55"/>
      <c r="CJ280" s="55"/>
      <c r="CK280" s="55"/>
      <c r="CL280" s="55"/>
      <c r="CM280" s="55"/>
      <c r="CN280" s="55"/>
      <c r="CO280" s="55"/>
      <c r="CP280" s="55"/>
      <c r="CQ280" s="55"/>
      <c r="CR280" s="55"/>
      <c r="CS280" s="55"/>
      <c r="CT280" s="55"/>
      <c r="CU280" s="55"/>
      <c r="CV280" s="55"/>
      <c r="CW280" s="55"/>
      <c r="CX280" s="55"/>
      <c r="CY280" s="55"/>
      <c r="CZ280" s="55"/>
      <c r="DA280" s="55"/>
      <c r="DB280" s="55"/>
      <c r="DC280" s="55"/>
      <c r="DD280" s="55"/>
      <c r="DE280" s="55"/>
      <c r="DF280" s="55"/>
      <c r="DG280" s="55"/>
      <c r="DH280" s="55"/>
      <c r="DI280" s="55"/>
      <c r="DJ280" s="55"/>
      <c r="DK280" s="55"/>
      <c r="DL280" s="55"/>
      <c r="DM280" s="55"/>
      <c r="DN280" s="55"/>
      <c r="DO280" s="55"/>
      <c r="DP280" s="55"/>
      <c r="DQ280" s="55"/>
      <c r="DR280" s="55"/>
      <c r="DS280" s="55"/>
      <c r="DT280" s="55"/>
      <c r="DU280" s="55"/>
      <c r="DV280" s="55"/>
      <c r="DW280" s="55"/>
      <c r="DX280" s="55"/>
      <c r="DY280" s="55"/>
      <c r="DZ280" s="55"/>
      <c r="EA280" s="55"/>
      <c r="EB280" s="55"/>
      <c r="EC280" s="55"/>
      <c r="ED280" s="55"/>
      <c r="EE280" s="55"/>
      <c r="EF280" s="55"/>
      <c r="EG280" s="55"/>
      <c r="EH280" s="55"/>
      <c r="EI280" s="55"/>
      <c r="EJ280" s="55"/>
      <c r="EK280" s="55"/>
      <c r="EL280" s="55"/>
      <c r="EM280" s="55"/>
      <c r="EN280" s="55"/>
      <c r="EO280" s="55"/>
      <c r="EP280" s="55"/>
      <c r="EQ280" s="55"/>
      <c r="ER280" s="55"/>
      <c r="ES280" s="55"/>
      <c r="ET280" s="55"/>
      <c r="EU280" s="55"/>
      <c r="EV280" s="55"/>
      <c r="EW280" s="55"/>
      <c r="EX280" s="55"/>
      <c r="EY280" s="55"/>
      <c r="EZ280" s="55"/>
      <c r="FA280" s="55"/>
      <c r="FB280" s="55"/>
      <c r="FC280" s="55"/>
      <c r="FD280" s="55"/>
      <c r="FE280" s="55"/>
      <c r="FF280" s="55"/>
      <c r="FG280" s="55"/>
      <c r="FH280" s="55"/>
      <c r="FI280" s="55"/>
      <c r="FJ280" s="55"/>
      <c r="FK280" s="55"/>
      <c r="FL280" s="55"/>
      <c r="FM280" s="55"/>
      <c r="FN280" s="55"/>
      <c r="FO280" s="55"/>
      <c r="FP280" s="55"/>
      <c r="FQ280" s="55"/>
      <c r="FR280" s="55"/>
      <c r="FS280" s="55"/>
      <c r="FT280" s="55"/>
      <c r="FU280" s="55"/>
      <c r="FV280" s="55"/>
      <c r="FW280" s="55"/>
      <c r="FX280" s="55"/>
      <c r="FY280" s="55"/>
      <c r="FZ280" s="55"/>
      <c r="GA280" s="55"/>
      <c r="GB280" s="55"/>
      <c r="GC280" s="55"/>
      <c r="GD280" s="55"/>
      <c r="GE280" s="55"/>
      <c r="GF280" s="55"/>
      <c r="GG280" s="55"/>
      <c r="GH280" s="55"/>
      <c r="GI280" s="55"/>
      <c r="GJ280" s="55"/>
      <c r="GK280" s="55"/>
      <c r="GL280" s="55"/>
      <c r="GM280" s="55"/>
      <c r="GN280" s="55"/>
      <c r="GO280" s="55"/>
      <c r="GP280" s="55"/>
      <c r="GQ280" s="55"/>
      <c r="GR280" s="55"/>
      <c r="GS280" s="55"/>
      <c r="GT280" s="55"/>
      <c r="GU280" s="55"/>
      <c r="GV280" s="55"/>
      <c r="GW280" s="55"/>
      <c r="GX280" s="55"/>
      <c r="GY280" s="55"/>
      <c r="GZ280" s="55"/>
      <c r="HA280" s="55"/>
      <c r="HB280" s="55"/>
      <c r="HC280" s="55"/>
      <c r="HD280" s="55"/>
      <c r="HE280" s="55"/>
      <c r="HF280" s="55"/>
      <c r="HG280" s="55"/>
      <c r="HH280" s="55"/>
      <c r="HI280" s="55"/>
      <c r="HJ280" s="55"/>
      <c r="HK280" s="55"/>
      <c r="HL280" s="55"/>
      <c r="HM280" s="55"/>
      <c r="HN280" s="55"/>
      <c r="HO280" s="55"/>
      <c r="HP280" s="55"/>
      <c r="HQ280" s="55"/>
      <c r="HR280" s="55"/>
      <c r="HS280" s="55"/>
      <c r="HT280" s="55"/>
      <c r="HU280" s="55"/>
      <c r="HV280" s="55"/>
      <c r="HW280" s="55"/>
      <c r="HX280" s="55"/>
      <c r="HY280" s="55"/>
      <c r="HZ280" s="55"/>
      <c r="IA280" s="55"/>
      <c r="IB280" s="55"/>
      <c r="IC280" s="55"/>
      <c r="ID280" s="55"/>
    </row>
    <row r="281" s="52" customFormat="1" ht="25.5" spans="1:238">
      <c r="A281" s="112"/>
      <c r="B281" s="112"/>
      <c r="C281" s="64"/>
      <c r="D281" s="65"/>
      <c r="E281" s="77"/>
      <c r="F281" s="77"/>
      <c r="G281" s="64"/>
      <c r="H281" s="42"/>
      <c r="I281" s="42"/>
      <c r="J281" s="84"/>
      <c r="K281" s="84"/>
      <c r="L281" s="84"/>
      <c r="M281" s="89"/>
      <c r="N281" s="89"/>
      <c r="O281" s="89"/>
      <c r="P281" s="64"/>
      <c r="Q281" s="64"/>
      <c r="R281" s="64"/>
      <c r="S281" s="83"/>
      <c r="T281" s="104"/>
      <c r="U281" s="105" t="s">
        <v>1137</v>
      </c>
      <c r="V281" s="105">
        <v>330401017</v>
      </c>
      <c r="W281" s="106" t="s">
        <v>1138</v>
      </c>
      <c r="X281" s="105" t="s">
        <v>1139</v>
      </c>
      <c r="Y281" s="105" t="s">
        <v>1140</v>
      </c>
      <c r="Z281" s="105" t="s">
        <v>1141</v>
      </c>
      <c r="AA281" s="110" t="s">
        <v>35</v>
      </c>
      <c r="AB281" s="50">
        <v>625</v>
      </c>
      <c r="AC281" s="50">
        <v>600</v>
      </c>
      <c r="AD281" s="50">
        <v>510</v>
      </c>
      <c r="AE281" s="112" t="s">
        <v>37</v>
      </c>
      <c r="AF281" s="60"/>
      <c r="AG281" s="55"/>
      <c r="AH281" s="55"/>
      <c r="AI281" s="55"/>
      <c r="AJ281" s="55"/>
      <c r="AK281" s="55"/>
      <c r="AL281" s="55"/>
      <c r="AM281" s="55"/>
      <c r="AN281" s="55"/>
      <c r="AO281" s="55"/>
      <c r="AP281" s="55"/>
      <c r="AQ281" s="55"/>
      <c r="AR281" s="55"/>
      <c r="AS281" s="55"/>
      <c r="AT281" s="55"/>
      <c r="AU281" s="55"/>
      <c r="AV281" s="55"/>
      <c r="AW281" s="55"/>
      <c r="AX281" s="55"/>
      <c r="AY281" s="55"/>
      <c r="AZ281" s="55"/>
      <c r="BA281" s="55"/>
      <c r="BB281" s="55"/>
      <c r="BC281" s="55"/>
      <c r="BD281" s="55"/>
      <c r="BE281" s="55"/>
      <c r="BF281" s="55"/>
      <c r="BG281" s="55"/>
      <c r="BH281" s="55"/>
      <c r="BI281" s="55"/>
      <c r="BJ281" s="55"/>
      <c r="BK281" s="55"/>
      <c r="BL281" s="55"/>
      <c r="BM281" s="55"/>
      <c r="BN281" s="55"/>
      <c r="BO281" s="55"/>
      <c r="BP281" s="55"/>
      <c r="BQ281" s="55"/>
      <c r="BR281" s="55"/>
      <c r="BS281" s="55"/>
      <c r="BT281" s="55"/>
      <c r="BU281" s="55"/>
      <c r="BV281" s="55"/>
      <c r="BW281" s="55"/>
      <c r="BX281" s="55"/>
      <c r="BY281" s="55"/>
      <c r="BZ281" s="55"/>
      <c r="CA281" s="55"/>
      <c r="CB281" s="55"/>
      <c r="CC281" s="55"/>
      <c r="CD281" s="55"/>
      <c r="CE281" s="55"/>
      <c r="CF281" s="55"/>
      <c r="CG281" s="55"/>
      <c r="CH281" s="55"/>
      <c r="CI281" s="55"/>
      <c r="CJ281" s="55"/>
      <c r="CK281" s="55"/>
      <c r="CL281" s="55"/>
      <c r="CM281" s="55"/>
      <c r="CN281" s="55"/>
      <c r="CO281" s="55"/>
      <c r="CP281" s="55"/>
      <c r="CQ281" s="55"/>
      <c r="CR281" s="55"/>
      <c r="CS281" s="55"/>
      <c r="CT281" s="55"/>
      <c r="CU281" s="55"/>
      <c r="CV281" s="55"/>
      <c r="CW281" s="55"/>
      <c r="CX281" s="55"/>
      <c r="CY281" s="55"/>
      <c r="CZ281" s="55"/>
      <c r="DA281" s="55"/>
      <c r="DB281" s="55"/>
      <c r="DC281" s="55"/>
      <c r="DD281" s="55"/>
      <c r="DE281" s="55"/>
      <c r="DF281" s="55"/>
      <c r="DG281" s="55"/>
      <c r="DH281" s="55"/>
      <c r="DI281" s="55"/>
      <c r="DJ281" s="55"/>
      <c r="DK281" s="55"/>
      <c r="DL281" s="55"/>
      <c r="DM281" s="55"/>
      <c r="DN281" s="55"/>
      <c r="DO281" s="55"/>
      <c r="DP281" s="55"/>
      <c r="DQ281" s="55"/>
      <c r="DR281" s="55"/>
      <c r="DS281" s="55"/>
      <c r="DT281" s="55"/>
      <c r="DU281" s="55"/>
      <c r="DV281" s="55"/>
      <c r="DW281" s="55"/>
      <c r="DX281" s="55"/>
      <c r="DY281" s="55"/>
      <c r="DZ281" s="55"/>
      <c r="EA281" s="55"/>
      <c r="EB281" s="55"/>
      <c r="EC281" s="55"/>
      <c r="ED281" s="55"/>
      <c r="EE281" s="55"/>
      <c r="EF281" s="55"/>
      <c r="EG281" s="55"/>
      <c r="EH281" s="55"/>
      <c r="EI281" s="55"/>
      <c r="EJ281" s="55"/>
      <c r="EK281" s="55"/>
      <c r="EL281" s="55"/>
      <c r="EM281" s="55"/>
      <c r="EN281" s="55"/>
      <c r="EO281" s="55"/>
      <c r="EP281" s="55"/>
      <c r="EQ281" s="55"/>
      <c r="ER281" s="55"/>
      <c r="ES281" s="55"/>
      <c r="ET281" s="55"/>
      <c r="EU281" s="55"/>
      <c r="EV281" s="55"/>
      <c r="EW281" s="55"/>
      <c r="EX281" s="55"/>
      <c r="EY281" s="55"/>
      <c r="EZ281" s="55"/>
      <c r="FA281" s="55"/>
      <c r="FB281" s="55"/>
      <c r="FC281" s="55"/>
      <c r="FD281" s="55"/>
      <c r="FE281" s="55"/>
      <c r="FF281" s="55"/>
      <c r="FG281" s="55"/>
      <c r="FH281" s="55"/>
      <c r="FI281" s="55"/>
      <c r="FJ281" s="55"/>
      <c r="FK281" s="55"/>
      <c r="FL281" s="55"/>
      <c r="FM281" s="55"/>
      <c r="FN281" s="55"/>
      <c r="FO281" s="55"/>
      <c r="FP281" s="55"/>
      <c r="FQ281" s="55"/>
      <c r="FR281" s="55"/>
      <c r="FS281" s="55"/>
      <c r="FT281" s="55"/>
      <c r="FU281" s="55"/>
      <c r="FV281" s="55"/>
      <c r="FW281" s="55"/>
      <c r="FX281" s="55"/>
      <c r="FY281" s="55"/>
      <c r="FZ281" s="55"/>
      <c r="GA281" s="55"/>
      <c r="GB281" s="55"/>
      <c r="GC281" s="55"/>
      <c r="GD281" s="55"/>
      <c r="GE281" s="55"/>
      <c r="GF281" s="55"/>
      <c r="GG281" s="55"/>
      <c r="GH281" s="55"/>
      <c r="GI281" s="55"/>
      <c r="GJ281" s="55"/>
      <c r="GK281" s="55"/>
      <c r="GL281" s="55"/>
      <c r="GM281" s="55"/>
      <c r="GN281" s="55"/>
      <c r="GO281" s="55"/>
      <c r="GP281" s="55"/>
      <c r="GQ281" s="55"/>
      <c r="GR281" s="55"/>
      <c r="GS281" s="55"/>
      <c r="GT281" s="55"/>
      <c r="GU281" s="55"/>
      <c r="GV281" s="55"/>
      <c r="GW281" s="55"/>
      <c r="GX281" s="55"/>
      <c r="GY281" s="55"/>
      <c r="GZ281" s="55"/>
      <c r="HA281" s="55"/>
      <c r="HB281" s="55"/>
      <c r="HC281" s="55"/>
      <c r="HD281" s="55"/>
      <c r="HE281" s="55"/>
      <c r="HF281" s="55"/>
      <c r="HG281" s="55"/>
      <c r="HH281" s="55"/>
      <c r="HI281" s="55"/>
      <c r="HJ281" s="55"/>
      <c r="HK281" s="55"/>
      <c r="HL281" s="55"/>
      <c r="HM281" s="55"/>
      <c r="HN281" s="55"/>
      <c r="HO281" s="55"/>
      <c r="HP281" s="55"/>
      <c r="HQ281" s="55"/>
      <c r="HR281" s="55"/>
      <c r="HS281" s="55"/>
      <c r="HT281" s="55"/>
      <c r="HU281" s="55"/>
      <c r="HV281" s="55"/>
      <c r="HW281" s="55"/>
      <c r="HX281" s="55"/>
      <c r="HY281" s="55"/>
      <c r="HZ281" s="55"/>
      <c r="IA281" s="55"/>
      <c r="IB281" s="55"/>
      <c r="IC281" s="55"/>
      <c r="ID281" s="55"/>
    </row>
    <row r="282" s="52" customFormat="1" ht="25.5" spans="1:238">
      <c r="A282" s="112"/>
      <c r="B282" s="112"/>
      <c r="C282" s="64"/>
      <c r="D282" s="65"/>
      <c r="E282" s="77"/>
      <c r="F282" s="77"/>
      <c r="G282" s="64"/>
      <c r="H282" s="42"/>
      <c r="I282" s="42"/>
      <c r="J282" s="84"/>
      <c r="K282" s="84"/>
      <c r="L282" s="84"/>
      <c r="M282" s="89"/>
      <c r="N282" s="89"/>
      <c r="O282" s="89"/>
      <c r="P282" s="64"/>
      <c r="Q282" s="64"/>
      <c r="R282" s="64"/>
      <c r="S282" s="83"/>
      <c r="T282" s="104"/>
      <c r="U282" s="105" t="s">
        <v>1142</v>
      </c>
      <c r="V282" s="105">
        <v>330401014</v>
      </c>
      <c r="W282" s="106" t="s">
        <v>1143</v>
      </c>
      <c r="X282" s="105"/>
      <c r="Y282" s="105"/>
      <c r="Z282" s="105" t="s">
        <v>110</v>
      </c>
      <c r="AA282" s="110" t="s">
        <v>35</v>
      </c>
      <c r="AB282" s="50">
        <v>250</v>
      </c>
      <c r="AC282" s="50">
        <v>240</v>
      </c>
      <c r="AD282" s="50">
        <v>204</v>
      </c>
      <c r="AE282" s="112"/>
      <c r="AF282" s="60"/>
      <c r="AG282" s="55"/>
      <c r="AH282" s="55"/>
      <c r="AI282" s="55"/>
      <c r="AJ282" s="55"/>
      <c r="AK282" s="55"/>
      <c r="AL282" s="55"/>
      <c r="AM282" s="55"/>
      <c r="AN282" s="55"/>
      <c r="AO282" s="55"/>
      <c r="AP282" s="55"/>
      <c r="AQ282" s="55"/>
      <c r="AR282" s="55"/>
      <c r="AS282" s="55"/>
      <c r="AT282" s="55"/>
      <c r="AU282" s="55"/>
      <c r="AV282" s="55"/>
      <c r="AW282" s="55"/>
      <c r="AX282" s="55"/>
      <c r="AY282" s="55"/>
      <c r="AZ282" s="55"/>
      <c r="BA282" s="55"/>
      <c r="BB282" s="55"/>
      <c r="BC282" s="55"/>
      <c r="BD282" s="55"/>
      <c r="BE282" s="55"/>
      <c r="BF282" s="55"/>
      <c r="BG282" s="55"/>
      <c r="BH282" s="55"/>
      <c r="BI282" s="55"/>
      <c r="BJ282" s="55"/>
      <c r="BK282" s="55"/>
      <c r="BL282" s="55"/>
      <c r="BM282" s="55"/>
      <c r="BN282" s="55"/>
      <c r="BO282" s="55"/>
      <c r="BP282" s="55"/>
      <c r="BQ282" s="55"/>
      <c r="BR282" s="55"/>
      <c r="BS282" s="55"/>
      <c r="BT282" s="55"/>
      <c r="BU282" s="55"/>
      <c r="BV282" s="55"/>
      <c r="BW282" s="55"/>
      <c r="BX282" s="55"/>
      <c r="BY282" s="55"/>
      <c r="BZ282" s="55"/>
      <c r="CA282" s="55"/>
      <c r="CB282" s="55"/>
      <c r="CC282" s="55"/>
      <c r="CD282" s="55"/>
      <c r="CE282" s="55"/>
      <c r="CF282" s="55"/>
      <c r="CG282" s="55"/>
      <c r="CH282" s="55"/>
      <c r="CI282" s="55"/>
      <c r="CJ282" s="55"/>
      <c r="CK282" s="55"/>
      <c r="CL282" s="55"/>
      <c r="CM282" s="55"/>
      <c r="CN282" s="55"/>
      <c r="CO282" s="55"/>
      <c r="CP282" s="55"/>
      <c r="CQ282" s="55"/>
      <c r="CR282" s="55"/>
      <c r="CS282" s="55"/>
      <c r="CT282" s="55"/>
      <c r="CU282" s="55"/>
      <c r="CV282" s="55"/>
      <c r="CW282" s="55"/>
      <c r="CX282" s="55"/>
      <c r="CY282" s="55"/>
      <c r="CZ282" s="55"/>
      <c r="DA282" s="55"/>
      <c r="DB282" s="55"/>
      <c r="DC282" s="55"/>
      <c r="DD282" s="55"/>
      <c r="DE282" s="55"/>
      <c r="DF282" s="55"/>
      <c r="DG282" s="55"/>
      <c r="DH282" s="55"/>
      <c r="DI282" s="55"/>
      <c r="DJ282" s="55"/>
      <c r="DK282" s="55"/>
      <c r="DL282" s="55"/>
      <c r="DM282" s="55"/>
      <c r="DN282" s="55"/>
      <c r="DO282" s="55"/>
      <c r="DP282" s="55"/>
      <c r="DQ282" s="55"/>
      <c r="DR282" s="55"/>
      <c r="DS282" s="55"/>
      <c r="DT282" s="55"/>
      <c r="DU282" s="55"/>
      <c r="DV282" s="55"/>
      <c r="DW282" s="55"/>
      <c r="DX282" s="55"/>
      <c r="DY282" s="55"/>
      <c r="DZ282" s="55"/>
      <c r="EA282" s="55"/>
      <c r="EB282" s="55"/>
      <c r="EC282" s="55"/>
      <c r="ED282" s="55"/>
      <c r="EE282" s="55"/>
      <c r="EF282" s="55"/>
      <c r="EG282" s="55"/>
      <c r="EH282" s="55"/>
      <c r="EI282" s="55"/>
      <c r="EJ282" s="55"/>
      <c r="EK282" s="55"/>
      <c r="EL282" s="55"/>
      <c r="EM282" s="55"/>
      <c r="EN282" s="55"/>
      <c r="EO282" s="55"/>
      <c r="EP282" s="55"/>
      <c r="EQ282" s="55"/>
      <c r="ER282" s="55"/>
      <c r="ES282" s="55"/>
      <c r="ET282" s="55"/>
      <c r="EU282" s="55"/>
      <c r="EV282" s="55"/>
      <c r="EW282" s="55"/>
      <c r="EX282" s="55"/>
      <c r="EY282" s="55"/>
      <c r="EZ282" s="55"/>
      <c r="FA282" s="55"/>
      <c r="FB282" s="55"/>
      <c r="FC282" s="55"/>
      <c r="FD282" s="55"/>
      <c r="FE282" s="55"/>
      <c r="FF282" s="55"/>
      <c r="FG282" s="55"/>
      <c r="FH282" s="55"/>
      <c r="FI282" s="55"/>
      <c r="FJ282" s="55"/>
      <c r="FK282" s="55"/>
      <c r="FL282" s="55"/>
      <c r="FM282" s="55"/>
      <c r="FN282" s="55"/>
      <c r="FO282" s="55"/>
      <c r="FP282" s="55"/>
      <c r="FQ282" s="55"/>
      <c r="FR282" s="55"/>
      <c r="FS282" s="55"/>
      <c r="FT282" s="55"/>
      <c r="FU282" s="55"/>
      <c r="FV282" s="55"/>
      <c r="FW282" s="55"/>
      <c r="FX282" s="55"/>
      <c r="FY282" s="55"/>
      <c r="FZ282" s="55"/>
      <c r="GA282" s="55"/>
      <c r="GB282" s="55"/>
      <c r="GC282" s="55"/>
      <c r="GD282" s="55"/>
      <c r="GE282" s="55"/>
      <c r="GF282" s="55"/>
      <c r="GG282" s="55"/>
      <c r="GH282" s="55"/>
      <c r="GI282" s="55"/>
      <c r="GJ282" s="55"/>
      <c r="GK282" s="55"/>
      <c r="GL282" s="55"/>
      <c r="GM282" s="55"/>
      <c r="GN282" s="55"/>
      <c r="GO282" s="55"/>
      <c r="GP282" s="55"/>
      <c r="GQ282" s="55"/>
      <c r="GR282" s="55"/>
      <c r="GS282" s="55"/>
      <c r="GT282" s="55"/>
      <c r="GU282" s="55"/>
      <c r="GV282" s="55"/>
      <c r="GW282" s="55"/>
      <c r="GX282" s="55"/>
      <c r="GY282" s="55"/>
      <c r="GZ282" s="55"/>
      <c r="HA282" s="55"/>
      <c r="HB282" s="55"/>
      <c r="HC282" s="55"/>
      <c r="HD282" s="55"/>
      <c r="HE282" s="55"/>
      <c r="HF282" s="55"/>
      <c r="HG282" s="55"/>
      <c r="HH282" s="55"/>
      <c r="HI282" s="55"/>
      <c r="HJ282" s="55"/>
      <c r="HK282" s="55"/>
      <c r="HL282" s="55"/>
      <c r="HM282" s="55"/>
      <c r="HN282" s="55"/>
      <c r="HO282" s="55"/>
      <c r="HP282" s="55"/>
      <c r="HQ282" s="55"/>
      <c r="HR282" s="55"/>
      <c r="HS282" s="55"/>
      <c r="HT282" s="55"/>
      <c r="HU282" s="55"/>
      <c r="HV282" s="55"/>
      <c r="HW282" s="55"/>
      <c r="HX282" s="55"/>
      <c r="HY282" s="55"/>
      <c r="HZ282" s="55"/>
      <c r="IA282" s="55"/>
      <c r="IB282" s="55"/>
      <c r="IC282" s="55"/>
      <c r="ID282" s="55"/>
    </row>
    <row r="283" s="52" customFormat="1" ht="25.5" spans="1:238">
      <c r="A283" s="112" t="s">
        <v>95</v>
      </c>
      <c r="B283" s="112" t="s">
        <v>1144</v>
      </c>
      <c r="C283" s="64" t="s">
        <v>1145</v>
      </c>
      <c r="D283" s="65"/>
      <c r="E283" s="77"/>
      <c r="F283" s="77" t="s">
        <v>35</v>
      </c>
      <c r="G283" s="64" t="s">
        <v>110</v>
      </c>
      <c r="H283" s="78">
        <v>150</v>
      </c>
      <c r="I283" s="78">
        <v>135</v>
      </c>
      <c r="J283" s="83">
        <v>345</v>
      </c>
      <c r="K283" s="83"/>
      <c r="L283" s="83"/>
      <c r="M283" s="41">
        <v>140</v>
      </c>
      <c r="N283" s="41">
        <v>135</v>
      </c>
      <c r="O283" s="41">
        <v>115</v>
      </c>
      <c r="P283" s="64" t="s">
        <v>37</v>
      </c>
      <c r="Q283" s="64" t="s">
        <v>1146</v>
      </c>
      <c r="R283" s="64" t="s">
        <v>348</v>
      </c>
      <c r="S283" s="83"/>
      <c r="T283" s="77" t="s">
        <v>186</v>
      </c>
      <c r="U283" s="105" t="s">
        <v>1147</v>
      </c>
      <c r="V283" s="105">
        <v>33040100501</v>
      </c>
      <c r="W283" s="106" t="s">
        <v>1148</v>
      </c>
      <c r="X283" s="105"/>
      <c r="Y283" s="105"/>
      <c r="Z283" s="105" t="s">
        <v>36</v>
      </c>
      <c r="AA283" s="110" t="s">
        <v>35</v>
      </c>
      <c r="AB283" s="50">
        <v>1315</v>
      </c>
      <c r="AC283" s="50">
        <v>1185</v>
      </c>
      <c r="AD283" s="50">
        <v>1005</v>
      </c>
      <c r="AE283" s="112"/>
      <c r="AF283" s="60"/>
      <c r="AG283" s="55"/>
      <c r="AH283" s="55"/>
      <c r="AI283" s="55"/>
      <c r="AJ283" s="55"/>
      <c r="AK283" s="55"/>
      <c r="AL283" s="55"/>
      <c r="AM283" s="55"/>
      <c r="AN283" s="55"/>
      <c r="AO283" s="55"/>
      <c r="AP283" s="55"/>
      <c r="AQ283" s="55"/>
      <c r="AR283" s="55"/>
      <c r="AS283" s="55"/>
      <c r="AT283" s="55"/>
      <c r="AU283" s="55"/>
      <c r="AV283" s="55"/>
      <c r="AW283" s="55"/>
      <c r="AX283" s="55"/>
      <c r="AY283" s="55"/>
      <c r="AZ283" s="55"/>
      <c r="BA283" s="55"/>
      <c r="BB283" s="55"/>
      <c r="BC283" s="55"/>
      <c r="BD283" s="55"/>
      <c r="BE283" s="55"/>
      <c r="BF283" s="55"/>
      <c r="BG283" s="55"/>
      <c r="BH283" s="55"/>
      <c r="BI283" s="55"/>
      <c r="BJ283" s="55"/>
      <c r="BK283" s="55"/>
      <c r="BL283" s="55"/>
      <c r="BM283" s="55"/>
      <c r="BN283" s="55"/>
      <c r="BO283" s="55"/>
      <c r="BP283" s="55"/>
      <c r="BQ283" s="55"/>
      <c r="BR283" s="55"/>
      <c r="BS283" s="55"/>
      <c r="BT283" s="55"/>
      <c r="BU283" s="55"/>
      <c r="BV283" s="55"/>
      <c r="BW283" s="55"/>
      <c r="BX283" s="55"/>
      <c r="BY283" s="55"/>
      <c r="BZ283" s="55"/>
      <c r="CA283" s="55"/>
      <c r="CB283" s="55"/>
      <c r="CC283" s="55"/>
      <c r="CD283" s="55"/>
      <c r="CE283" s="55"/>
      <c r="CF283" s="55"/>
      <c r="CG283" s="55"/>
      <c r="CH283" s="55"/>
      <c r="CI283" s="55"/>
      <c r="CJ283" s="55"/>
      <c r="CK283" s="55"/>
      <c r="CL283" s="55"/>
      <c r="CM283" s="55"/>
      <c r="CN283" s="55"/>
      <c r="CO283" s="55"/>
      <c r="CP283" s="55"/>
      <c r="CQ283" s="55"/>
      <c r="CR283" s="55"/>
      <c r="CS283" s="55"/>
      <c r="CT283" s="55"/>
      <c r="CU283" s="55"/>
      <c r="CV283" s="55"/>
      <c r="CW283" s="55"/>
      <c r="CX283" s="55"/>
      <c r="CY283" s="55"/>
      <c r="CZ283" s="55"/>
      <c r="DA283" s="55"/>
      <c r="DB283" s="55"/>
      <c r="DC283" s="55"/>
      <c r="DD283" s="55"/>
      <c r="DE283" s="55"/>
      <c r="DF283" s="55"/>
      <c r="DG283" s="55"/>
      <c r="DH283" s="55"/>
      <c r="DI283" s="55"/>
      <c r="DJ283" s="55"/>
      <c r="DK283" s="55"/>
      <c r="DL283" s="55"/>
      <c r="DM283" s="55"/>
      <c r="DN283" s="55"/>
      <c r="DO283" s="55"/>
      <c r="DP283" s="55"/>
      <c r="DQ283" s="55"/>
      <c r="DR283" s="55"/>
      <c r="DS283" s="55"/>
      <c r="DT283" s="55"/>
      <c r="DU283" s="55"/>
      <c r="DV283" s="55"/>
      <c r="DW283" s="55"/>
      <c r="DX283" s="55"/>
      <c r="DY283" s="55"/>
      <c r="DZ283" s="55"/>
      <c r="EA283" s="55"/>
      <c r="EB283" s="55"/>
      <c r="EC283" s="55"/>
      <c r="ED283" s="55"/>
      <c r="EE283" s="55"/>
      <c r="EF283" s="55"/>
      <c r="EG283" s="55"/>
      <c r="EH283" s="55"/>
      <c r="EI283" s="55"/>
      <c r="EJ283" s="55"/>
      <c r="EK283" s="55"/>
      <c r="EL283" s="55"/>
      <c r="EM283" s="55"/>
      <c r="EN283" s="55"/>
      <c r="EO283" s="55"/>
      <c r="EP283" s="55"/>
      <c r="EQ283" s="55"/>
      <c r="ER283" s="55"/>
      <c r="ES283" s="55"/>
      <c r="ET283" s="55"/>
      <c r="EU283" s="55"/>
      <c r="EV283" s="55"/>
      <c r="EW283" s="55"/>
      <c r="EX283" s="55"/>
      <c r="EY283" s="55"/>
      <c r="EZ283" s="55"/>
      <c r="FA283" s="55"/>
      <c r="FB283" s="55"/>
      <c r="FC283" s="55"/>
      <c r="FD283" s="55"/>
      <c r="FE283" s="55"/>
      <c r="FF283" s="55"/>
      <c r="FG283" s="55"/>
      <c r="FH283" s="55"/>
      <c r="FI283" s="55"/>
      <c r="FJ283" s="55"/>
      <c r="FK283" s="55"/>
      <c r="FL283" s="55"/>
      <c r="FM283" s="55"/>
      <c r="FN283" s="55"/>
      <c r="FO283" s="55"/>
      <c r="FP283" s="55"/>
      <c r="FQ283" s="55"/>
      <c r="FR283" s="55"/>
      <c r="FS283" s="55"/>
      <c r="FT283" s="55"/>
      <c r="FU283" s="55"/>
      <c r="FV283" s="55"/>
      <c r="FW283" s="55"/>
      <c r="FX283" s="55"/>
      <c r="FY283" s="55"/>
      <c r="FZ283" s="55"/>
      <c r="GA283" s="55"/>
      <c r="GB283" s="55"/>
      <c r="GC283" s="55"/>
      <c r="GD283" s="55"/>
      <c r="GE283" s="55"/>
      <c r="GF283" s="55"/>
      <c r="GG283" s="55"/>
      <c r="GH283" s="55"/>
      <c r="GI283" s="55"/>
      <c r="GJ283" s="55"/>
      <c r="GK283" s="55"/>
      <c r="GL283" s="55"/>
      <c r="GM283" s="55"/>
      <c r="GN283" s="55"/>
      <c r="GO283" s="55"/>
      <c r="GP283" s="55"/>
      <c r="GQ283" s="55"/>
      <c r="GR283" s="55"/>
      <c r="GS283" s="55"/>
      <c r="GT283" s="55"/>
      <c r="GU283" s="55"/>
      <c r="GV283" s="55"/>
      <c r="GW283" s="55"/>
      <c r="GX283" s="55"/>
      <c r="GY283" s="55"/>
      <c r="GZ283" s="55"/>
      <c r="HA283" s="55"/>
      <c r="HB283" s="55"/>
      <c r="HC283" s="55"/>
      <c r="HD283" s="55"/>
      <c r="HE283" s="55"/>
      <c r="HF283" s="55"/>
      <c r="HG283" s="55"/>
      <c r="HH283" s="55"/>
      <c r="HI283" s="55"/>
      <c r="HJ283" s="55"/>
      <c r="HK283" s="55"/>
      <c r="HL283" s="55"/>
      <c r="HM283" s="55"/>
      <c r="HN283" s="55"/>
      <c r="HO283" s="55"/>
      <c r="HP283" s="55"/>
      <c r="HQ283" s="55"/>
      <c r="HR283" s="55"/>
      <c r="HS283" s="55"/>
      <c r="HT283" s="55"/>
      <c r="HU283" s="55"/>
      <c r="HV283" s="55"/>
      <c r="HW283" s="55"/>
      <c r="HX283" s="55"/>
      <c r="HY283" s="55"/>
      <c r="HZ283" s="55"/>
      <c r="IA283" s="55"/>
      <c r="IB283" s="55"/>
      <c r="IC283" s="55"/>
      <c r="ID283" s="55"/>
    </row>
    <row r="284" s="52" customFormat="1" ht="25.5" spans="1:238">
      <c r="A284" s="112"/>
      <c r="B284" s="112"/>
      <c r="C284" s="64"/>
      <c r="D284" s="65"/>
      <c r="E284" s="77"/>
      <c r="F284" s="77"/>
      <c r="G284" s="64"/>
      <c r="H284" s="42"/>
      <c r="I284" s="42"/>
      <c r="J284" s="83"/>
      <c r="K284" s="83"/>
      <c r="L284" s="83"/>
      <c r="M284" s="41"/>
      <c r="N284" s="41"/>
      <c r="O284" s="41"/>
      <c r="P284" s="64"/>
      <c r="Q284" s="64"/>
      <c r="R284" s="64"/>
      <c r="S284" s="83"/>
      <c r="T284" s="77"/>
      <c r="U284" s="105" t="s">
        <v>1149</v>
      </c>
      <c r="V284" s="105">
        <v>33040101001</v>
      </c>
      <c r="W284" s="106" t="s">
        <v>1150</v>
      </c>
      <c r="X284" s="105"/>
      <c r="Y284" s="105"/>
      <c r="Z284" s="105" t="s">
        <v>36</v>
      </c>
      <c r="AA284" s="110" t="s">
        <v>35</v>
      </c>
      <c r="AB284" s="50">
        <v>975</v>
      </c>
      <c r="AC284" s="50">
        <v>935</v>
      </c>
      <c r="AD284" s="50">
        <v>795</v>
      </c>
      <c r="AE284" s="112" t="s">
        <v>37</v>
      </c>
      <c r="AF284" s="60"/>
      <c r="AG284" s="55"/>
      <c r="AH284" s="55"/>
      <c r="AI284" s="55"/>
      <c r="AJ284" s="55"/>
      <c r="AK284" s="55"/>
      <c r="AL284" s="55"/>
      <c r="AM284" s="55"/>
      <c r="AN284" s="55"/>
      <c r="AO284" s="55"/>
      <c r="AP284" s="55"/>
      <c r="AQ284" s="55"/>
      <c r="AR284" s="55"/>
      <c r="AS284" s="55"/>
      <c r="AT284" s="55"/>
      <c r="AU284" s="55"/>
      <c r="AV284" s="55"/>
      <c r="AW284" s="55"/>
      <c r="AX284" s="55"/>
      <c r="AY284" s="55"/>
      <c r="AZ284" s="55"/>
      <c r="BA284" s="55"/>
      <c r="BB284" s="55"/>
      <c r="BC284" s="55"/>
      <c r="BD284" s="55"/>
      <c r="BE284" s="55"/>
      <c r="BF284" s="55"/>
      <c r="BG284" s="55"/>
      <c r="BH284" s="55"/>
      <c r="BI284" s="55"/>
      <c r="BJ284" s="55"/>
      <c r="BK284" s="55"/>
      <c r="BL284" s="55"/>
      <c r="BM284" s="55"/>
      <c r="BN284" s="55"/>
      <c r="BO284" s="55"/>
      <c r="BP284" s="55"/>
      <c r="BQ284" s="55"/>
      <c r="BR284" s="55"/>
      <c r="BS284" s="55"/>
      <c r="BT284" s="55"/>
      <c r="BU284" s="55"/>
      <c r="BV284" s="55"/>
      <c r="BW284" s="55"/>
      <c r="BX284" s="55"/>
      <c r="BY284" s="55"/>
      <c r="BZ284" s="55"/>
      <c r="CA284" s="55"/>
      <c r="CB284" s="55"/>
      <c r="CC284" s="55"/>
      <c r="CD284" s="55"/>
      <c r="CE284" s="55"/>
      <c r="CF284" s="55"/>
      <c r="CG284" s="55"/>
      <c r="CH284" s="55"/>
      <c r="CI284" s="55"/>
      <c r="CJ284" s="55"/>
      <c r="CK284" s="55"/>
      <c r="CL284" s="55"/>
      <c r="CM284" s="55"/>
      <c r="CN284" s="55"/>
      <c r="CO284" s="55"/>
      <c r="CP284" s="55"/>
      <c r="CQ284" s="55"/>
      <c r="CR284" s="55"/>
      <c r="CS284" s="55"/>
      <c r="CT284" s="55"/>
      <c r="CU284" s="55"/>
      <c r="CV284" s="55"/>
      <c r="CW284" s="55"/>
      <c r="CX284" s="55"/>
      <c r="CY284" s="55"/>
      <c r="CZ284" s="55"/>
      <c r="DA284" s="55"/>
      <c r="DB284" s="55"/>
      <c r="DC284" s="55"/>
      <c r="DD284" s="55"/>
      <c r="DE284" s="55"/>
      <c r="DF284" s="55"/>
      <c r="DG284" s="55"/>
      <c r="DH284" s="55"/>
      <c r="DI284" s="55"/>
      <c r="DJ284" s="55"/>
      <c r="DK284" s="55"/>
      <c r="DL284" s="55"/>
      <c r="DM284" s="55"/>
      <c r="DN284" s="55"/>
      <c r="DO284" s="55"/>
      <c r="DP284" s="55"/>
      <c r="DQ284" s="55"/>
      <c r="DR284" s="55"/>
      <c r="DS284" s="55"/>
      <c r="DT284" s="55"/>
      <c r="DU284" s="55"/>
      <c r="DV284" s="55"/>
      <c r="DW284" s="55"/>
      <c r="DX284" s="55"/>
      <c r="DY284" s="55"/>
      <c r="DZ284" s="55"/>
      <c r="EA284" s="55"/>
      <c r="EB284" s="55"/>
      <c r="EC284" s="55"/>
      <c r="ED284" s="55"/>
      <c r="EE284" s="55"/>
      <c r="EF284" s="55"/>
      <c r="EG284" s="55"/>
      <c r="EH284" s="55"/>
      <c r="EI284" s="55"/>
      <c r="EJ284" s="55"/>
      <c r="EK284" s="55"/>
      <c r="EL284" s="55"/>
      <c r="EM284" s="55"/>
      <c r="EN284" s="55"/>
      <c r="EO284" s="55"/>
      <c r="EP284" s="55"/>
      <c r="EQ284" s="55"/>
      <c r="ER284" s="55"/>
      <c r="ES284" s="55"/>
      <c r="ET284" s="55"/>
      <c r="EU284" s="55"/>
      <c r="EV284" s="55"/>
      <c r="EW284" s="55"/>
      <c r="EX284" s="55"/>
      <c r="EY284" s="55"/>
      <c r="EZ284" s="55"/>
      <c r="FA284" s="55"/>
      <c r="FB284" s="55"/>
      <c r="FC284" s="55"/>
      <c r="FD284" s="55"/>
      <c r="FE284" s="55"/>
      <c r="FF284" s="55"/>
      <c r="FG284" s="55"/>
      <c r="FH284" s="55"/>
      <c r="FI284" s="55"/>
      <c r="FJ284" s="55"/>
      <c r="FK284" s="55"/>
      <c r="FL284" s="55"/>
      <c r="FM284" s="55"/>
      <c r="FN284" s="55"/>
      <c r="FO284" s="55"/>
      <c r="FP284" s="55"/>
      <c r="FQ284" s="55"/>
      <c r="FR284" s="55"/>
      <c r="FS284" s="55"/>
      <c r="FT284" s="55"/>
      <c r="FU284" s="55"/>
      <c r="FV284" s="55"/>
      <c r="FW284" s="55"/>
      <c r="FX284" s="55"/>
      <c r="FY284" s="55"/>
      <c r="FZ284" s="55"/>
      <c r="GA284" s="55"/>
      <c r="GB284" s="55"/>
      <c r="GC284" s="55"/>
      <c r="GD284" s="55"/>
      <c r="GE284" s="55"/>
      <c r="GF284" s="55"/>
      <c r="GG284" s="55"/>
      <c r="GH284" s="55"/>
      <c r="GI284" s="55"/>
      <c r="GJ284" s="55"/>
      <c r="GK284" s="55"/>
      <c r="GL284" s="55"/>
      <c r="GM284" s="55"/>
      <c r="GN284" s="55"/>
      <c r="GO284" s="55"/>
      <c r="GP284" s="55"/>
      <c r="GQ284" s="55"/>
      <c r="GR284" s="55"/>
      <c r="GS284" s="55"/>
      <c r="GT284" s="55"/>
      <c r="GU284" s="55"/>
      <c r="GV284" s="55"/>
      <c r="GW284" s="55"/>
      <c r="GX284" s="55"/>
      <c r="GY284" s="55"/>
      <c r="GZ284" s="55"/>
      <c r="HA284" s="55"/>
      <c r="HB284" s="55"/>
      <c r="HC284" s="55"/>
      <c r="HD284" s="55"/>
      <c r="HE284" s="55"/>
      <c r="HF284" s="55"/>
      <c r="HG284" s="55"/>
      <c r="HH284" s="55"/>
      <c r="HI284" s="55"/>
      <c r="HJ284" s="55"/>
      <c r="HK284" s="55"/>
      <c r="HL284" s="55"/>
      <c r="HM284" s="55"/>
      <c r="HN284" s="55"/>
      <c r="HO284" s="55"/>
      <c r="HP284" s="55"/>
      <c r="HQ284" s="55"/>
      <c r="HR284" s="55"/>
      <c r="HS284" s="55"/>
      <c r="HT284" s="55"/>
      <c r="HU284" s="55"/>
      <c r="HV284" s="55"/>
      <c r="HW284" s="55"/>
      <c r="HX284" s="55"/>
      <c r="HY284" s="55"/>
      <c r="HZ284" s="55"/>
      <c r="IA284" s="55"/>
      <c r="IB284" s="55"/>
      <c r="IC284" s="55"/>
      <c r="ID284" s="55"/>
    </row>
    <row r="285" s="52" customFormat="1" ht="25.5" spans="1:238">
      <c r="A285" s="112"/>
      <c r="B285" s="112"/>
      <c r="C285" s="64"/>
      <c r="D285" s="65"/>
      <c r="E285" s="77"/>
      <c r="F285" s="77"/>
      <c r="G285" s="64"/>
      <c r="H285" s="42"/>
      <c r="I285" s="42"/>
      <c r="J285" s="83"/>
      <c r="K285" s="83"/>
      <c r="L285" s="83"/>
      <c r="M285" s="41"/>
      <c r="N285" s="41"/>
      <c r="O285" s="41"/>
      <c r="P285" s="64"/>
      <c r="Q285" s="64"/>
      <c r="R285" s="64"/>
      <c r="S285" s="83"/>
      <c r="T285" s="77"/>
      <c r="U285" s="105" t="s">
        <v>1151</v>
      </c>
      <c r="V285" s="105">
        <v>33040101701</v>
      </c>
      <c r="W285" s="106" t="s">
        <v>1152</v>
      </c>
      <c r="X285" s="105"/>
      <c r="Y285" s="105"/>
      <c r="Z285" s="105" t="s">
        <v>1141</v>
      </c>
      <c r="AA285" s="110" t="s">
        <v>35</v>
      </c>
      <c r="AB285" s="50">
        <v>815</v>
      </c>
      <c r="AC285" s="50">
        <v>780</v>
      </c>
      <c r="AD285" s="50">
        <v>665</v>
      </c>
      <c r="AE285" s="112"/>
      <c r="AF285" s="60"/>
      <c r="AG285" s="55"/>
      <c r="AH285" s="55"/>
      <c r="AI285" s="55"/>
      <c r="AJ285" s="55"/>
      <c r="AK285" s="55"/>
      <c r="AL285" s="55"/>
      <c r="AM285" s="55"/>
      <c r="AN285" s="55"/>
      <c r="AO285" s="55"/>
      <c r="AP285" s="55"/>
      <c r="AQ285" s="55"/>
      <c r="AR285" s="55"/>
      <c r="AS285" s="55"/>
      <c r="AT285" s="55"/>
      <c r="AU285" s="55"/>
      <c r="AV285" s="55"/>
      <c r="AW285" s="55"/>
      <c r="AX285" s="55"/>
      <c r="AY285" s="55"/>
      <c r="AZ285" s="55"/>
      <c r="BA285" s="55"/>
      <c r="BB285" s="55"/>
      <c r="BC285" s="55"/>
      <c r="BD285" s="55"/>
      <c r="BE285" s="55"/>
      <c r="BF285" s="55"/>
      <c r="BG285" s="55"/>
      <c r="BH285" s="55"/>
      <c r="BI285" s="55"/>
      <c r="BJ285" s="55"/>
      <c r="BK285" s="55"/>
      <c r="BL285" s="55"/>
      <c r="BM285" s="55"/>
      <c r="BN285" s="55"/>
      <c r="BO285" s="55"/>
      <c r="BP285" s="55"/>
      <c r="BQ285" s="55"/>
      <c r="BR285" s="55"/>
      <c r="BS285" s="55"/>
      <c r="BT285" s="55"/>
      <c r="BU285" s="55"/>
      <c r="BV285" s="55"/>
      <c r="BW285" s="55"/>
      <c r="BX285" s="55"/>
      <c r="BY285" s="55"/>
      <c r="BZ285" s="55"/>
      <c r="CA285" s="55"/>
      <c r="CB285" s="55"/>
      <c r="CC285" s="55"/>
      <c r="CD285" s="55"/>
      <c r="CE285" s="55"/>
      <c r="CF285" s="55"/>
      <c r="CG285" s="55"/>
      <c r="CH285" s="55"/>
      <c r="CI285" s="55"/>
      <c r="CJ285" s="55"/>
      <c r="CK285" s="55"/>
      <c r="CL285" s="55"/>
      <c r="CM285" s="55"/>
      <c r="CN285" s="55"/>
      <c r="CO285" s="55"/>
      <c r="CP285" s="55"/>
      <c r="CQ285" s="55"/>
      <c r="CR285" s="55"/>
      <c r="CS285" s="55"/>
      <c r="CT285" s="55"/>
      <c r="CU285" s="55"/>
      <c r="CV285" s="55"/>
      <c r="CW285" s="55"/>
      <c r="CX285" s="55"/>
      <c r="CY285" s="55"/>
      <c r="CZ285" s="55"/>
      <c r="DA285" s="55"/>
      <c r="DB285" s="55"/>
      <c r="DC285" s="55"/>
      <c r="DD285" s="55"/>
      <c r="DE285" s="55"/>
      <c r="DF285" s="55"/>
      <c r="DG285" s="55"/>
      <c r="DH285" s="55"/>
      <c r="DI285" s="55"/>
      <c r="DJ285" s="55"/>
      <c r="DK285" s="55"/>
      <c r="DL285" s="55"/>
      <c r="DM285" s="55"/>
      <c r="DN285" s="55"/>
      <c r="DO285" s="55"/>
      <c r="DP285" s="55"/>
      <c r="DQ285" s="55"/>
      <c r="DR285" s="55"/>
      <c r="DS285" s="55"/>
      <c r="DT285" s="55"/>
      <c r="DU285" s="55"/>
      <c r="DV285" s="55"/>
      <c r="DW285" s="55"/>
      <c r="DX285" s="55"/>
      <c r="DY285" s="55"/>
      <c r="DZ285" s="55"/>
      <c r="EA285" s="55"/>
      <c r="EB285" s="55"/>
      <c r="EC285" s="55"/>
      <c r="ED285" s="55"/>
      <c r="EE285" s="55"/>
      <c r="EF285" s="55"/>
      <c r="EG285" s="55"/>
      <c r="EH285" s="55"/>
      <c r="EI285" s="55"/>
      <c r="EJ285" s="55"/>
      <c r="EK285" s="55"/>
      <c r="EL285" s="55"/>
      <c r="EM285" s="55"/>
      <c r="EN285" s="55"/>
      <c r="EO285" s="55"/>
      <c r="EP285" s="55"/>
      <c r="EQ285" s="55"/>
      <c r="ER285" s="55"/>
      <c r="ES285" s="55"/>
      <c r="ET285" s="55"/>
      <c r="EU285" s="55"/>
      <c r="EV285" s="55"/>
      <c r="EW285" s="55"/>
      <c r="EX285" s="55"/>
      <c r="EY285" s="55"/>
      <c r="EZ285" s="55"/>
      <c r="FA285" s="55"/>
      <c r="FB285" s="55"/>
      <c r="FC285" s="55"/>
      <c r="FD285" s="55"/>
      <c r="FE285" s="55"/>
      <c r="FF285" s="55"/>
      <c r="FG285" s="55"/>
      <c r="FH285" s="55"/>
      <c r="FI285" s="55"/>
      <c r="FJ285" s="55"/>
      <c r="FK285" s="55"/>
      <c r="FL285" s="55"/>
      <c r="FM285" s="55"/>
      <c r="FN285" s="55"/>
      <c r="FO285" s="55"/>
      <c r="FP285" s="55"/>
      <c r="FQ285" s="55"/>
      <c r="FR285" s="55"/>
      <c r="FS285" s="55"/>
      <c r="FT285" s="55"/>
      <c r="FU285" s="55"/>
      <c r="FV285" s="55"/>
      <c r="FW285" s="55"/>
      <c r="FX285" s="55"/>
      <c r="FY285" s="55"/>
      <c r="FZ285" s="55"/>
      <c r="GA285" s="55"/>
      <c r="GB285" s="55"/>
      <c r="GC285" s="55"/>
      <c r="GD285" s="55"/>
      <c r="GE285" s="55"/>
      <c r="GF285" s="55"/>
      <c r="GG285" s="55"/>
      <c r="GH285" s="55"/>
      <c r="GI285" s="55"/>
      <c r="GJ285" s="55"/>
      <c r="GK285" s="55"/>
      <c r="GL285" s="55"/>
      <c r="GM285" s="55"/>
      <c r="GN285" s="55"/>
      <c r="GO285" s="55"/>
      <c r="GP285" s="55"/>
      <c r="GQ285" s="55"/>
      <c r="GR285" s="55"/>
      <c r="GS285" s="55"/>
      <c r="GT285" s="55"/>
      <c r="GU285" s="55"/>
      <c r="GV285" s="55"/>
      <c r="GW285" s="55"/>
      <c r="GX285" s="55"/>
      <c r="GY285" s="55"/>
      <c r="GZ285" s="55"/>
      <c r="HA285" s="55"/>
      <c r="HB285" s="55"/>
      <c r="HC285" s="55"/>
      <c r="HD285" s="55"/>
      <c r="HE285" s="55"/>
      <c r="HF285" s="55"/>
      <c r="HG285" s="55"/>
      <c r="HH285" s="55"/>
      <c r="HI285" s="55"/>
      <c r="HJ285" s="55"/>
      <c r="HK285" s="55"/>
      <c r="HL285" s="55"/>
      <c r="HM285" s="55"/>
      <c r="HN285" s="55"/>
      <c r="HO285" s="55"/>
      <c r="HP285" s="55"/>
      <c r="HQ285" s="55"/>
      <c r="HR285" s="55"/>
      <c r="HS285" s="55"/>
      <c r="HT285" s="55"/>
      <c r="HU285" s="55"/>
      <c r="HV285" s="55"/>
      <c r="HW285" s="55"/>
      <c r="HX285" s="55"/>
      <c r="HY285" s="55"/>
      <c r="HZ285" s="55"/>
      <c r="IA285" s="55"/>
      <c r="IB285" s="55"/>
      <c r="IC285" s="55"/>
      <c r="ID285" s="55"/>
    </row>
    <row r="286" s="52" customFormat="1" ht="25.5" spans="1:238">
      <c r="A286" s="112"/>
      <c r="B286" s="112"/>
      <c r="C286" s="64"/>
      <c r="D286" s="65"/>
      <c r="E286" s="77"/>
      <c r="F286" s="77"/>
      <c r="G286" s="64"/>
      <c r="H286" s="42"/>
      <c r="I286" s="42"/>
      <c r="J286" s="83"/>
      <c r="K286" s="83"/>
      <c r="L286" s="83"/>
      <c r="M286" s="41"/>
      <c r="N286" s="41"/>
      <c r="O286" s="41"/>
      <c r="P286" s="64"/>
      <c r="Q286" s="64"/>
      <c r="R286" s="64"/>
      <c r="S286" s="83"/>
      <c r="T286" s="77"/>
      <c r="U286" s="105" t="s">
        <v>1153</v>
      </c>
      <c r="V286" s="105">
        <v>33040101401</v>
      </c>
      <c r="W286" s="106" t="s">
        <v>1154</v>
      </c>
      <c r="X286" s="105"/>
      <c r="Y286" s="105"/>
      <c r="Z286" s="105" t="s">
        <v>110</v>
      </c>
      <c r="AA286" s="110" t="s">
        <v>35</v>
      </c>
      <c r="AB286" s="50">
        <v>325</v>
      </c>
      <c r="AC286" s="50">
        <v>310</v>
      </c>
      <c r="AD286" s="50">
        <v>265</v>
      </c>
      <c r="AE286" s="112"/>
      <c r="AF286" s="60"/>
      <c r="AG286" s="55"/>
      <c r="AH286" s="55"/>
      <c r="AI286" s="55"/>
      <c r="AJ286" s="55"/>
      <c r="AK286" s="55"/>
      <c r="AL286" s="55"/>
      <c r="AM286" s="55"/>
      <c r="AN286" s="55"/>
      <c r="AO286" s="55"/>
      <c r="AP286" s="55"/>
      <c r="AQ286" s="55"/>
      <c r="AR286" s="55"/>
      <c r="AS286" s="55"/>
      <c r="AT286" s="55"/>
      <c r="AU286" s="55"/>
      <c r="AV286" s="55"/>
      <c r="AW286" s="55"/>
      <c r="AX286" s="55"/>
      <c r="AY286" s="55"/>
      <c r="AZ286" s="55"/>
      <c r="BA286" s="55"/>
      <c r="BB286" s="55"/>
      <c r="BC286" s="55"/>
      <c r="BD286" s="55"/>
      <c r="BE286" s="55"/>
      <c r="BF286" s="55"/>
      <c r="BG286" s="55"/>
      <c r="BH286" s="55"/>
      <c r="BI286" s="55"/>
      <c r="BJ286" s="55"/>
      <c r="BK286" s="55"/>
      <c r="BL286" s="55"/>
      <c r="BM286" s="55"/>
      <c r="BN286" s="55"/>
      <c r="BO286" s="55"/>
      <c r="BP286" s="55"/>
      <c r="BQ286" s="55"/>
      <c r="BR286" s="55"/>
      <c r="BS286" s="55"/>
      <c r="BT286" s="55"/>
      <c r="BU286" s="55"/>
      <c r="BV286" s="55"/>
      <c r="BW286" s="55"/>
      <c r="BX286" s="55"/>
      <c r="BY286" s="55"/>
      <c r="BZ286" s="55"/>
      <c r="CA286" s="55"/>
      <c r="CB286" s="55"/>
      <c r="CC286" s="55"/>
      <c r="CD286" s="55"/>
      <c r="CE286" s="55"/>
      <c r="CF286" s="55"/>
      <c r="CG286" s="55"/>
      <c r="CH286" s="55"/>
      <c r="CI286" s="55"/>
      <c r="CJ286" s="55"/>
      <c r="CK286" s="55"/>
      <c r="CL286" s="55"/>
      <c r="CM286" s="55"/>
      <c r="CN286" s="55"/>
      <c r="CO286" s="55"/>
      <c r="CP286" s="55"/>
      <c r="CQ286" s="55"/>
      <c r="CR286" s="55"/>
      <c r="CS286" s="55"/>
      <c r="CT286" s="55"/>
      <c r="CU286" s="55"/>
      <c r="CV286" s="55"/>
      <c r="CW286" s="55"/>
      <c r="CX286" s="55"/>
      <c r="CY286" s="55"/>
      <c r="CZ286" s="55"/>
      <c r="DA286" s="55"/>
      <c r="DB286" s="55"/>
      <c r="DC286" s="55"/>
      <c r="DD286" s="55"/>
      <c r="DE286" s="55"/>
      <c r="DF286" s="55"/>
      <c r="DG286" s="55"/>
      <c r="DH286" s="55"/>
      <c r="DI286" s="55"/>
      <c r="DJ286" s="55"/>
      <c r="DK286" s="55"/>
      <c r="DL286" s="55"/>
      <c r="DM286" s="55"/>
      <c r="DN286" s="55"/>
      <c r="DO286" s="55"/>
      <c r="DP286" s="55"/>
      <c r="DQ286" s="55"/>
      <c r="DR286" s="55"/>
      <c r="DS286" s="55"/>
      <c r="DT286" s="55"/>
      <c r="DU286" s="55"/>
      <c r="DV286" s="55"/>
      <c r="DW286" s="55"/>
      <c r="DX286" s="55"/>
      <c r="DY286" s="55"/>
      <c r="DZ286" s="55"/>
      <c r="EA286" s="55"/>
      <c r="EB286" s="55"/>
      <c r="EC286" s="55"/>
      <c r="ED286" s="55"/>
      <c r="EE286" s="55"/>
      <c r="EF286" s="55"/>
      <c r="EG286" s="55"/>
      <c r="EH286" s="55"/>
      <c r="EI286" s="55"/>
      <c r="EJ286" s="55"/>
      <c r="EK286" s="55"/>
      <c r="EL286" s="55"/>
      <c r="EM286" s="55"/>
      <c r="EN286" s="55"/>
      <c r="EO286" s="55"/>
      <c r="EP286" s="55"/>
      <c r="EQ286" s="55"/>
      <c r="ER286" s="55"/>
      <c r="ES286" s="55"/>
      <c r="ET286" s="55"/>
      <c r="EU286" s="55"/>
      <c r="EV286" s="55"/>
      <c r="EW286" s="55"/>
      <c r="EX286" s="55"/>
      <c r="EY286" s="55"/>
      <c r="EZ286" s="55"/>
      <c r="FA286" s="55"/>
      <c r="FB286" s="55"/>
      <c r="FC286" s="55"/>
      <c r="FD286" s="55"/>
      <c r="FE286" s="55"/>
      <c r="FF286" s="55"/>
      <c r="FG286" s="55"/>
      <c r="FH286" s="55"/>
      <c r="FI286" s="55"/>
      <c r="FJ286" s="55"/>
      <c r="FK286" s="55"/>
      <c r="FL286" s="55"/>
      <c r="FM286" s="55"/>
      <c r="FN286" s="55"/>
      <c r="FO286" s="55"/>
      <c r="FP286" s="55"/>
      <c r="FQ286" s="55"/>
      <c r="FR286" s="55"/>
      <c r="FS286" s="55"/>
      <c r="FT286" s="55"/>
      <c r="FU286" s="55"/>
      <c r="FV286" s="55"/>
      <c r="FW286" s="55"/>
      <c r="FX286" s="55"/>
      <c r="FY286" s="55"/>
      <c r="FZ286" s="55"/>
      <c r="GA286" s="55"/>
      <c r="GB286" s="55"/>
      <c r="GC286" s="55"/>
      <c r="GD286" s="55"/>
      <c r="GE286" s="55"/>
      <c r="GF286" s="55"/>
      <c r="GG286" s="55"/>
      <c r="GH286" s="55"/>
      <c r="GI286" s="55"/>
      <c r="GJ286" s="55"/>
      <c r="GK286" s="55"/>
      <c r="GL286" s="55"/>
      <c r="GM286" s="55"/>
      <c r="GN286" s="55"/>
      <c r="GO286" s="55"/>
      <c r="GP286" s="55"/>
      <c r="GQ286" s="55"/>
      <c r="GR286" s="55"/>
      <c r="GS286" s="55"/>
      <c r="GT286" s="55"/>
      <c r="GU286" s="55"/>
      <c r="GV286" s="55"/>
      <c r="GW286" s="55"/>
      <c r="GX286" s="55"/>
      <c r="GY286" s="55"/>
      <c r="GZ286" s="55"/>
      <c r="HA286" s="55"/>
      <c r="HB286" s="55"/>
      <c r="HC286" s="55"/>
      <c r="HD286" s="55"/>
      <c r="HE286" s="55"/>
      <c r="HF286" s="55"/>
      <c r="HG286" s="55"/>
      <c r="HH286" s="55"/>
      <c r="HI286" s="55"/>
      <c r="HJ286" s="55"/>
      <c r="HK286" s="55"/>
      <c r="HL286" s="55"/>
      <c r="HM286" s="55"/>
      <c r="HN286" s="55"/>
      <c r="HO286" s="55"/>
      <c r="HP286" s="55"/>
      <c r="HQ286" s="55"/>
      <c r="HR286" s="55"/>
      <c r="HS286" s="55"/>
      <c r="HT286" s="55"/>
      <c r="HU286" s="55"/>
      <c r="HV286" s="55"/>
      <c r="HW286" s="55"/>
      <c r="HX286" s="55"/>
      <c r="HY286" s="55"/>
      <c r="HZ286" s="55"/>
      <c r="IA286" s="55"/>
      <c r="IB286" s="55"/>
      <c r="IC286" s="55"/>
      <c r="ID286" s="55"/>
    </row>
    <row r="287" s="52" customFormat="1" ht="23" customHeight="1" spans="1:238">
      <c r="A287" s="112">
        <v>82</v>
      </c>
      <c r="B287" s="112" t="s">
        <v>1155</v>
      </c>
      <c r="C287" s="64" t="s">
        <v>1156</v>
      </c>
      <c r="D287" s="65" t="s">
        <v>1157</v>
      </c>
      <c r="E287" s="77" t="s">
        <v>1130</v>
      </c>
      <c r="F287" s="77" t="s">
        <v>1158</v>
      </c>
      <c r="G287" s="64" t="s">
        <v>110</v>
      </c>
      <c r="H287" s="78">
        <v>750</v>
      </c>
      <c r="I287" s="78">
        <v>675</v>
      </c>
      <c r="J287" s="84">
        <v>468.68486869529</v>
      </c>
      <c r="K287" s="84">
        <v>452.156505914468</v>
      </c>
      <c r="L287" s="84">
        <v>380.8</v>
      </c>
      <c r="M287" s="89">
        <v>680</v>
      </c>
      <c r="N287" s="89">
        <v>610</v>
      </c>
      <c r="O287" s="89">
        <v>520</v>
      </c>
      <c r="P287" s="64" t="s">
        <v>37</v>
      </c>
      <c r="Q287" s="64" t="s">
        <v>1131</v>
      </c>
      <c r="R287" s="64" t="s">
        <v>348</v>
      </c>
      <c r="S287" s="83" t="s">
        <v>485</v>
      </c>
      <c r="T287" s="104" t="s">
        <v>1159</v>
      </c>
      <c r="U287" s="105" t="s">
        <v>1160</v>
      </c>
      <c r="V287" s="105">
        <v>330401004</v>
      </c>
      <c r="W287" s="106" t="s">
        <v>1161</v>
      </c>
      <c r="X287" s="105" t="s">
        <v>1162</v>
      </c>
      <c r="Y287" s="105" t="s">
        <v>1163</v>
      </c>
      <c r="Z287" s="105" t="s">
        <v>36</v>
      </c>
      <c r="AA287" s="110" t="s">
        <v>1164</v>
      </c>
      <c r="AB287" s="50">
        <v>500</v>
      </c>
      <c r="AC287" s="50">
        <v>480</v>
      </c>
      <c r="AD287" s="50">
        <v>408</v>
      </c>
      <c r="AE287" s="112" t="s">
        <v>37</v>
      </c>
      <c r="AF287" s="60"/>
      <c r="AG287" s="55"/>
      <c r="AH287" s="55"/>
      <c r="AI287" s="55"/>
      <c r="AJ287" s="55"/>
      <c r="AK287" s="55"/>
      <c r="AL287" s="55"/>
      <c r="AM287" s="55"/>
      <c r="AN287" s="55"/>
      <c r="AO287" s="55"/>
      <c r="AP287" s="55"/>
      <c r="AQ287" s="55"/>
      <c r="AR287" s="55"/>
      <c r="AS287" s="55"/>
      <c r="AT287" s="55"/>
      <c r="AU287" s="55"/>
      <c r="AV287" s="55"/>
      <c r="AW287" s="55"/>
      <c r="AX287" s="55"/>
      <c r="AY287" s="55"/>
      <c r="AZ287" s="55"/>
      <c r="BA287" s="55"/>
      <c r="BB287" s="55"/>
      <c r="BC287" s="55"/>
      <c r="BD287" s="55"/>
      <c r="BE287" s="55"/>
      <c r="BF287" s="55"/>
      <c r="BG287" s="55"/>
      <c r="BH287" s="55"/>
      <c r="BI287" s="55"/>
      <c r="BJ287" s="55"/>
      <c r="BK287" s="55"/>
      <c r="BL287" s="55"/>
      <c r="BM287" s="55"/>
      <c r="BN287" s="55"/>
      <c r="BO287" s="55"/>
      <c r="BP287" s="55"/>
      <c r="BQ287" s="55"/>
      <c r="BR287" s="55"/>
      <c r="BS287" s="55"/>
      <c r="BT287" s="55"/>
      <c r="BU287" s="55"/>
      <c r="BV287" s="55"/>
      <c r="BW287" s="55"/>
      <c r="BX287" s="55"/>
      <c r="BY287" s="55"/>
      <c r="BZ287" s="55"/>
      <c r="CA287" s="55"/>
      <c r="CB287" s="55"/>
      <c r="CC287" s="55"/>
      <c r="CD287" s="55"/>
      <c r="CE287" s="55"/>
      <c r="CF287" s="55"/>
      <c r="CG287" s="55"/>
      <c r="CH287" s="55"/>
      <c r="CI287" s="55"/>
      <c r="CJ287" s="55"/>
      <c r="CK287" s="55"/>
      <c r="CL287" s="55"/>
      <c r="CM287" s="55"/>
      <c r="CN287" s="55"/>
      <c r="CO287" s="55"/>
      <c r="CP287" s="55"/>
      <c r="CQ287" s="55"/>
      <c r="CR287" s="55"/>
      <c r="CS287" s="55"/>
      <c r="CT287" s="55"/>
      <c r="CU287" s="55"/>
      <c r="CV287" s="55"/>
      <c r="CW287" s="55"/>
      <c r="CX287" s="55"/>
      <c r="CY287" s="55"/>
      <c r="CZ287" s="55"/>
      <c r="DA287" s="55"/>
      <c r="DB287" s="55"/>
      <c r="DC287" s="55"/>
      <c r="DD287" s="55"/>
      <c r="DE287" s="55"/>
      <c r="DF287" s="55"/>
      <c r="DG287" s="55"/>
      <c r="DH287" s="55"/>
      <c r="DI287" s="55"/>
      <c r="DJ287" s="55"/>
      <c r="DK287" s="55"/>
      <c r="DL287" s="55"/>
      <c r="DM287" s="55"/>
      <c r="DN287" s="55"/>
      <c r="DO287" s="55"/>
      <c r="DP287" s="55"/>
      <c r="DQ287" s="55"/>
      <c r="DR287" s="55"/>
      <c r="DS287" s="55"/>
      <c r="DT287" s="55"/>
      <c r="DU287" s="55"/>
      <c r="DV287" s="55"/>
      <c r="DW287" s="55"/>
      <c r="DX287" s="55"/>
      <c r="DY287" s="55"/>
      <c r="DZ287" s="55"/>
      <c r="EA287" s="55"/>
      <c r="EB287" s="55"/>
      <c r="EC287" s="55"/>
      <c r="ED287" s="55"/>
      <c r="EE287" s="55"/>
      <c r="EF287" s="55"/>
      <c r="EG287" s="55"/>
      <c r="EH287" s="55"/>
      <c r="EI287" s="55"/>
      <c r="EJ287" s="55"/>
      <c r="EK287" s="55"/>
      <c r="EL287" s="55"/>
      <c r="EM287" s="55"/>
      <c r="EN287" s="55"/>
      <c r="EO287" s="55"/>
      <c r="EP287" s="55"/>
      <c r="EQ287" s="55"/>
      <c r="ER287" s="55"/>
      <c r="ES287" s="55"/>
      <c r="ET287" s="55"/>
      <c r="EU287" s="55"/>
      <c r="EV287" s="55"/>
      <c r="EW287" s="55"/>
      <c r="EX287" s="55"/>
      <c r="EY287" s="55"/>
      <c r="EZ287" s="55"/>
      <c r="FA287" s="55"/>
      <c r="FB287" s="55"/>
      <c r="FC287" s="55"/>
      <c r="FD287" s="55"/>
      <c r="FE287" s="55"/>
      <c r="FF287" s="55"/>
      <c r="FG287" s="55"/>
      <c r="FH287" s="55"/>
      <c r="FI287" s="55"/>
      <c r="FJ287" s="55"/>
      <c r="FK287" s="55"/>
      <c r="FL287" s="55"/>
      <c r="FM287" s="55"/>
      <c r="FN287" s="55"/>
      <c r="FO287" s="55"/>
      <c r="FP287" s="55"/>
      <c r="FQ287" s="55"/>
      <c r="FR287" s="55"/>
      <c r="FS287" s="55"/>
      <c r="FT287" s="55"/>
      <c r="FU287" s="55"/>
      <c r="FV287" s="55"/>
      <c r="FW287" s="55"/>
      <c r="FX287" s="55"/>
      <c r="FY287" s="55"/>
      <c r="FZ287" s="55"/>
      <c r="GA287" s="55"/>
      <c r="GB287" s="55"/>
      <c r="GC287" s="55"/>
      <c r="GD287" s="55"/>
      <c r="GE287" s="55"/>
      <c r="GF287" s="55"/>
      <c r="GG287" s="55"/>
      <c r="GH287" s="55"/>
      <c r="GI287" s="55"/>
      <c r="GJ287" s="55"/>
      <c r="GK287" s="55"/>
      <c r="GL287" s="55"/>
      <c r="GM287" s="55"/>
      <c r="GN287" s="55"/>
      <c r="GO287" s="55"/>
      <c r="GP287" s="55"/>
      <c r="GQ287" s="55"/>
      <c r="GR287" s="55"/>
      <c r="GS287" s="55"/>
      <c r="GT287" s="55"/>
      <c r="GU287" s="55"/>
      <c r="GV287" s="55"/>
      <c r="GW287" s="55"/>
      <c r="GX287" s="55"/>
      <c r="GY287" s="55"/>
      <c r="GZ287" s="55"/>
      <c r="HA287" s="55"/>
      <c r="HB287" s="55"/>
      <c r="HC287" s="55"/>
      <c r="HD287" s="55"/>
      <c r="HE287" s="55"/>
      <c r="HF287" s="55"/>
      <c r="HG287" s="55"/>
      <c r="HH287" s="55"/>
      <c r="HI287" s="55"/>
      <c r="HJ287" s="55"/>
      <c r="HK287" s="55"/>
      <c r="HL287" s="55"/>
      <c r="HM287" s="55"/>
      <c r="HN287" s="55"/>
      <c r="HO287" s="55"/>
      <c r="HP287" s="55"/>
      <c r="HQ287" s="55"/>
      <c r="HR287" s="55"/>
      <c r="HS287" s="55"/>
      <c r="HT287" s="55"/>
      <c r="HU287" s="55"/>
      <c r="HV287" s="55"/>
      <c r="HW287" s="55"/>
      <c r="HX287" s="55"/>
      <c r="HY287" s="55"/>
      <c r="HZ287" s="55"/>
      <c r="IA287" s="55"/>
      <c r="IB287" s="55"/>
      <c r="IC287" s="55"/>
      <c r="ID287" s="55"/>
    </row>
    <row r="288" s="52" customFormat="1" ht="23" customHeight="1" spans="1:238">
      <c r="A288" s="112"/>
      <c r="B288" s="112"/>
      <c r="C288" s="64"/>
      <c r="D288" s="65"/>
      <c r="E288" s="77"/>
      <c r="F288" s="77"/>
      <c r="G288" s="64"/>
      <c r="H288" s="42"/>
      <c r="I288" s="42"/>
      <c r="J288" s="84"/>
      <c r="K288" s="84"/>
      <c r="L288" s="84"/>
      <c r="M288" s="89"/>
      <c r="N288" s="89"/>
      <c r="O288" s="89"/>
      <c r="P288" s="64"/>
      <c r="Q288" s="64"/>
      <c r="R288" s="64"/>
      <c r="S288" s="83"/>
      <c r="T288" s="104"/>
      <c r="U288" s="105" t="s">
        <v>1165</v>
      </c>
      <c r="V288" s="105">
        <v>33040100401</v>
      </c>
      <c r="W288" s="106" t="s">
        <v>1166</v>
      </c>
      <c r="X288" s="105"/>
      <c r="Y288" s="105"/>
      <c r="Z288" s="105" t="s">
        <v>36</v>
      </c>
      <c r="AA288" s="110" t="s">
        <v>1167</v>
      </c>
      <c r="AB288" s="50">
        <v>600</v>
      </c>
      <c r="AC288" s="50">
        <v>576</v>
      </c>
      <c r="AD288" s="50">
        <v>489.6</v>
      </c>
      <c r="AE288" s="112" t="s">
        <v>37</v>
      </c>
      <c r="AF288" s="60"/>
      <c r="AG288" s="55"/>
      <c r="AH288" s="55"/>
      <c r="AI288" s="55"/>
      <c r="AJ288" s="55"/>
      <c r="AK288" s="55"/>
      <c r="AL288" s="55"/>
      <c r="AM288" s="55"/>
      <c r="AN288" s="55"/>
      <c r="AO288" s="55"/>
      <c r="AP288" s="55"/>
      <c r="AQ288" s="55"/>
      <c r="AR288" s="55"/>
      <c r="AS288" s="55"/>
      <c r="AT288" s="55"/>
      <c r="AU288" s="55"/>
      <c r="AV288" s="55"/>
      <c r="AW288" s="55"/>
      <c r="AX288" s="55"/>
      <c r="AY288" s="55"/>
      <c r="AZ288" s="55"/>
      <c r="BA288" s="55"/>
      <c r="BB288" s="55"/>
      <c r="BC288" s="55"/>
      <c r="BD288" s="55"/>
      <c r="BE288" s="55"/>
      <c r="BF288" s="55"/>
      <c r="BG288" s="55"/>
      <c r="BH288" s="55"/>
      <c r="BI288" s="55"/>
      <c r="BJ288" s="55"/>
      <c r="BK288" s="55"/>
      <c r="BL288" s="55"/>
      <c r="BM288" s="55"/>
      <c r="BN288" s="55"/>
      <c r="BO288" s="55"/>
      <c r="BP288" s="55"/>
      <c r="BQ288" s="55"/>
      <c r="BR288" s="55"/>
      <c r="BS288" s="55"/>
      <c r="BT288" s="55"/>
      <c r="BU288" s="55"/>
      <c r="BV288" s="55"/>
      <c r="BW288" s="55"/>
      <c r="BX288" s="55"/>
      <c r="BY288" s="55"/>
      <c r="BZ288" s="55"/>
      <c r="CA288" s="55"/>
      <c r="CB288" s="55"/>
      <c r="CC288" s="55"/>
      <c r="CD288" s="55"/>
      <c r="CE288" s="55"/>
      <c r="CF288" s="55"/>
      <c r="CG288" s="55"/>
      <c r="CH288" s="55"/>
      <c r="CI288" s="55"/>
      <c r="CJ288" s="55"/>
      <c r="CK288" s="55"/>
      <c r="CL288" s="55"/>
      <c r="CM288" s="55"/>
      <c r="CN288" s="55"/>
      <c r="CO288" s="55"/>
      <c r="CP288" s="55"/>
      <c r="CQ288" s="55"/>
      <c r="CR288" s="55"/>
      <c r="CS288" s="55"/>
      <c r="CT288" s="55"/>
      <c r="CU288" s="55"/>
      <c r="CV288" s="55"/>
      <c r="CW288" s="55"/>
      <c r="CX288" s="55"/>
      <c r="CY288" s="55"/>
      <c r="CZ288" s="55"/>
      <c r="DA288" s="55"/>
      <c r="DB288" s="55"/>
      <c r="DC288" s="55"/>
      <c r="DD288" s="55"/>
      <c r="DE288" s="55"/>
      <c r="DF288" s="55"/>
      <c r="DG288" s="55"/>
      <c r="DH288" s="55"/>
      <c r="DI288" s="55"/>
      <c r="DJ288" s="55"/>
      <c r="DK288" s="55"/>
      <c r="DL288" s="55"/>
      <c r="DM288" s="55"/>
      <c r="DN288" s="55"/>
      <c r="DO288" s="55"/>
      <c r="DP288" s="55"/>
      <c r="DQ288" s="55"/>
      <c r="DR288" s="55"/>
      <c r="DS288" s="55"/>
      <c r="DT288" s="55"/>
      <c r="DU288" s="55"/>
      <c r="DV288" s="55"/>
      <c r="DW288" s="55"/>
      <c r="DX288" s="55"/>
      <c r="DY288" s="55"/>
      <c r="DZ288" s="55"/>
      <c r="EA288" s="55"/>
      <c r="EB288" s="55"/>
      <c r="EC288" s="55"/>
      <c r="ED288" s="55"/>
      <c r="EE288" s="55"/>
      <c r="EF288" s="55"/>
      <c r="EG288" s="55"/>
      <c r="EH288" s="55"/>
      <c r="EI288" s="55"/>
      <c r="EJ288" s="55"/>
      <c r="EK288" s="55"/>
      <c r="EL288" s="55"/>
      <c r="EM288" s="55"/>
      <c r="EN288" s="55"/>
      <c r="EO288" s="55"/>
      <c r="EP288" s="55"/>
      <c r="EQ288" s="55"/>
      <c r="ER288" s="55"/>
      <c r="ES288" s="55"/>
      <c r="ET288" s="55"/>
      <c r="EU288" s="55"/>
      <c r="EV288" s="55"/>
      <c r="EW288" s="55"/>
      <c r="EX288" s="55"/>
      <c r="EY288" s="55"/>
      <c r="EZ288" s="55"/>
      <c r="FA288" s="55"/>
      <c r="FB288" s="55"/>
      <c r="FC288" s="55"/>
      <c r="FD288" s="55"/>
      <c r="FE288" s="55"/>
      <c r="FF288" s="55"/>
      <c r="FG288" s="55"/>
      <c r="FH288" s="55"/>
      <c r="FI288" s="55"/>
      <c r="FJ288" s="55"/>
      <c r="FK288" s="55"/>
      <c r="FL288" s="55"/>
      <c r="FM288" s="55"/>
      <c r="FN288" s="55"/>
      <c r="FO288" s="55"/>
      <c r="FP288" s="55"/>
      <c r="FQ288" s="55"/>
      <c r="FR288" s="55"/>
      <c r="FS288" s="55"/>
      <c r="FT288" s="55"/>
      <c r="FU288" s="55"/>
      <c r="FV288" s="55"/>
      <c r="FW288" s="55"/>
      <c r="FX288" s="55"/>
      <c r="FY288" s="55"/>
      <c r="FZ288" s="55"/>
      <c r="GA288" s="55"/>
      <c r="GB288" s="55"/>
      <c r="GC288" s="55"/>
      <c r="GD288" s="55"/>
      <c r="GE288" s="55"/>
      <c r="GF288" s="55"/>
      <c r="GG288" s="55"/>
      <c r="GH288" s="55"/>
      <c r="GI288" s="55"/>
      <c r="GJ288" s="55"/>
      <c r="GK288" s="55"/>
      <c r="GL288" s="55"/>
      <c r="GM288" s="55"/>
      <c r="GN288" s="55"/>
      <c r="GO288" s="55"/>
      <c r="GP288" s="55"/>
      <c r="GQ288" s="55"/>
      <c r="GR288" s="55"/>
      <c r="GS288" s="55"/>
      <c r="GT288" s="55"/>
      <c r="GU288" s="55"/>
      <c r="GV288" s="55"/>
      <c r="GW288" s="55"/>
      <c r="GX288" s="55"/>
      <c r="GY288" s="55"/>
      <c r="GZ288" s="55"/>
      <c r="HA288" s="55"/>
      <c r="HB288" s="55"/>
      <c r="HC288" s="55"/>
      <c r="HD288" s="55"/>
      <c r="HE288" s="55"/>
      <c r="HF288" s="55"/>
      <c r="HG288" s="55"/>
      <c r="HH288" s="55"/>
      <c r="HI288" s="55"/>
      <c r="HJ288" s="55"/>
      <c r="HK288" s="55"/>
      <c r="HL288" s="55"/>
      <c r="HM288" s="55"/>
      <c r="HN288" s="55"/>
      <c r="HO288" s="55"/>
      <c r="HP288" s="55"/>
      <c r="HQ288" s="55"/>
      <c r="HR288" s="55"/>
      <c r="HS288" s="55"/>
      <c r="HT288" s="55"/>
      <c r="HU288" s="55"/>
      <c r="HV288" s="55"/>
      <c r="HW288" s="55"/>
      <c r="HX288" s="55"/>
      <c r="HY288" s="55"/>
      <c r="HZ288" s="55"/>
      <c r="IA288" s="55"/>
      <c r="IB288" s="55"/>
      <c r="IC288" s="55"/>
      <c r="ID288" s="55"/>
    </row>
    <row r="289" s="52" customFormat="1" ht="23" customHeight="1" spans="1:238">
      <c r="A289" s="112"/>
      <c r="B289" s="112"/>
      <c r="C289" s="64"/>
      <c r="D289" s="65"/>
      <c r="E289" s="77"/>
      <c r="F289" s="77"/>
      <c r="G289" s="64"/>
      <c r="H289" s="42"/>
      <c r="I289" s="42"/>
      <c r="J289" s="84"/>
      <c r="K289" s="84"/>
      <c r="L289" s="84"/>
      <c r="M289" s="89"/>
      <c r="N289" s="89"/>
      <c r="O289" s="89"/>
      <c r="P289" s="64"/>
      <c r="Q289" s="64"/>
      <c r="R289" s="64"/>
      <c r="S289" s="83"/>
      <c r="T289" s="104"/>
      <c r="U289" s="105" t="s">
        <v>1168</v>
      </c>
      <c r="V289" s="105">
        <v>330401006</v>
      </c>
      <c r="W289" s="106" t="s">
        <v>1169</v>
      </c>
      <c r="X289" s="105" t="s">
        <v>1170</v>
      </c>
      <c r="Y289" s="105" t="s">
        <v>884</v>
      </c>
      <c r="Z289" s="105" t="s">
        <v>36</v>
      </c>
      <c r="AA289" s="110" t="s">
        <v>1171</v>
      </c>
      <c r="AB289" s="50">
        <v>625</v>
      </c>
      <c r="AC289" s="50">
        <v>600</v>
      </c>
      <c r="AD289" s="50">
        <v>510</v>
      </c>
      <c r="AE289" s="112"/>
      <c r="AF289" s="60"/>
      <c r="AG289" s="55"/>
      <c r="AH289" s="55"/>
      <c r="AI289" s="55"/>
      <c r="AJ289" s="55"/>
      <c r="AK289" s="55"/>
      <c r="AL289" s="55"/>
      <c r="AM289" s="55"/>
      <c r="AN289" s="55"/>
      <c r="AO289" s="55"/>
      <c r="AP289" s="55"/>
      <c r="AQ289" s="55"/>
      <c r="AR289" s="55"/>
      <c r="AS289" s="55"/>
      <c r="AT289" s="55"/>
      <c r="AU289" s="55"/>
      <c r="AV289" s="55"/>
      <c r="AW289" s="55"/>
      <c r="AX289" s="55"/>
      <c r="AY289" s="55"/>
      <c r="AZ289" s="55"/>
      <c r="BA289" s="55"/>
      <c r="BB289" s="55"/>
      <c r="BC289" s="55"/>
      <c r="BD289" s="55"/>
      <c r="BE289" s="55"/>
      <c r="BF289" s="55"/>
      <c r="BG289" s="55"/>
      <c r="BH289" s="55"/>
      <c r="BI289" s="55"/>
      <c r="BJ289" s="55"/>
      <c r="BK289" s="55"/>
      <c r="BL289" s="55"/>
      <c r="BM289" s="55"/>
      <c r="BN289" s="55"/>
      <c r="BO289" s="55"/>
      <c r="BP289" s="55"/>
      <c r="BQ289" s="55"/>
      <c r="BR289" s="55"/>
      <c r="BS289" s="55"/>
      <c r="BT289" s="55"/>
      <c r="BU289" s="55"/>
      <c r="BV289" s="55"/>
      <c r="BW289" s="55"/>
      <c r="BX289" s="55"/>
      <c r="BY289" s="55"/>
      <c r="BZ289" s="55"/>
      <c r="CA289" s="55"/>
      <c r="CB289" s="55"/>
      <c r="CC289" s="55"/>
      <c r="CD289" s="55"/>
      <c r="CE289" s="55"/>
      <c r="CF289" s="55"/>
      <c r="CG289" s="55"/>
      <c r="CH289" s="55"/>
      <c r="CI289" s="55"/>
      <c r="CJ289" s="55"/>
      <c r="CK289" s="55"/>
      <c r="CL289" s="55"/>
      <c r="CM289" s="55"/>
      <c r="CN289" s="55"/>
      <c r="CO289" s="55"/>
      <c r="CP289" s="55"/>
      <c r="CQ289" s="55"/>
      <c r="CR289" s="55"/>
      <c r="CS289" s="55"/>
      <c r="CT289" s="55"/>
      <c r="CU289" s="55"/>
      <c r="CV289" s="55"/>
      <c r="CW289" s="55"/>
      <c r="CX289" s="55"/>
      <c r="CY289" s="55"/>
      <c r="CZ289" s="55"/>
      <c r="DA289" s="55"/>
      <c r="DB289" s="55"/>
      <c r="DC289" s="55"/>
      <c r="DD289" s="55"/>
      <c r="DE289" s="55"/>
      <c r="DF289" s="55"/>
      <c r="DG289" s="55"/>
      <c r="DH289" s="55"/>
      <c r="DI289" s="55"/>
      <c r="DJ289" s="55"/>
      <c r="DK289" s="55"/>
      <c r="DL289" s="55"/>
      <c r="DM289" s="55"/>
      <c r="DN289" s="55"/>
      <c r="DO289" s="55"/>
      <c r="DP289" s="55"/>
      <c r="DQ289" s="55"/>
      <c r="DR289" s="55"/>
      <c r="DS289" s="55"/>
      <c r="DT289" s="55"/>
      <c r="DU289" s="55"/>
      <c r="DV289" s="55"/>
      <c r="DW289" s="55"/>
      <c r="DX289" s="55"/>
      <c r="DY289" s="55"/>
      <c r="DZ289" s="55"/>
      <c r="EA289" s="55"/>
      <c r="EB289" s="55"/>
      <c r="EC289" s="55"/>
      <c r="ED289" s="55"/>
      <c r="EE289" s="55"/>
      <c r="EF289" s="55"/>
      <c r="EG289" s="55"/>
      <c r="EH289" s="55"/>
      <c r="EI289" s="55"/>
      <c r="EJ289" s="55"/>
      <c r="EK289" s="55"/>
      <c r="EL289" s="55"/>
      <c r="EM289" s="55"/>
      <c r="EN289" s="55"/>
      <c r="EO289" s="55"/>
      <c r="EP289" s="55"/>
      <c r="EQ289" s="55"/>
      <c r="ER289" s="55"/>
      <c r="ES289" s="55"/>
      <c r="ET289" s="55"/>
      <c r="EU289" s="55"/>
      <c r="EV289" s="55"/>
      <c r="EW289" s="55"/>
      <c r="EX289" s="55"/>
      <c r="EY289" s="55"/>
      <c r="EZ289" s="55"/>
      <c r="FA289" s="55"/>
      <c r="FB289" s="55"/>
      <c r="FC289" s="55"/>
      <c r="FD289" s="55"/>
      <c r="FE289" s="55"/>
      <c r="FF289" s="55"/>
      <c r="FG289" s="55"/>
      <c r="FH289" s="55"/>
      <c r="FI289" s="55"/>
      <c r="FJ289" s="55"/>
      <c r="FK289" s="55"/>
      <c r="FL289" s="55"/>
      <c r="FM289" s="55"/>
      <c r="FN289" s="55"/>
      <c r="FO289" s="55"/>
      <c r="FP289" s="55"/>
      <c r="FQ289" s="55"/>
      <c r="FR289" s="55"/>
      <c r="FS289" s="55"/>
      <c r="FT289" s="55"/>
      <c r="FU289" s="55"/>
      <c r="FV289" s="55"/>
      <c r="FW289" s="55"/>
      <c r="FX289" s="55"/>
      <c r="FY289" s="55"/>
      <c r="FZ289" s="55"/>
      <c r="GA289" s="55"/>
      <c r="GB289" s="55"/>
      <c r="GC289" s="55"/>
      <c r="GD289" s="55"/>
      <c r="GE289" s="55"/>
      <c r="GF289" s="55"/>
      <c r="GG289" s="55"/>
      <c r="GH289" s="55"/>
      <c r="GI289" s="55"/>
      <c r="GJ289" s="55"/>
      <c r="GK289" s="55"/>
      <c r="GL289" s="55"/>
      <c r="GM289" s="55"/>
      <c r="GN289" s="55"/>
      <c r="GO289" s="55"/>
      <c r="GP289" s="55"/>
      <c r="GQ289" s="55"/>
      <c r="GR289" s="55"/>
      <c r="GS289" s="55"/>
      <c r="GT289" s="55"/>
      <c r="GU289" s="55"/>
      <c r="GV289" s="55"/>
      <c r="GW289" s="55"/>
      <c r="GX289" s="55"/>
      <c r="GY289" s="55"/>
      <c r="GZ289" s="55"/>
      <c r="HA289" s="55"/>
      <c r="HB289" s="55"/>
      <c r="HC289" s="55"/>
      <c r="HD289" s="55"/>
      <c r="HE289" s="55"/>
      <c r="HF289" s="55"/>
      <c r="HG289" s="55"/>
      <c r="HH289" s="55"/>
      <c r="HI289" s="55"/>
      <c r="HJ289" s="55"/>
      <c r="HK289" s="55"/>
      <c r="HL289" s="55"/>
      <c r="HM289" s="55"/>
      <c r="HN289" s="55"/>
      <c r="HO289" s="55"/>
      <c r="HP289" s="55"/>
      <c r="HQ289" s="55"/>
      <c r="HR289" s="55"/>
      <c r="HS289" s="55"/>
      <c r="HT289" s="55"/>
      <c r="HU289" s="55"/>
      <c r="HV289" s="55"/>
      <c r="HW289" s="55"/>
      <c r="HX289" s="55"/>
      <c r="HY289" s="55"/>
      <c r="HZ289" s="55"/>
      <c r="IA289" s="55"/>
      <c r="IB289" s="55"/>
      <c r="IC289" s="55"/>
      <c r="ID289" s="55"/>
    </row>
    <row r="290" s="52" customFormat="1" ht="23" customHeight="1" spans="1:238">
      <c r="A290" s="112"/>
      <c r="B290" s="112"/>
      <c r="C290" s="64"/>
      <c r="D290" s="65"/>
      <c r="E290" s="77"/>
      <c r="F290" s="77"/>
      <c r="G290" s="64"/>
      <c r="H290" s="42"/>
      <c r="I290" s="42"/>
      <c r="J290" s="84"/>
      <c r="K290" s="84"/>
      <c r="L290" s="84"/>
      <c r="M290" s="89"/>
      <c r="N290" s="89"/>
      <c r="O290" s="89"/>
      <c r="P290" s="64"/>
      <c r="Q290" s="64"/>
      <c r="R290" s="64"/>
      <c r="S290" s="83"/>
      <c r="T290" s="104"/>
      <c r="U290" s="105" t="s">
        <v>1172</v>
      </c>
      <c r="V290" s="105">
        <v>33040100601</v>
      </c>
      <c r="W290" s="106" t="s">
        <v>1173</v>
      </c>
      <c r="X290" s="105"/>
      <c r="Y290" s="105"/>
      <c r="Z290" s="105" t="s">
        <v>36</v>
      </c>
      <c r="AA290" s="110" t="s">
        <v>1174</v>
      </c>
      <c r="AB290" s="50">
        <v>750</v>
      </c>
      <c r="AC290" s="50">
        <v>720</v>
      </c>
      <c r="AD290" s="50">
        <v>612</v>
      </c>
      <c r="AE290" s="112"/>
      <c r="AF290" s="60"/>
      <c r="AG290" s="55"/>
      <c r="AH290" s="55"/>
      <c r="AI290" s="55"/>
      <c r="AJ290" s="55"/>
      <c r="AK290" s="55"/>
      <c r="AL290" s="55"/>
      <c r="AM290" s="55"/>
      <c r="AN290" s="55"/>
      <c r="AO290" s="55"/>
      <c r="AP290" s="55"/>
      <c r="AQ290" s="55"/>
      <c r="AR290" s="55"/>
      <c r="AS290" s="55"/>
      <c r="AT290" s="55"/>
      <c r="AU290" s="55"/>
      <c r="AV290" s="55"/>
      <c r="AW290" s="55"/>
      <c r="AX290" s="55"/>
      <c r="AY290" s="55"/>
      <c r="AZ290" s="55"/>
      <c r="BA290" s="55"/>
      <c r="BB290" s="55"/>
      <c r="BC290" s="55"/>
      <c r="BD290" s="55"/>
      <c r="BE290" s="55"/>
      <c r="BF290" s="55"/>
      <c r="BG290" s="55"/>
      <c r="BH290" s="55"/>
      <c r="BI290" s="55"/>
      <c r="BJ290" s="55"/>
      <c r="BK290" s="55"/>
      <c r="BL290" s="55"/>
      <c r="BM290" s="55"/>
      <c r="BN290" s="55"/>
      <c r="BO290" s="55"/>
      <c r="BP290" s="55"/>
      <c r="BQ290" s="55"/>
      <c r="BR290" s="55"/>
      <c r="BS290" s="55"/>
      <c r="BT290" s="55"/>
      <c r="BU290" s="55"/>
      <c r="BV290" s="55"/>
      <c r="BW290" s="55"/>
      <c r="BX290" s="55"/>
      <c r="BY290" s="55"/>
      <c r="BZ290" s="55"/>
      <c r="CA290" s="55"/>
      <c r="CB290" s="55"/>
      <c r="CC290" s="55"/>
      <c r="CD290" s="55"/>
      <c r="CE290" s="55"/>
      <c r="CF290" s="55"/>
      <c r="CG290" s="55"/>
      <c r="CH290" s="55"/>
      <c r="CI290" s="55"/>
      <c r="CJ290" s="55"/>
      <c r="CK290" s="55"/>
      <c r="CL290" s="55"/>
      <c r="CM290" s="55"/>
      <c r="CN290" s="55"/>
      <c r="CO290" s="55"/>
      <c r="CP290" s="55"/>
      <c r="CQ290" s="55"/>
      <c r="CR290" s="55"/>
      <c r="CS290" s="55"/>
      <c r="CT290" s="55"/>
      <c r="CU290" s="55"/>
      <c r="CV290" s="55"/>
      <c r="CW290" s="55"/>
      <c r="CX290" s="55"/>
      <c r="CY290" s="55"/>
      <c r="CZ290" s="55"/>
      <c r="DA290" s="55"/>
      <c r="DB290" s="55"/>
      <c r="DC290" s="55"/>
      <c r="DD290" s="55"/>
      <c r="DE290" s="55"/>
      <c r="DF290" s="55"/>
      <c r="DG290" s="55"/>
      <c r="DH290" s="55"/>
      <c r="DI290" s="55"/>
      <c r="DJ290" s="55"/>
      <c r="DK290" s="55"/>
      <c r="DL290" s="55"/>
      <c r="DM290" s="55"/>
      <c r="DN290" s="55"/>
      <c r="DO290" s="55"/>
      <c r="DP290" s="55"/>
      <c r="DQ290" s="55"/>
      <c r="DR290" s="55"/>
      <c r="DS290" s="55"/>
      <c r="DT290" s="55"/>
      <c r="DU290" s="55"/>
      <c r="DV290" s="55"/>
      <c r="DW290" s="55"/>
      <c r="DX290" s="55"/>
      <c r="DY290" s="55"/>
      <c r="DZ290" s="55"/>
      <c r="EA290" s="55"/>
      <c r="EB290" s="55"/>
      <c r="EC290" s="55"/>
      <c r="ED290" s="55"/>
      <c r="EE290" s="55"/>
      <c r="EF290" s="55"/>
      <c r="EG290" s="55"/>
      <c r="EH290" s="55"/>
      <c r="EI290" s="55"/>
      <c r="EJ290" s="55"/>
      <c r="EK290" s="55"/>
      <c r="EL290" s="55"/>
      <c r="EM290" s="55"/>
      <c r="EN290" s="55"/>
      <c r="EO290" s="55"/>
      <c r="EP290" s="55"/>
      <c r="EQ290" s="55"/>
      <c r="ER290" s="55"/>
      <c r="ES290" s="55"/>
      <c r="ET290" s="55"/>
      <c r="EU290" s="55"/>
      <c r="EV290" s="55"/>
      <c r="EW290" s="55"/>
      <c r="EX290" s="55"/>
      <c r="EY290" s="55"/>
      <c r="EZ290" s="55"/>
      <c r="FA290" s="55"/>
      <c r="FB290" s="55"/>
      <c r="FC290" s="55"/>
      <c r="FD290" s="55"/>
      <c r="FE290" s="55"/>
      <c r="FF290" s="55"/>
      <c r="FG290" s="55"/>
      <c r="FH290" s="55"/>
      <c r="FI290" s="55"/>
      <c r="FJ290" s="55"/>
      <c r="FK290" s="55"/>
      <c r="FL290" s="55"/>
      <c r="FM290" s="55"/>
      <c r="FN290" s="55"/>
      <c r="FO290" s="55"/>
      <c r="FP290" s="55"/>
      <c r="FQ290" s="55"/>
      <c r="FR290" s="55"/>
      <c r="FS290" s="55"/>
      <c r="FT290" s="55"/>
      <c r="FU290" s="55"/>
      <c r="FV290" s="55"/>
      <c r="FW290" s="55"/>
      <c r="FX290" s="55"/>
      <c r="FY290" s="55"/>
      <c r="FZ290" s="55"/>
      <c r="GA290" s="55"/>
      <c r="GB290" s="55"/>
      <c r="GC290" s="55"/>
      <c r="GD290" s="55"/>
      <c r="GE290" s="55"/>
      <c r="GF290" s="55"/>
      <c r="GG290" s="55"/>
      <c r="GH290" s="55"/>
      <c r="GI290" s="55"/>
      <c r="GJ290" s="55"/>
      <c r="GK290" s="55"/>
      <c r="GL290" s="55"/>
      <c r="GM290" s="55"/>
      <c r="GN290" s="55"/>
      <c r="GO290" s="55"/>
      <c r="GP290" s="55"/>
      <c r="GQ290" s="55"/>
      <c r="GR290" s="55"/>
      <c r="GS290" s="55"/>
      <c r="GT290" s="55"/>
      <c r="GU290" s="55"/>
      <c r="GV290" s="55"/>
      <c r="GW290" s="55"/>
      <c r="GX290" s="55"/>
      <c r="GY290" s="55"/>
      <c r="GZ290" s="55"/>
      <c r="HA290" s="55"/>
      <c r="HB290" s="55"/>
      <c r="HC290" s="55"/>
      <c r="HD290" s="55"/>
      <c r="HE290" s="55"/>
      <c r="HF290" s="55"/>
      <c r="HG290" s="55"/>
      <c r="HH290" s="55"/>
      <c r="HI290" s="55"/>
      <c r="HJ290" s="55"/>
      <c r="HK290" s="55"/>
      <c r="HL290" s="55"/>
      <c r="HM290" s="55"/>
      <c r="HN290" s="55"/>
      <c r="HO290" s="55"/>
      <c r="HP290" s="55"/>
      <c r="HQ290" s="55"/>
      <c r="HR290" s="55"/>
      <c r="HS290" s="55"/>
      <c r="HT290" s="55"/>
      <c r="HU290" s="55"/>
      <c r="HV290" s="55"/>
      <c r="HW290" s="55"/>
      <c r="HX290" s="55"/>
      <c r="HY290" s="55"/>
      <c r="HZ290" s="55"/>
      <c r="IA290" s="55"/>
      <c r="IB290" s="55"/>
      <c r="IC290" s="55"/>
      <c r="ID290" s="55"/>
    </row>
    <row r="291" s="52" customFormat="1" ht="23" customHeight="1" spans="1:238">
      <c r="A291" s="112"/>
      <c r="B291" s="112"/>
      <c r="C291" s="64"/>
      <c r="D291" s="65"/>
      <c r="E291" s="77"/>
      <c r="F291" s="77"/>
      <c r="G291" s="64"/>
      <c r="H291" s="42"/>
      <c r="I291" s="42"/>
      <c r="J291" s="84"/>
      <c r="K291" s="84"/>
      <c r="L291" s="84"/>
      <c r="M291" s="89"/>
      <c r="N291" s="89"/>
      <c r="O291" s="89"/>
      <c r="P291" s="64"/>
      <c r="Q291" s="64"/>
      <c r="R291" s="64"/>
      <c r="S291" s="83"/>
      <c r="T291" s="104"/>
      <c r="U291" s="105" t="s">
        <v>1175</v>
      </c>
      <c r="V291" s="105">
        <v>330401007</v>
      </c>
      <c r="W291" s="106" t="s">
        <v>1176</v>
      </c>
      <c r="X291" s="105" t="s">
        <v>1177</v>
      </c>
      <c r="Y291" s="105"/>
      <c r="Z291" s="105" t="s">
        <v>36</v>
      </c>
      <c r="AA291" s="110" t="s">
        <v>1178</v>
      </c>
      <c r="AB291" s="50">
        <v>250</v>
      </c>
      <c r="AC291" s="50">
        <v>240</v>
      </c>
      <c r="AD291" s="50">
        <v>204</v>
      </c>
      <c r="AE291" s="112" t="s">
        <v>37</v>
      </c>
      <c r="AF291" s="60"/>
      <c r="AG291" s="55"/>
      <c r="AH291" s="55"/>
      <c r="AI291" s="55"/>
      <c r="AJ291" s="55"/>
      <c r="AK291" s="55"/>
      <c r="AL291" s="55"/>
      <c r="AM291" s="55"/>
      <c r="AN291" s="55"/>
      <c r="AO291" s="55"/>
      <c r="AP291" s="55"/>
      <c r="AQ291" s="55"/>
      <c r="AR291" s="55"/>
      <c r="AS291" s="55"/>
      <c r="AT291" s="55"/>
      <c r="AU291" s="55"/>
      <c r="AV291" s="55"/>
      <c r="AW291" s="55"/>
      <c r="AX291" s="55"/>
      <c r="AY291" s="55"/>
      <c r="AZ291" s="55"/>
      <c r="BA291" s="55"/>
      <c r="BB291" s="55"/>
      <c r="BC291" s="55"/>
      <c r="BD291" s="55"/>
      <c r="BE291" s="55"/>
      <c r="BF291" s="55"/>
      <c r="BG291" s="55"/>
      <c r="BH291" s="55"/>
      <c r="BI291" s="55"/>
      <c r="BJ291" s="55"/>
      <c r="BK291" s="55"/>
      <c r="BL291" s="55"/>
      <c r="BM291" s="55"/>
      <c r="BN291" s="55"/>
      <c r="BO291" s="55"/>
      <c r="BP291" s="55"/>
      <c r="BQ291" s="55"/>
      <c r="BR291" s="55"/>
      <c r="BS291" s="55"/>
      <c r="BT291" s="55"/>
      <c r="BU291" s="55"/>
      <c r="BV291" s="55"/>
      <c r="BW291" s="55"/>
      <c r="BX291" s="55"/>
      <c r="BY291" s="55"/>
      <c r="BZ291" s="55"/>
      <c r="CA291" s="55"/>
      <c r="CB291" s="55"/>
      <c r="CC291" s="55"/>
      <c r="CD291" s="55"/>
      <c r="CE291" s="55"/>
      <c r="CF291" s="55"/>
      <c r="CG291" s="55"/>
      <c r="CH291" s="55"/>
      <c r="CI291" s="55"/>
      <c r="CJ291" s="55"/>
      <c r="CK291" s="55"/>
      <c r="CL291" s="55"/>
      <c r="CM291" s="55"/>
      <c r="CN291" s="55"/>
      <c r="CO291" s="55"/>
      <c r="CP291" s="55"/>
      <c r="CQ291" s="55"/>
      <c r="CR291" s="55"/>
      <c r="CS291" s="55"/>
      <c r="CT291" s="55"/>
      <c r="CU291" s="55"/>
      <c r="CV291" s="55"/>
      <c r="CW291" s="55"/>
      <c r="CX291" s="55"/>
      <c r="CY291" s="55"/>
      <c r="CZ291" s="55"/>
      <c r="DA291" s="55"/>
      <c r="DB291" s="55"/>
      <c r="DC291" s="55"/>
      <c r="DD291" s="55"/>
      <c r="DE291" s="55"/>
      <c r="DF291" s="55"/>
      <c r="DG291" s="55"/>
      <c r="DH291" s="55"/>
      <c r="DI291" s="55"/>
      <c r="DJ291" s="55"/>
      <c r="DK291" s="55"/>
      <c r="DL291" s="55"/>
      <c r="DM291" s="55"/>
      <c r="DN291" s="55"/>
      <c r="DO291" s="55"/>
      <c r="DP291" s="55"/>
      <c r="DQ291" s="55"/>
      <c r="DR291" s="55"/>
      <c r="DS291" s="55"/>
      <c r="DT291" s="55"/>
      <c r="DU291" s="55"/>
      <c r="DV291" s="55"/>
      <c r="DW291" s="55"/>
      <c r="DX291" s="55"/>
      <c r="DY291" s="55"/>
      <c r="DZ291" s="55"/>
      <c r="EA291" s="55"/>
      <c r="EB291" s="55"/>
      <c r="EC291" s="55"/>
      <c r="ED291" s="55"/>
      <c r="EE291" s="55"/>
      <c r="EF291" s="55"/>
      <c r="EG291" s="55"/>
      <c r="EH291" s="55"/>
      <c r="EI291" s="55"/>
      <c r="EJ291" s="55"/>
      <c r="EK291" s="55"/>
      <c r="EL291" s="55"/>
      <c r="EM291" s="55"/>
      <c r="EN291" s="55"/>
      <c r="EO291" s="55"/>
      <c r="EP291" s="55"/>
      <c r="EQ291" s="55"/>
      <c r="ER291" s="55"/>
      <c r="ES291" s="55"/>
      <c r="ET291" s="55"/>
      <c r="EU291" s="55"/>
      <c r="EV291" s="55"/>
      <c r="EW291" s="55"/>
      <c r="EX291" s="55"/>
      <c r="EY291" s="55"/>
      <c r="EZ291" s="55"/>
      <c r="FA291" s="55"/>
      <c r="FB291" s="55"/>
      <c r="FC291" s="55"/>
      <c r="FD291" s="55"/>
      <c r="FE291" s="55"/>
      <c r="FF291" s="55"/>
      <c r="FG291" s="55"/>
      <c r="FH291" s="55"/>
      <c r="FI291" s="55"/>
      <c r="FJ291" s="55"/>
      <c r="FK291" s="55"/>
      <c r="FL291" s="55"/>
      <c r="FM291" s="55"/>
      <c r="FN291" s="55"/>
      <c r="FO291" s="55"/>
      <c r="FP291" s="55"/>
      <c r="FQ291" s="55"/>
      <c r="FR291" s="55"/>
      <c r="FS291" s="55"/>
      <c r="FT291" s="55"/>
      <c r="FU291" s="55"/>
      <c r="FV291" s="55"/>
      <c r="FW291" s="55"/>
      <c r="FX291" s="55"/>
      <c r="FY291" s="55"/>
      <c r="FZ291" s="55"/>
      <c r="GA291" s="55"/>
      <c r="GB291" s="55"/>
      <c r="GC291" s="55"/>
      <c r="GD291" s="55"/>
      <c r="GE291" s="55"/>
      <c r="GF291" s="55"/>
      <c r="GG291" s="55"/>
      <c r="GH291" s="55"/>
      <c r="GI291" s="55"/>
      <c r="GJ291" s="55"/>
      <c r="GK291" s="55"/>
      <c r="GL291" s="55"/>
      <c r="GM291" s="55"/>
      <c r="GN291" s="55"/>
      <c r="GO291" s="55"/>
      <c r="GP291" s="55"/>
      <c r="GQ291" s="55"/>
      <c r="GR291" s="55"/>
      <c r="GS291" s="55"/>
      <c r="GT291" s="55"/>
      <c r="GU291" s="55"/>
      <c r="GV291" s="55"/>
      <c r="GW291" s="55"/>
      <c r="GX291" s="55"/>
      <c r="GY291" s="55"/>
      <c r="GZ291" s="55"/>
      <c r="HA291" s="55"/>
      <c r="HB291" s="55"/>
      <c r="HC291" s="55"/>
      <c r="HD291" s="55"/>
      <c r="HE291" s="55"/>
      <c r="HF291" s="55"/>
      <c r="HG291" s="55"/>
      <c r="HH291" s="55"/>
      <c r="HI291" s="55"/>
      <c r="HJ291" s="55"/>
      <c r="HK291" s="55"/>
      <c r="HL291" s="55"/>
      <c r="HM291" s="55"/>
      <c r="HN291" s="55"/>
      <c r="HO291" s="55"/>
      <c r="HP291" s="55"/>
      <c r="HQ291" s="55"/>
      <c r="HR291" s="55"/>
      <c r="HS291" s="55"/>
      <c r="HT291" s="55"/>
      <c r="HU291" s="55"/>
      <c r="HV291" s="55"/>
      <c r="HW291" s="55"/>
      <c r="HX291" s="55"/>
      <c r="HY291" s="55"/>
      <c r="HZ291" s="55"/>
      <c r="IA291" s="55"/>
      <c r="IB291" s="55"/>
      <c r="IC291" s="55"/>
      <c r="ID291" s="55"/>
    </row>
    <row r="292" s="52" customFormat="1" ht="23" customHeight="1" spans="1:238">
      <c r="A292" s="112"/>
      <c r="B292" s="112"/>
      <c r="C292" s="64"/>
      <c r="D292" s="65"/>
      <c r="E292" s="77"/>
      <c r="F292" s="77"/>
      <c r="G292" s="64"/>
      <c r="H292" s="42"/>
      <c r="I292" s="42"/>
      <c r="J292" s="84"/>
      <c r="K292" s="84"/>
      <c r="L292" s="84"/>
      <c r="M292" s="89"/>
      <c r="N292" s="89"/>
      <c r="O292" s="89"/>
      <c r="P292" s="64"/>
      <c r="Q292" s="64"/>
      <c r="R292" s="64"/>
      <c r="S292" s="83"/>
      <c r="T292" s="104"/>
      <c r="U292" s="105" t="s">
        <v>1179</v>
      </c>
      <c r="V292" s="105">
        <v>33040100701</v>
      </c>
      <c r="W292" s="106" t="s">
        <v>1180</v>
      </c>
      <c r="X292" s="105"/>
      <c r="Y292" s="105"/>
      <c r="Z292" s="105" t="s">
        <v>36</v>
      </c>
      <c r="AA292" s="110" t="s">
        <v>1181</v>
      </c>
      <c r="AB292" s="50">
        <v>500</v>
      </c>
      <c r="AC292" s="50">
        <v>480</v>
      </c>
      <c r="AD292" s="50">
        <v>408</v>
      </c>
      <c r="AE292" s="112" t="s">
        <v>37</v>
      </c>
      <c r="AF292" s="60"/>
      <c r="AG292" s="55"/>
      <c r="AH292" s="55"/>
      <c r="AI292" s="55"/>
      <c r="AJ292" s="55"/>
      <c r="AK292" s="55"/>
      <c r="AL292" s="55"/>
      <c r="AM292" s="55"/>
      <c r="AN292" s="55"/>
      <c r="AO292" s="55"/>
      <c r="AP292" s="55"/>
      <c r="AQ292" s="55"/>
      <c r="AR292" s="55"/>
      <c r="AS292" s="55"/>
      <c r="AT292" s="55"/>
      <c r="AU292" s="55"/>
      <c r="AV292" s="55"/>
      <c r="AW292" s="55"/>
      <c r="AX292" s="55"/>
      <c r="AY292" s="55"/>
      <c r="AZ292" s="55"/>
      <c r="BA292" s="55"/>
      <c r="BB292" s="55"/>
      <c r="BC292" s="55"/>
      <c r="BD292" s="55"/>
      <c r="BE292" s="55"/>
      <c r="BF292" s="55"/>
      <c r="BG292" s="55"/>
      <c r="BH292" s="55"/>
      <c r="BI292" s="55"/>
      <c r="BJ292" s="55"/>
      <c r="BK292" s="55"/>
      <c r="BL292" s="55"/>
      <c r="BM292" s="55"/>
      <c r="BN292" s="55"/>
      <c r="BO292" s="55"/>
      <c r="BP292" s="55"/>
      <c r="BQ292" s="55"/>
      <c r="BR292" s="55"/>
      <c r="BS292" s="55"/>
      <c r="BT292" s="55"/>
      <c r="BU292" s="55"/>
      <c r="BV292" s="55"/>
      <c r="BW292" s="55"/>
      <c r="BX292" s="55"/>
      <c r="BY292" s="55"/>
      <c r="BZ292" s="55"/>
      <c r="CA292" s="55"/>
      <c r="CB292" s="55"/>
      <c r="CC292" s="55"/>
      <c r="CD292" s="55"/>
      <c r="CE292" s="55"/>
      <c r="CF292" s="55"/>
      <c r="CG292" s="55"/>
      <c r="CH292" s="55"/>
      <c r="CI292" s="55"/>
      <c r="CJ292" s="55"/>
      <c r="CK292" s="55"/>
      <c r="CL292" s="55"/>
      <c r="CM292" s="55"/>
      <c r="CN292" s="55"/>
      <c r="CO292" s="55"/>
      <c r="CP292" s="55"/>
      <c r="CQ292" s="55"/>
      <c r="CR292" s="55"/>
      <c r="CS292" s="55"/>
      <c r="CT292" s="55"/>
      <c r="CU292" s="55"/>
      <c r="CV292" s="55"/>
      <c r="CW292" s="55"/>
      <c r="CX292" s="55"/>
      <c r="CY292" s="55"/>
      <c r="CZ292" s="55"/>
      <c r="DA292" s="55"/>
      <c r="DB292" s="55"/>
      <c r="DC292" s="55"/>
      <c r="DD292" s="55"/>
      <c r="DE292" s="55"/>
      <c r="DF292" s="55"/>
      <c r="DG292" s="55"/>
      <c r="DH292" s="55"/>
      <c r="DI292" s="55"/>
      <c r="DJ292" s="55"/>
      <c r="DK292" s="55"/>
      <c r="DL292" s="55"/>
      <c r="DM292" s="55"/>
      <c r="DN292" s="55"/>
      <c r="DO292" s="55"/>
      <c r="DP292" s="55"/>
      <c r="DQ292" s="55"/>
      <c r="DR292" s="55"/>
      <c r="DS292" s="55"/>
      <c r="DT292" s="55"/>
      <c r="DU292" s="55"/>
      <c r="DV292" s="55"/>
      <c r="DW292" s="55"/>
      <c r="DX292" s="55"/>
      <c r="DY292" s="55"/>
      <c r="DZ292" s="55"/>
      <c r="EA292" s="55"/>
      <c r="EB292" s="55"/>
      <c r="EC292" s="55"/>
      <c r="ED292" s="55"/>
      <c r="EE292" s="55"/>
      <c r="EF292" s="55"/>
      <c r="EG292" s="55"/>
      <c r="EH292" s="55"/>
      <c r="EI292" s="55"/>
      <c r="EJ292" s="55"/>
      <c r="EK292" s="55"/>
      <c r="EL292" s="55"/>
      <c r="EM292" s="55"/>
      <c r="EN292" s="55"/>
      <c r="EO292" s="55"/>
      <c r="EP292" s="55"/>
      <c r="EQ292" s="55"/>
      <c r="ER292" s="55"/>
      <c r="ES292" s="55"/>
      <c r="ET292" s="55"/>
      <c r="EU292" s="55"/>
      <c r="EV292" s="55"/>
      <c r="EW292" s="55"/>
      <c r="EX292" s="55"/>
      <c r="EY292" s="55"/>
      <c r="EZ292" s="55"/>
      <c r="FA292" s="55"/>
      <c r="FB292" s="55"/>
      <c r="FC292" s="55"/>
      <c r="FD292" s="55"/>
      <c r="FE292" s="55"/>
      <c r="FF292" s="55"/>
      <c r="FG292" s="55"/>
      <c r="FH292" s="55"/>
      <c r="FI292" s="55"/>
      <c r="FJ292" s="55"/>
      <c r="FK292" s="55"/>
      <c r="FL292" s="55"/>
      <c r="FM292" s="55"/>
      <c r="FN292" s="55"/>
      <c r="FO292" s="55"/>
      <c r="FP292" s="55"/>
      <c r="FQ292" s="55"/>
      <c r="FR292" s="55"/>
      <c r="FS292" s="55"/>
      <c r="FT292" s="55"/>
      <c r="FU292" s="55"/>
      <c r="FV292" s="55"/>
      <c r="FW292" s="55"/>
      <c r="FX292" s="55"/>
      <c r="FY292" s="55"/>
      <c r="FZ292" s="55"/>
      <c r="GA292" s="55"/>
      <c r="GB292" s="55"/>
      <c r="GC292" s="55"/>
      <c r="GD292" s="55"/>
      <c r="GE292" s="55"/>
      <c r="GF292" s="55"/>
      <c r="GG292" s="55"/>
      <c r="GH292" s="55"/>
      <c r="GI292" s="55"/>
      <c r="GJ292" s="55"/>
      <c r="GK292" s="55"/>
      <c r="GL292" s="55"/>
      <c r="GM292" s="55"/>
      <c r="GN292" s="55"/>
      <c r="GO292" s="55"/>
      <c r="GP292" s="55"/>
      <c r="GQ292" s="55"/>
      <c r="GR292" s="55"/>
      <c r="GS292" s="55"/>
      <c r="GT292" s="55"/>
      <c r="GU292" s="55"/>
      <c r="GV292" s="55"/>
      <c r="GW292" s="55"/>
      <c r="GX292" s="55"/>
      <c r="GY292" s="55"/>
      <c r="GZ292" s="55"/>
      <c r="HA292" s="55"/>
      <c r="HB292" s="55"/>
      <c r="HC292" s="55"/>
      <c r="HD292" s="55"/>
      <c r="HE292" s="55"/>
      <c r="HF292" s="55"/>
      <c r="HG292" s="55"/>
      <c r="HH292" s="55"/>
      <c r="HI292" s="55"/>
      <c r="HJ292" s="55"/>
      <c r="HK292" s="55"/>
      <c r="HL292" s="55"/>
      <c r="HM292" s="55"/>
      <c r="HN292" s="55"/>
      <c r="HO292" s="55"/>
      <c r="HP292" s="55"/>
      <c r="HQ292" s="55"/>
      <c r="HR292" s="55"/>
      <c r="HS292" s="55"/>
      <c r="HT292" s="55"/>
      <c r="HU292" s="55"/>
      <c r="HV292" s="55"/>
      <c r="HW292" s="55"/>
      <c r="HX292" s="55"/>
      <c r="HY292" s="55"/>
      <c r="HZ292" s="55"/>
      <c r="IA292" s="55"/>
      <c r="IB292" s="55"/>
      <c r="IC292" s="55"/>
      <c r="ID292" s="55"/>
    </row>
    <row r="293" s="52" customFormat="1" ht="23" customHeight="1" spans="1:238">
      <c r="A293" s="112"/>
      <c r="B293" s="112"/>
      <c r="C293" s="64"/>
      <c r="D293" s="65"/>
      <c r="E293" s="77"/>
      <c r="F293" s="77"/>
      <c r="G293" s="64"/>
      <c r="H293" s="42"/>
      <c r="I293" s="42"/>
      <c r="J293" s="84"/>
      <c r="K293" s="84"/>
      <c r="L293" s="84"/>
      <c r="M293" s="89"/>
      <c r="N293" s="89"/>
      <c r="O293" s="89"/>
      <c r="P293" s="64"/>
      <c r="Q293" s="64"/>
      <c r="R293" s="64"/>
      <c r="S293" s="83"/>
      <c r="T293" s="104"/>
      <c r="U293" s="105" t="s">
        <v>1182</v>
      </c>
      <c r="V293" s="105">
        <v>330401008</v>
      </c>
      <c r="W293" s="106" t="s">
        <v>1183</v>
      </c>
      <c r="X293" s="105"/>
      <c r="Y293" s="105"/>
      <c r="Z293" s="105" t="s">
        <v>36</v>
      </c>
      <c r="AA293" s="110" t="s">
        <v>1184</v>
      </c>
      <c r="AB293" s="50">
        <v>250</v>
      </c>
      <c r="AC293" s="50">
        <v>240</v>
      </c>
      <c r="AD293" s="50">
        <v>204</v>
      </c>
      <c r="AE293" s="112" t="s">
        <v>37</v>
      </c>
      <c r="AF293" s="60"/>
      <c r="AG293" s="55"/>
      <c r="AH293" s="55"/>
      <c r="AI293" s="55"/>
      <c r="AJ293" s="55"/>
      <c r="AK293" s="55"/>
      <c r="AL293" s="55"/>
      <c r="AM293" s="55"/>
      <c r="AN293" s="55"/>
      <c r="AO293" s="55"/>
      <c r="AP293" s="55"/>
      <c r="AQ293" s="55"/>
      <c r="AR293" s="55"/>
      <c r="AS293" s="55"/>
      <c r="AT293" s="55"/>
      <c r="AU293" s="55"/>
      <c r="AV293" s="55"/>
      <c r="AW293" s="55"/>
      <c r="AX293" s="55"/>
      <c r="AY293" s="55"/>
      <c r="AZ293" s="55"/>
      <c r="BA293" s="55"/>
      <c r="BB293" s="55"/>
      <c r="BC293" s="55"/>
      <c r="BD293" s="55"/>
      <c r="BE293" s="55"/>
      <c r="BF293" s="55"/>
      <c r="BG293" s="55"/>
      <c r="BH293" s="55"/>
      <c r="BI293" s="55"/>
      <c r="BJ293" s="55"/>
      <c r="BK293" s="55"/>
      <c r="BL293" s="55"/>
      <c r="BM293" s="55"/>
      <c r="BN293" s="55"/>
      <c r="BO293" s="55"/>
      <c r="BP293" s="55"/>
      <c r="BQ293" s="55"/>
      <c r="BR293" s="55"/>
      <c r="BS293" s="55"/>
      <c r="BT293" s="55"/>
      <c r="BU293" s="55"/>
      <c r="BV293" s="55"/>
      <c r="BW293" s="55"/>
      <c r="BX293" s="55"/>
      <c r="BY293" s="55"/>
      <c r="BZ293" s="55"/>
      <c r="CA293" s="55"/>
      <c r="CB293" s="55"/>
      <c r="CC293" s="55"/>
      <c r="CD293" s="55"/>
      <c r="CE293" s="55"/>
      <c r="CF293" s="55"/>
      <c r="CG293" s="55"/>
      <c r="CH293" s="55"/>
      <c r="CI293" s="55"/>
      <c r="CJ293" s="55"/>
      <c r="CK293" s="55"/>
      <c r="CL293" s="55"/>
      <c r="CM293" s="55"/>
      <c r="CN293" s="55"/>
      <c r="CO293" s="55"/>
      <c r="CP293" s="55"/>
      <c r="CQ293" s="55"/>
      <c r="CR293" s="55"/>
      <c r="CS293" s="55"/>
      <c r="CT293" s="55"/>
      <c r="CU293" s="55"/>
      <c r="CV293" s="55"/>
      <c r="CW293" s="55"/>
      <c r="CX293" s="55"/>
      <c r="CY293" s="55"/>
      <c r="CZ293" s="55"/>
      <c r="DA293" s="55"/>
      <c r="DB293" s="55"/>
      <c r="DC293" s="55"/>
      <c r="DD293" s="55"/>
      <c r="DE293" s="55"/>
      <c r="DF293" s="55"/>
      <c r="DG293" s="55"/>
      <c r="DH293" s="55"/>
      <c r="DI293" s="55"/>
      <c r="DJ293" s="55"/>
      <c r="DK293" s="55"/>
      <c r="DL293" s="55"/>
      <c r="DM293" s="55"/>
      <c r="DN293" s="55"/>
      <c r="DO293" s="55"/>
      <c r="DP293" s="55"/>
      <c r="DQ293" s="55"/>
      <c r="DR293" s="55"/>
      <c r="DS293" s="55"/>
      <c r="DT293" s="55"/>
      <c r="DU293" s="55"/>
      <c r="DV293" s="55"/>
      <c r="DW293" s="55"/>
      <c r="DX293" s="55"/>
      <c r="DY293" s="55"/>
      <c r="DZ293" s="55"/>
      <c r="EA293" s="55"/>
      <c r="EB293" s="55"/>
      <c r="EC293" s="55"/>
      <c r="ED293" s="55"/>
      <c r="EE293" s="55"/>
      <c r="EF293" s="55"/>
      <c r="EG293" s="55"/>
      <c r="EH293" s="55"/>
      <c r="EI293" s="55"/>
      <c r="EJ293" s="55"/>
      <c r="EK293" s="55"/>
      <c r="EL293" s="55"/>
      <c r="EM293" s="55"/>
      <c r="EN293" s="55"/>
      <c r="EO293" s="55"/>
      <c r="EP293" s="55"/>
      <c r="EQ293" s="55"/>
      <c r="ER293" s="55"/>
      <c r="ES293" s="55"/>
      <c r="ET293" s="55"/>
      <c r="EU293" s="55"/>
      <c r="EV293" s="55"/>
      <c r="EW293" s="55"/>
      <c r="EX293" s="55"/>
      <c r="EY293" s="55"/>
      <c r="EZ293" s="55"/>
      <c r="FA293" s="55"/>
      <c r="FB293" s="55"/>
      <c r="FC293" s="55"/>
      <c r="FD293" s="55"/>
      <c r="FE293" s="55"/>
      <c r="FF293" s="55"/>
      <c r="FG293" s="55"/>
      <c r="FH293" s="55"/>
      <c r="FI293" s="55"/>
      <c r="FJ293" s="55"/>
      <c r="FK293" s="55"/>
      <c r="FL293" s="55"/>
      <c r="FM293" s="55"/>
      <c r="FN293" s="55"/>
      <c r="FO293" s="55"/>
      <c r="FP293" s="55"/>
      <c r="FQ293" s="55"/>
      <c r="FR293" s="55"/>
      <c r="FS293" s="55"/>
      <c r="FT293" s="55"/>
      <c r="FU293" s="55"/>
      <c r="FV293" s="55"/>
      <c r="FW293" s="55"/>
      <c r="FX293" s="55"/>
      <c r="FY293" s="55"/>
      <c r="FZ293" s="55"/>
      <c r="GA293" s="55"/>
      <c r="GB293" s="55"/>
      <c r="GC293" s="55"/>
      <c r="GD293" s="55"/>
      <c r="GE293" s="55"/>
      <c r="GF293" s="55"/>
      <c r="GG293" s="55"/>
      <c r="GH293" s="55"/>
      <c r="GI293" s="55"/>
      <c r="GJ293" s="55"/>
      <c r="GK293" s="55"/>
      <c r="GL293" s="55"/>
      <c r="GM293" s="55"/>
      <c r="GN293" s="55"/>
      <c r="GO293" s="55"/>
      <c r="GP293" s="55"/>
      <c r="GQ293" s="55"/>
      <c r="GR293" s="55"/>
      <c r="GS293" s="55"/>
      <c r="GT293" s="55"/>
      <c r="GU293" s="55"/>
      <c r="GV293" s="55"/>
      <c r="GW293" s="55"/>
      <c r="GX293" s="55"/>
      <c r="GY293" s="55"/>
      <c r="GZ293" s="55"/>
      <c r="HA293" s="55"/>
      <c r="HB293" s="55"/>
      <c r="HC293" s="55"/>
      <c r="HD293" s="55"/>
      <c r="HE293" s="55"/>
      <c r="HF293" s="55"/>
      <c r="HG293" s="55"/>
      <c r="HH293" s="55"/>
      <c r="HI293" s="55"/>
      <c r="HJ293" s="55"/>
      <c r="HK293" s="55"/>
      <c r="HL293" s="55"/>
      <c r="HM293" s="55"/>
      <c r="HN293" s="55"/>
      <c r="HO293" s="55"/>
      <c r="HP293" s="55"/>
      <c r="HQ293" s="55"/>
      <c r="HR293" s="55"/>
      <c r="HS293" s="55"/>
      <c r="HT293" s="55"/>
      <c r="HU293" s="55"/>
      <c r="HV293" s="55"/>
      <c r="HW293" s="55"/>
      <c r="HX293" s="55"/>
      <c r="HY293" s="55"/>
      <c r="HZ293" s="55"/>
      <c r="IA293" s="55"/>
      <c r="IB293" s="55"/>
      <c r="IC293" s="55"/>
      <c r="ID293" s="55"/>
    </row>
    <row r="294" s="52" customFormat="1" ht="23" customHeight="1" spans="1:238">
      <c r="A294" s="112"/>
      <c r="B294" s="112"/>
      <c r="C294" s="64"/>
      <c r="D294" s="65"/>
      <c r="E294" s="77"/>
      <c r="F294" s="77"/>
      <c r="G294" s="64"/>
      <c r="H294" s="42"/>
      <c r="I294" s="42"/>
      <c r="J294" s="84"/>
      <c r="K294" s="84"/>
      <c r="L294" s="84"/>
      <c r="M294" s="89"/>
      <c r="N294" s="89"/>
      <c r="O294" s="89"/>
      <c r="P294" s="64"/>
      <c r="Q294" s="64"/>
      <c r="R294" s="64"/>
      <c r="S294" s="83"/>
      <c r="T294" s="104"/>
      <c r="U294" s="105" t="s">
        <v>1185</v>
      </c>
      <c r="V294" s="105">
        <v>33040100801</v>
      </c>
      <c r="W294" s="106" t="s">
        <v>1186</v>
      </c>
      <c r="X294" s="105"/>
      <c r="Y294" s="105"/>
      <c r="Z294" s="105" t="s">
        <v>36</v>
      </c>
      <c r="AA294" s="110" t="s">
        <v>1187</v>
      </c>
      <c r="AB294" s="50">
        <v>300</v>
      </c>
      <c r="AC294" s="50">
        <v>288</v>
      </c>
      <c r="AD294" s="50">
        <v>244.8</v>
      </c>
      <c r="AE294" s="112" t="s">
        <v>37</v>
      </c>
      <c r="AF294" s="60"/>
      <c r="AG294" s="55"/>
      <c r="AH294" s="55"/>
      <c r="AI294" s="55"/>
      <c r="AJ294" s="55"/>
      <c r="AK294" s="55"/>
      <c r="AL294" s="55"/>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c r="BM294" s="55"/>
      <c r="BN294" s="55"/>
      <c r="BO294" s="55"/>
      <c r="BP294" s="55"/>
      <c r="BQ294" s="55"/>
      <c r="BR294" s="55"/>
      <c r="BS294" s="55"/>
      <c r="BT294" s="55"/>
      <c r="BU294" s="55"/>
      <c r="BV294" s="55"/>
      <c r="BW294" s="55"/>
      <c r="BX294" s="55"/>
      <c r="BY294" s="55"/>
      <c r="BZ294" s="55"/>
      <c r="CA294" s="55"/>
      <c r="CB294" s="55"/>
      <c r="CC294" s="55"/>
      <c r="CD294" s="55"/>
      <c r="CE294" s="55"/>
      <c r="CF294" s="55"/>
      <c r="CG294" s="55"/>
      <c r="CH294" s="55"/>
      <c r="CI294" s="55"/>
      <c r="CJ294" s="55"/>
      <c r="CK294" s="55"/>
      <c r="CL294" s="55"/>
      <c r="CM294" s="55"/>
      <c r="CN294" s="55"/>
      <c r="CO294" s="55"/>
      <c r="CP294" s="55"/>
      <c r="CQ294" s="55"/>
      <c r="CR294" s="55"/>
      <c r="CS294" s="55"/>
      <c r="CT294" s="55"/>
      <c r="CU294" s="55"/>
      <c r="CV294" s="55"/>
      <c r="CW294" s="55"/>
      <c r="CX294" s="55"/>
      <c r="CY294" s="55"/>
      <c r="CZ294" s="55"/>
      <c r="DA294" s="55"/>
      <c r="DB294" s="55"/>
      <c r="DC294" s="55"/>
      <c r="DD294" s="55"/>
      <c r="DE294" s="55"/>
      <c r="DF294" s="55"/>
      <c r="DG294" s="55"/>
      <c r="DH294" s="55"/>
      <c r="DI294" s="55"/>
      <c r="DJ294" s="55"/>
      <c r="DK294" s="55"/>
      <c r="DL294" s="55"/>
      <c r="DM294" s="55"/>
      <c r="DN294" s="55"/>
      <c r="DO294" s="55"/>
      <c r="DP294" s="55"/>
      <c r="DQ294" s="55"/>
      <c r="DR294" s="55"/>
      <c r="DS294" s="55"/>
      <c r="DT294" s="55"/>
      <c r="DU294" s="55"/>
      <c r="DV294" s="55"/>
      <c r="DW294" s="55"/>
      <c r="DX294" s="55"/>
      <c r="DY294" s="55"/>
      <c r="DZ294" s="55"/>
      <c r="EA294" s="55"/>
      <c r="EB294" s="55"/>
      <c r="EC294" s="55"/>
      <c r="ED294" s="55"/>
      <c r="EE294" s="55"/>
      <c r="EF294" s="55"/>
      <c r="EG294" s="55"/>
      <c r="EH294" s="55"/>
      <c r="EI294" s="55"/>
      <c r="EJ294" s="55"/>
      <c r="EK294" s="55"/>
      <c r="EL294" s="55"/>
      <c r="EM294" s="55"/>
      <c r="EN294" s="55"/>
      <c r="EO294" s="55"/>
      <c r="EP294" s="55"/>
      <c r="EQ294" s="55"/>
      <c r="ER294" s="55"/>
      <c r="ES294" s="55"/>
      <c r="ET294" s="55"/>
      <c r="EU294" s="55"/>
      <c r="EV294" s="55"/>
      <c r="EW294" s="55"/>
      <c r="EX294" s="55"/>
      <c r="EY294" s="55"/>
      <c r="EZ294" s="55"/>
      <c r="FA294" s="55"/>
      <c r="FB294" s="55"/>
      <c r="FC294" s="55"/>
      <c r="FD294" s="55"/>
      <c r="FE294" s="55"/>
      <c r="FF294" s="55"/>
      <c r="FG294" s="55"/>
      <c r="FH294" s="55"/>
      <c r="FI294" s="55"/>
      <c r="FJ294" s="55"/>
      <c r="FK294" s="55"/>
      <c r="FL294" s="55"/>
      <c r="FM294" s="55"/>
      <c r="FN294" s="55"/>
      <c r="FO294" s="55"/>
      <c r="FP294" s="55"/>
      <c r="FQ294" s="55"/>
      <c r="FR294" s="55"/>
      <c r="FS294" s="55"/>
      <c r="FT294" s="55"/>
      <c r="FU294" s="55"/>
      <c r="FV294" s="55"/>
      <c r="FW294" s="55"/>
      <c r="FX294" s="55"/>
      <c r="FY294" s="55"/>
      <c r="FZ294" s="55"/>
      <c r="GA294" s="55"/>
      <c r="GB294" s="55"/>
      <c r="GC294" s="55"/>
      <c r="GD294" s="55"/>
      <c r="GE294" s="55"/>
      <c r="GF294" s="55"/>
      <c r="GG294" s="55"/>
      <c r="GH294" s="55"/>
      <c r="GI294" s="55"/>
      <c r="GJ294" s="55"/>
      <c r="GK294" s="55"/>
      <c r="GL294" s="55"/>
      <c r="GM294" s="55"/>
      <c r="GN294" s="55"/>
      <c r="GO294" s="55"/>
      <c r="GP294" s="55"/>
      <c r="GQ294" s="55"/>
      <c r="GR294" s="55"/>
      <c r="GS294" s="55"/>
      <c r="GT294" s="55"/>
      <c r="GU294" s="55"/>
      <c r="GV294" s="55"/>
      <c r="GW294" s="55"/>
      <c r="GX294" s="55"/>
      <c r="GY294" s="55"/>
      <c r="GZ294" s="55"/>
      <c r="HA294" s="55"/>
      <c r="HB294" s="55"/>
      <c r="HC294" s="55"/>
      <c r="HD294" s="55"/>
      <c r="HE294" s="55"/>
      <c r="HF294" s="55"/>
      <c r="HG294" s="55"/>
      <c r="HH294" s="55"/>
      <c r="HI294" s="55"/>
      <c r="HJ294" s="55"/>
      <c r="HK294" s="55"/>
      <c r="HL294" s="55"/>
      <c r="HM294" s="55"/>
      <c r="HN294" s="55"/>
      <c r="HO294" s="55"/>
      <c r="HP294" s="55"/>
      <c r="HQ294" s="55"/>
      <c r="HR294" s="55"/>
      <c r="HS294" s="55"/>
      <c r="HT294" s="55"/>
      <c r="HU294" s="55"/>
      <c r="HV294" s="55"/>
      <c r="HW294" s="55"/>
      <c r="HX294" s="55"/>
      <c r="HY294" s="55"/>
      <c r="HZ294" s="55"/>
      <c r="IA294" s="55"/>
      <c r="IB294" s="55"/>
      <c r="IC294" s="55"/>
      <c r="ID294" s="55"/>
    </row>
    <row r="295" customFormat="1" ht="25.5" spans="1:32">
      <c r="A295" s="112" t="s">
        <v>95</v>
      </c>
      <c r="B295" s="112" t="s">
        <v>1188</v>
      </c>
      <c r="C295" s="64" t="s">
        <v>1189</v>
      </c>
      <c r="D295" s="65"/>
      <c r="E295" s="77"/>
      <c r="F295" s="77" t="s">
        <v>35</v>
      </c>
      <c r="G295" s="64" t="s">
        <v>110</v>
      </c>
      <c r="H295" s="78">
        <v>225</v>
      </c>
      <c r="I295" s="78">
        <v>203</v>
      </c>
      <c r="J295" s="84">
        <v>-45.1666666666666</v>
      </c>
      <c r="K295" s="84">
        <v>-5</v>
      </c>
      <c r="L295" s="84"/>
      <c r="M295" s="41">
        <v>205</v>
      </c>
      <c r="N295" s="41">
        <v>185</v>
      </c>
      <c r="O295" s="41">
        <v>155</v>
      </c>
      <c r="P295" s="64" t="s">
        <v>37</v>
      </c>
      <c r="Q295" s="64" t="s">
        <v>1146</v>
      </c>
      <c r="R295" s="64" t="s">
        <v>348</v>
      </c>
      <c r="S295" s="83"/>
      <c r="T295" s="77" t="s">
        <v>186</v>
      </c>
      <c r="U295" s="105" t="s">
        <v>1190</v>
      </c>
      <c r="V295" s="105">
        <v>33040100402</v>
      </c>
      <c r="W295" s="106" t="s">
        <v>1191</v>
      </c>
      <c r="X295" s="105"/>
      <c r="Y295" s="105"/>
      <c r="Z295" s="105" t="s">
        <v>36</v>
      </c>
      <c r="AA295" s="110" t="s">
        <v>35</v>
      </c>
      <c r="AB295" s="50">
        <v>650</v>
      </c>
      <c r="AC295" s="50">
        <v>625</v>
      </c>
      <c r="AD295" s="50">
        <v>530</v>
      </c>
      <c r="AE295" s="112"/>
      <c r="AF295" s="149"/>
    </row>
    <row r="296" customFormat="1" ht="25.5" spans="1:32">
      <c r="A296" s="112"/>
      <c r="B296" s="112"/>
      <c r="C296" s="64"/>
      <c r="D296" s="65"/>
      <c r="E296" s="77"/>
      <c r="F296" s="77"/>
      <c r="G296" s="64"/>
      <c r="H296" s="42"/>
      <c r="I296" s="42"/>
      <c r="J296" s="84"/>
      <c r="K296" s="84"/>
      <c r="L296" s="84"/>
      <c r="M296" s="41"/>
      <c r="N296" s="41"/>
      <c r="O296" s="41"/>
      <c r="P296" s="64"/>
      <c r="Q296" s="64"/>
      <c r="R296" s="64"/>
      <c r="S296" s="83"/>
      <c r="T296" s="77"/>
      <c r="U296" s="105" t="s">
        <v>1192</v>
      </c>
      <c r="V296" s="105">
        <v>33040100403</v>
      </c>
      <c r="W296" s="106" t="s">
        <v>1193</v>
      </c>
      <c r="X296" s="105"/>
      <c r="Y296" s="105"/>
      <c r="Z296" s="105" t="s">
        <v>36</v>
      </c>
      <c r="AA296" s="110" t="s">
        <v>1167</v>
      </c>
      <c r="AB296" s="50">
        <v>780</v>
      </c>
      <c r="AC296" s="50">
        <v>750</v>
      </c>
      <c r="AD296" s="50">
        <v>640</v>
      </c>
      <c r="AE296" s="112"/>
      <c r="AF296" s="149"/>
    </row>
    <row r="297" customFormat="1" ht="25.5" spans="1:32">
      <c r="A297" s="112"/>
      <c r="B297" s="112"/>
      <c r="C297" s="64"/>
      <c r="D297" s="65"/>
      <c r="E297" s="77"/>
      <c r="F297" s="77"/>
      <c r="G297" s="64"/>
      <c r="H297" s="42"/>
      <c r="I297" s="42"/>
      <c r="J297" s="84"/>
      <c r="K297" s="84"/>
      <c r="L297" s="84"/>
      <c r="M297" s="41"/>
      <c r="N297" s="41"/>
      <c r="O297" s="41"/>
      <c r="P297" s="64"/>
      <c r="Q297" s="64"/>
      <c r="R297" s="64"/>
      <c r="S297" s="83"/>
      <c r="T297" s="77"/>
      <c r="U297" s="105" t="s">
        <v>1194</v>
      </c>
      <c r="V297" s="105">
        <v>33040100602</v>
      </c>
      <c r="W297" s="106" t="s">
        <v>1195</v>
      </c>
      <c r="X297" s="105"/>
      <c r="Y297" s="105"/>
      <c r="Z297" s="105" t="s">
        <v>36</v>
      </c>
      <c r="AA297" s="110" t="s">
        <v>35</v>
      </c>
      <c r="AB297" s="50">
        <v>815</v>
      </c>
      <c r="AC297" s="50">
        <v>780</v>
      </c>
      <c r="AD297" s="50">
        <v>665</v>
      </c>
      <c r="AE297" s="112"/>
      <c r="AF297" s="149"/>
    </row>
    <row r="298" customFormat="1" ht="25.5" spans="1:32">
      <c r="A298" s="112"/>
      <c r="B298" s="112"/>
      <c r="C298" s="64"/>
      <c r="D298" s="65"/>
      <c r="E298" s="77"/>
      <c r="F298" s="77"/>
      <c r="G298" s="64"/>
      <c r="H298" s="42"/>
      <c r="I298" s="42"/>
      <c r="J298" s="84"/>
      <c r="K298" s="84"/>
      <c r="L298" s="84"/>
      <c r="M298" s="41"/>
      <c r="N298" s="41"/>
      <c r="O298" s="41"/>
      <c r="P298" s="64"/>
      <c r="Q298" s="64"/>
      <c r="R298" s="64"/>
      <c r="S298" s="83"/>
      <c r="T298" s="77"/>
      <c r="U298" s="105" t="s">
        <v>1196</v>
      </c>
      <c r="V298" s="105">
        <v>33040100603</v>
      </c>
      <c r="W298" s="106" t="s">
        <v>1197</v>
      </c>
      <c r="X298" s="105"/>
      <c r="Y298" s="105"/>
      <c r="Z298" s="105" t="s">
        <v>36</v>
      </c>
      <c r="AA298" s="110" t="s">
        <v>1174</v>
      </c>
      <c r="AB298" s="50">
        <v>975</v>
      </c>
      <c r="AC298" s="50">
        <v>935</v>
      </c>
      <c r="AD298" s="50">
        <v>795</v>
      </c>
      <c r="AE298" s="112"/>
      <c r="AF298" s="149"/>
    </row>
    <row r="299" customFormat="1" ht="25.5" spans="1:32">
      <c r="A299" s="112"/>
      <c r="B299" s="112"/>
      <c r="C299" s="64"/>
      <c r="D299" s="65"/>
      <c r="E299" s="77"/>
      <c r="F299" s="77"/>
      <c r="G299" s="64"/>
      <c r="H299" s="42"/>
      <c r="I299" s="42"/>
      <c r="J299" s="84"/>
      <c r="K299" s="84"/>
      <c r="L299" s="84"/>
      <c r="M299" s="41"/>
      <c r="N299" s="41"/>
      <c r="O299" s="41"/>
      <c r="P299" s="64"/>
      <c r="Q299" s="64"/>
      <c r="R299" s="64"/>
      <c r="S299" s="83"/>
      <c r="T299" s="77"/>
      <c r="U299" s="105" t="s">
        <v>1198</v>
      </c>
      <c r="V299" s="105">
        <v>33040100702</v>
      </c>
      <c r="W299" s="106" t="s">
        <v>1199</v>
      </c>
      <c r="X299" s="105"/>
      <c r="Y299" s="105"/>
      <c r="Z299" s="105" t="s">
        <v>36</v>
      </c>
      <c r="AA299" s="110" t="s">
        <v>35</v>
      </c>
      <c r="AB299" s="50">
        <v>325</v>
      </c>
      <c r="AC299" s="50">
        <v>310</v>
      </c>
      <c r="AD299" s="50">
        <v>265</v>
      </c>
      <c r="AE299" s="112"/>
      <c r="AF299" s="149"/>
    </row>
    <row r="300" customFormat="1" ht="25.5" spans="1:32">
      <c r="A300" s="112"/>
      <c r="B300" s="112"/>
      <c r="C300" s="64"/>
      <c r="D300" s="65"/>
      <c r="E300" s="77"/>
      <c r="F300" s="77"/>
      <c r="G300" s="64"/>
      <c r="H300" s="42"/>
      <c r="I300" s="42"/>
      <c r="J300" s="84"/>
      <c r="K300" s="84"/>
      <c r="L300" s="84"/>
      <c r="M300" s="41"/>
      <c r="N300" s="41"/>
      <c r="O300" s="41"/>
      <c r="P300" s="64"/>
      <c r="Q300" s="64"/>
      <c r="R300" s="64"/>
      <c r="S300" s="83"/>
      <c r="T300" s="77"/>
      <c r="U300" s="105" t="s">
        <v>1200</v>
      </c>
      <c r="V300" s="105">
        <v>33040100703</v>
      </c>
      <c r="W300" s="106" t="s">
        <v>1201</v>
      </c>
      <c r="X300" s="105"/>
      <c r="Y300" s="105"/>
      <c r="Z300" s="105" t="s">
        <v>36</v>
      </c>
      <c r="AA300" s="110" t="s">
        <v>1181</v>
      </c>
      <c r="AB300" s="50">
        <v>650</v>
      </c>
      <c r="AC300" s="50">
        <v>625</v>
      </c>
      <c r="AD300" s="50">
        <v>530</v>
      </c>
      <c r="AE300" s="112"/>
      <c r="AF300" s="149"/>
    </row>
    <row r="301" customFormat="1" ht="25.5" spans="1:32">
      <c r="A301" s="112"/>
      <c r="B301" s="112"/>
      <c r="C301" s="64"/>
      <c r="D301" s="65"/>
      <c r="E301" s="77"/>
      <c r="F301" s="77"/>
      <c r="G301" s="64"/>
      <c r="H301" s="42"/>
      <c r="I301" s="42"/>
      <c r="J301" s="84"/>
      <c r="K301" s="84"/>
      <c r="L301" s="84"/>
      <c r="M301" s="41"/>
      <c r="N301" s="41"/>
      <c r="O301" s="41"/>
      <c r="P301" s="64"/>
      <c r="Q301" s="64"/>
      <c r="R301" s="64"/>
      <c r="S301" s="83"/>
      <c r="T301" s="77"/>
      <c r="U301" s="105" t="s">
        <v>1202</v>
      </c>
      <c r="V301" s="105">
        <v>33040100802</v>
      </c>
      <c r="W301" s="106" t="s">
        <v>1203</v>
      </c>
      <c r="X301" s="105"/>
      <c r="Y301" s="105"/>
      <c r="Z301" s="105" t="s">
        <v>36</v>
      </c>
      <c r="AA301" s="110" t="s">
        <v>35</v>
      </c>
      <c r="AB301" s="50">
        <v>325</v>
      </c>
      <c r="AC301" s="50">
        <v>310</v>
      </c>
      <c r="AD301" s="50">
        <v>265</v>
      </c>
      <c r="AE301" s="112"/>
      <c r="AF301" s="149"/>
    </row>
    <row r="302" s="55" customFormat="1" ht="25.5" spans="1:32">
      <c r="A302" s="112"/>
      <c r="B302" s="112"/>
      <c r="C302" s="64"/>
      <c r="D302" s="65"/>
      <c r="E302" s="77"/>
      <c r="F302" s="77"/>
      <c r="G302" s="64"/>
      <c r="H302" s="42"/>
      <c r="I302" s="42"/>
      <c r="J302" s="84"/>
      <c r="K302" s="84"/>
      <c r="L302" s="84"/>
      <c r="M302" s="41"/>
      <c r="N302" s="41"/>
      <c r="O302" s="41"/>
      <c r="P302" s="64"/>
      <c r="Q302" s="64"/>
      <c r="R302" s="64"/>
      <c r="S302" s="83"/>
      <c r="T302" s="77"/>
      <c r="U302" s="105" t="s">
        <v>1204</v>
      </c>
      <c r="V302" s="105">
        <v>33040100803</v>
      </c>
      <c r="W302" s="106" t="s">
        <v>1205</v>
      </c>
      <c r="X302" s="105"/>
      <c r="Y302" s="105"/>
      <c r="Z302" s="105" t="s">
        <v>36</v>
      </c>
      <c r="AA302" s="110" t="s">
        <v>1187</v>
      </c>
      <c r="AB302" s="50">
        <v>390</v>
      </c>
      <c r="AC302" s="50">
        <v>375</v>
      </c>
      <c r="AD302" s="50">
        <v>320</v>
      </c>
      <c r="AE302" s="112"/>
      <c r="AF302" s="60"/>
    </row>
    <row r="303" s="52" customFormat="1" ht="25.5" spans="1:238">
      <c r="A303" s="112">
        <v>83</v>
      </c>
      <c r="B303" s="164" t="s">
        <v>1206</v>
      </c>
      <c r="C303" s="64" t="s">
        <v>1207</v>
      </c>
      <c r="D303" s="65" t="s">
        <v>1208</v>
      </c>
      <c r="E303" s="77" t="s">
        <v>1209</v>
      </c>
      <c r="F303" s="77" t="s">
        <v>1210</v>
      </c>
      <c r="G303" s="64" t="s">
        <v>110</v>
      </c>
      <c r="H303" s="78">
        <v>400</v>
      </c>
      <c r="I303" s="78">
        <v>360</v>
      </c>
      <c r="J303" s="84">
        <v>375.48828125</v>
      </c>
      <c r="K303" s="84">
        <v>408</v>
      </c>
      <c r="L303" s="84"/>
      <c r="M303" s="41">
        <v>375</v>
      </c>
      <c r="N303" s="89">
        <v>360</v>
      </c>
      <c r="O303" s="41">
        <v>306</v>
      </c>
      <c r="P303" s="64" t="s">
        <v>621</v>
      </c>
      <c r="Q303" s="64" t="s">
        <v>35</v>
      </c>
      <c r="R303" s="64" t="s">
        <v>35</v>
      </c>
      <c r="S303" s="83" t="s">
        <v>38</v>
      </c>
      <c r="T303" s="77" t="s">
        <v>1211</v>
      </c>
      <c r="U303" s="105" t="s">
        <v>1212</v>
      </c>
      <c r="V303" s="105">
        <v>330401016</v>
      </c>
      <c r="W303" s="106" t="s">
        <v>1213</v>
      </c>
      <c r="X303" s="105"/>
      <c r="Y303" s="105"/>
      <c r="Z303" s="105" t="s">
        <v>36</v>
      </c>
      <c r="AA303" s="110" t="s">
        <v>35</v>
      </c>
      <c r="AB303" s="50">
        <v>437.5</v>
      </c>
      <c r="AC303" s="50">
        <v>420</v>
      </c>
      <c r="AD303" s="50">
        <v>357</v>
      </c>
      <c r="AE303" s="112"/>
      <c r="AF303" s="60"/>
      <c r="AG303" s="55"/>
      <c r="AH303" s="55"/>
      <c r="AI303" s="55"/>
      <c r="AJ303" s="55"/>
      <c r="AK303" s="55"/>
      <c r="AL303" s="55"/>
      <c r="AM303" s="55"/>
      <c r="AN303" s="55"/>
      <c r="AO303" s="55"/>
      <c r="AP303" s="55"/>
      <c r="AQ303" s="55"/>
      <c r="AR303" s="55"/>
      <c r="AS303" s="55"/>
      <c r="AT303" s="55"/>
      <c r="AU303" s="55"/>
      <c r="AV303" s="55"/>
      <c r="AW303" s="55"/>
      <c r="AX303" s="55"/>
      <c r="AY303" s="55"/>
      <c r="AZ303" s="55"/>
      <c r="BA303" s="55"/>
      <c r="BB303" s="55"/>
      <c r="BC303" s="55"/>
      <c r="BD303" s="55"/>
      <c r="BE303" s="55"/>
      <c r="BF303" s="55"/>
      <c r="BG303" s="55"/>
      <c r="BH303" s="55"/>
      <c r="BI303" s="55"/>
      <c r="BJ303" s="55"/>
      <c r="BK303" s="55"/>
      <c r="BL303" s="55"/>
      <c r="BM303" s="55"/>
      <c r="BN303" s="55"/>
      <c r="BO303" s="55"/>
      <c r="BP303" s="55"/>
      <c r="BQ303" s="55"/>
      <c r="BR303" s="55"/>
      <c r="BS303" s="55"/>
      <c r="BT303" s="55"/>
      <c r="BU303" s="55"/>
      <c r="BV303" s="55"/>
      <c r="BW303" s="55"/>
      <c r="BX303" s="55"/>
      <c r="BY303" s="55"/>
      <c r="BZ303" s="55"/>
      <c r="CA303" s="55"/>
      <c r="CB303" s="55"/>
      <c r="CC303" s="55"/>
      <c r="CD303" s="55"/>
      <c r="CE303" s="55"/>
      <c r="CF303" s="55"/>
      <c r="CG303" s="55"/>
      <c r="CH303" s="55"/>
      <c r="CI303" s="55"/>
      <c r="CJ303" s="55"/>
      <c r="CK303" s="55"/>
      <c r="CL303" s="55"/>
      <c r="CM303" s="55"/>
      <c r="CN303" s="55"/>
      <c r="CO303" s="55"/>
      <c r="CP303" s="55"/>
      <c r="CQ303" s="55"/>
      <c r="CR303" s="55"/>
      <c r="CS303" s="55"/>
      <c r="CT303" s="55"/>
      <c r="CU303" s="55"/>
      <c r="CV303" s="55"/>
      <c r="CW303" s="55"/>
      <c r="CX303" s="55"/>
      <c r="CY303" s="55"/>
      <c r="CZ303" s="55"/>
      <c r="DA303" s="55"/>
      <c r="DB303" s="55"/>
      <c r="DC303" s="55"/>
      <c r="DD303" s="55"/>
      <c r="DE303" s="55"/>
      <c r="DF303" s="55"/>
      <c r="DG303" s="55"/>
      <c r="DH303" s="55"/>
      <c r="DI303" s="55"/>
      <c r="DJ303" s="55"/>
      <c r="DK303" s="55"/>
      <c r="DL303" s="55"/>
      <c r="DM303" s="55"/>
      <c r="DN303" s="55"/>
      <c r="DO303" s="55"/>
      <c r="DP303" s="55"/>
      <c r="DQ303" s="55"/>
      <c r="DR303" s="55"/>
      <c r="DS303" s="55"/>
      <c r="DT303" s="55"/>
      <c r="DU303" s="55"/>
      <c r="DV303" s="55"/>
      <c r="DW303" s="55"/>
      <c r="DX303" s="55"/>
      <c r="DY303" s="55"/>
      <c r="DZ303" s="55"/>
      <c r="EA303" s="55"/>
      <c r="EB303" s="55"/>
      <c r="EC303" s="55"/>
      <c r="ED303" s="55"/>
      <c r="EE303" s="55"/>
      <c r="EF303" s="55"/>
      <c r="EG303" s="55"/>
      <c r="EH303" s="55"/>
      <c r="EI303" s="55"/>
      <c r="EJ303" s="55"/>
      <c r="EK303" s="55"/>
      <c r="EL303" s="55"/>
      <c r="EM303" s="55"/>
      <c r="EN303" s="55"/>
      <c r="EO303" s="55"/>
      <c r="EP303" s="55"/>
      <c r="EQ303" s="55"/>
      <c r="ER303" s="55"/>
      <c r="ES303" s="55"/>
      <c r="ET303" s="55"/>
      <c r="EU303" s="55"/>
      <c r="EV303" s="55"/>
      <c r="EW303" s="55"/>
      <c r="EX303" s="55"/>
      <c r="EY303" s="55"/>
      <c r="EZ303" s="55"/>
      <c r="FA303" s="55"/>
      <c r="FB303" s="55"/>
      <c r="FC303" s="55"/>
      <c r="FD303" s="55"/>
      <c r="FE303" s="55"/>
      <c r="FF303" s="55"/>
      <c r="FG303" s="55"/>
      <c r="FH303" s="55"/>
      <c r="FI303" s="55"/>
      <c r="FJ303" s="55"/>
      <c r="FK303" s="55"/>
      <c r="FL303" s="55"/>
      <c r="FM303" s="55"/>
      <c r="FN303" s="55"/>
      <c r="FO303" s="55"/>
      <c r="FP303" s="55"/>
      <c r="FQ303" s="55"/>
      <c r="FR303" s="55"/>
      <c r="FS303" s="55"/>
      <c r="FT303" s="55"/>
      <c r="FU303" s="55"/>
      <c r="FV303" s="55"/>
      <c r="FW303" s="55"/>
      <c r="FX303" s="55"/>
      <c r="FY303" s="55"/>
      <c r="FZ303" s="55"/>
      <c r="GA303" s="55"/>
      <c r="GB303" s="55"/>
      <c r="GC303" s="55"/>
      <c r="GD303" s="55"/>
      <c r="GE303" s="55"/>
      <c r="GF303" s="55"/>
      <c r="GG303" s="55"/>
      <c r="GH303" s="55"/>
      <c r="GI303" s="55"/>
      <c r="GJ303" s="55"/>
      <c r="GK303" s="55"/>
      <c r="GL303" s="55"/>
      <c r="GM303" s="55"/>
      <c r="GN303" s="55"/>
      <c r="GO303" s="55"/>
      <c r="GP303" s="55"/>
      <c r="GQ303" s="55"/>
      <c r="GR303" s="55"/>
      <c r="GS303" s="55"/>
      <c r="GT303" s="55"/>
      <c r="GU303" s="55"/>
      <c r="GV303" s="55"/>
      <c r="GW303" s="55"/>
      <c r="GX303" s="55"/>
      <c r="GY303" s="55"/>
      <c r="GZ303" s="55"/>
      <c r="HA303" s="55"/>
      <c r="HB303" s="55"/>
      <c r="HC303" s="55"/>
      <c r="HD303" s="55"/>
      <c r="HE303" s="55"/>
      <c r="HF303" s="55"/>
      <c r="HG303" s="55"/>
      <c r="HH303" s="55"/>
      <c r="HI303" s="55"/>
      <c r="HJ303" s="55"/>
      <c r="HK303" s="55"/>
      <c r="HL303" s="55"/>
      <c r="HM303" s="55"/>
      <c r="HN303" s="55"/>
      <c r="HO303" s="55"/>
      <c r="HP303" s="55"/>
      <c r="HQ303" s="55"/>
      <c r="HR303" s="55"/>
      <c r="HS303" s="55"/>
      <c r="HT303" s="55"/>
      <c r="HU303" s="55"/>
      <c r="HV303" s="55"/>
      <c r="HW303" s="55"/>
      <c r="HX303" s="55"/>
      <c r="HY303" s="55"/>
      <c r="HZ303" s="55"/>
      <c r="IA303" s="55"/>
      <c r="IB303" s="55"/>
      <c r="IC303" s="55"/>
      <c r="ID303" s="55"/>
    </row>
    <row r="304" s="52" customFormat="1" ht="25.5" spans="1:238">
      <c r="A304" s="112"/>
      <c r="B304" s="112"/>
      <c r="C304" s="64"/>
      <c r="D304" s="65"/>
      <c r="E304" s="77"/>
      <c r="F304" s="77"/>
      <c r="G304" s="64"/>
      <c r="H304" s="42"/>
      <c r="I304" s="42"/>
      <c r="J304" s="84"/>
      <c r="K304" s="84"/>
      <c r="L304" s="84"/>
      <c r="M304" s="41"/>
      <c r="N304" s="89"/>
      <c r="O304" s="41"/>
      <c r="P304" s="64"/>
      <c r="Q304" s="64"/>
      <c r="R304" s="64"/>
      <c r="S304" s="83"/>
      <c r="T304" s="77"/>
      <c r="U304" s="105" t="s">
        <v>1214</v>
      </c>
      <c r="V304" s="105">
        <v>330401011</v>
      </c>
      <c r="W304" s="106" t="s">
        <v>1215</v>
      </c>
      <c r="X304" s="105"/>
      <c r="Y304" s="105"/>
      <c r="Z304" s="105" t="s">
        <v>36</v>
      </c>
      <c r="AA304" s="110" t="s">
        <v>35</v>
      </c>
      <c r="AB304" s="50">
        <v>312.5</v>
      </c>
      <c r="AC304" s="50">
        <v>300</v>
      </c>
      <c r="AD304" s="50">
        <v>255</v>
      </c>
      <c r="AE304" s="112"/>
      <c r="AF304" s="60"/>
      <c r="AG304" s="55"/>
      <c r="AH304" s="55"/>
      <c r="AI304" s="55"/>
      <c r="AJ304" s="55"/>
      <c r="AK304" s="55"/>
      <c r="AL304" s="55"/>
      <c r="AM304" s="55"/>
      <c r="AN304" s="55"/>
      <c r="AO304" s="55"/>
      <c r="AP304" s="55"/>
      <c r="AQ304" s="55"/>
      <c r="AR304" s="55"/>
      <c r="AS304" s="55"/>
      <c r="AT304" s="55"/>
      <c r="AU304" s="55"/>
      <c r="AV304" s="55"/>
      <c r="AW304" s="55"/>
      <c r="AX304" s="55"/>
      <c r="AY304" s="55"/>
      <c r="AZ304" s="55"/>
      <c r="BA304" s="55"/>
      <c r="BB304" s="55"/>
      <c r="BC304" s="55"/>
      <c r="BD304" s="55"/>
      <c r="BE304" s="55"/>
      <c r="BF304" s="55"/>
      <c r="BG304" s="55"/>
      <c r="BH304" s="55"/>
      <c r="BI304" s="55"/>
      <c r="BJ304" s="55"/>
      <c r="BK304" s="55"/>
      <c r="BL304" s="55"/>
      <c r="BM304" s="55"/>
      <c r="BN304" s="55"/>
      <c r="BO304" s="55"/>
      <c r="BP304" s="55"/>
      <c r="BQ304" s="55"/>
      <c r="BR304" s="55"/>
      <c r="BS304" s="55"/>
      <c r="BT304" s="55"/>
      <c r="BU304" s="55"/>
      <c r="BV304" s="55"/>
      <c r="BW304" s="55"/>
      <c r="BX304" s="55"/>
      <c r="BY304" s="55"/>
      <c r="BZ304" s="55"/>
      <c r="CA304" s="55"/>
      <c r="CB304" s="55"/>
      <c r="CC304" s="55"/>
      <c r="CD304" s="55"/>
      <c r="CE304" s="55"/>
      <c r="CF304" s="55"/>
      <c r="CG304" s="55"/>
      <c r="CH304" s="55"/>
      <c r="CI304" s="55"/>
      <c r="CJ304" s="55"/>
      <c r="CK304" s="55"/>
      <c r="CL304" s="55"/>
      <c r="CM304" s="55"/>
      <c r="CN304" s="55"/>
      <c r="CO304" s="55"/>
      <c r="CP304" s="55"/>
      <c r="CQ304" s="55"/>
      <c r="CR304" s="55"/>
      <c r="CS304" s="55"/>
      <c r="CT304" s="55"/>
      <c r="CU304" s="55"/>
      <c r="CV304" s="55"/>
      <c r="CW304" s="55"/>
      <c r="CX304" s="55"/>
      <c r="CY304" s="55"/>
      <c r="CZ304" s="55"/>
      <c r="DA304" s="55"/>
      <c r="DB304" s="55"/>
      <c r="DC304" s="55"/>
      <c r="DD304" s="55"/>
      <c r="DE304" s="55"/>
      <c r="DF304" s="55"/>
      <c r="DG304" s="55"/>
      <c r="DH304" s="55"/>
      <c r="DI304" s="55"/>
      <c r="DJ304" s="55"/>
      <c r="DK304" s="55"/>
      <c r="DL304" s="55"/>
      <c r="DM304" s="55"/>
      <c r="DN304" s="55"/>
      <c r="DO304" s="55"/>
      <c r="DP304" s="55"/>
      <c r="DQ304" s="55"/>
      <c r="DR304" s="55"/>
      <c r="DS304" s="55"/>
      <c r="DT304" s="55"/>
      <c r="DU304" s="55"/>
      <c r="DV304" s="55"/>
      <c r="DW304" s="55"/>
      <c r="DX304" s="55"/>
      <c r="DY304" s="55"/>
      <c r="DZ304" s="55"/>
      <c r="EA304" s="55"/>
      <c r="EB304" s="55"/>
      <c r="EC304" s="55"/>
      <c r="ED304" s="55"/>
      <c r="EE304" s="55"/>
      <c r="EF304" s="55"/>
      <c r="EG304" s="55"/>
      <c r="EH304" s="55"/>
      <c r="EI304" s="55"/>
      <c r="EJ304" s="55"/>
      <c r="EK304" s="55"/>
      <c r="EL304" s="55"/>
      <c r="EM304" s="55"/>
      <c r="EN304" s="55"/>
      <c r="EO304" s="55"/>
      <c r="EP304" s="55"/>
      <c r="EQ304" s="55"/>
      <c r="ER304" s="55"/>
      <c r="ES304" s="55"/>
      <c r="ET304" s="55"/>
      <c r="EU304" s="55"/>
      <c r="EV304" s="55"/>
      <c r="EW304" s="55"/>
      <c r="EX304" s="55"/>
      <c r="EY304" s="55"/>
      <c r="EZ304" s="55"/>
      <c r="FA304" s="55"/>
      <c r="FB304" s="55"/>
      <c r="FC304" s="55"/>
      <c r="FD304" s="55"/>
      <c r="FE304" s="55"/>
      <c r="FF304" s="55"/>
      <c r="FG304" s="55"/>
      <c r="FH304" s="55"/>
      <c r="FI304" s="55"/>
      <c r="FJ304" s="55"/>
      <c r="FK304" s="55"/>
      <c r="FL304" s="55"/>
      <c r="FM304" s="55"/>
      <c r="FN304" s="55"/>
      <c r="FO304" s="55"/>
      <c r="FP304" s="55"/>
      <c r="FQ304" s="55"/>
      <c r="FR304" s="55"/>
      <c r="FS304" s="55"/>
      <c r="FT304" s="55"/>
      <c r="FU304" s="55"/>
      <c r="FV304" s="55"/>
      <c r="FW304" s="55"/>
      <c r="FX304" s="55"/>
      <c r="FY304" s="55"/>
      <c r="FZ304" s="55"/>
      <c r="GA304" s="55"/>
      <c r="GB304" s="55"/>
      <c r="GC304" s="55"/>
      <c r="GD304" s="55"/>
      <c r="GE304" s="55"/>
      <c r="GF304" s="55"/>
      <c r="GG304" s="55"/>
      <c r="GH304" s="55"/>
      <c r="GI304" s="55"/>
      <c r="GJ304" s="55"/>
      <c r="GK304" s="55"/>
      <c r="GL304" s="55"/>
      <c r="GM304" s="55"/>
      <c r="GN304" s="55"/>
      <c r="GO304" s="55"/>
      <c r="GP304" s="55"/>
      <c r="GQ304" s="55"/>
      <c r="GR304" s="55"/>
      <c r="GS304" s="55"/>
      <c r="GT304" s="55"/>
      <c r="GU304" s="55"/>
      <c r="GV304" s="55"/>
      <c r="GW304" s="55"/>
      <c r="GX304" s="55"/>
      <c r="GY304" s="55"/>
      <c r="GZ304" s="55"/>
      <c r="HA304" s="55"/>
      <c r="HB304" s="55"/>
      <c r="HC304" s="55"/>
      <c r="HD304" s="55"/>
      <c r="HE304" s="55"/>
      <c r="HF304" s="55"/>
      <c r="HG304" s="55"/>
      <c r="HH304" s="55"/>
      <c r="HI304" s="55"/>
      <c r="HJ304" s="55"/>
      <c r="HK304" s="55"/>
      <c r="HL304" s="55"/>
      <c r="HM304" s="55"/>
      <c r="HN304" s="55"/>
      <c r="HO304" s="55"/>
      <c r="HP304" s="55"/>
      <c r="HQ304" s="55"/>
      <c r="HR304" s="55"/>
      <c r="HS304" s="55"/>
      <c r="HT304" s="55"/>
      <c r="HU304" s="55"/>
      <c r="HV304" s="55"/>
      <c r="HW304" s="55"/>
      <c r="HX304" s="55"/>
      <c r="HY304" s="55"/>
      <c r="HZ304" s="55"/>
      <c r="IA304" s="55"/>
      <c r="IB304" s="55"/>
      <c r="IC304" s="55"/>
      <c r="ID304" s="55"/>
    </row>
    <row r="305" s="52" customFormat="1" ht="25.5" spans="1:238">
      <c r="A305" s="112"/>
      <c r="B305" s="112"/>
      <c r="C305" s="64"/>
      <c r="D305" s="65"/>
      <c r="E305" s="77"/>
      <c r="F305" s="77"/>
      <c r="G305" s="64"/>
      <c r="H305" s="42"/>
      <c r="I305" s="42"/>
      <c r="J305" s="84"/>
      <c r="K305" s="84"/>
      <c r="L305" s="84"/>
      <c r="M305" s="41"/>
      <c r="N305" s="89"/>
      <c r="O305" s="41"/>
      <c r="P305" s="64"/>
      <c r="Q305" s="64"/>
      <c r="R305" s="64"/>
      <c r="S305" s="83"/>
      <c r="T305" s="77"/>
      <c r="U305" s="105" t="s">
        <v>1216</v>
      </c>
      <c r="V305" s="105">
        <v>330401003</v>
      </c>
      <c r="W305" s="106" t="s">
        <v>1217</v>
      </c>
      <c r="X305" s="105"/>
      <c r="Y305" s="105" t="s">
        <v>1218</v>
      </c>
      <c r="Z305" s="105" t="s">
        <v>36</v>
      </c>
      <c r="AA305" s="110" t="s">
        <v>35</v>
      </c>
      <c r="AB305" s="50">
        <v>500</v>
      </c>
      <c r="AC305" s="50">
        <v>480</v>
      </c>
      <c r="AD305" s="50">
        <v>408</v>
      </c>
      <c r="AE305" s="112" t="s">
        <v>37</v>
      </c>
      <c r="AF305" s="60"/>
      <c r="AG305" s="55"/>
      <c r="AH305" s="55"/>
      <c r="AI305" s="55"/>
      <c r="AJ305" s="55"/>
      <c r="AK305" s="55"/>
      <c r="AL305" s="55"/>
      <c r="AM305" s="55"/>
      <c r="AN305" s="55"/>
      <c r="AO305" s="55"/>
      <c r="AP305" s="55"/>
      <c r="AQ305" s="55"/>
      <c r="AR305" s="55"/>
      <c r="AS305" s="55"/>
      <c r="AT305" s="55"/>
      <c r="AU305" s="55"/>
      <c r="AV305" s="55"/>
      <c r="AW305" s="55"/>
      <c r="AX305" s="55"/>
      <c r="AY305" s="55"/>
      <c r="AZ305" s="55"/>
      <c r="BA305" s="55"/>
      <c r="BB305" s="55"/>
      <c r="BC305" s="55"/>
      <c r="BD305" s="55"/>
      <c r="BE305" s="55"/>
      <c r="BF305" s="55"/>
      <c r="BG305" s="55"/>
      <c r="BH305" s="55"/>
      <c r="BI305" s="55"/>
      <c r="BJ305" s="55"/>
      <c r="BK305" s="55"/>
      <c r="BL305" s="55"/>
      <c r="BM305" s="55"/>
      <c r="BN305" s="55"/>
      <c r="BO305" s="55"/>
      <c r="BP305" s="55"/>
      <c r="BQ305" s="55"/>
      <c r="BR305" s="55"/>
      <c r="BS305" s="55"/>
      <c r="BT305" s="55"/>
      <c r="BU305" s="55"/>
      <c r="BV305" s="55"/>
      <c r="BW305" s="55"/>
      <c r="BX305" s="55"/>
      <c r="BY305" s="55"/>
      <c r="BZ305" s="55"/>
      <c r="CA305" s="55"/>
      <c r="CB305" s="55"/>
      <c r="CC305" s="55"/>
      <c r="CD305" s="55"/>
      <c r="CE305" s="55"/>
      <c r="CF305" s="55"/>
      <c r="CG305" s="55"/>
      <c r="CH305" s="55"/>
      <c r="CI305" s="55"/>
      <c r="CJ305" s="55"/>
      <c r="CK305" s="55"/>
      <c r="CL305" s="55"/>
      <c r="CM305" s="55"/>
      <c r="CN305" s="55"/>
      <c r="CO305" s="55"/>
      <c r="CP305" s="55"/>
      <c r="CQ305" s="55"/>
      <c r="CR305" s="55"/>
      <c r="CS305" s="55"/>
      <c r="CT305" s="55"/>
      <c r="CU305" s="55"/>
      <c r="CV305" s="55"/>
      <c r="CW305" s="55"/>
      <c r="CX305" s="55"/>
      <c r="CY305" s="55"/>
      <c r="CZ305" s="55"/>
      <c r="DA305" s="55"/>
      <c r="DB305" s="55"/>
      <c r="DC305" s="55"/>
      <c r="DD305" s="55"/>
      <c r="DE305" s="55"/>
      <c r="DF305" s="55"/>
      <c r="DG305" s="55"/>
      <c r="DH305" s="55"/>
      <c r="DI305" s="55"/>
      <c r="DJ305" s="55"/>
      <c r="DK305" s="55"/>
      <c r="DL305" s="55"/>
      <c r="DM305" s="55"/>
      <c r="DN305" s="55"/>
      <c r="DO305" s="55"/>
      <c r="DP305" s="55"/>
      <c r="DQ305" s="55"/>
      <c r="DR305" s="55"/>
      <c r="DS305" s="55"/>
      <c r="DT305" s="55"/>
      <c r="DU305" s="55"/>
      <c r="DV305" s="55"/>
      <c r="DW305" s="55"/>
      <c r="DX305" s="55"/>
      <c r="DY305" s="55"/>
      <c r="DZ305" s="55"/>
      <c r="EA305" s="55"/>
      <c r="EB305" s="55"/>
      <c r="EC305" s="55"/>
      <c r="ED305" s="55"/>
      <c r="EE305" s="55"/>
      <c r="EF305" s="55"/>
      <c r="EG305" s="55"/>
      <c r="EH305" s="55"/>
      <c r="EI305" s="55"/>
      <c r="EJ305" s="55"/>
      <c r="EK305" s="55"/>
      <c r="EL305" s="55"/>
      <c r="EM305" s="55"/>
      <c r="EN305" s="55"/>
      <c r="EO305" s="55"/>
      <c r="EP305" s="55"/>
      <c r="EQ305" s="55"/>
      <c r="ER305" s="55"/>
      <c r="ES305" s="55"/>
      <c r="ET305" s="55"/>
      <c r="EU305" s="55"/>
      <c r="EV305" s="55"/>
      <c r="EW305" s="55"/>
      <c r="EX305" s="55"/>
      <c r="EY305" s="55"/>
      <c r="EZ305" s="55"/>
      <c r="FA305" s="55"/>
      <c r="FB305" s="55"/>
      <c r="FC305" s="55"/>
      <c r="FD305" s="55"/>
      <c r="FE305" s="55"/>
      <c r="FF305" s="55"/>
      <c r="FG305" s="55"/>
      <c r="FH305" s="55"/>
      <c r="FI305" s="55"/>
      <c r="FJ305" s="55"/>
      <c r="FK305" s="55"/>
      <c r="FL305" s="55"/>
      <c r="FM305" s="55"/>
      <c r="FN305" s="55"/>
      <c r="FO305" s="55"/>
      <c r="FP305" s="55"/>
      <c r="FQ305" s="55"/>
      <c r="FR305" s="55"/>
      <c r="FS305" s="55"/>
      <c r="FT305" s="55"/>
      <c r="FU305" s="55"/>
      <c r="FV305" s="55"/>
      <c r="FW305" s="55"/>
      <c r="FX305" s="55"/>
      <c r="FY305" s="55"/>
      <c r="FZ305" s="55"/>
      <c r="GA305" s="55"/>
      <c r="GB305" s="55"/>
      <c r="GC305" s="55"/>
      <c r="GD305" s="55"/>
      <c r="GE305" s="55"/>
      <c r="GF305" s="55"/>
      <c r="GG305" s="55"/>
      <c r="GH305" s="55"/>
      <c r="GI305" s="55"/>
      <c r="GJ305" s="55"/>
      <c r="GK305" s="55"/>
      <c r="GL305" s="55"/>
      <c r="GM305" s="55"/>
      <c r="GN305" s="55"/>
      <c r="GO305" s="55"/>
      <c r="GP305" s="55"/>
      <c r="GQ305" s="55"/>
      <c r="GR305" s="55"/>
      <c r="GS305" s="55"/>
      <c r="GT305" s="55"/>
      <c r="GU305" s="55"/>
      <c r="GV305" s="55"/>
      <c r="GW305" s="55"/>
      <c r="GX305" s="55"/>
      <c r="GY305" s="55"/>
      <c r="GZ305" s="55"/>
      <c r="HA305" s="55"/>
      <c r="HB305" s="55"/>
      <c r="HC305" s="55"/>
      <c r="HD305" s="55"/>
      <c r="HE305" s="55"/>
      <c r="HF305" s="55"/>
      <c r="HG305" s="55"/>
      <c r="HH305" s="55"/>
      <c r="HI305" s="55"/>
      <c r="HJ305" s="55"/>
      <c r="HK305" s="55"/>
      <c r="HL305" s="55"/>
      <c r="HM305" s="55"/>
      <c r="HN305" s="55"/>
      <c r="HO305" s="55"/>
      <c r="HP305" s="55"/>
      <c r="HQ305" s="55"/>
      <c r="HR305" s="55"/>
      <c r="HS305" s="55"/>
      <c r="HT305" s="55"/>
      <c r="HU305" s="55"/>
      <c r="HV305" s="55"/>
      <c r="HW305" s="55"/>
      <c r="HX305" s="55"/>
      <c r="HY305" s="55"/>
      <c r="HZ305" s="55"/>
      <c r="IA305" s="55"/>
      <c r="IB305" s="55"/>
      <c r="IC305" s="55"/>
      <c r="ID305" s="55"/>
    </row>
    <row r="306" s="52" customFormat="1" ht="25.5" spans="1:238">
      <c r="A306" s="112"/>
      <c r="B306" s="112"/>
      <c r="C306" s="64"/>
      <c r="D306" s="65"/>
      <c r="E306" s="77"/>
      <c r="F306" s="77"/>
      <c r="G306" s="64"/>
      <c r="H306" s="42"/>
      <c r="I306" s="42"/>
      <c r="J306" s="84"/>
      <c r="K306" s="84"/>
      <c r="L306" s="84"/>
      <c r="M306" s="41"/>
      <c r="N306" s="89"/>
      <c r="O306" s="41"/>
      <c r="P306" s="64"/>
      <c r="Q306" s="64"/>
      <c r="R306" s="64"/>
      <c r="S306" s="83"/>
      <c r="T306" s="77"/>
      <c r="U306" s="105" t="s">
        <v>1219</v>
      </c>
      <c r="V306" s="105">
        <v>330402001</v>
      </c>
      <c r="W306" s="106" t="s">
        <v>1220</v>
      </c>
      <c r="X306" s="105"/>
      <c r="Y306" s="105"/>
      <c r="Z306" s="105" t="s">
        <v>36</v>
      </c>
      <c r="AA306" s="110" t="s">
        <v>35</v>
      </c>
      <c r="AB306" s="50">
        <v>375</v>
      </c>
      <c r="AC306" s="50">
        <v>360</v>
      </c>
      <c r="AD306" s="50">
        <v>306</v>
      </c>
      <c r="AE306" s="112" t="s">
        <v>37</v>
      </c>
      <c r="AF306" s="60"/>
      <c r="AG306" s="55"/>
      <c r="AH306" s="55"/>
      <c r="AI306" s="55"/>
      <c r="AJ306" s="55"/>
      <c r="AK306" s="55"/>
      <c r="AL306" s="55"/>
      <c r="AM306" s="55"/>
      <c r="AN306" s="55"/>
      <c r="AO306" s="55"/>
      <c r="AP306" s="55"/>
      <c r="AQ306" s="55"/>
      <c r="AR306" s="55"/>
      <c r="AS306" s="55"/>
      <c r="AT306" s="55"/>
      <c r="AU306" s="55"/>
      <c r="AV306" s="55"/>
      <c r="AW306" s="55"/>
      <c r="AX306" s="55"/>
      <c r="AY306" s="55"/>
      <c r="AZ306" s="55"/>
      <c r="BA306" s="55"/>
      <c r="BB306" s="55"/>
      <c r="BC306" s="55"/>
      <c r="BD306" s="55"/>
      <c r="BE306" s="55"/>
      <c r="BF306" s="55"/>
      <c r="BG306" s="55"/>
      <c r="BH306" s="55"/>
      <c r="BI306" s="55"/>
      <c r="BJ306" s="55"/>
      <c r="BK306" s="55"/>
      <c r="BL306" s="55"/>
      <c r="BM306" s="55"/>
      <c r="BN306" s="55"/>
      <c r="BO306" s="55"/>
      <c r="BP306" s="55"/>
      <c r="BQ306" s="55"/>
      <c r="BR306" s="55"/>
      <c r="BS306" s="55"/>
      <c r="BT306" s="55"/>
      <c r="BU306" s="55"/>
      <c r="BV306" s="55"/>
      <c r="BW306" s="55"/>
      <c r="BX306" s="55"/>
      <c r="BY306" s="55"/>
      <c r="BZ306" s="55"/>
      <c r="CA306" s="55"/>
      <c r="CB306" s="55"/>
      <c r="CC306" s="55"/>
      <c r="CD306" s="55"/>
      <c r="CE306" s="55"/>
      <c r="CF306" s="55"/>
      <c r="CG306" s="55"/>
      <c r="CH306" s="55"/>
      <c r="CI306" s="55"/>
      <c r="CJ306" s="55"/>
      <c r="CK306" s="55"/>
      <c r="CL306" s="55"/>
      <c r="CM306" s="55"/>
      <c r="CN306" s="55"/>
      <c r="CO306" s="55"/>
      <c r="CP306" s="55"/>
      <c r="CQ306" s="55"/>
      <c r="CR306" s="55"/>
      <c r="CS306" s="55"/>
      <c r="CT306" s="55"/>
      <c r="CU306" s="55"/>
      <c r="CV306" s="55"/>
      <c r="CW306" s="55"/>
      <c r="CX306" s="55"/>
      <c r="CY306" s="55"/>
      <c r="CZ306" s="55"/>
      <c r="DA306" s="55"/>
      <c r="DB306" s="55"/>
      <c r="DC306" s="55"/>
      <c r="DD306" s="55"/>
      <c r="DE306" s="55"/>
      <c r="DF306" s="55"/>
      <c r="DG306" s="55"/>
      <c r="DH306" s="55"/>
      <c r="DI306" s="55"/>
      <c r="DJ306" s="55"/>
      <c r="DK306" s="55"/>
      <c r="DL306" s="55"/>
      <c r="DM306" s="55"/>
      <c r="DN306" s="55"/>
      <c r="DO306" s="55"/>
      <c r="DP306" s="55"/>
      <c r="DQ306" s="55"/>
      <c r="DR306" s="55"/>
      <c r="DS306" s="55"/>
      <c r="DT306" s="55"/>
      <c r="DU306" s="55"/>
      <c r="DV306" s="55"/>
      <c r="DW306" s="55"/>
      <c r="DX306" s="55"/>
      <c r="DY306" s="55"/>
      <c r="DZ306" s="55"/>
      <c r="EA306" s="55"/>
      <c r="EB306" s="55"/>
      <c r="EC306" s="55"/>
      <c r="ED306" s="55"/>
      <c r="EE306" s="55"/>
      <c r="EF306" s="55"/>
      <c r="EG306" s="55"/>
      <c r="EH306" s="55"/>
      <c r="EI306" s="55"/>
      <c r="EJ306" s="55"/>
      <c r="EK306" s="55"/>
      <c r="EL306" s="55"/>
      <c r="EM306" s="55"/>
      <c r="EN306" s="55"/>
      <c r="EO306" s="55"/>
      <c r="EP306" s="55"/>
      <c r="EQ306" s="55"/>
      <c r="ER306" s="55"/>
      <c r="ES306" s="55"/>
      <c r="ET306" s="55"/>
      <c r="EU306" s="55"/>
      <c r="EV306" s="55"/>
      <c r="EW306" s="55"/>
      <c r="EX306" s="55"/>
      <c r="EY306" s="55"/>
      <c r="EZ306" s="55"/>
      <c r="FA306" s="55"/>
      <c r="FB306" s="55"/>
      <c r="FC306" s="55"/>
      <c r="FD306" s="55"/>
      <c r="FE306" s="55"/>
      <c r="FF306" s="55"/>
      <c r="FG306" s="55"/>
      <c r="FH306" s="55"/>
      <c r="FI306" s="55"/>
      <c r="FJ306" s="55"/>
      <c r="FK306" s="55"/>
      <c r="FL306" s="55"/>
      <c r="FM306" s="55"/>
      <c r="FN306" s="55"/>
      <c r="FO306" s="55"/>
      <c r="FP306" s="55"/>
      <c r="FQ306" s="55"/>
      <c r="FR306" s="55"/>
      <c r="FS306" s="55"/>
      <c r="FT306" s="55"/>
      <c r="FU306" s="55"/>
      <c r="FV306" s="55"/>
      <c r="FW306" s="55"/>
      <c r="FX306" s="55"/>
      <c r="FY306" s="55"/>
      <c r="FZ306" s="55"/>
      <c r="GA306" s="55"/>
      <c r="GB306" s="55"/>
      <c r="GC306" s="55"/>
      <c r="GD306" s="55"/>
      <c r="GE306" s="55"/>
      <c r="GF306" s="55"/>
      <c r="GG306" s="55"/>
      <c r="GH306" s="55"/>
      <c r="GI306" s="55"/>
      <c r="GJ306" s="55"/>
      <c r="GK306" s="55"/>
      <c r="GL306" s="55"/>
      <c r="GM306" s="55"/>
      <c r="GN306" s="55"/>
      <c r="GO306" s="55"/>
      <c r="GP306" s="55"/>
      <c r="GQ306" s="55"/>
      <c r="GR306" s="55"/>
      <c r="GS306" s="55"/>
      <c r="GT306" s="55"/>
      <c r="GU306" s="55"/>
      <c r="GV306" s="55"/>
      <c r="GW306" s="55"/>
      <c r="GX306" s="55"/>
      <c r="GY306" s="55"/>
      <c r="GZ306" s="55"/>
      <c r="HA306" s="55"/>
      <c r="HB306" s="55"/>
      <c r="HC306" s="55"/>
      <c r="HD306" s="55"/>
      <c r="HE306" s="55"/>
      <c r="HF306" s="55"/>
      <c r="HG306" s="55"/>
      <c r="HH306" s="55"/>
      <c r="HI306" s="55"/>
      <c r="HJ306" s="55"/>
      <c r="HK306" s="55"/>
      <c r="HL306" s="55"/>
      <c r="HM306" s="55"/>
      <c r="HN306" s="55"/>
      <c r="HO306" s="55"/>
      <c r="HP306" s="55"/>
      <c r="HQ306" s="55"/>
      <c r="HR306" s="55"/>
      <c r="HS306" s="55"/>
      <c r="HT306" s="55"/>
      <c r="HU306" s="55"/>
      <c r="HV306" s="55"/>
      <c r="HW306" s="55"/>
      <c r="HX306" s="55"/>
      <c r="HY306" s="55"/>
      <c r="HZ306" s="55"/>
      <c r="IA306" s="55"/>
      <c r="IB306" s="55"/>
      <c r="IC306" s="55"/>
      <c r="ID306" s="55"/>
    </row>
    <row r="307" s="52" customFormat="1" ht="45" customHeight="1" spans="1:238">
      <c r="A307" s="64" t="s">
        <v>95</v>
      </c>
      <c r="B307" s="164" t="s">
        <v>1206</v>
      </c>
      <c r="C307" s="64" t="s">
        <v>1221</v>
      </c>
      <c r="D307" s="65"/>
      <c r="E307" s="77"/>
      <c r="F307" s="77"/>
      <c r="G307" s="64" t="s">
        <v>110</v>
      </c>
      <c r="H307" s="78">
        <v>200</v>
      </c>
      <c r="I307" s="78">
        <v>180</v>
      </c>
      <c r="J307" s="83"/>
      <c r="K307" s="83"/>
      <c r="L307" s="83"/>
      <c r="M307" s="41">
        <v>187.5</v>
      </c>
      <c r="N307" s="41">
        <v>180</v>
      </c>
      <c r="O307" s="41">
        <v>153</v>
      </c>
      <c r="P307" s="64" t="s">
        <v>621</v>
      </c>
      <c r="Q307" s="64" t="s">
        <v>35</v>
      </c>
      <c r="R307" s="64" t="s">
        <v>35</v>
      </c>
      <c r="S307" s="83"/>
      <c r="T307" s="77" t="s">
        <v>1222</v>
      </c>
      <c r="U307" s="105"/>
      <c r="V307" s="105"/>
      <c r="W307" s="106"/>
      <c r="X307" s="105"/>
      <c r="Y307" s="105"/>
      <c r="Z307" s="105"/>
      <c r="AA307" s="110"/>
      <c r="AB307" s="50"/>
      <c r="AC307" s="50"/>
      <c r="AD307" s="50"/>
      <c r="AE307" s="112"/>
      <c r="AF307" s="60"/>
      <c r="AG307" s="55"/>
      <c r="AH307" s="55"/>
      <c r="AI307" s="55"/>
      <c r="AJ307" s="55"/>
      <c r="AK307" s="55"/>
      <c r="AL307" s="55"/>
      <c r="AM307" s="55"/>
      <c r="AN307" s="55"/>
      <c r="AO307" s="55"/>
      <c r="AP307" s="55"/>
      <c r="AQ307" s="55"/>
      <c r="AR307" s="55"/>
      <c r="AS307" s="55"/>
      <c r="AT307" s="55"/>
      <c r="AU307" s="55"/>
      <c r="AV307" s="55"/>
      <c r="AW307" s="55"/>
      <c r="AX307" s="55"/>
      <c r="AY307" s="55"/>
      <c r="AZ307" s="55"/>
      <c r="BA307" s="55"/>
      <c r="BB307" s="55"/>
      <c r="BC307" s="55"/>
      <c r="BD307" s="55"/>
      <c r="BE307" s="55"/>
      <c r="BF307" s="55"/>
      <c r="BG307" s="55"/>
      <c r="BH307" s="55"/>
      <c r="BI307" s="55"/>
      <c r="BJ307" s="55"/>
      <c r="BK307" s="55"/>
      <c r="BL307" s="55"/>
      <c r="BM307" s="55"/>
      <c r="BN307" s="55"/>
      <c r="BO307" s="55"/>
      <c r="BP307" s="55"/>
      <c r="BQ307" s="55"/>
      <c r="BR307" s="55"/>
      <c r="BS307" s="55"/>
      <c r="BT307" s="55"/>
      <c r="BU307" s="55"/>
      <c r="BV307" s="55"/>
      <c r="BW307" s="55"/>
      <c r="BX307" s="55"/>
      <c r="BY307" s="55"/>
      <c r="BZ307" s="55"/>
      <c r="CA307" s="55"/>
      <c r="CB307" s="55"/>
      <c r="CC307" s="55"/>
      <c r="CD307" s="55"/>
      <c r="CE307" s="55"/>
      <c r="CF307" s="55"/>
      <c r="CG307" s="55"/>
      <c r="CH307" s="55"/>
      <c r="CI307" s="55"/>
      <c r="CJ307" s="55"/>
      <c r="CK307" s="55"/>
      <c r="CL307" s="55"/>
      <c r="CM307" s="55"/>
      <c r="CN307" s="55"/>
      <c r="CO307" s="55"/>
      <c r="CP307" s="55"/>
      <c r="CQ307" s="55"/>
      <c r="CR307" s="55"/>
      <c r="CS307" s="55"/>
      <c r="CT307" s="55"/>
      <c r="CU307" s="55"/>
      <c r="CV307" s="55"/>
      <c r="CW307" s="55"/>
      <c r="CX307" s="55"/>
      <c r="CY307" s="55"/>
      <c r="CZ307" s="55"/>
      <c r="DA307" s="55"/>
      <c r="DB307" s="55"/>
      <c r="DC307" s="55"/>
      <c r="DD307" s="55"/>
      <c r="DE307" s="55"/>
      <c r="DF307" s="55"/>
      <c r="DG307" s="55"/>
      <c r="DH307" s="55"/>
      <c r="DI307" s="55"/>
      <c r="DJ307" s="55"/>
      <c r="DK307" s="55"/>
      <c r="DL307" s="55"/>
      <c r="DM307" s="55"/>
      <c r="DN307" s="55"/>
      <c r="DO307" s="55"/>
      <c r="DP307" s="55"/>
      <c r="DQ307" s="55"/>
      <c r="DR307" s="55"/>
      <c r="DS307" s="55"/>
      <c r="DT307" s="55"/>
      <c r="DU307" s="55"/>
      <c r="DV307" s="55"/>
      <c r="DW307" s="55"/>
      <c r="DX307" s="55"/>
      <c r="DY307" s="55"/>
      <c r="DZ307" s="55"/>
      <c r="EA307" s="55"/>
      <c r="EB307" s="55"/>
      <c r="EC307" s="55"/>
      <c r="ED307" s="55"/>
      <c r="EE307" s="55"/>
      <c r="EF307" s="55"/>
      <c r="EG307" s="55"/>
      <c r="EH307" s="55"/>
      <c r="EI307" s="55"/>
      <c r="EJ307" s="55"/>
      <c r="EK307" s="55"/>
      <c r="EL307" s="55"/>
      <c r="EM307" s="55"/>
      <c r="EN307" s="55"/>
      <c r="EO307" s="55"/>
      <c r="EP307" s="55"/>
      <c r="EQ307" s="55"/>
      <c r="ER307" s="55"/>
      <c r="ES307" s="55"/>
      <c r="ET307" s="55"/>
      <c r="EU307" s="55"/>
      <c r="EV307" s="55"/>
      <c r="EW307" s="55"/>
      <c r="EX307" s="55"/>
      <c r="EY307" s="55"/>
      <c r="EZ307" s="55"/>
      <c r="FA307" s="55"/>
      <c r="FB307" s="55"/>
      <c r="FC307" s="55"/>
      <c r="FD307" s="55"/>
      <c r="FE307" s="55"/>
      <c r="FF307" s="55"/>
      <c r="FG307" s="55"/>
      <c r="FH307" s="55"/>
      <c r="FI307" s="55"/>
      <c r="FJ307" s="55"/>
      <c r="FK307" s="55"/>
      <c r="FL307" s="55"/>
      <c r="FM307" s="55"/>
      <c r="FN307" s="55"/>
      <c r="FO307" s="55"/>
      <c r="FP307" s="55"/>
      <c r="FQ307" s="55"/>
      <c r="FR307" s="55"/>
      <c r="FS307" s="55"/>
      <c r="FT307" s="55"/>
      <c r="FU307" s="55"/>
      <c r="FV307" s="55"/>
      <c r="FW307" s="55"/>
      <c r="FX307" s="55"/>
      <c r="FY307" s="55"/>
      <c r="FZ307" s="55"/>
      <c r="GA307" s="55"/>
      <c r="GB307" s="55"/>
      <c r="GC307" s="55"/>
      <c r="GD307" s="55"/>
      <c r="GE307" s="55"/>
      <c r="GF307" s="55"/>
      <c r="GG307" s="55"/>
      <c r="GH307" s="55"/>
      <c r="GI307" s="55"/>
      <c r="GJ307" s="55"/>
      <c r="GK307" s="55"/>
      <c r="GL307" s="55"/>
      <c r="GM307" s="55"/>
      <c r="GN307" s="55"/>
      <c r="GO307" s="55"/>
      <c r="GP307" s="55"/>
      <c r="GQ307" s="55"/>
      <c r="GR307" s="55"/>
      <c r="GS307" s="55"/>
      <c r="GT307" s="55"/>
      <c r="GU307" s="55"/>
      <c r="GV307" s="55"/>
      <c r="GW307" s="55"/>
      <c r="GX307" s="55"/>
      <c r="GY307" s="55"/>
      <c r="GZ307" s="55"/>
      <c r="HA307" s="55"/>
      <c r="HB307" s="55"/>
      <c r="HC307" s="55"/>
      <c r="HD307" s="55"/>
      <c r="HE307" s="55"/>
      <c r="HF307" s="55"/>
      <c r="HG307" s="55"/>
      <c r="HH307" s="55"/>
      <c r="HI307" s="55"/>
      <c r="HJ307" s="55"/>
      <c r="HK307" s="55"/>
      <c r="HL307" s="55"/>
      <c r="HM307" s="55"/>
      <c r="HN307" s="55"/>
      <c r="HO307" s="55"/>
      <c r="HP307" s="55"/>
      <c r="HQ307" s="55"/>
      <c r="HR307" s="55"/>
      <c r="HS307" s="55"/>
      <c r="HT307" s="55"/>
      <c r="HU307" s="55"/>
      <c r="HV307" s="55"/>
      <c r="HW307" s="55"/>
      <c r="HX307" s="55"/>
      <c r="HY307" s="55"/>
      <c r="HZ307" s="55"/>
      <c r="IA307" s="55"/>
      <c r="IB307" s="55"/>
      <c r="IC307" s="55"/>
      <c r="ID307" s="55"/>
    </row>
    <row r="308" s="55" customFormat="1" ht="25.5" spans="1:32">
      <c r="A308" s="112" t="s">
        <v>95</v>
      </c>
      <c r="B308" s="112" t="s">
        <v>1223</v>
      </c>
      <c r="C308" s="64" t="s">
        <v>1224</v>
      </c>
      <c r="D308" s="65"/>
      <c r="E308" s="77"/>
      <c r="F308" s="77" t="s">
        <v>35</v>
      </c>
      <c r="G308" s="64" t="s">
        <v>110</v>
      </c>
      <c r="H308" s="78">
        <v>120</v>
      </c>
      <c r="I308" s="78">
        <v>108</v>
      </c>
      <c r="J308" s="84">
        <v>33.1730769230769</v>
      </c>
      <c r="K308" s="84">
        <v>185</v>
      </c>
      <c r="L308" s="84"/>
      <c r="M308" s="41">
        <v>115</v>
      </c>
      <c r="N308" s="41">
        <v>105</v>
      </c>
      <c r="O308" s="41">
        <v>92</v>
      </c>
      <c r="P308" s="64" t="s">
        <v>621</v>
      </c>
      <c r="Q308" s="64" t="s">
        <v>35</v>
      </c>
      <c r="R308" s="64" t="s">
        <v>35</v>
      </c>
      <c r="S308" s="83"/>
      <c r="T308" s="77" t="s">
        <v>186</v>
      </c>
      <c r="U308" s="105" t="s">
        <v>1225</v>
      </c>
      <c r="V308" s="105">
        <v>33040101601</v>
      </c>
      <c r="W308" s="106" t="s">
        <v>1226</v>
      </c>
      <c r="X308" s="105"/>
      <c r="Y308" s="105"/>
      <c r="Z308" s="105" t="s">
        <v>36</v>
      </c>
      <c r="AA308" s="110" t="s">
        <v>35</v>
      </c>
      <c r="AB308" s="50">
        <v>570</v>
      </c>
      <c r="AC308" s="50">
        <v>545</v>
      </c>
      <c r="AD308" s="50">
        <v>465</v>
      </c>
      <c r="AE308" s="112"/>
      <c r="AF308" s="60"/>
    </row>
    <row r="309" s="55" customFormat="1" ht="25.5" spans="1:32">
      <c r="A309" s="112"/>
      <c r="B309" s="112"/>
      <c r="C309" s="64"/>
      <c r="D309" s="65"/>
      <c r="E309" s="77"/>
      <c r="F309" s="77"/>
      <c r="G309" s="64"/>
      <c r="H309" s="42"/>
      <c r="I309" s="42"/>
      <c r="J309" s="84"/>
      <c r="K309" s="84"/>
      <c r="L309" s="84"/>
      <c r="M309" s="41"/>
      <c r="N309" s="41"/>
      <c r="O309" s="41"/>
      <c r="P309" s="64"/>
      <c r="Q309" s="64"/>
      <c r="R309" s="64"/>
      <c r="S309" s="83"/>
      <c r="T309" s="77"/>
      <c r="U309" s="105" t="s">
        <v>1227</v>
      </c>
      <c r="V309" s="105">
        <v>33040101101</v>
      </c>
      <c r="W309" s="106" t="s">
        <v>1228</v>
      </c>
      <c r="X309" s="105"/>
      <c r="Y309" s="105"/>
      <c r="Z309" s="105" t="s">
        <v>36</v>
      </c>
      <c r="AA309" s="110" t="s">
        <v>35</v>
      </c>
      <c r="AB309" s="50">
        <v>405</v>
      </c>
      <c r="AC309" s="50">
        <v>390</v>
      </c>
      <c r="AD309" s="50">
        <v>330</v>
      </c>
      <c r="AE309" s="112"/>
      <c r="AF309" s="60"/>
    </row>
    <row r="310" s="55" customFormat="1" ht="25.5" spans="1:32">
      <c r="A310" s="112"/>
      <c r="B310" s="112"/>
      <c r="C310" s="64"/>
      <c r="D310" s="65"/>
      <c r="E310" s="77"/>
      <c r="F310" s="77"/>
      <c r="G310" s="64"/>
      <c r="H310" s="42"/>
      <c r="I310" s="42"/>
      <c r="J310" s="84"/>
      <c r="K310" s="84"/>
      <c r="L310" s="84"/>
      <c r="M310" s="41"/>
      <c r="N310" s="41"/>
      <c r="O310" s="41"/>
      <c r="P310" s="64"/>
      <c r="Q310" s="64"/>
      <c r="R310" s="64"/>
      <c r="S310" s="83"/>
      <c r="T310" s="77"/>
      <c r="U310" s="105" t="s">
        <v>1229</v>
      </c>
      <c r="V310" s="105">
        <v>33040100301</v>
      </c>
      <c r="W310" s="106" t="s">
        <v>1230</v>
      </c>
      <c r="X310" s="105"/>
      <c r="Y310" s="105"/>
      <c r="Z310" s="105" t="s">
        <v>36</v>
      </c>
      <c r="AA310" s="110" t="s">
        <v>35</v>
      </c>
      <c r="AB310" s="50">
        <v>650</v>
      </c>
      <c r="AC310" s="50">
        <v>625</v>
      </c>
      <c r="AD310" s="50">
        <v>530</v>
      </c>
      <c r="AE310" s="112" t="s">
        <v>37</v>
      </c>
      <c r="AF310" s="60"/>
    </row>
    <row r="311" s="55" customFormat="1" ht="25.5" spans="1:32">
      <c r="A311" s="112"/>
      <c r="B311" s="112"/>
      <c r="C311" s="64"/>
      <c r="D311" s="65"/>
      <c r="E311" s="77"/>
      <c r="F311" s="77"/>
      <c r="G311" s="64"/>
      <c r="H311" s="42"/>
      <c r="I311" s="42"/>
      <c r="J311" s="84"/>
      <c r="K311" s="84"/>
      <c r="L311" s="84"/>
      <c r="M311" s="41"/>
      <c r="N311" s="41"/>
      <c r="O311" s="41"/>
      <c r="P311" s="64"/>
      <c r="Q311" s="64"/>
      <c r="R311" s="64"/>
      <c r="S311" s="83"/>
      <c r="T311" s="77"/>
      <c r="U311" s="105" t="s">
        <v>1231</v>
      </c>
      <c r="V311" s="105">
        <v>33040200101</v>
      </c>
      <c r="W311" s="106" t="s">
        <v>1232</v>
      </c>
      <c r="X311" s="105"/>
      <c r="Y311" s="105"/>
      <c r="Z311" s="105" t="s">
        <v>36</v>
      </c>
      <c r="AA311" s="110" t="s">
        <v>35</v>
      </c>
      <c r="AB311" s="50">
        <v>490</v>
      </c>
      <c r="AC311" s="50">
        <v>470</v>
      </c>
      <c r="AD311" s="50">
        <v>400</v>
      </c>
      <c r="AE311" s="112" t="s">
        <v>37</v>
      </c>
      <c r="AF311" s="60"/>
    </row>
    <row r="312" s="55" customFormat="1" ht="32" customHeight="1" spans="1:32">
      <c r="A312" s="112" t="s">
        <v>95</v>
      </c>
      <c r="B312" s="112" t="s">
        <v>1233</v>
      </c>
      <c r="C312" s="64" t="s">
        <v>1234</v>
      </c>
      <c r="D312" s="65"/>
      <c r="E312" s="77"/>
      <c r="F312" s="77" t="s">
        <v>35</v>
      </c>
      <c r="G312" s="64" t="s">
        <v>110</v>
      </c>
      <c r="H312" s="78">
        <v>400</v>
      </c>
      <c r="I312" s="78">
        <v>360</v>
      </c>
      <c r="J312" s="83"/>
      <c r="K312" s="83"/>
      <c r="L312" s="83"/>
      <c r="M312" s="41">
        <v>375</v>
      </c>
      <c r="N312" s="41">
        <v>360</v>
      </c>
      <c r="O312" s="41">
        <v>306</v>
      </c>
      <c r="P312" s="64" t="s">
        <v>621</v>
      </c>
      <c r="Q312" s="64" t="s">
        <v>35</v>
      </c>
      <c r="R312" s="64" t="s">
        <v>35</v>
      </c>
      <c r="S312" s="83"/>
      <c r="T312" s="77" t="s">
        <v>523</v>
      </c>
      <c r="U312" s="105"/>
      <c r="V312" s="105"/>
      <c r="W312" s="106"/>
      <c r="X312" s="105"/>
      <c r="Y312" s="105"/>
      <c r="Z312" s="105"/>
      <c r="AA312" s="110"/>
      <c r="AB312" s="50"/>
      <c r="AC312" s="50"/>
      <c r="AD312" s="50"/>
      <c r="AE312" s="112"/>
      <c r="AF312" s="60"/>
    </row>
    <row r="313" s="55" customFormat="1" ht="32" customHeight="1" spans="1:32">
      <c r="A313" s="112" t="s">
        <v>95</v>
      </c>
      <c r="B313" s="112" t="s">
        <v>1235</v>
      </c>
      <c r="C313" s="64" t="s">
        <v>1236</v>
      </c>
      <c r="D313" s="65"/>
      <c r="E313" s="77"/>
      <c r="F313" s="77" t="s">
        <v>35</v>
      </c>
      <c r="G313" s="64" t="s">
        <v>110</v>
      </c>
      <c r="H313" s="78">
        <v>400</v>
      </c>
      <c r="I313" s="78">
        <v>360</v>
      </c>
      <c r="J313" s="83"/>
      <c r="K313" s="83"/>
      <c r="L313" s="83"/>
      <c r="M313" s="41">
        <v>375</v>
      </c>
      <c r="N313" s="41">
        <v>360</v>
      </c>
      <c r="O313" s="41">
        <v>306</v>
      </c>
      <c r="P313" s="64" t="s">
        <v>621</v>
      </c>
      <c r="Q313" s="64" t="s">
        <v>35</v>
      </c>
      <c r="R313" s="64" t="s">
        <v>35</v>
      </c>
      <c r="S313" s="83"/>
      <c r="T313" s="77" t="s">
        <v>523</v>
      </c>
      <c r="U313" s="112"/>
      <c r="V313" s="112"/>
      <c r="W313" s="112"/>
      <c r="X313" s="64"/>
      <c r="Y313" s="112"/>
      <c r="Z313" s="112"/>
      <c r="AA313" s="110"/>
      <c r="AB313" s="50"/>
      <c r="AC313" s="50"/>
      <c r="AD313" s="50"/>
      <c r="AE313" s="112"/>
      <c r="AF313" s="60"/>
    </row>
    <row r="314" s="52" customFormat="1" ht="57" customHeight="1" spans="1:238">
      <c r="A314" s="112">
        <v>84</v>
      </c>
      <c r="B314" s="112" t="s">
        <v>1237</v>
      </c>
      <c r="C314" s="64" t="s">
        <v>1238</v>
      </c>
      <c r="D314" s="65" t="s">
        <v>1239</v>
      </c>
      <c r="E314" s="77" t="s">
        <v>1240</v>
      </c>
      <c r="F314" s="77"/>
      <c r="G314" s="64" t="s">
        <v>110</v>
      </c>
      <c r="H314" s="78">
        <v>960</v>
      </c>
      <c r="I314" s="78">
        <v>865</v>
      </c>
      <c r="J314" s="83">
        <v>845</v>
      </c>
      <c r="K314" s="83">
        <v>760</v>
      </c>
      <c r="L314" s="83">
        <v>645</v>
      </c>
      <c r="M314" s="41">
        <v>845</v>
      </c>
      <c r="N314" s="41">
        <v>760</v>
      </c>
      <c r="O314" s="41">
        <v>645</v>
      </c>
      <c r="P314" s="64" t="s">
        <v>37</v>
      </c>
      <c r="Q314" s="64" t="s">
        <v>35</v>
      </c>
      <c r="R314" s="64" t="s">
        <v>35</v>
      </c>
      <c r="S314" s="83" t="s">
        <v>381</v>
      </c>
      <c r="T314" s="77" t="s">
        <v>381</v>
      </c>
      <c r="U314" s="105" t="s">
        <v>1241</v>
      </c>
      <c r="V314" s="105">
        <v>330403001</v>
      </c>
      <c r="W314" s="106" t="s">
        <v>1242</v>
      </c>
      <c r="X314" s="105" t="s">
        <v>1243</v>
      </c>
      <c r="Y314" s="105" t="s">
        <v>1244</v>
      </c>
      <c r="Z314" s="105" t="s">
        <v>36</v>
      </c>
      <c r="AA314" s="110" t="s">
        <v>35</v>
      </c>
      <c r="AB314" s="50">
        <v>845</v>
      </c>
      <c r="AC314" s="50">
        <v>760</v>
      </c>
      <c r="AD314" s="50">
        <v>645</v>
      </c>
      <c r="AE314" s="112" t="s">
        <v>37</v>
      </c>
      <c r="AF314" s="60"/>
      <c r="AG314" s="55"/>
      <c r="AH314" s="55"/>
      <c r="AI314" s="55"/>
      <c r="AJ314" s="55"/>
      <c r="AK314" s="55"/>
      <c r="AL314" s="55"/>
      <c r="AM314" s="55"/>
      <c r="AN314" s="55"/>
      <c r="AO314" s="55"/>
      <c r="AP314" s="55"/>
      <c r="AQ314" s="55"/>
      <c r="AR314" s="55"/>
      <c r="AS314" s="55"/>
      <c r="AT314" s="55"/>
      <c r="AU314" s="55"/>
      <c r="AV314" s="55"/>
      <c r="AW314" s="55"/>
      <c r="AX314" s="55"/>
      <c r="AY314" s="55"/>
      <c r="AZ314" s="55"/>
      <c r="BA314" s="55"/>
      <c r="BB314" s="55"/>
      <c r="BC314" s="55"/>
      <c r="BD314" s="55"/>
      <c r="BE314" s="55"/>
      <c r="BF314" s="55"/>
      <c r="BG314" s="55"/>
      <c r="BH314" s="55"/>
      <c r="BI314" s="55"/>
      <c r="BJ314" s="55"/>
      <c r="BK314" s="55"/>
      <c r="BL314" s="55"/>
      <c r="BM314" s="55"/>
      <c r="BN314" s="55"/>
      <c r="BO314" s="55"/>
      <c r="BP314" s="55"/>
      <c r="BQ314" s="55"/>
      <c r="BR314" s="55"/>
      <c r="BS314" s="55"/>
      <c r="BT314" s="55"/>
      <c r="BU314" s="55"/>
      <c r="BV314" s="55"/>
      <c r="BW314" s="55"/>
      <c r="BX314" s="55"/>
      <c r="BY314" s="55"/>
      <c r="BZ314" s="55"/>
      <c r="CA314" s="55"/>
      <c r="CB314" s="55"/>
      <c r="CC314" s="55"/>
      <c r="CD314" s="55"/>
      <c r="CE314" s="55"/>
      <c r="CF314" s="55"/>
      <c r="CG314" s="55"/>
      <c r="CH314" s="55"/>
      <c r="CI314" s="55"/>
      <c r="CJ314" s="55"/>
      <c r="CK314" s="55"/>
      <c r="CL314" s="55"/>
      <c r="CM314" s="55"/>
      <c r="CN314" s="55"/>
      <c r="CO314" s="55"/>
      <c r="CP314" s="55"/>
      <c r="CQ314" s="55"/>
      <c r="CR314" s="55"/>
      <c r="CS314" s="55"/>
      <c r="CT314" s="55"/>
      <c r="CU314" s="55"/>
      <c r="CV314" s="55"/>
      <c r="CW314" s="55"/>
      <c r="CX314" s="55"/>
      <c r="CY314" s="55"/>
      <c r="CZ314" s="55"/>
      <c r="DA314" s="55"/>
      <c r="DB314" s="55"/>
      <c r="DC314" s="55"/>
      <c r="DD314" s="55"/>
      <c r="DE314" s="55"/>
      <c r="DF314" s="55"/>
      <c r="DG314" s="55"/>
      <c r="DH314" s="55"/>
      <c r="DI314" s="55"/>
      <c r="DJ314" s="55"/>
      <c r="DK314" s="55"/>
      <c r="DL314" s="55"/>
      <c r="DM314" s="55"/>
      <c r="DN314" s="55"/>
      <c r="DO314" s="55"/>
      <c r="DP314" s="55"/>
      <c r="DQ314" s="55"/>
      <c r="DR314" s="55"/>
      <c r="DS314" s="55"/>
      <c r="DT314" s="55"/>
      <c r="DU314" s="55"/>
      <c r="DV314" s="55"/>
      <c r="DW314" s="55"/>
      <c r="DX314" s="55"/>
      <c r="DY314" s="55"/>
      <c r="DZ314" s="55"/>
      <c r="EA314" s="55"/>
      <c r="EB314" s="55"/>
      <c r="EC314" s="55"/>
      <c r="ED314" s="55"/>
      <c r="EE314" s="55"/>
      <c r="EF314" s="55"/>
      <c r="EG314" s="55"/>
      <c r="EH314" s="55"/>
      <c r="EI314" s="55"/>
      <c r="EJ314" s="55"/>
      <c r="EK314" s="55"/>
      <c r="EL314" s="55"/>
      <c r="EM314" s="55"/>
      <c r="EN314" s="55"/>
      <c r="EO314" s="55"/>
      <c r="EP314" s="55"/>
      <c r="EQ314" s="55"/>
      <c r="ER314" s="55"/>
      <c r="ES314" s="55"/>
      <c r="ET314" s="55"/>
      <c r="EU314" s="55"/>
      <c r="EV314" s="55"/>
      <c r="EW314" s="55"/>
      <c r="EX314" s="55"/>
      <c r="EY314" s="55"/>
      <c r="EZ314" s="55"/>
      <c r="FA314" s="55"/>
      <c r="FB314" s="55"/>
      <c r="FC314" s="55"/>
      <c r="FD314" s="55"/>
      <c r="FE314" s="55"/>
      <c r="FF314" s="55"/>
      <c r="FG314" s="55"/>
      <c r="FH314" s="55"/>
      <c r="FI314" s="55"/>
      <c r="FJ314" s="55"/>
      <c r="FK314" s="55"/>
      <c r="FL314" s="55"/>
      <c r="FM314" s="55"/>
      <c r="FN314" s="55"/>
      <c r="FO314" s="55"/>
      <c r="FP314" s="55"/>
      <c r="FQ314" s="55"/>
      <c r="FR314" s="55"/>
      <c r="FS314" s="55"/>
      <c r="FT314" s="55"/>
      <c r="FU314" s="55"/>
      <c r="FV314" s="55"/>
      <c r="FW314" s="55"/>
      <c r="FX314" s="55"/>
      <c r="FY314" s="55"/>
      <c r="FZ314" s="55"/>
      <c r="GA314" s="55"/>
      <c r="GB314" s="55"/>
      <c r="GC314" s="55"/>
      <c r="GD314" s="55"/>
      <c r="GE314" s="55"/>
      <c r="GF314" s="55"/>
      <c r="GG314" s="55"/>
      <c r="GH314" s="55"/>
      <c r="GI314" s="55"/>
      <c r="GJ314" s="55"/>
      <c r="GK314" s="55"/>
      <c r="GL314" s="55"/>
      <c r="GM314" s="55"/>
      <c r="GN314" s="55"/>
      <c r="GO314" s="55"/>
      <c r="GP314" s="55"/>
      <c r="GQ314" s="55"/>
      <c r="GR314" s="55"/>
      <c r="GS314" s="55"/>
      <c r="GT314" s="55"/>
      <c r="GU314" s="55"/>
      <c r="GV314" s="55"/>
      <c r="GW314" s="55"/>
      <c r="GX314" s="55"/>
      <c r="GY314" s="55"/>
      <c r="GZ314" s="55"/>
      <c r="HA314" s="55"/>
      <c r="HB314" s="55"/>
      <c r="HC314" s="55"/>
      <c r="HD314" s="55"/>
      <c r="HE314" s="55"/>
      <c r="HF314" s="55"/>
      <c r="HG314" s="55"/>
      <c r="HH314" s="55"/>
      <c r="HI314" s="55"/>
      <c r="HJ314" s="55"/>
      <c r="HK314" s="55"/>
      <c r="HL314" s="55"/>
      <c r="HM314" s="55"/>
      <c r="HN314" s="55"/>
      <c r="HO314" s="55"/>
      <c r="HP314" s="55"/>
      <c r="HQ314" s="55"/>
      <c r="HR314" s="55"/>
      <c r="HS314" s="55"/>
      <c r="HT314" s="55"/>
      <c r="HU314" s="55"/>
      <c r="HV314" s="55"/>
      <c r="HW314" s="55"/>
      <c r="HX314" s="55"/>
      <c r="HY314" s="55"/>
      <c r="HZ314" s="55"/>
      <c r="IA314" s="55"/>
      <c r="IB314" s="55"/>
      <c r="IC314" s="55"/>
      <c r="ID314" s="55"/>
    </row>
    <row r="315" s="52" customFormat="1" ht="41" customHeight="1" spans="1:238">
      <c r="A315" s="112" t="s">
        <v>95</v>
      </c>
      <c r="B315" s="112" t="s">
        <v>1245</v>
      </c>
      <c r="C315" s="64" t="s">
        <v>1246</v>
      </c>
      <c r="D315" s="65"/>
      <c r="E315" s="77"/>
      <c r="F315" s="77" t="s">
        <v>35</v>
      </c>
      <c r="G315" s="64" t="s">
        <v>110</v>
      </c>
      <c r="H315" s="78">
        <v>288</v>
      </c>
      <c r="I315" s="78">
        <v>260</v>
      </c>
      <c r="J315" s="83">
        <v>255</v>
      </c>
      <c r="K315" s="83">
        <v>230</v>
      </c>
      <c r="L315" s="83">
        <v>195</v>
      </c>
      <c r="M315" s="41">
        <v>255</v>
      </c>
      <c r="N315" s="41">
        <v>230</v>
      </c>
      <c r="O315" s="41">
        <v>195</v>
      </c>
      <c r="P315" s="64" t="s">
        <v>37</v>
      </c>
      <c r="Q315" s="64" t="s">
        <v>35</v>
      </c>
      <c r="R315" s="64" t="s">
        <v>35</v>
      </c>
      <c r="S315" s="83"/>
      <c r="T315" s="77" t="s">
        <v>186</v>
      </c>
      <c r="U315" s="105" t="s">
        <v>1247</v>
      </c>
      <c r="V315" s="105">
        <v>33040300101</v>
      </c>
      <c r="W315" s="106" t="s">
        <v>1248</v>
      </c>
      <c r="X315" s="105"/>
      <c r="Y315" s="105"/>
      <c r="Z315" s="105" t="s">
        <v>36</v>
      </c>
      <c r="AA315" s="110" t="s">
        <v>35</v>
      </c>
      <c r="AB315" s="50">
        <v>1100</v>
      </c>
      <c r="AC315" s="50">
        <v>990</v>
      </c>
      <c r="AD315" s="50">
        <v>840</v>
      </c>
      <c r="AE315" s="112" t="s">
        <v>37</v>
      </c>
      <c r="AF315" s="60"/>
      <c r="AG315" s="55"/>
      <c r="AH315" s="55"/>
      <c r="AI315" s="55"/>
      <c r="AJ315" s="55"/>
      <c r="AK315" s="55"/>
      <c r="AL315" s="55"/>
      <c r="AM315" s="55"/>
      <c r="AN315" s="55"/>
      <c r="AO315" s="55"/>
      <c r="AP315" s="55"/>
      <c r="AQ315" s="55"/>
      <c r="AR315" s="55"/>
      <c r="AS315" s="55"/>
      <c r="AT315" s="55"/>
      <c r="AU315" s="55"/>
      <c r="AV315" s="55"/>
      <c r="AW315" s="55"/>
      <c r="AX315" s="55"/>
      <c r="AY315" s="55"/>
      <c r="AZ315" s="55"/>
      <c r="BA315" s="55"/>
      <c r="BB315" s="55"/>
      <c r="BC315" s="55"/>
      <c r="BD315" s="55"/>
      <c r="BE315" s="55"/>
      <c r="BF315" s="55"/>
      <c r="BG315" s="55"/>
      <c r="BH315" s="55"/>
      <c r="BI315" s="55"/>
      <c r="BJ315" s="55"/>
      <c r="BK315" s="55"/>
      <c r="BL315" s="55"/>
      <c r="BM315" s="55"/>
      <c r="BN315" s="55"/>
      <c r="BO315" s="55"/>
      <c r="BP315" s="55"/>
      <c r="BQ315" s="55"/>
      <c r="BR315" s="55"/>
      <c r="BS315" s="55"/>
      <c r="BT315" s="55"/>
      <c r="BU315" s="55"/>
      <c r="BV315" s="55"/>
      <c r="BW315" s="55"/>
      <c r="BX315" s="55"/>
      <c r="BY315" s="55"/>
      <c r="BZ315" s="55"/>
      <c r="CA315" s="55"/>
      <c r="CB315" s="55"/>
      <c r="CC315" s="55"/>
      <c r="CD315" s="55"/>
      <c r="CE315" s="55"/>
      <c r="CF315" s="55"/>
      <c r="CG315" s="55"/>
      <c r="CH315" s="55"/>
      <c r="CI315" s="55"/>
      <c r="CJ315" s="55"/>
      <c r="CK315" s="55"/>
      <c r="CL315" s="55"/>
      <c r="CM315" s="55"/>
      <c r="CN315" s="55"/>
      <c r="CO315" s="55"/>
      <c r="CP315" s="55"/>
      <c r="CQ315" s="55"/>
      <c r="CR315" s="55"/>
      <c r="CS315" s="55"/>
      <c r="CT315" s="55"/>
      <c r="CU315" s="55"/>
      <c r="CV315" s="55"/>
      <c r="CW315" s="55"/>
      <c r="CX315" s="55"/>
      <c r="CY315" s="55"/>
      <c r="CZ315" s="55"/>
      <c r="DA315" s="55"/>
      <c r="DB315" s="55"/>
      <c r="DC315" s="55"/>
      <c r="DD315" s="55"/>
      <c r="DE315" s="55"/>
      <c r="DF315" s="55"/>
      <c r="DG315" s="55"/>
      <c r="DH315" s="55"/>
      <c r="DI315" s="55"/>
      <c r="DJ315" s="55"/>
      <c r="DK315" s="55"/>
      <c r="DL315" s="55"/>
      <c r="DM315" s="55"/>
      <c r="DN315" s="55"/>
      <c r="DO315" s="55"/>
      <c r="DP315" s="55"/>
      <c r="DQ315" s="55"/>
      <c r="DR315" s="55"/>
      <c r="DS315" s="55"/>
      <c r="DT315" s="55"/>
      <c r="DU315" s="55"/>
      <c r="DV315" s="55"/>
      <c r="DW315" s="55"/>
      <c r="DX315" s="55"/>
      <c r="DY315" s="55"/>
      <c r="DZ315" s="55"/>
      <c r="EA315" s="55"/>
      <c r="EB315" s="55"/>
      <c r="EC315" s="55"/>
      <c r="ED315" s="55"/>
      <c r="EE315" s="55"/>
      <c r="EF315" s="55"/>
      <c r="EG315" s="55"/>
      <c r="EH315" s="55"/>
      <c r="EI315" s="55"/>
      <c r="EJ315" s="55"/>
      <c r="EK315" s="55"/>
      <c r="EL315" s="55"/>
      <c r="EM315" s="55"/>
      <c r="EN315" s="55"/>
      <c r="EO315" s="55"/>
      <c r="EP315" s="55"/>
      <c r="EQ315" s="55"/>
      <c r="ER315" s="55"/>
      <c r="ES315" s="55"/>
      <c r="ET315" s="55"/>
      <c r="EU315" s="55"/>
      <c r="EV315" s="55"/>
      <c r="EW315" s="55"/>
      <c r="EX315" s="55"/>
      <c r="EY315" s="55"/>
      <c r="EZ315" s="55"/>
      <c r="FA315" s="55"/>
      <c r="FB315" s="55"/>
      <c r="FC315" s="55"/>
      <c r="FD315" s="55"/>
      <c r="FE315" s="55"/>
      <c r="FF315" s="55"/>
      <c r="FG315" s="55"/>
      <c r="FH315" s="55"/>
      <c r="FI315" s="55"/>
      <c r="FJ315" s="55"/>
      <c r="FK315" s="55"/>
      <c r="FL315" s="55"/>
      <c r="FM315" s="55"/>
      <c r="FN315" s="55"/>
      <c r="FO315" s="55"/>
      <c r="FP315" s="55"/>
      <c r="FQ315" s="55"/>
      <c r="FR315" s="55"/>
      <c r="FS315" s="55"/>
      <c r="FT315" s="55"/>
      <c r="FU315" s="55"/>
      <c r="FV315" s="55"/>
      <c r="FW315" s="55"/>
      <c r="FX315" s="55"/>
      <c r="FY315" s="55"/>
      <c r="FZ315" s="55"/>
      <c r="GA315" s="55"/>
      <c r="GB315" s="55"/>
      <c r="GC315" s="55"/>
      <c r="GD315" s="55"/>
      <c r="GE315" s="55"/>
      <c r="GF315" s="55"/>
      <c r="GG315" s="55"/>
      <c r="GH315" s="55"/>
      <c r="GI315" s="55"/>
      <c r="GJ315" s="55"/>
      <c r="GK315" s="55"/>
      <c r="GL315" s="55"/>
      <c r="GM315" s="55"/>
      <c r="GN315" s="55"/>
      <c r="GO315" s="55"/>
      <c r="GP315" s="55"/>
      <c r="GQ315" s="55"/>
      <c r="GR315" s="55"/>
      <c r="GS315" s="55"/>
      <c r="GT315" s="55"/>
      <c r="GU315" s="55"/>
      <c r="GV315" s="55"/>
      <c r="GW315" s="55"/>
      <c r="GX315" s="55"/>
      <c r="GY315" s="55"/>
      <c r="GZ315" s="55"/>
      <c r="HA315" s="55"/>
      <c r="HB315" s="55"/>
      <c r="HC315" s="55"/>
      <c r="HD315" s="55"/>
      <c r="HE315" s="55"/>
      <c r="HF315" s="55"/>
      <c r="HG315" s="55"/>
      <c r="HH315" s="55"/>
      <c r="HI315" s="55"/>
      <c r="HJ315" s="55"/>
      <c r="HK315" s="55"/>
      <c r="HL315" s="55"/>
      <c r="HM315" s="55"/>
      <c r="HN315" s="55"/>
      <c r="HO315" s="55"/>
      <c r="HP315" s="55"/>
      <c r="HQ315" s="55"/>
      <c r="HR315" s="55"/>
      <c r="HS315" s="55"/>
      <c r="HT315" s="55"/>
      <c r="HU315" s="55"/>
      <c r="HV315" s="55"/>
      <c r="HW315" s="55"/>
      <c r="HX315" s="55"/>
      <c r="HY315" s="55"/>
      <c r="HZ315" s="55"/>
      <c r="IA315" s="55"/>
      <c r="IB315" s="55"/>
      <c r="IC315" s="55"/>
      <c r="ID315" s="55"/>
    </row>
    <row r="316" s="52" customFormat="1" ht="36" customHeight="1" spans="1:238">
      <c r="A316" s="112" t="s">
        <v>95</v>
      </c>
      <c r="B316" s="112" t="s">
        <v>1249</v>
      </c>
      <c r="C316" s="64" t="s">
        <v>1250</v>
      </c>
      <c r="D316" s="65"/>
      <c r="E316" s="77" t="s">
        <v>1251</v>
      </c>
      <c r="F316" s="77"/>
      <c r="G316" s="64" t="s">
        <v>110</v>
      </c>
      <c r="H316" s="78">
        <v>480</v>
      </c>
      <c r="I316" s="78">
        <v>433</v>
      </c>
      <c r="J316" s="83"/>
      <c r="K316" s="83"/>
      <c r="L316" s="83"/>
      <c r="M316" s="41">
        <v>422</v>
      </c>
      <c r="N316" s="41">
        <v>380</v>
      </c>
      <c r="O316" s="41">
        <v>322</v>
      </c>
      <c r="P316" s="64" t="s">
        <v>37</v>
      </c>
      <c r="Q316" s="64" t="s">
        <v>35</v>
      </c>
      <c r="R316" s="64" t="s">
        <v>35</v>
      </c>
      <c r="S316" s="83"/>
      <c r="T316" s="77"/>
      <c r="U316" s="105" t="s">
        <v>1252</v>
      </c>
      <c r="V316" s="105">
        <v>330401018</v>
      </c>
      <c r="W316" s="106" t="s">
        <v>1253</v>
      </c>
      <c r="X316" s="105" t="s">
        <v>1254</v>
      </c>
      <c r="Y316" s="105"/>
      <c r="Z316" s="105" t="s">
        <v>36</v>
      </c>
      <c r="AA316" s="110" t="s">
        <v>35</v>
      </c>
      <c r="AB316" s="50">
        <v>375</v>
      </c>
      <c r="AC316" s="50">
        <v>360</v>
      </c>
      <c r="AD316" s="50">
        <v>306</v>
      </c>
      <c r="AE316" s="112" t="s">
        <v>37</v>
      </c>
      <c r="AF316" s="60"/>
      <c r="AG316" s="55"/>
      <c r="AH316" s="55"/>
      <c r="AI316" s="55"/>
      <c r="AJ316" s="55"/>
      <c r="AK316" s="55"/>
      <c r="AL316" s="55"/>
      <c r="AM316" s="55"/>
      <c r="AN316" s="55"/>
      <c r="AO316" s="55"/>
      <c r="AP316" s="55"/>
      <c r="AQ316" s="55"/>
      <c r="AR316" s="55"/>
      <c r="AS316" s="55"/>
      <c r="AT316" s="55"/>
      <c r="AU316" s="55"/>
      <c r="AV316" s="55"/>
      <c r="AW316" s="55"/>
      <c r="AX316" s="55"/>
      <c r="AY316" s="55"/>
      <c r="AZ316" s="55"/>
      <c r="BA316" s="55"/>
      <c r="BB316" s="55"/>
      <c r="BC316" s="55"/>
      <c r="BD316" s="55"/>
      <c r="BE316" s="55"/>
      <c r="BF316" s="55"/>
      <c r="BG316" s="55"/>
      <c r="BH316" s="55"/>
      <c r="BI316" s="55"/>
      <c r="BJ316" s="55"/>
      <c r="BK316" s="55"/>
      <c r="BL316" s="55"/>
      <c r="BM316" s="55"/>
      <c r="BN316" s="55"/>
      <c r="BO316" s="55"/>
      <c r="BP316" s="55"/>
      <c r="BQ316" s="55"/>
      <c r="BR316" s="55"/>
      <c r="BS316" s="55"/>
      <c r="BT316" s="55"/>
      <c r="BU316" s="55"/>
      <c r="BV316" s="55"/>
      <c r="BW316" s="55"/>
      <c r="BX316" s="55"/>
      <c r="BY316" s="55"/>
      <c r="BZ316" s="55"/>
      <c r="CA316" s="55"/>
      <c r="CB316" s="55"/>
      <c r="CC316" s="55"/>
      <c r="CD316" s="55"/>
      <c r="CE316" s="55"/>
      <c r="CF316" s="55"/>
      <c r="CG316" s="55"/>
      <c r="CH316" s="55"/>
      <c r="CI316" s="55"/>
      <c r="CJ316" s="55"/>
      <c r="CK316" s="55"/>
      <c r="CL316" s="55"/>
      <c r="CM316" s="55"/>
      <c r="CN316" s="55"/>
      <c r="CO316" s="55"/>
      <c r="CP316" s="55"/>
      <c r="CQ316" s="55"/>
      <c r="CR316" s="55"/>
      <c r="CS316" s="55"/>
      <c r="CT316" s="55"/>
      <c r="CU316" s="55"/>
      <c r="CV316" s="55"/>
      <c r="CW316" s="55"/>
      <c r="CX316" s="55"/>
      <c r="CY316" s="55"/>
      <c r="CZ316" s="55"/>
      <c r="DA316" s="55"/>
      <c r="DB316" s="55"/>
      <c r="DC316" s="55"/>
      <c r="DD316" s="55"/>
      <c r="DE316" s="55"/>
      <c r="DF316" s="55"/>
      <c r="DG316" s="55"/>
      <c r="DH316" s="55"/>
      <c r="DI316" s="55"/>
      <c r="DJ316" s="55"/>
      <c r="DK316" s="55"/>
      <c r="DL316" s="55"/>
      <c r="DM316" s="55"/>
      <c r="DN316" s="55"/>
      <c r="DO316" s="55"/>
      <c r="DP316" s="55"/>
      <c r="DQ316" s="55"/>
      <c r="DR316" s="55"/>
      <c r="DS316" s="55"/>
      <c r="DT316" s="55"/>
      <c r="DU316" s="55"/>
      <c r="DV316" s="55"/>
      <c r="DW316" s="55"/>
      <c r="DX316" s="55"/>
      <c r="DY316" s="55"/>
      <c r="DZ316" s="55"/>
      <c r="EA316" s="55"/>
      <c r="EB316" s="55"/>
      <c r="EC316" s="55"/>
      <c r="ED316" s="55"/>
      <c r="EE316" s="55"/>
      <c r="EF316" s="55"/>
      <c r="EG316" s="55"/>
      <c r="EH316" s="55"/>
      <c r="EI316" s="55"/>
      <c r="EJ316" s="55"/>
      <c r="EK316" s="55"/>
      <c r="EL316" s="55"/>
      <c r="EM316" s="55"/>
      <c r="EN316" s="55"/>
      <c r="EO316" s="55"/>
      <c r="EP316" s="55"/>
      <c r="EQ316" s="55"/>
      <c r="ER316" s="55"/>
      <c r="ES316" s="55"/>
      <c r="ET316" s="55"/>
      <c r="EU316" s="55"/>
      <c r="EV316" s="55"/>
      <c r="EW316" s="55"/>
      <c r="EX316" s="55"/>
      <c r="EY316" s="55"/>
      <c r="EZ316" s="55"/>
      <c r="FA316" s="55"/>
      <c r="FB316" s="55"/>
      <c r="FC316" s="55"/>
      <c r="FD316" s="55"/>
      <c r="FE316" s="55"/>
      <c r="FF316" s="55"/>
      <c r="FG316" s="55"/>
      <c r="FH316" s="55"/>
      <c r="FI316" s="55"/>
      <c r="FJ316" s="55"/>
      <c r="FK316" s="55"/>
      <c r="FL316" s="55"/>
      <c r="FM316" s="55"/>
      <c r="FN316" s="55"/>
      <c r="FO316" s="55"/>
      <c r="FP316" s="55"/>
      <c r="FQ316" s="55"/>
      <c r="FR316" s="55"/>
      <c r="FS316" s="55"/>
      <c r="FT316" s="55"/>
      <c r="FU316" s="55"/>
      <c r="FV316" s="55"/>
      <c r="FW316" s="55"/>
      <c r="FX316" s="55"/>
      <c r="FY316" s="55"/>
      <c r="FZ316" s="55"/>
      <c r="GA316" s="55"/>
      <c r="GB316" s="55"/>
      <c r="GC316" s="55"/>
      <c r="GD316" s="55"/>
      <c r="GE316" s="55"/>
      <c r="GF316" s="55"/>
      <c r="GG316" s="55"/>
      <c r="GH316" s="55"/>
      <c r="GI316" s="55"/>
      <c r="GJ316" s="55"/>
      <c r="GK316" s="55"/>
      <c r="GL316" s="55"/>
      <c r="GM316" s="55"/>
      <c r="GN316" s="55"/>
      <c r="GO316" s="55"/>
      <c r="GP316" s="55"/>
      <c r="GQ316" s="55"/>
      <c r="GR316" s="55"/>
      <c r="GS316" s="55"/>
      <c r="GT316" s="55"/>
      <c r="GU316" s="55"/>
      <c r="GV316" s="55"/>
      <c r="GW316" s="55"/>
      <c r="GX316" s="55"/>
      <c r="GY316" s="55"/>
      <c r="GZ316" s="55"/>
      <c r="HA316" s="55"/>
      <c r="HB316" s="55"/>
      <c r="HC316" s="55"/>
      <c r="HD316" s="55"/>
      <c r="HE316" s="55"/>
      <c r="HF316" s="55"/>
      <c r="HG316" s="55"/>
      <c r="HH316" s="55"/>
      <c r="HI316" s="55"/>
      <c r="HJ316" s="55"/>
      <c r="HK316" s="55"/>
      <c r="HL316" s="55"/>
      <c r="HM316" s="55"/>
      <c r="HN316" s="55"/>
      <c r="HO316" s="55"/>
      <c r="HP316" s="55"/>
      <c r="HQ316" s="55"/>
      <c r="HR316" s="55"/>
      <c r="HS316" s="55"/>
      <c r="HT316" s="55"/>
      <c r="HU316" s="55"/>
      <c r="HV316" s="55"/>
      <c r="HW316" s="55"/>
      <c r="HX316" s="55"/>
      <c r="HY316" s="55"/>
      <c r="HZ316" s="55"/>
      <c r="IA316" s="55"/>
      <c r="IB316" s="55"/>
      <c r="IC316" s="55"/>
      <c r="ID316" s="55"/>
    </row>
    <row r="317" s="52" customFormat="1" ht="36" customHeight="1" spans="1:238">
      <c r="A317" s="112"/>
      <c r="B317" s="112"/>
      <c r="C317" s="64"/>
      <c r="D317" s="65"/>
      <c r="E317" s="77"/>
      <c r="F317" s="77"/>
      <c r="G317" s="64"/>
      <c r="H317" s="42"/>
      <c r="I317" s="42"/>
      <c r="J317" s="83"/>
      <c r="K317" s="83"/>
      <c r="L317" s="83"/>
      <c r="M317" s="41"/>
      <c r="N317" s="41"/>
      <c r="O317" s="41"/>
      <c r="P317" s="64"/>
      <c r="Q317" s="64"/>
      <c r="R317" s="64"/>
      <c r="S317" s="83"/>
      <c r="T317" s="77"/>
      <c r="U317" s="105" t="s">
        <v>1255</v>
      </c>
      <c r="V317" s="105">
        <v>33040101801</v>
      </c>
      <c r="W317" s="106" t="s">
        <v>1256</v>
      </c>
      <c r="X317" s="105"/>
      <c r="Y317" s="105"/>
      <c r="Z317" s="105" t="s">
        <v>36</v>
      </c>
      <c r="AA317" s="110" t="s">
        <v>35</v>
      </c>
      <c r="AB317" s="50">
        <v>490</v>
      </c>
      <c r="AC317" s="50">
        <v>470</v>
      </c>
      <c r="AD317" s="50">
        <v>400</v>
      </c>
      <c r="AE317" s="112" t="s">
        <v>37</v>
      </c>
      <c r="AF317" s="60"/>
      <c r="AG317" s="55"/>
      <c r="AH317" s="55"/>
      <c r="AI317" s="55"/>
      <c r="AJ317" s="55"/>
      <c r="AK317" s="55"/>
      <c r="AL317" s="55"/>
      <c r="AM317" s="55"/>
      <c r="AN317" s="55"/>
      <c r="AO317" s="55"/>
      <c r="AP317" s="55"/>
      <c r="AQ317" s="55"/>
      <c r="AR317" s="55"/>
      <c r="AS317" s="55"/>
      <c r="AT317" s="55"/>
      <c r="AU317" s="55"/>
      <c r="AV317" s="55"/>
      <c r="AW317" s="55"/>
      <c r="AX317" s="55"/>
      <c r="AY317" s="55"/>
      <c r="AZ317" s="55"/>
      <c r="BA317" s="55"/>
      <c r="BB317" s="55"/>
      <c r="BC317" s="55"/>
      <c r="BD317" s="55"/>
      <c r="BE317" s="55"/>
      <c r="BF317" s="55"/>
      <c r="BG317" s="55"/>
      <c r="BH317" s="55"/>
      <c r="BI317" s="55"/>
      <c r="BJ317" s="55"/>
      <c r="BK317" s="55"/>
      <c r="BL317" s="55"/>
      <c r="BM317" s="55"/>
      <c r="BN317" s="55"/>
      <c r="BO317" s="55"/>
      <c r="BP317" s="55"/>
      <c r="BQ317" s="55"/>
      <c r="BR317" s="55"/>
      <c r="BS317" s="55"/>
      <c r="BT317" s="55"/>
      <c r="BU317" s="55"/>
      <c r="BV317" s="55"/>
      <c r="BW317" s="55"/>
      <c r="BX317" s="55"/>
      <c r="BY317" s="55"/>
      <c r="BZ317" s="55"/>
      <c r="CA317" s="55"/>
      <c r="CB317" s="55"/>
      <c r="CC317" s="55"/>
      <c r="CD317" s="55"/>
      <c r="CE317" s="55"/>
      <c r="CF317" s="55"/>
      <c r="CG317" s="55"/>
      <c r="CH317" s="55"/>
      <c r="CI317" s="55"/>
      <c r="CJ317" s="55"/>
      <c r="CK317" s="55"/>
      <c r="CL317" s="55"/>
      <c r="CM317" s="55"/>
      <c r="CN317" s="55"/>
      <c r="CO317" s="55"/>
      <c r="CP317" s="55"/>
      <c r="CQ317" s="55"/>
      <c r="CR317" s="55"/>
      <c r="CS317" s="55"/>
      <c r="CT317" s="55"/>
      <c r="CU317" s="55"/>
      <c r="CV317" s="55"/>
      <c r="CW317" s="55"/>
      <c r="CX317" s="55"/>
      <c r="CY317" s="55"/>
      <c r="CZ317" s="55"/>
      <c r="DA317" s="55"/>
      <c r="DB317" s="55"/>
      <c r="DC317" s="55"/>
      <c r="DD317" s="55"/>
      <c r="DE317" s="55"/>
      <c r="DF317" s="55"/>
      <c r="DG317" s="55"/>
      <c r="DH317" s="55"/>
      <c r="DI317" s="55"/>
      <c r="DJ317" s="55"/>
      <c r="DK317" s="55"/>
      <c r="DL317" s="55"/>
      <c r="DM317" s="55"/>
      <c r="DN317" s="55"/>
      <c r="DO317" s="55"/>
      <c r="DP317" s="55"/>
      <c r="DQ317" s="55"/>
      <c r="DR317" s="55"/>
      <c r="DS317" s="55"/>
      <c r="DT317" s="55"/>
      <c r="DU317" s="55"/>
      <c r="DV317" s="55"/>
      <c r="DW317" s="55"/>
      <c r="DX317" s="55"/>
      <c r="DY317" s="55"/>
      <c r="DZ317" s="55"/>
      <c r="EA317" s="55"/>
      <c r="EB317" s="55"/>
      <c r="EC317" s="55"/>
      <c r="ED317" s="55"/>
      <c r="EE317" s="55"/>
      <c r="EF317" s="55"/>
      <c r="EG317" s="55"/>
      <c r="EH317" s="55"/>
      <c r="EI317" s="55"/>
      <c r="EJ317" s="55"/>
      <c r="EK317" s="55"/>
      <c r="EL317" s="55"/>
      <c r="EM317" s="55"/>
      <c r="EN317" s="55"/>
      <c r="EO317" s="55"/>
      <c r="EP317" s="55"/>
      <c r="EQ317" s="55"/>
      <c r="ER317" s="55"/>
      <c r="ES317" s="55"/>
      <c r="ET317" s="55"/>
      <c r="EU317" s="55"/>
      <c r="EV317" s="55"/>
      <c r="EW317" s="55"/>
      <c r="EX317" s="55"/>
      <c r="EY317" s="55"/>
      <c r="EZ317" s="55"/>
      <c r="FA317" s="55"/>
      <c r="FB317" s="55"/>
      <c r="FC317" s="55"/>
      <c r="FD317" s="55"/>
      <c r="FE317" s="55"/>
      <c r="FF317" s="55"/>
      <c r="FG317" s="55"/>
      <c r="FH317" s="55"/>
      <c r="FI317" s="55"/>
      <c r="FJ317" s="55"/>
      <c r="FK317" s="55"/>
      <c r="FL317" s="55"/>
      <c r="FM317" s="55"/>
      <c r="FN317" s="55"/>
      <c r="FO317" s="55"/>
      <c r="FP317" s="55"/>
      <c r="FQ317" s="55"/>
      <c r="FR317" s="55"/>
      <c r="FS317" s="55"/>
      <c r="FT317" s="55"/>
      <c r="FU317" s="55"/>
      <c r="FV317" s="55"/>
      <c r="FW317" s="55"/>
      <c r="FX317" s="55"/>
      <c r="FY317" s="55"/>
      <c r="FZ317" s="55"/>
      <c r="GA317" s="55"/>
      <c r="GB317" s="55"/>
      <c r="GC317" s="55"/>
      <c r="GD317" s="55"/>
      <c r="GE317" s="55"/>
      <c r="GF317" s="55"/>
      <c r="GG317" s="55"/>
      <c r="GH317" s="55"/>
      <c r="GI317" s="55"/>
      <c r="GJ317" s="55"/>
      <c r="GK317" s="55"/>
      <c r="GL317" s="55"/>
      <c r="GM317" s="55"/>
      <c r="GN317" s="55"/>
      <c r="GO317" s="55"/>
      <c r="GP317" s="55"/>
      <c r="GQ317" s="55"/>
      <c r="GR317" s="55"/>
      <c r="GS317" s="55"/>
      <c r="GT317" s="55"/>
      <c r="GU317" s="55"/>
      <c r="GV317" s="55"/>
      <c r="GW317" s="55"/>
      <c r="GX317" s="55"/>
      <c r="GY317" s="55"/>
      <c r="GZ317" s="55"/>
      <c r="HA317" s="55"/>
      <c r="HB317" s="55"/>
      <c r="HC317" s="55"/>
      <c r="HD317" s="55"/>
      <c r="HE317" s="55"/>
      <c r="HF317" s="55"/>
      <c r="HG317" s="55"/>
      <c r="HH317" s="55"/>
      <c r="HI317" s="55"/>
      <c r="HJ317" s="55"/>
      <c r="HK317" s="55"/>
      <c r="HL317" s="55"/>
      <c r="HM317" s="55"/>
      <c r="HN317" s="55"/>
      <c r="HO317" s="55"/>
      <c r="HP317" s="55"/>
      <c r="HQ317" s="55"/>
      <c r="HR317" s="55"/>
      <c r="HS317" s="55"/>
      <c r="HT317" s="55"/>
      <c r="HU317" s="55"/>
      <c r="HV317" s="55"/>
      <c r="HW317" s="55"/>
      <c r="HX317" s="55"/>
      <c r="HY317" s="55"/>
      <c r="HZ317" s="55"/>
      <c r="IA317" s="55"/>
      <c r="IB317" s="55"/>
      <c r="IC317" s="55"/>
      <c r="ID317" s="55"/>
    </row>
    <row r="318" s="52" customFormat="1" ht="35" customHeight="1" spans="1:238">
      <c r="A318" s="112">
        <v>85</v>
      </c>
      <c r="B318" s="112" t="s">
        <v>1257</v>
      </c>
      <c r="C318" s="64" t="s">
        <v>1258</v>
      </c>
      <c r="D318" s="65" t="s">
        <v>1259</v>
      </c>
      <c r="E318" s="77" t="s">
        <v>1260</v>
      </c>
      <c r="F318" s="77" t="s">
        <v>1261</v>
      </c>
      <c r="G318" s="64" t="s">
        <v>110</v>
      </c>
      <c r="H318" s="78">
        <v>1150</v>
      </c>
      <c r="I318" s="78">
        <v>1035</v>
      </c>
      <c r="J318" s="83">
        <v>1010</v>
      </c>
      <c r="K318" s="83">
        <v>910</v>
      </c>
      <c r="L318" s="83">
        <v>775</v>
      </c>
      <c r="M318" s="41">
        <v>1010</v>
      </c>
      <c r="N318" s="41">
        <v>910</v>
      </c>
      <c r="O318" s="41">
        <v>775</v>
      </c>
      <c r="P318" s="64" t="s">
        <v>37</v>
      </c>
      <c r="Q318" s="64" t="s">
        <v>35</v>
      </c>
      <c r="R318" s="64" t="s">
        <v>35</v>
      </c>
      <c r="S318" s="83" t="s">
        <v>381</v>
      </c>
      <c r="T318" s="77" t="s">
        <v>381</v>
      </c>
      <c r="U318" s="105" t="s">
        <v>1262</v>
      </c>
      <c r="V318" s="105">
        <v>330403004</v>
      </c>
      <c r="W318" s="106" t="s">
        <v>1263</v>
      </c>
      <c r="X318" s="105"/>
      <c r="Y318" s="105" t="s">
        <v>1264</v>
      </c>
      <c r="Z318" s="105" t="s">
        <v>36</v>
      </c>
      <c r="AA318" s="110" t="s">
        <v>35</v>
      </c>
      <c r="AB318" s="50">
        <v>1010</v>
      </c>
      <c r="AC318" s="50">
        <v>910</v>
      </c>
      <c r="AD318" s="50">
        <v>775</v>
      </c>
      <c r="AE318" s="112" t="s">
        <v>37</v>
      </c>
      <c r="AF318" s="60"/>
      <c r="AG318" s="55"/>
      <c r="AH318" s="55"/>
      <c r="AI318" s="55"/>
      <c r="AJ318" s="55"/>
      <c r="AK318" s="55"/>
      <c r="AL318" s="55"/>
      <c r="AM318" s="55"/>
      <c r="AN318" s="55"/>
      <c r="AO318" s="55"/>
      <c r="AP318" s="55"/>
      <c r="AQ318" s="55"/>
      <c r="AR318" s="55"/>
      <c r="AS318" s="55"/>
      <c r="AT318" s="55"/>
      <c r="AU318" s="55"/>
      <c r="AV318" s="55"/>
      <c r="AW318" s="55"/>
      <c r="AX318" s="55"/>
      <c r="AY318" s="55"/>
      <c r="AZ318" s="55"/>
      <c r="BA318" s="55"/>
      <c r="BB318" s="55"/>
      <c r="BC318" s="55"/>
      <c r="BD318" s="55"/>
      <c r="BE318" s="55"/>
      <c r="BF318" s="55"/>
      <c r="BG318" s="55"/>
      <c r="BH318" s="55"/>
      <c r="BI318" s="55"/>
      <c r="BJ318" s="55"/>
      <c r="BK318" s="55"/>
      <c r="BL318" s="55"/>
      <c r="BM318" s="55"/>
      <c r="BN318" s="55"/>
      <c r="BO318" s="55"/>
      <c r="BP318" s="55"/>
      <c r="BQ318" s="55"/>
      <c r="BR318" s="55"/>
      <c r="BS318" s="55"/>
      <c r="BT318" s="55"/>
      <c r="BU318" s="55"/>
      <c r="BV318" s="55"/>
      <c r="BW318" s="55"/>
      <c r="BX318" s="55"/>
      <c r="BY318" s="55"/>
      <c r="BZ318" s="55"/>
      <c r="CA318" s="55"/>
      <c r="CB318" s="55"/>
      <c r="CC318" s="55"/>
      <c r="CD318" s="55"/>
      <c r="CE318" s="55"/>
      <c r="CF318" s="55"/>
      <c r="CG318" s="55"/>
      <c r="CH318" s="55"/>
      <c r="CI318" s="55"/>
      <c r="CJ318" s="55"/>
      <c r="CK318" s="55"/>
      <c r="CL318" s="55"/>
      <c r="CM318" s="55"/>
      <c r="CN318" s="55"/>
      <c r="CO318" s="55"/>
      <c r="CP318" s="55"/>
      <c r="CQ318" s="55"/>
      <c r="CR318" s="55"/>
      <c r="CS318" s="55"/>
      <c r="CT318" s="55"/>
      <c r="CU318" s="55"/>
      <c r="CV318" s="55"/>
      <c r="CW318" s="55"/>
      <c r="CX318" s="55"/>
      <c r="CY318" s="55"/>
      <c r="CZ318" s="55"/>
      <c r="DA318" s="55"/>
      <c r="DB318" s="55"/>
      <c r="DC318" s="55"/>
      <c r="DD318" s="55"/>
      <c r="DE318" s="55"/>
      <c r="DF318" s="55"/>
      <c r="DG318" s="55"/>
      <c r="DH318" s="55"/>
      <c r="DI318" s="55"/>
      <c r="DJ318" s="55"/>
      <c r="DK318" s="55"/>
      <c r="DL318" s="55"/>
      <c r="DM318" s="55"/>
      <c r="DN318" s="55"/>
      <c r="DO318" s="55"/>
      <c r="DP318" s="55"/>
      <c r="DQ318" s="55"/>
      <c r="DR318" s="55"/>
      <c r="DS318" s="55"/>
      <c r="DT318" s="55"/>
      <c r="DU318" s="55"/>
      <c r="DV318" s="55"/>
      <c r="DW318" s="55"/>
      <c r="DX318" s="55"/>
      <c r="DY318" s="55"/>
      <c r="DZ318" s="55"/>
      <c r="EA318" s="55"/>
      <c r="EB318" s="55"/>
      <c r="EC318" s="55"/>
      <c r="ED318" s="55"/>
      <c r="EE318" s="55"/>
      <c r="EF318" s="55"/>
      <c r="EG318" s="55"/>
      <c r="EH318" s="55"/>
      <c r="EI318" s="55"/>
      <c r="EJ318" s="55"/>
      <c r="EK318" s="55"/>
      <c r="EL318" s="55"/>
      <c r="EM318" s="55"/>
      <c r="EN318" s="55"/>
      <c r="EO318" s="55"/>
      <c r="EP318" s="55"/>
      <c r="EQ318" s="55"/>
      <c r="ER318" s="55"/>
      <c r="ES318" s="55"/>
      <c r="ET318" s="55"/>
      <c r="EU318" s="55"/>
      <c r="EV318" s="55"/>
      <c r="EW318" s="55"/>
      <c r="EX318" s="55"/>
      <c r="EY318" s="55"/>
      <c r="EZ318" s="55"/>
      <c r="FA318" s="55"/>
      <c r="FB318" s="55"/>
      <c r="FC318" s="55"/>
      <c r="FD318" s="55"/>
      <c r="FE318" s="55"/>
      <c r="FF318" s="55"/>
      <c r="FG318" s="55"/>
      <c r="FH318" s="55"/>
      <c r="FI318" s="55"/>
      <c r="FJ318" s="55"/>
      <c r="FK318" s="55"/>
      <c r="FL318" s="55"/>
      <c r="FM318" s="55"/>
      <c r="FN318" s="55"/>
      <c r="FO318" s="55"/>
      <c r="FP318" s="55"/>
      <c r="FQ318" s="55"/>
      <c r="FR318" s="55"/>
      <c r="FS318" s="55"/>
      <c r="FT318" s="55"/>
      <c r="FU318" s="55"/>
      <c r="FV318" s="55"/>
      <c r="FW318" s="55"/>
      <c r="FX318" s="55"/>
      <c r="FY318" s="55"/>
      <c r="FZ318" s="55"/>
      <c r="GA318" s="55"/>
      <c r="GB318" s="55"/>
      <c r="GC318" s="55"/>
      <c r="GD318" s="55"/>
      <c r="GE318" s="55"/>
      <c r="GF318" s="55"/>
      <c r="GG318" s="55"/>
      <c r="GH318" s="55"/>
      <c r="GI318" s="55"/>
      <c r="GJ318" s="55"/>
      <c r="GK318" s="55"/>
      <c r="GL318" s="55"/>
      <c r="GM318" s="55"/>
      <c r="GN318" s="55"/>
      <c r="GO318" s="55"/>
      <c r="GP318" s="55"/>
      <c r="GQ318" s="55"/>
      <c r="GR318" s="55"/>
      <c r="GS318" s="55"/>
      <c r="GT318" s="55"/>
      <c r="GU318" s="55"/>
      <c r="GV318" s="55"/>
      <c r="GW318" s="55"/>
      <c r="GX318" s="55"/>
      <c r="GY318" s="55"/>
      <c r="GZ318" s="55"/>
      <c r="HA318" s="55"/>
      <c r="HB318" s="55"/>
      <c r="HC318" s="55"/>
      <c r="HD318" s="55"/>
      <c r="HE318" s="55"/>
      <c r="HF318" s="55"/>
      <c r="HG318" s="55"/>
      <c r="HH318" s="55"/>
      <c r="HI318" s="55"/>
      <c r="HJ318" s="55"/>
      <c r="HK318" s="55"/>
      <c r="HL318" s="55"/>
      <c r="HM318" s="55"/>
      <c r="HN318" s="55"/>
      <c r="HO318" s="55"/>
      <c r="HP318" s="55"/>
      <c r="HQ318" s="55"/>
      <c r="HR318" s="55"/>
      <c r="HS318" s="55"/>
      <c r="HT318" s="55"/>
      <c r="HU318" s="55"/>
      <c r="HV318" s="55"/>
      <c r="HW318" s="55"/>
      <c r="HX318" s="55"/>
      <c r="HY318" s="55"/>
      <c r="HZ318" s="55"/>
      <c r="IA318" s="55"/>
      <c r="IB318" s="55"/>
      <c r="IC318" s="55"/>
      <c r="ID318" s="55"/>
    </row>
    <row r="319" s="52" customFormat="1" ht="25.5" spans="1:238">
      <c r="A319" s="112" t="s">
        <v>95</v>
      </c>
      <c r="B319" s="112" t="s">
        <v>1265</v>
      </c>
      <c r="C319" s="64" t="s">
        <v>1266</v>
      </c>
      <c r="D319" s="65"/>
      <c r="E319" s="77"/>
      <c r="F319" s="77" t="s">
        <v>35</v>
      </c>
      <c r="G319" s="64" t="s">
        <v>110</v>
      </c>
      <c r="H319" s="78">
        <v>345</v>
      </c>
      <c r="I319" s="78">
        <v>311</v>
      </c>
      <c r="J319" s="83">
        <v>305</v>
      </c>
      <c r="K319" s="83">
        <v>275</v>
      </c>
      <c r="L319" s="83">
        <v>230</v>
      </c>
      <c r="M319" s="41">
        <v>305</v>
      </c>
      <c r="N319" s="41">
        <v>275</v>
      </c>
      <c r="O319" s="41">
        <v>230</v>
      </c>
      <c r="P319" s="64" t="s">
        <v>37</v>
      </c>
      <c r="Q319" s="64" t="s">
        <v>35</v>
      </c>
      <c r="R319" s="64" t="s">
        <v>35</v>
      </c>
      <c r="S319" s="83"/>
      <c r="T319" s="77" t="s">
        <v>186</v>
      </c>
      <c r="U319" s="105" t="s">
        <v>1267</v>
      </c>
      <c r="V319" s="105">
        <v>33040300401</v>
      </c>
      <c r="W319" s="106" t="s">
        <v>1268</v>
      </c>
      <c r="X319" s="105"/>
      <c r="Y319" s="105"/>
      <c r="Z319" s="105" t="s">
        <v>36</v>
      </c>
      <c r="AA319" s="110" t="s">
        <v>35</v>
      </c>
      <c r="AB319" s="50">
        <v>1315</v>
      </c>
      <c r="AC319" s="50">
        <v>1185</v>
      </c>
      <c r="AD319" s="50">
        <v>1005</v>
      </c>
      <c r="AE319" s="112"/>
      <c r="AF319" s="60"/>
      <c r="AG319" s="55"/>
      <c r="AH319" s="55"/>
      <c r="AI319" s="55"/>
      <c r="AJ319" s="55"/>
      <c r="AK319" s="55"/>
      <c r="AL319" s="55"/>
      <c r="AM319" s="55"/>
      <c r="AN319" s="55"/>
      <c r="AO319" s="55"/>
      <c r="AP319" s="55"/>
      <c r="AQ319" s="55"/>
      <c r="AR319" s="55"/>
      <c r="AS319" s="55"/>
      <c r="AT319" s="55"/>
      <c r="AU319" s="55"/>
      <c r="AV319" s="55"/>
      <c r="AW319" s="55"/>
      <c r="AX319" s="55"/>
      <c r="AY319" s="55"/>
      <c r="AZ319" s="55"/>
      <c r="BA319" s="55"/>
      <c r="BB319" s="55"/>
      <c r="BC319" s="55"/>
      <c r="BD319" s="55"/>
      <c r="BE319" s="55"/>
      <c r="BF319" s="55"/>
      <c r="BG319" s="55"/>
      <c r="BH319" s="55"/>
      <c r="BI319" s="55"/>
      <c r="BJ319" s="55"/>
      <c r="BK319" s="55"/>
      <c r="BL319" s="55"/>
      <c r="BM319" s="55"/>
      <c r="BN319" s="55"/>
      <c r="BO319" s="55"/>
      <c r="BP319" s="55"/>
      <c r="BQ319" s="55"/>
      <c r="BR319" s="55"/>
      <c r="BS319" s="55"/>
      <c r="BT319" s="55"/>
      <c r="BU319" s="55"/>
      <c r="BV319" s="55"/>
      <c r="BW319" s="55"/>
      <c r="BX319" s="55"/>
      <c r="BY319" s="55"/>
      <c r="BZ319" s="55"/>
      <c r="CA319" s="55"/>
      <c r="CB319" s="55"/>
      <c r="CC319" s="55"/>
      <c r="CD319" s="55"/>
      <c r="CE319" s="55"/>
      <c r="CF319" s="55"/>
      <c r="CG319" s="55"/>
      <c r="CH319" s="55"/>
      <c r="CI319" s="55"/>
      <c r="CJ319" s="55"/>
      <c r="CK319" s="55"/>
      <c r="CL319" s="55"/>
      <c r="CM319" s="55"/>
      <c r="CN319" s="55"/>
      <c r="CO319" s="55"/>
      <c r="CP319" s="55"/>
      <c r="CQ319" s="55"/>
      <c r="CR319" s="55"/>
      <c r="CS319" s="55"/>
      <c r="CT319" s="55"/>
      <c r="CU319" s="55"/>
      <c r="CV319" s="55"/>
      <c r="CW319" s="55"/>
      <c r="CX319" s="55"/>
      <c r="CY319" s="55"/>
      <c r="CZ319" s="55"/>
      <c r="DA319" s="55"/>
      <c r="DB319" s="55"/>
      <c r="DC319" s="55"/>
      <c r="DD319" s="55"/>
      <c r="DE319" s="55"/>
      <c r="DF319" s="55"/>
      <c r="DG319" s="55"/>
      <c r="DH319" s="55"/>
      <c r="DI319" s="55"/>
      <c r="DJ319" s="55"/>
      <c r="DK319" s="55"/>
      <c r="DL319" s="55"/>
      <c r="DM319" s="55"/>
      <c r="DN319" s="55"/>
      <c r="DO319" s="55"/>
      <c r="DP319" s="55"/>
      <c r="DQ319" s="55"/>
      <c r="DR319" s="55"/>
      <c r="DS319" s="55"/>
      <c r="DT319" s="55"/>
      <c r="DU319" s="55"/>
      <c r="DV319" s="55"/>
      <c r="DW319" s="55"/>
      <c r="DX319" s="55"/>
      <c r="DY319" s="55"/>
      <c r="DZ319" s="55"/>
      <c r="EA319" s="55"/>
      <c r="EB319" s="55"/>
      <c r="EC319" s="55"/>
      <c r="ED319" s="55"/>
      <c r="EE319" s="55"/>
      <c r="EF319" s="55"/>
      <c r="EG319" s="55"/>
      <c r="EH319" s="55"/>
      <c r="EI319" s="55"/>
      <c r="EJ319" s="55"/>
      <c r="EK319" s="55"/>
      <c r="EL319" s="55"/>
      <c r="EM319" s="55"/>
      <c r="EN319" s="55"/>
      <c r="EO319" s="55"/>
      <c r="EP319" s="55"/>
      <c r="EQ319" s="55"/>
      <c r="ER319" s="55"/>
      <c r="ES319" s="55"/>
      <c r="ET319" s="55"/>
      <c r="EU319" s="55"/>
      <c r="EV319" s="55"/>
      <c r="EW319" s="55"/>
      <c r="EX319" s="55"/>
      <c r="EY319" s="55"/>
      <c r="EZ319" s="55"/>
      <c r="FA319" s="55"/>
      <c r="FB319" s="55"/>
      <c r="FC319" s="55"/>
      <c r="FD319" s="55"/>
      <c r="FE319" s="55"/>
      <c r="FF319" s="55"/>
      <c r="FG319" s="55"/>
      <c r="FH319" s="55"/>
      <c r="FI319" s="55"/>
      <c r="FJ319" s="55"/>
      <c r="FK319" s="55"/>
      <c r="FL319" s="55"/>
      <c r="FM319" s="55"/>
      <c r="FN319" s="55"/>
      <c r="FO319" s="55"/>
      <c r="FP319" s="55"/>
      <c r="FQ319" s="55"/>
      <c r="FR319" s="55"/>
      <c r="FS319" s="55"/>
      <c r="FT319" s="55"/>
      <c r="FU319" s="55"/>
      <c r="FV319" s="55"/>
      <c r="FW319" s="55"/>
      <c r="FX319" s="55"/>
      <c r="FY319" s="55"/>
      <c r="FZ319" s="55"/>
      <c r="GA319" s="55"/>
      <c r="GB319" s="55"/>
      <c r="GC319" s="55"/>
      <c r="GD319" s="55"/>
      <c r="GE319" s="55"/>
      <c r="GF319" s="55"/>
      <c r="GG319" s="55"/>
      <c r="GH319" s="55"/>
      <c r="GI319" s="55"/>
      <c r="GJ319" s="55"/>
      <c r="GK319" s="55"/>
      <c r="GL319" s="55"/>
      <c r="GM319" s="55"/>
      <c r="GN319" s="55"/>
      <c r="GO319" s="55"/>
      <c r="GP319" s="55"/>
      <c r="GQ319" s="55"/>
      <c r="GR319" s="55"/>
      <c r="GS319" s="55"/>
      <c r="GT319" s="55"/>
      <c r="GU319" s="55"/>
      <c r="GV319" s="55"/>
      <c r="GW319" s="55"/>
      <c r="GX319" s="55"/>
      <c r="GY319" s="55"/>
      <c r="GZ319" s="55"/>
      <c r="HA319" s="55"/>
      <c r="HB319" s="55"/>
      <c r="HC319" s="55"/>
      <c r="HD319" s="55"/>
      <c r="HE319" s="55"/>
      <c r="HF319" s="55"/>
      <c r="HG319" s="55"/>
      <c r="HH319" s="55"/>
      <c r="HI319" s="55"/>
      <c r="HJ319" s="55"/>
      <c r="HK319" s="55"/>
      <c r="HL319" s="55"/>
      <c r="HM319" s="55"/>
      <c r="HN319" s="55"/>
      <c r="HO319" s="55"/>
      <c r="HP319" s="55"/>
      <c r="HQ319" s="55"/>
      <c r="HR319" s="55"/>
      <c r="HS319" s="55"/>
      <c r="HT319" s="55"/>
      <c r="HU319" s="55"/>
      <c r="HV319" s="55"/>
      <c r="HW319" s="55"/>
      <c r="HX319" s="55"/>
      <c r="HY319" s="55"/>
      <c r="HZ319" s="55"/>
      <c r="IA319" s="55"/>
      <c r="IB319" s="55"/>
      <c r="IC319" s="55"/>
      <c r="ID319" s="55"/>
    </row>
    <row r="320" s="52" customFormat="1" ht="25.5" spans="1:238">
      <c r="A320" s="112" t="s">
        <v>95</v>
      </c>
      <c r="B320" s="112" t="s">
        <v>1269</v>
      </c>
      <c r="C320" s="64" t="s">
        <v>1270</v>
      </c>
      <c r="D320" s="65"/>
      <c r="E320" s="77" t="s">
        <v>1271</v>
      </c>
      <c r="F320" s="77"/>
      <c r="G320" s="64" t="s">
        <v>110</v>
      </c>
      <c r="H320" s="78">
        <v>805</v>
      </c>
      <c r="I320" s="78">
        <v>725</v>
      </c>
      <c r="J320" s="84">
        <v>658.705821205821</v>
      </c>
      <c r="K320" s="84">
        <v>606.038732394366</v>
      </c>
      <c r="L320" s="84">
        <v>516</v>
      </c>
      <c r="M320" s="41">
        <v>660</v>
      </c>
      <c r="N320" s="41">
        <v>606</v>
      </c>
      <c r="O320" s="41">
        <v>516</v>
      </c>
      <c r="P320" s="64" t="s">
        <v>37</v>
      </c>
      <c r="Q320" s="64" t="s">
        <v>35</v>
      </c>
      <c r="R320" s="64" t="s">
        <v>35</v>
      </c>
      <c r="S320" s="83"/>
      <c r="T320" s="77" t="s">
        <v>1272</v>
      </c>
      <c r="U320" s="105" t="s">
        <v>1273</v>
      </c>
      <c r="V320" s="105">
        <v>330403002</v>
      </c>
      <c r="W320" s="106" t="s">
        <v>1274</v>
      </c>
      <c r="X320" s="105" t="s">
        <v>1275</v>
      </c>
      <c r="Y320" s="105" t="s">
        <v>1244</v>
      </c>
      <c r="Z320" s="105" t="s">
        <v>36</v>
      </c>
      <c r="AA320" s="110" t="s">
        <v>1276</v>
      </c>
      <c r="AB320" s="50">
        <v>312.5</v>
      </c>
      <c r="AC320" s="50">
        <v>300</v>
      </c>
      <c r="AD320" s="50">
        <v>255</v>
      </c>
      <c r="AE320" s="112" t="s">
        <v>37</v>
      </c>
      <c r="AF320" s="60"/>
      <c r="AG320" s="55"/>
      <c r="AH320" s="55"/>
      <c r="AI320" s="55"/>
      <c r="AJ320" s="55"/>
      <c r="AK320" s="55"/>
      <c r="AL320" s="55"/>
      <c r="AM320" s="55"/>
      <c r="AN320" s="55"/>
      <c r="AO320" s="55"/>
      <c r="AP320" s="55"/>
      <c r="AQ320" s="55"/>
      <c r="AR320" s="55"/>
      <c r="AS320" s="55"/>
      <c r="AT320" s="55"/>
      <c r="AU320" s="55"/>
      <c r="AV320" s="55"/>
      <c r="AW320" s="55"/>
      <c r="AX320" s="55"/>
      <c r="AY320" s="55"/>
      <c r="AZ320" s="55"/>
      <c r="BA320" s="55"/>
      <c r="BB320" s="55"/>
      <c r="BC320" s="55"/>
      <c r="BD320" s="55"/>
      <c r="BE320" s="55"/>
      <c r="BF320" s="55"/>
      <c r="BG320" s="55"/>
      <c r="BH320" s="55"/>
      <c r="BI320" s="55"/>
      <c r="BJ320" s="55"/>
      <c r="BK320" s="55"/>
      <c r="BL320" s="55"/>
      <c r="BM320" s="55"/>
      <c r="BN320" s="55"/>
      <c r="BO320" s="55"/>
      <c r="BP320" s="55"/>
      <c r="BQ320" s="55"/>
      <c r="BR320" s="55"/>
      <c r="BS320" s="55"/>
      <c r="BT320" s="55"/>
      <c r="BU320" s="55"/>
      <c r="BV320" s="55"/>
      <c r="BW320" s="55"/>
      <c r="BX320" s="55"/>
      <c r="BY320" s="55"/>
      <c r="BZ320" s="55"/>
      <c r="CA320" s="55"/>
      <c r="CB320" s="55"/>
      <c r="CC320" s="55"/>
      <c r="CD320" s="55"/>
      <c r="CE320" s="55"/>
      <c r="CF320" s="55"/>
      <c r="CG320" s="55"/>
      <c r="CH320" s="55"/>
      <c r="CI320" s="55"/>
      <c r="CJ320" s="55"/>
      <c r="CK320" s="55"/>
      <c r="CL320" s="55"/>
      <c r="CM320" s="55"/>
      <c r="CN320" s="55"/>
      <c r="CO320" s="55"/>
      <c r="CP320" s="55"/>
      <c r="CQ320" s="55"/>
      <c r="CR320" s="55"/>
      <c r="CS320" s="55"/>
      <c r="CT320" s="55"/>
      <c r="CU320" s="55"/>
      <c r="CV320" s="55"/>
      <c r="CW320" s="55"/>
      <c r="CX320" s="55"/>
      <c r="CY320" s="55"/>
      <c r="CZ320" s="55"/>
      <c r="DA320" s="55"/>
      <c r="DB320" s="55"/>
      <c r="DC320" s="55"/>
      <c r="DD320" s="55"/>
      <c r="DE320" s="55"/>
      <c r="DF320" s="55"/>
      <c r="DG320" s="55"/>
      <c r="DH320" s="55"/>
      <c r="DI320" s="55"/>
      <c r="DJ320" s="55"/>
      <c r="DK320" s="55"/>
      <c r="DL320" s="55"/>
      <c r="DM320" s="55"/>
      <c r="DN320" s="55"/>
      <c r="DO320" s="55"/>
      <c r="DP320" s="55"/>
      <c r="DQ320" s="55"/>
      <c r="DR320" s="55"/>
      <c r="DS320" s="55"/>
      <c r="DT320" s="55"/>
      <c r="DU320" s="55"/>
      <c r="DV320" s="55"/>
      <c r="DW320" s="55"/>
      <c r="DX320" s="55"/>
      <c r="DY320" s="55"/>
      <c r="DZ320" s="55"/>
      <c r="EA320" s="55"/>
      <c r="EB320" s="55"/>
      <c r="EC320" s="55"/>
      <c r="ED320" s="55"/>
      <c r="EE320" s="55"/>
      <c r="EF320" s="55"/>
      <c r="EG320" s="55"/>
      <c r="EH320" s="55"/>
      <c r="EI320" s="55"/>
      <c r="EJ320" s="55"/>
      <c r="EK320" s="55"/>
      <c r="EL320" s="55"/>
      <c r="EM320" s="55"/>
      <c r="EN320" s="55"/>
      <c r="EO320" s="55"/>
      <c r="EP320" s="55"/>
      <c r="EQ320" s="55"/>
      <c r="ER320" s="55"/>
      <c r="ES320" s="55"/>
      <c r="ET320" s="55"/>
      <c r="EU320" s="55"/>
      <c r="EV320" s="55"/>
      <c r="EW320" s="55"/>
      <c r="EX320" s="55"/>
      <c r="EY320" s="55"/>
      <c r="EZ320" s="55"/>
      <c r="FA320" s="55"/>
      <c r="FB320" s="55"/>
      <c r="FC320" s="55"/>
      <c r="FD320" s="55"/>
      <c r="FE320" s="55"/>
      <c r="FF320" s="55"/>
      <c r="FG320" s="55"/>
      <c r="FH320" s="55"/>
      <c r="FI320" s="55"/>
      <c r="FJ320" s="55"/>
      <c r="FK320" s="55"/>
      <c r="FL320" s="55"/>
      <c r="FM320" s="55"/>
      <c r="FN320" s="55"/>
      <c r="FO320" s="55"/>
      <c r="FP320" s="55"/>
      <c r="FQ320" s="55"/>
      <c r="FR320" s="55"/>
      <c r="FS320" s="55"/>
      <c r="FT320" s="55"/>
      <c r="FU320" s="55"/>
      <c r="FV320" s="55"/>
      <c r="FW320" s="55"/>
      <c r="FX320" s="55"/>
      <c r="FY320" s="55"/>
      <c r="FZ320" s="55"/>
      <c r="GA320" s="55"/>
      <c r="GB320" s="55"/>
      <c r="GC320" s="55"/>
      <c r="GD320" s="55"/>
      <c r="GE320" s="55"/>
      <c r="GF320" s="55"/>
      <c r="GG320" s="55"/>
      <c r="GH320" s="55"/>
      <c r="GI320" s="55"/>
      <c r="GJ320" s="55"/>
      <c r="GK320" s="55"/>
      <c r="GL320" s="55"/>
      <c r="GM320" s="55"/>
      <c r="GN320" s="55"/>
      <c r="GO320" s="55"/>
      <c r="GP320" s="55"/>
      <c r="GQ320" s="55"/>
      <c r="GR320" s="55"/>
      <c r="GS320" s="55"/>
      <c r="GT320" s="55"/>
      <c r="GU320" s="55"/>
      <c r="GV320" s="55"/>
      <c r="GW320" s="55"/>
      <c r="GX320" s="55"/>
      <c r="GY320" s="55"/>
      <c r="GZ320" s="55"/>
      <c r="HA320" s="55"/>
      <c r="HB320" s="55"/>
      <c r="HC320" s="55"/>
      <c r="HD320" s="55"/>
      <c r="HE320" s="55"/>
      <c r="HF320" s="55"/>
      <c r="HG320" s="55"/>
      <c r="HH320" s="55"/>
      <c r="HI320" s="55"/>
      <c r="HJ320" s="55"/>
      <c r="HK320" s="55"/>
      <c r="HL320" s="55"/>
      <c r="HM320" s="55"/>
      <c r="HN320" s="55"/>
      <c r="HO320" s="55"/>
      <c r="HP320" s="55"/>
      <c r="HQ320" s="55"/>
      <c r="HR320" s="55"/>
      <c r="HS320" s="55"/>
      <c r="HT320" s="55"/>
      <c r="HU320" s="55"/>
      <c r="HV320" s="55"/>
      <c r="HW320" s="55"/>
      <c r="HX320" s="55"/>
      <c r="HY320" s="55"/>
      <c r="HZ320" s="55"/>
      <c r="IA320" s="55"/>
      <c r="IB320" s="55"/>
      <c r="IC320" s="55"/>
      <c r="ID320" s="55"/>
    </row>
    <row r="321" s="52" customFormat="1" ht="25.5" spans="1:238">
      <c r="A321" s="112"/>
      <c r="B321" s="112"/>
      <c r="C321" s="64"/>
      <c r="D321" s="65"/>
      <c r="E321" s="77"/>
      <c r="F321" s="77"/>
      <c r="G321" s="64"/>
      <c r="H321" s="42"/>
      <c r="I321" s="42"/>
      <c r="J321" s="84"/>
      <c r="K321" s="84"/>
      <c r="L321" s="84"/>
      <c r="M321" s="41"/>
      <c r="N321" s="41"/>
      <c r="O321" s="41"/>
      <c r="P321" s="64"/>
      <c r="Q321" s="64"/>
      <c r="R321" s="64"/>
      <c r="S321" s="83"/>
      <c r="T321" s="77"/>
      <c r="U321" s="105" t="s">
        <v>1277</v>
      </c>
      <c r="V321" s="105">
        <v>33040300201</v>
      </c>
      <c r="W321" s="106" t="s">
        <v>1278</v>
      </c>
      <c r="X321" s="105"/>
      <c r="Y321" s="105"/>
      <c r="Z321" s="105" t="s">
        <v>36</v>
      </c>
      <c r="AA321" s="110" t="s">
        <v>1279</v>
      </c>
      <c r="AB321" s="50">
        <v>500</v>
      </c>
      <c r="AC321" s="50">
        <v>480</v>
      </c>
      <c r="AD321" s="50">
        <v>408</v>
      </c>
      <c r="AE321" s="112" t="s">
        <v>37</v>
      </c>
      <c r="AF321" s="60"/>
      <c r="AG321" s="55"/>
      <c r="AH321" s="55"/>
      <c r="AI321" s="55"/>
      <c r="AJ321" s="55"/>
      <c r="AK321" s="55"/>
      <c r="AL321" s="55"/>
      <c r="AM321" s="55"/>
      <c r="AN321" s="55"/>
      <c r="AO321" s="55"/>
      <c r="AP321" s="55"/>
      <c r="AQ321" s="55"/>
      <c r="AR321" s="55"/>
      <c r="AS321" s="55"/>
      <c r="AT321" s="55"/>
      <c r="AU321" s="55"/>
      <c r="AV321" s="55"/>
      <c r="AW321" s="55"/>
      <c r="AX321" s="55"/>
      <c r="AY321" s="55"/>
      <c r="AZ321" s="55"/>
      <c r="BA321" s="55"/>
      <c r="BB321" s="55"/>
      <c r="BC321" s="55"/>
      <c r="BD321" s="55"/>
      <c r="BE321" s="55"/>
      <c r="BF321" s="55"/>
      <c r="BG321" s="55"/>
      <c r="BH321" s="55"/>
      <c r="BI321" s="55"/>
      <c r="BJ321" s="55"/>
      <c r="BK321" s="55"/>
      <c r="BL321" s="55"/>
      <c r="BM321" s="55"/>
      <c r="BN321" s="55"/>
      <c r="BO321" s="55"/>
      <c r="BP321" s="55"/>
      <c r="BQ321" s="55"/>
      <c r="BR321" s="55"/>
      <c r="BS321" s="55"/>
      <c r="BT321" s="55"/>
      <c r="BU321" s="55"/>
      <c r="BV321" s="55"/>
      <c r="BW321" s="55"/>
      <c r="BX321" s="55"/>
      <c r="BY321" s="55"/>
      <c r="BZ321" s="55"/>
      <c r="CA321" s="55"/>
      <c r="CB321" s="55"/>
      <c r="CC321" s="55"/>
      <c r="CD321" s="55"/>
      <c r="CE321" s="55"/>
      <c r="CF321" s="55"/>
      <c r="CG321" s="55"/>
      <c r="CH321" s="55"/>
      <c r="CI321" s="55"/>
      <c r="CJ321" s="55"/>
      <c r="CK321" s="55"/>
      <c r="CL321" s="55"/>
      <c r="CM321" s="55"/>
      <c r="CN321" s="55"/>
      <c r="CO321" s="55"/>
      <c r="CP321" s="55"/>
      <c r="CQ321" s="55"/>
      <c r="CR321" s="55"/>
      <c r="CS321" s="55"/>
      <c r="CT321" s="55"/>
      <c r="CU321" s="55"/>
      <c r="CV321" s="55"/>
      <c r="CW321" s="55"/>
      <c r="CX321" s="55"/>
      <c r="CY321" s="55"/>
      <c r="CZ321" s="55"/>
      <c r="DA321" s="55"/>
      <c r="DB321" s="55"/>
      <c r="DC321" s="55"/>
      <c r="DD321" s="55"/>
      <c r="DE321" s="55"/>
      <c r="DF321" s="55"/>
      <c r="DG321" s="55"/>
      <c r="DH321" s="55"/>
      <c r="DI321" s="55"/>
      <c r="DJ321" s="55"/>
      <c r="DK321" s="55"/>
      <c r="DL321" s="55"/>
      <c r="DM321" s="55"/>
      <c r="DN321" s="55"/>
      <c r="DO321" s="55"/>
      <c r="DP321" s="55"/>
      <c r="DQ321" s="55"/>
      <c r="DR321" s="55"/>
      <c r="DS321" s="55"/>
      <c r="DT321" s="55"/>
      <c r="DU321" s="55"/>
      <c r="DV321" s="55"/>
      <c r="DW321" s="55"/>
      <c r="DX321" s="55"/>
      <c r="DY321" s="55"/>
      <c r="DZ321" s="55"/>
      <c r="EA321" s="55"/>
      <c r="EB321" s="55"/>
      <c r="EC321" s="55"/>
      <c r="ED321" s="55"/>
      <c r="EE321" s="55"/>
      <c r="EF321" s="55"/>
      <c r="EG321" s="55"/>
      <c r="EH321" s="55"/>
      <c r="EI321" s="55"/>
      <c r="EJ321" s="55"/>
      <c r="EK321" s="55"/>
      <c r="EL321" s="55"/>
      <c r="EM321" s="55"/>
      <c r="EN321" s="55"/>
      <c r="EO321" s="55"/>
      <c r="EP321" s="55"/>
      <c r="EQ321" s="55"/>
      <c r="ER321" s="55"/>
      <c r="ES321" s="55"/>
      <c r="ET321" s="55"/>
      <c r="EU321" s="55"/>
      <c r="EV321" s="55"/>
      <c r="EW321" s="55"/>
      <c r="EX321" s="55"/>
      <c r="EY321" s="55"/>
      <c r="EZ321" s="55"/>
      <c r="FA321" s="55"/>
      <c r="FB321" s="55"/>
      <c r="FC321" s="55"/>
      <c r="FD321" s="55"/>
      <c r="FE321" s="55"/>
      <c r="FF321" s="55"/>
      <c r="FG321" s="55"/>
      <c r="FH321" s="55"/>
      <c r="FI321" s="55"/>
      <c r="FJ321" s="55"/>
      <c r="FK321" s="55"/>
      <c r="FL321" s="55"/>
      <c r="FM321" s="55"/>
      <c r="FN321" s="55"/>
      <c r="FO321" s="55"/>
      <c r="FP321" s="55"/>
      <c r="FQ321" s="55"/>
      <c r="FR321" s="55"/>
      <c r="FS321" s="55"/>
      <c r="FT321" s="55"/>
      <c r="FU321" s="55"/>
      <c r="FV321" s="55"/>
      <c r="FW321" s="55"/>
      <c r="FX321" s="55"/>
      <c r="FY321" s="55"/>
      <c r="FZ321" s="55"/>
      <c r="GA321" s="55"/>
      <c r="GB321" s="55"/>
      <c r="GC321" s="55"/>
      <c r="GD321" s="55"/>
      <c r="GE321" s="55"/>
      <c r="GF321" s="55"/>
      <c r="GG321" s="55"/>
      <c r="GH321" s="55"/>
      <c r="GI321" s="55"/>
      <c r="GJ321" s="55"/>
      <c r="GK321" s="55"/>
      <c r="GL321" s="55"/>
      <c r="GM321" s="55"/>
      <c r="GN321" s="55"/>
      <c r="GO321" s="55"/>
      <c r="GP321" s="55"/>
      <c r="GQ321" s="55"/>
      <c r="GR321" s="55"/>
      <c r="GS321" s="55"/>
      <c r="GT321" s="55"/>
      <c r="GU321" s="55"/>
      <c r="GV321" s="55"/>
      <c r="GW321" s="55"/>
      <c r="GX321" s="55"/>
      <c r="GY321" s="55"/>
      <c r="GZ321" s="55"/>
      <c r="HA321" s="55"/>
      <c r="HB321" s="55"/>
      <c r="HC321" s="55"/>
      <c r="HD321" s="55"/>
      <c r="HE321" s="55"/>
      <c r="HF321" s="55"/>
      <c r="HG321" s="55"/>
      <c r="HH321" s="55"/>
      <c r="HI321" s="55"/>
      <c r="HJ321" s="55"/>
      <c r="HK321" s="55"/>
      <c r="HL321" s="55"/>
      <c r="HM321" s="55"/>
      <c r="HN321" s="55"/>
      <c r="HO321" s="55"/>
      <c r="HP321" s="55"/>
      <c r="HQ321" s="55"/>
      <c r="HR321" s="55"/>
      <c r="HS321" s="55"/>
      <c r="HT321" s="55"/>
      <c r="HU321" s="55"/>
      <c r="HV321" s="55"/>
      <c r="HW321" s="55"/>
      <c r="HX321" s="55"/>
      <c r="HY321" s="55"/>
      <c r="HZ321" s="55"/>
      <c r="IA321" s="55"/>
      <c r="IB321" s="55"/>
      <c r="IC321" s="55"/>
      <c r="ID321" s="55"/>
    </row>
    <row r="322" s="55" customFormat="1" ht="25.5" spans="1:32">
      <c r="A322" s="112"/>
      <c r="B322" s="112"/>
      <c r="C322" s="64"/>
      <c r="D322" s="65"/>
      <c r="E322" s="77"/>
      <c r="F322" s="77"/>
      <c r="G322" s="64"/>
      <c r="H322" s="42"/>
      <c r="I322" s="42"/>
      <c r="J322" s="84"/>
      <c r="K322" s="84"/>
      <c r="L322" s="84"/>
      <c r="M322" s="41"/>
      <c r="N322" s="41"/>
      <c r="O322" s="41"/>
      <c r="P322" s="64"/>
      <c r="Q322" s="64"/>
      <c r="R322" s="64"/>
      <c r="S322" s="83"/>
      <c r="T322" s="77"/>
      <c r="U322" s="105" t="s">
        <v>1280</v>
      </c>
      <c r="V322" s="105">
        <v>33040300202</v>
      </c>
      <c r="W322" s="106" t="s">
        <v>1281</v>
      </c>
      <c r="X322" s="105"/>
      <c r="Y322" s="105"/>
      <c r="Z322" s="105" t="s">
        <v>36</v>
      </c>
      <c r="AA322" s="110" t="s">
        <v>1282</v>
      </c>
      <c r="AB322" s="50">
        <v>312.5</v>
      </c>
      <c r="AC322" s="50">
        <v>300</v>
      </c>
      <c r="AD322" s="50">
        <v>255</v>
      </c>
      <c r="AE322" s="112" t="s">
        <v>37</v>
      </c>
      <c r="AF322" s="60"/>
    </row>
    <row r="323" s="52" customFormat="1" ht="25.5" spans="1:238">
      <c r="A323" s="112"/>
      <c r="B323" s="112"/>
      <c r="C323" s="64"/>
      <c r="D323" s="65"/>
      <c r="E323" s="77"/>
      <c r="F323" s="77"/>
      <c r="G323" s="64"/>
      <c r="H323" s="42"/>
      <c r="I323" s="42"/>
      <c r="J323" s="84"/>
      <c r="K323" s="84"/>
      <c r="L323" s="84"/>
      <c r="M323" s="41"/>
      <c r="N323" s="41"/>
      <c r="O323" s="41"/>
      <c r="P323" s="64"/>
      <c r="Q323" s="64"/>
      <c r="R323" s="64"/>
      <c r="S323" s="83"/>
      <c r="T323" s="77"/>
      <c r="U323" s="105" t="s">
        <v>1283</v>
      </c>
      <c r="V323" s="105">
        <v>33040300203</v>
      </c>
      <c r="W323" s="106" t="s">
        <v>1284</v>
      </c>
      <c r="X323" s="105"/>
      <c r="Y323" s="105"/>
      <c r="Z323" s="105" t="s">
        <v>36</v>
      </c>
      <c r="AA323" s="110" t="s">
        <v>35</v>
      </c>
      <c r="AB323" s="50">
        <v>405</v>
      </c>
      <c r="AC323" s="50">
        <v>390</v>
      </c>
      <c r="AD323" s="50">
        <v>330</v>
      </c>
      <c r="AE323" s="112" t="s">
        <v>37</v>
      </c>
      <c r="AF323" s="60"/>
      <c r="AG323" s="55"/>
      <c r="AH323" s="55"/>
      <c r="AI323" s="55"/>
      <c r="AJ323" s="55"/>
      <c r="AK323" s="55"/>
      <c r="AL323" s="55"/>
      <c r="AM323" s="55"/>
      <c r="AN323" s="55"/>
      <c r="AO323" s="55"/>
      <c r="AP323" s="55"/>
      <c r="AQ323" s="55"/>
      <c r="AR323" s="55"/>
      <c r="AS323" s="55"/>
      <c r="AT323" s="55"/>
      <c r="AU323" s="55"/>
      <c r="AV323" s="55"/>
      <c r="AW323" s="55"/>
      <c r="AX323" s="55"/>
      <c r="AY323" s="55"/>
      <c r="AZ323" s="55"/>
      <c r="BA323" s="55"/>
      <c r="BB323" s="55"/>
      <c r="BC323" s="55"/>
      <c r="BD323" s="55"/>
      <c r="BE323" s="55"/>
      <c r="BF323" s="55"/>
      <c r="BG323" s="55"/>
      <c r="BH323" s="55"/>
      <c r="BI323" s="55"/>
      <c r="BJ323" s="55"/>
      <c r="BK323" s="55"/>
      <c r="BL323" s="55"/>
      <c r="BM323" s="55"/>
      <c r="BN323" s="55"/>
      <c r="BO323" s="55"/>
      <c r="BP323" s="55"/>
      <c r="BQ323" s="55"/>
      <c r="BR323" s="55"/>
      <c r="BS323" s="55"/>
      <c r="BT323" s="55"/>
      <c r="BU323" s="55"/>
      <c r="BV323" s="55"/>
      <c r="BW323" s="55"/>
      <c r="BX323" s="55"/>
      <c r="BY323" s="55"/>
      <c r="BZ323" s="55"/>
      <c r="CA323" s="55"/>
      <c r="CB323" s="55"/>
      <c r="CC323" s="55"/>
      <c r="CD323" s="55"/>
      <c r="CE323" s="55"/>
      <c r="CF323" s="55"/>
      <c r="CG323" s="55"/>
      <c r="CH323" s="55"/>
      <c r="CI323" s="55"/>
      <c r="CJ323" s="55"/>
      <c r="CK323" s="55"/>
      <c r="CL323" s="55"/>
      <c r="CM323" s="55"/>
      <c r="CN323" s="55"/>
      <c r="CO323" s="55"/>
      <c r="CP323" s="55"/>
      <c r="CQ323" s="55"/>
      <c r="CR323" s="55"/>
      <c r="CS323" s="55"/>
      <c r="CT323" s="55"/>
      <c r="CU323" s="55"/>
      <c r="CV323" s="55"/>
      <c r="CW323" s="55"/>
      <c r="CX323" s="55"/>
      <c r="CY323" s="55"/>
      <c r="CZ323" s="55"/>
      <c r="DA323" s="55"/>
      <c r="DB323" s="55"/>
      <c r="DC323" s="55"/>
      <c r="DD323" s="55"/>
      <c r="DE323" s="55"/>
      <c r="DF323" s="55"/>
      <c r="DG323" s="55"/>
      <c r="DH323" s="55"/>
      <c r="DI323" s="55"/>
      <c r="DJ323" s="55"/>
      <c r="DK323" s="55"/>
      <c r="DL323" s="55"/>
      <c r="DM323" s="55"/>
      <c r="DN323" s="55"/>
      <c r="DO323" s="55"/>
      <c r="DP323" s="55"/>
      <c r="DQ323" s="55"/>
      <c r="DR323" s="55"/>
      <c r="DS323" s="55"/>
      <c r="DT323" s="55"/>
      <c r="DU323" s="55"/>
      <c r="DV323" s="55"/>
      <c r="DW323" s="55"/>
      <c r="DX323" s="55"/>
      <c r="DY323" s="55"/>
      <c r="DZ323" s="55"/>
      <c r="EA323" s="55"/>
      <c r="EB323" s="55"/>
      <c r="EC323" s="55"/>
      <c r="ED323" s="55"/>
      <c r="EE323" s="55"/>
      <c r="EF323" s="55"/>
      <c r="EG323" s="55"/>
      <c r="EH323" s="55"/>
      <c r="EI323" s="55"/>
      <c r="EJ323" s="55"/>
      <c r="EK323" s="55"/>
      <c r="EL323" s="55"/>
      <c r="EM323" s="55"/>
      <c r="EN323" s="55"/>
      <c r="EO323" s="55"/>
      <c r="EP323" s="55"/>
      <c r="EQ323" s="55"/>
      <c r="ER323" s="55"/>
      <c r="ES323" s="55"/>
      <c r="ET323" s="55"/>
      <c r="EU323" s="55"/>
      <c r="EV323" s="55"/>
      <c r="EW323" s="55"/>
      <c r="EX323" s="55"/>
      <c r="EY323" s="55"/>
      <c r="EZ323" s="55"/>
      <c r="FA323" s="55"/>
      <c r="FB323" s="55"/>
      <c r="FC323" s="55"/>
      <c r="FD323" s="55"/>
      <c r="FE323" s="55"/>
      <c r="FF323" s="55"/>
      <c r="FG323" s="55"/>
      <c r="FH323" s="55"/>
      <c r="FI323" s="55"/>
      <c r="FJ323" s="55"/>
      <c r="FK323" s="55"/>
      <c r="FL323" s="55"/>
      <c r="FM323" s="55"/>
      <c r="FN323" s="55"/>
      <c r="FO323" s="55"/>
      <c r="FP323" s="55"/>
      <c r="FQ323" s="55"/>
      <c r="FR323" s="55"/>
      <c r="FS323" s="55"/>
      <c r="FT323" s="55"/>
      <c r="FU323" s="55"/>
      <c r="FV323" s="55"/>
      <c r="FW323" s="55"/>
      <c r="FX323" s="55"/>
      <c r="FY323" s="55"/>
      <c r="FZ323" s="55"/>
      <c r="GA323" s="55"/>
      <c r="GB323" s="55"/>
      <c r="GC323" s="55"/>
      <c r="GD323" s="55"/>
      <c r="GE323" s="55"/>
      <c r="GF323" s="55"/>
      <c r="GG323" s="55"/>
      <c r="GH323" s="55"/>
      <c r="GI323" s="55"/>
      <c r="GJ323" s="55"/>
      <c r="GK323" s="55"/>
      <c r="GL323" s="55"/>
      <c r="GM323" s="55"/>
      <c r="GN323" s="55"/>
      <c r="GO323" s="55"/>
      <c r="GP323" s="55"/>
      <c r="GQ323" s="55"/>
      <c r="GR323" s="55"/>
      <c r="GS323" s="55"/>
      <c r="GT323" s="55"/>
      <c r="GU323" s="55"/>
      <c r="GV323" s="55"/>
      <c r="GW323" s="55"/>
      <c r="GX323" s="55"/>
      <c r="GY323" s="55"/>
      <c r="GZ323" s="55"/>
      <c r="HA323" s="55"/>
      <c r="HB323" s="55"/>
      <c r="HC323" s="55"/>
      <c r="HD323" s="55"/>
      <c r="HE323" s="55"/>
      <c r="HF323" s="55"/>
      <c r="HG323" s="55"/>
      <c r="HH323" s="55"/>
      <c r="HI323" s="55"/>
      <c r="HJ323" s="55"/>
      <c r="HK323" s="55"/>
      <c r="HL323" s="55"/>
      <c r="HM323" s="55"/>
      <c r="HN323" s="55"/>
      <c r="HO323" s="55"/>
      <c r="HP323" s="55"/>
      <c r="HQ323" s="55"/>
      <c r="HR323" s="55"/>
      <c r="HS323" s="55"/>
      <c r="HT323" s="55"/>
      <c r="HU323" s="55"/>
      <c r="HV323" s="55"/>
      <c r="HW323" s="55"/>
      <c r="HX323" s="55"/>
      <c r="HY323" s="55"/>
      <c r="HZ323" s="55"/>
      <c r="IA323" s="55"/>
      <c r="IB323" s="55"/>
      <c r="IC323" s="55"/>
      <c r="ID323" s="55"/>
    </row>
    <row r="324" s="52" customFormat="1" ht="25.5" spans="1:238">
      <c r="A324" s="112"/>
      <c r="B324" s="112"/>
      <c r="C324" s="64"/>
      <c r="D324" s="65"/>
      <c r="E324" s="77"/>
      <c r="F324" s="77"/>
      <c r="G324" s="64"/>
      <c r="H324" s="42"/>
      <c r="I324" s="42"/>
      <c r="J324" s="84"/>
      <c r="K324" s="84"/>
      <c r="L324" s="84"/>
      <c r="M324" s="41"/>
      <c r="N324" s="41"/>
      <c r="O324" s="41"/>
      <c r="P324" s="64"/>
      <c r="Q324" s="64"/>
      <c r="R324" s="64"/>
      <c r="S324" s="83"/>
      <c r="T324" s="77"/>
      <c r="U324" s="105" t="s">
        <v>1285</v>
      </c>
      <c r="V324" s="105">
        <v>33040300204</v>
      </c>
      <c r="W324" s="106" t="s">
        <v>1286</v>
      </c>
      <c r="X324" s="105"/>
      <c r="Y324" s="105"/>
      <c r="Z324" s="105" t="s">
        <v>36</v>
      </c>
      <c r="AA324" s="110" t="s">
        <v>1279</v>
      </c>
      <c r="AB324" s="50">
        <v>650</v>
      </c>
      <c r="AC324" s="50">
        <v>625</v>
      </c>
      <c r="AD324" s="50">
        <v>530</v>
      </c>
      <c r="AE324" s="112" t="s">
        <v>37</v>
      </c>
      <c r="AF324" s="60"/>
      <c r="AG324" s="55"/>
      <c r="AH324" s="55"/>
      <c r="AI324" s="55"/>
      <c r="AJ324" s="55"/>
      <c r="AK324" s="55"/>
      <c r="AL324" s="55"/>
      <c r="AM324" s="55"/>
      <c r="AN324" s="55"/>
      <c r="AO324" s="55"/>
      <c r="AP324" s="55"/>
      <c r="AQ324" s="55"/>
      <c r="AR324" s="55"/>
      <c r="AS324" s="55"/>
      <c r="AT324" s="55"/>
      <c r="AU324" s="55"/>
      <c r="AV324" s="55"/>
      <c r="AW324" s="55"/>
      <c r="AX324" s="55"/>
      <c r="AY324" s="55"/>
      <c r="AZ324" s="55"/>
      <c r="BA324" s="55"/>
      <c r="BB324" s="55"/>
      <c r="BC324" s="55"/>
      <c r="BD324" s="55"/>
      <c r="BE324" s="55"/>
      <c r="BF324" s="55"/>
      <c r="BG324" s="55"/>
      <c r="BH324" s="55"/>
      <c r="BI324" s="55"/>
      <c r="BJ324" s="55"/>
      <c r="BK324" s="55"/>
      <c r="BL324" s="55"/>
      <c r="BM324" s="55"/>
      <c r="BN324" s="55"/>
      <c r="BO324" s="55"/>
      <c r="BP324" s="55"/>
      <c r="BQ324" s="55"/>
      <c r="BR324" s="55"/>
      <c r="BS324" s="55"/>
      <c r="BT324" s="55"/>
      <c r="BU324" s="55"/>
      <c r="BV324" s="55"/>
      <c r="BW324" s="55"/>
      <c r="BX324" s="55"/>
      <c r="BY324" s="55"/>
      <c r="BZ324" s="55"/>
      <c r="CA324" s="55"/>
      <c r="CB324" s="55"/>
      <c r="CC324" s="55"/>
      <c r="CD324" s="55"/>
      <c r="CE324" s="55"/>
      <c r="CF324" s="55"/>
      <c r="CG324" s="55"/>
      <c r="CH324" s="55"/>
      <c r="CI324" s="55"/>
      <c r="CJ324" s="55"/>
      <c r="CK324" s="55"/>
      <c r="CL324" s="55"/>
      <c r="CM324" s="55"/>
      <c r="CN324" s="55"/>
      <c r="CO324" s="55"/>
      <c r="CP324" s="55"/>
      <c r="CQ324" s="55"/>
      <c r="CR324" s="55"/>
      <c r="CS324" s="55"/>
      <c r="CT324" s="55"/>
      <c r="CU324" s="55"/>
      <c r="CV324" s="55"/>
      <c r="CW324" s="55"/>
      <c r="CX324" s="55"/>
      <c r="CY324" s="55"/>
      <c r="CZ324" s="55"/>
      <c r="DA324" s="55"/>
      <c r="DB324" s="55"/>
      <c r="DC324" s="55"/>
      <c r="DD324" s="55"/>
      <c r="DE324" s="55"/>
      <c r="DF324" s="55"/>
      <c r="DG324" s="55"/>
      <c r="DH324" s="55"/>
      <c r="DI324" s="55"/>
      <c r="DJ324" s="55"/>
      <c r="DK324" s="55"/>
      <c r="DL324" s="55"/>
      <c r="DM324" s="55"/>
      <c r="DN324" s="55"/>
      <c r="DO324" s="55"/>
      <c r="DP324" s="55"/>
      <c r="DQ324" s="55"/>
      <c r="DR324" s="55"/>
      <c r="DS324" s="55"/>
      <c r="DT324" s="55"/>
      <c r="DU324" s="55"/>
      <c r="DV324" s="55"/>
      <c r="DW324" s="55"/>
      <c r="DX324" s="55"/>
      <c r="DY324" s="55"/>
      <c r="DZ324" s="55"/>
      <c r="EA324" s="55"/>
      <c r="EB324" s="55"/>
      <c r="EC324" s="55"/>
      <c r="ED324" s="55"/>
      <c r="EE324" s="55"/>
      <c r="EF324" s="55"/>
      <c r="EG324" s="55"/>
      <c r="EH324" s="55"/>
      <c r="EI324" s="55"/>
      <c r="EJ324" s="55"/>
      <c r="EK324" s="55"/>
      <c r="EL324" s="55"/>
      <c r="EM324" s="55"/>
      <c r="EN324" s="55"/>
      <c r="EO324" s="55"/>
      <c r="EP324" s="55"/>
      <c r="EQ324" s="55"/>
      <c r="ER324" s="55"/>
      <c r="ES324" s="55"/>
      <c r="ET324" s="55"/>
      <c r="EU324" s="55"/>
      <c r="EV324" s="55"/>
      <c r="EW324" s="55"/>
      <c r="EX324" s="55"/>
      <c r="EY324" s="55"/>
      <c r="EZ324" s="55"/>
      <c r="FA324" s="55"/>
      <c r="FB324" s="55"/>
      <c r="FC324" s="55"/>
      <c r="FD324" s="55"/>
      <c r="FE324" s="55"/>
      <c r="FF324" s="55"/>
      <c r="FG324" s="55"/>
      <c r="FH324" s="55"/>
      <c r="FI324" s="55"/>
      <c r="FJ324" s="55"/>
      <c r="FK324" s="55"/>
      <c r="FL324" s="55"/>
      <c r="FM324" s="55"/>
      <c r="FN324" s="55"/>
      <c r="FO324" s="55"/>
      <c r="FP324" s="55"/>
      <c r="FQ324" s="55"/>
      <c r="FR324" s="55"/>
      <c r="FS324" s="55"/>
      <c r="FT324" s="55"/>
      <c r="FU324" s="55"/>
      <c r="FV324" s="55"/>
      <c r="FW324" s="55"/>
      <c r="FX324" s="55"/>
      <c r="FY324" s="55"/>
      <c r="FZ324" s="55"/>
      <c r="GA324" s="55"/>
      <c r="GB324" s="55"/>
      <c r="GC324" s="55"/>
      <c r="GD324" s="55"/>
      <c r="GE324" s="55"/>
      <c r="GF324" s="55"/>
      <c r="GG324" s="55"/>
      <c r="GH324" s="55"/>
      <c r="GI324" s="55"/>
      <c r="GJ324" s="55"/>
      <c r="GK324" s="55"/>
      <c r="GL324" s="55"/>
      <c r="GM324" s="55"/>
      <c r="GN324" s="55"/>
      <c r="GO324" s="55"/>
      <c r="GP324" s="55"/>
      <c r="GQ324" s="55"/>
      <c r="GR324" s="55"/>
      <c r="GS324" s="55"/>
      <c r="GT324" s="55"/>
      <c r="GU324" s="55"/>
      <c r="GV324" s="55"/>
      <c r="GW324" s="55"/>
      <c r="GX324" s="55"/>
      <c r="GY324" s="55"/>
      <c r="GZ324" s="55"/>
      <c r="HA324" s="55"/>
      <c r="HB324" s="55"/>
      <c r="HC324" s="55"/>
      <c r="HD324" s="55"/>
      <c r="HE324" s="55"/>
      <c r="HF324" s="55"/>
      <c r="HG324" s="55"/>
      <c r="HH324" s="55"/>
      <c r="HI324" s="55"/>
      <c r="HJ324" s="55"/>
      <c r="HK324" s="55"/>
      <c r="HL324" s="55"/>
      <c r="HM324" s="55"/>
      <c r="HN324" s="55"/>
      <c r="HO324" s="55"/>
      <c r="HP324" s="55"/>
      <c r="HQ324" s="55"/>
      <c r="HR324" s="55"/>
      <c r="HS324" s="55"/>
      <c r="HT324" s="55"/>
      <c r="HU324" s="55"/>
      <c r="HV324" s="55"/>
      <c r="HW324" s="55"/>
      <c r="HX324" s="55"/>
      <c r="HY324" s="55"/>
      <c r="HZ324" s="55"/>
      <c r="IA324" s="55"/>
      <c r="IB324" s="55"/>
      <c r="IC324" s="55"/>
      <c r="ID324" s="55"/>
    </row>
    <row r="325" s="52" customFormat="1" ht="25.5" spans="1:238">
      <c r="A325" s="112"/>
      <c r="B325" s="112"/>
      <c r="C325" s="64"/>
      <c r="D325" s="65"/>
      <c r="E325" s="77"/>
      <c r="F325" s="77"/>
      <c r="G325" s="64"/>
      <c r="H325" s="42"/>
      <c r="I325" s="42"/>
      <c r="J325" s="84"/>
      <c r="K325" s="84"/>
      <c r="L325" s="84"/>
      <c r="M325" s="41"/>
      <c r="N325" s="41"/>
      <c r="O325" s="41"/>
      <c r="P325" s="64"/>
      <c r="Q325" s="64"/>
      <c r="R325" s="64"/>
      <c r="S325" s="83"/>
      <c r="T325" s="77"/>
      <c r="U325" s="105" t="s">
        <v>1287</v>
      </c>
      <c r="V325" s="105">
        <v>330403003</v>
      </c>
      <c r="W325" s="106" t="s">
        <v>1288</v>
      </c>
      <c r="X325" s="105"/>
      <c r="Y325" s="105"/>
      <c r="Z325" s="105" t="s">
        <v>36</v>
      </c>
      <c r="AA325" s="110" t="s">
        <v>35</v>
      </c>
      <c r="AB325" s="50">
        <v>375</v>
      </c>
      <c r="AC325" s="50">
        <v>360</v>
      </c>
      <c r="AD325" s="50">
        <v>306</v>
      </c>
      <c r="AE325" s="112" t="s">
        <v>37</v>
      </c>
      <c r="AF325" s="60"/>
      <c r="AG325" s="55"/>
      <c r="AH325" s="55"/>
      <c r="AI325" s="55"/>
      <c r="AJ325" s="55"/>
      <c r="AK325" s="55"/>
      <c r="AL325" s="55"/>
      <c r="AM325" s="55"/>
      <c r="AN325" s="55"/>
      <c r="AO325" s="55"/>
      <c r="AP325" s="55"/>
      <c r="AQ325" s="55"/>
      <c r="AR325" s="55"/>
      <c r="AS325" s="55"/>
      <c r="AT325" s="55"/>
      <c r="AU325" s="55"/>
      <c r="AV325" s="55"/>
      <c r="AW325" s="55"/>
      <c r="AX325" s="55"/>
      <c r="AY325" s="55"/>
      <c r="AZ325" s="55"/>
      <c r="BA325" s="55"/>
      <c r="BB325" s="55"/>
      <c r="BC325" s="55"/>
      <c r="BD325" s="55"/>
      <c r="BE325" s="55"/>
      <c r="BF325" s="55"/>
      <c r="BG325" s="55"/>
      <c r="BH325" s="55"/>
      <c r="BI325" s="55"/>
      <c r="BJ325" s="55"/>
      <c r="BK325" s="55"/>
      <c r="BL325" s="55"/>
      <c r="BM325" s="55"/>
      <c r="BN325" s="55"/>
      <c r="BO325" s="55"/>
      <c r="BP325" s="55"/>
      <c r="BQ325" s="55"/>
      <c r="BR325" s="55"/>
      <c r="BS325" s="55"/>
      <c r="BT325" s="55"/>
      <c r="BU325" s="55"/>
      <c r="BV325" s="55"/>
      <c r="BW325" s="55"/>
      <c r="BX325" s="55"/>
      <c r="BY325" s="55"/>
      <c r="BZ325" s="55"/>
      <c r="CA325" s="55"/>
      <c r="CB325" s="55"/>
      <c r="CC325" s="55"/>
      <c r="CD325" s="55"/>
      <c r="CE325" s="55"/>
      <c r="CF325" s="55"/>
      <c r="CG325" s="55"/>
      <c r="CH325" s="55"/>
      <c r="CI325" s="55"/>
      <c r="CJ325" s="55"/>
      <c r="CK325" s="55"/>
      <c r="CL325" s="55"/>
      <c r="CM325" s="55"/>
      <c r="CN325" s="55"/>
      <c r="CO325" s="55"/>
      <c r="CP325" s="55"/>
      <c r="CQ325" s="55"/>
      <c r="CR325" s="55"/>
      <c r="CS325" s="55"/>
      <c r="CT325" s="55"/>
      <c r="CU325" s="55"/>
      <c r="CV325" s="55"/>
      <c r="CW325" s="55"/>
      <c r="CX325" s="55"/>
      <c r="CY325" s="55"/>
      <c r="CZ325" s="55"/>
      <c r="DA325" s="55"/>
      <c r="DB325" s="55"/>
      <c r="DC325" s="55"/>
      <c r="DD325" s="55"/>
      <c r="DE325" s="55"/>
      <c r="DF325" s="55"/>
      <c r="DG325" s="55"/>
      <c r="DH325" s="55"/>
      <c r="DI325" s="55"/>
      <c r="DJ325" s="55"/>
      <c r="DK325" s="55"/>
      <c r="DL325" s="55"/>
      <c r="DM325" s="55"/>
      <c r="DN325" s="55"/>
      <c r="DO325" s="55"/>
      <c r="DP325" s="55"/>
      <c r="DQ325" s="55"/>
      <c r="DR325" s="55"/>
      <c r="DS325" s="55"/>
      <c r="DT325" s="55"/>
      <c r="DU325" s="55"/>
      <c r="DV325" s="55"/>
      <c r="DW325" s="55"/>
      <c r="DX325" s="55"/>
      <c r="DY325" s="55"/>
      <c r="DZ325" s="55"/>
      <c r="EA325" s="55"/>
      <c r="EB325" s="55"/>
      <c r="EC325" s="55"/>
      <c r="ED325" s="55"/>
      <c r="EE325" s="55"/>
      <c r="EF325" s="55"/>
      <c r="EG325" s="55"/>
      <c r="EH325" s="55"/>
      <c r="EI325" s="55"/>
      <c r="EJ325" s="55"/>
      <c r="EK325" s="55"/>
      <c r="EL325" s="55"/>
      <c r="EM325" s="55"/>
      <c r="EN325" s="55"/>
      <c r="EO325" s="55"/>
      <c r="EP325" s="55"/>
      <c r="EQ325" s="55"/>
      <c r="ER325" s="55"/>
      <c r="ES325" s="55"/>
      <c r="ET325" s="55"/>
      <c r="EU325" s="55"/>
      <c r="EV325" s="55"/>
      <c r="EW325" s="55"/>
      <c r="EX325" s="55"/>
      <c r="EY325" s="55"/>
      <c r="EZ325" s="55"/>
      <c r="FA325" s="55"/>
      <c r="FB325" s="55"/>
      <c r="FC325" s="55"/>
      <c r="FD325" s="55"/>
      <c r="FE325" s="55"/>
      <c r="FF325" s="55"/>
      <c r="FG325" s="55"/>
      <c r="FH325" s="55"/>
      <c r="FI325" s="55"/>
      <c r="FJ325" s="55"/>
      <c r="FK325" s="55"/>
      <c r="FL325" s="55"/>
      <c r="FM325" s="55"/>
      <c r="FN325" s="55"/>
      <c r="FO325" s="55"/>
      <c r="FP325" s="55"/>
      <c r="FQ325" s="55"/>
      <c r="FR325" s="55"/>
      <c r="FS325" s="55"/>
      <c r="FT325" s="55"/>
      <c r="FU325" s="55"/>
      <c r="FV325" s="55"/>
      <c r="FW325" s="55"/>
      <c r="FX325" s="55"/>
      <c r="FY325" s="55"/>
      <c r="FZ325" s="55"/>
      <c r="GA325" s="55"/>
      <c r="GB325" s="55"/>
      <c r="GC325" s="55"/>
      <c r="GD325" s="55"/>
      <c r="GE325" s="55"/>
      <c r="GF325" s="55"/>
      <c r="GG325" s="55"/>
      <c r="GH325" s="55"/>
      <c r="GI325" s="55"/>
      <c r="GJ325" s="55"/>
      <c r="GK325" s="55"/>
      <c r="GL325" s="55"/>
      <c r="GM325" s="55"/>
      <c r="GN325" s="55"/>
      <c r="GO325" s="55"/>
      <c r="GP325" s="55"/>
      <c r="GQ325" s="55"/>
      <c r="GR325" s="55"/>
      <c r="GS325" s="55"/>
      <c r="GT325" s="55"/>
      <c r="GU325" s="55"/>
      <c r="GV325" s="55"/>
      <c r="GW325" s="55"/>
      <c r="GX325" s="55"/>
      <c r="GY325" s="55"/>
      <c r="GZ325" s="55"/>
      <c r="HA325" s="55"/>
      <c r="HB325" s="55"/>
      <c r="HC325" s="55"/>
      <c r="HD325" s="55"/>
      <c r="HE325" s="55"/>
      <c r="HF325" s="55"/>
      <c r="HG325" s="55"/>
      <c r="HH325" s="55"/>
      <c r="HI325" s="55"/>
      <c r="HJ325" s="55"/>
      <c r="HK325" s="55"/>
      <c r="HL325" s="55"/>
      <c r="HM325" s="55"/>
      <c r="HN325" s="55"/>
      <c r="HO325" s="55"/>
      <c r="HP325" s="55"/>
      <c r="HQ325" s="55"/>
      <c r="HR325" s="55"/>
      <c r="HS325" s="55"/>
      <c r="HT325" s="55"/>
      <c r="HU325" s="55"/>
      <c r="HV325" s="55"/>
      <c r="HW325" s="55"/>
      <c r="HX325" s="55"/>
      <c r="HY325" s="55"/>
      <c r="HZ325" s="55"/>
      <c r="IA325" s="55"/>
      <c r="IB325" s="55"/>
      <c r="IC325" s="55"/>
      <c r="ID325" s="55"/>
    </row>
    <row r="326" s="52" customFormat="1" ht="25.5" spans="1:238">
      <c r="A326" s="112"/>
      <c r="B326" s="112"/>
      <c r="C326" s="64"/>
      <c r="D326" s="65"/>
      <c r="E326" s="77"/>
      <c r="F326" s="77"/>
      <c r="G326" s="64"/>
      <c r="H326" s="42"/>
      <c r="I326" s="42"/>
      <c r="J326" s="84"/>
      <c r="K326" s="84"/>
      <c r="L326" s="84"/>
      <c r="M326" s="41"/>
      <c r="N326" s="41"/>
      <c r="O326" s="41"/>
      <c r="P326" s="64"/>
      <c r="Q326" s="64"/>
      <c r="R326" s="64"/>
      <c r="S326" s="83"/>
      <c r="T326" s="77"/>
      <c r="U326" s="105" t="s">
        <v>1289</v>
      </c>
      <c r="V326" s="105">
        <v>33040300301</v>
      </c>
      <c r="W326" s="106" t="s">
        <v>1290</v>
      </c>
      <c r="X326" s="105"/>
      <c r="Y326" s="105"/>
      <c r="Z326" s="105" t="s">
        <v>36</v>
      </c>
      <c r="AA326" s="110" t="s">
        <v>35</v>
      </c>
      <c r="AB326" s="50">
        <v>490</v>
      </c>
      <c r="AC326" s="50">
        <v>470</v>
      </c>
      <c r="AD326" s="50">
        <v>400</v>
      </c>
      <c r="AE326" s="112" t="s">
        <v>37</v>
      </c>
      <c r="AF326" s="60"/>
      <c r="AG326" s="55"/>
      <c r="AH326" s="55"/>
      <c r="AI326" s="55"/>
      <c r="AJ326" s="55"/>
      <c r="AK326" s="55"/>
      <c r="AL326" s="55"/>
      <c r="AM326" s="55"/>
      <c r="AN326" s="55"/>
      <c r="AO326" s="55"/>
      <c r="AP326" s="55"/>
      <c r="AQ326" s="55"/>
      <c r="AR326" s="55"/>
      <c r="AS326" s="55"/>
      <c r="AT326" s="55"/>
      <c r="AU326" s="55"/>
      <c r="AV326" s="55"/>
      <c r="AW326" s="55"/>
      <c r="AX326" s="55"/>
      <c r="AY326" s="55"/>
      <c r="AZ326" s="55"/>
      <c r="BA326" s="55"/>
      <c r="BB326" s="55"/>
      <c r="BC326" s="55"/>
      <c r="BD326" s="55"/>
      <c r="BE326" s="55"/>
      <c r="BF326" s="55"/>
      <c r="BG326" s="55"/>
      <c r="BH326" s="55"/>
      <c r="BI326" s="55"/>
      <c r="BJ326" s="55"/>
      <c r="BK326" s="55"/>
      <c r="BL326" s="55"/>
      <c r="BM326" s="55"/>
      <c r="BN326" s="55"/>
      <c r="BO326" s="55"/>
      <c r="BP326" s="55"/>
      <c r="BQ326" s="55"/>
      <c r="BR326" s="55"/>
      <c r="BS326" s="55"/>
      <c r="BT326" s="55"/>
      <c r="BU326" s="55"/>
      <c r="BV326" s="55"/>
      <c r="BW326" s="55"/>
      <c r="BX326" s="55"/>
      <c r="BY326" s="55"/>
      <c r="BZ326" s="55"/>
      <c r="CA326" s="55"/>
      <c r="CB326" s="55"/>
      <c r="CC326" s="55"/>
      <c r="CD326" s="55"/>
      <c r="CE326" s="55"/>
      <c r="CF326" s="55"/>
      <c r="CG326" s="55"/>
      <c r="CH326" s="55"/>
      <c r="CI326" s="55"/>
      <c r="CJ326" s="55"/>
      <c r="CK326" s="55"/>
      <c r="CL326" s="55"/>
      <c r="CM326" s="55"/>
      <c r="CN326" s="55"/>
      <c r="CO326" s="55"/>
      <c r="CP326" s="55"/>
      <c r="CQ326" s="55"/>
      <c r="CR326" s="55"/>
      <c r="CS326" s="55"/>
      <c r="CT326" s="55"/>
      <c r="CU326" s="55"/>
      <c r="CV326" s="55"/>
      <c r="CW326" s="55"/>
      <c r="CX326" s="55"/>
      <c r="CY326" s="55"/>
      <c r="CZ326" s="55"/>
      <c r="DA326" s="55"/>
      <c r="DB326" s="55"/>
      <c r="DC326" s="55"/>
      <c r="DD326" s="55"/>
      <c r="DE326" s="55"/>
      <c r="DF326" s="55"/>
      <c r="DG326" s="55"/>
      <c r="DH326" s="55"/>
      <c r="DI326" s="55"/>
      <c r="DJ326" s="55"/>
      <c r="DK326" s="55"/>
      <c r="DL326" s="55"/>
      <c r="DM326" s="55"/>
      <c r="DN326" s="55"/>
      <c r="DO326" s="55"/>
      <c r="DP326" s="55"/>
      <c r="DQ326" s="55"/>
      <c r="DR326" s="55"/>
      <c r="DS326" s="55"/>
      <c r="DT326" s="55"/>
      <c r="DU326" s="55"/>
      <c r="DV326" s="55"/>
      <c r="DW326" s="55"/>
      <c r="DX326" s="55"/>
      <c r="DY326" s="55"/>
      <c r="DZ326" s="55"/>
      <c r="EA326" s="55"/>
      <c r="EB326" s="55"/>
      <c r="EC326" s="55"/>
      <c r="ED326" s="55"/>
      <c r="EE326" s="55"/>
      <c r="EF326" s="55"/>
      <c r="EG326" s="55"/>
      <c r="EH326" s="55"/>
      <c r="EI326" s="55"/>
      <c r="EJ326" s="55"/>
      <c r="EK326" s="55"/>
      <c r="EL326" s="55"/>
      <c r="EM326" s="55"/>
      <c r="EN326" s="55"/>
      <c r="EO326" s="55"/>
      <c r="EP326" s="55"/>
      <c r="EQ326" s="55"/>
      <c r="ER326" s="55"/>
      <c r="ES326" s="55"/>
      <c r="ET326" s="55"/>
      <c r="EU326" s="55"/>
      <c r="EV326" s="55"/>
      <c r="EW326" s="55"/>
      <c r="EX326" s="55"/>
      <c r="EY326" s="55"/>
      <c r="EZ326" s="55"/>
      <c r="FA326" s="55"/>
      <c r="FB326" s="55"/>
      <c r="FC326" s="55"/>
      <c r="FD326" s="55"/>
      <c r="FE326" s="55"/>
      <c r="FF326" s="55"/>
      <c r="FG326" s="55"/>
      <c r="FH326" s="55"/>
      <c r="FI326" s="55"/>
      <c r="FJ326" s="55"/>
      <c r="FK326" s="55"/>
      <c r="FL326" s="55"/>
      <c r="FM326" s="55"/>
      <c r="FN326" s="55"/>
      <c r="FO326" s="55"/>
      <c r="FP326" s="55"/>
      <c r="FQ326" s="55"/>
      <c r="FR326" s="55"/>
      <c r="FS326" s="55"/>
      <c r="FT326" s="55"/>
      <c r="FU326" s="55"/>
      <c r="FV326" s="55"/>
      <c r="FW326" s="55"/>
      <c r="FX326" s="55"/>
      <c r="FY326" s="55"/>
      <c r="FZ326" s="55"/>
      <c r="GA326" s="55"/>
      <c r="GB326" s="55"/>
      <c r="GC326" s="55"/>
      <c r="GD326" s="55"/>
      <c r="GE326" s="55"/>
      <c r="GF326" s="55"/>
      <c r="GG326" s="55"/>
      <c r="GH326" s="55"/>
      <c r="GI326" s="55"/>
      <c r="GJ326" s="55"/>
      <c r="GK326" s="55"/>
      <c r="GL326" s="55"/>
      <c r="GM326" s="55"/>
      <c r="GN326" s="55"/>
      <c r="GO326" s="55"/>
      <c r="GP326" s="55"/>
      <c r="GQ326" s="55"/>
      <c r="GR326" s="55"/>
      <c r="GS326" s="55"/>
      <c r="GT326" s="55"/>
      <c r="GU326" s="55"/>
      <c r="GV326" s="55"/>
      <c r="GW326" s="55"/>
      <c r="GX326" s="55"/>
      <c r="GY326" s="55"/>
      <c r="GZ326" s="55"/>
      <c r="HA326" s="55"/>
      <c r="HB326" s="55"/>
      <c r="HC326" s="55"/>
      <c r="HD326" s="55"/>
      <c r="HE326" s="55"/>
      <c r="HF326" s="55"/>
      <c r="HG326" s="55"/>
      <c r="HH326" s="55"/>
      <c r="HI326" s="55"/>
      <c r="HJ326" s="55"/>
      <c r="HK326" s="55"/>
      <c r="HL326" s="55"/>
      <c r="HM326" s="55"/>
      <c r="HN326" s="55"/>
      <c r="HO326" s="55"/>
      <c r="HP326" s="55"/>
      <c r="HQ326" s="55"/>
      <c r="HR326" s="55"/>
      <c r="HS326" s="55"/>
      <c r="HT326" s="55"/>
      <c r="HU326" s="55"/>
      <c r="HV326" s="55"/>
      <c r="HW326" s="55"/>
      <c r="HX326" s="55"/>
      <c r="HY326" s="55"/>
      <c r="HZ326" s="55"/>
      <c r="IA326" s="55"/>
      <c r="IB326" s="55"/>
      <c r="IC326" s="55"/>
      <c r="ID326" s="55"/>
    </row>
    <row r="327" s="52" customFormat="1" ht="25.5" spans="1:238">
      <c r="A327" s="112"/>
      <c r="B327" s="112"/>
      <c r="C327" s="64"/>
      <c r="D327" s="65"/>
      <c r="E327" s="77"/>
      <c r="F327" s="77"/>
      <c r="G327" s="64"/>
      <c r="H327" s="42"/>
      <c r="I327" s="42"/>
      <c r="J327" s="84"/>
      <c r="K327" s="84"/>
      <c r="L327" s="84"/>
      <c r="M327" s="41"/>
      <c r="N327" s="41"/>
      <c r="O327" s="41"/>
      <c r="P327" s="64"/>
      <c r="Q327" s="64"/>
      <c r="R327" s="64"/>
      <c r="S327" s="83"/>
      <c r="T327" s="77"/>
      <c r="U327" s="105" t="s">
        <v>1291</v>
      </c>
      <c r="V327" s="105">
        <v>330403005</v>
      </c>
      <c r="W327" s="106" t="s">
        <v>1292</v>
      </c>
      <c r="X327" s="105"/>
      <c r="Y327" s="105" t="s">
        <v>1244</v>
      </c>
      <c r="Z327" s="105" t="s">
        <v>36</v>
      </c>
      <c r="AA327" s="110" t="s">
        <v>35</v>
      </c>
      <c r="AB327" s="50">
        <v>375</v>
      </c>
      <c r="AC327" s="50">
        <v>360</v>
      </c>
      <c r="AD327" s="50">
        <v>306</v>
      </c>
      <c r="AE327" s="112" t="s">
        <v>37</v>
      </c>
      <c r="AF327" s="60"/>
      <c r="AG327" s="55"/>
      <c r="AH327" s="55"/>
      <c r="AI327" s="55"/>
      <c r="AJ327" s="55"/>
      <c r="AK327" s="55"/>
      <c r="AL327" s="55"/>
      <c r="AM327" s="55"/>
      <c r="AN327" s="55"/>
      <c r="AO327" s="55"/>
      <c r="AP327" s="55"/>
      <c r="AQ327" s="55"/>
      <c r="AR327" s="55"/>
      <c r="AS327" s="55"/>
      <c r="AT327" s="55"/>
      <c r="AU327" s="55"/>
      <c r="AV327" s="55"/>
      <c r="AW327" s="55"/>
      <c r="AX327" s="55"/>
      <c r="AY327" s="55"/>
      <c r="AZ327" s="55"/>
      <c r="BA327" s="55"/>
      <c r="BB327" s="55"/>
      <c r="BC327" s="55"/>
      <c r="BD327" s="55"/>
      <c r="BE327" s="55"/>
      <c r="BF327" s="55"/>
      <c r="BG327" s="55"/>
      <c r="BH327" s="55"/>
      <c r="BI327" s="55"/>
      <c r="BJ327" s="55"/>
      <c r="BK327" s="55"/>
      <c r="BL327" s="55"/>
      <c r="BM327" s="55"/>
      <c r="BN327" s="55"/>
      <c r="BO327" s="55"/>
      <c r="BP327" s="55"/>
      <c r="BQ327" s="55"/>
      <c r="BR327" s="55"/>
      <c r="BS327" s="55"/>
      <c r="BT327" s="55"/>
      <c r="BU327" s="55"/>
      <c r="BV327" s="55"/>
      <c r="BW327" s="55"/>
      <c r="BX327" s="55"/>
      <c r="BY327" s="55"/>
      <c r="BZ327" s="55"/>
      <c r="CA327" s="55"/>
      <c r="CB327" s="55"/>
      <c r="CC327" s="55"/>
      <c r="CD327" s="55"/>
      <c r="CE327" s="55"/>
      <c r="CF327" s="55"/>
      <c r="CG327" s="55"/>
      <c r="CH327" s="55"/>
      <c r="CI327" s="55"/>
      <c r="CJ327" s="55"/>
      <c r="CK327" s="55"/>
      <c r="CL327" s="55"/>
      <c r="CM327" s="55"/>
      <c r="CN327" s="55"/>
      <c r="CO327" s="55"/>
      <c r="CP327" s="55"/>
      <c r="CQ327" s="55"/>
      <c r="CR327" s="55"/>
      <c r="CS327" s="55"/>
      <c r="CT327" s="55"/>
      <c r="CU327" s="55"/>
      <c r="CV327" s="55"/>
      <c r="CW327" s="55"/>
      <c r="CX327" s="55"/>
      <c r="CY327" s="55"/>
      <c r="CZ327" s="55"/>
      <c r="DA327" s="55"/>
      <c r="DB327" s="55"/>
      <c r="DC327" s="55"/>
      <c r="DD327" s="55"/>
      <c r="DE327" s="55"/>
      <c r="DF327" s="55"/>
      <c r="DG327" s="55"/>
      <c r="DH327" s="55"/>
      <c r="DI327" s="55"/>
      <c r="DJ327" s="55"/>
      <c r="DK327" s="55"/>
      <c r="DL327" s="55"/>
      <c r="DM327" s="55"/>
      <c r="DN327" s="55"/>
      <c r="DO327" s="55"/>
      <c r="DP327" s="55"/>
      <c r="DQ327" s="55"/>
      <c r="DR327" s="55"/>
      <c r="DS327" s="55"/>
      <c r="DT327" s="55"/>
      <c r="DU327" s="55"/>
      <c r="DV327" s="55"/>
      <c r="DW327" s="55"/>
      <c r="DX327" s="55"/>
      <c r="DY327" s="55"/>
      <c r="DZ327" s="55"/>
      <c r="EA327" s="55"/>
      <c r="EB327" s="55"/>
      <c r="EC327" s="55"/>
      <c r="ED327" s="55"/>
      <c r="EE327" s="55"/>
      <c r="EF327" s="55"/>
      <c r="EG327" s="55"/>
      <c r="EH327" s="55"/>
      <c r="EI327" s="55"/>
      <c r="EJ327" s="55"/>
      <c r="EK327" s="55"/>
      <c r="EL327" s="55"/>
      <c r="EM327" s="55"/>
      <c r="EN327" s="55"/>
      <c r="EO327" s="55"/>
      <c r="EP327" s="55"/>
      <c r="EQ327" s="55"/>
      <c r="ER327" s="55"/>
      <c r="ES327" s="55"/>
      <c r="ET327" s="55"/>
      <c r="EU327" s="55"/>
      <c r="EV327" s="55"/>
      <c r="EW327" s="55"/>
      <c r="EX327" s="55"/>
      <c r="EY327" s="55"/>
      <c r="EZ327" s="55"/>
      <c r="FA327" s="55"/>
      <c r="FB327" s="55"/>
      <c r="FC327" s="55"/>
      <c r="FD327" s="55"/>
      <c r="FE327" s="55"/>
      <c r="FF327" s="55"/>
      <c r="FG327" s="55"/>
      <c r="FH327" s="55"/>
      <c r="FI327" s="55"/>
      <c r="FJ327" s="55"/>
      <c r="FK327" s="55"/>
      <c r="FL327" s="55"/>
      <c r="FM327" s="55"/>
      <c r="FN327" s="55"/>
      <c r="FO327" s="55"/>
      <c r="FP327" s="55"/>
      <c r="FQ327" s="55"/>
      <c r="FR327" s="55"/>
      <c r="FS327" s="55"/>
      <c r="FT327" s="55"/>
      <c r="FU327" s="55"/>
      <c r="FV327" s="55"/>
      <c r="FW327" s="55"/>
      <c r="FX327" s="55"/>
      <c r="FY327" s="55"/>
      <c r="FZ327" s="55"/>
      <c r="GA327" s="55"/>
      <c r="GB327" s="55"/>
      <c r="GC327" s="55"/>
      <c r="GD327" s="55"/>
      <c r="GE327" s="55"/>
      <c r="GF327" s="55"/>
      <c r="GG327" s="55"/>
      <c r="GH327" s="55"/>
      <c r="GI327" s="55"/>
      <c r="GJ327" s="55"/>
      <c r="GK327" s="55"/>
      <c r="GL327" s="55"/>
      <c r="GM327" s="55"/>
      <c r="GN327" s="55"/>
      <c r="GO327" s="55"/>
      <c r="GP327" s="55"/>
      <c r="GQ327" s="55"/>
      <c r="GR327" s="55"/>
      <c r="GS327" s="55"/>
      <c r="GT327" s="55"/>
      <c r="GU327" s="55"/>
      <c r="GV327" s="55"/>
      <c r="GW327" s="55"/>
      <c r="GX327" s="55"/>
      <c r="GY327" s="55"/>
      <c r="GZ327" s="55"/>
      <c r="HA327" s="55"/>
      <c r="HB327" s="55"/>
      <c r="HC327" s="55"/>
      <c r="HD327" s="55"/>
      <c r="HE327" s="55"/>
      <c r="HF327" s="55"/>
      <c r="HG327" s="55"/>
      <c r="HH327" s="55"/>
      <c r="HI327" s="55"/>
      <c r="HJ327" s="55"/>
      <c r="HK327" s="55"/>
      <c r="HL327" s="55"/>
      <c r="HM327" s="55"/>
      <c r="HN327" s="55"/>
      <c r="HO327" s="55"/>
      <c r="HP327" s="55"/>
      <c r="HQ327" s="55"/>
      <c r="HR327" s="55"/>
      <c r="HS327" s="55"/>
      <c r="HT327" s="55"/>
      <c r="HU327" s="55"/>
      <c r="HV327" s="55"/>
      <c r="HW327" s="55"/>
      <c r="HX327" s="55"/>
      <c r="HY327" s="55"/>
      <c r="HZ327" s="55"/>
      <c r="IA327" s="55"/>
      <c r="IB327" s="55"/>
      <c r="IC327" s="55"/>
      <c r="ID327" s="55"/>
    </row>
    <row r="328" s="52" customFormat="1" ht="25.5" spans="1:238">
      <c r="A328" s="112"/>
      <c r="B328" s="112"/>
      <c r="C328" s="64"/>
      <c r="D328" s="65"/>
      <c r="E328" s="77"/>
      <c r="F328" s="77"/>
      <c r="G328" s="64"/>
      <c r="H328" s="42"/>
      <c r="I328" s="42"/>
      <c r="J328" s="84"/>
      <c r="K328" s="84"/>
      <c r="L328" s="84"/>
      <c r="M328" s="41"/>
      <c r="N328" s="41"/>
      <c r="O328" s="41"/>
      <c r="P328" s="64"/>
      <c r="Q328" s="64"/>
      <c r="R328" s="64"/>
      <c r="S328" s="83"/>
      <c r="T328" s="77"/>
      <c r="U328" s="105" t="s">
        <v>1293</v>
      </c>
      <c r="V328" s="105">
        <v>33040300501</v>
      </c>
      <c r="W328" s="106" t="s">
        <v>1294</v>
      </c>
      <c r="X328" s="105"/>
      <c r="Y328" s="105"/>
      <c r="Z328" s="105" t="s">
        <v>36</v>
      </c>
      <c r="AA328" s="110" t="s">
        <v>35</v>
      </c>
      <c r="AB328" s="50">
        <v>490</v>
      </c>
      <c r="AC328" s="50">
        <v>470</v>
      </c>
      <c r="AD328" s="50">
        <v>400</v>
      </c>
      <c r="AE328" s="112" t="s">
        <v>37</v>
      </c>
      <c r="AF328" s="60"/>
      <c r="AG328" s="55"/>
      <c r="AH328" s="55"/>
      <c r="AI328" s="55"/>
      <c r="AJ328" s="55"/>
      <c r="AK328" s="55"/>
      <c r="AL328" s="55"/>
      <c r="AM328" s="55"/>
      <c r="AN328" s="55"/>
      <c r="AO328" s="55"/>
      <c r="AP328" s="55"/>
      <c r="AQ328" s="55"/>
      <c r="AR328" s="55"/>
      <c r="AS328" s="55"/>
      <c r="AT328" s="55"/>
      <c r="AU328" s="55"/>
      <c r="AV328" s="55"/>
      <c r="AW328" s="55"/>
      <c r="AX328" s="55"/>
      <c r="AY328" s="55"/>
      <c r="AZ328" s="55"/>
      <c r="BA328" s="55"/>
      <c r="BB328" s="55"/>
      <c r="BC328" s="55"/>
      <c r="BD328" s="55"/>
      <c r="BE328" s="55"/>
      <c r="BF328" s="55"/>
      <c r="BG328" s="55"/>
      <c r="BH328" s="55"/>
      <c r="BI328" s="55"/>
      <c r="BJ328" s="55"/>
      <c r="BK328" s="55"/>
      <c r="BL328" s="55"/>
      <c r="BM328" s="55"/>
      <c r="BN328" s="55"/>
      <c r="BO328" s="55"/>
      <c r="BP328" s="55"/>
      <c r="BQ328" s="55"/>
      <c r="BR328" s="55"/>
      <c r="BS328" s="55"/>
      <c r="BT328" s="55"/>
      <c r="BU328" s="55"/>
      <c r="BV328" s="55"/>
      <c r="BW328" s="55"/>
      <c r="BX328" s="55"/>
      <c r="BY328" s="55"/>
      <c r="BZ328" s="55"/>
      <c r="CA328" s="55"/>
      <c r="CB328" s="55"/>
      <c r="CC328" s="55"/>
      <c r="CD328" s="55"/>
      <c r="CE328" s="55"/>
      <c r="CF328" s="55"/>
      <c r="CG328" s="55"/>
      <c r="CH328" s="55"/>
      <c r="CI328" s="55"/>
      <c r="CJ328" s="55"/>
      <c r="CK328" s="55"/>
      <c r="CL328" s="55"/>
      <c r="CM328" s="55"/>
      <c r="CN328" s="55"/>
      <c r="CO328" s="55"/>
      <c r="CP328" s="55"/>
      <c r="CQ328" s="55"/>
      <c r="CR328" s="55"/>
      <c r="CS328" s="55"/>
      <c r="CT328" s="55"/>
      <c r="CU328" s="55"/>
      <c r="CV328" s="55"/>
      <c r="CW328" s="55"/>
      <c r="CX328" s="55"/>
      <c r="CY328" s="55"/>
      <c r="CZ328" s="55"/>
      <c r="DA328" s="55"/>
      <c r="DB328" s="55"/>
      <c r="DC328" s="55"/>
      <c r="DD328" s="55"/>
      <c r="DE328" s="55"/>
      <c r="DF328" s="55"/>
      <c r="DG328" s="55"/>
      <c r="DH328" s="55"/>
      <c r="DI328" s="55"/>
      <c r="DJ328" s="55"/>
      <c r="DK328" s="55"/>
      <c r="DL328" s="55"/>
      <c r="DM328" s="55"/>
      <c r="DN328" s="55"/>
      <c r="DO328" s="55"/>
      <c r="DP328" s="55"/>
      <c r="DQ328" s="55"/>
      <c r="DR328" s="55"/>
      <c r="DS328" s="55"/>
      <c r="DT328" s="55"/>
      <c r="DU328" s="55"/>
      <c r="DV328" s="55"/>
      <c r="DW328" s="55"/>
      <c r="DX328" s="55"/>
      <c r="DY328" s="55"/>
      <c r="DZ328" s="55"/>
      <c r="EA328" s="55"/>
      <c r="EB328" s="55"/>
      <c r="EC328" s="55"/>
      <c r="ED328" s="55"/>
      <c r="EE328" s="55"/>
      <c r="EF328" s="55"/>
      <c r="EG328" s="55"/>
      <c r="EH328" s="55"/>
      <c r="EI328" s="55"/>
      <c r="EJ328" s="55"/>
      <c r="EK328" s="55"/>
      <c r="EL328" s="55"/>
      <c r="EM328" s="55"/>
      <c r="EN328" s="55"/>
      <c r="EO328" s="55"/>
      <c r="EP328" s="55"/>
      <c r="EQ328" s="55"/>
      <c r="ER328" s="55"/>
      <c r="ES328" s="55"/>
      <c r="ET328" s="55"/>
      <c r="EU328" s="55"/>
      <c r="EV328" s="55"/>
      <c r="EW328" s="55"/>
      <c r="EX328" s="55"/>
      <c r="EY328" s="55"/>
      <c r="EZ328" s="55"/>
      <c r="FA328" s="55"/>
      <c r="FB328" s="55"/>
      <c r="FC328" s="55"/>
      <c r="FD328" s="55"/>
      <c r="FE328" s="55"/>
      <c r="FF328" s="55"/>
      <c r="FG328" s="55"/>
      <c r="FH328" s="55"/>
      <c r="FI328" s="55"/>
      <c r="FJ328" s="55"/>
      <c r="FK328" s="55"/>
      <c r="FL328" s="55"/>
      <c r="FM328" s="55"/>
      <c r="FN328" s="55"/>
      <c r="FO328" s="55"/>
      <c r="FP328" s="55"/>
      <c r="FQ328" s="55"/>
      <c r="FR328" s="55"/>
      <c r="FS328" s="55"/>
      <c r="FT328" s="55"/>
      <c r="FU328" s="55"/>
      <c r="FV328" s="55"/>
      <c r="FW328" s="55"/>
      <c r="FX328" s="55"/>
      <c r="FY328" s="55"/>
      <c r="FZ328" s="55"/>
      <c r="GA328" s="55"/>
      <c r="GB328" s="55"/>
      <c r="GC328" s="55"/>
      <c r="GD328" s="55"/>
      <c r="GE328" s="55"/>
      <c r="GF328" s="55"/>
      <c r="GG328" s="55"/>
      <c r="GH328" s="55"/>
      <c r="GI328" s="55"/>
      <c r="GJ328" s="55"/>
      <c r="GK328" s="55"/>
      <c r="GL328" s="55"/>
      <c r="GM328" s="55"/>
      <c r="GN328" s="55"/>
      <c r="GO328" s="55"/>
      <c r="GP328" s="55"/>
      <c r="GQ328" s="55"/>
      <c r="GR328" s="55"/>
      <c r="GS328" s="55"/>
      <c r="GT328" s="55"/>
      <c r="GU328" s="55"/>
      <c r="GV328" s="55"/>
      <c r="GW328" s="55"/>
      <c r="GX328" s="55"/>
      <c r="GY328" s="55"/>
      <c r="GZ328" s="55"/>
      <c r="HA328" s="55"/>
      <c r="HB328" s="55"/>
      <c r="HC328" s="55"/>
      <c r="HD328" s="55"/>
      <c r="HE328" s="55"/>
      <c r="HF328" s="55"/>
      <c r="HG328" s="55"/>
      <c r="HH328" s="55"/>
      <c r="HI328" s="55"/>
      <c r="HJ328" s="55"/>
      <c r="HK328" s="55"/>
      <c r="HL328" s="55"/>
      <c r="HM328" s="55"/>
      <c r="HN328" s="55"/>
      <c r="HO328" s="55"/>
      <c r="HP328" s="55"/>
      <c r="HQ328" s="55"/>
      <c r="HR328" s="55"/>
      <c r="HS328" s="55"/>
      <c r="HT328" s="55"/>
      <c r="HU328" s="55"/>
      <c r="HV328" s="55"/>
      <c r="HW328" s="55"/>
      <c r="HX328" s="55"/>
      <c r="HY328" s="55"/>
      <c r="HZ328" s="55"/>
      <c r="IA328" s="55"/>
      <c r="IB328" s="55"/>
      <c r="IC328" s="55"/>
      <c r="ID328" s="55"/>
    </row>
    <row r="329" s="52" customFormat="1" ht="39" customHeight="1" spans="1:238">
      <c r="A329" s="112">
        <v>86</v>
      </c>
      <c r="B329" s="112" t="s">
        <v>1295</v>
      </c>
      <c r="C329" s="64" t="s">
        <v>1296</v>
      </c>
      <c r="D329" s="65" t="s">
        <v>1297</v>
      </c>
      <c r="E329" s="77" t="s">
        <v>1298</v>
      </c>
      <c r="F329" s="77" t="s">
        <v>35</v>
      </c>
      <c r="G329" s="64" t="s">
        <v>472</v>
      </c>
      <c r="H329" s="78">
        <v>270</v>
      </c>
      <c r="I329" s="78">
        <v>245</v>
      </c>
      <c r="J329" s="83">
        <v>250</v>
      </c>
      <c r="K329" s="83">
        <v>240</v>
      </c>
      <c r="L329" s="83">
        <v>204</v>
      </c>
      <c r="M329" s="41">
        <v>250</v>
      </c>
      <c r="N329" s="41">
        <v>240</v>
      </c>
      <c r="O329" s="41">
        <v>204</v>
      </c>
      <c r="P329" s="64" t="s">
        <v>37</v>
      </c>
      <c r="Q329" s="64" t="s">
        <v>35</v>
      </c>
      <c r="R329" s="64" t="s">
        <v>35</v>
      </c>
      <c r="S329" s="83" t="s">
        <v>381</v>
      </c>
      <c r="T329" s="77" t="s">
        <v>381</v>
      </c>
      <c r="U329" s="105" t="s">
        <v>1299</v>
      </c>
      <c r="V329" s="105">
        <v>330401002</v>
      </c>
      <c r="W329" s="106" t="s">
        <v>1300</v>
      </c>
      <c r="X329" s="105"/>
      <c r="Y329" s="105"/>
      <c r="Z329" s="105" t="s">
        <v>36</v>
      </c>
      <c r="AA329" s="110" t="s">
        <v>35</v>
      </c>
      <c r="AB329" s="50">
        <v>250</v>
      </c>
      <c r="AC329" s="50">
        <v>240</v>
      </c>
      <c r="AD329" s="50">
        <v>204</v>
      </c>
      <c r="AE329" s="112" t="s">
        <v>37</v>
      </c>
      <c r="AF329" s="60"/>
      <c r="AG329" s="55"/>
      <c r="AH329" s="55"/>
      <c r="AI329" s="55"/>
      <c r="AJ329" s="55"/>
      <c r="AK329" s="55"/>
      <c r="AL329" s="55"/>
      <c r="AM329" s="55"/>
      <c r="AN329" s="55"/>
      <c r="AO329" s="55"/>
      <c r="AP329" s="55"/>
      <c r="AQ329" s="55"/>
      <c r="AR329" s="55"/>
      <c r="AS329" s="55"/>
      <c r="AT329" s="55"/>
      <c r="AU329" s="55"/>
      <c r="AV329" s="55"/>
      <c r="AW329" s="55"/>
      <c r="AX329" s="55"/>
      <c r="AY329" s="55"/>
      <c r="AZ329" s="55"/>
      <c r="BA329" s="55"/>
      <c r="BB329" s="55"/>
      <c r="BC329" s="55"/>
      <c r="BD329" s="55"/>
      <c r="BE329" s="55"/>
      <c r="BF329" s="55"/>
      <c r="BG329" s="55"/>
      <c r="BH329" s="55"/>
      <c r="BI329" s="55"/>
      <c r="BJ329" s="55"/>
      <c r="BK329" s="55"/>
      <c r="BL329" s="55"/>
      <c r="BM329" s="55"/>
      <c r="BN329" s="55"/>
      <c r="BO329" s="55"/>
      <c r="BP329" s="55"/>
      <c r="BQ329" s="55"/>
      <c r="BR329" s="55"/>
      <c r="BS329" s="55"/>
      <c r="BT329" s="55"/>
      <c r="BU329" s="55"/>
      <c r="BV329" s="55"/>
      <c r="BW329" s="55"/>
      <c r="BX329" s="55"/>
      <c r="BY329" s="55"/>
      <c r="BZ329" s="55"/>
      <c r="CA329" s="55"/>
      <c r="CB329" s="55"/>
      <c r="CC329" s="55"/>
      <c r="CD329" s="55"/>
      <c r="CE329" s="55"/>
      <c r="CF329" s="55"/>
      <c r="CG329" s="55"/>
      <c r="CH329" s="55"/>
      <c r="CI329" s="55"/>
      <c r="CJ329" s="55"/>
      <c r="CK329" s="55"/>
      <c r="CL329" s="55"/>
      <c r="CM329" s="55"/>
      <c r="CN329" s="55"/>
      <c r="CO329" s="55"/>
      <c r="CP329" s="55"/>
      <c r="CQ329" s="55"/>
      <c r="CR329" s="55"/>
      <c r="CS329" s="55"/>
      <c r="CT329" s="55"/>
      <c r="CU329" s="55"/>
      <c r="CV329" s="55"/>
      <c r="CW329" s="55"/>
      <c r="CX329" s="55"/>
      <c r="CY329" s="55"/>
      <c r="CZ329" s="55"/>
      <c r="DA329" s="55"/>
      <c r="DB329" s="55"/>
      <c r="DC329" s="55"/>
      <c r="DD329" s="55"/>
      <c r="DE329" s="55"/>
      <c r="DF329" s="55"/>
      <c r="DG329" s="55"/>
      <c r="DH329" s="55"/>
      <c r="DI329" s="55"/>
      <c r="DJ329" s="55"/>
      <c r="DK329" s="55"/>
      <c r="DL329" s="55"/>
      <c r="DM329" s="55"/>
      <c r="DN329" s="55"/>
      <c r="DO329" s="55"/>
      <c r="DP329" s="55"/>
      <c r="DQ329" s="55"/>
      <c r="DR329" s="55"/>
      <c r="DS329" s="55"/>
      <c r="DT329" s="55"/>
      <c r="DU329" s="55"/>
      <c r="DV329" s="55"/>
      <c r="DW329" s="55"/>
      <c r="DX329" s="55"/>
      <c r="DY329" s="55"/>
      <c r="DZ329" s="55"/>
      <c r="EA329" s="55"/>
      <c r="EB329" s="55"/>
      <c r="EC329" s="55"/>
      <c r="ED329" s="55"/>
      <c r="EE329" s="55"/>
      <c r="EF329" s="55"/>
      <c r="EG329" s="55"/>
      <c r="EH329" s="55"/>
      <c r="EI329" s="55"/>
      <c r="EJ329" s="55"/>
      <c r="EK329" s="55"/>
      <c r="EL329" s="55"/>
      <c r="EM329" s="55"/>
      <c r="EN329" s="55"/>
      <c r="EO329" s="55"/>
      <c r="EP329" s="55"/>
      <c r="EQ329" s="55"/>
      <c r="ER329" s="55"/>
      <c r="ES329" s="55"/>
      <c r="ET329" s="55"/>
      <c r="EU329" s="55"/>
      <c r="EV329" s="55"/>
      <c r="EW329" s="55"/>
      <c r="EX329" s="55"/>
      <c r="EY329" s="55"/>
      <c r="EZ329" s="55"/>
      <c r="FA329" s="55"/>
      <c r="FB329" s="55"/>
      <c r="FC329" s="55"/>
      <c r="FD329" s="55"/>
      <c r="FE329" s="55"/>
      <c r="FF329" s="55"/>
      <c r="FG329" s="55"/>
      <c r="FH329" s="55"/>
      <c r="FI329" s="55"/>
      <c r="FJ329" s="55"/>
      <c r="FK329" s="55"/>
      <c r="FL329" s="55"/>
      <c r="FM329" s="55"/>
      <c r="FN329" s="55"/>
      <c r="FO329" s="55"/>
      <c r="FP329" s="55"/>
      <c r="FQ329" s="55"/>
      <c r="FR329" s="55"/>
      <c r="FS329" s="55"/>
      <c r="FT329" s="55"/>
      <c r="FU329" s="55"/>
      <c r="FV329" s="55"/>
      <c r="FW329" s="55"/>
      <c r="FX329" s="55"/>
      <c r="FY329" s="55"/>
      <c r="FZ329" s="55"/>
      <c r="GA329" s="55"/>
      <c r="GB329" s="55"/>
      <c r="GC329" s="55"/>
      <c r="GD329" s="55"/>
      <c r="GE329" s="55"/>
      <c r="GF329" s="55"/>
      <c r="GG329" s="55"/>
      <c r="GH329" s="55"/>
      <c r="GI329" s="55"/>
      <c r="GJ329" s="55"/>
      <c r="GK329" s="55"/>
      <c r="GL329" s="55"/>
      <c r="GM329" s="55"/>
      <c r="GN329" s="55"/>
      <c r="GO329" s="55"/>
      <c r="GP329" s="55"/>
      <c r="GQ329" s="55"/>
      <c r="GR329" s="55"/>
      <c r="GS329" s="55"/>
      <c r="GT329" s="55"/>
      <c r="GU329" s="55"/>
      <c r="GV329" s="55"/>
      <c r="GW329" s="55"/>
      <c r="GX329" s="55"/>
      <c r="GY329" s="55"/>
      <c r="GZ329" s="55"/>
      <c r="HA329" s="55"/>
      <c r="HB329" s="55"/>
      <c r="HC329" s="55"/>
      <c r="HD329" s="55"/>
      <c r="HE329" s="55"/>
      <c r="HF329" s="55"/>
      <c r="HG329" s="55"/>
      <c r="HH329" s="55"/>
      <c r="HI329" s="55"/>
      <c r="HJ329" s="55"/>
      <c r="HK329" s="55"/>
      <c r="HL329" s="55"/>
      <c r="HM329" s="55"/>
      <c r="HN329" s="55"/>
      <c r="HO329" s="55"/>
      <c r="HP329" s="55"/>
      <c r="HQ329" s="55"/>
      <c r="HR329" s="55"/>
      <c r="HS329" s="55"/>
      <c r="HT329" s="55"/>
      <c r="HU329" s="55"/>
      <c r="HV329" s="55"/>
      <c r="HW329" s="55"/>
      <c r="HX329" s="55"/>
      <c r="HY329" s="55"/>
      <c r="HZ329" s="55"/>
      <c r="IA329" s="55"/>
      <c r="IB329" s="55"/>
      <c r="IC329" s="55"/>
      <c r="ID329" s="55"/>
    </row>
    <row r="330" s="52" customFormat="1" ht="39" customHeight="1" spans="1:238">
      <c r="A330" s="112"/>
      <c r="B330" s="112"/>
      <c r="C330" s="64"/>
      <c r="D330" s="65"/>
      <c r="E330" s="77"/>
      <c r="F330" s="77"/>
      <c r="G330" s="64"/>
      <c r="H330" s="42"/>
      <c r="I330" s="42"/>
      <c r="J330" s="83"/>
      <c r="K330" s="83"/>
      <c r="L330" s="83"/>
      <c r="M330" s="41"/>
      <c r="N330" s="41"/>
      <c r="O330" s="41"/>
      <c r="P330" s="64"/>
      <c r="Q330" s="64"/>
      <c r="R330" s="64"/>
      <c r="S330" s="83"/>
      <c r="T330" s="77"/>
      <c r="U330" s="105" t="s">
        <v>1301</v>
      </c>
      <c r="V330" s="105">
        <v>330401009</v>
      </c>
      <c r="W330" s="106" t="s">
        <v>1302</v>
      </c>
      <c r="X330" s="105"/>
      <c r="Y330" s="105"/>
      <c r="Z330" s="105" t="s">
        <v>36</v>
      </c>
      <c r="AA330" s="110" t="s">
        <v>35</v>
      </c>
      <c r="AB330" s="50">
        <v>250</v>
      </c>
      <c r="AC330" s="50">
        <v>240</v>
      </c>
      <c r="AD330" s="50">
        <v>204</v>
      </c>
      <c r="AE330" s="112" t="s">
        <v>37</v>
      </c>
      <c r="AF330" s="60"/>
      <c r="AG330" s="55"/>
      <c r="AH330" s="55"/>
      <c r="AI330" s="55"/>
      <c r="AJ330" s="55"/>
      <c r="AK330" s="55"/>
      <c r="AL330" s="55"/>
      <c r="AM330" s="55"/>
      <c r="AN330" s="55"/>
      <c r="AO330" s="55"/>
      <c r="AP330" s="55"/>
      <c r="AQ330" s="55"/>
      <c r="AR330" s="55"/>
      <c r="AS330" s="55"/>
      <c r="AT330" s="55"/>
      <c r="AU330" s="55"/>
      <c r="AV330" s="55"/>
      <c r="AW330" s="55"/>
      <c r="AX330" s="55"/>
      <c r="AY330" s="55"/>
      <c r="AZ330" s="55"/>
      <c r="BA330" s="55"/>
      <c r="BB330" s="55"/>
      <c r="BC330" s="55"/>
      <c r="BD330" s="55"/>
      <c r="BE330" s="55"/>
      <c r="BF330" s="55"/>
      <c r="BG330" s="55"/>
      <c r="BH330" s="55"/>
      <c r="BI330" s="55"/>
      <c r="BJ330" s="55"/>
      <c r="BK330" s="55"/>
      <c r="BL330" s="55"/>
      <c r="BM330" s="55"/>
      <c r="BN330" s="55"/>
      <c r="BO330" s="55"/>
      <c r="BP330" s="55"/>
      <c r="BQ330" s="55"/>
      <c r="BR330" s="55"/>
      <c r="BS330" s="55"/>
      <c r="BT330" s="55"/>
      <c r="BU330" s="55"/>
      <c r="BV330" s="55"/>
      <c r="BW330" s="55"/>
      <c r="BX330" s="55"/>
      <c r="BY330" s="55"/>
      <c r="BZ330" s="55"/>
      <c r="CA330" s="55"/>
      <c r="CB330" s="55"/>
      <c r="CC330" s="55"/>
      <c r="CD330" s="55"/>
      <c r="CE330" s="55"/>
      <c r="CF330" s="55"/>
      <c r="CG330" s="55"/>
      <c r="CH330" s="55"/>
      <c r="CI330" s="55"/>
      <c r="CJ330" s="55"/>
      <c r="CK330" s="55"/>
      <c r="CL330" s="55"/>
      <c r="CM330" s="55"/>
      <c r="CN330" s="55"/>
      <c r="CO330" s="55"/>
      <c r="CP330" s="55"/>
      <c r="CQ330" s="55"/>
      <c r="CR330" s="55"/>
      <c r="CS330" s="55"/>
      <c r="CT330" s="55"/>
      <c r="CU330" s="55"/>
      <c r="CV330" s="55"/>
      <c r="CW330" s="55"/>
      <c r="CX330" s="55"/>
      <c r="CY330" s="55"/>
      <c r="CZ330" s="55"/>
      <c r="DA330" s="55"/>
      <c r="DB330" s="55"/>
      <c r="DC330" s="55"/>
      <c r="DD330" s="55"/>
      <c r="DE330" s="55"/>
      <c r="DF330" s="55"/>
      <c r="DG330" s="55"/>
      <c r="DH330" s="55"/>
      <c r="DI330" s="55"/>
      <c r="DJ330" s="55"/>
      <c r="DK330" s="55"/>
      <c r="DL330" s="55"/>
      <c r="DM330" s="55"/>
      <c r="DN330" s="55"/>
      <c r="DO330" s="55"/>
      <c r="DP330" s="55"/>
      <c r="DQ330" s="55"/>
      <c r="DR330" s="55"/>
      <c r="DS330" s="55"/>
      <c r="DT330" s="55"/>
      <c r="DU330" s="55"/>
      <c r="DV330" s="55"/>
      <c r="DW330" s="55"/>
      <c r="DX330" s="55"/>
      <c r="DY330" s="55"/>
      <c r="DZ330" s="55"/>
      <c r="EA330" s="55"/>
      <c r="EB330" s="55"/>
      <c r="EC330" s="55"/>
      <c r="ED330" s="55"/>
      <c r="EE330" s="55"/>
      <c r="EF330" s="55"/>
      <c r="EG330" s="55"/>
      <c r="EH330" s="55"/>
      <c r="EI330" s="55"/>
      <c r="EJ330" s="55"/>
      <c r="EK330" s="55"/>
      <c r="EL330" s="55"/>
      <c r="EM330" s="55"/>
      <c r="EN330" s="55"/>
      <c r="EO330" s="55"/>
      <c r="EP330" s="55"/>
      <c r="EQ330" s="55"/>
      <c r="ER330" s="55"/>
      <c r="ES330" s="55"/>
      <c r="ET330" s="55"/>
      <c r="EU330" s="55"/>
      <c r="EV330" s="55"/>
      <c r="EW330" s="55"/>
      <c r="EX330" s="55"/>
      <c r="EY330" s="55"/>
      <c r="EZ330" s="55"/>
      <c r="FA330" s="55"/>
      <c r="FB330" s="55"/>
      <c r="FC330" s="55"/>
      <c r="FD330" s="55"/>
      <c r="FE330" s="55"/>
      <c r="FF330" s="55"/>
      <c r="FG330" s="55"/>
      <c r="FH330" s="55"/>
      <c r="FI330" s="55"/>
      <c r="FJ330" s="55"/>
      <c r="FK330" s="55"/>
      <c r="FL330" s="55"/>
      <c r="FM330" s="55"/>
      <c r="FN330" s="55"/>
      <c r="FO330" s="55"/>
      <c r="FP330" s="55"/>
      <c r="FQ330" s="55"/>
      <c r="FR330" s="55"/>
      <c r="FS330" s="55"/>
      <c r="FT330" s="55"/>
      <c r="FU330" s="55"/>
      <c r="FV330" s="55"/>
      <c r="FW330" s="55"/>
      <c r="FX330" s="55"/>
      <c r="FY330" s="55"/>
      <c r="FZ330" s="55"/>
      <c r="GA330" s="55"/>
      <c r="GB330" s="55"/>
      <c r="GC330" s="55"/>
      <c r="GD330" s="55"/>
      <c r="GE330" s="55"/>
      <c r="GF330" s="55"/>
      <c r="GG330" s="55"/>
      <c r="GH330" s="55"/>
      <c r="GI330" s="55"/>
      <c r="GJ330" s="55"/>
      <c r="GK330" s="55"/>
      <c r="GL330" s="55"/>
      <c r="GM330" s="55"/>
      <c r="GN330" s="55"/>
      <c r="GO330" s="55"/>
      <c r="GP330" s="55"/>
      <c r="GQ330" s="55"/>
      <c r="GR330" s="55"/>
      <c r="GS330" s="55"/>
      <c r="GT330" s="55"/>
      <c r="GU330" s="55"/>
      <c r="GV330" s="55"/>
      <c r="GW330" s="55"/>
      <c r="GX330" s="55"/>
      <c r="GY330" s="55"/>
      <c r="GZ330" s="55"/>
      <c r="HA330" s="55"/>
      <c r="HB330" s="55"/>
      <c r="HC330" s="55"/>
      <c r="HD330" s="55"/>
      <c r="HE330" s="55"/>
      <c r="HF330" s="55"/>
      <c r="HG330" s="55"/>
      <c r="HH330" s="55"/>
      <c r="HI330" s="55"/>
      <c r="HJ330" s="55"/>
      <c r="HK330" s="55"/>
      <c r="HL330" s="55"/>
      <c r="HM330" s="55"/>
      <c r="HN330" s="55"/>
      <c r="HO330" s="55"/>
      <c r="HP330" s="55"/>
      <c r="HQ330" s="55"/>
      <c r="HR330" s="55"/>
      <c r="HS330" s="55"/>
      <c r="HT330" s="55"/>
      <c r="HU330" s="55"/>
      <c r="HV330" s="55"/>
      <c r="HW330" s="55"/>
      <c r="HX330" s="55"/>
      <c r="HY330" s="55"/>
      <c r="HZ330" s="55"/>
      <c r="IA330" s="55"/>
      <c r="IB330" s="55"/>
      <c r="IC330" s="55"/>
      <c r="ID330" s="55"/>
    </row>
    <row r="331" s="52" customFormat="1" ht="25.5" spans="1:238">
      <c r="A331" s="112" t="s">
        <v>95</v>
      </c>
      <c r="B331" s="112" t="s">
        <v>1303</v>
      </c>
      <c r="C331" s="64" t="s">
        <v>1304</v>
      </c>
      <c r="D331" s="65"/>
      <c r="E331" s="77"/>
      <c r="F331" s="77" t="s">
        <v>35</v>
      </c>
      <c r="G331" s="64" t="s">
        <v>472</v>
      </c>
      <c r="H331" s="78">
        <v>81</v>
      </c>
      <c r="I331" s="78">
        <v>74</v>
      </c>
      <c r="J331" s="83">
        <v>75</v>
      </c>
      <c r="K331" s="83">
        <v>70</v>
      </c>
      <c r="L331" s="83">
        <v>61</v>
      </c>
      <c r="M331" s="41">
        <v>75</v>
      </c>
      <c r="N331" s="41">
        <v>72</v>
      </c>
      <c r="O331" s="41">
        <v>61</v>
      </c>
      <c r="P331" s="64" t="s">
        <v>37</v>
      </c>
      <c r="Q331" s="64" t="s">
        <v>35</v>
      </c>
      <c r="R331" s="64" t="s">
        <v>35</v>
      </c>
      <c r="S331" s="83"/>
      <c r="T331" s="77" t="s">
        <v>186</v>
      </c>
      <c r="U331" s="105" t="s">
        <v>1305</v>
      </c>
      <c r="V331" s="105">
        <v>33040100201</v>
      </c>
      <c r="W331" s="106" t="s">
        <v>1306</v>
      </c>
      <c r="X331" s="105"/>
      <c r="Y331" s="105"/>
      <c r="Z331" s="105" t="s">
        <v>36</v>
      </c>
      <c r="AA331" s="110" t="s">
        <v>35</v>
      </c>
      <c r="AB331" s="50">
        <v>325</v>
      </c>
      <c r="AC331" s="50">
        <v>310</v>
      </c>
      <c r="AD331" s="50">
        <v>265</v>
      </c>
      <c r="AE331" s="112" t="s">
        <v>37</v>
      </c>
      <c r="AF331" s="60"/>
      <c r="AG331" s="55"/>
      <c r="AH331" s="55"/>
      <c r="AI331" s="55"/>
      <c r="AJ331" s="55"/>
      <c r="AK331" s="55"/>
      <c r="AL331" s="55"/>
      <c r="AM331" s="55"/>
      <c r="AN331" s="55"/>
      <c r="AO331" s="55"/>
      <c r="AP331" s="55"/>
      <c r="AQ331" s="55"/>
      <c r="AR331" s="55"/>
      <c r="AS331" s="55"/>
      <c r="AT331" s="55"/>
      <c r="AU331" s="55"/>
      <c r="AV331" s="55"/>
      <c r="AW331" s="55"/>
      <c r="AX331" s="55"/>
      <c r="AY331" s="55"/>
      <c r="AZ331" s="55"/>
      <c r="BA331" s="55"/>
      <c r="BB331" s="55"/>
      <c r="BC331" s="55"/>
      <c r="BD331" s="55"/>
      <c r="BE331" s="55"/>
      <c r="BF331" s="55"/>
      <c r="BG331" s="55"/>
      <c r="BH331" s="55"/>
      <c r="BI331" s="55"/>
      <c r="BJ331" s="55"/>
      <c r="BK331" s="55"/>
      <c r="BL331" s="55"/>
      <c r="BM331" s="55"/>
      <c r="BN331" s="55"/>
      <c r="BO331" s="55"/>
      <c r="BP331" s="55"/>
      <c r="BQ331" s="55"/>
      <c r="BR331" s="55"/>
      <c r="BS331" s="55"/>
      <c r="BT331" s="55"/>
      <c r="BU331" s="55"/>
      <c r="BV331" s="55"/>
      <c r="BW331" s="55"/>
      <c r="BX331" s="55"/>
      <c r="BY331" s="55"/>
      <c r="BZ331" s="55"/>
      <c r="CA331" s="55"/>
      <c r="CB331" s="55"/>
      <c r="CC331" s="55"/>
      <c r="CD331" s="55"/>
      <c r="CE331" s="55"/>
      <c r="CF331" s="55"/>
      <c r="CG331" s="55"/>
      <c r="CH331" s="55"/>
      <c r="CI331" s="55"/>
      <c r="CJ331" s="55"/>
      <c r="CK331" s="55"/>
      <c r="CL331" s="55"/>
      <c r="CM331" s="55"/>
      <c r="CN331" s="55"/>
      <c r="CO331" s="55"/>
      <c r="CP331" s="55"/>
      <c r="CQ331" s="55"/>
      <c r="CR331" s="55"/>
      <c r="CS331" s="55"/>
      <c r="CT331" s="55"/>
      <c r="CU331" s="55"/>
      <c r="CV331" s="55"/>
      <c r="CW331" s="55"/>
      <c r="CX331" s="55"/>
      <c r="CY331" s="55"/>
      <c r="CZ331" s="55"/>
      <c r="DA331" s="55"/>
      <c r="DB331" s="55"/>
      <c r="DC331" s="55"/>
      <c r="DD331" s="55"/>
      <c r="DE331" s="55"/>
      <c r="DF331" s="55"/>
      <c r="DG331" s="55"/>
      <c r="DH331" s="55"/>
      <c r="DI331" s="55"/>
      <c r="DJ331" s="55"/>
      <c r="DK331" s="55"/>
      <c r="DL331" s="55"/>
      <c r="DM331" s="55"/>
      <c r="DN331" s="55"/>
      <c r="DO331" s="55"/>
      <c r="DP331" s="55"/>
      <c r="DQ331" s="55"/>
      <c r="DR331" s="55"/>
      <c r="DS331" s="55"/>
      <c r="DT331" s="55"/>
      <c r="DU331" s="55"/>
      <c r="DV331" s="55"/>
      <c r="DW331" s="55"/>
      <c r="DX331" s="55"/>
      <c r="DY331" s="55"/>
      <c r="DZ331" s="55"/>
      <c r="EA331" s="55"/>
      <c r="EB331" s="55"/>
      <c r="EC331" s="55"/>
      <c r="ED331" s="55"/>
      <c r="EE331" s="55"/>
      <c r="EF331" s="55"/>
      <c r="EG331" s="55"/>
      <c r="EH331" s="55"/>
      <c r="EI331" s="55"/>
      <c r="EJ331" s="55"/>
      <c r="EK331" s="55"/>
      <c r="EL331" s="55"/>
      <c r="EM331" s="55"/>
      <c r="EN331" s="55"/>
      <c r="EO331" s="55"/>
      <c r="EP331" s="55"/>
      <c r="EQ331" s="55"/>
      <c r="ER331" s="55"/>
      <c r="ES331" s="55"/>
      <c r="ET331" s="55"/>
      <c r="EU331" s="55"/>
      <c r="EV331" s="55"/>
      <c r="EW331" s="55"/>
      <c r="EX331" s="55"/>
      <c r="EY331" s="55"/>
      <c r="EZ331" s="55"/>
      <c r="FA331" s="55"/>
      <c r="FB331" s="55"/>
      <c r="FC331" s="55"/>
      <c r="FD331" s="55"/>
      <c r="FE331" s="55"/>
      <c r="FF331" s="55"/>
      <c r="FG331" s="55"/>
      <c r="FH331" s="55"/>
      <c r="FI331" s="55"/>
      <c r="FJ331" s="55"/>
      <c r="FK331" s="55"/>
      <c r="FL331" s="55"/>
      <c r="FM331" s="55"/>
      <c r="FN331" s="55"/>
      <c r="FO331" s="55"/>
      <c r="FP331" s="55"/>
      <c r="FQ331" s="55"/>
      <c r="FR331" s="55"/>
      <c r="FS331" s="55"/>
      <c r="FT331" s="55"/>
      <c r="FU331" s="55"/>
      <c r="FV331" s="55"/>
      <c r="FW331" s="55"/>
      <c r="FX331" s="55"/>
      <c r="FY331" s="55"/>
      <c r="FZ331" s="55"/>
      <c r="GA331" s="55"/>
      <c r="GB331" s="55"/>
      <c r="GC331" s="55"/>
      <c r="GD331" s="55"/>
      <c r="GE331" s="55"/>
      <c r="GF331" s="55"/>
      <c r="GG331" s="55"/>
      <c r="GH331" s="55"/>
      <c r="GI331" s="55"/>
      <c r="GJ331" s="55"/>
      <c r="GK331" s="55"/>
      <c r="GL331" s="55"/>
      <c r="GM331" s="55"/>
      <c r="GN331" s="55"/>
      <c r="GO331" s="55"/>
      <c r="GP331" s="55"/>
      <c r="GQ331" s="55"/>
      <c r="GR331" s="55"/>
      <c r="GS331" s="55"/>
      <c r="GT331" s="55"/>
      <c r="GU331" s="55"/>
      <c r="GV331" s="55"/>
      <c r="GW331" s="55"/>
      <c r="GX331" s="55"/>
      <c r="GY331" s="55"/>
      <c r="GZ331" s="55"/>
      <c r="HA331" s="55"/>
      <c r="HB331" s="55"/>
      <c r="HC331" s="55"/>
      <c r="HD331" s="55"/>
      <c r="HE331" s="55"/>
      <c r="HF331" s="55"/>
      <c r="HG331" s="55"/>
      <c r="HH331" s="55"/>
      <c r="HI331" s="55"/>
      <c r="HJ331" s="55"/>
      <c r="HK331" s="55"/>
      <c r="HL331" s="55"/>
      <c r="HM331" s="55"/>
      <c r="HN331" s="55"/>
      <c r="HO331" s="55"/>
      <c r="HP331" s="55"/>
      <c r="HQ331" s="55"/>
      <c r="HR331" s="55"/>
      <c r="HS331" s="55"/>
      <c r="HT331" s="55"/>
      <c r="HU331" s="55"/>
      <c r="HV331" s="55"/>
      <c r="HW331" s="55"/>
      <c r="HX331" s="55"/>
      <c r="HY331" s="55"/>
      <c r="HZ331" s="55"/>
      <c r="IA331" s="55"/>
      <c r="IB331" s="55"/>
      <c r="IC331" s="55"/>
      <c r="ID331" s="55"/>
    </row>
    <row r="332" s="52" customFormat="1" ht="25.5" spans="1:238">
      <c r="A332" s="112"/>
      <c r="B332" s="112"/>
      <c r="C332" s="64"/>
      <c r="D332" s="65"/>
      <c r="E332" s="77"/>
      <c r="F332" s="77"/>
      <c r="G332" s="64"/>
      <c r="H332" s="42"/>
      <c r="I332" s="42"/>
      <c r="J332" s="83"/>
      <c r="K332" s="83"/>
      <c r="L332" s="83"/>
      <c r="M332" s="41"/>
      <c r="N332" s="41"/>
      <c r="O332" s="41"/>
      <c r="P332" s="64"/>
      <c r="Q332" s="64"/>
      <c r="R332" s="64"/>
      <c r="S332" s="83"/>
      <c r="T332" s="77"/>
      <c r="U332" s="105" t="s">
        <v>1307</v>
      </c>
      <c r="V332" s="105">
        <v>33040100901</v>
      </c>
      <c r="W332" s="106" t="s">
        <v>1308</v>
      </c>
      <c r="X332" s="105"/>
      <c r="Y332" s="105"/>
      <c r="Z332" s="105" t="s">
        <v>36</v>
      </c>
      <c r="AA332" s="110" t="s">
        <v>35</v>
      </c>
      <c r="AB332" s="50">
        <v>325</v>
      </c>
      <c r="AC332" s="50">
        <v>310</v>
      </c>
      <c r="AD332" s="50">
        <v>265</v>
      </c>
      <c r="AE332" s="112" t="s">
        <v>37</v>
      </c>
      <c r="AF332" s="60"/>
      <c r="AG332" s="55"/>
      <c r="AH332" s="55"/>
      <c r="AI332" s="55"/>
      <c r="AJ332" s="55"/>
      <c r="AK332" s="55"/>
      <c r="AL332" s="55"/>
      <c r="AM332" s="55"/>
      <c r="AN332" s="55"/>
      <c r="AO332" s="55"/>
      <c r="AP332" s="55"/>
      <c r="AQ332" s="55"/>
      <c r="AR332" s="55"/>
      <c r="AS332" s="55"/>
      <c r="AT332" s="55"/>
      <c r="AU332" s="55"/>
      <c r="AV332" s="55"/>
      <c r="AW332" s="55"/>
      <c r="AX332" s="55"/>
      <c r="AY332" s="55"/>
      <c r="AZ332" s="55"/>
      <c r="BA332" s="55"/>
      <c r="BB332" s="55"/>
      <c r="BC332" s="55"/>
      <c r="BD332" s="55"/>
      <c r="BE332" s="55"/>
      <c r="BF332" s="55"/>
      <c r="BG332" s="55"/>
      <c r="BH332" s="55"/>
      <c r="BI332" s="55"/>
      <c r="BJ332" s="55"/>
      <c r="BK332" s="55"/>
      <c r="BL332" s="55"/>
      <c r="BM332" s="55"/>
      <c r="BN332" s="55"/>
      <c r="BO332" s="55"/>
      <c r="BP332" s="55"/>
      <c r="BQ332" s="55"/>
      <c r="BR332" s="55"/>
      <c r="BS332" s="55"/>
      <c r="BT332" s="55"/>
      <c r="BU332" s="55"/>
      <c r="BV332" s="55"/>
      <c r="BW332" s="55"/>
      <c r="BX332" s="55"/>
      <c r="BY332" s="55"/>
      <c r="BZ332" s="55"/>
      <c r="CA332" s="55"/>
      <c r="CB332" s="55"/>
      <c r="CC332" s="55"/>
      <c r="CD332" s="55"/>
      <c r="CE332" s="55"/>
      <c r="CF332" s="55"/>
      <c r="CG332" s="55"/>
      <c r="CH332" s="55"/>
      <c r="CI332" s="55"/>
      <c r="CJ332" s="55"/>
      <c r="CK332" s="55"/>
      <c r="CL332" s="55"/>
      <c r="CM332" s="55"/>
      <c r="CN332" s="55"/>
      <c r="CO332" s="55"/>
      <c r="CP332" s="55"/>
      <c r="CQ332" s="55"/>
      <c r="CR332" s="55"/>
      <c r="CS332" s="55"/>
      <c r="CT332" s="55"/>
      <c r="CU332" s="55"/>
      <c r="CV332" s="55"/>
      <c r="CW332" s="55"/>
      <c r="CX332" s="55"/>
      <c r="CY332" s="55"/>
      <c r="CZ332" s="55"/>
      <c r="DA332" s="55"/>
      <c r="DB332" s="55"/>
      <c r="DC332" s="55"/>
      <c r="DD332" s="55"/>
      <c r="DE332" s="55"/>
      <c r="DF332" s="55"/>
      <c r="DG332" s="55"/>
      <c r="DH332" s="55"/>
      <c r="DI332" s="55"/>
      <c r="DJ332" s="55"/>
      <c r="DK332" s="55"/>
      <c r="DL332" s="55"/>
      <c r="DM332" s="55"/>
      <c r="DN332" s="55"/>
      <c r="DO332" s="55"/>
      <c r="DP332" s="55"/>
      <c r="DQ332" s="55"/>
      <c r="DR332" s="55"/>
      <c r="DS332" s="55"/>
      <c r="DT332" s="55"/>
      <c r="DU332" s="55"/>
      <c r="DV332" s="55"/>
      <c r="DW332" s="55"/>
      <c r="DX332" s="55"/>
      <c r="DY332" s="55"/>
      <c r="DZ332" s="55"/>
      <c r="EA332" s="55"/>
      <c r="EB332" s="55"/>
      <c r="EC332" s="55"/>
      <c r="ED332" s="55"/>
      <c r="EE332" s="55"/>
      <c r="EF332" s="55"/>
      <c r="EG332" s="55"/>
      <c r="EH332" s="55"/>
      <c r="EI332" s="55"/>
      <c r="EJ332" s="55"/>
      <c r="EK332" s="55"/>
      <c r="EL332" s="55"/>
      <c r="EM332" s="55"/>
      <c r="EN332" s="55"/>
      <c r="EO332" s="55"/>
      <c r="EP332" s="55"/>
      <c r="EQ332" s="55"/>
      <c r="ER332" s="55"/>
      <c r="ES332" s="55"/>
      <c r="ET332" s="55"/>
      <c r="EU332" s="55"/>
      <c r="EV332" s="55"/>
      <c r="EW332" s="55"/>
      <c r="EX332" s="55"/>
      <c r="EY332" s="55"/>
      <c r="EZ332" s="55"/>
      <c r="FA332" s="55"/>
      <c r="FB332" s="55"/>
      <c r="FC332" s="55"/>
      <c r="FD332" s="55"/>
      <c r="FE332" s="55"/>
      <c r="FF332" s="55"/>
      <c r="FG332" s="55"/>
      <c r="FH332" s="55"/>
      <c r="FI332" s="55"/>
      <c r="FJ332" s="55"/>
      <c r="FK332" s="55"/>
      <c r="FL332" s="55"/>
      <c r="FM332" s="55"/>
      <c r="FN332" s="55"/>
      <c r="FO332" s="55"/>
      <c r="FP332" s="55"/>
      <c r="FQ332" s="55"/>
      <c r="FR332" s="55"/>
      <c r="FS332" s="55"/>
      <c r="FT332" s="55"/>
      <c r="FU332" s="55"/>
      <c r="FV332" s="55"/>
      <c r="FW332" s="55"/>
      <c r="FX332" s="55"/>
      <c r="FY332" s="55"/>
      <c r="FZ332" s="55"/>
      <c r="GA332" s="55"/>
      <c r="GB332" s="55"/>
      <c r="GC332" s="55"/>
      <c r="GD332" s="55"/>
      <c r="GE332" s="55"/>
      <c r="GF332" s="55"/>
      <c r="GG332" s="55"/>
      <c r="GH332" s="55"/>
      <c r="GI332" s="55"/>
      <c r="GJ332" s="55"/>
      <c r="GK332" s="55"/>
      <c r="GL332" s="55"/>
      <c r="GM332" s="55"/>
      <c r="GN332" s="55"/>
      <c r="GO332" s="55"/>
      <c r="GP332" s="55"/>
      <c r="GQ332" s="55"/>
      <c r="GR332" s="55"/>
      <c r="GS332" s="55"/>
      <c r="GT332" s="55"/>
      <c r="GU332" s="55"/>
      <c r="GV332" s="55"/>
      <c r="GW332" s="55"/>
      <c r="GX332" s="55"/>
      <c r="GY332" s="55"/>
      <c r="GZ332" s="55"/>
      <c r="HA332" s="55"/>
      <c r="HB332" s="55"/>
      <c r="HC332" s="55"/>
      <c r="HD332" s="55"/>
      <c r="HE332" s="55"/>
      <c r="HF332" s="55"/>
      <c r="HG332" s="55"/>
      <c r="HH332" s="55"/>
      <c r="HI332" s="55"/>
      <c r="HJ332" s="55"/>
      <c r="HK332" s="55"/>
      <c r="HL332" s="55"/>
      <c r="HM332" s="55"/>
      <c r="HN332" s="55"/>
      <c r="HO332" s="55"/>
      <c r="HP332" s="55"/>
      <c r="HQ332" s="55"/>
      <c r="HR332" s="55"/>
      <c r="HS332" s="55"/>
      <c r="HT332" s="55"/>
      <c r="HU332" s="55"/>
      <c r="HV332" s="55"/>
      <c r="HW332" s="55"/>
      <c r="HX332" s="55"/>
      <c r="HY332" s="55"/>
      <c r="HZ332" s="55"/>
      <c r="IA332" s="55"/>
      <c r="IB332" s="55"/>
      <c r="IC332" s="55"/>
      <c r="ID332" s="55"/>
    </row>
    <row r="333" s="52" customFormat="1" ht="66" customHeight="1" spans="1:238">
      <c r="A333" s="112">
        <v>87</v>
      </c>
      <c r="B333" s="112" t="s">
        <v>1309</v>
      </c>
      <c r="C333" s="64" t="s">
        <v>1310</v>
      </c>
      <c r="D333" s="65" t="s">
        <v>1311</v>
      </c>
      <c r="E333" s="77" t="s">
        <v>1298</v>
      </c>
      <c r="F333" s="77" t="s">
        <v>1312</v>
      </c>
      <c r="G333" s="64" t="s">
        <v>472</v>
      </c>
      <c r="H333" s="78">
        <v>330</v>
      </c>
      <c r="I333" s="78">
        <v>297</v>
      </c>
      <c r="J333" s="83"/>
      <c r="K333" s="83"/>
      <c r="L333" s="83"/>
      <c r="M333" s="41">
        <v>305</v>
      </c>
      <c r="N333" s="41">
        <v>293</v>
      </c>
      <c r="O333" s="41">
        <v>250</v>
      </c>
      <c r="P333" s="64" t="s">
        <v>37</v>
      </c>
      <c r="Q333" s="64" t="s">
        <v>35</v>
      </c>
      <c r="R333" s="64" t="s">
        <v>35</v>
      </c>
      <c r="S333" s="83" t="s">
        <v>400</v>
      </c>
      <c r="T333" s="77" t="s">
        <v>1313</v>
      </c>
      <c r="U333" s="112"/>
      <c r="V333" s="112"/>
      <c r="W333" s="112"/>
      <c r="X333" s="64"/>
      <c r="Y333" s="112"/>
      <c r="Z333" s="112"/>
      <c r="AA333" s="110"/>
      <c r="AB333" s="50"/>
      <c r="AC333" s="50"/>
      <c r="AD333" s="50"/>
      <c r="AE333" s="112"/>
      <c r="AF333" s="60"/>
      <c r="AG333" s="55"/>
      <c r="AH333" s="55"/>
      <c r="AI333" s="55"/>
      <c r="AJ333" s="55"/>
      <c r="AK333" s="55"/>
      <c r="AL333" s="55"/>
      <c r="AM333" s="55"/>
      <c r="AN333" s="55"/>
      <c r="AO333" s="55"/>
      <c r="AP333" s="55"/>
      <c r="AQ333" s="55"/>
      <c r="AR333" s="55"/>
      <c r="AS333" s="55"/>
      <c r="AT333" s="55"/>
      <c r="AU333" s="55"/>
      <c r="AV333" s="55"/>
      <c r="AW333" s="55"/>
      <c r="AX333" s="55"/>
      <c r="AY333" s="55"/>
      <c r="AZ333" s="55"/>
      <c r="BA333" s="55"/>
      <c r="BB333" s="55"/>
      <c r="BC333" s="55"/>
      <c r="BD333" s="55"/>
      <c r="BE333" s="55"/>
      <c r="BF333" s="55"/>
      <c r="BG333" s="55"/>
      <c r="BH333" s="55"/>
      <c r="BI333" s="55"/>
      <c r="BJ333" s="55"/>
      <c r="BK333" s="55"/>
      <c r="BL333" s="55"/>
      <c r="BM333" s="55"/>
      <c r="BN333" s="55"/>
      <c r="BO333" s="55"/>
      <c r="BP333" s="55"/>
      <c r="BQ333" s="55"/>
      <c r="BR333" s="55"/>
      <c r="BS333" s="55"/>
      <c r="BT333" s="55"/>
      <c r="BU333" s="55"/>
      <c r="BV333" s="55"/>
      <c r="BW333" s="55"/>
      <c r="BX333" s="55"/>
      <c r="BY333" s="55"/>
      <c r="BZ333" s="55"/>
      <c r="CA333" s="55"/>
      <c r="CB333" s="55"/>
      <c r="CC333" s="55"/>
      <c r="CD333" s="55"/>
      <c r="CE333" s="55"/>
      <c r="CF333" s="55"/>
      <c r="CG333" s="55"/>
      <c r="CH333" s="55"/>
      <c r="CI333" s="55"/>
      <c r="CJ333" s="55"/>
      <c r="CK333" s="55"/>
      <c r="CL333" s="55"/>
      <c r="CM333" s="55"/>
      <c r="CN333" s="55"/>
      <c r="CO333" s="55"/>
      <c r="CP333" s="55"/>
      <c r="CQ333" s="55"/>
      <c r="CR333" s="55"/>
      <c r="CS333" s="55"/>
      <c r="CT333" s="55"/>
      <c r="CU333" s="55"/>
      <c r="CV333" s="55"/>
      <c r="CW333" s="55"/>
      <c r="CX333" s="55"/>
      <c r="CY333" s="55"/>
      <c r="CZ333" s="55"/>
      <c r="DA333" s="55"/>
      <c r="DB333" s="55"/>
      <c r="DC333" s="55"/>
      <c r="DD333" s="55"/>
      <c r="DE333" s="55"/>
      <c r="DF333" s="55"/>
      <c r="DG333" s="55"/>
      <c r="DH333" s="55"/>
      <c r="DI333" s="55"/>
      <c r="DJ333" s="55"/>
      <c r="DK333" s="55"/>
      <c r="DL333" s="55"/>
      <c r="DM333" s="55"/>
      <c r="DN333" s="55"/>
      <c r="DO333" s="55"/>
      <c r="DP333" s="55"/>
      <c r="DQ333" s="55"/>
      <c r="DR333" s="55"/>
      <c r="DS333" s="55"/>
      <c r="DT333" s="55"/>
      <c r="DU333" s="55"/>
      <c r="DV333" s="55"/>
      <c r="DW333" s="55"/>
      <c r="DX333" s="55"/>
      <c r="DY333" s="55"/>
      <c r="DZ333" s="55"/>
      <c r="EA333" s="55"/>
      <c r="EB333" s="55"/>
      <c r="EC333" s="55"/>
      <c r="ED333" s="55"/>
      <c r="EE333" s="55"/>
      <c r="EF333" s="55"/>
      <c r="EG333" s="55"/>
      <c r="EH333" s="55"/>
      <c r="EI333" s="55"/>
      <c r="EJ333" s="55"/>
      <c r="EK333" s="55"/>
      <c r="EL333" s="55"/>
      <c r="EM333" s="55"/>
      <c r="EN333" s="55"/>
      <c r="EO333" s="55"/>
      <c r="EP333" s="55"/>
      <c r="EQ333" s="55"/>
      <c r="ER333" s="55"/>
      <c r="ES333" s="55"/>
      <c r="ET333" s="55"/>
      <c r="EU333" s="55"/>
      <c r="EV333" s="55"/>
      <c r="EW333" s="55"/>
      <c r="EX333" s="55"/>
      <c r="EY333" s="55"/>
      <c r="EZ333" s="55"/>
      <c r="FA333" s="55"/>
      <c r="FB333" s="55"/>
      <c r="FC333" s="55"/>
      <c r="FD333" s="55"/>
      <c r="FE333" s="55"/>
      <c r="FF333" s="55"/>
      <c r="FG333" s="55"/>
      <c r="FH333" s="55"/>
      <c r="FI333" s="55"/>
      <c r="FJ333" s="55"/>
      <c r="FK333" s="55"/>
      <c r="FL333" s="55"/>
      <c r="FM333" s="55"/>
      <c r="FN333" s="55"/>
      <c r="FO333" s="55"/>
      <c r="FP333" s="55"/>
      <c r="FQ333" s="55"/>
      <c r="FR333" s="55"/>
      <c r="FS333" s="55"/>
      <c r="FT333" s="55"/>
      <c r="FU333" s="55"/>
      <c r="FV333" s="55"/>
      <c r="FW333" s="55"/>
      <c r="FX333" s="55"/>
      <c r="FY333" s="55"/>
      <c r="FZ333" s="55"/>
      <c r="GA333" s="55"/>
      <c r="GB333" s="55"/>
      <c r="GC333" s="55"/>
      <c r="GD333" s="55"/>
      <c r="GE333" s="55"/>
      <c r="GF333" s="55"/>
      <c r="GG333" s="55"/>
      <c r="GH333" s="55"/>
      <c r="GI333" s="55"/>
      <c r="GJ333" s="55"/>
      <c r="GK333" s="55"/>
      <c r="GL333" s="55"/>
      <c r="GM333" s="55"/>
      <c r="GN333" s="55"/>
      <c r="GO333" s="55"/>
      <c r="GP333" s="55"/>
      <c r="GQ333" s="55"/>
      <c r="GR333" s="55"/>
      <c r="GS333" s="55"/>
      <c r="GT333" s="55"/>
      <c r="GU333" s="55"/>
      <c r="GV333" s="55"/>
      <c r="GW333" s="55"/>
      <c r="GX333" s="55"/>
      <c r="GY333" s="55"/>
      <c r="GZ333" s="55"/>
      <c r="HA333" s="55"/>
      <c r="HB333" s="55"/>
      <c r="HC333" s="55"/>
      <c r="HD333" s="55"/>
      <c r="HE333" s="55"/>
      <c r="HF333" s="55"/>
      <c r="HG333" s="55"/>
      <c r="HH333" s="55"/>
      <c r="HI333" s="55"/>
      <c r="HJ333" s="55"/>
      <c r="HK333" s="55"/>
      <c r="HL333" s="55"/>
      <c r="HM333" s="55"/>
      <c r="HN333" s="55"/>
      <c r="HO333" s="55"/>
      <c r="HP333" s="55"/>
      <c r="HQ333" s="55"/>
      <c r="HR333" s="55"/>
      <c r="HS333" s="55"/>
      <c r="HT333" s="55"/>
      <c r="HU333" s="55"/>
      <c r="HV333" s="55"/>
      <c r="HW333" s="55"/>
      <c r="HX333" s="55"/>
      <c r="HY333" s="55"/>
      <c r="HZ333" s="55"/>
      <c r="IA333" s="55"/>
      <c r="IB333" s="55"/>
      <c r="IC333" s="55"/>
      <c r="ID333" s="55"/>
    </row>
    <row r="334" s="52" customFormat="1" ht="34" customHeight="1" spans="1:238">
      <c r="A334" s="112" t="s">
        <v>95</v>
      </c>
      <c r="B334" s="112" t="s">
        <v>1314</v>
      </c>
      <c r="C334" s="64" t="s">
        <v>1315</v>
      </c>
      <c r="D334" s="65"/>
      <c r="E334" s="77"/>
      <c r="F334" s="77" t="s">
        <v>35</v>
      </c>
      <c r="G334" s="64" t="s">
        <v>472</v>
      </c>
      <c r="H334" s="78">
        <v>99</v>
      </c>
      <c r="I334" s="78">
        <v>89</v>
      </c>
      <c r="J334" s="83"/>
      <c r="K334" s="83"/>
      <c r="L334" s="83"/>
      <c r="M334" s="41">
        <v>92</v>
      </c>
      <c r="N334" s="41">
        <v>88</v>
      </c>
      <c r="O334" s="41">
        <v>75</v>
      </c>
      <c r="P334" s="64" t="s">
        <v>37</v>
      </c>
      <c r="Q334" s="64" t="s">
        <v>35</v>
      </c>
      <c r="R334" s="64" t="s">
        <v>35</v>
      </c>
      <c r="S334" s="83"/>
      <c r="T334" s="77" t="s">
        <v>186</v>
      </c>
      <c r="U334" s="153"/>
      <c r="V334" s="153"/>
      <c r="W334" s="154"/>
      <c r="X334" s="155"/>
      <c r="Y334" s="153"/>
      <c r="Z334" s="153"/>
      <c r="AA334" s="156"/>
      <c r="AB334" s="157"/>
      <c r="AC334" s="157"/>
      <c r="AD334" s="157"/>
      <c r="AE334" s="153"/>
      <c r="AF334" s="60"/>
      <c r="AG334" s="55"/>
      <c r="AH334" s="55"/>
      <c r="AI334" s="55"/>
      <c r="AJ334" s="55"/>
      <c r="AK334" s="55"/>
      <c r="AL334" s="55"/>
      <c r="AM334" s="55"/>
      <c r="AN334" s="55"/>
      <c r="AO334" s="55"/>
      <c r="AP334" s="55"/>
      <c r="AQ334" s="55"/>
      <c r="AR334" s="55"/>
      <c r="AS334" s="55"/>
      <c r="AT334" s="55"/>
      <c r="AU334" s="55"/>
      <c r="AV334" s="55"/>
      <c r="AW334" s="55"/>
      <c r="AX334" s="55"/>
      <c r="AY334" s="55"/>
      <c r="AZ334" s="55"/>
      <c r="BA334" s="55"/>
      <c r="BB334" s="55"/>
      <c r="BC334" s="55"/>
      <c r="BD334" s="55"/>
      <c r="BE334" s="55"/>
      <c r="BF334" s="55"/>
      <c r="BG334" s="55"/>
      <c r="BH334" s="55"/>
      <c r="BI334" s="55"/>
      <c r="BJ334" s="55"/>
      <c r="BK334" s="55"/>
      <c r="BL334" s="55"/>
      <c r="BM334" s="55"/>
      <c r="BN334" s="55"/>
      <c r="BO334" s="55"/>
      <c r="BP334" s="55"/>
      <c r="BQ334" s="55"/>
      <c r="BR334" s="55"/>
      <c r="BS334" s="55"/>
      <c r="BT334" s="55"/>
      <c r="BU334" s="55"/>
      <c r="BV334" s="55"/>
      <c r="BW334" s="55"/>
      <c r="BX334" s="55"/>
      <c r="BY334" s="55"/>
      <c r="BZ334" s="55"/>
      <c r="CA334" s="55"/>
      <c r="CB334" s="55"/>
      <c r="CC334" s="55"/>
      <c r="CD334" s="55"/>
      <c r="CE334" s="55"/>
      <c r="CF334" s="55"/>
      <c r="CG334" s="55"/>
      <c r="CH334" s="55"/>
      <c r="CI334" s="55"/>
      <c r="CJ334" s="55"/>
      <c r="CK334" s="55"/>
      <c r="CL334" s="55"/>
      <c r="CM334" s="55"/>
      <c r="CN334" s="55"/>
      <c r="CO334" s="55"/>
      <c r="CP334" s="55"/>
      <c r="CQ334" s="55"/>
      <c r="CR334" s="55"/>
      <c r="CS334" s="55"/>
      <c r="CT334" s="55"/>
      <c r="CU334" s="55"/>
      <c r="CV334" s="55"/>
      <c r="CW334" s="55"/>
      <c r="CX334" s="55"/>
      <c r="CY334" s="55"/>
      <c r="CZ334" s="55"/>
      <c r="DA334" s="55"/>
      <c r="DB334" s="55"/>
      <c r="DC334" s="55"/>
      <c r="DD334" s="55"/>
      <c r="DE334" s="55"/>
      <c r="DF334" s="55"/>
      <c r="DG334" s="55"/>
      <c r="DH334" s="55"/>
      <c r="DI334" s="55"/>
      <c r="DJ334" s="55"/>
      <c r="DK334" s="55"/>
      <c r="DL334" s="55"/>
      <c r="DM334" s="55"/>
      <c r="DN334" s="55"/>
      <c r="DO334" s="55"/>
      <c r="DP334" s="55"/>
      <c r="DQ334" s="55"/>
      <c r="DR334" s="55"/>
      <c r="DS334" s="55"/>
      <c r="DT334" s="55"/>
      <c r="DU334" s="55"/>
      <c r="DV334" s="55"/>
      <c r="DW334" s="55"/>
      <c r="DX334" s="55"/>
      <c r="DY334" s="55"/>
      <c r="DZ334" s="55"/>
      <c r="EA334" s="55"/>
      <c r="EB334" s="55"/>
      <c r="EC334" s="55"/>
      <c r="ED334" s="55"/>
      <c r="EE334" s="55"/>
      <c r="EF334" s="55"/>
      <c r="EG334" s="55"/>
      <c r="EH334" s="55"/>
      <c r="EI334" s="55"/>
      <c r="EJ334" s="55"/>
      <c r="EK334" s="55"/>
      <c r="EL334" s="55"/>
      <c r="EM334" s="55"/>
      <c r="EN334" s="55"/>
      <c r="EO334" s="55"/>
      <c r="EP334" s="55"/>
      <c r="EQ334" s="55"/>
      <c r="ER334" s="55"/>
      <c r="ES334" s="55"/>
      <c r="ET334" s="55"/>
      <c r="EU334" s="55"/>
      <c r="EV334" s="55"/>
      <c r="EW334" s="55"/>
      <c r="EX334" s="55"/>
      <c r="EY334" s="55"/>
      <c r="EZ334" s="55"/>
      <c r="FA334" s="55"/>
      <c r="FB334" s="55"/>
      <c r="FC334" s="55"/>
      <c r="FD334" s="55"/>
      <c r="FE334" s="55"/>
      <c r="FF334" s="55"/>
      <c r="FG334" s="55"/>
      <c r="FH334" s="55"/>
      <c r="FI334" s="55"/>
      <c r="FJ334" s="55"/>
      <c r="FK334" s="55"/>
      <c r="FL334" s="55"/>
      <c r="FM334" s="55"/>
      <c r="FN334" s="55"/>
      <c r="FO334" s="55"/>
      <c r="FP334" s="55"/>
      <c r="FQ334" s="55"/>
      <c r="FR334" s="55"/>
      <c r="FS334" s="55"/>
      <c r="FT334" s="55"/>
      <c r="FU334" s="55"/>
      <c r="FV334" s="55"/>
      <c r="FW334" s="55"/>
      <c r="FX334" s="55"/>
      <c r="FY334" s="55"/>
      <c r="FZ334" s="55"/>
      <c r="GA334" s="55"/>
      <c r="GB334" s="55"/>
      <c r="GC334" s="55"/>
      <c r="GD334" s="55"/>
      <c r="GE334" s="55"/>
      <c r="GF334" s="55"/>
      <c r="GG334" s="55"/>
      <c r="GH334" s="55"/>
      <c r="GI334" s="55"/>
      <c r="GJ334" s="55"/>
      <c r="GK334" s="55"/>
      <c r="GL334" s="55"/>
      <c r="GM334" s="55"/>
      <c r="GN334" s="55"/>
      <c r="GO334" s="55"/>
      <c r="GP334" s="55"/>
      <c r="GQ334" s="55"/>
      <c r="GR334" s="55"/>
      <c r="GS334" s="55"/>
      <c r="GT334" s="55"/>
      <c r="GU334" s="55"/>
      <c r="GV334" s="55"/>
      <c r="GW334" s="55"/>
      <c r="GX334" s="55"/>
      <c r="GY334" s="55"/>
      <c r="GZ334" s="55"/>
      <c r="HA334" s="55"/>
      <c r="HB334" s="55"/>
      <c r="HC334" s="55"/>
      <c r="HD334" s="55"/>
      <c r="HE334" s="55"/>
      <c r="HF334" s="55"/>
      <c r="HG334" s="55"/>
      <c r="HH334" s="55"/>
      <c r="HI334" s="55"/>
      <c r="HJ334" s="55"/>
      <c r="HK334" s="55"/>
      <c r="HL334" s="55"/>
      <c r="HM334" s="55"/>
      <c r="HN334" s="55"/>
      <c r="HO334" s="55"/>
      <c r="HP334" s="55"/>
      <c r="HQ334" s="55"/>
      <c r="HR334" s="55"/>
      <c r="HS334" s="55"/>
      <c r="HT334" s="55"/>
      <c r="HU334" s="55"/>
      <c r="HV334" s="55"/>
      <c r="HW334" s="55"/>
      <c r="HX334" s="55"/>
      <c r="HY334" s="55"/>
      <c r="HZ334" s="55"/>
      <c r="IA334" s="55"/>
      <c r="IB334" s="55"/>
      <c r="IC334" s="55"/>
      <c r="ID334" s="55"/>
    </row>
    <row r="335" s="52" customFormat="1" ht="29" customHeight="1" spans="1:238">
      <c r="A335" s="112">
        <v>88</v>
      </c>
      <c r="B335" s="112" t="s">
        <v>1316</v>
      </c>
      <c r="C335" s="64" t="s">
        <v>1317</v>
      </c>
      <c r="D335" s="65" t="s">
        <v>1318</v>
      </c>
      <c r="E335" s="77" t="s">
        <v>1319</v>
      </c>
      <c r="F335" s="77" t="s">
        <v>1320</v>
      </c>
      <c r="G335" s="112" t="s">
        <v>472</v>
      </c>
      <c r="H335" s="128">
        <v>405</v>
      </c>
      <c r="I335" s="128">
        <v>365</v>
      </c>
      <c r="J335" s="130">
        <v>375.760777683855</v>
      </c>
      <c r="K335" s="130">
        <v>360.183367077969</v>
      </c>
      <c r="L335" s="130">
        <v>306</v>
      </c>
      <c r="M335" s="50">
        <v>375</v>
      </c>
      <c r="N335" s="50">
        <v>360</v>
      </c>
      <c r="O335" s="50">
        <v>306</v>
      </c>
      <c r="P335" s="112" t="s">
        <v>37</v>
      </c>
      <c r="Q335" s="112" t="s">
        <v>35</v>
      </c>
      <c r="R335" s="112" t="s">
        <v>35</v>
      </c>
      <c r="S335" s="131" t="s">
        <v>191</v>
      </c>
      <c r="T335" s="129" t="s">
        <v>191</v>
      </c>
      <c r="U335" s="105" t="s">
        <v>1321</v>
      </c>
      <c r="V335" s="105">
        <v>330401001</v>
      </c>
      <c r="W335" s="106" t="s">
        <v>1322</v>
      </c>
      <c r="X335" s="105"/>
      <c r="Y335" s="105"/>
      <c r="Z335" s="105" t="s">
        <v>36</v>
      </c>
      <c r="AA335" s="110" t="s">
        <v>1323</v>
      </c>
      <c r="AB335" s="50">
        <v>375</v>
      </c>
      <c r="AC335" s="50">
        <v>360</v>
      </c>
      <c r="AD335" s="50">
        <v>306</v>
      </c>
      <c r="AE335" s="112" t="s">
        <v>37</v>
      </c>
      <c r="AF335" s="60"/>
      <c r="AG335" s="55"/>
      <c r="AH335" s="55"/>
      <c r="AI335" s="55"/>
      <c r="AJ335" s="55"/>
      <c r="AK335" s="55"/>
      <c r="AL335" s="55"/>
      <c r="AM335" s="55"/>
      <c r="AN335" s="55"/>
      <c r="AO335" s="55"/>
      <c r="AP335" s="55"/>
      <c r="AQ335" s="55"/>
      <c r="AR335" s="55"/>
      <c r="AS335" s="55"/>
      <c r="AT335" s="55"/>
      <c r="AU335" s="55"/>
      <c r="AV335" s="55"/>
      <c r="AW335" s="55"/>
      <c r="AX335" s="55"/>
      <c r="AY335" s="55"/>
      <c r="AZ335" s="55"/>
      <c r="BA335" s="55"/>
      <c r="BB335" s="55"/>
      <c r="BC335" s="55"/>
      <c r="BD335" s="55"/>
      <c r="BE335" s="55"/>
      <c r="BF335" s="55"/>
      <c r="BG335" s="55"/>
      <c r="BH335" s="55"/>
      <c r="BI335" s="55"/>
      <c r="BJ335" s="55"/>
      <c r="BK335" s="55"/>
      <c r="BL335" s="55"/>
      <c r="BM335" s="55"/>
      <c r="BN335" s="55"/>
      <c r="BO335" s="55"/>
      <c r="BP335" s="55"/>
      <c r="BQ335" s="55"/>
      <c r="BR335" s="55"/>
      <c r="BS335" s="55"/>
      <c r="BT335" s="55"/>
      <c r="BU335" s="55"/>
      <c r="BV335" s="55"/>
      <c r="BW335" s="55"/>
      <c r="BX335" s="55"/>
      <c r="BY335" s="55"/>
      <c r="BZ335" s="55"/>
      <c r="CA335" s="55"/>
      <c r="CB335" s="55"/>
      <c r="CC335" s="55"/>
      <c r="CD335" s="55"/>
      <c r="CE335" s="55"/>
      <c r="CF335" s="55"/>
      <c r="CG335" s="55"/>
      <c r="CH335" s="55"/>
      <c r="CI335" s="55"/>
      <c r="CJ335" s="55"/>
      <c r="CK335" s="55"/>
      <c r="CL335" s="55"/>
      <c r="CM335" s="55"/>
      <c r="CN335" s="55"/>
      <c r="CO335" s="55"/>
      <c r="CP335" s="55"/>
      <c r="CQ335" s="55"/>
      <c r="CR335" s="55"/>
      <c r="CS335" s="55"/>
      <c r="CT335" s="55"/>
      <c r="CU335" s="55"/>
      <c r="CV335" s="55"/>
      <c r="CW335" s="55"/>
      <c r="CX335" s="55"/>
      <c r="CY335" s="55"/>
      <c r="CZ335" s="55"/>
      <c r="DA335" s="55"/>
      <c r="DB335" s="55"/>
      <c r="DC335" s="55"/>
      <c r="DD335" s="55"/>
      <c r="DE335" s="55"/>
      <c r="DF335" s="55"/>
      <c r="DG335" s="55"/>
      <c r="DH335" s="55"/>
      <c r="DI335" s="55"/>
      <c r="DJ335" s="55"/>
      <c r="DK335" s="55"/>
      <c r="DL335" s="55"/>
      <c r="DM335" s="55"/>
      <c r="DN335" s="55"/>
      <c r="DO335" s="55"/>
      <c r="DP335" s="55"/>
      <c r="DQ335" s="55"/>
      <c r="DR335" s="55"/>
      <c r="DS335" s="55"/>
      <c r="DT335" s="55"/>
      <c r="DU335" s="55"/>
      <c r="DV335" s="55"/>
      <c r="DW335" s="55"/>
      <c r="DX335" s="55"/>
      <c r="DY335" s="55"/>
      <c r="DZ335" s="55"/>
      <c r="EA335" s="55"/>
      <c r="EB335" s="55"/>
      <c r="EC335" s="55"/>
      <c r="ED335" s="55"/>
      <c r="EE335" s="55"/>
      <c r="EF335" s="55"/>
      <c r="EG335" s="55"/>
      <c r="EH335" s="55"/>
      <c r="EI335" s="55"/>
      <c r="EJ335" s="55"/>
      <c r="EK335" s="55"/>
      <c r="EL335" s="55"/>
      <c r="EM335" s="55"/>
      <c r="EN335" s="55"/>
      <c r="EO335" s="55"/>
      <c r="EP335" s="55"/>
      <c r="EQ335" s="55"/>
      <c r="ER335" s="55"/>
      <c r="ES335" s="55"/>
      <c r="ET335" s="55"/>
      <c r="EU335" s="55"/>
      <c r="EV335" s="55"/>
      <c r="EW335" s="55"/>
      <c r="EX335" s="55"/>
      <c r="EY335" s="55"/>
      <c r="EZ335" s="55"/>
      <c r="FA335" s="55"/>
      <c r="FB335" s="55"/>
      <c r="FC335" s="55"/>
      <c r="FD335" s="55"/>
      <c r="FE335" s="55"/>
      <c r="FF335" s="55"/>
      <c r="FG335" s="55"/>
      <c r="FH335" s="55"/>
      <c r="FI335" s="55"/>
      <c r="FJ335" s="55"/>
      <c r="FK335" s="55"/>
      <c r="FL335" s="55"/>
      <c r="FM335" s="55"/>
      <c r="FN335" s="55"/>
      <c r="FO335" s="55"/>
      <c r="FP335" s="55"/>
      <c r="FQ335" s="55"/>
      <c r="FR335" s="55"/>
      <c r="FS335" s="55"/>
      <c r="FT335" s="55"/>
      <c r="FU335" s="55"/>
      <c r="FV335" s="55"/>
      <c r="FW335" s="55"/>
      <c r="FX335" s="55"/>
      <c r="FY335" s="55"/>
      <c r="FZ335" s="55"/>
      <c r="GA335" s="55"/>
      <c r="GB335" s="55"/>
      <c r="GC335" s="55"/>
      <c r="GD335" s="55"/>
      <c r="GE335" s="55"/>
      <c r="GF335" s="55"/>
      <c r="GG335" s="55"/>
      <c r="GH335" s="55"/>
      <c r="GI335" s="55"/>
      <c r="GJ335" s="55"/>
      <c r="GK335" s="55"/>
      <c r="GL335" s="55"/>
      <c r="GM335" s="55"/>
      <c r="GN335" s="55"/>
      <c r="GO335" s="55"/>
      <c r="GP335" s="55"/>
      <c r="GQ335" s="55"/>
      <c r="GR335" s="55"/>
      <c r="GS335" s="55"/>
      <c r="GT335" s="55"/>
      <c r="GU335" s="55"/>
      <c r="GV335" s="55"/>
      <c r="GW335" s="55"/>
      <c r="GX335" s="55"/>
      <c r="GY335" s="55"/>
      <c r="GZ335" s="55"/>
      <c r="HA335" s="55"/>
      <c r="HB335" s="55"/>
      <c r="HC335" s="55"/>
      <c r="HD335" s="55"/>
      <c r="HE335" s="55"/>
      <c r="HF335" s="55"/>
      <c r="HG335" s="55"/>
      <c r="HH335" s="55"/>
      <c r="HI335" s="55"/>
      <c r="HJ335" s="55"/>
      <c r="HK335" s="55"/>
      <c r="HL335" s="55"/>
      <c r="HM335" s="55"/>
      <c r="HN335" s="55"/>
      <c r="HO335" s="55"/>
      <c r="HP335" s="55"/>
      <c r="HQ335" s="55"/>
      <c r="HR335" s="55"/>
      <c r="HS335" s="55"/>
      <c r="HT335" s="55"/>
      <c r="HU335" s="55"/>
      <c r="HV335" s="55"/>
      <c r="HW335" s="55"/>
      <c r="HX335" s="55"/>
      <c r="HY335" s="55"/>
      <c r="HZ335" s="55"/>
      <c r="IA335" s="55"/>
      <c r="IB335" s="55"/>
      <c r="IC335" s="55"/>
      <c r="ID335" s="55"/>
    </row>
    <row r="336" s="52" customFormat="1" ht="29" customHeight="1" spans="1:238">
      <c r="A336" s="112"/>
      <c r="B336" s="112"/>
      <c r="C336" s="64"/>
      <c r="D336" s="65"/>
      <c r="E336" s="77"/>
      <c r="F336" s="77"/>
      <c r="G336" s="112"/>
      <c r="H336" s="48"/>
      <c r="I336" s="48"/>
      <c r="J336" s="130"/>
      <c r="K336" s="130"/>
      <c r="L336" s="130"/>
      <c r="M336" s="50"/>
      <c r="N336" s="50"/>
      <c r="O336" s="50"/>
      <c r="P336" s="112"/>
      <c r="Q336" s="112"/>
      <c r="R336" s="112"/>
      <c r="S336" s="131"/>
      <c r="T336" s="129"/>
      <c r="U336" s="105" t="s">
        <v>1324</v>
      </c>
      <c r="V336" s="105">
        <v>33040100101</v>
      </c>
      <c r="W336" s="106" t="s">
        <v>1325</v>
      </c>
      <c r="X336" s="105"/>
      <c r="Y336" s="105"/>
      <c r="Z336" s="105" t="s">
        <v>36</v>
      </c>
      <c r="AA336" s="110" t="s">
        <v>1326</v>
      </c>
      <c r="AB336" s="50">
        <v>450</v>
      </c>
      <c r="AC336" s="50">
        <v>432</v>
      </c>
      <c r="AD336" s="50">
        <v>367.2</v>
      </c>
      <c r="AE336" s="112" t="s">
        <v>37</v>
      </c>
      <c r="AF336" s="60"/>
      <c r="AG336" s="55"/>
      <c r="AH336" s="55"/>
      <c r="AI336" s="55"/>
      <c r="AJ336" s="55"/>
      <c r="AK336" s="55"/>
      <c r="AL336" s="55"/>
      <c r="AM336" s="55"/>
      <c r="AN336" s="55"/>
      <c r="AO336" s="55"/>
      <c r="AP336" s="55"/>
      <c r="AQ336" s="55"/>
      <c r="AR336" s="55"/>
      <c r="AS336" s="55"/>
      <c r="AT336" s="55"/>
      <c r="AU336" s="55"/>
      <c r="AV336" s="55"/>
      <c r="AW336" s="55"/>
      <c r="AX336" s="55"/>
      <c r="AY336" s="55"/>
      <c r="AZ336" s="55"/>
      <c r="BA336" s="55"/>
      <c r="BB336" s="55"/>
      <c r="BC336" s="55"/>
      <c r="BD336" s="55"/>
      <c r="BE336" s="55"/>
      <c r="BF336" s="55"/>
      <c r="BG336" s="55"/>
      <c r="BH336" s="55"/>
      <c r="BI336" s="55"/>
      <c r="BJ336" s="55"/>
      <c r="BK336" s="55"/>
      <c r="BL336" s="55"/>
      <c r="BM336" s="55"/>
      <c r="BN336" s="55"/>
      <c r="BO336" s="55"/>
      <c r="BP336" s="55"/>
      <c r="BQ336" s="55"/>
      <c r="BR336" s="55"/>
      <c r="BS336" s="55"/>
      <c r="BT336" s="55"/>
      <c r="BU336" s="55"/>
      <c r="BV336" s="55"/>
      <c r="BW336" s="55"/>
      <c r="BX336" s="55"/>
      <c r="BY336" s="55"/>
      <c r="BZ336" s="55"/>
      <c r="CA336" s="55"/>
      <c r="CB336" s="55"/>
      <c r="CC336" s="55"/>
      <c r="CD336" s="55"/>
      <c r="CE336" s="55"/>
      <c r="CF336" s="55"/>
      <c r="CG336" s="55"/>
      <c r="CH336" s="55"/>
      <c r="CI336" s="55"/>
      <c r="CJ336" s="55"/>
      <c r="CK336" s="55"/>
      <c r="CL336" s="55"/>
      <c r="CM336" s="55"/>
      <c r="CN336" s="55"/>
      <c r="CO336" s="55"/>
      <c r="CP336" s="55"/>
      <c r="CQ336" s="55"/>
      <c r="CR336" s="55"/>
      <c r="CS336" s="55"/>
      <c r="CT336" s="55"/>
      <c r="CU336" s="55"/>
      <c r="CV336" s="55"/>
      <c r="CW336" s="55"/>
      <c r="CX336" s="55"/>
      <c r="CY336" s="55"/>
      <c r="CZ336" s="55"/>
      <c r="DA336" s="55"/>
      <c r="DB336" s="55"/>
      <c r="DC336" s="55"/>
      <c r="DD336" s="55"/>
      <c r="DE336" s="55"/>
      <c r="DF336" s="55"/>
      <c r="DG336" s="55"/>
      <c r="DH336" s="55"/>
      <c r="DI336" s="55"/>
      <c r="DJ336" s="55"/>
      <c r="DK336" s="55"/>
      <c r="DL336" s="55"/>
      <c r="DM336" s="55"/>
      <c r="DN336" s="55"/>
      <c r="DO336" s="55"/>
      <c r="DP336" s="55"/>
      <c r="DQ336" s="55"/>
      <c r="DR336" s="55"/>
      <c r="DS336" s="55"/>
      <c r="DT336" s="55"/>
      <c r="DU336" s="55"/>
      <c r="DV336" s="55"/>
      <c r="DW336" s="55"/>
      <c r="DX336" s="55"/>
      <c r="DY336" s="55"/>
      <c r="DZ336" s="55"/>
      <c r="EA336" s="55"/>
      <c r="EB336" s="55"/>
      <c r="EC336" s="55"/>
      <c r="ED336" s="55"/>
      <c r="EE336" s="55"/>
      <c r="EF336" s="55"/>
      <c r="EG336" s="55"/>
      <c r="EH336" s="55"/>
      <c r="EI336" s="55"/>
      <c r="EJ336" s="55"/>
      <c r="EK336" s="55"/>
      <c r="EL336" s="55"/>
      <c r="EM336" s="55"/>
      <c r="EN336" s="55"/>
      <c r="EO336" s="55"/>
      <c r="EP336" s="55"/>
      <c r="EQ336" s="55"/>
      <c r="ER336" s="55"/>
      <c r="ES336" s="55"/>
      <c r="ET336" s="55"/>
      <c r="EU336" s="55"/>
      <c r="EV336" s="55"/>
      <c r="EW336" s="55"/>
      <c r="EX336" s="55"/>
      <c r="EY336" s="55"/>
      <c r="EZ336" s="55"/>
      <c r="FA336" s="55"/>
      <c r="FB336" s="55"/>
      <c r="FC336" s="55"/>
      <c r="FD336" s="55"/>
      <c r="FE336" s="55"/>
      <c r="FF336" s="55"/>
      <c r="FG336" s="55"/>
      <c r="FH336" s="55"/>
      <c r="FI336" s="55"/>
      <c r="FJ336" s="55"/>
      <c r="FK336" s="55"/>
      <c r="FL336" s="55"/>
      <c r="FM336" s="55"/>
      <c r="FN336" s="55"/>
      <c r="FO336" s="55"/>
      <c r="FP336" s="55"/>
      <c r="FQ336" s="55"/>
      <c r="FR336" s="55"/>
      <c r="FS336" s="55"/>
      <c r="FT336" s="55"/>
      <c r="FU336" s="55"/>
      <c r="FV336" s="55"/>
      <c r="FW336" s="55"/>
      <c r="FX336" s="55"/>
      <c r="FY336" s="55"/>
      <c r="FZ336" s="55"/>
      <c r="GA336" s="55"/>
      <c r="GB336" s="55"/>
      <c r="GC336" s="55"/>
      <c r="GD336" s="55"/>
      <c r="GE336" s="55"/>
      <c r="GF336" s="55"/>
      <c r="GG336" s="55"/>
      <c r="GH336" s="55"/>
      <c r="GI336" s="55"/>
      <c r="GJ336" s="55"/>
      <c r="GK336" s="55"/>
      <c r="GL336" s="55"/>
      <c r="GM336" s="55"/>
      <c r="GN336" s="55"/>
      <c r="GO336" s="55"/>
      <c r="GP336" s="55"/>
      <c r="GQ336" s="55"/>
      <c r="GR336" s="55"/>
      <c r="GS336" s="55"/>
      <c r="GT336" s="55"/>
      <c r="GU336" s="55"/>
      <c r="GV336" s="55"/>
      <c r="GW336" s="55"/>
      <c r="GX336" s="55"/>
      <c r="GY336" s="55"/>
      <c r="GZ336" s="55"/>
      <c r="HA336" s="55"/>
      <c r="HB336" s="55"/>
      <c r="HC336" s="55"/>
      <c r="HD336" s="55"/>
      <c r="HE336" s="55"/>
      <c r="HF336" s="55"/>
      <c r="HG336" s="55"/>
      <c r="HH336" s="55"/>
      <c r="HI336" s="55"/>
      <c r="HJ336" s="55"/>
      <c r="HK336" s="55"/>
      <c r="HL336" s="55"/>
      <c r="HM336" s="55"/>
      <c r="HN336" s="55"/>
      <c r="HO336" s="55"/>
      <c r="HP336" s="55"/>
      <c r="HQ336" s="55"/>
      <c r="HR336" s="55"/>
      <c r="HS336" s="55"/>
      <c r="HT336" s="55"/>
      <c r="HU336" s="55"/>
      <c r="HV336" s="55"/>
      <c r="HW336" s="55"/>
      <c r="HX336" s="55"/>
      <c r="HY336" s="55"/>
      <c r="HZ336" s="55"/>
      <c r="IA336" s="55"/>
      <c r="IB336" s="55"/>
      <c r="IC336" s="55"/>
      <c r="ID336" s="55"/>
    </row>
    <row r="337" s="52" customFormat="1" ht="27" customHeight="1" spans="1:238">
      <c r="A337" s="112" t="s">
        <v>95</v>
      </c>
      <c r="B337" s="112" t="s">
        <v>1316</v>
      </c>
      <c r="C337" s="64" t="s">
        <v>1327</v>
      </c>
      <c r="D337" s="126"/>
      <c r="E337" s="129"/>
      <c r="F337" s="129"/>
      <c r="G337" s="112" t="s">
        <v>36</v>
      </c>
      <c r="H337" s="128">
        <v>100</v>
      </c>
      <c r="I337" s="128">
        <v>90</v>
      </c>
      <c r="J337" s="131">
        <v>100</v>
      </c>
      <c r="K337" s="131">
        <v>96</v>
      </c>
      <c r="L337" s="131">
        <v>81.6</v>
      </c>
      <c r="M337" s="50">
        <v>100</v>
      </c>
      <c r="N337" s="90">
        <v>90</v>
      </c>
      <c r="O337" s="90">
        <v>77</v>
      </c>
      <c r="P337" s="112" t="s">
        <v>37</v>
      </c>
      <c r="Q337" s="112"/>
      <c r="R337" s="112"/>
      <c r="S337" s="131"/>
      <c r="T337" s="77" t="s">
        <v>1328</v>
      </c>
      <c r="U337" s="105" t="s">
        <v>1329</v>
      </c>
      <c r="V337" s="105">
        <v>330403006</v>
      </c>
      <c r="W337" s="106" t="s">
        <v>1330</v>
      </c>
      <c r="X337" s="105" t="s">
        <v>1331</v>
      </c>
      <c r="Y337" s="105"/>
      <c r="Z337" s="105" t="s">
        <v>36</v>
      </c>
      <c r="AA337" s="110" t="s">
        <v>35</v>
      </c>
      <c r="AB337" s="50">
        <v>100</v>
      </c>
      <c r="AC337" s="50">
        <v>96</v>
      </c>
      <c r="AD337" s="50">
        <v>81.6</v>
      </c>
      <c r="AE337" s="112" t="s">
        <v>37</v>
      </c>
      <c r="AF337" s="60"/>
      <c r="AG337" s="55"/>
      <c r="AH337" s="55"/>
      <c r="AI337" s="55"/>
      <c r="AJ337" s="55"/>
      <c r="AK337" s="55"/>
      <c r="AL337" s="55"/>
      <c r="AM337" s="55"/>
      <c r="AN337" s="55"/>
      <c r="AO337" s="55"/>
      <c r="AP337" s="55"/>
      <c r="AQ337" s="55"/>
      <c r="AR337" s="55"/>
      <c r="AS337" s="55"/>
      <c r="AT337" s="55"/>
      <c r="AU337" s="55"/>
      <c r="AV337" s="55"/>
      <c r="AW337" s="55"/>
      <c r="AX337" s="55"/>
      <c r="AY337" s="55"/>
      <c r="AZ337" s="55"/>
      <c r="BA337" s="55"/>
      <c r="BB337" s="55"/>
      <c r="BC337" s="55"/>
      <c r="BD337" s="55"/>
      <c r="BE337" s="55"/>
      <c r="BF337" s="55"/>
      <c r="BG337" s="55"/>
      <c r="BH337" s="55"/>
      <c r="BI337" s="55"/>
      <c r="BJ337" s="55"/>
      <c r="BK337" s="55"/>
      <c r="BL337" s="55"/>
      <c r="BM337" s="55"/>
      <c r="BN337" s="55"/>
      <c r="BO337" s="55"/>
      <c r="BP337" s="55"/>
      <c r="BQ337" s="55"/>
      <c r="BR337" s="55"/>
      <c r="BS337" s="55"/>
      <c r="BT337" s="55"/>
      <c r="BU337" s="55"/>
      <c r="BV337" s="55"/>
      <c r="BW337" s="55"/>
      <c r="BX337" s="55"/>
      <c r="BY337" s="55"/>
      <c r="BZ337" s="55"/>
      <c r="CA337" s="55"/>
      <c r="CB337" s="55"/>
      <c r="CC337" s="55"/>
      <c r="CD337" s="55"/>
      <c r="CE337" s="55"/>
      <c r="CF337" s="55"/>
      <c r="CG337" s="55"/>
      <c r="CH337" s="55"/>
      <c r="CI337" s="55"/>
      <c r="CJ337" s="55"/>
      <c r="CK337" s="55"/>
      <c r="CL337" s="55"/>
      <c r="CM337" s="55"/>
      <c r="CN337" s="55"/>
      <c r="CO337" s="55"/>
      <c r="CP337" s="55"/>
      <c r="CQ337" s="55"/>
      <c r="CR337" s="55"/>
      <c r="CS337" s="55"/>
      <c r="CT337" s="55"/>
      <c r="CU337" s="55"/>
      <c r="CV337" s="55"/>
      <c r="CW337" s="55"/>
      <c r="CX337" s="55"/>
      <c r="CY337" s="55"/>
      <c r="CZ337" s="55"/>
      <c r="DA337" s="55"/>
      <c r="DB337" s="55"/>
      <c r="DC337" s="55"/>
      <c r="DD337" s="55"/>
      <c r="DE337" s="55"/>
      <c r="DF337" s="55"/>
      <c r="DG337" s="55"/>
      <c r="DH337" s="55"/>
      <c r="DI337" s="55"/>
      <c r="DJ337" s="55"/>
      <c r="DK337" s="55"/>
      <c r="DL337" s="55"/>
      <c r="DM337" s="55"/>
      <c r="DN337" s="55"/>
      <c r="DO337" s="55"/>
      <c r="DP337" s="55"/>
      <c r="DQ337" s="55"/>
      <c r="DR337" s="55"/>
      <c r="DS337" s="55"/>
      <c r="DT337" s="55"/>
      <c r="DU337" s="55"/>
      <c r="DV337" s="55"/>
      <c r="DW337" s="55"/>
      <c r="DX337" s="55"/>
      <c r="DY337" s="55"/>
      <c r="DZ337" s="55"/>
      <c r="EA337" s="55"/>
      <c r="EB337" s="55"/>
      <c r="EC337" s="55"/>
      <c r="ED337" s="55"/>
      <c r="EE337" s="55"/>
      <c r="EF337" s="55"/>
      <c r="EG337" s="55"/>
      <c r="EH337" s="55"/>
      <c r="EI337" s="55"/>
      <c r="EJ337" s="55"/>
      <c r="EK337" s="55"/>
      <c r="EL337" s="55"/>
      <c r="EM337" s="55"/>
      <c r="EN337" s="55"/>
      <c r="EO337" s="55"/>
      <c r="EP337" s="55"/>
      <c r="EQ337" s="55"/>
      <c r="ER337" s="55"/>
      <c r="ES337" s="55"/>
      <c r="ET337" s="55"/>
      <c r="EU337" s="55"/>
      <c r="EV337" s="55"/>
      <c r="EW337" s="55"/>
      <c r="EX337" s="55"/>
      <c r="EY337" s="55"/>
      <c r="EZ337" s="55"/>
      <c r="FA337" s="55"/>
      <c r="FB337" s="55"/>
      <c r="FC337" s="55"/>
      <c r="FD337" s="55"/>
      <c r="FE337" s="55"/>
      <c r="FF337" s="55"/>
      <c r="FG337" s="55"/>
      <c r="FH337" s="55"/>
      <c r="FI337" s="55"/>
      <c r="FJ337" s="55"/>
      <c r="FK337" s="55"/>
      <c r="FL337" s="55"/>
      <c r="FM337" s="55"/>
      <c r="FN337" s="55"/>
      <c r="FO337" s="55"/>
      <c r="FP337" s="55"/>
      <c r="FQ337" s="55"/>
      <c r="FR337" s="55"/>
      <c r="FS337" s="55"/>
      <c r="FT337" s="55"/>
      <c r="FU337" s="55"/>
      <c r="FV337" s="55"/>
      <c r="FW337" s="55"/>
      <c r="FX337" s="55"/>
      <c r="FY337" s="55"/>
      <c r="FZ337" s="55"/>
      <c r="GA337" s="55"/>
      <c r="GB337" s="55"/>
      <c r="GC337" s="55"/>
      <c r="GD337" s="55"/>
      <c r="GE337" s="55"/>
      <c r="GF337" s="55"/>
      <c r="GG337" s="55"/>
      <c r="GH337" s="55"/>
      <c r="GI337" s="55"/>
      <c r="GJ337" s="55"/>
      <c r="GK337" s="55"/>
      <c r="GL337" s="55"/>
      <c r="GM337" s="55"/>
      <c r="GN337" s="55"/>
      <c r="GO337" s="55"/>
      <c r="GP337" s="55"/>
      <c r="GQ337" s="55"/>
      <c r="GR337" s="55"/>
      <c r="GS337" s="55"/>
      <c r="GT337" s="55"/>
      <c r="GU337" s="55"/>
      <c r="GV337" s="55"/>
      <c r="GW337" s="55"/>
      <c r="GX337" s="55"/>
      <c r="GY337" s="55"/>
      <c r="GZ337" s="55"/>
      <c r="HA337" s="55"/>
      <c r="HB337" s="55"/>
      <c r="HC337" s="55"/>
      <c r="HD337" s="55"/>
      <c r="HE337" s="55"/>
      <c r="HF337" s="55"/>
      <c r="HG337" s="55"/>
      <c r="HH337" s="55"/>
      <c r="HI337" s="55"/>
      <c r="HJ337" s="55"/>
      <c r="HK337" s="55"/>
      <c r="HL337" s="55"/>
      <c r="HM337" s="55"/>
      <c r="HN337" s="55"/>
      <c r="HO337" s="55"/>
      <c r="HP337" s="55"/>
      <c r="HQ337" s="55"/>
      <c r="HR337" s="55"/>
      <c r="HS337" s="55"/>
      <c r="HT337" s="55"/>
      <c r="HU337" s="55"/>
      <c r="HV337" s="55"/>
      <c r="HW337" s="55"/>
      <c r="HX337" s="55"/>
      <c r="HY337" s="55"/>
      <c r="HZ337" s="55"/>
      <c r="IA337" s="55"/>
      <c r="IB337" s="55"/>
      <c r="IC337" s="55"/>
      <c r="ID337" s="55"/>
    </row>
    <row r="338" s="52" customFormat="1" ht="27" customHeight="1" spans="1:238">
      <c r="A338" s="112"/>
      <c r="B338" s="112"/>
      <c r="C338" s="64"/>
      <c r="D338" s="126"/>
      <c r="E338" s="129"/>
      <c r="F338" s="129"/>
      <c r="G338" s="112"/>
      <c r="H338" s="48"/>
      <c r="I338" s="48"/>
      <c r="J338" s="131"/>
      <c r="K338" s="131"/>
      <c r="L338" s="131"/>
      <c r="M338" s="50"/>
      <c r="N338" s="90"/>
      <c r="O338" s="90"/>
      <c r="P338" s="112"/>
      <c r="Q338" s="112"/>
      <c r="R338" s="112"/>
      <c r="S338" s="131"/>
      <c r="T338" s="77"/>
      <c r="U338" s="105" t="s">
        <v>1332</v>
      </c>
      <c r="V338" s="105">
        <v>33040300601</v>
      </c>
      <c r="W338" s="106" t="s">
        <v>1333</v>
      </c>
      <c r="X338" s="105"/>
      <c r="Y338" s="105"/>
      <c r="Z338" s="105" t="s">
        <v>36</v>
      </c>
      <c r="AA338" s="110" t="s">
        <v>35</v>
      </c>
      <c r="AB338" s="50">
        <v>130</v>
      </c>
      <c r="AC338" s="50">
        <v>125</v>
      </c>
      <c r="AD338" s="50">
        <v>105</v>
      </c>
      <c r="AE338" s="112" t="s">
        <v>37</v>
      </c>
      <c r="AF338" s="60"/>
      <c r="AG338" s="55"/>
      <c r="AH338" s="55"/>
      <c r="AI338" s="55"/>
      <c r="AJ338" s="55"/>
      <c r="AK338" s="55"/>
      <c r="AL338" s="55"/>
      <c r="AM338" s="55"/>
      <c r="AN338" s="55"/>
      <c r="AO338" s="55"/>
      <c r="AP338" s="55"/>
      <c r="AQ338" s="55"/>
      <c r="AR338" s="55"/>
      <c r="AS338" s="55"/>
      <c r="AT338" s="55"/>
      <c r="AU338" s="55"/>
      <c r="AV338" s="55"/>
      <c r="AW338" s="55"/>
      <c r="AX338" s="55"/>
      <c r="AY338" s="55"/>
      <c r="AZ338" s="55"/>
      <c r="BA338" s="55"/>
      <c r="BB338" s="55"/>
      <c r="BC338" s="55"/>
      <c r="BD338" s="55"/>
      <c r="BE338" s="55"/>
      <c r="BF338" s="55"/>
      <c r="BG338" s="55"/>
      <c r="BH338" s="55"/>
      <c r="BI338" s="55"/>
      <c r="BJ338" s="55"/>
      <c r="BK338" s="55"/>
      <c r="BL338" s="55"/>
      <c r="BM338" s="55"/>
      <c r="BN338" s="55"/>
      <c r="BO338" s="55"/>
      <c r="BP338" s="55"/>
      <c r="BQ338" s="55"/>
      <c r="BR338" s="55"/>
      <c r="BS338" s="55"/>
      <c r="BT338" s="55"/>
      <c r="BU338" s="55"/>
      <c r="BV338" s="55"/>
      <c r="BW338" s="55"/>
      <c r="BX338" s="55"/>
      <c r="BY338" s="55"/>
      <c r="BZ338" s="55"/>
      <c r="CA338" s="55"/>
      <c r="CB338" s="55"/>
      <c r="CC338" s="55"/>
      <c r="CD338" s="55"/>
      <c r="CE338" s="55"/>
      <c r="CF338" s="55"/>
      <c r="CG338" s="55"/>
      <c r="CH338" s="55"/>
      <c r="CI338" s="55"/>
      <c r="CJ338" s="55"/>
      <c r="CK338" s="55"/>
      <c r="CL338" s="55"/>
      <c r="CM338" s="55"/>
      <c r="CN338" s="55"/>
      <c r="CO338" s="55"/>
      <c r="CP338" s="55"/>
      <c r="CQ338" s="55"/>
      <c r="CR338" s="55"/>
      <c r="CS338" s="55"/>
      <c r="CT338" s="55"/>
      <c r="CU338" s="55"/>
      <c r="CV338" s="55"/>
      <c r="CW338" s="55"/>
      <c r="CX338" s="55"/>
      <c r="CY338" s="55"/>
      <c r="CZ338" s="55"/>
      <c r="DA338" s="55"/>
      <c r="DB338" s="55"/>
      <c r="DC338" s="55"/>
      <c r="DD338" s="55"/>
      <c r="DE338" s="55"/>
      <c r="DF338" s="55"/>
      <c r="DG338" s="55"/>
      <c r="DH338" s="55"/>
      <c r="DI338" s="55"/>
      <c r="DJ338" s="55"/>
      <c r="DK338" s="55"/>
      <c r="DL338" s="55"/>
      <c r="DM338" s="55"/>
      <c r="DN338" s="55"/>
      <c r="DO338" s="55"/>
      <c r="DP338" s="55"/>
      <c r="DQ338" s="55"/>
      <c r="DR338" s="55"/>
      <c r="DS338" s="55"/>
      <c r="DT338" s="55"/>
      <c r="DU338" s="55"/>
      <c r="DV338" s="55"/>
      <c r="DW338" s="55"/>
      <c r="DX338" s="55"/>
      <c r="DY338" s="55"/>
      <c r="DZ338" s="55"/>
      <c r="EA338" s="55"/>
      <c r="EB338" s="55"/>
      <c r="EC338" s="55"/>
      <c r="ED338" s="55"/>
      <c r="EE338" s="55"/>
      <c r="EF338" s="55"/>
      <c r="EG338" s="55"/>
      <c r="EH338" s="55"/>
      <c r="EI338" s="55"/>
      <c r="EJ338" s="55"/>
      <c r="EK338" s="55"/>
      <c r="EL338" s="55"/>
      <c r="EM338" s="55"/>
      <c r="EN338" s="55"/>
      <c r="EO338" s="55"/>
      <c r="EP338" s="55"/>
      <c r="EQ338" s="55"/>
      <c r="ER338" s="55"/>
      <c r="ES338" s="55"/>
      <c r="ET338" s="55"/>
      <c r="EU338" s="55"/>
      <c r="EV338" s="55"/>
      <c r="EW338" s="55"/>
      <c r="EX338" s="55"/>
      <c r="EY338" s="55"/>
      <c r="EZ338" s="55"/>
      <c r="FA338" s="55"/>
      <c r="FB338" s="55"/>
      <c r="FC338" s="55"/>
      <c r="FD338" s="55"/>
      <c r="FE338" s="55"/>
      <c r="FF338" s="55"/>
      <c r="FG338" s="55"/>
      <c r="FH338" s="55"/>
      <c r="FI338" s="55"/>
      <c r="FJ338" s="55"/>
      <c r="FK338" s="55"/>
      <c r="FL338" s="55"/>
      <c r="FM338" s="55"/>
      <c r="FN338" s="55"/>
      <c r="FO338" s="55"/>
      <c r="FP338" s="55"/>
      <c r="FQ338" s="55"/>
      <c r="FR338" s="55"/>
      <c r="FS338" s="55"/>
      <c r="FT338" s="55"/>
      <c r="FU338" s="55"/>
      <c r="FV338" s="55"/>
      <c r="FW338" s="55"/>
      <c r="FX338" s="55"/>
      <c r="FY338" s="55"/>
      <c r="FZ338" s="55"/>
      <c r="GA338" s="55"/>
      <c r="GB338" s="55"/>
      <c r="GC338" s="55"/>
      <c r="GD338" s="55"/>
      <c r="GE338" s="55"/>
      <c r="GF338" s="55"/>
      <c r="GG338" s="55"/>
      <c r="GH338" s="55"/>
      <c r="GI338" s="55"/>
      <c r="GJ338" s="55"/>
      <c r="GK338" s="55"/>
      <c r="GL338" s="55"/>
      <c r="GM338" s="55"/>
      <c r="GN338" s="55"/>
      <c r="GO338" s="55"/>
      <c r="GP338" s="55"/>
      <c r="GQ338" s="55"/>
      <c r="GR338" s="55"/>
      <c r="GS338" s="55"/>
      <c r="GT338" s="55"/>
      <c r="GU338" s="55"/>
      <c r="GV338" s="55"/>
      <c r="GW338" s="55"/>
      <c r="GX338" s="55"/>
      <c r="GY338" s="55"/>
      <c r="GZ338" s="55"/>
      <c r="HA338" s="55"/>
      <c r="HB338" s="55"/>
      <c r="HC338" s="55"/>
      <c r="HD338" s="55"/>
      <c r="HE338" s="55"/>
      <c r="HF338" s="55"/>
      <c r="HG338" s="55"/>
      <c r="HH338" s="55"/>
      <c r="HI338" s="55"/>
      <c r="HJ338" s="55"/>
      <c r="HK338" s="55"/>
      <c r="HL338" s="55"/>
      <c r="HM338" s="55"/>
      <c r="HN338" s="55"/>
      <c r="HO338" s="55"/>
      <c r="HP338" s="55"/>
      <c r="HQ338" s="55"/>
      <c r="HR338" s="55"/>
      <c r="HS338" s="55"/>
      <c r="HT338" s="55"/>
      <c r="HU338" s="55"/>
      <c r="HV338" s="55"/>
      <c r="HW338" s="55"/>
      <c r="HX338" s="55"/>
      <c r="HY338" s="55"/>
      <c r="HZ338" s="55"/>
      <c r="IA338" s="55"/>
      <c r="IB338" s="55"/>
      <c r="IC338" s="55"/>
      <c r="ID338" s="55"/>
    </row>
    <row r="339" s="52" customFormat="1" ht="27" customHeight="1" spans="1:238">
      <c r="A339" s="112" t="s">
        <v>95</v>
      </c>
      <c r="B339" s="112" t="s">
        <v>1334</v>
      </c>
      <c r="C339" s="64" t="s">
        <v>1335</v>
      </c>
      <c r="D339" s="126"/>
      <c r="E339" s="129"/>
      <c r="F339" s="129" t="s">
        <v>35</v>
      </c>
      <c r="G339" s="112" t="s">
        <v>472</v>
      </c>
      <c r="H339" s="128">
        <v>122</v>
      </c>
      <c r="I339" s="128">
        <v>110</v>
      </c>
      <c r="J339" s="131">
        <v>115</v>
      </c>
      <c r="K339" s="131">
        <v>110</v>
      </c>
      <c r="L339" s="131">
        <v>94</v>
      </c>
      <c r="M339" s="50">
        <v>115</v>
      </c>
      <c r="N339" s="50">
        <v>110</v>
      </c>
      <c r="O339" s="50">
        <v>92</v>
      </c>
      <c r="P339" s="112" t="s">
        <v>37</v>
      </c>
      <c r="Q339" s="112" t="s">
        <v>35</v>
      </c>
      <c r="R339" s="112" t="s">
        <v>35</v>
      </c>
      <c r="S339" s="131"/>
      <c r="T339" s="129" t="s">
        <v>186</v>
      </c>
      <c r="U339" s="105" t="s">
        <v>1336</v>
      </c>
      <c r="V339" s="105">
        <v>33040100102</v>
      </c>
      <c r="W339" s="106" t="s">
        <v>1337</v>
      </c>
      <c r="X339" s="105"/>
      <c r="Y339" s="105"/>
      <c r="Z339" s="105" t="s">
        <v>36</v>
      </c>
      <c r="AA339" s="110" t="s">
        <v>35</v>
      </c>
      <c r="AB339" s="50">
        <v>490</v>
      </c>
      <c r="AC339" s="50">
        <v>470</v>
      </c>
      <c r="AD339" s="50">
        <v>400</v>
      </c>
      <c r="AE339" s="112" t="s">
        <v>37</v>
      </c>
      <c r="AF339" s="60"/>
      <c r="AG339" s="55"/>
      <c r="AH339" s="55"/>
      <c r="AI339" s="55"/>
      <c r="AJ339" s="55"/>
      <c r="AK339" s="55"/>
      <c r="AL339" s="55"/>
      <c r="AM339" s="55"/>
      <c r="AN339" s="55"/>
      <c r="AO339" s="55"/>
      <c r="AP339" s="55"/>
      <c r="AQ339" s="55"/>
      <c r="AR339" s="55"/>
      <c r="AS339" s="55"/>
      <c r="AT339" s="55"/>
      <c r="AU339" s="55"/>
      <c r="AV339" s="55"/>
      <c r="AW339" s="55"/>
      <c r="AX339" s="55"/>
      <c r="AY339" s="55"/>
      <c r="AZ339" s="55"/>
      <c r="BA339" s="55"/>
      <c r="BB339" s="55"/>
      <c r="BC339" s="55"/>
      <c r="BD339" s="55"/>
      <c r="BE339" s="55"/>
      <c r="BF339" s="55"/>
      <c r="BG339" s="55"/>
      <c r="BH339" s="55"/>
      <c r="BI339" s="55"/>
      <c r="BJ339" s="55"/>
      <c r="BK339" s="55"/>
      <c r="BL339" s="55"/>
      <c r="BM339" s="55"/>
      <c r="BN339" s="55"/>
      <c r="BO339" s="55"/>
      <c r="BP339" s="55"/>
      <c r="BQ339" s="55"/>
      <c r="BR339" s="55"/>
      <c r="BS339" s="55"/>
      <c r="BT339" s="55"/>
      <c r="BU339" s="55"/>
      <c r="BV339" s="55"/>
      <c r="BW339" s="55"/>
      <c r="BX339" s="55"/>
      <c r="BY339" s="55"/>
      <c r="BZ339" s="55"/>
      <c r="CA339" s="55"/>
      <c r="CB339" s="55"/>
      <c r="CC339" s="55"/>
      <c r="CD339" s="55"/>
      <c r="CE339" s="55"/>
      <c r="CF339" s="55"/>
      <c r="CG339" s="55"/>
      <c r="CH339" s="55"/>
      <c r="CI339" s="55"/>
      <c r="CJ339" s="55"/>
      <c r="CK339" s="55"/>
      <c r="CL339" s="55"/>
      <c r="CM339" s="55"/>
      <c r="CN339" s="55"/>
      <c r="CO339" s="55"/>
      <c r="CP339" s="55"/>
      <c r="CQ339" s="55"/>
      <c r="CR339" s="55"/>
      <c r="CS339" s="55"/>
      <c r="CT339" s="55"/>
      <c r="CU339" s="55"/>
      <c r="CV339" s="55"/>
      <c r="CW339" s="55"/>
      <c r="CX339" s="55"/>
      <c r="CY339" s="55"/>
      <c r="CZ339" s="55"/>
      <c r="DA339" s="55"/>
      <c r="DB339" s="55"/>
      <c r="DC339" s="55"/>
      <c r="DD339" s="55"/>
      <c r="DE339" s="55"/>
      <c r="DF339" s="55"/>
      <c r="DG339" s="55"/>
      <c r="DH339" s="55"/>
      <c r="DI339" s="55"/>
      <c r="DJ339" s="55"/>
      <c r="DK339" s="55"/>
      <c r="DL339" s="55"/>
      <c r="DM339" s="55"/>
      <c r="DN339" s="55"/>
      <c r="DO339" s="55"/>
      <c r="DP339" s="55"/>
      <c r="DQ339" s="55"/>
      <c r="DR339" s="55"/>
      <c r="DS339" s="55"/>
      <c r="DT339" s="55"/>
      <c r="DU339" s="55"/>
      <c r="DV339" s="55"/>
      <c r="DW339" s="55"/>
      <c r="DX339" s="55"/>
      <c r="DY339" s="55"/>
      <c r="DZ339" s="55"/>
      <c r="EA339" s="55"/>
      <c r="EB339" s="55"/>
      <c r="EC339" s="55"/>
      <c r="ED339" s="55"/>
      <c r="EE339" s="55"/>
      <c r="EF339" s="55"/>
      <c r="EG339" s="55"/>
      <c r="EH339" s="55"/>
      <c r="EI339" s="55"/>
      <c r="EJ339" s="55"/>
      <c r="EK339" s="55"/>
      <c r="EL339" s="55"/>
      <c r="EM339" s="55"/>
      <c r="EN339" s="55"/>
      <c r="EO339" s="55"/>
      <c r="EP339" s="55"/>
      <c r="EQ339" s="55"/>
      <c r="ER339" s="55"/>
      <c r="ES339" s="55"/>
      <c r="ET339" s="55"/>
      <c r="EU339" s="55"/>
      <c r="EV339" s="55"/>
      <c r="EW339" s="55"/>
      <c r="EX339" s="55"/>
      <c r="EY339" s="55"/>
      <c r="EZ339" s="55"/>
      <c r="FA339" s="55"/>
      <c r="FB339" s="55"/>
      <c r="FC339" s="55"/>
      <c r="FD339" s="55"/>
      <c r="FE339" s="55"/>
      <c r="FF339" s="55"/>
      <c r="FG339" s="55"/>
      <c r="FH339" s="55"/>
      <c r="FI339" s="55"/>
      <c r="FJ339" s="55"/>
      <c r="FK339" s="55"/>
      <c r="FL339" s="55"/>
      <c r="FM339" s="55"/>
      <c r="FN339" s="55"/>
      <c r="FO339" s="55"/>
      <c r="FP339" s="55"/>
      <c r="FQ339" s="55"/>
      <c r="FR339" s="55"/>
      <c r="FS339" s="55"/>
      <c r="FT339" s="55"/>
      <c r="FU339" s="55"/>
      <c r="FV339" s="55"/>
      <c r="FW339" s="55"/>
      <c r="FX339" s="55"/>
      <c r="FY339" s="55"/>
      <c r="FZ339" s="55"/>
      <c r="GA339" s="55"/>
      <c r="GB339" s="55"/>
      <c r="GC339" s="55"/>
      <c r="GD339" s="55"/>
      <c r="GE339" s="55"/>
      <c r="GF339" s="55"/>
      <c r="GG339" s="55"/>
      <c r="GH339" s="55"/>
      <c r="GI339" s="55"/>
      <c r="GJ339" s="55"/>
      <c r="GK339" s="55"/>
      <c r="GL339" s="55"/>
      <c r="GM339" s="55"/>
      <c r="GN339" s="55"/>
      <c r="GO339" s="55"/>
      <c r="GP339" s="55"/>
      <c r="GQ339" s="55"/>
      <c r="GR339" s="55"/>
      <c r="GS339" s="55"/>
      <c r="GT339" s="55"/>
      <c r="GU339" s="55"/>
      <c r="GV339" s="55"/>
      <c r="GW339" s="55"/>
      <c r="GX339" s="55"/>
      <c r="GY339" s="55"/>
      <c r="GZ339" s="55"/>
      <c r="HA339" s="55"/>
      <c r="HB339" s="55"/>
      <c r="HC339" s="55"/>
      <c r="HD339" s="55"/>
      <c r="HE339" s="55"/>
      <c r="HF339" s="55"/>
      <c r="HG339" s="55"/>
      <c r="HH339" s="55"/>
      <c r="HI339" s="55"/>
      <c r="HJ339" s="55"/>
      <c r="HK339" s="55"/>
      <c r="HL339" s="55"/>
      <c r="HM339" s="55"/>
      <c r="HN339" s="55"/>
      <c r="HO339" s="55"/>
      <c r="HP339" s="55"/>
      <c r="HQ339" s="55"/>
      <c r="HR339" s="55"/>
      <c r="HS339" s="55"/>
      <c r="HT339" s="55"/>
      <c r="HU339" s="55"/>
      <c r="HV339" s="55"/>
      <c r="HW339" s="55"/>
      <c r="HX339" s="55"/>
      <c r="HY339" s="55"/>
      <c r="HZ339" s="55"/>
      <c r="IA339" s="55"/>
      <c r="IB339" s="55"/>
      <c r="IC339" s="55"/>
      <c r="ID339" s="55"/>
    </row>
    <row r="340" s="52" customFormat="1" ht="25.5" spans="1:238">
      <c r="A340" s="112"/>
      <c r="B340" s="112"/>
      <c r="C340" s="64"/>
      <c r="D340" s="126"/>
      <c r="E340" s="129"/>
      <c r="F340" s="129"/>
      <c r="G340" s="112"/>
      <c r="H340" s="48"/>
      <c r="I340" s="48"/>
      <c r="J340" s="131"/>
      <c r="K340" s="131"/>
      <c r="L340" s="131"/>
      <c r="M340" s="50"/>
      <c r="N340" s="50"/>
      <c r="O340" s="50"/>
      <c r="P340" s="112"/>
      <c r="Q340" s="112"/>
      <c r="R340" s="112"/>
      <c r="S340" s="131"/>
      <c r="T340" s="129"/>
      <c r="U340" s="105" t="s">
        <v>1338</v>
      </c>
      <c r="V340" s="105">
        <v>33040100103</v>
      </c>
      <c r="W340" s="106" t="s">
        <v>1339</v>
      </c>
      <c r="X340" s="105"/>
      <c r="Y340" s="105"/>
      <c r="Z340" s="105" t="s">
        <v>36</v>
      </c>
      <c r="AA340" s="110" t="s">
        <v>1326</v>
      </c>
      <c r="AB340" s="50">
        <v>585</v>
      </c>
      <c r="AC340" s="50">
        <v>560</v>
      </c>
      <c r="AD340" s="50">
        <v>475</v>
      </c>
      <c r="AE340" s="112" t="s">
        <v>37</v>
      </c>
      <c r="AF340" s="60"/>
      <c r="AG340" s="55"/>
      <c r="AH340" s="55"/>
      <c r="AI340" s="55"/>
      <c r="AJ340" s="55"/>
      <c r="AK340" s="55"/>
      <c r="AL340" s="55"/>
      <c r="AM340" s="55"/>
      <c r="AN340" s="55"/>
      <c r="AO340" s="55"/>
      <c r="AP340" s="55"/>
      <c r="AQ340" s="55"/>
      <c r="AR340" s="55"/>
      <c r="AS340" s="55"/>
      <c r="AT340" s="55"/>
      <c r="AU340" s="55"/>
      <c r="AV340" s="55"/>
      <c r="AW340" s="55"/>
      <c r="AX340" s="55"/>
      <c r="AY340" s="55"/>
      <c r="AZ340" s="55"/>
      <c r="BA340" s="55"/>
      <c r="BB340" s="55"/>
      <c r="BC340" s="55"/>
      <c r="BD340" s="55"/>
      <c r="BE340" s="55"/>
      <c r="BF340" s="55"/>
      <c r="BG340" s="55"/>
      <c r="BH340" s="55"/>
      <c r="BI340" s="55"/>
      <c r="BJ340" s="55"/>
      <c r="BK340" s="55"/>
      <c r="BL340" s="55"/>
      <c r="BM340" s="55"/>
      <c r="BN340" s="55"/>
      <c r="BO340" s="55"/>
      <c r="BP340" s="55"/>
      <c r="BQ340" s="55"/>
      <c r="BR340" s="55"/>
      <c r="BS340" s="55"/>
      <c r="BT340" s="55"/>
      <c r="BU340" s="55"/>
      <c r="BV340" s="55"/>
      <c r="BW340" s="55"/>
      <c r="BX340" s="55"/>
      <c r="BY340" s="55"/>
      <c r="BZ340" s="55"/>
      <c r="CA340" s="55"/>
      <c r="CB340" s="55"/>
      <c r="CC340" s="55"/>
      <c r="CD340" s="55"/>
      <c r="CE340" s="55"/>
      <c r="CF340" s="55"/>
      <c r="CG340" s="55"/>
      <c r="CH340" s="55"/>
      <c r="CI340" s="55"/>
      <c r="CJ340" s="55"/>
      <c r="CK340" s="55"/>
      <c r="CL340" s="55"/>
      <c r="CM340" s="55"/>
      <c r="CN340" s="55"/>
      <c r="CO340" s="55"/>
      <c r="CP340" s="55"/>
      <c r="CQ340" s="55"/>
      <c r="CR340" s="55"/>
      <c r="CS340" s="55"/>
      <c r="CT340" s="55"/>
      <c r="CU340" s="55"/>
      <c r="CV340" s="55"/>
      <c r="CW340" s="55"/>
      <c r="CX340" s="55"/>
      <c r="CY340" s="55"/>
      <c r="CZ340" s="55"/>
      <c r="DA340" s="55"/>
      <c r="DB340" s="55"/>
      <c r="DC340" s="55"/>
      <c r="DD340" s="55"/>
      <c r="DE340" s="55"/>
      <c r="DF340" s="55"/>
      <c r="DG340" s="55"/>
      <c r="DH340" s="55"/>
      <c r="DI340" s="55"/>
      <c r="DJ340" s="55"/>
      <c r="DK340" s="55"/>
      <c r="DL340" s="55"/>
      <c r="DM340" s="55"/>
      <c r="DN340" s="55"/>
      <c r="DO340" s="55"/>
      <c r="DP340" s="55"/>
      <c r="DQ340" s="55"/>
      <c r="DR340" s="55"/>
      <c r="DS340" s="55"/>
      <c r="DT340" s="55"/>
      <c r="DU340" s="55"/>
      <c r="DV340" s="55"/>
      <c r="DW340" s="55"/>
      <c r="DX340" s="55"/>
      <c r="DY340" s="55"/>
      <c r="DZ340" s="55"/>
      <c r="EA340" s="55"/>
      <c r="EB340" s="55"/>
      <c r="EC340" s="55"/>
      <c r="ED340" s="55"/>
      <c r="EE340" s="55"/>
      <c r="EF340" s="55"/>
      <c r="EG340" s="55"/>
      <c r="EH340" s="55"/>
      <c r="EI340" s="55"/>
      <c r="EJ340" s="55"/>
      <c r="EK340" s="55"/>
      <c r="EL340" s="55"/>
      <c r="EM340" s="55"/>
      <c r="EN340" s="55"/>
      <c r="EO340" s="55"/>
      <c r="EP340" s="55"/>
      <c r="EQ340" s="55"/>
      <c r="ER340" s="55"/>
      <c r="ES340" s="55"/>
      <c r="ET340" s="55"/>
      <c r="EU340" s="55"/>
      <c r="EV340" s="55"/>
      <c r="EW340" s="55"/>
      <c r="EX340" s="55"/>
      <c r="EY340" s="55"/>
      <c r="EZ340" s="55"/>
      <c r="FA340" s="55"/>
      <c r="FB340" s="55"/>
      <c r="FC340" s="55"/>
      <c r="FD340" s="55"/>
      <c r="FE340" s="55"/>
      <c r="FF340" s="55"/>
      <c r="FG340" s="55"/>
      <c r="FH340" s="55"/>
      <c r="FI340" s="55"/>
      <c r="FJ340" s="55"/>
      <c r="FK340" s="55"/>
      <c r="FL340" s="55"/>
      <c r="FM340" s="55"/>
      <c r="FN340" s="55"/>
      <c r="FO340" s="55"/>
      <c r="FP340" s="55"/>
      <c r="FQ340" s="55"/>
      <c r="FR340" s="55"/>
      <c r="FS340" s="55"/>
      <c r="FT340" s="55"/>
      <c r="FU340" s="55"/>
      <c r="FV340" s="55"/>
      <c r="FW340" s="55"/>
      <c r="FX340" s="55"/>
      <c r="FY340" s="55"/>
      <c r="FZ340" s="55"/>
      <c r="GA340" s="55"/>
      <c r="GB340" s="55"/>
      <c r="GC340" s="55"/>
      <c r="GD340" s="55"/>
      <c r="GE340" s="55"/>
      <c r="GF340" s="55"/>
      <c r="GG340" s="55"/>
      <c r="GH340" s="55"/>
      <c r="GI340" s="55"/>
      <c r="GJ340" s="55"/>
      <c r="GK340" s="55"/>
      <c r="GL340" s="55"/>
      <c r="GM340" s="55"/>
      <c r="GN340" s="55"/>
      <c r="GO340" s="55"/>
      <c r="GP340" s="55"/>
      <c r="GQ340" s="55"/>
      <c r="GR340" s="55"/>
      <c r="GS340" s="55"/>
      <c r="GT340" s="55"/>
      <c r="GU340" s="55"/>
      <c r="GV340" s="55"/>
      <c r="GW340" s="55"/>
      <c r="GX340" s="55"/>
      <c r="GY340" s="55"/>
      <c r="GZ340" s="55"/>
      <c r="HA340" s="55"/>
      <c r="HB340" s="55"/>
      <c r="HC340" s="55"/>
      <c r="HD340" s="55"/>
      <c r="HE340" s="55"/>
      <c r="HF340" s="55"/>
      <c r="HG340" s="55"/>
      <c r="HH340" s="55"/>
      <c r="HI340" s="55"/>
      <c r="HJ340" s="55"/>
      <c r="HK340" s="55"/>
      <c r="HL340" s="55"/>
      <c r="HM340" s="55"/>
      <c r="HN340" s="55"/>
      <c r="HO340" s="55"/>
      <c r="HP340" s="55"/>
      <c r="HQ340" s="55"/>
      <c r="HR340" s="55"/>
      <c r="HS340" s="55"/>
      <c r="HT340" s="55"/>
      <c r="HU340" s="55"/>
      <c r="HV340" s="55"/>
      <c r="HW340" s="55"/>
      <c r="HX340" s="55"/>
      <c r="HY340" s="55"/>
      <c r="HZ340" s="55"/>
      <c r="IA340" s="55"/>
      <c r="IB340" s="55"/>
      <c r="IC340" s="55"/>
      <c r="ID340" s="55"/>
    </row>
    <row r="341" s="52" customFormat="1" ht="51" spans="1:238">
      <c r="A341" s="112">
        <v>89</v>
      </c>
      <c r="B341" s="112" t="s">
        <v>1340</v>
      </c>
      <c r="C341" s="64" t="s">
        <v>1341</v>
      </c>
      <c r="D341" s="65" t="s">
        <v>1342</v>
      </c>
      <c r="E341" s="77" t="s">
        <v>1319</v>
      </c>
      <c r="F341" s="77" t="s">
        <v>35</v>
      </c>
      <c r="G341" s="64" t="s">
        <v>110</v>
      </c>
      <c r="H341" s="78">
        <v>2880</v>
      </c>
      <c r="I341" s="78">
        <v>2592</v>
      </c>
      <c r="J341" s="83">
        <v>2480</v>
      </c>
      <c r="K341" s="83">
        <v>2230</v>
      </c>
      <c r="L341" s="83">
        <v>1900</v>
      </c>
      <c r="M341" s="89">
        <v>2600</v>
      </c>
      <c r="N341" s="89">
        <v>2350</v>
      </c>
      <c r="O341" s="89">
        <v>2000</v>
      </c>
      <c r="P341" s="64" t="s">
        <v>37</v>
      </c>
      <c r="Q341" s="64" t="s">
        <v>35</v>
      </c>
      <c r="R341" s="64" t="s">
        <v>35</v>
      </c>
      <c r="S341" s="83" t="s">
        <v>333</v>
      </c>
      <c r="T341" s="104" t="s">
        <v>1343</v>
      </c>
      <c r="U341" s="105" t="s">
        <v>1344</v>
      </c>
      <c r="V341" s="105">
        <v>330409023</v>
      </c>
      <c r="W341" s="106" t="s">
        <v>1345</v>
      </c>
      <c r="X341" s="105"/>
      <c r="Y341" s="105" t="s">
        <v>884</v>
      </c>
      <c r="Z341" s="105" t="s">
        <v>110</v>
      </c>
      <c r="AA341" s="110" t="s">
        <v>35</v>
      </c>
      <c r="AB341" s="50">
        <v>2480</v>
      </c>
      <c r="AC341" s="50">
        <v>2230</v>
      </c>
      <c r="AD341" s="50">
        <v>1900</v>
      </c>
      <c r="AE341" s="112" t="s">
        <v>37</v>
      </c>
      <c r="AF341" s="60"/>
      <c r="AG341" s="55"/>
      <c r="AH341" s="55"/>
      <c r="AI341" s="55"/>
      <c r="AJ341" s="55"/>
      <c r="AK341" s="55"/>
      <c r="AL341" s="55"/>
      <c r="AM341" s="55"/>
      <c r="AN341" s="55"/>
      <c r="AO341" s="55"/>
      <c r="AP341" s="55"/>
      <c r="AQ341" s="55"/>
      <c r="AR341" s="55"/>
      <c r="AS341" s="55"/>
      <c r="AT341" s="55"/>
      <c r="AU341" s="55"/>
      <c r="AV341" s="55"/>
      <c r="AW341" s="55"/>
      <c r="AX341" s="55"/>
      <c r="AY341" s="55"/>
      <c r="AZ341" s="55"/>
      <c r="BA341" s="55"/>
      <c r="BB341" s="55"/>
      <c r="BC341" s="55"/>
      <c r="BD341" s="55"/>
      <c r="BE341" s="55"/>
      <c r="BF341" s="55"/>
      <c r="BG341" s="55"/>
      <c r="BH341" s="55"/>
      <c r="BI341" s="55"/>
      <c r="BJ341" s="55"/>
      <c r="BK341" s="55"/>
      <c r="BL341" s="55"/>
      <c r="BM341" s="55"/>
      <c r="BN341" s="55"/>
      <c r="BO341" s="55"/>
      <c r="BP341" s="55"/>
      <c r="BQ341" s="55"/>
      <c r="BR341" s="55"/>
      <c r="BS341" s="55"/>
      <c r="BT341" s="55"/>
      <c r="BU341" s="55"/>
      <c r="BV341" s="55"/>
      <c r="BW341" s="55"/>
      <c r="BX341" s="55"/>
      <c r="BY341" s="55"/>
      <c r="BZ341" s="55"/>
      <c r="CA341" s="55"/>
      <c r="CB341" s="55"/>
      <c r="CC341" s="55"/>
      <c r="CD341" s="55"/>
      <c r="CE341" s="55"/>
      <c r="CF341" s="55"/>
      <c r="CG341" s="55"/>
      <c r="CH341" s="55"/>
      <c r="CI341" s="55"/>
      <c r="CJ341" s="55"/>
      <c r="CK341" s="55"/>
      <c r="CL341" s="55"/>
      <c r="CM341" s="55"/>
      <c r="CN341" s="55"/>
      <c r="CO341" s="55"/>
      <c r="CP341" s="55"/>
      <c r="CQ341" s="55"/>
      <c r="CR341" s="55"/>
      <c r="CS341" s="55"/>
      <c r="CT341" s="55"/>
      <c r="CU341" s="55"/>
      <c r="CV341" s="55"/>
      <c r="CW341" s="55"/>
      <c r="CX341" s="55"/>
      <c r="CY341" s="55"/>
      <c r="CZ341" s="55"/>
      <c r="DA341" s="55"/>
      <c r="DB341" s="55"/>
      <c r="DC341" s="55"/>
      <c r="DD341" s="55"/>
      <c r="DE341" s="55"/>
      <c r="DF341" s="55"/>
      <c r="DG341" s="55"/>
      <c r="DH341" s="55"/>
      <c r="DI341" s="55"/>
      <c r="DJ341" s="55"/>
      <c r="DK341" s="55"/>
      <c r="DL341" s="55"/>
      <c r="DM341" s="55"/>
      <c r="DN341" s="55"/>
      <c r="DO341" s="55"/>
      <c r="DP341" s="55"/>
      <c r="DQ341" s="55"/>
      <c r="DR341" s="55"/>
      <c r="DS341" s="55"/>
      <c r="DT341" s="55"/>
      <c r="DU341" s="55"/>
      <c r="DV341" s="55"/>
      <c r="DW341" s="55"/>
      <c r="DX341" s="55"/>
      <c r="DY341" s="55"/>
      <c r="DZ341" s="55"/>
      <c r="EA341" s="55"/>
      <c r="EB341" s="55"/>
      <c r="EC341" s="55"/>
      <c r="ED341" s="55"/>
      <c r="EE341" s="55"/>
      <c r="EF341" s="55"/>
      <c r="EG341" s="55"/>
      <c r="EH341" s="55"/>
      <c r="EI341" s="55"/>
      <c r="EJ341" s="55"/>
      <c r="EK341" s="55"/>
      <c r="EL341" s="55"/>
      <c r="EM341" s="55"/>
      <c r="EN341" s="55"/>
      <c r="EO341" s="55"/>
      <c r="EP341" s="55"/>
      <c r="EQ341" s="55"/>
      <c r="ER341" s="55"/>
      <c r="ES341" s="55"/>
      <c r="ET341" s="55"/>
      <c r="EU341" s="55"/>
      <c r="EV341" s="55"/>
      <c r="EW341" s="55"/>
      <c r="EX341" s="55"/>
      <c r="EY341" s="55"/>
      <c r="EZ341" s="55"/>
      <c r="FA341" s="55"/>
      <c r="FB341" s="55"/>
      <c r="FC341" s="55"/>
      <c r="FD341" s="55"/>
      <c r="FE341" s="55"/>
      <c r="FF341" s="55"/>
      <c r="FG341" s="55"/>
      <c r="FH341" s="55"/>
      <c r="FI341" s="55"/>
      <c r="FJ341" s="55"/>
      <c r="FK341" s="55"/>
      <c r="FL341" s="55"/>
      <c r="FM341" s="55"/>
      <c r="FN341" s="55"/>
      <c r="FO341" s="55"/>
      <c r="FP341" s="55"/>
      <c r="FQ341" s="55"/>
      <c r="FR341" s="55"/>
      <c r="FS341" s="55"/>
      <c r="FT341" s="55"/>
      <c r="FU341" s="55"/>
      <c r="FV341" s="55"/>
      <c r="FW341" s="55"/>
      <c r="FX341" s="55"/>
      <c r="FY341" s="55"/>
      <c r="FZ341" s="55"/>
      <c r="GA341" s="55"/>
      <c r="GB341" s="55"/>
      <c r="GC341" s="55"/>
      <c r="GD341" s="55"/>
      <c r="GE341" s="55"/>
      <c r="GF341" s="55"/>
      <c r="GG341" s="55"/>
      <c r="GH341" s="55"/>
      <c r="GI341" s="55"/>
      <c r="GJ341" s="55"/>
      <c r="GK341" s="55"/>
      <c r="GL341" s="55"/>
      <c r="GM341" s="55"/>
      <c r="GN341" s="55"/>
      <c r="GO341" s="55"/>
      <c r="GP341" s="55"/>
      <c r="GQ341" s="55"/>
      <c r="GR341" s="55"/>
      <c r="GS341" s="55"/>
      <c r="GT341" s="55"/>
      <c r="GU341" s="55"/>
      <c r="GV341" s="55"/>
      <c r="GW341" s="55"/>
      <c r="GX341" s="55"/>
      <c r="GY341" s="55"/>
      <c r="GZ341" s="55"/>
      <c r="HA341" s="55"/>
      <c r="HB341" s="55"/>
      <c r="HC341" s="55"/>
      <c r="HD341" s="55"/>
      <c r="HE341" s="55"/>
      <c r="HF341" s="55"/>
      <c r="HG341" s="55"/>
      <c r="HH341" s="55"/>
      <c r="HI341" s="55"/>
      <c r="HJ341" s="55"/>
      <c r="HK341" s="55"/>
      <c r="HL341" s="55"/>
      <c r="HM341" s="55"/>
      <c r="HN341" s="55"/>
      <c r="HO341" s="55"/>
      <c r="HP341" s="55"/>
      <c r="HQ341" s="55"/>
      <c r="HR341" s="55"/>
      <c r="HS341" s="55"/>
      <c r="HT341" s="55"/>
      <c r="HU341" s="55"/>
      <c r="HV341" s="55"/>
      <c r="HW341" s="55"/>
      <c r="HX341" s="55"/>
      <c r="HY341" s="55"/>
      <c r="HZ341" s="55"/>
      <c r="IA341" s="55"/>
      <c r="IB341" s="55"/>
      <c r="IC341" s="55"/>
      <c r="ID341" s="55"/>
    </row>
    <row r="342" s="52" customFormat="1" ht="27" customHeight="1" spans="1:238">
      <c r="A342" s="112" t="s">
        <v>95</v>
      </c>
      <c r="B342" s="112" t="s">
        <v>1346</v>
      </c>
      <c r="C342" s="64" t="s">
        <v>1347</v>
      </c>
      <c r="D342" s="126"/>
      <c r="E342" s="129"/>
      <c r="F342" s="129" t="s">
        <v>35</v>
      </c>
      <c r="G342" s="112" t="s">
        <v>110</v>
      </c>
      <c r="H342" s="128">
        <v>864</v>
      </c>
      <c r="I342" s="128">
        <v>778</v>
      </c>
      <c r="J342" s="131">
        <v>745</v>
      </c>
      <c r="K342" s="131"/>
      <c r="L342" s="131"/>
      <c r="M342" s="50">
        <v>780</v>
      </c>
      <c r="N342" s="50">
        <v>705</v>
      </c>
      <c r="O342" s="50">
        <v>600</v>
      </c>
      <c r="P342" s="112" t="s">
        <v>37</v>
      </c>
      <c r="Q342" s="112" t="s">
        <v>35</v>
      </c>
      <c r="R342" s="112" t="s">
        <v>35</v>
      </c>
      <c r="S342" s="131"/>
      <c r="T342" s="129" t="s">
        <v>186</v>
      </c>
      <c r="U342" s="105" t="s">
        <v>1348</v>
      </c>
      <c r="V342" s="105">
        <v>33040902301</v>
      </c>
      <c r="W342" s="106" t="s">
        <v>1349</v>
      </c>
      <c r="X342" s="105"/>
      <c r="Y342" s="105"/>
      <c r="Z342" s="105" t="s">
        <v>110</v>
      </c>
      <c r="AA342" s="110" t="s">
        <v>35</v>
      </c>
      <c r="AB342" s="50">
        <v>3225</v>
      </c>
      <c r="AC342" s="50">
        <v>2900</v>
      </c>
      <c r="AD342" s="50">
        <v>2465</v>
      </c>
      <c r="AE342" s="112" t="s">
        <v>37</v>
      </c>
      <c r="AF342" s="60"/>
      <c r="AG342" s="55"/>
      <c r="AH342" s="55"/>
      <c r="AI342" s="55"/>
      <c r="AJ342" s="55"/>
      <c r="AK342" s="55"/>
      <c r="AL342" s="55"/>
      <c r="AM342" s="55"/>
      <c r="AN342" s="55"/>
      <c r="AO342" s="55"/>
      <c r="AP342" s="55"/>
      <c r="AQ342" s="55"/>
      <c r="AR342" s="55"/>
      <c r="AS342" s="55"/>
      <c r="AT342" s="55"/>
      <c r="AU342" s="55"/>
      <c r="AV342" s="55"/>
      <c r="AW342" s="55"/>
      <c r="AX342" s="55"/>
      <c r="AY342" s="55"/>
      <c r="AZ342" s="55"/>
      <c r="BA342" s="55"/>
      <c r="BB342" s="55"/>
      <c r="BC342" s="55"/>
      <c r="BD342" s="55"/>
      <c r="BE342" s="55"/>
      <c r="BF342" s="55"/>
      <c r="BG342" s="55"/>
      <c r="BH342" s="55"/>
      <c r="BI342" s="55"/>
      <c r="BJ342" s="55"/>
      <c r="BK342" s="55"/>
      <c r="BL342" s="55"/>
      <c r="BM342" s="55"/>
      <c r="BN342" s="55"/>
      <c r="BO342" s="55"/>
      <c r="BP342" s="55"/>
      <c r="BQ342" s="55"/>
      <c r="BR342" s="55"/>
      <c r="BS342" s="55"/>
      <c r="BT342" s="55"/>
      <c r="BU342" s="55"/>
      <c r="BV342" s="55"/>
      <c r="BW342" s="55"/>
      <c r="BX342" s="55"/>
      <c r="BY342" s="55"/>
      <c r="BZ342" s="55"/>
      <c r="CA342" s="55"/>
      <c r="CB342" s="55"/>
      <c r="CC342" s="55"/>
      <c r="CD342" s="55"/>
      <c r="CE342" s="55"/>
      <c r="CF342" s="55"/>
      <c r="CG342" s="55"/>
      <c r="CH342" s="55"/>
      <c r="CI342" s="55"/>
      <c r="CJ342" s="55"/>
      <c r="CK342" s="55"/>
      <c r="CL342" s="55"/>
      <c r="CM342" s="55"/>
      <c r="CN342" s="55"/>
      <c r="CO342" s="55"/>
      <c r="CP342" s="55"/>
      <c r="CQ342" s="55"/>
      <c r="CR342" s="55"/>
      <c r="CS342" s="55"/>
      <c r="CT342" s="55"/>
      <c r="CU342" s="55"/>
      <c r="CV342" s="55"/>
      <c r="CW342" s="55"/>
      <c r="CX342" s="55"/>
      <c r="CY342" s="55"/>
      <c r="CZ342" s="55"/>
      <c r="DA342" s="55"/>
      <c r="DB342" s="55"/>
      <c r="DC342" s="55"/>
      <c r="DD342" s="55"/>
      <c r="DE342" s="55"/>
      <c r="DF342" s="55"/>
      <c r="DG342" s="55"/>
      <c r="DH342" s="55"/>
      <c r="DI342" s="55"/>
      <c r="DJ342" s="55"/>
      <c r="DK342" s="55"/>
      <c r="DL342" s="55"/>
      <c r="DM342" s="55"/>
      <c r="DN342" s="55"/>
      <c r="DO342" s="55"/>
      <c r="DP342" s="55"/>
      <c r="DQ342" s="55"/>
      <c r="DR342" s="55"/>
      <c r="DS342" s="55"/>
      <c r="DT342" s="55"/>
      <c r="DU342" s="55"/>
      <c r="DV342" s="55"/>
      <c r="DW342" s="55"/>
      <c r="DX342" s="55"/>
      <c r="DY342" s="55"/>
      <c r="DZ342" s="55"/>
      <c r="EA342" s="55"/>
      <c r="EB342" s="55"/>
      <c r="EC342" s="55"/>
      <c r="ED342" s="55"/>
      <c r="EE342" s="55"/>
      <c r="EF342" s="55"/>
      <c r="EG342" s="55"/>
      <c r="EH342" s="55"/>
      <c r="EI342" s="55"/>
      <c r="EJ342" s="55"/>
      <c r="EK342" s="55"/>
      <c r="EL342" s="55"/>
      <c r="EM342" s="55"/>
      <c r="EN342" s="55"/>
      <c r="EO342" s="55"/>
      <c r="EP342" s="55"/>
      <c r="EQ342" s="55"/>
      <c r="ER342" s="55"/>
      <c r="ES342" s="55"/>
      <c r="ET342" s="55"/>
      <c r="EU342" s="55"/>
      <c r="EV342" s="55"/>
      <c r="EW342" s="55"/>
      <c r="EX342" s="55"/>
      <c r="EY342" s="55"/>
      <c r="EZ342" s="55"/>
      <c r="FA342" s="55"/>
      <c r="FB342" s="55"/>
      <c r="FC342" s="55"/>
      <c r="FD342" s="55"/>
      <c r="FE342" s="55"/>
      <c r="FF342" s="55"/>
      <c r="FG342" s="55"/>
      <c r="FH342" s="55"/>
      <c r="FI342" s="55"/>
      <c r="FJ342" s="55"/>
      <c r="FK342" s="55"/>
      <c r="FL342" s="55"/>
      <c r="FM342" s="55"/>
      <c r="FN342" s="55"/>
      <c r="FO342" s="55"/>
      <c r="FP342" s="55"/>
      <c r="FQ342" s="55"/>
      <c r="FR342" s="55"/>
      <c r="FS342" s="55"/>
      <c r="FT342" s="55"/>
      <c r="FU342" s="55"/>
      <c r="FV342" s="55"/>
      <c r="FW342" s="55"/>
      <c r="FX342" s="55"/>
      <c r="FY342" s="55"/>
      <c r="FZ342" s="55"/>
      <c r="GA342" s="55"/>
      <c r="GB342" s="55"/>
      <c r="GC342" s="55"/>
      <c r="GD342" s="55"/>
      <c r="GE342" s="55"/>
      <c r="GF342" s="55"/>
      <c r="GG342" s="55"/>
      <c r="GH342" s="55"/>
      <c r="GI342" s="55"/>
      <c r="GJ342" s="55"/>
      <c r="GK342" s="55"/>
      <c r="GL342" s="55"/>
      <c r="GM342" s="55"/>
      <c r="GN342" s="55"/>
      <c r="GO342" s="55"/>
      <c r="GP342" s="55"/>
      <c r="GQ342" s="55"/>
      <c r="GR342" s="55"/>
      <c r="GS342" s="55"/>
      <c r="GT342" s="55"/>
      <c r="GU342" s="55"/>
      <c r="GV342" s="55"/>
      <c r="GW342" s="55"/>
      <c r="GX342" s="55"/>
      <c r="GY342" s="55"/>
      <c r="GZ342" s="55"/>
      <c r="HA342" s="55"/>
      <c r="HB342" s="55"/>
      <c r="HC342" s="55"/>
      <c r="HD342" s="55"/>
      <c r="HE342" s="55"/>
      <c r="HF342" s="55"/>
      <c r="HG342" s="55"/>
      <c r="HH342" s="55"/>
      <c r="HI342" s="55"/>
      <c r="HJ342" s="55"/>
      <c r="HK342" s="55"/>
      <c r="HL342" s="55"/>
      <c r="HM342" s="55"/>
      <c r="HN342" s="55"/>
      <c r="HO342" s="55"/>
      <c r="HP342" s="55"/>
      <c r="HQ342" s="55"/>
      <c r="HR342" s="55"/>
      <c r="HS342" s="55"/>
      <c r="HT342" s="55"/>
      <c r="HU342" s="55"/>
      <c r="HV342" s="55"/>
      <c r="HW342" s="55"/>
      <c r="HX342" s="55"/>
      <c r="HY342" s="55"/>
      <c r="HZ342" s="55"/>
      <c r="IA342" s="55"/>
      <c r="IB342" s="55"/>
      <c r="IC342" s="55"/>
      <c r="ID342" s="55"/>
    </row>
    <row r="343" s="57" customFormat="1" ht="27" customHeight="1" spans="1:32">
      <c r="A343" s="112" t="s">
        <v>95</v>
      </c>
      <c r="B343" s="112" t="s">
        <v>1340</v>
      </c>
      <c r="C343" s="106" t="s">
        <v>1350</v>
      </c>
      <c r="D343" s="119"/>
      <c r="E343" s="110"/>
      <c r="F343" s="110"/>
      <c r="G343" s="105" t="s">
        <v>36</v>
      </c>
      <c r="H343" s="17">
        <v>480</v>
      </c>
      <c r="I343" s="17">
        <v>432</v>
      </c>
      <c r="J343" s="132">
        <v>420</v>
      </c>
      <c r="K343" s="132">
        <v>380</v>
      </c>
      <c r="L343" s="132">
        <v>325</v>
      </c>
      <c r="M343" s="16">
        <v>420</v>
      </c>
      <c r="N343" s="16">
        <v>380</v>
      </c>
      <c r="O343" s="16">
        <v>325</v>
      </c>
      <c r="P343" s="105" t="s">
        <v>37</v>
      </c>
      <c r="Q343" s="105"/>
      <c r="R343" s="105"/>
      <c r="S343" s="132"/>
      <c r="T343" s="110" t="s">
        <v>381</v>
      </c>
      <c r="U343" s="105" t="s">
        <v>1351</v>
      </c>
      <c r="V343" s="105">
        <v>330404007</v>
      </c>
      <c r="W343" s="106" t="s">
        <v>1352</v>
      </c>
      <c r="X343" s="105" t="s">
        <v>1353</v>
      </c>
      <c r="Y343" s="105"/>
      <c r="Z343" s="105" t="s">
        <v>36</v>
      </c>
      <c r="AA343" s="110" t="s">
        <v>1354</v>
      </c>
      <c r="AB343" s="50">
        <v>420</v>
      </c>
      <c r="AC343" s="50">
        <v>380</v>
      </c>
      <c r="AD343" s="50">
        <v>325</v>
      </c>
      <c r="AE343" s="112" t="s">
        <v>37</v>
      </c>
      <c r="AF343" s="60"/>
    </row>
    <row r="344" s="57" customFormat="1" ht="25.5" spans="1:32">
      <c r="A344" s="112"/>
      <c r="B344" s="112"/>
      <c r="C344" s="106"/>
      <c r="D344" s="119"/>
      <c r="E344" s="110"/>
      <c r="F344" s="110"/>
      <c r="G344" s="105"/>
      <c r="H344" s="17"/>
      <c r="I344" s="17"/>
      <c r="J344" s="132"/>
      <c r="K344" s="132"/>
      <c r="L344" s="132"/>
      <c r="M344" s="16"/>
      <c r="N344" s="16"/>
      <c r="O344" s="16"/>
      <c r="P344" s="105"/>
      <c r="Q344" s="105"/>
      <c r="R344" s="105"/>
      <c r="S344" s="132"/>
      <c r="T344" s="110"/>
      <c r="U344" s="105" t="s">
        <v>1355</v>
      </c>
      <c r="V344" s="105">
        <v>33040400702</v>
      </c>
      <c r="W344" s="106" t="s">
        <v>1356</v>
      </c>
      <c r="X344" s="105"/>
      <c r="Y344" s="105"/>
      <c r="Z344" s="105" t="s">
        <v>36</v>
      </c>
      <c r="AA344" s="110" t="s">
        <v>35</v>
      </c>
      <c r="AB344" s="50">
        <v>545</v>
      </c>
      <c r="AC344" s="50">
        <v>495</v>
      </c>
      <c r="AD344" s="50">
        <v>420</v>
      </c>
      <c r="AE344" s="112" t="s">
        <v>37</v>
      </c>
      <c r="AF344" s="60"/>
    </row>
    <row r="345" s="57" customFormat="1" ht="25.5" spans="1:32">
      <c r="A345" s="112" t="s">
        <v>95</v>
      </c>
      <c r="B345" s="112" t="s">
        <v>1340</v>
      </c>
      <c r="C345" s="106" t="s">
        <v>1357</v>
      </c>
      <c r="D345" s="119"/>
      <c r="E345" s="110"/>
      <c r="F345" s="110"/>
      <c r="G345" s="105" t="s">
        <v>36</v>
      </c>
      <c r="H345" s="17">
        <v>800</v>
      </c>
      <c r="I345" s="17">
        <v>720</v>
      </c>
      <c r="J345" s="132">
        <v>650</v>
      </c>
      <c r="K345" s="132">
        <v>585</v>
      </c>
      <c r="L345" s="132">
        <v>500</v>
      </c>
      <c r="M345" s="29">
        <v>720</v>
      </c>
      <c r="N345" s="29">
        <v>650</v>
      </c>
      <c r="O345" s="29">
        <v>550</v>
      </c>
      <c r="P345" s="105" t="s">
        <v>37</v>
      </c>
      <c r="Q345" s="105"/>
      <c r="R345" s="105"/>
      <c r="S345" s="132"/>
      <c r="T345" s="137" t="s">
        <v>1343</v>
      </c>
      <c r="U345" s="105" t="s">
        <v>1358</v>
      </c>
      <c r="V345" s="105">
        <v>33040400701</v>
      </c>
      <c r="W345" s="106" t="s">
        <v>1359</v>
      </c>
      <c r="X345" s="105"/>
      <c r="Y345" s="105"/>
      <c r="Z345" s="105" t="s">
        <v>36</v>
      </c>
      <c r="AA345" s="110" t="s">
        <v>1360</v>
      </c>
      <c r="AB345" s="50">
        <v>650</v>
      </c>
      <c r="AC345" s="50">
        <v>585</v>
      </c>
      <c r="AD345" s="50">
        <v>500</v>
      </c>
      <c r="AE345" s="112" t="s">
        <v>37</v>
      </c>
      <c r="AF345" s="60"/>
    </row>
    <row r="346" s="57" customFormat="1" ht="25" customHeight="1" spans="1:32">
      <c r="A346" s="112"/>
      <c r="B346" s="112"/>
      <c r="C346" s="106"/>
      <c r="D346" s="119"/>
      <c r="E346" s="110"/>
      <c r="F346" s="110"/>
      <c r="G346" s="105"/>
      <c r="H346" s="17"/>
      <c r="I346" s="17"/>
      <c r="J346" s="132"/>
      <c r="K346" s="132"/>
      <c r="L346" s="132"/>
      <c r="M346" s="29"/>
      <c r="N346" s="29"/>
      <c r="O346" s="29"/>
      <c r="P346" s="105"/>
      <c r="Q346" s="105"/>
      <c r="R346" s="105"/>
      <c r="S346" s="132"/>
      <c r="T346" s="137"/>
      <c r="U346" s="105" t="s">
        <v>1361</v>
      </c>
      <c r="V346" s="105">
        <v>33040400703</v>
      </c>
      <c r="W346" s="106" t="s">
        <v>1362</v>
      </c>
      <c r="X346" s="105"/>
      <c r="Y346" s="105"/>
      <c r="Z346" s="105" t="s">
        <v>36</v>
      </c>
      <c r="AA346" s="110" t="s">
        <v>35</v>
      </c>
      <c r="AB346" s="50">
        <v>845</v>
      </c>
      <c r="AC346" s="50">
        <v>760</v>
      </c>
      <c r="AD346" s="50">
        <v>645</v>
      </c>
      <c r="AE346" s="112" t="s">
        <v>37</v>
      </c>
      <c r="AF346" s="60"/>
    </row>
    <row r="347" s="52" customFormat="1" ht="51" spans="1:238">
      <c r="A347" s="112">
        <v>90</v>
      </c>
      <c r="B347" s="112" t="s">
        <v>1363</v>
      </c>
      <c r="C347" s="64" t="s">
        <v>1364</v>
      </c>
      <c r="D347" s="65" t="s">
        <v>1365</v>
      </c>
      <c r="E347" s="77" t="s">
        <v>1366</v>
      </c>
      <c r="F347" s="77"/>
      <c r="G347" s="64" t="s">
        <v>110</v>
      </c>
      <c r="H347" s="78">
        <v>1150</v>
      </c>
      <c r="I347" s="78">
        <v>1035</v>
      </c>
      <c r="J347" s="83">
        <v>1010</v>
      </c>
      <c r="K347" s="83">
        <v>910</v>
      </c>
      <c r="L347" s="83">
        <v>775</v>
      </c>
      <c r="M347" s="41">
        <v>1010</v>
      </c>
      <c r="N347" s="41">
        <v>910</v>
      </c>
      <c r="O347" s="41">
        <v>775</v>
      </c>
      <c r="P347" s="64" t="s">
        <v>37</v>
      </c>
      <c r="Q347" s="64" t="s">
        <v>35</v>
      </c>
      <c r="R347" s="64" t="s">
        <v>35</v>
      </c>
      <c r="S347" s="83" t="s">
        <v>381</v>
      </c>
      <c r="T347" s="77" t="s">
        <v>381</v>
      </c>
      <c r="U347" s="105" t="s">
        <v>1367</v>
      </c>
      <c r="V347" s="105">
        <v>330404011</v>
      </c>
      <c r="W347" s="106" t="s">
        <v>1368</v>
      </c>
      <c r="X347" s="105"/>
      <c r="Y347" s="105" t="s">
        <v>884</v>
      </c>
      <c r="Z347" s="105" t="s">
        <v>36</v>
      </c>
      <c r="AA347" s="110" t="s">
        <v>35</v>
      </c>
      <c r="AB347" s="50">
        <v>1010</v>
      </c>
      <c r="AC347" s="50">
        <v>910</v>
      </c>
      <c r="AD347" s="50">
        <v>775</v>
      </c>
      <c r="AE347" s="112" t="s">
        <v>37</v>
      </c>
      <c r="AF347" s="60"/>
      <c r="AG347" s="55"/>
      <c r="AH347" s="55"/>
      <c r="AI347" s="55"/>
      <c r="AJ347" s="55"/>
      <c r="AK347" s="55"/>
      <c r="AL347" s="55"/>
      <c r="AM347" s="55"/>
      <c r="AN347" s="55"/>
      <c r="AO347" s="55"/>
      <c r="AP347" s="55"/>
      <c r="AQ347" s="55"/>
      <c r="AR347" s="55"/>
      <c r="AS347" s="55"/>
      <c r="AT347" s="55"/>
      <c r="AU347" s="55"/>
      <c r="AV347" s="55"/>
      <c r="AW347" s="55"/>
      <c r="AX347" s="55"/>
      <c r="AY347" s="55"/>
      <c r="AZ347" s="55"/>
      <c r="BA347" s="55"/>
      <c r="BB347" s="55"/>
      <c r="BC347" s="55"/>
      <c r="BD347" s="55"/>
      <c r="BE347" s="55"/>
      <c r="BF347" s="55"/>
      <c r="BG347" s="55"/>
      <c r="BH347" s="55"/>
      <c r="BI347" s="55"/>
      <c r="BJ347" s="55"/>
      <c r="BK347" s="55"/>
      <c r="BL347" s="55"/>
      <c r="BM347" s="55"/>
      <c r="BN347" s="55"/>
      <c r="BO347" s="55"/>
      <c r="BP347" s="55"/>
      <c r="BQ347" s="55"/>
      <c r="BR347" s="55"/>
      <c r="BS347" s="55"/>
      <c r="BT347" s="55"/>
      <c r="BU347" s="55"/>
      <c r="BV347" s="55"/>
      <c r="BW347" s="55"/>
      <c r="BX347" s="55"/>
      <c r="BY347" s="55"/>
      <c r="BZ347" s="55"/>
      <c r="CA347" s="55"/>
      <c r="CB347" s="55"/>
      <c r="CC347" s="55"/>
      <c r="CD347" s="55"/>
      <c r="CE347" s="55"/>
      <c r="CF347" s="55"/>
      <c r="CG347" s="55"/>
      <c r="CH347" s="55"/>
      <c r="CI347" s="55"/>
      <c r="CJ347" s="55"/>
      <c r="CK347" s="55"/>
      <c r="CL347" s="55"/>
      <c r="CM347" s="55"/>
      <c r="CN347" s="55"/>
      <c r="CO347" s="55"/>
      <c r="CP347" s="55"/>
      <c r="CQ347" s="55"/>
      <c r="CR347" s="55"/>
      <c r="CS347" s="55"/>
      <c r="CT347" s="55"/>
      <c r="CU347" s="55"/>
      <c r="CV347" s="55"/>
      <c r="CW347" s="55"/>
      <c r="CX347" s="55"/>
      <c r="CY347" s="55"/>
      <c r="CZ347" s="55"/>
      <c r="DA347" s="55"/>
      <c r="DB347" s="55"/>
      <c r="DC347" s="55"/>
      <c r="DD347" s="55"/>
      <c r="DE347" s="55"/>
      <c r="DF347" s="55"/>
      <c r="DG347" s="55"/>
      <c r="DH347" s="55"/>
      <c r="DI347" s="55"/>
      <c r="DJ347" s="55"/>
      <c r="DK347" s="55"/>
      <c r="DL347" s="55"/>
      <c r="DM347" s="55"/>
      <c r="DN347" s="55"/>
      <c r="DO347" s="55"/>
      <c r="DP347" s="55"/>
      <c r="DQ347" s="55"/>
      <c r="DR347" s="55"/>
      <c r="DS347" s="55"/>
      <c r="DT347" s="55"/>
      <c r="DU347" s="55"/>
      <c r="DV347" s="55"/>
      <c r="DW347" s="55"/>
      <c r="DX347" s="55"/>
      <c r="DY347" s="55"/>
      <c r="DZ347" s="55"/>
      <c r="EA347" s="55"/>
      <c r="EB347" s="55"/>
      <c r="EC347" s="55"/>
      <c r="ED347" s="55"/>
      <c r="EE347" s="55"/>
      <c r="EF347" s="55"/>
      <c r="EG347" s="55"/>
      <c r="EH347" s="55"/>
      <c r="EI347" s="55"/>
      <c r="EJ347" s="55"/>
      <c r="EK347" s="55"/>
      <c r="EL347" s="55"/>
      <c r="EM347" s="55"/>
      <c r="EN347" s="55"/>
      <c r="EO347" s="55"/>
      <c r="EP347" s="55"/>
      <c r="EQ347" s="55"/>
      <c r="ER347" s="55"/>
      <c r="ES347" s="55"/>
      <c r="ET347" s="55"/>
      <c r="EU347" s="55"/>
      <c r="EV347" s="55"/>
      <c r="EW347" s="55"/>
      <c r="EX347" s="55"/>
      <c r="EY347" s="55"/>
      <c r="EZ347" s="55"/>
      <c r="FA347" s="55"/>
      <c r="FB347" s="55"/>
      <c r="FC347" s="55"/>
      <c r="FD347" s="55"/>
      <c r="FE347" s="55"/>
      <c r="FF347" s="55"/>
      <c r="FG347" s="55"/>
      <c r="FH347" s="55"/>
      <c r="FI347" s="55"/>
      <c r="FJ347" s="55"/>
      <c r="FK347" s="55"/>
      <c r="FL347" s="55"/>
      <c r="FM347" s="55"/>
      <c r="FN347" s="55"/>
      <c r="FO347" s="55"/>
      <c r="FP347" s="55"/>
      <c r="FQ347" s="55"/>
      <c r="FR347" s="55"/>
      <c r="FS347" s="55"/>
      <c r="FT347" s="55"/>
      <c r="FU347" s="55"/>
      <c r="FV347" s="55"/>
      <c r="FW347" s="55"/>
      <c r="FX347" s="55"/>
      <c r="FY347" s="55"/>
      <c r="FZ347" s="55"/>
      <c r="GA347" s="55"/>
      <c r="GB347" s="55"/>
      <c r="GC347" s="55"/>
      <c r="GD347" s="55"/>
      <c r="GE347" s="55"/>
      <c r="GF347" s="55"/>
      <c r="GG347" s="55"/>
      <c r="GH347" s="55"/>
      <c r="GI347" s="55"/>
      <c r="GJ347" s="55"/>
      <c r="GK347" s="55"/>
      <c r="GL347" s="55"/>
      <c r="GM347" s="55"/>
      <c r="GN347" s="55"/>
      <c r="GO347" s="55"/>
      <c r="GP347" s="55"/>
      <c r="GQ347" s="55"/>
      <c r="GR347" s="55"/>
      <c r="GS347" s="55"/>
      <c r="GT347" s="55"/>
      <c r="GU347" s="55"/>
      <c r="GV347" s="55"/>
      <c r="GW347" s="55"/>
      <c r="GX347" s="55"/>
      <c r="GY347" s="55"/>
      <c r="GZ347" s="55"/>
      <c r="HA347" s="55"/>
      <c r="HB347" s="55"/>
      <c r="HC347" s="55"/>
      <c r="HD347" s="55"/>
      <c r="HE347" s="55"/>
      <c r="HF347" s="55"/>
      <c r="HG347" s="55"/>
      <c r="HH347" s="55"/>
      <c r="HI347" s="55"/>
      <c r="HJ347" s="55"/>
      <c r="HK347" s="55"/>
      <c r="HL347" s="55"/>
      <c r="HM347" s="55"/>
      <c r="HN347" s="55"/>
      <c r="HO347" s="55"/>
      <c r="HP347" s="55"/>
      <c r="HQ347" s="55"/>
      <c r="HR347" s="55"/>
      <c r="HS347" s="55"/>
      <c r="HT347" s="55"/>
      <c r="HU347" s="55"/>
      <c r="HV347" s="55"/>
      <c r="HW347" s="55"/>
      <c r="HX347" s="55"/>
      <c r="HY347" s="55"/>
      <c r="HZ347" s="55"/>
      <c r="IA347" s="55"/>
      <c r="IB347" s="55"/>
      <c r="IC347" s="55"/>
      <c r="ID347" s="55"/>
    </row>
    <row r="348" s="55" customFormat="1" ht="25.5" spans="1:32">
      <c r="A348" s="112" t="s">
        <v>95</v>
      </c>
      <c r="B348" s="112" t="s">
        <v>1369</v>
      </c>
      <c r="C348" s="64" t="s">
        <v>1370</v>
      </c>
      <c r="D348" s="65"/>
      <c r="E348" s="77"/>
      <c r="F348" s="77" t="s">
        <v>35</v>
      </c>
      <c r="G348" s="64" t="s">
        <v>110</v>
      </c>
      <c r="H348" s="78">
        <v>345</v>
      </c>
      <c r="I348" s="78">
        <v>311</v>
      </c>
      <c r="J348" s="83">
        <v>305</v>
      </c>
      <c r="K348" s="83">
        <v>275</v>
      </c>
      <c r="L348" s="83">
        <v>230</v>
      </c>
      <c r="M348" s="41">
        <v>305</v>
      </c>
      <c r="N348" s="41">
        <v>275</v>
      </c>
      <c r="O348" s="41">
        <v>230</v>
      </c>
      <c r="P348" s="64" t="s">
        <v>37</v>
      </c>
      <c r="Q348" s="64" t="s">
        <v>35</v>
      </c>
      <c r="R348" s="64" t="s">
        <v>35</v>
      </c>
      <c r="S348" s="83"/>
      <c r="T348" s="77" t="s">
        <v>186</v>
      </c>
      <c r="U348" s="105" t="s">
        <v>1371</v>
      </c>
      <c r="V348" s="105">
        <v>33040401101</v>
      </c>
      <c r="W348" s="106" t="s">
        <v>1372</v>
      </c>
      <c r="X348" s="105"/>
      <c r="Y348" s="105"/>
      <c r="Z348" s="105" t="s">
        <v>36</v>
      </c>
      <c r="AA348" s="110" t="s">
        <v>35</v>
      </c>
      <c r="AB348" s="50">
        <v>1315</v>
      </c>
      <c r="AC348" s="50">
        <v>1185</v>
      </c>
      <c r="AD348" s="50">
        <v>1005</v>
      </c>
      <c r="AE348" s="112" t="s">
        <v>37</v>
      </c>
      <c r="AF348" s="60"/>
    </row>
    <row r="349" s="52" customFormat="1" ht="43" customHeight="1" spans="1:238">
      <c r="A349" s="112">
        <v>91</v>
      </c>
      <c r="B349" s="112" t="s">
        <v>1373</v>
      </c>
      <c r="C349" s="64" t="s">
        <v>1374</v>
      </c>
      <c r="D349" s="65" t="s">
        <v>1375</v>
      </c>
      <c r="E349" s="77" t="s">
        <v>1376</v>
      </c>
      <c r="F349" s="77" t="s">
        <v>35</v>
      </c>
      <c r="G349" s="64" t="s">
        <v>110</v>
      </c>
      <c r="H349" s="78">
        <v>195</v>
      </c>
      <c r="I349" s="78">
        <v>175</v>
      </c>
      <c r="J349" s="83"/>
      <c r="K349" s="83"/>
      <c r="L349" s="83"/>
      <c r="M349" s="41">
        <v>175</v>
      </c>
      <c r="N349" s="41">
        <v>158</v>
      </c>
      <c r="O349" s="41">
        <v>135</v>
      </c>
      <c r="P349" s="64" t="s">
        <v>37</v>
      </c>
      <c r="Q349" s="64" t="s">
        <v>35</v>
      </c>
      <c r="R349" s="160">
        <v>0.2</v>
      </c>
      <c r="S349" s="83" t="s">
        <v>400</v>
      </c>
      <c r="T349" s="77" t="s">
        <v>648</v>
      </c>
      <c r="U349" s="112"/>
      <c r="V349" s="112"/>
      <c r="W349" s="112"/>
      <c r="X349" s="64"/>
      <c r="Y349" s="112"/>
      <c r="Z349" s="112"/>
      <c r="AA349" s="110"/>
      <c r="AB349" s="50"/>
      <c r="AC349" s="50"/>
      <c r="AD349" s="50"/>
      <c r="AE349" s="112"/>
      <c r="AF349" s="60"/>
      <c r="AG349" s="55"/>
      <c r="AH349" s="55"/>
      <c r="AI349" s="55"/>
      <c r="AJ349" s="55"/>
      <c r="AK349" s="55"/>
      <c r="AL349" s="55"/>
      <c r="AM349" s="55"/>
      <c r="AN349" s="55"/>
      <c r="AO349" s="55"/>
      <c r="AP349" s="55"/>
      <c r="AQ349" s="55"/>
      <c r="AR349" s="55"/>
      <c r="AS349" s="55"/>
      <c r="AT349" s="55"/>
      <c r="AU349" s="55"/>
      <c r="AV349" s="55"/>
      <c r="AW349" s="55"/>
      <c r="AX349" s="55"/>
      <c r="AY349" s="55"/>
      <c r="AZ349" s="55"/>
      <c r="BA349" s="55"/>
      <c r="BB349" s="55"/>
      <c r="BC349" s="55"/>
      <c r="BD349" s="55"/>
      <c r="BE349" s="55"/>
      <c r="BF349" s="55"/>
      <c r="BG349" s="55"/>
      <c r="BH349" s="55"/>
      <c r="BI349" s="55"/>
      <c r="BJ349" s="55"/>
      <c r="BK349" s="55"/>
      <c r="BL349" s="55"/>
      <c r="BM349" s="55"/>
      <c r="BN349" s="55"/>
      <c r="BO349" s="55"/>
      <c r="BP349" s="55"/>
      <c r="BQ349" s="55"/>
      <c r="BR349" s="55"/>
      <c r="BS349" s="55"/>
      <c r="BT349" s="55"/>
      <c r="BU349" s="55"/>
      <c r="BV349" s="55"/>
      <c r="BW349" s="55"/>
      <c r="BX349" s="55"/>
      <c r="BY349" s="55"/>
      <c r="BZ349" s="55"/>
      <c r="CA349" s="55"/>
      <c r="CB349" s="55"/>
      <c r="CC349" s="55"/>
      <c r="CD349" s="55"/>
      <c r="CE349" s="55"/>
      <c r="CF349" s="55"/>
      <c r="CG349" s="55"/>
      <c r="CH349" s="55"/>
      <c r="CI349" s="55"/>
      <c r="CJ349" s="55"/>
      <c r="CK349" s="55"/>
      <c r="CL349" s="55"/>
      <c r="CM349" s="55"/>
      <c r="CN349" s="55"/>
      <c r="CO349" s="55"/>
      <c r="CP349" s="55"/>
      <c r="CQ349" s="55"/>
      <c r="CR349" s="55"/>
      <c r="CS349" s="55"/>
      <c r="CT349" s="55"/>
      <c r="CU349" s="55"/>
      <c r="CV349" s="55"/>
      <c r="CW349" s="55"/>
      <c r="CX349" s="55"/>
      <c r="CY349" s="55"/>
      <c r="CZ349" s="55"/>
      <c r="DA349" s="55"/>
      <c r="DB349" s="55"/>
      <c r="DC349" s="55"/>
      <c r="DD349" s="55"/>
      <c r="DE349" s="55"/>
      <c r="DF349" s="55"/>
      <c r="DG349" s="55"/>
      <c r="DH349" s="55"/>
      <c r="DI349" s="55"/>
      <c r="DJ349" s="55"/>
      <c r="DK349" s="55"/>
      <c r="DL349" s="55"/>
      <c r="DM349" s="55"/>
      <c r="DN349" s="55"/>
      <c r="DO349" s="55"/>
      <c r="DP349" s="55"/>
      <c r="DQ349" s="55"/>
      <c r="DR349" s="55"/>
      <c r="DS349" s="55"/>
      <c r="DT349" s="55"/>
      <c r="DU349" s="55"/>
      <c r="DV349" s="55"/>
      <c r="DW349" s="55"/>
      <c r="DX349" s="55"/>
      <c r="DY349" s="55"/>
      <c r="DZ349" s="55"/>
      <c r="EA349" s="55"/>
      <c r="EB349" s="55"/>
      <c r="EC349" s="55"/>
      <c r="ED349" s="55"/>
      <c r="EE349" s="55"/>
      <c r="EF349" s="55"/>
      <c r="EG349" s="55"/>
      <c r="EH349" s="55"/>
      <c r="EI349" s="55"/>
      <c r="EJ349" s="55"/>
      <c r="EK349" s="55"/>
      <c r="EL349" s="55"/>
      <c r="EM349" s="55"/>
      <c r="EN349" s="55"/>
      <c r="EO349" s="55"/>
      <c r="EP349" s="55"/>
      <c r="EQ349" s="55"/>
      <c r="ER349" s="55"/>
      <c r="ES349" s="55"/>
      <c r="ET349" s="55"/>
      <c r="EU349" s="55"/>
      <c r="EV349" s="55"/>
      <c r="EW349" s="55"/>
      <c r="EX349" s="55"/>
      <c r="EY349" s="55"/>
      <c r="EZ349" s="55"/>
      <c r="FA349" s="55"/>
      <c r="FB349" s="55"/>
      <c r="FC349" s="55"/>
      <c r="FD349" s="55"/>
      <c r="FE349" s="55"/>
      <c r="FF349" s="55"/>
      <c r="FG349" s="55"/>
      <c r="FH349" s="55"/>
      <c r="FI349" s="55"/>
      <c r="FJ349" s="55"/>
      <c r="FK349" s="55"/>
      <c r="FL349" s="55"/>
      <c r="FM349" s="55"/>
      <c r="FN349" s="55"/>
      <c r="FO349" s="55"/>
      <c r="FP349" s="55"/>
      <c r="FQ349" s="55"/>
      <c r="FR349" s="55"/>
      <c r="FS349" s="55"/>
      <c r="FT349" s="55"/>
      <c r="FU349" s="55"/>
      <c r="FV349" s="55"/>
      <c r="FW349" s="55"/>
      <c r="FX349" s="55"/>
      <c r="FY349" s="55"/>
      <c r="FZ349" s="55"/>
      <c r="GA349" s="55"/>
      <c r="GB349" s="55"/>
      <c r="GC349" s="55"/>
      <c r="GD349" s="55"/>
      <c r="GE349" s="55"/>
      <c r="GF349" s="55"/>
      <c r="GG349" s="55"/>
      <c r="GH349" s="55"/>
      <c r="GI349" s="55"/>
      <c r="GJ349" s="55"/>
      <c r="GK349" s="55"/>
      <c r="GL349" s="55"/>
      <c r="GM349" s="55"/>
      <c r="GN349" s="55"/>
      <c r="GO349" s="55"/>
      <c r="GP349" s="55"/>
      <c r="GQ349" s="55"/>
      <c r="GR349" s="55"/>
      <c r="GS349" s="55"/>
      <c r="GT349" s="55"/>
      <c r="GU349" s="55"/>
      <c r="GV349" s="55"/>
      <c r="GW349" s="55"/>
      <c r="GX349" s="55"/>
      <c r="GY349" s="55"/>
      <c r="GZ349" s="55"/>
      <c r="HA349" s="55"/>
      <c r="HB349" s="55"/>
      <c r="HC349" s="55"/>
      <c r="HD349" s="55"/>
      <c r="HE349" s="55"/>
      <c r="HF349" s="55"/>
      <c r="HG349" s="55"/>
      <c r="HH349" s="55"/>
      <c r="HI349" s="55"/>
      <c r="HJ349" s="55"/>
      <c r="HK349" s="55"/>
      <c r="HL349" s="55"/>
      <c r="HM349" s="55"/>
      <c r="HN349" s="55"/>
      <c r="HO349" s="55"/>
      <c r="HP349" s="55"/>
      <c r="HQ349" s="55"/>
      <c r="HR349" s="55"/>
      <c r="HS349" s="55"/>
      <c r="HT349" s="55"/>
      <c r="HU349" s="55"/>
      <c r="HV349" s="55"/>
      <c r="HW349" s="55"/>
      <c r="HX349" s="55"/>
      <c r="HY349" s="55"/>
      <c r="HZ349" s="55"/>
      <c r="IA349" s="55"/>
      <c r="IB349" s="55"/>
      <c r="IC349" s="55"/>
      <c r="ID349" s="55"/>
    </row>
    <row r="350" s="52" customFormat="1" ht="36" customHeight="1" spans="1:238">
      <c r="A350" s="112" t="s">
        <v>95</v>
      </c>
      <c r="B350" s="112" t="s">
        <v>1377</v>
      </c>
      <c r="C350" s="64" t="s">
        <v>1378</v>
      </c>
      <c r="D350" s="65"/>
      <c r="E350" s="77"/>
      <c r="F350" s="77" t="s">
        <v>35</v>
      </c>
      <c r="G350" s="64" t="s">
        <v>110</v>
      </c>
      <c r="H350" s="78">
        <v>59</v>
      </c>
      <c r="I350" s="78">
        <v>53</v>
      </c>
      <c r="J350" s="83"/>
      <c r="K350" s="83"/>
      <c r="L350" s="83"/>
      <c r="M350" s="41">
        <v>53</v>
      </c>
      <c r="N350" s="41">
        <v>47</v>
      </c>
      <c r="O350" s="41">
        <v>41</v>
      </c>
      <c r="P350" s="64" t="s">
        <v>37</v>
      </c>
      <c r="Q350" s="64" t="s">
        <v>35</v>
      </c>
      <c r="R350" s="160">
        <v>0.2</v>
      </c>
      <c r="S350" s="83"/>
      <c r="T350" s="77" t="s">
        <v>186</v>
      </c>
      <c r="U350" s="112"/>
      <c r="V350" s="112"/>
      <c r="W350" s="112"/>
      <c r="X350" s="64"/>
      <c r="Y350" s="112"/>
      <c r="Z350" s="112"/>
      <c r="AA350" s="110"/>
      <c r="AB350" s="50"/>
      <c r="AC350" s="50"/>
      <c r="AD350" s="50"/>
      <c r="AE350" s="112"/>
      <c r="AF350" s="60"/>
      <c r="AG350" s="55"/>
      <c r="AH350" s="55"/>
      <c r="AI350" s="55"/>
      <c r="AJ350" s="55"/>
      <c r="AK350" s="55"/>
      <c r="AL350" s="55"/>
      <c r="AM350" s="55"/>
      <c r="AN350" s="55"/>
      <c r="AO350" s="55"/>
      <c r="AP350" s="55"/>
      <c r="AQ350" s="55"/>
      <c r="AR350" s="55"/>
      <c r="AS350" s="55"/>
      <c r="AT350" s="55"/>
      <c r="AU350" s="55"/>
      <c r="AV350" s="55"/>
      <c r="AW350" s="55"/>
      <c r="AX350" s="55"/>
      <c r="AY350" s="55"/>
      <c r="AZ350" s="55"/>
      <c r="BA350" s="55"/>
      <c r="BB350" s="55"/>
      <c r="BC350" s="55"/>
      <c r="BD350" s="55"/>
      <c r="BE350" s="55"/>
      <c r="BF350" s="55"/>
      <c r="BG350" s="55"/>
      <c r="BH350" s="55"/>
      <c r="BI350" s="55"/>
      <c r="BJ350" s="55"/>
      <c r="BK350" s="55"/>
      <c r="BL350" s="55"/>
      <c r="BM350" s="55"/>
      <c r="BN350" s="55"/>
      <c r="BO350" s="55"/>
      <c r="BP350" s="55"/>
      <c r="BQ350" s="55"/>
      <c r="BR350" s="55"/>
      <c r="BS350" s="55"/>
      <c r="BT350" s="55"/>
      <c r="BU350" s="55"/>
      <c r="BV350" s="55"/>
      <c r="BW350" s="55"/>
      <c r="BX350" s="55"/>
      <c r="BY350" s="55"/>
      <c r="BZ350" s="55"/>
      <c r="CA350" s="55"/>
      <c r="CB350" s="55"/>
      <c r="CC350" s="55"/>
      <c r="CD350" s="55"/>
      <c r="CE350" s="55"/>
      <c r="CF350" s="55"/>
      <c r="CG350" s="55"/>
      <c r="CH350" s="55"/>
      <c r="CI350" s="55"/>
      <c r="CJ350" s="55"/>
      <c r="CK350" s="55"/>
      <c r="CL350" s="55"/>
      <c r="CM350" s="55"/>
      <c r="CN350" s="55"/>
      <c r="CO350" s="55"/>
      <c r="CP350" s="55"/>
      <c r="CQ350" s="55"/>
      <c r="CR350" s="55"/>
      <c r="CS350" s="55"/>
      <c r="CT350" s="55"/>
      <c r="CU350" s="55"/>
      <c r="CV350" s="55"/>
      <c r="CW350" s="55"/>
      <c r="CX350" s="55"/>
      <c r="CY350" s="55"/>
      <c r="CZ350" s="55"/>
      <c r="DA350" s="55"/>
      <c r="DB350" s="55"/>
      <c r="DC350" s="55"/>
      <c r="DD350" s="55"/>
      <c r="DE350" s="55"/>
      <c r="DF350" s="55"/>
      <c r="DG350" s="55"/>
      <c r="DH350" s="55"/>
      <c r="DI350" s="55"/>
      <c r="DJ350" s="55"/>
      <c r="DK350" s="55"/>
      <c r="DL350" s="55"/>
      <c r="DM350" s="55"/>
      <c r="DN350" s="55"/>
      <c r="DO350" s="55"/>
      <c r="DP350" s="55"/>
      <c r="DQ350" s="55"/>
      <c r="DR350" s="55"/>
      <c r="DS350" s="55"/>
      <c r="DT350" s="55"/>
      <c r="DU350" s="55"/>
      <c r="DV350" s="55"/>
      <c r="DW350" s="55"/>
      <c r="DX350" s="55"/>
      <c r="DY350" s="55"/>
      <c r="DZ350" s="55"/>
      <c r="EA350" s="55"/>
      <c r="EB350" s="55"/>
      <c r="EC350" s="55"/>
      <c r="ED350" s="55"/>
      <c r="EE350" s="55"/>
      <c r="EF350" s="55"/>
      <c r="EG350" s="55"/>
      <c r="EH350" s="55"/>
      <c r="EI350" s="55"/>
      <c r="EJ350" s="55"/>
      <c r="EK350" s="55"/>
      <c r="EL350" s="55"/>
      <c r="EM350" s="55"/>
      <c r="EN350" s="55"/>
      <c r="EO350" s="55"/>
      <c r="EP350" s="55"/>
      <c r="EQ350" s="55"/>
      <c r="ER350" s="55"/>
      <c r="ES350" s="55"/>
      <c r="ET350" s="55"/>
      <c r="EU350" s="55"/>
      <c r="EV350" s="55"/>
      <c r="EW350" s="55"/>
      <c r="EX350" s="55"/>
      <c r="EY350" s="55"/>
      <c r="EZ350" s="55"/>
      <c r="FA350" s="55"/>
      <c r="FB350" s="55"/>
      <c r="FC350" s="55"/>
      <c r="FD350" s="55"/>
      <c r="FE350" s="55"/>
      <c r="FF350" s="55"/>
      <c r="FG350" s="55"/>
      <c r="FH350" s="55"/>
      <c r="FI350" s="55"/>
      <c r="FJ350" s="55"/>
      <c r="FK350" s="55"/>
      <c r="FL350" s="55"/>
      <c r="FM350" s="55"/>
      <c r="FN350" s="55"/>
      <c r="FO350" s="55"/>
      <c r="FP350" s="55"/>
      <c r="FQ350" s="55"/>
      <c r="FR350" s="55"/>
      <c r="FS350" s="55"/>
      <c r="FT350" s="55"/>
      <c r="FU350" s="55"/>
      <c r="FV350" s="55"/>
      <c r="FW350" s="55"/>
      <c r="FX350" s="55"/>
      <c r="FY350" s="55"/>
      <c r="FZ350" s="55"/>
      <c r="GA350" s="55"/>
      <c r="GB350" s="55"/>
      <c r="GC350" s="55"/>
      <c r="GD350" s="55"/>
      <c r="GE350" s="55"/>
      <c r="GF350" s="55"/>
      <c r="GG350" s="55"/>
      <c r="GH350" s="55"/>
      <c r="GI350" s="55"/>
      <c r="GJ350" s="55"/>
      <c r="GK350" s="55"/>
      <c r="GL350" s="55"/>
      <c r="GM350" s="55"/>
      <c r="GN350" s="55"/>
      <c r="GO350" s="55"/>
      <c r="GP350" s="55"/>
      <c r="GQ350" s="55"/>
      <c r="GR350" s="55"/>
      <c r="GS350" s="55"/>
      <c r="GT350" s="55"/>
      <c r="GU350" s="55"/>
      <c r="GV350" s="55"/>
      <c r="GW350" s="55"/>
      <c r="GX350" s="55"/>
      <c r="GY350" s="55"/>
      <c r="GZ350" s="55"/>
      <c r="HA350" s="55"/>
      <c r="HB350" s="55"/>
      <c r="HC350" s="55"/>
      <c r="HD350" s="55"/>
      <c r="HE350" s="55"/>
      <c r="HF350" s="55"/>
      <c r="HG350" s="55"/>
      <c r="HH350" s="55"/>
      <c r="HI350" s="55"/>
      <c r="HJ350" s="55"/>
      <c r="HK350" s="55"/>
      <c r="HL350" s="55"/>
      <c r="HM350" s="55"/>
      <c r="HN350" s="55"/>
      <c r="HO350" s="55"/>
      <c r="HP350" s="55"/>
      <c r="HQ350" s="55"/>
      <c r="HR350" s="55"/>
      <c r="HS350" s="55"/>
      <c r="HT350" s="55"/>
      <c r="HU350" s="55"/>
      <c r="HV350" s="55"/>
      <c r="HW350" s="55"/>
      <c r="HX350" s="55"/>
      <c r="HY350" s="55"/>
      <c r="HZ350" s="55"/>
      <c r="IA350" s="55"/>
      <c r="IB350" s="55"/>
      <c r="IC350" s="55"/>
      <c r="ID350" s="55"/>
    </row>
    <row r="351" s="52" customFormat="1" ht="25.5" spans="1:238">
      <c r="A351" s="112">
        <v>92</v>
      </c>
      <c r="B351" s="112" t="s">
        <v>1379</v>
      </c>
      <c r="C351" s="106" t="s">
        <v>1380</v>
      </c>
      <c r="D351" s="119" t="s">
        <v>1381</v>
      </c>
      <c r="E351" s="110" t="s">
        <v>1382</v>
      </c>
      <c r="F351" s="110" t="s">
        <v>35</v>
      </c>
      <c r="G351" s="105" t="s">
        <v>110</v>
      </c>
      <c r="H351" s="17">
        <v>22</v>
      </c>
      <c r="I351" s="17">
        <v>20</v>
      </c>
      <c r="J351" s="132">
        <v>21</v>
      </c>
      <c r="K351" s="132">
        <v>20</v>
      </c>
      <c r="L351" s="132">
        <v>17</v>
      </c>
      <c r="M351" s="16">
        <v>21</v>
      </c>
      <c r="N351" s="16">
        <v>20</v>
      </c>
      <c r="O351" s="16">
        <v>17</v>
      </c>
      <c r="P351" s="105" t="s">
        <v>37</v>
      </c>
      <c r="Q351" s="105" t="s">
        <v>35</v>
      </c>
      <c r="R351" s="105" t="s">
        <v>35</v>
      </c>
      <c r="S351" s="132" t="s">
        <v>381</v>
      </c>
      <c r="T351" s="110" t="s">
        <v>381</v>
      </c>
      <c r="U351" s="105" t="s">
        <v>1383</v>
      </c>
      <c r="V351" s="105">
        <v>310300102</v>
      </c>
      <c r="W351" s="106" t="s">
        <v>1384</v>
      </c>
      <c r="X351" s="105"/>
      <c r="Y351" s="105"/>
      <c r="Z351" s="105" t="s">
        <v>36</v>
      </c>
      <c r="AA351" s="110" t="s">
        <v>35</v>
      </c>
      <c r="AB351" s="50">
        <v>21</v>
      </c>
      <c r="AC351" s="50">
        <v>20</v>
      </c>
      <c r="AD351" s="50">
        <v>17</v>
      </c>
      <c r="AE351" s="112" t="s">
        <v>37</v>
      </c>
      <c r="AF351" s="60"/>
      <c r="AG351" s="55"/>
      <c r="AH351" s="55"/>
      <c r="AI351" s="55"/>
      <c r="AJ351" s="55"/>
      <c r="AK351" s="55"/>
      <c r="AL351" s="55"/>
      <c r="AM351" s="55"/>
      <c r="AN351" s="55"/>
      <c r="AO351" s="55"/>
      <c r="AP351" s="55"/>
      <c r="AQ351" s="55"/>
      <c r="AR351" s="55"/>
      <c r="AS351" s="55"/>
      <c r="AT351" s="55"/>
      <c r="AU351" s="55"/>
      <c r="AV351" s="55"/>
      <c r="AW351" s="55"/>
      <c r="AX351" s="55"/>
      <c r="AY351" s="55"/>
      <c r="AZ351" s="55"/>
      <c r="BA351" s="55"/>
      <c r="BB351" s="55"/>
      <c r="BC351" s="55"/>
      <c r="BD351" s="55"/>
      <c r="BE351" s="55"/>
      <c r="BF351" s="55"/>
      <c r="BG351" s="55"/>
      <c r="BH351" s="55"/>
      <c r="BI351" s="55"/>
      <c r="BJ351" s="55"/>
      <c r="BK351" s="55"/>
      <c r="BL351" s="55"/>
      <c r="BM351" s="55"/>
      <c r="BN351" s="55"/>
      <c r="BO351" s="55"/>
      <c r="BP351" s="55"/>
      <c r="BQ351" s="55"/>
      <c r="BR351" s="55"/>
      <c r="BS351" s="55"/>
      <c r="BT351" s="55"/>
      <c r="BU351" s="55"/>
      <c r="BV351" s="55"/>
      <c r="BW351" s="55"/>
      <c r="BX351" s="55"/>
      <c r="BY351" s="55"/>
      <c r="BZ351" s="55"/>
      <c r="CA351" s="55"/>
      <c r="CB351" s="55"/>
      <c r="CC351" s="55"/>
      <c r="CD351" s="55"/>
      <c r="CE351" s="55"/>
      <c r="CF351" s="55"/>
      <c r="CG351" s="55"/>
      <c r="CH351" s="55"/>
      <c r="CI351" s="55"/>
      <c r="CJ351" s="55"/>
      <c r="CK351" s="55"/>
      <c r="CL351" s="55"/>
      <c r="CM351" s="55"/>
      <c r="CN351" s="55"/>
      <c r="CO351" s="55"/>
      <c r="CP351" s="55"/>
      <c r="CQ351" s="55"/>
      <c r="CR351" s="55"/>
      <c r="CS351" s="55"/>
      <c r="CT351" s="55"/>
      <c r="CU351" s="55"/>
      <c r="CV351" s="55"/>
      <c r="CW351" s="55"/>
      <c r="CX351" s="55"/>
      <c r="CY351" s="55"/>
      <c r="CZ351" s="55"/>
      <c r="DA351" s="55"/>
      <c r="DB351" s="55"/>
      <c r="DC351" s="55"/>
      <c r="DD351" s="55"/>
      <c r="DE351" s="55"/>
      <c r="DF351" s="55"/>
      <c r="DG351" s="55"/>
      <c r="DH351" s="55"/>
      <c r="DI351" s="55"/>
      <c r="DJ351" s="55"/>
      <c r="DK351" s="55"/>
      <c r="DL351" s="55"/>
      <c r="DM351" s="55"/>
      <c r="DN351" s="55"/>
      <c r="DO351" s="55"/>
      <c r="DP351" s="55"/>
      <c r="DQ351" s="55"/>
      <c r="DR351" s="55"/>
      <c r="DS351" s="55"/>
      <c r="DT351" s="55"/>
      <c r="DU351" s="55"/>
      <c r="DV351" s="55"/>
      <c r="DW351" s="55"/>
      <c r="DX351" s="55"/>
      <c r="DY351" s="55"/>
      <c r="DZ351" s="55"/>
      <c r="EA351" s="55"/>
      <c r="EB351" s="55"/>
      <c r="EC351" s="55"/>
      <c r="ED351" s="55"/>
      <c r="EE351" s="55"/>
      <c r="EF351" s="55"/>
      <c r="EG351" s="55"/>
      <c r="EH351" s="55"/>
      <c r="EI351" s="55"/>
      <c r="EJ351" s="55"/>
      <c r="EK351" s="55"/>
      <c r="EL351" s="55"/>
      <c r="EM351" s="55"/>
      <c r="EN351" s="55"/>
      <c r="EO351" s="55"/>
      <c r="EP351" s="55"/>
      <c r="EQ351" s="55"/>
      <c r="ER351" s="55"/>
      <c r="ES351" s="55"/>
      <c r="ET351" s="55"/>
      <c r="EU351" s="55"/>
      <c r="EV351" s="55"/>
      <c r="EW351" s="55"/>
      <c r="EX351" s="55"/>
      <c r="EY351" s="55"/>
      <c r="EZ351" s="55"/>
      <c r="FA351" s="55"/>
      <c r="FB351" s="55"/>
      <c r="FC351" s="55"/>
      <c r="FD351" s="55"/>
      <c r="FE351" s="55"/>
      <c r="FF351" s="55"/>
      <c r="FG351" s="55"/>
      <c r="FH351" s="55"/>
      <c r="FI351" s="55"/>
      <c r="FJ351" s="55"/>
      <c r="FK351" s="55"/>
      <c r="FL351" s="55"/>
      <c r="FM351" s="55"/>
      <c r="FN351" s="55"/>
      <c r="FO351" s="55"/>
      <c r="FP351" s="55"/>
      <c r="FQ351" s="55"/>
      <c r="FR351" s="55"/>
      <c r="FS351" s="55"/>
      <c r="FT351" s="55"/>
      <c r="FU351" s="55"/>
      <c r="FV351" s="55"/>
      <c r="FW351" s="55"/>
      <c r="FX351" s="55"/>
      <c r="FY351" s="55"/>
      <c r="FZ351" s="55"/>
      <c r="GA351" s="55"/>
      <c r="GB351" s="55"/>
      <c r="GC351" s="55"/>
      <c r="GD351" s="55"/>
      <c r="GE351" s="55"/>
      <c r="GF351" s="55"/>
      <c r="GG351" s="55"/>
      <c r="GH351" s="55"/>
      <c r="GI351" s="55"/>
      <c r="GJ351" s="55"/>
      <c r="GK351" s="55"/>
      <c r="GL351" s="55"/>
      <c r="GM351" s="55"/>
      <c r="GN351" s="55"/>
      <c r="GO351" s="55"/>
      <c r="GP351" s="55"/>
      <c r="GQ351" s="55"/>
      <c r="GR351" s="55"/>
      <c r="GS351" s="55"/>
      <c r="GT351" s="55"/>
      <c r="GU351" s="55"/>
      <c r="GV351" s="55"/>
      <c r="GW351" s="55"/>
      <c r="GX351" s="55"/>
      <c r="GY351" s="55"/>
      <c r="GZ351" s="55"/>
      <c r="HA351" s="55"/>
      <c r="HB351" s="55"/>
      <c r="HC351" s="55"/>
      <c r="HD351" s="55"/>
      <c r="HE351" s="55"/>
      <c r="HF351" s="55"/>
      <c r="HG351" s="55"/>
      <c r="HH351" s="55"/>
      <c r="HI351" s="55"/>
      <c r="HJ351" s="55"/>
      <c r="HK351" s="55"/>
      <c r="HL351" s="55"/>
      <c r="HM351" s="55"/>
      <c r="HN351" s="55"/>
      <c r="HO351" s="55"/>
      <c r="HP351" s="55"/>
      <c r="HQ351" s="55"/>
      <c r="HR351" s="55"/>
      <c r="HS351" s="55"/>
      <c r="HT351" s="55"/>
      <c r="HU351" s="55"/>
      <c r="HV351" s="55"/>
      <c r="HW351" s="55"/>
      <c r="HX351" s="55"/>
      <c r="HY351" s="55"/>
      <c r="HZ351" s="55"/>
      <c r="IA351" s="55"/>
      <c r="IB351" s="55"/>
      <c r="IC351" s="55"/>
      <c r="ID351" s="55"/>
    </row>
    <row r="352" s="52" customFormat="1" ht="25.5" spans="1:238">
      <c r="A352" s="112"/>
      <c r="B352" s="112"/>
      <c r="C352" s="106"/>
      <c r="D352" s="119"/>
      <c r="E352" s="110"/>
      <c r="F352" s="110"/>
      <c r="G352" s="105"/>
      <c r="H352" s="17"/>
      <c r="I352" s="17"/>
      <c r="J352" s="132"/>
      <c r="K352" s="132"/>
      <c r="L352" s="132"/>
      <c r="M352" s="16"/>
      <c r="N352" s="16"/>
      <c r="O352" s="16"/>
      <c r="P352" s="105"/>
      <c r="Q352" s="105"/>
      <c r="R352" s="105"/>
      <c r="S352" s="132"/>
      <c r="T352" s="110"/>
      <c r="U352" s="105" t="s">
        <v>1385</v>
      </c>
      <c r="V352" s="105">
        <v>310300103</v>
      </c>
      <c r="W352" s="106" t="s">
        <v>1386</v>
      </c>
      <c r="X352" s="105"/>
      <c r="Y352" s="105"/>
      <c r="Z352" s="105" t="s">
        <v>36</v>
      </c>
      <c r="AA352" s="110" t="s">
        <v>35</v>
      </c>
      <c r="AB352" s="50">
        <v>21</v>
      </c>
      <c r="AC352" s="50">
        <v>20</v>
      </c>
      <c r="AD352" s="50">
        <v>17</v>
      </c>
      <c r="AE352" s="112" t="s">
        <v>37</v>
      </c>
      <c r="AF352" s="60"/>
      <c r="AG352" s="55"/>
      <c r="AH352" s="55"/>
      <c r="AI352" s="55"/>
      <c r="AJ352" s="55"/>
      <c r="AK352" s="55"/>
      <c r="AL352" s="55"/>
      <c r="AM352" s="55"/>
      <c r="AN352" s="55"/>
      <c r="AO352" s="55"/>
      <c r="AP352" s="55"/>
      <c r="AQ352" s="55"/>
      <c r="AR352" s="55"/>
      <c r="AS352" s="55"/>
      <c r="AT352" s="55"/>
      <c r="AU352" s="55"/>
      <c r="AV352" s="55"/>
      <c r="AW352" s="55"/>
      <c r="AX352" s="55"/>
      <c r="AY352" s="55"/>
      <c r="AZ352" s="55"/>
      <c r="BA352" s="55"/>
      <c r="BB352" s="55"/>
      <c r="BC352" s="55"/>
      <c r="BD352" s="55"/>
      <c r="BE352" s="55"/>
      <c r="BF352" s="55"/>
      <c r="BG352" s="55"/>
      <c r="BH352" s="55"/>
      <c r="BI352" s="55"/>
      <c r="BJ352" s="55"/>
      <c r="BK352" s="55"/>
      <c r="BL352" s="55"/>
      <c r="BM352" s="55"/>
      <c r="BN352" s="55"/>
      <c r="BO352" s="55"/>
      <c r="BP352" s="55"/>
      <c r="BQ352" s="55"/>
      <c r="BR352" s="55"/>
      <c r="BS352" s="55"/>
      <c r="BT352" s="55"/>
      <c r="BU352" s="55"/>
      <c r="BV352" s="55"/>
      <c r="BW352" s="55"/>
      <c r="BX352" s="55"/>
      <c r="BY352" s="55"/>
      <c r="BZ352" s="55"/>
      <c r="CA352" s="55"/>
      <c r="CB352" s="55"/>
      <c r="CC352" s="55"/>
      <c r="CD352" s="55"/>
      <c r="CE352" s="55"/>
      <c r="CF352" s="55"/>
      <c r="CG352" s="55"/>
      <c r="CH352" s="55"/>
      <c r="CI352" s="55"/>
      <c r="CJ352" s="55"/>
      <c r="CK352" s="55"/>
      <c r="CL352" s="55"/>
      <c r="CM352" s="55"/>
      <c r="CN352" s="55"/>
      <c r="CO352" s="55"/>
      <c r="CP352" s="55"/>
      <c r="CQ352" s="55"/>
      <c r="CR352" s="55"/>
      <c r="CS352" s="55"/>
      <c r="CT352" s="55"/>
      <c r="CU352" s="55"/>
      <c r="CV352" s="55"/>
      <c r="CW352" s="55"/>
      <c r="CX352" s="55"/>
      <c r="CY352" s="55"/>
      <c r="CZ352" s="55"/>
      <c r="DA352" s="55"/>
      <c r="DB352" s="55"/>
      <c r="DC352" s="55"/>
      <c r="DD352" s="55"/>
      <c r="DE352" s="55"/>
      <c r="DF352" s="55"/>
      <c r="DG352" s="55"/>
      <c r="DH352" s="55"/>
      <c r="DI352" s="55"/>
      <c r="DJ352" s="55"/>
      <c r="DK352" s="55"/>
      <c r="DL352" s="55"/>
      <c r="DM352" s="55"/>
      <c r="DN352" s="55"/>
      <c r="DO352" s="55"/>
      <c r="DP352" s="55"/>
      <c r="DQ352" s="55"/>
      <c r="DR352" s="55"/>
      <c r="DS352" s="55"/>
      <c r="DT352" s="55"/>
      <c r="DU352" s="55"/>
      <c r="DV352" s="55"/>
      <c r="DW352" s="55"/>
      <c r="DX352" s="55"/>
      <c r="DY352" s="55"/>
      <c r="DZ352" s="55"/>
      <c r="EA352" s="55"/>
      <c r="EB352" s="55"/>
      <c r="EC352" s="55"/>
      <c r="ED352" s="55"/>
      <c r="EE352" s="55"/>
      <c r="EF352" s="55"/>
      <c r="EG352" s="55"/>
      <c r="EH352" s="55"/>
      <c r="EI352" s="55"/>
      <c r="EJ352" s="55"/>
      <c r="EK352" s="55"/>
      <c r="EL352" s="55"/>
      <c r="EM352" s="55"/>
      <c r="EN352" s="55"/>
      <c r="EO352" s="55"/>
      <c r="EP352" s="55"/>
      <c r="EQ352" s="55"/>
      <c r="ER352" s="55"/>
      <c r="ES352" s="55"/>
      <c r="ET352" s="55"/>
      <c r="EU352" s="55"/>
      <c r="EV352" s="55"/>
      <c r="EW352" s="55"/>
      <c r="EX352" s="55"/>
      <c r="EY352" s="55"/>
      <c r="EZ352" s="55"/>
      <c r="FA352" s="55"/>
      <c r="FB352" s="55"/>
      <c r="FC352" s="55"/>
      <c r="FD352" s="55"/>
      <c r="FE352" s="55"/>
      <c r="FF352" s="55"/>
      <c r="FG352" s="55"/>
      <c r="FH352" s="55"/>
      <c r="FI352" s="55"/>
      <c r="FJ352" s="55"/>
      <c r="FK352" s="55"/>
      <c r="FL352" s="55"/>
      <c r="FM352" s="55"/>
      <c r="FN352" s="55"/>
      <c r="FO352" s="55"/>
      <c r="FP352" s="55"/>
      <c r="FQ352" s="55"/>
      <c r="FR352" s="55"/>
      <c r="FS352" s="55"/>
      <c r="FT352" s="55"/>
      <c r="FU352" s="55"/>
      <c r="FV352" s="55"/>
      <c r="FW352" s="55"/>
      <c r="FX352" s="55"/>
      <c r="FY352" s="55"/>
      <c r="FZ352" s="55"/>
      <c r="GA352" s="55"/>
      <c r="GB352" s="55"/>
      <c r="GC352" s="55"/>
      <c r="GD352" s="55"/>
      <c r="GE352" s="55"/>
      <c r="GF352" s="55"/>
      <c r="GG352" s="55"/>
      <c r="GH352" s="55"/>
      <c r="GI352" s="55"/>
      <c r="GJ352" s="55"/>
      <c r="GK352" s="55"/>
      <c r="GL352" s="55"/>
      <c r="GM352" s="55"/>
      <c r="GN352" s="55"/>
      <c r="GO352" s="55"/>
      <c r="GP352" s="55"/>
      <c r="GQ352" s="55"/>
      <c r="GR352" s="55"/>
      <c r="GS352" s="55"/>
      <c r="GT352" s="55"/>
      <c r="GU352" s="55"/>
      <c r="GV352" s="55"/>
      <c r="GW352" s="55"/>
      <c r="GX352" s="55"/>
      <c r="GY352" s="55"/>
      <c r="GZ352" s="55"/>
      <c r="HA352" s="55"/>
      <c r="HB352" s="55"/>
      <c r="HC352" s="55"/>
      <c r="HD352" s="55"/>
      <c r="HE352" s="55"/>
      <c r="HF352" s="55"/>
      <c r="HG352" s="55"/>
      <c r="HH352" s="55"/>
      <c r="HI352" s="55"/>
      <c r="HJ352" s="55"/>
      <c r="HK352" s="55"/>
      <c r="HL352" s="55"/>
      <c r="HM352" s="55"/>
      <c r="HN352" s="55"/>
      <c r="HO352" s="55"/>
      <c r="HP352" s="55"/>
      <c r="HQ352" s="55"/>
      <c r="HR352" s="55"/>
      <c r="HS352" s="55"/>
      <c r="HT352" s="55"/>
      <c r="HU352" s="55"/>
      <c r="HV352" s="55"/>
      <c r="HW352" s="55"/>
      <c r="HX352" s="55"/>
      <c r="HY352" s="55"/>
      <c r="HZ352" s="55"/>
      <c r="IA352" s="55"/>
      <c r="IB352" s="55"/>
      <c r="IC352" s="55"/>
      <c r="ID352" s="55"/>
    </row>
    <row r="353" s="52" customFormat="1" ht="25.5" spans="1:238">
      <c r="A353" s="112" t="s">
        <v>95</v>
      </c>
      <c r="B353" s="112" t="s">
        <v>1387</v>
      </c>
      <c r="C353" s="64" t="s">
        <v>1388</v>
      </c>
      <c r="D353" s="65"/>
      <c r="E353" s="77"/>
      <c r="F353" s="77" t="s">
        <v>35</v>
      </c>
      <c r="G353" s="64" t="s">
        <v>110</v>
      </c>
      <c r="H353" s="78">
        <v>6.6</v>
      </c>
      <c r="I353" s="78">
        <v>6</v>
      </c>
      <c r="J353" s="83"/>
      <c r="K353" s="83"/>
      <c r="L353" s="83"/>
      <c r="M353" s="41">
        <v>6.3</v>
      </c>
      <c r="N353" s="41">
        <v>6</v>
      </c>
      <c r="O353" s="41">
        <v>5.1</v>
      </c>
      <c r="P353" s="64" t="s">
        <v>37</v>
      </c>
      <c r="Q353" s="64" t="s">
        <v>35</v>
      </c>
      <c r="R353" s="64" t="s">
        <v>35</v>
      </c>
      <c r="S353" s="83"/>
      <c r="T353" s="77" t="s">
        <v>186</v>
      </c>
      <c r="U353" s="153"/>
      <c r="V353" s="153"/>
      <c r="W353" s="154"/>
      <c r="X353" s="155"/>
      <c r="Y353" s="153"/>
      <c r="Z353" s="153"/>
      <c r="AA353" s="156"/>
      <c r="AB353" s="157"/>
      <c r="AC353" s="157"/>
      <c r="AD353" s="157"/>
      <c r="AE353" s="153"/>
      <c r="AF353" s="60"/>
      <c r="AG353" s="55"/>
      <c r="AH353" s="55"/>
      <c r="AI353" s="55"/>
      <c r="AJ353" s="55"/>
      <c r="AK353" s="55"/>
      <c r="AL353" s="55"/>
      <c r="AM353" s="55"/>
      <c r="AN353" s="55"/>
      <c r="AO353" s="55"/>
      <c r="AP353" s="55"/>
      <c r="AQ353" s="55"/>
      <c r="AR353" s="55"/>
      <c r="AS353" s="55"/>
      <c r="AT353" s="55"/>
      <c r="AU353" s="55"/>
      <c r="AV353" s="55"/>
      <c r="AW353" s="55"/>
      <c r="AX353" s="55"/>
      <c r="AY353" s="55"/>
      <c r="AZ353" s="55"/>
      <c r="BA353" s="55"/>
      <c r="BB353" s="55"/>
      <c r="BC353" s="55"/>
      <c r="BD353" s="55"/>
      <c r="BE353" s="55"/>
      <c r="BF353" s="55"/>
      <c r="BG353" s="55"/>
      <c r="BH353" s="55"/>
      <c r="BI353" s="55"/>
      <c r="BJ353" s="55"/>
      <c r="BK353" s="55"/>
      <c r="BL353" s="55"/>
      <c r="BM353" s="55"/>
      <c r="BN353" s="55"/>
      <c r="BO353" s="55"/>
      <c r="BP353" s="55"/>
      <c r="BQ353" s="55"/>
      <c r="BR353" s="55"/>
      <c r="BS353" s="55"/>
      <c r="BT353" s="55"/>
      <c r="BU353" s="55"/>
      <c r="BV353" s="55"/>
      <c r="BW353" s="55"/>
      <c r="BX353" s="55"/>
      <c r="BY353" s="55"/>
      <c r="BZ353" s="55"/>
      <c r="CA353" s="55"/>
      <c r="CB353" s="55"/>
      <c r="CC353" s="55"/>
      <c r="CD353" s="55"/>
      <c r="CE353" s="55"/>
      <c r="CF353" s="55"/>
      <c r="CG353" s="55"/>
      <c r="CH353" s="55"/>
      <c r="CI353" s="55"/>
      <c r="CJ353" s="55"/>
      <c r="CK353" s="55"/>
      <c r="CL353" s="55"/>
      <c r="CM353" s="55"/>
      <c r="CN353" s="55"/>
      <c r="CO353" s="55"/>
      <c r="CP353" s="55"/>
      <c r="CQ353" s="55"/>
      <c r="CR353" s="55"/>
      <c r="CS353" s="55"/>
      <c r="CT353" s="55"/>
      <c r="CU353" s="55"/>
      <c r="CV353" s="55"/>
      <c r="CW353" s="55"/>
      <c r="CX353" s="55"/>
      <c r="CY353" s="55"/>
      <c r="CZ353" s="55"/>
      <c r="DA353" s="55"/>
      <c r="DB353" s="55"/>
      <c r="DC353" s="55"/>
      <c r="DD353" s="55"/>
      <c r="DE353" s="55"/>
      <c r="DF353" s="55"/>
      <c r="DG353" s="55"/>
      <c r="DH353" s="55"/>
      <c r="DI353" s="55"/>
      <c r="DJ353" s="55"/>
      <c r="DK353" s="55"/>
      <c r="DL353" s="55"/>
      <c r="DM353" s="55"/>
      <c r="DN353" s="55"/>
      <c r="DO353" s="55"/>
      <c r="DP353" s="55"/>
      <c r="DQ353" s="55"/>
      <c r="DR353" s="55"/>
      <c r="DS353" s="55"/>
      <c r="DT353" s="55"/>
      <c r="DU353" s="55"/>
      <c r="DV353" s="55"/>
      <c r="DW353" s="55"/>
      <c r="DX353" s="55"/>
      <c r="DY353" s="55"/>
      <c r="DZ353" s="55"/>
      <c r="EA353" s="55"/>
      <c r="EB353" s="55"/>
      <c r="EC353" s="55"/>
      <c r="ED353" s="55"/>
      <c r="EE353" s="55"/>
      <c r="EF353" s="55"/>
      <c r="EG353" s="55"/>
      <c r="EH353" s="55"/>
      <c r="EI353" s="55"/>
      <c r="EJ353" s="55"/>
      <c r="EK353" s="55"/>
      <c r="EL353" s="55"/>
      <c r="EM353" s="55"/>
      <c r="EN353" s="55"/>
      <c r="EO353" s="55"/>
      <c r="EP353" s="55"/>
      <c r="EQ353" s="55"/>
      <c r="ER353" s="55"/>
      <c r="ES353" s="55"/>
      <c r="ET353" s="55"/>
      <c r="EU353" s="55"/>
      <c r="EV353" s="55"/>
      <c r="EW353" s="55"/>
      <c r="EX353" s="55"/>
      <c r="EY353" s="55"/>
      <c r="EZ353" s="55"/>
      <c r="FA353" s="55"/>
      <c r="FB353" s="55"/>
      <c r="FC353" s="55"/>
      <c r="FD353" s="55"/>
      <c r="FE353" s="55"/>
      <c r="FF353" s="55"/>
      <c r="FG353" s="55"/>
      <c r="FH353" s="55"/>
      <c r="FI353" s="55"/>
      <c r="FJ353" s="55"/>
      <c r="FK353" s="55"/>
      <c r="FL353" s="55"/>
      <c r="FM353" s="55"/>
      <c r="FN353" s="55"/>
      <c r="FO353" s="55"/>
      <c r="FP353" s="55"/>
      <c r="FQ353" s="55"/>
      <c r="FR353" s="55"/>
      <c r="FS353" s="55"/>
      <c r="FT353" s="55"/>
      <c r="FU353" s="55"/>
      <c r="FV353" s="55"/>
      <c r="FW353" s="55"/>
      <c r="FX353" s="55"/>
      <c r="FY353" s="55"/>
      <c r="FZ353" s="55"/>
      <c r="GA353" s="55"/>
      <c r="GB353" s="55"/>
      <c r="GC353" s="55"/>
      <c r="GD353" s="55"/>
      <c r="GE353" s="55"/>
      <c r="GF353" s="55"/>
      <c r="GG353" s="55"/>
      <c r="GH353" s="55"/>
      <c r="GI353" s="55"/>
      <c r="GJ353" s="55"/>
      <c r="GK353" s="55"/>
      <c r="GL353" s="55"/>
      <c r="GM353" s="55"/>
      <c r="GN353" s="55"/>
      <c r="GO353" s="55"/>
      <c r="GP353" s="55"/>
      <c r="GQ353" s="55"/>
      <c r="GR353" s="55"/>
      <c r="GS353" s="55"/>
      <c r="GT353" s="55"/>
      <c r="GU353" s="55"/>
      <c r="GV353" s="55"/>
      <c r="GW353" s="55"/>
      <c r="GX353" s="55"/>
      <c r="GY353" s="55"/>
      <c r="GZ353" s="55"/>
      <c r="HA353" s="55"/>
      <c r="HB353" s="55"/>
      <c r="HC353" s="55"/>
      <c r="HD353" s="55"/>
      <c r="HE353" s="55"/>
      <c r="HF353" s="55"/>
      <c r="HG353" s="55"/>
      <c r="HH353" s="55"/>
      <c r="HI353" s="55"/>
      <c r="HJ353" s="55"/>
      <c r="HK353" s="55"/>
      <c r="HL353" s="55"/>
      <c r="HM353" s="55"/>
      <c r="HN353" s="55"/>
      <c r="HO353" s="55"/>
      <c r="HP353" s="55"/>
      <c r="HQ353" s="55"/>
      <c r="HR353" s="55"/>
      <c r="HS353" s="55"/>
      <c r="HT353" s="55"/>
      <c r="HU353" s="55"/>
      <c r="HV353" s="55"/>
      <c r="HW353" s="55"/>
      <c r="HX353" s="55"/>
      <c r="HY353" s="55"/>
      <c r="HZ353" s="55"/>
      <c r="IA353" s="55"/>
      <c r="IB353" s="55"/>
      <c r="IC353" s="55"/>
      <c r="ID353" s="55"/>
    </row>
    <row r="354" s="52" customFormat="1" ht="63" customHeight="1" spans="1:238">
      <c r="A354" s="112">
        <v>93</v>
      </c>
      <c r="B354" s="112" t="s">
        <v>1389</v>
      </c>
      <c r="C354" s="64" t="s">
        <v>1390</v>
      </c>
      <c r="D354" s="65" t="s">
        <v>1391</v>
      </c>
      <c r="E354" s="77" t="s">
        <v>1392</v>
      </c>
      <c r="F354" s="77" t="s">
        <v>35</v>
      </c>
      <c r="G354" s="64" t="s">
        <v>110</v>
      </c>
      <c r="H354" s="78">
        <v>1150</v>
      </c>
      <c r="I354" s="78">
        <v>1035</v>
      </c>
      <c r="J354" s="83"/>
      <c r="K354" s="83"/>
      <c r="L354" s="83"/>
      <c r="M354" s="41">
        <v>1010</v>
      </c>
      <c r="N354" s="41">
        <v>910</v>
      </c>
      <c r="O354" s="41">
        <v>775</v>
      </c>
      <c r="P354" s="64" t="s">
        <v>37</v>
      </c>
      <c r="Q354" s="64" t="s">
        <v>35</v>
      </c>
      <c r="R354" s="64" t="s">
        <v>647</v>
      </c>
      <c r="S354" s="83" t="s">
        <v>400</v>
      </c>
      <c r="T354" s="77" t="s">
        <v>1393</v>
      </c>
      <c r="U354" s="112"/>
      <c r="V354" s="112"/>
      <c r="W354" s="112"/>
      <c r="X354" s="64"/>
      <c r="Y354" s="112"/>
      <c r="Z354" s="112"/>
      <c r="AA354" s="110"/>
      <c r="AB354" s="50"/>
      <c r="AC354" s="50"/>
      <c r="AD354" s="50"/>
      <c r="AE354" s="112"/>
      <c r="AF354" s="60"/>
      <c r="AG354" s="55"/>
      <c r="AH354" s="55"/>
      <c r="AI354" s="55"/>
      <c r="AJ354" s="55"/>
      <c r="AK354" s="55"/>
      <c r="AL354" s="55"/>
      <c r="AM354" s="55"/>
      <c r="AN354" s="55"/>
      <c r="AO354" s="55"/>
      <c r="AP354" s="55"/>
      <c r="AQ354" s="55"/>
      <c r="AR354" s="55"/>
      <c r="AS354" s="55"/>
      <c r="AT354" s="55"/>
      <c r="AU354" s="55"/>
      <c r="AV354" s="55"/>
      <c r="AW354" s="55"/>
      <c r="AX354" s="55"/>
      <c r="AY354" s="55"/>
      <c r="AZ354" s="55"/>
      <c r="BA354" s="55"/>
      <c r="BB354" s="55"/>
      <c r="BC354" s="55"/>
      <c r="BD354" s="55"/>
      <c r="BE354" s="55"/>
      <c r="BF354" s="55"/>
      <c r="BG354" s="55"/>
      <c r="BH354" s="55"/>
      <c r="BI354" s="55"/>
      <c r="BJ354" s="55"/>
      <c r="BK354" s="55"/>
      <c r="BL354" s="55"/>
      <c r="BM354" s="55"/>
      <c r="BN354" s="55"/>
      <c r="BO354" s="55"/>
      <c r="BP354" s="55"/>
      <c r="BQ354" s="55"/>
      <c r="BR354" s="55"/>
      <c r="BS354" s="55"/>
      <c r="BT354" s="55"/>
      <c r="BU354" s="55"/>
      <c r="BV354" s="55"/>
      <c r="BW354" s="55"/>
      <c r="BX354" s="55"/>
      <c r="BY354" s="55"/>
      <c r="BZ354" s="55"/>
      <c r="CA354" s="55"/>
      <c r="CB354" s="55"/>
      <c r="CC354" s="55"/>
      <c r="CD354" s="55"/>
      <c r="CE354" s="55"/>
      <c r="CF354" s="55"/>
      <c r="CG354" s="55"/>
      <c r="CH354" s="55"/>
      <c r="CI354" s="55"/>
      <c r="CJ354" s="55"/>
      <c r="CK354" s="55"/>
      <c r="CL354" s="55"/>
      <c r="CM354" s="55"/>
      <c r="CN354" s="55"/>
      <c r="CO354" s="55"/>
      <c r="CP354" s="55"/>
      <c r="CQ354" s="55"/>
      <c r="CR354" s="55"/>
      <c r="CS354" s="55"/>
      <c r="CT354" s="55"/>
      <c r="CU354" s="55"/>
      <c r="CV354" s="55"/>
      <c r="CW354" s="55"/>
      <c r="CX354" s="55"/>
      <c r="CY354" s="55"/>
      <c r="CZ354" s="55"/>
      <c r="DA354" s="55"/>
      <c r="DB354" s="55"/>
      <c r="DC354" s="55"/>
      <c r="DD354" s="55"/>
      <c r="DE354" s="55"/>
      <c r="DF354" s="55"/>
      <c r="DG354" s="55"/>
      <c r="DH354" s="55"/>
      <c r="DI354" s="55"/>
      <c r="DJ354" s="55"/>
      <c r="DK354" s="55"/>
      <c r="DL354" s="55"/>
      <c r="DM354" s="55"/>
      <c r="DN354" s="55"/>
      <c r="DO354" s="55"/>
      <c r="DP354" s="55"/>
      <c r="DQ354" s="55"/>
      <c r="DR354" s="55"/>
      <c r="DS354" s="55"/>
      <c r="DT354" s="55"/>
      <c r="DU354" s="55"/>
      <c r="DV354" s="55"/>
      <c r="DW354" s="55"/>
      <c r="DX354" s="55"/>
      <c r="DY354" s="55"/>
      <c r="DZ354" s="55"/>
      <c r="EA354" s="55"/>
      <c r="EB354" s="55"/>
      <c r="EC354" s="55"/>
      <c r="ED354" s="55"/>
      <c r="EE354" s="55"/>
      <c r="EF354" s="55"/>
      <c r="EG354" s="55"/>
      <c r="EH354" s="55"/>
      <c r="EI354" s="55"/>
      <c r="EJ354" s="55"/>
      <c r="EK354" s="55"/>
      <c r="EL354" s="55"/>
      <c r="EM354" s="55"/>
      <c r="EN354" s="55"/>
      <c r="EO354" s="55"/>
      <c r="EP354" s="55"/>
      <c r="EQ354" s="55"/>
      <c r="ER354" s="55"/>
      <c r="ES354" s="55"/>
      <c r="ET354" s="55"/>
      <c r="EU354" s="55"/>
      <c r="EV354" s="55"/>
      <c r="EW354" s="55"/>
      <c r="EX354" s="55"/>
      <c r="EY354" s="55"/>
      <c r="EZ354" s="55"/>
      <c r="FA354" s="55"/>
      <c r="FB354" s="55"/>
      <c r="FC354" s="55"/>
      <c r="FD354" s="55"/>
      <c r="FE354" s="55"/>
      <c r="FF354" s="55"/>
      <c r="FG354" s="55"/>
      <c r="FH354" s="55"/>
      <c r="FI354" s="55"/>
      <c r="FJ354" s="55"/>
      <c r="FK354" s="55"/>
      <c r="FL354" s="55"/>
      <c r="FM354" s="55"/>
      <c r="FN354" s="55"/>
      <c r="FO354" s="55"/>
      <c r="FP354" s="55"/>
      <c r="FQ354" s="55"/>
      <c r="FR354" s="55"/>
      <c r="FS354" s="55"/>
      <c r="FT354" s="55"/>
      <c r="FU354" s="55"/>
      <c r="FV354" s="55"/>
      <c r="FW354" s="55"/>
      <c r="FX354" s="55"/>
      <c r="FY354" s="55"/>
      <c r="FZ354" s="55"/>
      <c r="GA354" s="55"/>
      <c r="GB354" s="55"/>
      <c r="GC354" s="55"/>
      <c r="GD354" s="55"/>
      <c r="GE354" s="55"/>
      <c r="GF354" s="55"/>
      <c r="GG354" s="55"/>
      <c r="GH354" s="55"/>
      <c r="GI354" s="55"/>
      <c r="GJ354" s="55"/>
      <c r="GK354" s="55"/>
      <c r="GL354" s="55"/>
      <c r="GM354" s="55"/>
      <c r="GN354" s="55"/>
      <c r="GO354" s="55"/>
      <c r="GP354" s="55"/>
      <c r="GQ354" s="55"/>
      <c r="GR354" s="55"/>
      <c r="GS354" s="55"/>
      <c r="GT354" s="55"/>
      <c r="GU354" s="55"/>
      <c r="GV354" s="55"/>
      <c r="GW354" s="55"/>
      <c r="GX354" s="55"/>
      <c r="GY354" s="55"/>
      <c r="GZ354" s="55"/>
      <c r="HA354" s="55"/>
      <c r="HB354" s="55"/>
      <c r="HC354" s="55"/>
      <c r="HD354" s="55"/>
      <c r="HE354" s="55"/>
      <c r="HF354" s="55"/>
      <c r="HG354" s="55"/>
      <c r="HH354" s="55"/>
      <c r="HI354" s="55"/>
      <c r="HJ354" s="55"/>
      <c r="HK354" s="55"/>
      <c r="HL354" s="55"/>
      <c r="HM354" s="55"/>
      <c r="HN354" s="55"/>
      <c r="HO354" s="55"/>
      <c r="HP354" s="55"/>
      <c r="HQ354" s="55"/>
      <c r="HR354" s="55"/>
      <c r="HS354" s="55"/>
      <c r="HT354" s="55"/>
      <c r="HU354" s="55"/>
      <c r="HV354" s="55"/>
      <c r="HW354" s="55"/>
      <c r="HX354" s="55"/>
      <c r="HY354" s="55"/>
      <c r="HZ354" s="55"/>
      <c r="IA354" s="55"/>
      <c r="IB354" s="55"/>
      <c r="IC354" s="55"/>
      <c r="ID354" s="55"/>
    </row>
    <row r="355" s="52" customFormat="1" ht="36" customHeight="1" spans="1:238">
      <c r="A355" s="112" t="s">
        <v>95</v>
      </c>
      <c r="B355" s="112" t="s">
        <v>1394</v>
      </c>
      <c r="C355" s="64" t="s">
        <v>1395</v>
      </c>
      <c r="D355" s="65"/>
      <c r="E355" s="77"/>
      <c r="F355" s="77" t="s">
        <v>35</v>
      </c>
      <c r="G355" s="64" t="s">
        <v>110</v>
      </c>
      <c r="H355" s="78">
        <v>345</v>
      </c>
      <c r="I355" s="78">
        <v>311</v>
      </c>
      <c r="J355" s="83"/>
      <c r="K355" s="83"/>
      <c r="L355" s="83"/>
      <c r="M355" s="41">
        <v>305</v>
      </c>
      <c r="N355" s="41">
        <v>275</v>
      </c>
      <c r="O355" s="41">
        <v>230</v>
      </c>
      <c r="P355" s="64" t="s">
        <v>37</v>
      </c>
      <c r="Q355" s="64" t="s">
        <v>35</v>
      </c>
      <c r="R355" s="64" t="s">
        <v>647</v>
      </c>
      <c r="S355" s="83"/>
      <c r="T355" s="77" t="s">
        <v>186</v>
      </c>
      <c r="U355" s="112"/>
      <c r="V355" s="112"/>
      <c r="W355" s="112"/>
      <c r="X355" s="64"/>
      <c r="Y355" s="112"/>
      <c r="Z355" s="112"/>
      <c r="AA355" s="110"/>
      <c r="AB355" s="50"/>
      <c r="AC355" s="50"/>
      <c r="AD355" s="50"/>
      <c r="AE355" s="112"/>
      <c r="AF355" s="60"/>
      <c r="AG355" s="55"/>
      <c r="AH355" s="55"/>
      <c r="AI355" s="55"/>
      <c r="AJ355" s="55"/>
      <c r="AK355" s="55"/>
      <c r="AL355" s="55"/>
      <c r="AM355" s="55"/>
      <c r="AN355" s="55"/>
      <c r="AO355" s="55"/>
      <c r="AP355" s="55"/>
      <c r="AQ355" s="55"/>
      <c r="AR355" s="55"/>
      <c r="AS355" s="55"/>
      <c r="AT355" s="55"/>
      <c r="AU355" s="55"/>
      <c r="AV355" s="55"/>
      <c r="AW355" s="55"/>
      <c r="AX355" s="55"/>
      <c r="AY355" s="55"/>
      <c r="AZ355" s="55"/>
      <c r="BA355" s="55"/>
      <c r="BB355" s="55"/>
      <c r="BC355" s="55"/>
      <c r="BD355" s="55"/>
      <c r="BE355" s="55"/>
      <c r="BF355" s="55"/>
      <c r="BG355" s="55"/>
      <c r="BH355" s="55"/>
      <c r="BI355" s="55"/>
      <c r="BJ355" s="55"/>
      <c r="BK355" s="55"/>
      <c r="BL355" s="55"/>
      <c r="BM355" s="55"/>
      <c r="BN355" s="55"/>
      <c r="BO355" s="55"/>
      <c r="BP355" s="55"/>
      <c r="BQ355" s="55"/>
      <c r="BR355" s="55"/>
      <c r="BS355" s="55"/>
      <c r="BT355" s="55"/>
      <c r="BU355" s="55"/>
      <c r="BV355" s="55"/>
      <c r="BW355" s="55"/>
      <c r="BX355" s="55"/>
      <c r="BY355" s="55"/>
      <c r="BZ355" s="55"/>
      <c r="CA355" s="55"/>
      <c r="CB355" s="55"/>
      <c r="CC355" s="55"/>
      <c r="CD355" s="55"/>
      <c r="CE355" s="55"/>
      <c r="CF355" s="55"/>
      <c r="CG355" s="55"/>
      <c r="CH355" s="55"/>
      <c r="CI355" s="55"/>
      <c r="CJ355" s="55"/>
      <c r="CK355" s="55"/>
      <c r="CL355" s="55"/>
      <c r="CM355" s="55"/>
      <c r="CN355" s="55"/>
      <c r="CO355" s="55"/>
      <c r="CP355" s="55"/>
      <c r="CQ355" s="55"/>
      <c r="CR355" s="55"/>
      <c r="CS355" s="55"/>
      <c r="CT355" s="55"/>
      <c r="CU355" s="55"/>
      <c r="CV355" s="55"/>
      <c r="CW355" s="55"/>
      <c r="CX355" s="55"/>
      <c r="CY355" s="55"/>
      <c r="CZ355" s="55"/>
      <c r="DA355" s="55"/>
      <c r="DB355" s="55"/>
      <c r="DC355" s="55"/>
      <c r="DD355" s="55"/>
      <c r="DE355" s="55"/>
      <c r="DF355" s="55"/>
      <c r="DG355" s="55"/>
      <c r="DH355" s="55"/>
      <c r="DI355" s="55"/>
      <c r="DJ355" s="55"/>
      <c r="DK355" s="55"/>
      <c r="DL355" s="55"/>
      <c r="DM355" s="55"/>
      <c r="DN355" s="55"/>
      <c r="DO355" s="55"/>
      <c r="DP355" s="55"/>
      <c r="DQ355" s="55"/>
      <c r="DR355" s="55"/>
      <c r="DS355" s="55"/>
      <c r="DT355" s="55"/>
      <c r="DU355" s="55"/>
      <c r="DV355" s="55"/>
      <c r="DW355" s="55"/>
      <c r="DX355" s="55"/>
      <c r="DY355" s="55"/>
      <c r="DZ355" s="55"/>
      <c r="EA355" s="55"/>
      <c r="EB355" s="55"/>
      <c r="EC355" s="55"/>
      <c r="ED355" s="55"/>
      <c r="EE355" s="55"/>
      <c r="EF355" s="55"/>
      <c r="EG355" s="55"/>
      <c r="EH355" s="55"/>
      <c r="EI355" s="55"/>
      <c r="EJ355" s="55"/>
      <c r="EK355" s="55"/>
      <c r="EL355" s="55"/>
      <c r="EM355" s="55"/>
      <c r="EN355" s="55"/>
      <c r="EO355" s="55"/>
      <c r="EP355" s="55"/>
      <c r="EQ355" s="55"/>
      <c r="ER355" s="55"/>
      <c r="ES355" s="55"/>
      <c r="ET355" s="55"/>
      <c r="EU355" s="55"/>
      <c r="EV355" s="55"/>
      <c r="EW355" s="55"/>
      <c r="EX355" s="55"/>
      <c r="EY355" s="55"/>
      <c r="EZ355" s="55"/>
      <c r="FA355" s="55"/>
      <c r="FB355" s="55"/>
      <c r="FC355" s="55"/>
      <c r="FD355" s="55"/>
      <c r="FE355" s="55"/>
      <c r="FF355" s="55"/>
      <c r="FG355" s="55"/>
      <c r="FH355" s="55"/>
      <c r="FI355" s="55"/>
      <c r="FJ355" s="55"/>
      <c r="FK355" s="55"/>
      <c r="FL355" s="55"/>
      <c r="FM355" s="55"/>
      <c r="FN355" s="55"/>
      <c r="FO355" s="55"/>
      <c r="FP355" s="55"/>
      <c r="FQ355" s="55"/>
      <c r="FR355" s="55"/>
      <c r="FS355" s="55"/>
      <c r="FT355" s="55"/>
      <c r="FU355" s="55"/>
      <c r="FV355" s="55"/>
      <c r="FW355" s="55"/>
      <c r="FX355" s="55"/>
      <c r="FY355" s="55"/>
      <c r="FZ355" s="55"/>
      <c r="GA355" s="55"/>
      <c r="GB355" s="55"/>
      <c r="GC355" s="55"/>
      <c r="GD355" s="55"/>
      <c r="GE355" s="55"/>
      <c r="GF355" s="55"/>
      <c r="GG355" s="55"/>
      <c r="GH355" s="55"/>
      <c r="GI355" s="55"/>
      <c r="GJ355" s="55"/>
      <c r="GK355" s="55"/>
      <c r="GL355" s="55"/>
      <c r="GM355" s="55"/>
      <c r="GN355" s="55"/>
      <c r="GO355" s="55"/>
      <c r="GP355" s="55"/>
      <c r="GQ355" s="55"/>
      <c r="GR355" s="55"/>
      <c r="GS355" s="55"/>
      <c r="GT355" s="55"/>
      <c r="GU355" s="55"/>
      <c r="GV355" s="55"/>
      <c r="GW355" s="55"/>
      <c r="GX355" s="55"/>
      <c r="GY355" s="55"/>
      <c r="GZ355" s="55"/>
      <c r="HA355" s="55"/>
      <c r="HB355" s="55"/>
      <c r="HC355" s="55"/>
      <c r="HD355" s="55"/>
      <c r="HE355" s="55"/>
      <c r="HF355" s="55"/>
      <c r="HG355" s="55"/>
      <c r="HH355" s="55"/>
      <c r="HI355" s="55"/>
      <c r="HJ355" s="55"/>
      <c r="HK355" s="55"/>
      <c r="HL355" s="55"/>
      <c r="HM355" s="55"/>
      <c r="HN355" s="55"/>
      <c r="HO355" s="55"/>
      <c r="HP355" s="55"/>
      <c r="HQ355" s="55"/>
      <c r="HR355" s="55"/>
      <c r="HS355" s="55"/>
      <c r="HT355" s="55"/>
      <c r="HU355" s="55"/>
      <c r="HV355" s="55"/>
      <c r="HW355" s="55"/>
      <c r="HX355" s="55"/>
      <c r="HY355" s="55"/>
      <c r="HZ355" s="55"/>
      <c r="IA355" s="55"/>
      <c r="IB355" s="55"/>
      <c r="IC355" s="55"/>
      <c r="ID355" s="55"/>
    </row>
    <row r="356" s="52" customFormat="1" ht="25.5" spans="1:238">
      <c r="A356" s="112">
        <v>94</v>
      </c>
      <c r="B356" s="112" t="s">
        <v>1396</v>
      </c>
      <c r="C356" s="64" t="s">
        <v>1397</v>
      </c>
      <c r="D356" s="65" t="s">
        <v>1398</v>
      </c>
      <c r="E356" s="77" t="s">
        <v>1399</v>
      </c>
      <c r="F356" s="77" t="s">
        <v>35</v>
      </c>
      <c r="G356" s="64" t="s">
        <v>110</v>
      </c>
      <c r="H356" s="42" t="s">
        <v>1400</v>
      </c>
      <c r="I356" s="42" t="s">
        <v>1400</v>
      </c>
      <c r="J356" s="83"/>
      <c r="K356" s="83"/>
      <c r="L356" s="83"/>
      <c r="M356" s="41" t="s">
        <v>1400</v>
      </c>
      <c r="N356" s="41" t="s">
        <v>1400</v>
      </c>
      <c r="O356" s="41" t="s">
        <v>1400</v>
      </c>
      <c r="P356" s="64" t="s">
        <v>621</v>
      </c>
      <c r="Q356" s="64" t="s">
        <v>35</v>
      </c>
      <c r="R356" s="64" t="s">
        <v>35</v>
      </c>
      <c r="S356" s="83" t="s">
        <v>1400</v>
      </c>
      <c r="T356" s="77" t="s">
        <v>1400</v>
      </c>
      <c r="U356" s="105" t="s">
        <v>1401</v>
      </c>
      <c r="V356" s="105">
        <v>330404001</v>
      </c>
      <c r="W356" s="106" t="s">
        <v>1402</v>
      </c>
      <c r="X356" s="105"/>
      <c r="Y356" s="105" t="s">
        <v>1403</v>
      </c>
      <c r="Z356" s="105" t="s">
        <v>36</v>
      </c>
      <c r="AA356" s="110" t="s">
        <v>35</v>
      </c>
      <c r="AB356" s="50">
        <v>1180</v>
      </c>
      <c r="AC356" s="50">
        <v>1060</v>
      </c>
      <c r="AD356" s="50">
        <v>900</v>
      </c>
      <c r="AE356" s="112"/>
      <c r="AF356" s="60"/>
      <c r="AG356" s="55"/>
      <c r="AH356" s="55"/>
      <c r="AI356" s="55"/>
      <c r="AJ356" s="55"/>
      <c r="AK356" s="55"/>
      <c r="AL356" s="55"/>
      <c r="AM356" s="55"/>
      <c r="AN356" s="55"/>
      <c r="AO356" s="55"/>
      <c r="AP356" s="55"/>
      <c r="AQ356" s="55"/>
      <c r="AR356" s="55"/>
      <c r="AS356" s="55"/>
      <c r="AT356" s="55"/>
      <c r="AU356" s="55"/>
      <c r="AV356" s="55"/>
      <c r="AW356" s="55"/>
      <c r="AX356" s="55"/>
      <c r="AY356" s="55"/>
      <c r="AZ356" s="55"/>
      <c r="BA356" s="55"/>
      <c r="BB356" s="55"/>
      <c r="BC356" s="55"/>
      <c r="BD356" s="55"/>
      <c r="BE356" s="55"/>
      <c r="BF356" s="55"/>
      <c r="BG356" s="55"/>
      <c r="BH356" s="55"/>
      <c r="BI356" s="55"/>
      <c r="BJ356" s="55"/>
      <c r="BK356" s="55"/>
      <c r="BL356" s="55"/>
      <c r="BM356" s="55"/>
      <c r="BN356" s="55"/>
      <c r="BO356" s="55"/>
      <c r="BP356" s="55"/>
      <c r="BQ356" s="55"/>
      <c r="BR356" s="55"/>
      <c r="BS356" s="55"/>
      <c r="BT356" s="55"/>
      <c r="BU356" s="55"/>
      <c r="BV356" s="55"/>
      <c r="BW356" s="55"/>
      <c r="BX356" s="55"/>
      <c r="BY356" s="55"/>
      <c r="BZ356" s="55"/>
      <c r="CA356" s="55"/>
      <c r="CB356" s="55"/>
      <c r="CC356" s="55"/>
      <c r="CD356" s="55"/>
      <c r="CE356" s="55"/>
      <c r="CF356" s="55"/>
      <c r="CG356" s="55"/>
      <c r="CH356" s="55"/>
      <c r="CI356" s="55"/>
      <c r="CJ356" s="55"/>
      <c r="CK356" s="55"/>
      <c r="CL356" s="55"/>
      <c r="CM356" s="55"/>
      <c r="CN356" s="55"/>
      <c r="CO356" s="55"/>
      <c r="CP356" s="55"/>
      <c r="CQ356" s="55"/>
      <c r="CR356" s="55"/>
      <c r="CS356" s="55"/>
      <c r="CT356" s="55"/>
      <c r="CU356" s="55"/>
      <c r="CV356" s="55"/>
      <c r="CW356" s="55"/>
      <c r="CX356" s="55"/>
      <c r="CY356" s="55"/>
      <c r="CZ356" s="55"/>
      <c r="DA356" s="55"/>
      <c r="DB356" s="55"/>
      <c r="DC356" s="55"/>
      <c r="DD356" s="55"/>
      <c r="DE356" s="55"/>
      <c r="DF356" s="55"/>
      <c r="DG356" s="55"/>
      <c r="DH356" s="55"/>
      <c r="DI356" s="55"/>
      <c r="DJ356" s="55"/>
      <c r="DK356" s="55"/>
      <c r="DL356" s="55"/>
      <c r="DM356" s="55"/>
      <c r="DN356" s="55"/>
      <c r="DO356" s="55"/>
      <c r="DP356" s="55"/>
      <c r="DQ356" s="55"/>
      <c r="DR356" s="55"/>
      <c r="DS356" s="55"/>
      <c r="DT356" s="55"/>
      <c r="DU356" s="55"/>
      <c r="DV356" s="55"/>
      <c r="DW356" s="55"/>
      <c r="DX356" s="55"/>
      <c r="DY356" s="55"/>
      <c r="DZ356" s="55"/>
      <c r="EA356" s="55"/>
      <c r="EB356" s="55"/>
      <c r="EC356" s="55"/>
      <c r="ED356" s="55"/>
      <c r="EE356" s="55"/>
      <c r="EF356" s="55"/>
      <c r="EG356" s="55"/>
      <c r="EH356" s="55"/>
      <c r="EI356" s="55"/>
      <c r="EJ356" s="55"/>
      <c r="EK356" s="55"/>
      <c r="EL356" s="55"/>
      <c r="EM356" s="55"/>
      <c r="EN356" s="55"/>
      <c r="EO356" s="55"/>
      <c r="EP356" s="55"/>
      <c r="EQ356" s="55"/>
      <c r="ER356" s="55"/>
      <c r="ES356" s="55"/>
      <c r="ET356" s="55"/>
      <c r="EU356" s="55"/>
      <c r="EV356" s="55"/>
      <c r="EW356" s="55"/>
      <c r="EX356" s="55"/>
      <c r="EY356" s="55"/>
      <c r="EZ356" s="55"/>
      <c r="FA356" s="55"/>
      <c r="FB356" s="55"/>
      <c r="FC356" s="55"/>
      <c r="FD356" s="55"/>
      <c r="FE356" s="55"/>
      <c r="FF356" s="55"/>
      <c r="FG356" s="55"/>
      <c r="FH356" s="55"/>
      <c r="FI356" s="55"/>
      <c r="FJ356" s="55"/>
      <c r="FK356" s="55"/>
      <c r="FL356" s="55"/>
      <c r="FM356" s="55"/>
      <c r="FN356" s="55"/>
      <c r="FO356" s="55"/>
      <c r="FP356" s="55"/>
      <c r="FQ356" s="55"/>
      <c r="FR356" s="55"/>
      <c r="FS356" s="55"/>
      <c r="FT356" s="55"/>
      <c r="FU356" s="55"/>
      <c r="FV356" s="55"/>
      <c r="FW356" s="55"/>
      <c r="FX356" s="55"/>
      <c r="FY356" s="55"/>
      <c r="FZ356" s="55"/>
      <c r="GA356" s="55"/>
      <c r="GB356" s="55"/>
      <c r="GC356" s="55"/>
      <c r="GD356" s="55"/>
      <c r="GE356" s="55"/>
      <c r="GF356" s="55"/>
      <c r="GG356" s="55"/>
      <c r="GH356" s="55"/>
      <c r="GI356" s="55"/>
      <c r="GJ356" s="55"/>
      <c r="GK356" s="55"/>
      <c r="GL356" s="55"/>
      <c r="GM356" s="55"/>
      <c r="GN356" s="55"/>
      <c r="GO356" s="55"/>
      <c r="GP356" s="55"/>
      <c r="GQ356" s="55"/>
      <c r="GR356" s="55"/>
      <c r="GS356" s="55"/>
      <c r="GT356" s="55"/>
      <c r="GU356" s="55"/>
      <c r="GV356" s="55"/>
      <c r="GW356" s="55"/>
      <c r="GX356" s="55"/>
      <c r="GY356" s="55"/>
      <c r="GZ356" s="55"/>
      <c r="HA356" s="55"/>
      <c r="HB356" s="55"/>
      <c r="HC356" s="55"/>
      <c r="HD356" s="55"/>
      <c r="HE356" s="55"/>
      <c r="HF356" s="55"/>
      <c r="HG356" s="55"/>
      <c r="HH356" s="55"/>
      <c r="HI356" s="55"/>
      <c r="HJ356" s="55"/>
      <c r="HK356" s="55"/>
      <c r="HL356" s="55"/>
      <c r="HM356" s="55"/>
      <c r="HN356" s="55"/>
      <c r="HO356" s="55"/>
      <c r="HP356" s="55"/>
      <c r="HQ356" s="55"/>
      <c r="HR356" s="55"/>
      <c r="HS356" s="55"/>
      <c r="HT356" s="55"/>
      <c r="HU356" s="55"/>
      <c r="HV356" s="55"/>
      <c r="HW356" s="55"/>
      <c r="HX356" s="55"/>
      <c r="HY356" s="55"/>
      <c r="HZ356" s="55"/>
      <c r="IA356" s="55"/>
      <c r="IB356" s="55"/>
      <c r="IC356" s="55"/>
      <c r="ID356" s="55"/>
    </row>
    <row r="357" s="52" customFormat="1" ht="25.5" spans="1:238">
      <c r="A357" s="112"/>
      <c r="B357" s="112"/>
      <c r="C357" s="64"/>
      <c r="D357" s="65"/>
      <c r="E357" s="77"/>
      <c r="F357" s="77"/>
      <c r="G357" s="64"/>
      <c r="H357" s="42"/>
      <c r="I357" s="42"/>
      <c r="J357" s="83"/>
      <c r="K357" s="83"/>
      <c r="L357" s="83"/>
      <c r="M357" s="41"/>
      <c r="N357" s="41"/>
      <c r="O357" s="41"/>
      <c r="P357" s="64"/>
      <c r="Q357" s="64"/>
      <c r="R357" s="64"/>
      <c r="S357" s="83"/>
      <c r="T357" s="77"/>
      <c r="U357" s="105" t="s">
        <v>1404</v>
      </c>
      <c r="V357" s="105">
        <v>330404002</v>
      </c>
      <c r="W357" s="106" t="s">
        <v>1405</v>
      </c>
      <c r="X357" s="105"/>
      <c r="Y357" s="105"/>
      <c r="Z357" s="105" t="s">
        <v>36</v>
      </c>
      <c r="AA357" s="110" t="s">
        <v>35</v>
      </c>
      <c r="AB357" s="50">
        <v>0</v>
      </c>
      <c r="AC357" s="50">
        <v>0</v>
      </c>
      <c r="AD357" s="50">
        <v>0</v>
      </c>
      <c r="AE357" s="112"/>
      <c r="AF357" s="60"/>
      <c r="AG357" s="55"/>
      <c r="AH357" s="55"/>
      <c r="AI357" s="55"/>
      <c r="AJ357" s="55"/>
      <c r="AK357" s="55"/>
      <c r="AL357" s="55"/>
      <c r="AM357" s="55"/>
      <c r="AN357" s="55"/>
      <c r="AO357" s="55"/>
      <c r="AP357" s="55"/>
      <c r="AQ357" s="55"/>
      <c r="AR357" s="55"/>
      <c r="AS357" s="55"/>
      <c r="AT357" s="55"/>
      <c r="AU357" s="55"/>
      <c r="AV357" s="55"/>
      <c r="AW357" s="55"/>
      <c r="AX357" s="55"/>
      <c r="AY357" s="55"/>
      <c r="AZ357" s="55"/>
      <c r="BA357" s="55"/>
      <c r="BB357" s="55"/>
      <c r="BC357" s="55"/>
      <c r="BD357" s="55"/>
      <c r="BE357" s="55"/>
      <c r="BF357" s="55"/>
      <c r="BG357" s="55"/>
      <c r="BH357" s="55"/>
      <c r="BI357" s="55"/>
      <c r="BJ357" s="55"/>
      <c r="BK357" s="55"/>
      <c r="BL357" s="55"/>
      <c r="BM357" s="55"/>
      <c r="BN357" s="55"/>
      <c r="BO357" s="55"/>
      <c r="BP357" s="55"/>
      <c r="BQ357" s="55"/>
      <c r="BR357" s="55"/>
      <c r="BS357" s="55"/>
      <c r="BT357" s="55"/>
      <c r="BU357" s="55"/>
      <c r="BV357" s="55"/>
      <c r="BW357" s="55"/>
      <c r="BX357" s="55"/>
      <c r="BY357" s="55"/>
      <c r="BZ357" s="55"/>
      <c r="CA357" s="55"/>
      <c r="CB357" s="55"/>
      <c r="CC357" s="55"/>
      <c r="CD357" s="55"/>
      <c r="CE357" s="55"/>
      <c r="CF357" s="55"/>
      <c r="CG357" s="55"/>
      <c r="CH357" s="55"/>
      <c r="CI357" s="55"/>
      <c r="CJ357" s="55"/>
      <c r="CK357" s="55"/>
      <c r="CL357" s="55"/>
      <c r="CM357" s="55"/>
      <c r="CN357" s="55"/>
      <c r="CO357" s="55"/>
      <c r="CP357" s="55"/>
      <c r="CQ357" s="55"/>
      <c r="CR357" s="55"/>
      <c r="CS357" s="55"/>
      <c r="CT357" s="55"/>
      <c r="CU357" s="55"/>
      <c r="CV357" s="55"/>
      <c r="CW357" s="55"/>
      <c r="CX357" s="55"/>
      <c r="CY357" s="55"/>
      <c r="CZ357" s="55"/>
      <c r="DA357" s="55"/>
      <c r="DB357" s="55"/>
      <c r="DC357" s="55"/>
      <c r="DD357" s="55"/>
      <c r="DE357" s="55"/>
      <c r="DF357" s="55"/>
      <c r="DG357" s="55"/>
      <c r="DH357" s="55"/>
      <c r="DI357" s="55"/>
      <c r="DJ357" s="55"/>
      <c r="DK357" s="55"/>
      <c r="DL357" s="55"/>
      <c r="DM357" s="55"/>
      <c r="DN357" s="55"/>
      <c r="DO357" s="55"/>
      <c r="DP357" s="55"/>
      <c r="DQ357" s="55"/>
      <c r="DR357" s="55"/>
      <c r="DS357" s="55"/>
      <c r="DT357" s="55"/>
      <c r="DU357" s="55"/>
      <c r="DV357" s="55"/>
      <c r="DW357" s="55"/>
      <c r="DX357" s="55"/>
      <c r="DY357" s="55"/>
      <c r="DZ357" s="55"/>
      <c r="EA357" s="55"/>
      <c r="EB357" s="55"/>
      <c r="EC357" s="55"/>
      <c r="ED357" s="55"/>
      <c r="EE357" s="55"/>
      <c r="EF357" s="55"/>
      <c r="EG357" s="55"/>
      <c r="EH357" s="55"/>
      <c r="EI357" s="55"/>
      <c r="EJ357" s="55"/>
      <c r="EK357" s="55"/>
      <c r="EL357" s="55"/>
      <c r="EM357" s="55"/>
      <c r="EN357" s="55"/>
      <c r="EO357" s="55"/>
      <c r="EP357" s="55"/>
      <c r="EQ357" s="55"/>
      <c r="ER357" s="55"/>
      <c r="ES357" s="55"/>
      <c r="ET357" s="55"/>
      <c r="EU357" s="55"/>
      <c r="EV357" s="55"/>
      <c r="EW357" s="55"/>
      <c r="EX357" s="55"/>
      <c r="EY357" s="55"/>
      <c r="EZ357" s="55"/>
      <c r="FA357" s="55"/>
      <c r="FB357" s="55"/>
      <c r="FC357" s="55"/>
      <c r="FD357" s="55"/>
      <c r="FE357" s="55"/>
      <c r="FF357" s="55"/>
      <c r="FG357" s="55"/>
      <c r="FH357" s="55"/>
      <c r="FI357" s="55"/>
      <c r="FJ357" s="55"/>
      <c r="FK357" s="55"/>
      <c r="FL357" s="55"/>
      <c r="FM357" s="55"/>
      <c r="FN357" s="55"/>
      <c r="FO357" s="55"/>
      <c r="FP357" s="55"/>
      <c r="FQ357" s="55"/>
      <c r="FR357" s="55"/>
      <c r="FS357" s="55"/>
      <c r="FT357" s="55"/>
      <c r="FU357" s="55"/>
      <c r="FV357" s="55"/>
      <c r="FW357" s="55"/>
      <c r="FX357" s="55"/>
      <c r="FY357" s="55"/>
      <c r="FZ357" s="55"/>
      <c r="GA357" s="55"/>
      <c r="GB357" s="55"/>
      <c r="GC357" s="55"/>
      <c r="GD357" s="55"/>
      <c r="GE357" s="55"/>
      <c r="GF357" s="55"/>
      <c r="GG357" s="55"/>
      <c r="GH357" s="55"/>
      <c r="GI357" s="55"/>
      <c r="GJ357" s="55"/>
      <c r="GK357" s="55"/>
      <c r="GL357" s="55"/>
      <c r="GM357" s="55"/>
      <c r="GN357" s="55"/>
      <c r="GO357" s="55"/>
      <c r="GP357" s="55"/>
      <c r="GQ357" s="55"/>
      <c r="GR357" s="55"/>
      <c r="GS357" s="55"/>
      <c r="GT357" s="55"/>
      <c r="GU357" s="55"/>
      <c r="GV357" s="55"/>
      <c r="GW357" s="55"/>
      <c r="GX357" s="55"/>
      <c r="GY357" s="55"/>
      <c r="GZ357" s="55"/>
      <c r="HA357" s="55"/>
      <c r="HB357" s="55"/>
      <c r="HC357" s="55"/>
      <c r="HD357" s="55"/>
      <c r="HE357" s="55"/>
      <c r="HF357" s="55"/>
      <c r="HG357" s="55"/>
      <c r="HH357" s="55"/>
      <c r="HI357" s="55"/>
      <c r="HJ357" s="55"/>
      <c r="HK357" s="55"/>
      <c r="HL357" s="55"/>
      <c r="HM357" s="55"/>
      <c r="HN357" s="55"/>
      <c r="HO357" s="55"/>
      <c r="HP357" s="55"/>
      <c r="HQ357" s="55"/>
      <c r="HR357" s="55"/>
      <c r="HS357" s="55"/>
      <c r="HT357" s="55"/>
      <c r="HU357" s="55"/>
      <c r="HV357" s="55"/>
      <c r="HW357" s="55"/>
      <c r="HX357" s="55"/>
      <c r="HY357" s="55"/>
      <c r="HZ357" s="55"/>
      <c r="IA357" s="55"/>
      <c r="IB357" s="55"/>
      <c r="IC357" s="55"/>
      <c r="ID357" s="55"/>
    </row>
    <row r="358" s="52" customFormat="1" ht="35" customHeight="1" spans="1:238">
      <c r="A358" s="112"/>
      <c r="B358" s="112"/>
      <c r="C358" s="64"/>
      <c r="D358" s="65"/>
      <c r="E358" s="77"/>
      <c r="F358" s="77"/>
      <c r="G358" s="64"/>
      <c r="H358" s="42"/>
      <c r="I358" s="42"/>
      <c r="J358" s="83"/>
      <c r="K358" s="83"/>
      <c r="L358" s="83"/>
      <c r="M358" s="41"/>
      <c r="N358" s="41"/>
      <c r="O358" s="41"/>
      <c r="P358" s="64"/>
      <c r="Q358" s="64"/>
      <c r="R358" s="64"/>
      <c r="S358" s="83"/>
      <c r="T358" s="77"/>
      <c r="U358" s="105" t="s">
        <v>1406</v>
      </c>
      <c r="V358" s="105">
        <v>310300078</v>
      </c>
      <c r="W358" s="105" t="s">
        <v>1407</v>
      </c>
      <c r="X358" s="105" t="s">
        <v>1408</v>
      </c>
      <c r="Y358" s="105"/>
      <c r="Z358" s="105" t="s">
        <v>36</v>
      </c>
      <c r="AA358" s="110" t="s">
        <v>1400</v>
      </c>
      <c r="AB358" s="50">
        <v>0</v>
      </c>
      <c r="AC358" s="50">
        <v>0</v>
      </c>
      <c r="AD358" s="50">
        <v>0</v>
      </c>
      <c r="AE358" s="112"/>
      <c r="AF358" s="60"/>
      <c r="AG358" s="55"/>
      <c r="AH358" s="55"/>
      <c r="AI358" s="55"/>
      <c r="AJ358" s="55"/>
      <c r="AK358" s="55"/>
      <c r="AL358" s="55"/>
      <c r="AM358" s="55"/>
      <c r="AN358" s="55"/>
      <c r="AO358" s="55"/>
      <c r="AP358" s="55"/>
      <c r="AQ358" s="55"/>
      <c r="AR358" s="55"/>
      <c r="AS358" s="55"/>
      <c r="AT358" s="55"/>
      <c r="AU358" s="55"/>
      <c r="AV358" s="55"/>
      <c r="AW358" s="55"/>
      <c r="AX358" s="55"/>
      <c r="AY358" s="55"/>
      <c r="AZ358" s="55"/>
      <c r="BA358" s="55"/>
      <c r="BB358" s="55"/>
      <c r="BC358" s="55"/>
      <c r="BD358" s="55"/>
      <c r="BE358" s="55"/>
      <c r="BF358" s="55"/>
      <c r="BG358" s="55"/>
      <c r="BH358" s="55"/>
      <c r="BI358" s="55"/>
      <c r="BJ358" s="55"/>
      <c r="BK358" s="55"/>
      <c r="BL358" s="55"/>
      <c r="BM358" s="55"/>
      <c r="BN358" s="55"/>
      <c r="BO358" s="55"/>
      <c r="BP358" s="55"/>
      <c r="BQ358" s="55"/>
      <c r="BR358" s="55"/>
      <c r="BS358" s="55"/>
      <c r="BT358" s="55"/>
      <c r="BU358" s="55"/>
      <c r="BV358" s="55"/>
      <c r="BW358" s="55"/>
      <c r="BX358" s="55"/>
      <c r="BY358" s="55"/>
      <c r="BZ358" s="55"/>
      <c r="CA358" s="55"/>
      <c r="CB358" s="55"/>
      <c r="CC358" s="55"/>
      <c r="CD358" s="55"/>
      <c r="CE358" s="55"/>
      <c r="CF358" s="55"/>
      <c r="CG358" s="55"/>
      <c r="CH358" s="55"/>
      <c r="CI358" s="55"/>
      <c r="CJ358" s="55"/>
      <c r="CK358" s="55"/>
      <c r="CL358" s="55"/>
      <c r="CM358" s="55"/>
      <c r="CN358" s="55"/>
      <c r="CO358" s="55"/>
      <c r="CP358" s="55"/>
      <c r="CQ358" s="55"/>
      <c r="CR358" s="55"/>
      <c r="CS358" s="55"/>
      <c r="CT358" s="55"/>
      <c r="CU358" s="55"/>
      <c r="CV358" s="55"/>
      <c r="CW358" s="55"/>
      <c r="CX358" s="55"/>
      <c r="CY358" s="55"/>
      <c r="CZ358" s="55"/>
      <c r="DA358" s="55"/>
      <c r="DB358" s="55"/>
      <c r="DC358" s="55"/>
      <c r="DD358" s="55"/>
      <c r="DE358" s="55"/>
      <c r="DF358" s="55"/>
      <c r="DG358" s="55"/>
      <c r="DH358" s="55"/>
      <c r="DI358" s="55"/>
      <c r="DJ358" s="55"/>
      <c r="DK358" s="55"/>
      <c r="DL358" s="55"/>
      <c r="DM358" s="55"/>
      <c r="DN358" s="55"/>
      <c r="DO358" s="55"/>
      <c r="DP358" s="55"/>
      <c r="DQ358" s="55"/>
      <c r="DR358" s="55"/>
      <c r="DS358" s="55"/>
      <c r="DT358" s="55"/>
      <c r="DU358" s="55"/>
      <c r="DV358" s="55"/>
      <c r="DW358" s="55"/>
      <c r="DX358" s="55"/>
      <c r="DY358" s="55"/>
      <c r="DZ358" s="55"/>
      <c r="EA358" s="55"/>
      <c r="EB358" s="55"/>
      <c r="EC358" s="55"/>
      <c r="ED358" s="55"/>
      <c r="EE358" s="55"/>
      <c r="EF358" s="55"/>
      <c r="EG358" s="55"/>
      <c r="EH358" s="55"/>
      <c r="EI358" s="55"/>
      <c r="EJ358" s="55"/>
      <c r="EK358" s="55"/>
      <c r="EL358" s="55"/>
      <c r="EM358" s="55"/>
      <c r="EN358" s="55"/>
      <c r="EO358" s="55"/>
      <c r="EP358" s="55"/>
      <c r="EQ358" s="55"/>
      <c r="ER358" s="55"/>
      <c r="ES358" s="55"/>
      <c r="ET358" s="55"/>
      <c r="EU358" s="55"/>
      <c r="EV358" s="55"/>
      <c r="EW358" s="55"/>
      <c r="EX358" s="55"/>
      <c r="EY358" s="55"/>
      <c r="EZ358" s="55"/>
      <c r="FA358" s="55"/>
      <c r="FB358" s="55"/>
      <c r="FC358" s="55"/>
      <c r="FD358" s="55"/>
      <c r="FE358" s="55"/>
      <c r="FF358" s="55"/>
      <c r="FG358" s="55"/>
      <c r="FH358" s="55"/>
      <c r="FI358" s="55"/>
      <c r="FJ358" s="55"/>
      <c r="FK358" s="55"/>
      <c r="FL358" s="55"/>
      <c r="FM358" s="55"/>
      <c r="FN358" s="55"/>
      <c r="FO358" s="55"/>
      <c r="FP358" s="55"/>
      <c r="FQ358" s="55"/>
      <c r="FR358" s="55"/>
      <c r="FS358" s="55"/>
      <c r="FT358" s="55"/>
      <c r="FU358" s="55"/>
      <c r="FV358" s="55"/>
      <c r="FW358" s="55"/>
      <c r="FX358" s="55"/>
      <c r="FY358" s="55"/>
      <c r="FZ358" s="55"/>
      <c r="GA358" s="55"/>
      <c r="GB358" s="55"/>
      <c r="GC358" s="55"/>
      <c r="GD358" s="55"/>
      <c r="GE358" s="55"/>
      <c r="GF358" s="55"/>
      <c r="GG358" s="55"/>
      <c r="GH358" s="55"/>
      <c r="GI358" s="55"/>
      <c r="GJ358" s="55"/>
      <c r="GK358" s="55"/>
      <c r="GL358" s="55"/>
      <c r="GM358" s="55"/>
      <c r="GN358" s="55"/>
      <c r="GO358" s="55"/>
      <c r="GP358" s="55"/>
      <c r="GQ358" s="55"/>
      <c r="GR358" s="55"/>
      <c r="GS358" s="55"/>
      <c r="GT358" s="55"/>
      <c r="GU358" s="55"/>
      <c r="GV358" s="55"/>
      <c r="GW358" s="55"/>
      <c r="GX358" s="55"/>
      <c r="GY358" s="55"/>
      <c r="GZ358" s="55"/>
      <c r="HA358" s="55"/>
      <c r="HB358" s="55"/>
      <c r="HC358" s="55"/>
      <c r="HD358" s="55"/>
      <c r="HE358" s="55"/>
      <c r="HF358" s="55"/>
      <c r="HG358" s="55"/>
      <c r="HH358" s="55"/>
      <c r="HI358" s="55"/>
      <c r="HJ358" s="55"/>
      <c r="HK358" s="55"/>
      <c r="HL358" s="55"/>
      <c r="HM358" s="55"/>
      <c r="HN358" s="55"/>
      <c r="HO358" s="55"/>
      <c r="HP358" s="55"/>
      <c r="HQ358" s="55"/>
      <c r="HR358" s="55"/>
      <c r="HS358" s="55"/>
      <c r="HT358" s="55"/>
      <c r="HU358" s="55"/>
      <c r="HV358" s="55"/>
      <c r="HW358" s="55"/>
      <c r="HX358" s="55"/>
      <c r="HY358" s="55"/>
      <c r="HZ358" s="55"/>
      <c r="IA358" s="55"/>
      <c r="IB358" s="55"/>
      <c r="IC358" s="55"/>
      <c r="ID358" s="55"/>
    </row>
    <row r="359" s="52" customFormat="1" ht="33" customHeight="1" spans="1:238">
      <c r="A359" s="112" t="s">
        <v>95</v>
      </c>
      <c r="B359" s="112" t="s">
        <v>1409</v>
      </c>
      <c r="C359" s="64" t="s">
        <v>1410</v>
      </c>
      <c r="D359" s="65"/>
      <c r="E359" s="77"/>
      <c r="F359" s="77" t="s">
        <v>35</v>
      </c>
      <c r="G359" s="64" t="s">
        <v>110</v>
      </c>
      <c r="H359" s="42" t="s">
        <v>1400</v>
      </c>
      <c r="I359" s="42" t="s">
        <v>1400</v>
      </c>
      <c r="J359" s="83"/>
      <c r="K359" s="83"/>
      <c r="L359" s="83"/>
      <c r="M359" s="41" t="s">
        <v>1400</v>
      </c>
      <c r="N359" s="41" t="s">
        <v>1400</v>
      </c>
      <c r="O359" s="41" t="s">
        <v>1400</v>
      </c>
      <c r="P359" s="64" t="s">
        <v>621</v>
      </c>
      <c r="Q359" s="64" t="s">
        <v>35</v>
      </c>
      <c r="R359" s="64" t="s">
        <v>35</v>
      </c>
      <c r="S359" s="83"/>
      <c r="T359" s="77"/>
      <c r="U359" s="105" t="s">
        <v>1411</v>
      </c>
      <c r="V359" s="105">
        <v>33040400101</v>
      </c>
      <c r="W359" s="106" t="s">
        <v>1412</v>
      </c>
      <c r="X359" s="105"/>
      <c r="Y359" s="105"/>
      <c r="Z359" s="105" t="s">
        <v>36</v>
      </c>
      <c r="AA359" s="110" t="s">
        <v>35</v>
      </c>
      <c r="AB359" s="50">
        <v>1535</v>
      </c>
      <c r="AC359" s="50">
        <v>1380</v>
      </c>
      <c r="AD359" s="50">
        <v>1175</v>
      </c>
      <c r="AE359" s="112"/>
      <c r="AF359" s="60"/>
      <c r="AG359" s="55"/>
      <c r="AH359" s="55"/>
      <c r="AI359" s="55"/>
      <c r="AJ359" s="55"/>
      <c r="AK359" s="55"/>
      <c r="AL359" s="55"/>
      <c r="AM359" s="55"/>
      <c r="AN359" s="55"/>
      <c r="AO359" s="55"/>
      <c r="AP359" s="55"/>
      <c r="AQ359" s="55"/>
      <c r="AR359" s="55"/>
      <c r="AS359" s="55"/>
      <c r="AT359" s="55"/>
      <c r="AU359" s="55"/>
      <c r="AV359" s="55"/>
      <c r="AW359" s="55"/>
      <c r="AX359" s="55"/>
      <c r="AY359" s="55"/>
      <c r="AZ359" s="55"/>
      <c r="BA359" s="55"/>
      <c r="BB359" s="55"/>
      <c r="BC359" s="55"/>
      <c r="BD359" s="55"/>
      <c r="BE359" s="55"/>
      <c r="BF359" s="55"/>
      <c r="BG359" s="55"/>
      <c r="BH359" s="55"/>
      <c r="BI359" s="55"/>
      <c r="BJ359" s="55"/>
      <c r="BK359" s="55"/>
      <c r="BL359" s="55"/>
      <c r="BM359" s="55"/>
      <c r="BN359" s="55"/>
      <c r="BO359" s="55"/>
      <c r="BP359" s="55"/>
      <c r="BQ359" s="55"/>
      <c r="BR359" s="55"/>
      <c r="BS359" s="55"/>
      <c r="BT359" s="55"/>
      <c r="BU359" s="55"/>
      <c r="BV359" s="55"/>
      <c r="BW359" s="55"/>
      <c r="BX359" s="55"/>
      <c r="BY359" s="55"/>
      <c r="BZ359" s="55"/>
      <c r="CA359" s="55"/>
      <c r="CB359" s="55"/>
      <c r="CC359" s="55"/>
      <c r="CD359" s="55"/>
      <c r="CE359" s="55"/>
      <c r="CF359" s="55"/>
      <c r="CG359" s="55"/>
      <c r="CH359" s="55"/>
      <c r="CI359" s="55"/>
      <c r="CJ359" s="55"/>
      <c r="CK359" s="55"/>
      <c r="CL359" s="55"/>
      <c r="CM359" s="55"/>
      <c r="CN359" s="55"/>
      <c r="CO359" s="55"/>
      <c r="CP359" s="55"/>
      <c r="CQ359" s="55"/>
      <c r="CR359" s="55"/>
      <c r="CS359" s="55"/>
      <c r="CT359" s="55"/>
      <c r="CU359" s="55"/>
      <c r="CV359" s="55"/>
      <c r="CW359" s="55"/>
      <c r="CX359" s="55"/>
      <c r="CY359" s="55"/>
      <c r="CZ359" s="55"/>
      <c r="DA359" s="55"/>
      <c r="DB359" s="55"/>
      <c r="DC359" s="55"/>
      <c r="DD359" s="55"/>
      <c r="DE359" s="55"/>
      <c r="DF359" s="55"/>
      <c r="DG359" s="55"/>
      <c r="DH359" s="55"/>
      <c r="DI359" s="55"/>
      <c r="DJ359" s="55"/>
      <c r="DK359" s="55"/>
      <c r="DL359" s="55"/>
      <c r="DM359" s="55"/>
      <c r="DN359" s="55"/>
      <c r="DO359" s="55"/>
      <c r="DP359" s="55"/>
      <c r="DQ359" s="55"/>
      <c r="DR359" s="55"/>
      <c r="DS359" s="55"/>
      <c r="DT359" s="55"/>
      <c r="DU359" s="55"/>
      <c r="DV359" s="55"/>
      <c r="DW359" s="55"/>
      <c r="DX359" s="55"/>
      <c r="DY359" s="55"/>
      <c r="DZ359" s="55"/>
      <c r="EA359" s="55"/>
      <c r="EB359" s="55"/>
      <c r="EC359" s="55"/>
      <c r="ED359" s="55"/>
      <c r="EE359" s="55"/>
      <c r="EF359" s="55"/>
      <c r="EG359" s="55"/>
      <c r="EH359" s="55"/>
      <c r="EI359" s="55"/>
      <c r="EJ359" s="55"/>
      <c r="EK359" s="55"/>
      <c r="EL359" s="55"/>
      <c r="EM359" s="55"/>
      <c r="EN359" s="55"/>
      <c r="EO359" s="55"/>
      <c r="EP359" s="55"/>
      <c r="EQ359" s="55"/>
      <c r="ER359" s="55"/>
      <c r="ES359" s="55"/>
      <c r="ET359" s="55"/>
      <c r="EU359" s="55"/>
      <c r="EV359" s="55"/>
      <c r="EW359" s="55"/>
      <c r="EX359" s="55"/>
      <c r="EY359" s="55"/>
      <c r="EZ359" s="55"/>
      <c r="FA359" s="55"/>
      <c r="FB359" s="55"/>
      <c r="FC359" s="55"/>
      <c r="FD359" s="55"/>
      <c r="FE359" s="55"/>
      <c r="FF359" s="55"/>
      <c r="FG359" s="55"/>
      <c r="FH359" s="55"/>
      <c r="FI359" s="55"/>
      <c r="FJ359" s="55"/>
      <c r="FK359" s="55"/>
      <c r="FL359" s="55"/>
      <c r="FM359" s="55"/>
      <c r="FN359" s="55"/>
      <c r="FO359" s="55"/>
      <c r="FP359" s="55"/>
      <c r="FQ359" s="55"/>
      <c r="FR359" s="55"/>
      <c r="FS359" s="55"/>
      <c r="FT359" s="55"/>
      <c r="FU359" s="55"/>
      <c r="FV359" s="55"/>
      <c r="FW359" s="55"/>
      <c r="FX359" s="55"/>
      <c r="FY359" s="55"/>
      <c r="FZ359" s="55"/>
      <c r="GA359" s="55"/>
      <c r="GB359" s="55"/>
      <c r="GC359" s="55"/>
      <c r="GD359" s="55"/>
      <c r="GE359" s="55"/>
      <c r="GF359" s="55"/>
      <c r="GG359" s="55"/>
      <c r="GH359" s="55"/>
      <c r="GI359" s="55"/>
      <c r="GJ359" s="55"/>
      <c r="GK359" s="55"/>
      <c r="GL359" s="55"/>
      <c r="GM359" s="55"/>
      <c r="GN359" s="55"/>
      <c r="GO359" s="55"/>
      <c r="GP359" s="55"/>
      <c r="GQ359" s="55"/>
      <c r="GR359" s="55"/>
      <c r="GS359" s="55"/>
      <c r="GT359" s="55"/>
      <c r="GU359" s="55"/>
      <c r="GV359" s="55"/>
      <c r="GW359" s="55"/>
      <c r="GX359" s="55"/>
      <c r="GY359" s="55"/>
      <c r="GZ359" s="55"/>
      <c r="HA359" s="55"/>
      <c r="HB359" s="55"/>
      <c r="HC359" s="55"/>
      <c r="HD359" s="55"/>
      <c r="HE359" s="55"/>
      <c r="HF359" s="55"/>
      <c r="HG359" s="55"/>
      <c r="HH359" s="55"/>
      <c r="HI359" s="55"/>
      <c r="HJ359" s="55"/>
      <c r="HK359" s="55"/>
      <c r="HL359" s="55"/>
      <c r="HM359" s="55"/>
      <c r="HN359" s="55"/>
      <c r="HO359" s="55"/>
      <c r="HP359" s="55"/>
      <c r="HQ359" s="55"/>
      <c r="HR359" s="55"/>
      <c r="HS359" s="55"/>
      <c r="HT359" s="55"/>
      <c r="HU359" s="55"/>
      <c r="HV359" s="55"/>
      <c r="HW359" s="55"/>
      <c r="HX359" s="55"/>
      <c r="HY359" s="55"/>
      <c r="HZ359" s="55"/>
      <c r="IA359" s="55"/>
      <c r="IB359" s="55"/>
      <c r="IC359" s="55"/>
      <c r="ID359" s="55"/>
    </row>
    <row r="360" s="52" customFormat="1" ht="51" spans="1:238">
      <c r="A360" s="112">
        <v>95</v>
      </c>
      <c r="B360" s="112" t="s">
        <v>1413</v>
      </c>
      <c r="C360" s="64" t="s">
        <v>1414</v>
      </c>
      <c r="D360" s="65" t="s">
        <v>1415</v>
      </c>
      <c r="E360" s="77" t="s">
        <v>1416</v>
      </c>
      <c r="F360" s="77" t="s">
        <v>35</v>
      </c>
      <c r="G360" s="64" t="s">
        <v>110</v>
      </c>
      <c r="H360" s="42" t="s">
        <v>1400</v>
      </c>
      <c r="I360" s="42" t="s">
        <v>1400</v>
      </c>
      <c r="J360" s="83"/>
      <c r="K360" s="83"/>
      <c r="L360" s="83"/>
      <c r="M360" s="41" t="s">
        <v>1400</v>
      </c>
      <c r="N360" s="41" t="s">
        <v>1400</v>
      </c>
      <c r="O360" s="41" t="s">
        <v>1400</v>
      </c>
      <c r="P360" s="64" t="s">
        <v>621</v>
      </c>
      <c r="Q360" s="64" t="s">
        <v>35</v>
      </c>
      <c r="R360" s="64" t="s">
        <v>35</v>
      </c>
      <c r="S360" s="83" t="s">
        <v>1400</v>
      </c>
      <c r="T360" s="77" t="s">
        <v>400</v>
      </c>
      <c r="U360" s="112"/>
      <c r="V360" s="112"/>
      <c r="W360" s="112"/>
      <c r="X360" s="64"/>
      <c r="Y360" s="112"/>
      <c r="Z360" s="112"/>
      <c r="AA360" s="110"/>
      <c r="AB360" s="50"/>
      <c r="AC360" s="50"/>
      <c r="AD360" s="50"/>
      <c r="AE360" s="112"/>
      <c r="AF360" s="60"/>
      <c r="AG360" s="55"/>
      <c r="AH360" s="55"/>
      <c r="AI360" s="55"/>
      <c r="AJ360" s="55"/>
      <c r="AK360" s="55"/>
      <c r="AL360" s="55"/>
      <c r="AM360" s="55"/>
      <c r="AN360" s="55"/>
      <c r="AO360" s="55"/>
      <c r="AP360" s="55"/>
      <c r="AQ360" s="55"/>
      <c r="AR360" s="55"/>
      <c r="AS360" s="55"/>
      <c r="AT360" s="55"/>
      <c r="AU360" s="55"/>
      <c r="AV360" s="55"/>
      <c r="AW360" s="55"/>
      <c r="AX360" s="55"/>
      <c r="AY360" s="55"/>
      <c r="AZ360" s="55"/>
      <c r="BA360" s="55"/>
      <c r="BB360" s="55"/>
      <c r="BC360" s="55"/>
      <c r="BD360" s="55"/>
      <c r="BE360" s="55"/>
      <c r="BF360" s="55"/>
      <c r="BG360" s="55"/>
      <c r="BH360" s="55"/>
      <c r="BI360" s="55"/>
      <c r="BJ360" s="55"/>
      <c r="BK360" s="55"/>
      <c r="BL360" s="55"/>
      <c r="BM360" s="55"/>
      <c r="BN360" s="55"/>
      <c r="BO360" s="55"/>
      <c r="BP360" s="55"/>
      <c r="BQ360" s="55"/>
      <c r="BR360" s="55"/>
      <c r="BS360" s="55"/>
      <c r="BT360" s="55"/>
      <c r="BU360" s="55"/>
      <c r="BV360" s="55"/>
      <c r="BW360" s="55"/>
      <c r="BX360" s="55"/>
      <c r="BY360" s="55"/>
      <c r="BZ360" s="55"/>
      <c r="CA360" s="55"/>
      <c r="CB360" s="55"/>
      <c r="CC360" s="55"/>
      <c r="CD360" s="55"/>
      <c r="CE360" s="55"/>
      <c r="CF360" s="55"/>
      <c r="CG360" s="55"/>
      <c r="CH360" s="55"/>
      <c r="CI360" s="55"/>
      <c r="CJ360" s="55"/>
      <c r="CK360" s="55"/>
      <c r="CL360" s="55"/>
      <c r="CM360" s="55"/>
      <c r="CN360" s="55"/>
      <c r="CO360" s="55"/>
      <c r="CP360" s="55"/>
      <c r="CQ360" s="55"/>
      <c r="CR360" s="55"/>
      <c r="CS360" s="55"/>
      <c r="CT360" s="55"/>
      <c r="CU360" s="55"/>
      <c r="CV360" s="55"/>
      <c r="CW360" s="55"/>
      <c r="CX360" s="55"/>
      <c r="CY360" s="55"/>
      <c r="CZ360" s="55"/>
      <c r="DA360" s="55"/>
      <c r="DB360" s="55"/>
      <c r="DC360" s="55"/>
      <c r="DD360" s="55"/>
      <c r="DE360" s="55"/>
      <c r="DF360" s="55"/>
      <c r="DG360" s="55"/>
      <c r="DH360" s="55"/>
      <c r="DI360" s="55"/>
      <c r="DJ360" s="55"/>
      <c r="DK360" s="55"/>
      <c r="DL360" s="55"/>
      <c r="DM360" s="55"/>
      <c r="DN360" s="55"/>
      <c r="DO360" s="55"/>
      <c r="DP360" s="55"/>
      <c r="DQ360" s="55"/>
      <c r="DR360" s="55"/>
      <c r="DS360" s="55"/>
      <c r="DT360" s="55"/>
      <c r="DU360" s="55"/>
      <c r="DV360" s="55"/>
      <c r="DW360" s="55"/>
      <c r="DX360" s="55"/>
      <c r="DY360" s="55"/>
      <c r="DZ360" s="55"/>
      <c r="EA360" s="55"/>
      <c r="EB360" s="55"/>
      <c r="EC360" s="55"/>
      <c r="ED360" s="55"/>
      <c r="EE360" s="55"/>
      <c r="EF360" s="55"/>
      <c r="EG360" s="55"/>
      <c r="EH360" s="55"/>
      <c r="EI360" s="55"/>
      <c r="EJ360" s="55"/>
      <c r="EK360" s="55"/>
      <c r="EL360" s="55"/>
      <c r="EM360" s="55"/>
      <c r="EN360" s="55"/>
      <c r="EO360" s="55"/>
      <c r="EP360" s="55"/>
      <c r="EQ360" s="55"/>
      <c r="ER360" s="55"/>
      <c r="ES360" s="55"/>
      <c r="ET360" s="55"/>
      <c r="EU360" s="55"/>
      <c r="EV360" s="55"/>
      <c r="EW360" s="55"/>
      <c r="EX360" s="55"/>
      <c r="EY360" s="55"/>
      <c r="EZ360" s="55"/>
      <c r="FA360" s="55"/>
      <c r="FB360" s="55"/>
      <c r="FC360" s="55"/>
      <c r="FD360" s="55"/>
      <c r="FE360" s="55"/>
      <c r="FF360" s="55"/>
      <c r="FG360" s="55"/>
      <c r="FH360" s="55"/>
      <c r="FI360" s="55"/>
      <c r="FJ360" s="55"/>
      <c r="FK360" s="55"/>
      <c r="FL360" s="55"/>
      <c r="FM360" s="55"/>
      <c r="FN360" s="55"/>
      <c r="FO360" s="55"/>
      <c r="FP360" s="55"/>
      <c r="FQ360" s="55"/>
      <c r="FR360" s="55"/>
      <c r="FS360" s="55"/>
      <c r="FT360" s="55"/>
      <c r="FU360" s="55"/>
      <c r="FV360" s="55"/>
      <c r="FW360" s="55"/>
      <c r="FX360" s="55"/>
      <c r="FY360" s="55"/>
      <c r="FZ360" s="55"/>
      <c r="GA360" s="55"/>
      <c r="GB360" s="55"/>
      <c r="GC360" s="55"/>
      <c r="GD360" s="55"/>
      <c r="GE360" s="55"/>
      <c r="GF360" s="55"/>
      <c r="GG360" s="55"/>
      <c r="GH360" s="55"/>
      <c r="GI360" s="55"/>
      <c r="GJ360" s="55"/>
      <c r="GK360" s="55"/>
      <c r="GL360" s="55"/>
      <c r="GM360" s="55"/>
      <c r="GN360" s="55"/>
      <c r="GO360" s="55"/>
      <c r="GP360" s="55"/>
      <c r="GQ360" s="55"/>
      <c r="GR360" s="55"/>
      <c r="GS360" s="55"/>
      <c r="GT360" s="55"/>
      <c r="GU360" s="55"/>
      <c r="GV360" s="55"/>
      <c r="GW360" s="55"/>
      <c r="GX360" s="55"/>
      <c r="GY360" s="55"/>
      <c r="GZ360" s="55"/>
      <c r="HA360" s="55"/>
      <c r="HB360" s="55"/>
      <c r="HC360" s="55"/>
      <c r="HD360" s="55"/>
      <c r="HE360" s="55"/>
      <c r="HF360" s="55"/>
      <c r="HG360" s="55"/>
      <c r="HH360" s="55"/>
      <c r="HI360" s="55"/>
      <c r="HJ360" s="55"/>
      <c r="HK360" s="55"/>
      <c r="HL360" s="55"/>
      <c r="HM360" s="55"/>
      <c r="HN360" s="55"/>
      <c r="HO360" s="55"/>
      <c r="HP360" s="55"/>
      <c r="HQ360" s="55"/>
      <c r="HR360" s="55"/>
      <c r="HS360" s="55"/>
      <c r="HT360" s="55"/>
      <c r="HU360" s="55"/>
      <c r="HV360" s="55"/>
      <c r="HW360" s="55"/>
      <c r="HX360" s="55"/>
      <c r="HY360" s="55"/>
      <c r="HZ360" s="55"/>
      <c r="IA360" s="55"/>
      <c r="IB360" s="55"/>
      <c r="IC360" s="55"/>
      <c r="ID360" s="55"/>
    </row>
    <row r="361" s="52" customFormat="1" ht="25.5" spans="1:238">
      <c r="A361" s="112" t="s">
        <v>95</v>
      </c>
      <c r="B361" s="112" t="s">
        <v>1417</v>
      </c>
      <c r="C361" s="64" t="s">
        <v>1418</v>
      </c>
      <c r="D361" s="65"/>
      <c r="E361" s="77"/>
      <c r="F361" s="77" t="s">
        <v>35</v>
      </c>
      <c r="G361" s="64" t="s">
        <v>110</v>
      </c>
      <c r="H361" s="42" t="s">
        <v>1400</v>
      </c>
      <c r="I361" s="42" t="s">
        <v>1400</v>
      </c>
      <c r="J361" s="83"/>
      <c r="K361" s="83"/>
      <c r="L361" s="83"/>
      <c r="M361" s="41" t="s">
        <v>1400</v>
      </c>
      <c r="N361" s="41" t="s">
        <v>1400</v>
      </c>
      <c r="O361" s="41" t="s">
        <v>1400</v>
      </c>
      <c r="P361" s="64" t="s">
        <v>621</v>
      </c>
      <c r="Q361" s="64" t="s">
        <v>35</v>
      </c>
      <c r="R361" s="64" t="s">
        <v>35</v>
      </c>
      <c r="S361" s="83"/>
      <c r="T361" s="77"/>
      <c r="U361" s="112"/>
      <c r="V361" s="112"/>
      <c r="W361" s="112"/>
      <c r="X361" s="64"/>
      <c r="Y361" s="112"/>
      <c r="Z361" s="112"/>
      <c r="AA361" s="110"/>
      <c r="AB361" s="50"/>
      <c r="AC361" s="50"/>
      <c r="AD361" s="50"/>
      <c r="AE361" s="112"/>
      <c r="AF361" s="60"/>
      <c r="AG361" s="55"/>
      <c r="AH361" s="55"/>
      <c r="AI361" s="55"/>
      <c r="AJ361" s="55"/>
      <c r="AK361" s="55"/>
      <c r="AL361" s="55"/>
      <c r="AM361" s="55"/>
      <c r="AN361" s="55"/>
      <c r="AO361" s="55"/>
      <c r="AP361" s="55"/>
      <c r="AQ361" s="55"/>
      <c r="AR361" s="55"/>
      <c r="AS361" s="55"/>
      <c r="AT361" s="55"/>
      <c r="AU361" s="55"/>
      <c r="AV361" s="55"/>
      <c r="AW361" s="55"/>
      <c r="AX361" s="55"/>
      <c r="AY361" s="55"/>
      <c r="AZ361" s="55"/>
      <c r="BA361" s="55"/>
      <c r="BB361" s="55"/>
      <c r="BC361" s="55"/>
      <c r="BD361" s="55"/>
      <c r="BE361" s="55"/>
      <c r="BF361" s="55"/>
      <c r="BG361" s="55"/>
      <c r="BH361" s="55"/>
      <c r="BI361" s="55"/>
      <c r="BJ361" s="55"/>
      <c r="BK361" s="55"/>
      <c r="BL361" s="55"/>
      <c r="BM361" s="55"/>
      <c r="BN361" s="55"/>
      <c r="BO361" s="55"/>
      <c r="BP361" s="55"/>
      <c r="BQ361" s="55"/>
      <c r="BR361" s="55"/>
      <c r="BS361" s="55"/>
      <c r="BT361" s="55"/>
      <c r="BU361" s="55"/>
      <c r="BV361" s="55"/>
      <c r="BW361" s="55"/>
      <c r="BX361" s="55"/>
      <c r="BY361" s="55"/>
      <c r="BZ361" s="55"/>
      <c r="CA361" s="55"/>
      <c r="CB361" s="55"/>
      <c r="CC361" s="55"/>
      <c r="CD361" s="55"/>
      <c r="CE361" s="55"/>
      <c r="CF361" s="55"/>
      <c r="CG361" s="55"/>
      <c r="CH361" s="55"/>
      <c r="CI361" s="55"/>
      <c r="CJ361" s="55"/>
      <c r="CK361" s="55"/>
      <c r="CL361" s="55"/>
      <c r="CM361" s="55"/>
      <c r="CN361" s="55"/>
      <c r="CO361" s="55"/>
      <c r="CP361" s="55"/>
      <c r="CQ361" s="55"/>
      <c r="CR361" s="55"/>
      <c r="CS361" s="55"/>
      <c r="CT361" s="55"/>
      <c r="CU361" s="55"/>
      <c r="CV361" s="55"/>
      <c r="CW361" s="55"/>
      <c r="CX361" s="55"/>
      <c r="CY361" s="55"/>
      <c r="CZ361" s="55"/>
      <c r="DA361" s="55"/>
      <c r="DB361" s="55"/>
      <c r="DC361" s="55"/>
      <c r="DD361" s="55"/>
      <c r="DE361" s="55"/>
      <c r="DF361" s="55"/>
      <c r="DG361" s="55"/>
      <c r="DH361" s="55"/>
      <c r="DI361" s="55"/>
      <c r="DJ361" s="55"/>
      <c r="DK361" s="55"/>
      <c r="DL361" s="55"/>
      <c r="DM361" s="55"/>
      <c r="DN361" s="55"/>
      <c r="DO361" s="55"/>
      <c r="DP361" s="55"/>
      <c r="DQ361" s="55"/>
      <c r="DR361" s="55"/>
      <c r="DS361" s="55"/>
      <c r="DT361" s="55"/>
      <c r="DU361" s="55"/>
      <c r="DV361" s="55"/>
      <c r="DW361" s="55"/>
      <c r="DX361" s="55"/>
      <c r="DY361" s="55"/>
      <c r="DZ361" s="55"/>
      <c r="EA361" s="55"/>
      <c r="EB361" s="55"/>
      <c r="EC361" s="55"/>
      <c r="ED361" s="55"/>
      <c r="EE361" s="55"/>
      <c r="EF361" s="55"/>
      <c r="EG361" s="55"/>
      <c r="EH361" s="55"/>
      <c r="EI361" s="55"/>
      <c r="EJ361" s="55"/>
      <c r="EK361" s="55"/>
      <c r="EL361" s="55"/>
      <c r="EM361" s="55"/>
      <c r="EN361" s="55"/>
      <c r="EO361" s="55"/>
      <c r="EP361" s="55"/>
      <c r="EQ361" s="55"/>
      <c r="ER361" s="55"/>
      <c r="ES361" s="55"/>
      <c r="ET361" s="55"/>
      <c r="EU361" s="55"/>
      <c r="EV361" s="55"/>
      <c r="EW361" s="55"/>
      <c r="EX361" s="55"/>
      <c r="EY361" s="55"/>
      <c r="EZ361" s="55"/>
      <c r="FA361" s="55"/>
      <c r="FB361" s="55"/>
      <c r="FC361" s="55"/>
      <c r="FD361" s="55"/>
      <c r="FE361" s="55"/>
      <c r="FF361" s="55"/>
      <c r="FG361" s="55"/>
      <c r="FH361" s="55"/>
      <c r="FI361" s="55"/>
      <c r="FJ361" s="55"/>
      <c r="FK361" s="55"/>
      <c r="FL361" s="55"/>
      <c r="FM361" s="55"/>
      <c r="FN361" s="55"/>
      <c r="FO361" s="55"/>
      <c r="FP361" s="55"/>
      <c r="FQ361" s="55"/>
      <c r="FR361" s="55"/>
      <c r="FS361" s="55"/>
      <c r="FT361" s="55"/>
      <c r="FU361" s="55"/>
      <c r="FV361" s="55"/>
      <c r="FW361" s="55"/>
      <c r="FX361" s="55"/>
      <c r="FY361" s="55"/>
      <c r="FZ361" s="55"/>
      <c r="GA361" s="55"/>
      <c r="GB361" s="55"/>
      <c r="GC361" s="55"/>
      <c r="GD361" s="55"/>
      <c r="GE361" s="55"/>
      <c r="GF361" s="55"/>
      <c r="GG361" s="55"/>
      <c r="GH361" s="55"/>
      <c r="GI361" s="55"/>
      <c r="GJ361" s="55"/>
      <c r="GK361" s="55"/>
      <c r="GL361" s="55"/>
      <c r="GM361" s="55"/>
      <c r="GN361" s="55"/>
      <c r="GO361" s="55"/>
      <c r="GP361" s="55"/>
      <c r="GQ361" s="55"/>
      <c r="GR361" s="55"/>
      <c r="GS361" s="55"/>
      <c r="GT361" s="55"/>
      <c r="GU361" s="55"/>
      <c r="GV361" s="55"/>
      <c r="GW361" s="55"/>
      <c r="GX361" s="55"/>
      <c r="GY361" s="55"/>
      <c r="GZ361" s="55"/>
      <c r="HA361" s="55"/>
      <c r="HB361" s="55"/>
      <c r="HC361" s="55"/>
      <c r="HD361" s="55"/>
      <c r="HE361" s="55"/>
      <c r="HF361" s="55"/>
      <c r="HG361" s="55"/>
      <c r="HH361" s="55"/>
      <c r="HI361" s="55"/>
      <c r="HJ361" s="55"/>
      <c r="HK361" s="55"/>
      <c r="HL361" s="55"/>
      <c r="HM361" s="55"/>
      <c r="HN361" s="55"/>
      <c r="HO361" s="55"/>
      <c r="HP361" s="55"/>
      <c r="HQ361" s="55"/>
      <c r="HR361" s="55"/>
      <c r="HS361" s="55"/>
      <c r="HT361" s="55"/>
      <c r="HU361" s="55"/>
      <c r="HV361" s="55"/>
      <c r="HW361" s="55"/>
      <c r="HX361" s="55"/>
      <c r="HY361" s="55"/>
      <c r="HZ361" s="55"/>
      <c r="IA361" s="55"/>
      <c r="IB361" s="55"/>
      <c r="IC361" s="55"/>
      <c r="ID361" s="55"/>
    </row>
    <row r="362" s="52" customFormat="1" ht="25.5" spans="1:238">
      <c r="A362" s="112">
        <v>96</v>
      </c>
      <c r="B362" s="112" t="s">
        <v>1419</v>
      </c>
      <c r="C362" s="64" t="s">
        <v>1420</v>
      </c>
      <c r="D362" s="65" t="s">
        <v>1421</v>
      </c>
      <c r="E362" s="77" t="s">
        <v>1422</v>
      </c>
      <c r="F362" s="77" t="s">
        <v>35</v>
      </c>
      <c r="G362" s="64" t="s">
        <v>110</v>
      </c>
      <c r="H362" s="42" t="s">
        <v>1400</v>
      </c>
      <c r="I362" s="42" t="s">
        <v>1400</v>
      </c>
      <c r="J362" s="83"/>
      <c r="K362" s="83"/>
      <c r="L362" s="83"/>
      <c r="M362" s="41" t="s">
        <v>1400</v>
      </c>
      <c r="N362" s="41" t="s">
        <v>1400</v>
      </c>
      <c r="O362" s="41" t="s">
        <v>1400</v>
      </c>
      <c r="P362" s="64" t="s">
        <v>621</v>
      </c>
      <c r="Q362" s="64" t="s">
        <v>35</v>
      </c>
      <c r="R362" s="64" t="s">
        <v>35</v>
      </c>
      <c r="S362" s="83" t="s">
        <v>1400</v>
      </c>
      <c r="T362" s="77" t="s">
        <v>1400</v>
      </c>
      <c r="U362" s="105" t="s">
        <v>1423</v>
      </c>
      <c r="V362" s="105">
        <v>310300079</v>
      </c>
      <c r="W362" s="106" t="s">
        <v>1424</v>
      </c>
      <c r="X362" s="105"/>
      <c r="Y362" s="105" t="s">
        <v>1425</v>
      </c>
      <c r="Z362" s="105" t="s">
        <v>36</v>
      </c>
      <c r="AA362" s="110" t="s">
        <v>1400</v>
      </c>
      <c r="AB362" s="50">
        <v>0</v>
      </c>
      <c r="AC362" s="50">
        <v>0</v>
      </c>
      <c r="AD362" s="50">
        <v>0</v>
      </c>
      <c r="AE362" s="112"/>
      <c r="AF362" s="60"/>
      <c r="AG362" s="55"/>
      <c r="AH362" s="55"/>
      <c r="AI362" s="55"/>
      <c r="AJ362" s="55"/>
      <c r="AK362" s="55"/>
      <c r="AL362" s="55"/>
      <c r="AM362" s="55"/>
      <c r="AN362" s="55"/>
      <c r="AO362" s="55"/>
      <c r="AP362" s="55"/>
      <c r="AQ362" s="55"/>
      <c r="AR362" s="55"/>
      <c r="AS362" s="55"/>
      <c r="AT362" s="55"/>
      <c r="AU362" s="55"/>
      <c r="AV362" s="55"/>
      <c r="AW362" s="55"/>
      <c r="AX362" s="55"/>
      <c r="AY362" s="55"/>
      <c r="AZ362" s="55"/>
      <c r="BA362" s="55"/>
      <c r="BB362" s="55"/>
      <c r="BC362" s="55"/>
      <c r="BD362" s="55"/>
      <c r="BE362" s="55"/>
      <c r="BF362" s="55"/>
      <c r="BG362" s="55"/>
      <c r="BH362" s="55"/>
      <c r="BI362" s="55"/>
      <c r="BJ362" s="55"/>
      <c r="BK362" s="55"/>
      <c r="BL362" s="55"/>
      <c r="BM362" s="55"/>
      <c r="BN362" s="55"/>
      <c r="BO362" s="55"/>
      <c r="BP362" s="55"/>
      <c r="BQ362" s="55"/>
      <c r="BR362" s="55"/>
      <c r="BS362" s="55"/>
      <c r="BT362" s="55"/>
      <c r="BU362" s="55"/>
      <c r="BV362" s="55"/>
      <c r="BW362" s="55"/>
      <c r="BX362" s="55"/>
      <c r="BY362" s="55"/>
      <c r="BZ362" s="55"/>
      <c r="CA362" s="55"/>
      <c r="CB362" s="55"/>
      <c r="CC362" s="55"/>
      <c r="CD362" s="55"/>
      <c r="CE362" s="55"/>
      <c r="CF362" s="55"/>
      <c r="CG362" s="55"/>
      <c r="CH362" s="55"/>
      <c r="CI362" s="55"/>
      <c r="CJ362" s="55"/>
      <c r="CK362" s="55"/>
      <c r="CL362" s="55"/>
      <c r="CM362" s="55"/>
      <c r="CN362" s="55"/>
      <c r="CO362" s="55"/>
      <c r="CP362" s="55"/>
      <c r="CQ362" s="55"/>
      <c r="CR362" s="55"/>
      <c r="CS362" s="55"/>
      <c r="CT362" s="55"/>
      <c r="CU362" s="55"/>
      <c r="CV362" s="55"/>
      <c r="CW362" s="55"/>
      <c r="CX362" s="55"/>
      <c r="CY362" s="55"/>
      <c r="CZ362" s="55"/>
      <c r="DA362" s="55"/>
      <c r="DB362" s="55"/>
      <c r="DC362" s="55"/>
      <c r="DD362" s="55"/>
      <c r="DE362" s="55"/>
      <c r="DF362" s="55"/>
      <c r="DG362" s="55"/>
      <c r="DH362" s="55"/>
      <c r="DI362" s="55"/>
      <c r="DJ362" s="55"/>
      <c r="DK362" s="55"/>
      <c r="DL362" s="55"/>
      <c r="DM362" s="55"/>
      <c r="DN362" s="55"/>
      <c r="DO362" s="55"/>
      <c r="DP362" s="55"/>
      <c r="DQ362" s="55"/>
      <c r="DR362" s="55"/>
      <c r="DS362" s="55"/>
      <c r="DT362" s="55"/>
      <c r="DU362" s="55"/>
      <c r="DV362" s="55"/>
      <c r="DW362" s="55"/>
      <c r="DX362" s="55"/>
      <c r="DY362" s="55"/>
      <c r="DZ362" s="55"/>
      <c r="EA362" s="55"/>
      <c r="EB362" s="55"/>
      <c r="EC362" s="55"/>
      <c r="ED362" s="55"/>
      <c r="EE362" s="55"/>
      <c r="EF362" s="55"/>
      <c r="EG362" s="55"/>
      <c r="EH362" s="55"/>
      <c r="EI362" s="55"/>
      <c r="EJ362" s="55"/>
      <c r="EK362" s="55"/>
      <c r="EL362" s="55"/>
      <c r="EM362" s="55"/>
      <c r="EN362" s="55"/>
      <c r="EO362" s="55"/>
      <c r="EP362" s="55"/>
      <c r="EQ362" s="55"/>
      <c r="ER362" s="55"/>
      <c r="ES362" s="55"/>
      <c r="ET362" s="55"/>
      <c r="EU362" s="55"/>
      <c r="EV362" s="55"/>
      <c r="EW362" s="55"/>
      <c r="EX362" s="55"/>
      <c r="EY362" s="55"/>
      <c r="EZ362" s="55"/>
      <c r="FA362" s="55"/>
      <c r="FB362" s="55"/>
      <c r="FC362" s="55"/>
      <c r="FD362" s="55"/>
      <c r="FE362" s="55"/>
      <c r="FF362" s="55"/>
      <c r="FG362" s="55"/>
      <c r="FH362" s="55"/>
      <c r="FI362" s="55"/>
      <c r="FJ362" s="55"/>
      <c r="FK362" s="55"/>
      <c r="FL362" s="55"/>
      <c r="FM362" s="55"/>
      <c r="FN362" s="55"/>
      <c r="FO362" s="55"/>
      <c r="FP362" s="55"/>
      <c r="FQ362" s="55"/>
      <c r="FR362" s="55"/>
      <c r="FS362" s="55"/>
      <c r="FT362" s="55"/>
      <c r="FU362" s="55"/>
      <c r="FV362" s="55"/>
      <c r="FW362" s="55"/>
      <c r="FX362" s="55"/>
      <c r="FY362" s="55"/>
      <c r="FZ362" s="55"/>
      <c r="GA362" s="55"/>
      <c r="GB362" s="55"/>
      <c r="GC362" s="55"/>
      <c r="GD362" s="55"/>
      <c r="GE362" s="55"/>
      <c r="GF362" s="55"/>
      <c r="GG362" s="55"/>
      <c r="GH362" s="55"/>
      <c r="GI362" s="55"/>
      <c r="GJ362" s="55"/>
      <c r="GK362" s="55"/>
      <c r="GL362" s="55"/>
      <c r="GM362" s="55"/>
      <c r="GN362" s="55"/>
      <c r="GO362" s="55"/>
      <c r="GP362" s="55"/>
      <c r="GQ362" s="55"/>
      <c r="GR362" s="55"/>
      <c r="GS362" s="55"/>
      <c r="GT362" s="55"/>
      <c r="GU362" s="55"/>
      <c r="GV362" s="55"/>
      <c r="GW362" s="55"/>
      <c r="GX362" s="55"/>
      <c r="GY362" s="55"/>
      <c r="GZ362" s="55"/>
      <c r="HA362" s="55"/>
      <c r="HB362" s="55"/>
      <c r="HC362" s="55"/>
      <c r="HD362" s="55"/>
      <c r="HE362" s="55"/>
      <c r="HF362" s="55"/>
      <c r="HG362" s="55"/>
      <c r="HH362" s="55"/>
      <c r="HI362" s="55"/>
      <c r="HJ362" s="55"/>
      <c r="HK362" s="55"/>
      <c r="HL362" s="55"/>
      <c r="HM362" s="55"/>
      <c r="HN362" s="55"/>
      <c r="HO362" s="55"/>
      <c r="HP362" s="55"/>
      <c r="HQ362" s="55"/>
      <c r="HR362" s="55"/>
      <c r="HS362" s="55"/>
      <c r="HT362" s="55"/>
      <c r="HU362" s="55"/>
      <c r="HV362" s="55"/>
      <c r="HW362" s="55"/>
      <c r="HX362" s="55"/>
      <c r="HY362" s="55"/>
      <c r="HZ362" s="55"/>
      <c r="IA362" s="55"/>
      <c r="IB362" s="55"/>
      <c r="IC362" s="55"/>
      <c r="ID362" s="55"/>
    </row>
    <row r="363" s="52" customFormat="1" ht="76.5" spans="1:238">
      <c r="A363" s="112"/>
      <c r="B363" s="112"/>
      <c r="C363" s="64"/>
      <c r="D363" s="65"/>
      <c r="E363" s="77"/>
      <c r="F363" s="77"/>
      <c r="G363" s="64"/>
      <c r="H363" s="42"/>
      <c r="I363" s="42"/>
      <c r="J363" s="83"/>
      <c r="K363" s="83"/>
      <c r="L363" s="83"/>
      <c r="M363" s="41"/>
      <c r="N363" s="41"/>
      <c r="O363" s="41"/>
      <c r="P363" s="64"/>
      <c r="Q363" s="64"/>
      <c r="R363" s="64"/>
      <c r="S363" s="83"/>
      <c r="T363" s="77"/>
      <c r="U363" s="105" t="s">
        <v>1426</v>
      </c>
      <c r="V363" s="105">
        <v>330404014</v>
      </c>
      <c r="W363" s="106" t="s">
        <v>1427</v>
      </c>
      <c r="X363" s="105" t="s">
        <v>1428</v>
      </c>
      <c r="Y363" s="105"/>
      <c r="Z363" s="105" t="s">
        <v>110</v>
      </c>
      <c r="AA363" s="110" t="s">
        <v>1429</v>
      </c>
      <c r="AB363" s="50">
        <v>0</v>
      </c>
      <c r="AC363" s="50">
        <v>0</v>
      </c>
      <c r="AD363" s="50">
        <v>0</v>
      </c>
      <c r="AE363" s="112"/>
      <c r="AF363" s="60"/>
      <c r="AG363" s="55"/>
      <c r="AH363" s="55"/>
      <c r="AI363" s="55"/>
      <c r="AJ363" s="55"/>
      <c r="AK363" s="55"/>
      <c r="AL363" s="55"/>
      <c r="AM363" s="55"/>
      <c r="AN363" s="55"/>
      <c r="AO363" s="55"/>
      <c r="AP363" s="55"/>
      <c r="AQ363" s="55"/>
      <c r="AR363" s="55"/>
      <c r="AS363" s="55"/>
      <c r="AT363" s="55"/>
      <c r="AU363" s="55"/>
      <c r="AV363" s="55"/>
      <c r="AW363" s="55"/>
      <c r="AX363" s="55"/>
      <c r="AY363" s="55"/>
      <c r="AZ363" s="55"/>
      <c r="BA363" s="55"/>
      <c r="BB363" s="55"/>
      <c r="BC363" s="55"/>
      <c r="BD363" s="55"/>
      <c r="BE363" s="55"/>
      <c r="BF363" s="55"/>
      <c r="BG363" s="55"/>
      <c r="BH363" s="55"/>
      <c r="BI363" s="55"/>
      <c r="BJ363" s="55"/>
      <c r="BK363" s="55"/>
      <c r="BL363" s="55"/>
      <c r="BM363" s="55"/>
      <c r="BN363" s="55"/>
      <c r="BO363" s="55"/>
      <c r="BP363" s="55"/>
      <c r="BQ363" s="55"/>
      <c r="BR363" s="55"/>
      <c r="BS363" s="55"/>
      <c r="BT363" s="55"/>
      <c r="BU363" s="55"/>
      <c r="BV363" s="55"/>
      <c r="BW363" s="55"/>
      <c r="BX363" s="55"/>
      <c r="BY363" s="55"/>
      <c r="BZ363" s="55"/>
      <c r="CA363" s="55"/>
      <c r="CB363" s="55"/>
      <c r="CC363" s="55"/>
      <c r="CD363" s="55"/>
      <c r="CE363" s="55"/>
      <c r="CF363" s="55"/>
      <c r="CG363" s="55"/>
      <c r="CH363" s="55"/>
      <c r="CI363" s="55"/>
      <c r="CJ363" s="55"/>
      <c r="CK363" s="55"/>
      <c r="CL363" s="55"/>
      <c r="CM363" s="55"/>
      <c r="CN363" s="55"/>
      <c r="CO363" s="55"/>
      <c r="CP363" s="55"/>
      <c r="CQ363" s="55"/>
      <c r="CR363" s="55"/>
      <c r="CS363" s="55"/>
      <c r="CT363" s="55"/>
      <c r="CU363" s="55"/>
      <c r="CV363" s="55"/>
      <c r="CW363" s="55"/>
      <c r="CX363" s="55"/>
      <c r="CY363" s="55"/>
      <c r="CZ363" s="55"/>
      <c r="DA363" s="55"/>
      <c r="DB363" s="55"/>
      <c r="DC363" s="55"/>
      <c r="DD363" s="55"/>
      <c r="DE363" s="55"/>
      <c r="DF363" s="55"/>
      <c r="DG363" s="55"/>
      <c r="DH363" s="55"/>
      <c r="DI363" s="55"/>
      <c r="DJ363" s="55"/>
      <c r="DK363" s="55"/>
      <c r="DL363" s="55"/>
      <c r="DM363" s="55"/>
      <c r="DN363" s="55"/>
      <c r="DO363" s="55"/>
      <c r="DP363" s="55"/>
      <c r="DQ363" s="55"/>
      <c r="DR363" s="55"/>
      <c r="DS363" s="55"/>
      <c r="DT363" s="55"/>
      <c r="DU363" s="55"/>
      <c r="DV363" s="55"/>
      <c r="DW363" s="55"/>
      <c r="DX363" s="55"/>
      <c r="DY363" s="55"/>
      <c r="DZ363" s="55"/>
      <c r="EA363" s="55"/>
      <c r="EB363" s="55"/>
      <c r="EC363" s="55"/>
      <c r="ED363" s="55"/>
      <c r="EE363" s="55"/>
      <c r="EF363" s="55"/>
      <c r="EG363" s="55"/>
      <c r="EH363" s="55"/>
      <c r="EI363" s="55"/>
      <c r="EJ363" s="55"/>
      <c r="EK363" s="55"/>
      <c r="EL363" s="55"/>
      <c r="EM363" s="55"/>
      <c r="EN363" s="55"/>
      <c r="EO363" s="55"/>
      <c r="EP363" s="55"/>
      <c r="EQ363" s="55"/>
      <c r="ER363" s="55"/>
      <c r="ES363" s="55"/>
      <c r="ET363" s="55"/>
      <c r="EU363" s="55"/>
      <c r="EV363" s="55"/>
      <c r="EW363" s="55"/>
      <c r="EX363" s="55"/>
      <c r="EY363" s="55"/>
      <c r="EZ363" s="55"/>
      <c r="FA363" s="55"/>
      <c r="FB363" s="55"/>
      <c r="FC363" s="55"/>
      <c r="FD363" s="55"/>
      <c r="FE363" s="55"/>
      <c r="FF363" s="55"/>
      <c r="FG363" s="55"/>
      <c r="FH363" s="55"/>
      <c r="FI363" s="55"/>
      <c r="FJ363" s="55"/>
      <c r="FK363" s="55"/>
      <c r="FL363" s="55"/>
      <c r="FM363" s="55"/>
      <c r="FN363" s="55"/>
      <c r="FO363" s="55"/>
      <c r="FP363" s="55"/>
      <c r="FQ363" s="55"/>
      <c r="FR363" s="55"/>
      <c r="FS363" s="55"/>
      <c r="FT363" s="55"/>
      <c r="FU363" s="55"/>
      <c r="FV363" s="55"/>
      <c r="FW363" s="55"/>
      <c r="FX363" s="55"/>
      <c r="FY363" s="55"/>
      <c r="FZ363" s="55"/>
      <c r="GA363" s="55"/>
      <c r="GB363" s="55"/>
      <c r="GC363" s="55"/>
      <c r="GD363" s="55"/>
      <c r="GE363" s="55"/>
      <c r="GF363" s="55"/>
      <c r="GG363" s="55"/>
      <c r="GH363" s="55"/>
      <c r="GI363" s="55"/>
      <c r="GJ363" s="55"/>
      <c r="GK363" s="55"/>
      <c r="GL363" s="55"/>
      <c r="GM363" s="55"/>
      <c r="GN363" s="55"/>
      <c r="GO363" s="55"/>
      <c r="GP363" s="55"/>
      <c r="GQ363" s="55"/>
      <c r="GR363" s="55"/>
      <c r="GS363" s="55"/>
      <c r="GT363" s="55"/>
      <c r="GU363" s="55"/>
      <c r="GV363" s="55"/>
      <c r="GW363" s="55"/>
      <c r="GX363" s="55"/>
      <c r="GY363" s="55"/>
      <c r="GZ363" s="55"/>
      <c r="HA363" s="55"/>
      <c r="HB363" s="55"/>
      <c r="HC363" s="55"/>
      <c r="HD363" s="55"/>
      <c r="HE363" s="55"/>
      <c r="HF363" s="55"/>
      <c r="HG363" s="55"/>
      <c r="HH363" s="55"/>
      <c r="HI363" s="55"/>
      <c r="HJ363" s="55"/>
      <c r="HK363" s="55"/>
      <c r="HL363" s="55"/>
      <c r="HM363" s="55"/>
      <c r="HN363" s="55"/>
      <c r="HO363" s="55"/>
      <c r="HP363" s="55"/>
      <c r="HQ363" s="55"/>
      <c r="HR363" s="55"/>
      <c r="HS363" s="55"/>
      <c r="HT363" s="55"/>
      <c r="HU363" s="55"/>
      <c r="HV363" s="55"/>
      <c r="HW363" s="55"/>
      <c r="HX363" s="55"/>
      <c r="HY363" s="55"/>
      <c r="HZ363" s="55"/>
      <c r="IA363" s="55"/>
      <c r="IB363" s="55"/>
      <c r="IC363" s="55"/>
      <c r="ID363" s="55"/>
    </row>
    <row r="364" s="52" customFormat="1" ht="25.5" spans="1:238">
      <c r="A364" s="112" t="s">
        <v>95</v>
      </c>
      <c r="B364" s="112" t="s">
        <v>1430</v>
      </c>
      <c r="C364" s="64" t="s">
        <v>1431</v>
      </c>
      <c r="D364" s="65"/>
      <c r="E364" s="77"/>
      <c r="F364" s="77" t="s">
        <v>35</v>
      </c>
      <c r="G364" s="64" t="s">
        <v>110</v>
      </c>
      <c r="H364" s="42" t="s">
        <v>1400</v>
      </c>
      <c r="I364" s="42" t="s">
        <v>1400</v>
      </c>
      <c r="J364" s="83"/>
      <c r="K364" s="83"/>
      <c r="L364" s="83"/>
      <c r="M364" s="41" t="s">
        <v>1400</v>
      </c>
      <c r="N364" s="41" t="s">
        <v>1400</v>
      </c>
      <c r="O364" s="41" t="s">
        <v>1400</v>
      </c>
      <c r="P364" s="64" t="s">
        <v>621</v>
      </c>
      <c r="Q364" s="64" t="s">
        <v>35</v>
      </c>
      <c r="R364" s="64" t="s">
        <v>35</v>
      </c>
      <c r="S364" s="83"/>
      <c r="T364" s="77"/>
      <c r="U364" s="105" t="s">
        <v>1432</v>
      </c>
      <c r="V364" s="105">
        <v>330404005</v>
      </c>
      <c r="W364" s="106" t="s">
        <v>1433</v>
      </c>
      <c r="X364" s="105"/>
      <c r="Y364" s="105"/>
      <c r="Z364" s="105" t="s">
        <v>36</v>
      </c>
      <c r="AA364" s="110" t="s">
        <v>35</v>
      </c>
      <c r="AB364" s="50">
        <v>0</v>
      </c>
      <c r="AC364" s="50">
        <v>0</v>
      </c>
      <c r="AD364" s="50">
        <v>0</v>
      </c>
      <c r="AE364" s="112"/>
      <c r="AF364" s="60"/>
      <c r="AG364" s="55"/>
      <c r="AH364" s="55"/>
      <c r="AI364" s="55"/>
      <c r="AJ364" s="55"/>
      <c r="AK364" s="55"/>
      <c r="AL364" s="55"/>
      <c r="AM364" s="55"/>
      <c r="AN364" s="55"/>
      <c r="AO364" s="55"/>
      <c r="AP364" s="55"/>
      <c r="AQ364" s="55"/>
      <c r="AR364" s="55"/>
      <c r="AS364" s="55"/>
      <c r="AT364" s="55"/>
      <c r="AU364" s="55"/>
      <c r="AV364" s="55"/>
      <c r="AW364" s="55"/>
      <c r="AX364" s="55"/>
      <c r="AY364" s="55"/>
      <c r="AZ364" s="55"/>
      <c r="BA364" s="55"/>
      <c r="BB364" s="55"/>
      <c r="BC364" s="55"/>
      <c r="BD364" s="55"/>
      <c r="BE364" s="55"/>
      <c r="BF364" s="55"/>
      <c r="BG364" s="55"/>
      <c r="BH364" s="55"/>
      <c r="BI364" s="55"/>
      <c r="BJ364" s="55"/>
      <c r="BK364" s="55"/>
      <c r="BL364" s="55"/>
      <c r="BM364" s="55"/>
      <c r="BN364" s="55"/>
      <c r="BO364" s="55"/>
      <c r="BP364" s="55"/>
      <c r="BQ364" s="55"/>
      <c r="BR364" s="55"/>
      <c r="BS364" s="55"/>
      <c r="BT364" s="55"/>
      <c r="BU364" s="55"/>
      <c r="BV364" s="55"/>
      <c r="BW364" s="55"/>
      <c r="BX364" s="55"/>
      <c r="BY364" s="55"/>
      <c r="BZ364" s="55"/>
      <c r="CA364" s="55"/>
      <c r="CB364" s="55"/>
      <c r="CC364" s="55"/>
      <c r="CD364" s="55"/>
      <c r="CE364" s="55"/>
      <c r="CF364" s="55"/>
      <c r="CG364" s="55"/>
      <c r="CH364" s="55"/>
      <c r="CI364" s="55"/>
      <c r="CJ364" s="55"/>
      <c r="CK364" s="55"/>
      <c r="CL364" s="55"/>
      <c r="CM364" s="55"/>
      <c r="CN364" s="55"/>
      <c r="CO364" s="55"/>
      <c r="CP364" s="55"/>
      <c r="CQ364" s="55"/>
      <c r="CR364" s="55"/>
      <c r="CS364" s="55"/>
      <c r="CT364" s="55"/>
      <c r="CU364" s="55"/>
      <c r="CV364" s="55"/>
      <c r="CW364" s="55"/>
      <c r="CX364" s="55"/>
      <c r="CY364" s="55"/>
      <c r="CZ364" s="55"/>
      <c r="DA364" s="55"/>
      <c r="DB364" s="55"/>
      <c r="DC364" s="55"/>
      <c r="DD364" s="55"/>
      <c r="DE364" s="55"/>
      <c r="DF364" s="55"/>
      <c r="DG364" s="55"/>
      <c r="DH364" s="55"/>
      <c r="DI364" s="55"/>
      <c r="DJ364" s="55"/>
      <c r="DK364" s="55"/>
      <c r="DL364" s="55"/>
      <c r="DM364" s="55"/>
      <c r="DN364" s="55"/>
      <c r="DO364" s="55"/>
      <c r="DP364" s="55"/>
      <c r="DQ364" s="55"/>
      <c r="DR364" s="55"/>
      <c r="DS364" s="55"/>
      <c r="DT364" s="55"/>
      <c r="DU364" s="55"/>
      <c r="DV364" s="55"/>
      <c r="DW364" s="55"/>
      <c r="DX364" s="55"/>
      <c r="DY364" s="55"/>
      <c r="DZ364" s="55"/>
      <c r="EA364" s="55"/>
      <c r="EB364" s="55"/>
      <c r="EC364" s="55"/>
      <c r="ED364" s="55"/>
      <c r="EE364" s="55"/>
      <c r="EF364" s="55"/>
      <c r="EG364" s="55"/>
      <c r="EH364" s="55"/>
      <c r="EI364" s="55"/>
      <c r="EJ364" s="55"/>
      <c r="EK364" s="55"/>
      <c r="EL364" s="55"/>
      <c r="EM364" s="55"/>
      <c r="EN364" s="55"/>
      <c r="EO364" s="55"/>
      <c r="EP364" s="55"/>
      <c r="EQ364" s="55"/>
      <c r="ER364" s="55"/>
      <c r="ES364" s="55"/>
      <c r="ET364" s="55"/>
      <c r="EU364" s="55"/>
      <c r="EV364" s="55"/>
      <c r="EW364" s="55"/>
      <c r="EX364" s="55"/>
      <c r="EY364" s="55"/>
      <c r="EZ364" s="55"/>
      <c r="FA364" s="55"/>
      <c r="FB364" s="55"/>
      <c r="FC364" s="55"/>
      <c r="FD364" s="55"/>
      <c r="FE364" s="55"/>
      <c r="FF364" s="55"/>
      <c r="FG364" s="55"/>
      <c r="FH364" s="55"/>
      <c r="FI364" s="55"/>
      <c r="FJ364" s="55"/>
      <c r="FK364" s="55"/>
      <c r="FL364" s="55"/>
      <c r="FM364" s="55"/>
      <c r="FN364" s="55"/>
      <c r="FO364" s="55"/>
      <c r="FP364" s="55"/>
      <c r="FQ364" s="55"/>
      <c r="FR364" s="55"/>
      <c r="FS364" s="55"/>
      <c r="FT364" s="55"/>
      <c r="FU364" s="55"/>
      <c r="FV364" s="55"/>
      <c r="FW364" s="55"/>
      <c r="FX364" s="55"/>
      <c r="FY364" s="55"/>
      <c r="FZ364" s="55"/>
      <c r="GA364" s="55"/>
      <c r="GB364" s="55"/>
      <c r="GC364" s="55"/>
      <c r="GD364" s="55"/>
      <c r="GE364" s="55"/>
      <c r="GF364" s="55"/>
      <c r="GG364" s="55"/>
      <c r="GH364" s="55"/>
      <c r="GI364" s="55"/>
      <c r="GJ364" s="55"/>
      <c r="GK364" s="55"/>
      <c r="GL364" s="55"/>
      <c r="GM364" s="55"/>
      <c r="GN364" s="55"/>
      <c r="GO364" s="55"/>
      <c r="GP364" s="55"/>
      <c r="GQ364" s="55"/>
      <c r="GR364" s="55"/>
      <c r="GS364" s="55"/>
      <c r="GT364" s="55"/>
      <c r="GU364" s="55"/>
      <c r="GV364" s="55"/>
      <c r="GW364" s="55"/>
      <c r="GX364" s="55"/>
      <c r="GY364" s="55"/>
      <c r="GZ364" s="55"/>
      <c r="HA364" s="55"/>
      <c r="HB364" s="55"/>
      <c r="HC364" s="55"/>
      <c r="HD364" s="55"/>
      <c r="HE364" s="55"/>
      <c r="HF364" s="55"/>
      <c r="HG364" s="55"/>
      <c r="HH364" s="55"/>
      <c r="HI364" s="55"/>
      <c r="HJ364" s="55"/>
      <c r="HK364" s="55"/>
      <c r="HL364" s="55"/>
      <c r="HM364" s="55"/>
      <c r="HN364" s="55"/>
      <c r="HO364" s="55"/>
      <c r="HP364" s="55"/>
      <c r="HQ364" s="55"/>
      <c r="HR364" s="55"/>
      <c r="HS364" s="55"/>
      <c r="HT364" s="55"/>
      <c r="HU364" s="55"/>
      <c r="HV364" s="55"/>
      <c r="HW364" s="55"/>
      <c r="HX364" s="55"/>
      <c r="HY364" s="55"/>
      <c r="HZ364" s="55"/>
      <c r="IA364" s="55"/>
      <c r="IB364" s="55"/>
      <c r="IC364" s="55"/>
      <c r="ID364" s="55"/>
    </row>
    <row r="365" s="55" customFormat="1" ht="51" spans="1:32">
      <c r="A365" s="112">
        <v>97</v>
      </c>
      <c r="B365" s="112" t="s">
        <v>1434</v>
      </c>
      <c r="C365" s="64" t="s">
        <v>1435</v>
      </c>
      <c r="D365" s="65" t="s">
        <v>1436</v>
      </c>
      <c r="E365" s="77" t="s">
        <v>1437</v>
      </c>
      <c r="F365" s="77" t="s">
        <v>35</v>
      </c>
      <c r="G365" s="64" t="s">
        <v>110</v>
      </c>
      <c r="H365" s="78">
        <v>3084</v>
      </c>
      <c r="I365" s="78">
        <v>2776</v>
      </c>
      <c r="J365" s="83"/>
      <c r="K365" s="83"/>
      <c r="L365" s="83"/>
      <c r="M365" s="41">
        <v>2780</v>
      </c>
      <c r="N365" s="41">
        <v>2500</v>
      </c>
      <c r="O365" s="41">
        <v>2125</v>
      </c>
      <c r="P365" s="64" t="s">
        <v>37</v>
      </c>
      <c r="Q365" s="64" t="s">
        <v>35</v>
      </c>
      <c r="R365" s="64" t="s">
        <v>647</v>
      </c>
      <c r="S365" s="83" t="s">
        <v>400</v>
      </c>
      <c r="T365" s="77" t="s">
        <v>648</v>
      </c>
      <c r="U365" s="112"/>
      <c r="V365" s="112"/>
      <c r="W365" s="112"/>
      <c r="X365" s="64"/>
      <c r="Y365" s="112"/>
      <c r="Z365" s="112"/>
      <c r="AA365" s="110"/>
      <c r="AB365" s="50"/>
      <c r="AC365" s="50"/>
      <c r="AD365" s="50"/>
      <c r="AE365" s="112"/>
      <c r="AF365" s="60"/>
    </row>
    <row r="366" s="55" customFormat="1" ht="25.5" spans="1:32">
      <c r="A366" s="112" t="s">
        <v>95</v>
      </c>
      <c r="B366" s="112" t="s">
        <v>1438</v>
      </c>
      <c r="C366" s="64" t="s">
        <v>1439</v>
      </c>
      <c r="D366" s="65"/>
      <c r="E366" s="77"/>
      <c r="F366" s="77" t="s">
        <v>35</v>
      </c>
      <c r="G366" s="64" t="s">
        <v>110</v>
      </c>
      <c r="H366" s="78">
        <v>926</v>
      </c>
      <c r="I366" s="78">
        <v>833</v>
      </c>
      <c r="J366" s="83"/>
      <c r="K366" s="83"/>
      <c r="L366" s="83"/>
      <c r="M366" s="41">
        <v>835</v>
      </c>
      <c r="N366" s="41">
        <v>750</v>
      </c>
      <c r="O366" s="41">
        <v>640</v>
      </c>
      <c r="P366" s="64" t="s">
        <v>37</v>
      </c>
      <c r="Q366" s="64" t="s">
        <v>35</v>
      </c>
      <c r="R366" s="64" t="s">
        <v>647</v>
      </c>
      <c r="S366" s="83"/>
      <c r="T366" s="77" t="s">
        <v>186</v>
      </c>
      <c r="U366" s="112"/>
      <c r="V366" s="112"/>
      <c r="W366" s="112"/>
      <c r="X366" s="64"/>
      <c r="Y366" s="112"/>
      <c r="Z366" s="112"/>
      <c r="AA366" s="110"/>
      <c r="AB366" s="50"/>
      <c r="AC366" s="50"/>
      <c r="AD366" s="50"/>
      <c r="AE366" s="112"/>
      <c r="AF366" s="60"/>
    </row>
    <row r="367" s="52" customFormat="1" ht="51" spans="1:238">
      <c r="A367" s="112">
        <v>98</v>
      </c>
      <c r="B367" s="112" t="s">
        <v>1440</v>
      </c>
      <c r="C367" s="64" t="s">
        <v>1441</v>
      </c>
      <c r="D367" s="65" t="s">
        <v>1442</v>
      </c>
      <c r="E367" s="77" t="s">
        <v>1443</v>
      </c>
      <c r="F367" s="77" t="s">
        <v>35</v>
      </c>
      <c r="G367" s="64" t="s">
        <v>110</v>
      </c>
      <c r="H367" s="78">
        <v>190</v>
      </c>
      <c r="I367" s="78">
        <v>170</v>
      </c>
      <c r="J367" s="83">
        <v>187.5</v>
      </c>
      <c r="K367" s="83">
        <v>180</v>
      </c>
      <c r="L367" s="83">
        <v>153</v>
      </c>
      <c r="M367" s="89">
        <v>185</v>
      </c>
      <c r="N367" s="89">
        <v>168</v>
      </c>
      <c r="O367" s="89">
        <v>150</v>
      </c>
      <c r="P367" s="64" t="s">
        <v>621</v>
      </c>
      <c r="Q367" s="64" t="s">
        <v>35</v>
      </c>
      <c r="R367" s="64" t="s">
        <v>35</v>
      </c>
      <c r="S367" s="83" t="s">
        <v>131</v>
      </c>
      <c r="T367" s="77" t="s">
        <v>111</v>
      </c>
      <c r="U367" s="105" t="s">
        <v>1444</v>
      </c>
      <c r="V367" s="105">
        <v>330404003</v>
      </c>
      <c r="W367" s="106" t="s">
        <v>1445</v>
      </c>
      <c r="X367" s="105"/>
      <c r="Y367" s="105"/>
      <c r="Z367" s="105" t="s">
        <v>110</v>
      </c>
      <c r="AA367" s="110" t="s">
        <v>35</v>
      </c>
      <c r="AB367" s="50">
        <v>187.5</v>
      </c>
      <c r="AC367" s="50">
        <v>180</v>
      </c>
      <c r="AD367" s="50">
        <v>153</v>
      </c>
      <c r="AE367" s="112"/>
      <c r="AF367" s="60"/>
      <c r="AG367" s="55"/>
      <c r="AH367" s="55"/>
      <c r="AI367" s="55"/>
      <c r="AJ367" s="55"/>
      <c r="AK367" s="55"/>
      <c r="AL367" s="55"/>
      <c r="AM367" s="55"/>
      <c r="AN367" s="55"/>
      <c r="AO367" s="55"/>
      <c r="AP367" s="55"/>
      <c r="AQ367" s="55"/>
      <c r="AR367" s="55"/>
      <c r="AS367" s="55"/>
      <c r="AT367" s="55"/>
      <c r="AU367" s="55"/>
      <c r="AV367" s="55"/>
      <c r="AW367" s="55"/>
      <c r="AX367" s="55"/>
      <c r="AY367" s="55"/>
      <c r="AZ367" s="55"/>
      <c r="BA367" s="55"/>
      <c r="BB367" s="55"/>
      <c r="BC367" s="55"/>
      <c r="BD367" s="55"/>
      <c r="BE367" s="55"/>
      <c r="BF367" s="55"/>
      <c r="BG367" s="55"/>
      <c r="BH367" s="55"/>
      <c r="BI367" s="55"/>
      <c r="BJ367" s="55"/>
      <c r="BK367" s="55"/>
      <c r="BL367" s="55"/>
      <c r="BM367" s="55"/>
      <c r="BN367" s="55"/>
      <c r="BO367" s="55"/>
      <c r="BP367" s="55"/>
      <c r="BQ367" s="55"/>
      <c r="BR367" s="55"/>
      <c r="BS367" s="55"/>
      <c r="BT367" s="55"/>
      <c r="BU367" s="55"/>
      <c r="BV367" s="55"/>
      <c r="BW367" s="55"/>
      <c r="BX367" s="55"/>
      <c r="BY367" s="55"/>
      <c r="BZ367" s="55"/>
      <c r="CA367" s="55"/>
      <c r="CB367" s="55"/>
      <c r="CC367" s="55"/>
      <c r="CD367" s="55"/>
      <c r="CE367" s="55"/>
      <c r="CF367" s="55"/>
      <c r="CG367" s="55"/>
      <c r="CH367" s="55"/>
      <c r="CI367" s="55"/>
      <c r="CJ367" s="55"/>
      <c r="CK367" s="55"/>
      <c r="CL367" s="55"/>
      <c r="CM367" s="55"/>
      <c r="CN367" s="55"/>
      <c r="CO367" s="55"/>
      <c r="CP367" s="55"/>
      <c r="CQ367" s="55"/>
      <c r="CR367" s="55"/>
      <c r="CS367" s="55"/>
      <c r="CT367" s="55"/>
      <c r="CU367" s="55"/>
      <c r="CV367" s="55"/>
      <c r="CW367" s="55"/>
      <c r="CX367" s="55"/>
      <c r="CY367" s="55"/>
      <c r="CZ367" s="55"/>
      <c r="DA367" s="55"/>
      <c r="DB367" s="55"/>
      <c r="DC367" s="55"/>
      <c r="DD367" s="55"/>
      <c r="DE367" s="55"/>
      <c r="DF367" s="55"/>
      <c r="DG367" s="55"/>
      <c r="DH367" s="55"/>
      <c r="DI367" s="55"/>
      <c r="DJ367" s="55"/>
      <c r="DK367" s="55"/>
      <c r="DL367" s="55"/>
      <c r="DM367" s="55"/>
      <c r="DN367" s="55"/>
      <c r="DO367" s="55"/>
      <c r="DP367" s="55"/>
      <c r="DQ367" s="55"/>
      <c r="DR367" s="55"/>
      <c r="DS367" s="55"/>
      <c r="DT367" s="55"/>
      <c r="DU367" s="55"/>
      <c r="DV367" s="55"/>
      <c r="DW367" s="55"/>
      <c r="DX367" s="55"/>
      <c r="DY367" s="55"/>
      <c r="DZ367" s="55"/>
      <c r="EA367" s="55"/>
      <c r="EB367" s="55"/>
      <c r="EC367" s="55"/>
      <c r="ED367" s="55"/>
      <c r="EE367" s="55"/>
      <c r="EF367" s="55"/>
      <c r="EG367" s="55"/>
      <c r="EH367" s="55"/>
      <c r="EI367" s="55"/>
      <c r="EJ367" s="55"/>
      <c r="EK367" s="55"/>
      <c r="EL367" s="55"/>
      <c r="EM367" s="55"/>
      <c r="EN367" s="55"/>
      <c r="EO367" s="55"/>
      <c r="EP367" s="55"/>
      <c r="EQ367" s="55"/>
      <c r="ER367" s="55"/>
      <c r="ES367" s="55"/>
      <c r="ET367" s="55"/>
      <c r="EU367" s="55"/>
      <c r="EV367" s="55"/>
      <c r="EW367" s="55"/>
      <c r="EX367" s="55"/>
      <c r="EY367" s="55"/>
      <c r="EZ367" s="55"/>
      <c r="FA367" s="55"/>
      <c r="FB367" s="55"/>
      <c r="FC367" s="55"/>
      <c r="FD367" s="55"/>
      <c r="FE367" s="55"/>
      <c r="FF367" s="55"/>
      <c r="FG367" s="55"/>
      <c r="FH367" s="55"/>
      <c r="FI367" s="55"/>
      <c r="FJ367" s="55"/>
      <c r="FK367" s="55"/>
      <c r="FL367" s="55"/>
      <c r="FM367" s="55"/>
      <c r="FN367" s="55"/>
      <c r="FO367" s="55"/>
      <c r="FP367" s="55"/>
      <c r="FQ367" s="55"/>
      <c r="FR367" s="55"/>
      <c r="FS367" s="55"/>
      <c r="FT367" s="55"/>
      <c r="FU367" s="55"/>
      <c r="FV367" s="55"/>
      <c r="FW367" s="55"/>
      <c r="FX367" s="55"/>
      <c r="FY367" s="55"/>
      <c r="FZ367" s="55"/>
      <c r="GA367" s="55"/>
      <c r="GB367" s="55"/>
      <c r="GC367" s="55"/>
      <c r="GD367" s="55"/>
      <c r="GE367" s="55"/>
      <c r="GF367" s="55"/>
      <c r="GG367" s="55"/>
      <c r="GH367" s="55"/>
      <c r="GI367" s="55"/>
      <c r="GJ367" s="55"/>
      <c r="GK367" s="55"/>
      <c r="GL367" s="55"/>
      <c r="GM367" s="55"/>
      <c r="GN367" s="55"/>
      <c r="GO367" s="55"/>
      <c r="GP367" s="55"/>
      <c r="GQ367" s="55"/>
      <c r="GR367" s="55"/>
      <c r="GS367" s="55"/>
      <c r="GT367" s="55"/>
      <c r="GU367" s="55"/>
      <c r="GV367" s="55"/>
      <c r="GW367" s="55"/>
      <c r="GX367" s="55"/>
      <c r="GY367" s="55"/>
      <c r="GZ367" s="55"/>
      <c r="HA367" s="55"/>
      <c r="HB367" s="55"/>
      <c r="HC367" s="55"/>
      <c r="HD367" s="55"/>
      <c r="HE367" s="55"/>
      <c r="HF367" s="55"/>
      <c r="HG367" s="55"/>
      <c r="HH367" s="55"/>
      <c r="HI367" s="55"/>
      <c r="HJ367" s="55"/>
      <c r="HK367" s="55"/>
      <c r="HL367" s="55"/>
      <c r="HM367" s="55"/>
      <c r="HN367" s="55"/>
      <c r="HO367" s="55"/>
      <c r="HP367" s="55"/>
      <c r="HQ367" s="55"/>
      <c r="HR367" s="55"/>
      <c r="HS367" s="55"/>
      <c r="HT367" s="55"/>
      <c r="HU367" s="55"/>
      <c r="HV367" s="55"/>
      <c r="HW367" s="55"/>
      <c r="HX367" s="55"/>
      <c r="HY367" s="55"/>
      <c r="HZ367" s="55"/>
      <c r="IA367" s="55"/>
      <c r="IB367" s="55"/>
      <c r="IC367" s="55"/>
      <c r="ID367" s="55"/>
    </row>
    <row r="368" s="52" customFormat="1" ht="25.5" spans="1:238">
      <c r="A368" s="112" t="s">
        <v>95</v>
      </c>
      <c r="B368" s="112" t="s">
        <v>1446</v>
      </c>
      <c r="C368" s="64" t="s">
        <v>1447</v>
      </c>
      <c r="D368" s="65"/>
      <c r="E368" s="77"/>
      <c r="F368" s="77" t="s">
        <v>35</v>
      </c>
      <c r="G368" s="64" t="s">
        <v>110</v>
      </c>
      <c r="H368" s="78">
        <v>57</v>
      </c>
      <c r="I368" s="78">
        <v>51</v>
      </c>
      <c r="J368" s="83">
        <v>57.5</v>
      </c>
      <c r="K368" s="83">
        <v>55</v>
      </c>
      <c r="L368" s="83">
        <v>47</v>
      </c>
      <c r="M368" s="94">
        <v>56</v>
      </c>
      <c r="N368" s="94">
        <v>50</v>
      </c>
      <c r="O368" s="94">
        <v>45</v>
      </c>
      <c r="P368" s="64" t="s">
        <v>621</v>
      </c>
      <c r="Q368" s="64" t="s">
        <v>35</v>
      </c>
      <c r="R368" s="64" t="s">
        <v>35</v>
      </c>
      <c r="S368" s="83"/>
      <c r="T368" s="77" t="s">
        <v>186</v>
      </c>
      <c r="U368" s="105" t="s">
        <v>1448</v>
      </c>
      <c r="V368" s="105">
        <v>33040400301</v>
      </c>
      <c r="W368" s="106" t="s">
        <v>1449</v>
      </c>
      <c r="X368" s="105"/>
      <c r="Y368" s="105"/>
      <c r="Z368" s="105" t="s">
        <v>110</v>
      </c>
      <c r="AA368" s="110" t="s">
        <v>35</v>
      </c>
      <c r="AB368" s="50">
        <v>245</v>
      </c>
      <c r="AC368" s="50">
        <v>235</v>
      </c>
      <c r="AD368" s="50">
        <v>200</v>
      </c>
      <c r="AE368" s="112"/>
      <c r="AF368" s="60"/>
      <c r="AG368" s="55"/>
      <c r="AH368" s="55"/>
      <c r="AI368" s="55"/>
      <c r="AJ368" s="55"/>
      <c r="AK368" s="55"/>
      <c r="AL368" s="55"/>
      <c r="AM368" s="55"/>
      <c r="AN368" s="55"/>
      <c r="AO368" s="55"/>
      <c r="AP368" s="55"/>
      <c r="AQ368" s="55"/>
      <c r="AR368" s="55"/>
      <c r="AS368" s="55"/>
      <c r="AT368" s="55"/>
      <c r="AU368" s="55"/>
      <c r="AV368" s="55"/>
      <c r="AW368" s="55"/>
      <c r="AX368" s="55"/>
      <c r="AY368" s="55"/>
      <c r="AZ368" s="55"/>
      <c r="BA368" s="55"/>
      <c r="BB368" s="55"/>
      <c r="BC368" s="55"/>
      <c r="BD368" s="55"/>
      <c r="BE368" s="55"/>
      <c r="BF368" s="55"/>
      <c r="BG368" s="55"/>
      <c r="BH368" s="55"/>
      <c r="BI368" s="55"/>
      <c r="BJ368" s="55"/>
      <c r="BK368" s="55"/>
      <c r="BL368" s="55"/>
      <c r="BM368" s="55"/>
      <c r="BN368" s="55"/>
      <c r="BO368" s="55"/>
      <c r="BP368" s="55"/>
      <c r="BQ368" s="55"/>
      <c r="BR368" s="55"/>
      <c r="BS368" s="55"/>
      <c r="BT368" s="55"/>
      <c r="BU368" s="55"/>
      <c r="BV368" s="55"/>
      <c r="BW368" s="55"/>
      <c r="BX368" s="55"/>
      <c r="BY368" s="55"/>
      <c r="BZ368" s="55"/>
      <c r="CA368" s="55"/>
      <c r="CB368" s="55"/>
      <c r="CC368" s="55"/>
      <c r="CD368" s="55"/>
      <c r="CE368" s="55"/>
      <c r="CF368" s="55"/>
      <c r="CG368" s="55"/>
      <c r="CH368" s="55"/>
      <c r="CI368" s="55"/>
      <c r="CJ368" s="55"/>
      <c r="CK368" s="55"/>
      <c r="CL368" s="55"/>
      <c r="CM368" s="55"/>
      <c r="CN368" s="55"/>
      <c r="CO368" s="55"/>
      <c r="CP368" s="55"/>
      <c r="CQ368" s="55"/>
      <c r="CR368" s="55"/>
      <c r="CS368" s="55"/>
      <c r="CT368" s="55"/>
      <c r="CU368" s="55"/>
      <c r="CV368" s="55"/>
      <c r="CW368" s="55"/>
      <c r="CX368" s="55"/>
      <c r="CY368" s="55"/>
      <c r="CZ368" s="55"/>
      <c r="DA368" s="55"/>
      <c r="DB368" s="55"/>
      <c r="DC368" s="55"/>
      <c r="DD368" s="55"/>
      <c r="DE368" s="55"/>
      <c r="DF368" s="55"/>
      <c r="DG368" s="55"/>
      <c r="DH368" s="55"/>
      <c r="DI368" s="55"/>
      <c r="DJ368" s="55"/>
      <c r="DK368" s="55"/>
      <c r="DL368" s="55"/>
      <c r="DM368" s="55"/>
      <c r="DN368" s="55"/>
      <c r="DO368" s="55"/>
      <c r="DP368" s="55"/>
      <c r="DQ368" s="55"/>
      <c r="DR368" s="55"/>
      <c r="DS368" s="55"/>
      <c r="DT368" s="55"/>
      <c r="DU368" s="55"/>
      <c r="DV368" s="55"/>
      <c r="DW368" s="55"/>
      <c r="DX368" s="55"/>
      <c r="DY368" s="55"/>
      <c r="DZ368" s="55"/>
      <c r="EA368" s="55"/>
      <c r="EB368" s="55"/>
      <c r="EC368" s="55"/>
      <c r="ED368" s="55"/>
      <c r="EE368" s="55"/>
      <c r="EF368" s="55"/>
      <c r="EG368" s="55"/>
      <c r="EH368" s="55"/>
      <c r="EI368" s="55"/>
      <c r="EJ368" s="55"/>
      <c r="EK368" s="55"/>
      <c r="EL368" s="55"/>
      <c r="EM368" s="55"/>
      <c r="EN368" s="55"/>
      <c r="EO368" s="55"/>
      <c r="EP368" s="55"/>
      <c r="EQ368" s="55"/>
      <c r="ER368" s="55"/>
      <c r="ES368" s="55"/>
      <c r="ET368" s="55"/>
      <c r="EU368" s="55"/>
      <c r="EV368" s="55"/>
      <c r="EW368" s="55"/>
      <c r="EX368" s="55"/>
      <c r="EY368" s="55"/>
      <c r="EZ368" s="55"/>
      <c r="FA368" s="55"/>
      <c r="FB368" s="55"/>
      <c r="FC368" s="55"/>
      <c r="FD368" s="55"/>
      <c r="FE368" s="55"/>
      <c r="FF368" s="55"/>
      <c r="FG368" s="55"/>
      <c r="FH368" s="55"/>
      <c r="FI368" s="55"/>
      <c r="FJ368" s="55"/>
      <c r="FK368" s="55"/>
      <c r="FL368" s="55"/>
      <c r="FM368" s="55"/>
      <c r="FN368" s="55"/>
      <c r="FO368" s="55"/>
      <c r="FP368" s="55"/>
      <c r="FQ368" s="55"/>
      <c r="FR368" s="55"/>
      <c r="FS368" s="55"/>
      <c r="FT368" s="55"/>
      <c r="FU368" s="55"/>
      <c r="FV368" s="55"/>
      <c r="FW368" s="55"/>
      <c r="FX368" s="55"/>
      <c r="FY368" s="55"/>
      <c r="FZ368" s="55"/>
      <c r="GA368" s="55"/>
      <c r="GB368" s="55"/>
      <c r="GC368" s="55"/>
      <c r="GD368" s="55"/>
      <c r="GE368" s="55"/>
      <c r="GF368" s="55"/>
      <c r="GG368" s="55"/>
      <c r="GH368" s="55"/>
      <c r="GI368" s="55"/>
      <c r="GJ368" s="55"/>
      <c r="GK368" s="55"/>
      <c r="GL368" s="55"/>
      <c r="GM368" s="55"/>
      <c r="GN368" s="55"/>
      <c r="GO368" s="55"/>
      <c r="GP368" s="55"/>
      <c r="GQ368" s="55"/>
      <c r="GR368" s="55"/>
      <c r="GS368" s="55"/>
      <c r="GT368" s="55"/>
      <c r="GU368" s="55"/>
      <c r="GV368" s="55"/>
      <c r="GW368" s="55"/>
      <c r="GX368" s="55"/>
      <c r="GY368" s="55"/>
      <c r="GZ368" s="55"/>
      <c r="HA368" s="55"/>
      <c r="HB368" s="55"/>
      <c r="HC368" s="55"/>
      <c r="HD368" s="55"/>
      <c r="HE368" s="55"/>
      <c r="HF368" s="55"/>
      <c r="HG368" s="55"/>
      <c r="HH368" s="55"/>
      <c r="HI368" s="55"/>
      <c r="HJ368" s="55"/>
      <c r="HK368" s="55"/>
      <c r="HL368" s="55"/>
      <c r="HM368" s="55"/>
      <c r="HN368" s="55"/>
      <c r="HO368" s="55"/>
      <c r="HP368" s="55"/>
      <c r="HQ368" s="55"/>
      <c r="HR368" s="55"/>
      <c r="HS368" s="55"/>
      <c r="HT368" s="55"/>
      <c r="HU368" s="55"/>
      <c r="HV368" s="55"/>
      <c r="HW368" s="55"/>
      <c r="HX368" s="55"/>
      <c r="HY368" s="55"/>
      <c r="HZ368" s="55"/>
      <c r="IA368" s="55"/>
      <c r="IB368" s="55"/>
      <c r="IC368" s="55"/>
      <c r="ID368" s="55"/>
    </row>
    <row r="369" s="52" customFormat="1" ht="51" spans="1:238">
      <c r="A369" s="112">
        <v>99</v>
      </c>
      <c r="B369" s="112" t="s">
        <v>1450</v>
      </c>
      <c r="C369" s="64" t="s">
        <v>1451</v>
      </c>
      <c r="D369" s="65" t="s">
        <v>1452</v>
      </c>
      <c r="E369" s="77" t="s">
        <v>1453</v>
      </c>
      <c r="F369" s="77" t="s">
        <v>35</v>
      </c>
      <c r="G369" s="64" t="s">
        <v>110</v>
      </c>
      <c r="H369" s="78">
        <v>405</v>
      </c>
      <c r="I369" s="78">
        <v>365</v>
      </c>
      <c r="J369" s="83">
        <v>375</v>
      </c>
      <c r="K369" s="83">
        <v>360</v>
      </c>
      <c r="L369" s="83">
        <v>306</v>
      </c>
      <c r="M369" s="41">
        <v>375</v>
      </c>
      <c r="N369" s="41">
        <v>360</v>
      </c>
      <c r="O369" s="41">
        <v>306</v>
      </c>
      <c r="P369" s="64" t="s">
        <v>37</v>
      </c>
      <c r="Q369" s="64" t="s">
        <v>35</v>
      </c>
      <c r="R369" s="64" t="s">
        <v>35</v>
      </c>
      <c r="S369" s="83" t="s">
        <v>381</v>
      </c>
      <c r="T369" s="77" t="s">
        <v>381</v>
      </c>
      <c r="U369" s="105" t="s">
        <v>1454</v>
      </c>
      <c r="V369" s="105">
        <v>330404006</v>
      </c>
      <c r="W369" s="106" t="s">
        <v>1455</v>
      </c>
      <c r="X369" s="105"/>
      <c r="Y369" s="105"/>
      <c r="Z369" s="105" t="s">
        <v>36</v>
      </c>
      <c r="AA369" s="110" t="s">
        <v>35</v>
      </c>
      <c r="AB369" s="50">
        <v>375</v>
      </c>
      <c r="AC369" s="50">
        <v>360</v>
      </c>
      <c r="AD369" s="50">
        <v>306</v>
      </c>
      <c r="AE369" s="112" t="s">
        <v>37</v>
      </c>
      <c r="AF369" s="60"/>
      <c r="AG369" s="55"/>
      <c r="AH369" s="55"/>
      <c r="AI369" s="55"/>
      <c r="AJ369" s="55"/>
      <c r="AK369" s="55"/>
      <c r="AL369" s="55"/>
      <c r="AM369" s="55"/>
      <c r="AN369" s="55"/>
      <c r="AO369" s="55"/>
      <c r="AP369" s="55"/>
      <c r="AQ369" s="55"/>
      <c r="AR369" s="55"/>
      <c r="AS369" s="55"/>
      <c r="AT369" s="55"/>
      <c r="AU369" s="55"/>
      <c r="AV369" s="55"/>
      <c r="AW369" s="55"/>
      <c r="AX369" s="55"/>
      <c r="AY369" s="55"/>
      <c r="AZ369" s="55"/>
      <c r="BA369" s="55"/>
      <c r="BB369" s="55"/>
      <c r="BC369" s="55"/>
      <c r="BD369" s="55"/>
      <c r="BE369" s="55"/>
      <c r="BF369" s="55"/>
      <c r="BG369" s="55"/>
      <c r="BH369" s="55"/>
      <c r="BI369" s="55"/>
      <c r="BJ369" s="55"/>
      <c r="BK369" s="55"/>
      <c r="BL369" s="55"/>
      <c r="BM369" s="55"/>
      <c r="BN369" s="55"/>
      <c r="BO369" s="55"/>
      <c r="BP369" s="55"/>
      <c r="BQ369" s="55"/>
      <c r="BR369" s="55"/>
      <c r="BS369" s="55"/>
      <c r="BT369" s="55"/>
      <c r="BU369" s="55"/>
      <c r="BV369" s="55"/>
      <c r="BW369" s="55"/>
      <c r="BX369" s="55"/>
      <c r="BY369" s="55"/>
      <c r="BZ369" s="55"/>
      <c r="CA369" s="55"/>
      <c r="CB369" s="55"/>
      <c r="CC369" s="55"/>
      <c r="CD369" s="55"/>
      <c r="CE369" s="55"/>
      <c r="CF369" s="55"/>
      <c r="CG369" s="55"/>
      <c r="CH369" s="55"/>
      <c r="CI369" s="55"/>
      <c r="CJ369" s="55"/>
      <c r="CK369" s="55"/>
      <c r="CL369" s="55"/>
      <c r="CM369" s="55"/>
      <c r="CN369" s="55"/>
      <c r="CO369" s="55"/>
      <c r="CP369" s="55"/>
      <c r="CQ369" s="55"/>
      <c r="CR369" s="55"/>
      <c r="CS369" s="55"/>
      <c r="CT369" s="55"/>
      <c r="CU369" s="55"/>
      <c r="CV369" s="55"/>
      <c r="CW369" s="55"/>
      <c r="CX369" s="55"/>
      <c r="CY369" s="55"/>
      <c r="CZ369" s="55"/>
      <c r="DA369" s="55"/>
      <c r="DB369" s="55"/>
      <c r="DC369" s="55"/>
      <c r="DD369" s="55"/>
      <c r="DE369" s="55"/>
      <c r="DF369" s="55"/>
      <c r="DG369" s="55"/>
      <c r="DH369" s="55"/>
      <c r="DI369" s="55"/>
      <c r="DJ369" s="55"/>
      <c r="DK369" s="55"/>
      <c r="DL369" s="55"/>
      <c r="DM369" s="55"/>
      <c r="DN369" s="55"/>
      <c r="DO369" s="55"/>
      <c r="DP369" s="55"/>
      <c r="DQ369" s="55"/>
      <c r="DR369" s="55"/>
      <c r="DS369" s="55"/>
      <c r="DT369" s="55"/>
      <c r="DU369" s="55"/>
      <c r="DV369" s="55"/>
      <c r="DW369" s="55"/>
      <c r="DX369" s="55"/>
      <c r="DY369" s="55"/>
      <c r="DZ369" s="55"/>
      <c r="EA369" s="55"/>
      <c r="EB369" s="55"/>
      <c r="EC369" s="55"/>
      <c r="ED369" s="55"/>
      <c r="EE369" s="55"/>
      <c r="EF369" s="55"/>
      <c r="EG369" s="55"/>
      <c r="EH369" s="55"/>
      <c r="EI369" s="55"/>
      <c r="EJ369" s="55"/>
      <c r="EK369" s="55"/>
      <c r="EL369" s="55"/>
      <c r="EM369" s="55"/>
      <c r="EN369" s="55"/>
      <c r="EO369" s="55"/>
      <c r="EP369" s="55"/>
      <c r="EQ369" s="55"/>
      <c r="ER369" s="55"/>
      <c r="ES369" s="55"/>
      <c r="ET369" s="55"/>
      <c r="EU369" s="55"/>
      <c r="EV369" s="55"/>
      <c r="EW369" s="55"/>
      <c r="EX369" s="55"/>
      <c r="EY369" s="55"/>
      <c r="EZ369" s="55"/>
      <c r="FA369" s="55"/>
      <c r="FB369" s="55"/>
      <c r="FC369" s="55"/>
      <c r="FD369" s="55"/>
      <c r="FE369" s="55"/>
      <c r="FF369" s="55"/>
      <c r="FG369" s="55"/>
      <c r="FH369" s="55"/>
      <c r="FI369" s="55"/>
      <c r="FJ369" s="55"/>
      <c r="FK369" s="55"/>
      <c r="FL369" s="55"/>
      <c r="FM369" s="55"/>
      <c r="FN369" s="55"/>
      <c r="FO369" s="55"/>
      <c r="FP369" s="55"/>
      <c r="FQ369" s="55"/>
      <c r="FR369" s="55"/>
      <c r="FS369" s="55"/>
      <c r="FT369" s="55"/>
      <c r="FU369" s="55"/>
      <c r="FV369" s="55"/>
      <c r="FW369" s="55"/>
      <c r="FX369" s="55"/>
      <c r="FY369" s="55"/>
      <c r="FZ369" s="55"/>
      <c r="GA369" s="55"/>
      <c r="GB369" s="55"/>
      <c r="GC369" s="55"/>
      <c r="GD369" s="55"/>
      <c r="GE369" s="55"/>
      <c r="GF369" s="55"/>
      <c r="GG369" s="55"/>
      <c r="GH369" s="55"/>
      <c r="GI369" s="55"/>
      <c r="GJ369" s="55"/>
      <c r="GK369" s="55"/>
      <c r="GL369" s="55"/>
      <c r="GM369" s="55"/>
      <c r="GN369" s="55"/>
      <c r="GO369" s="55"/>
      <c r="GP369" s="55"/>
      <c r="GQ369" s="55"/>
      <c r="GR369" s="55"/>
      <c r="GS369" s="55"/>
      <c r="GT369" s="55"/>
      <c r="GU369" s="55"/>
      <c r="GV369" s="55"/>
      <c r="GW369" s="55"/>
      <c r="GX369" s="55"/>
      <c r="GY369" s="55"/>
      <c r="GZ369" s="55"/>
      <c r="HA369" s="55"/>
      <c r="HB369" s="55"/>
      <c r="HC369" s="55"/>
      <c r="HD369" s="55"/>
      <c r="HE369" s="55"/>
      <c r="HF369" s="55"/>
      <c r="HG369" s="55"/>
      <c r="HH369" s="55"/>
      <c r="HI369" s="55"/>
      <c r="HJ369" s="55"/>
      <c r="HK369" s="55"/>
      <c r="HL369" s="55"/>
      <c r="HM369" s="55"/>
      <c r="HN369" s="55"/>
      <c r="HO369" s="55"/>
      <c r="HP369" s="55"/>
      <c r="HQ369" s="55"/>
      <c r="HR369" s="55"/>
      <c r="HS369" s="55"/>
      <c r="HT369" s="55"/>
      <c r="HU369" s="55"/>
      <c r="HV369" s="55"/>
      <c r="HW369" s="55"/>
      <c r="HX369" s="55"/>
      <c r="HY369" s="55"/>
      <c r="HZ369" s="55"/>
      <c r="IA369" s="55"/>
      <c r="IB369" s="55"/>
      <c r="IC369" s="55"/>
      <c r="ID369" s="55"/>
    </row>
    <row r="370" s="52" customFormat="1" ht="33" customHeight="1" spans="1:238">
      <c r="A370" s="112" t="s">
        <v>95</v>
      </c>
      <c r="B370" s="112" t="s">
        <v>1456</v>
      </c>
      <c r="C370" s="64" t="s">
        <v>1457</v>
      </c>
      <c r="D370" s="65"/>
      <c r="E370" s="77"/>
      <c r="F370" s="77" t="s">
        <v>35</v>
      </c>
      <c r="G370" s="64" t="s">
        <v>110</v>
      </c>
      <c r="H370" s="78">
        <v>122</v>
      </c>
      <c r="I370" s="78">
        <v>110</v>
      </c>
      <c r="J370" s="83">
        <v>115</v>
      </c>
      <c r="K370" s="83">
        <v>110</v>
      </c>
      <c r="L370" s="83">
        <v>94</v>
      </c>
      <c r="M370" s="41">
        <v>115</v>
      </c>
      <c r="N370" s="41">
        <v>110</v>
      </c>
      <c r="O370" s="94">
        <v>90</v>
      </c>
      <c r="P370" s="64" t="s">
        <v>37</v>
      </c>
      <c r="Q370" s="64" t="s">
        <v>35</v>
      </c>
      <c r="R370" s="64" t="s">
        <v>35</v>
      </c>
      <c r="S370" s="83"/>
      <c r="T370" s="77" t="s">
        <v>186</v>
      </c>
      <c r="U370" s="105" t="s">
        <v>1458</v>
      </c>
      <c r="V370" s="105">
        <v>33040400601</v>
      </c>
      <c r="W370" s="106" t="s">
        <v>1459</v>
      </c>
      <c r="X370" s="105"/>
      <c r="Y370" s="105"/>
      <c r="Z370" s="105" t="s">
        <v>36</v>
      </c>
      <c r="AA370" s="110" t="s">
        <v>35</v>
      </c>
      <c r="AB370" s="50">
        <v>490</v>
      </c>
      <c r="AC370" s="50">
        <v>470</v>
      </c>
      <c r="AD370" s="50">
        <v>400</v>
      </c>
      <c r="AE370" s="112" t="s">
        <v>37</v>
      </c>
      <c r="AF370" s="60"/>
      <c r="AG370" s="55"/>
      <c r="AH370" s="55"/>
      <c r="AI370" s="55"/>
      <c r="AJ370" s="55"/>
      <c r="AK370" s="55"/>
      <c r="AL370" s="55"/>
      <c r="AM370" s="55"/>
      <c r="AN370" s="55"/>
      <c r="AO370" s="55"/>
      <c r="AP370" s="55"/>
      <c r="AQ370" s="55"/>
      <c r="AR370" s="55"/>
      <c r="AS370" s="55"/>
      <c r="AT370" s="55"/>
      <c r="AU370" s="55"/>
      <c r="AV370" s="55"/>
      <c r="AW370" s="55"/>
      <c r="AX370" s="55"/>
      <c r="AY370" s="55"/>
      <c r="AZ370" s="55"/>
      <c r="BA370" s="55"/>
      <c r="BB370" s="55"/>
      <c r="BC370" s="55"/>
      <c r="BD370" s="55"/>
      <c r="BE370" s="55"/>
      <c r="BF370" s="55"/>
      <c r="BG370" s="55"/>
      <c r="BH370" s="55"/>
      <c r="BI370" s="55"/>
      <c r="BJ370" s="55"/>
      <c r="BK370" s="55"/>
      <c r="BL370" s="55"/>
      <c r="BM370" s="55"/>
      <c r="BN370" s="55"/>
      <c r="BO370" s="55"/>
      <c r="BP370" s="55"/>
      <c r="BQ370" s="55"/>
      <c r="BR370" s="55"/>
      <c r="BS370" s="55"/>
      <c r="BT370" s="55"/>
      <c r="BU370" s="55"/>
      <c r="BV370" s="55"/>
      <c r="BW370" s="55"/>
      <c r="BX370" s="55"/>
      <c r="BY370" s="55"/>
      <c r="BZ370" s="55"/>
      <c r="CA370" s="55"/>
      <c r="CB370" s="55"/>
      <c r="CC370" s="55"/>
      <c r="CD370" s="55"/>
      <c r="CE370" s="55"/>
      <c r="CF370" s="55"/>
      <c r="CG370" s="55"/>
      <c r="CH370" s="55"/>
      <c r="CI370" s="55"/>
      <c r="CJ370" s="55"/>
      <c r="CK370" s="55"/>
      <c r="CL370" s="55"/>
      <c r="CM370" s="55"/>
      <c r="CN370" s="55"/>
      <c r="CO370" s="55"/>
      <c r="CP370" s="55"/>
      <c r="CQ370" s="55"/>
      <c r="CR370" s="55"/>
      <c r="CS370" s="55"/>
      <c r="CT370" s="55"/>
      <c r="CU370" s="55"/>
      <c r="CV370" s="55"/>
      <c r="CW370" s="55"/>
      <c r="CX370" s="55"/>
      <c r="CY370" s="55"/>
      <c r="CZ370" s="55"/>
      <c r="DA370" s="55"/>
      <c r="DB370" s="55"/>
      <c r="DC370" s="55"/>
      <c r="DD370" s="55"/>
      <c r="DE370" s="55"/>
      <c r="DF370" s="55"/>
      <c r="DG370" s="55"/>
      <c r="DH370" s="55"/>
      <c r="DI370" s="55"/>
      <c r="DJ370" s="55"/>
      <c r="DK370" s="55"/>
      <c r="DL370" s="55"/>
      <c r="DM370" s="55"/>
      <c r="DN370" s="55"/>
      <c r="DO370" s="55"/>
      <c r="DP370" s="55"/>
      <c r="DQ370" s="55"/>
      <c r="DR370" s="55"/>
      <c r="DS370" s="55"/>
      <c r="DT370" s="55"/>
      <c r="DU370" s="55"/>
      <c r="DV370" s="55"/>
      <c r="DW370" s="55"/>
      <c r="DX370" s="55"/>
      <c r="DY370" s="55"/>
      <c r="DZ370" s="55"/>
      <c r="EA370" s="55"/>
      <c r="EB370" s="55"/>
      <c r="EC370" s="55"/>
      <c r="ED370" s="55"/>
      <c r="EE370" s="55"/>
      <c r="EF370" s="55"/>
      <c r="EG370" s="55"/>
      <c r="EH370" s="55"/>
      <c r="EI370" s="55"/>
      <c r="EJ370" s="55"/>
      <c r="EK370" s="55"/>
      <c r="EL370" s="55"/>
      <c r="EM370" s="55"/>
      <c r="EN370" s="55"/>
      <c r="EO370" s="55"/>
      <c r="EP370" s="55"/>
      <c r="EQ370" s="55"/>
      <c r="ER370" s="55"/>
      <c r="ES370" s="55"/>
      <c r="ET370" s="55"/>
      <c r="EU370" s="55"/>
      <c r="EV370" s="55"/>
      <c r="EW370" s="55"/>
      <c r="EX370" s="55"/>
      <c r="EY370" s="55"/>
      <c r="EZ370" s="55"/>
      <c r="FA370" s="55"/>
      <c r="FB370" s="55"/>
      <c r="FC370" s="55"/>
      <c r="FD370" s="55"/>
      <c r="FE370" s="55"/>
      <c r="FF370" s="55"/>
      <c r="FG370" s="55"/>
      <c r="FH370" s="55"/>
      <c r="FI370" s="55"/>
      <c r="FJ370" s="55"/>
      <c r="FK370" s="55"/>
      <c r="FL370" s="55"/>
      <c r="FM370" s="55"/>
      <c r="FN370" s="55"/>
      <c r="FO370" s="55"/>
      <c r="FP370" s="55"/>
      <c r="FQ370" s="55"/>
      <c r="FR370" s="55"/>
      <c r="FS370" s="55"/>
      <c r="FT370" s="55"/>
      <c r="FU370" s="55"/>
      <c r="FV370" s="55"/>
      <c r="FW370" s="55"/>
      <c r="FX370" s="55"/>
      <c r="FY370" s="55"/>
      <c r="FZ370" s="55"/>
      <c r="GA370" s="55"/>
      <c r="GB370" s="55"/>
      <c r="GC370" s="55"/>
      <c r="GD370" s="55"/>
      <c r="GE370" s="55"/>
      <c r="GF370" s="55"/>
      <c r="GG370" s="55"/>
      <c r="GH370" s="55"/>
      <c r="GI370" s="55"/>
      <c r="GJ370" s="55"/>
      <c r="GK370" s="55"/>
      <c r="GL370" s="55"/>
      <c r="GM370" s="55"/>
      <c r="GN370" s="55"/>
      <c r="GO370" s="55"/>
      <c r="GP370" s="55"/>
      <c r="GQ370" s="55"/>
      <c r="GR370" s="55"/>
      <c r="GS370" s="55"/>
      <c r="GT370" s="55"/>
      <c r="GU370" s="55"/>
      <c r="GV370" s="55"/>
      <c r="GW370" s="55"/>
      <c r="GX370" s="55"/>
      <c r="GY370" s="55"/>
      <c r="GZ370" s="55"/>
      <c r="HA370" s="55"/>
      <c r="HB370" s="55"/>
      <c r="HC370" s="55"/>
      <c r="HD370" s="55"/>
      <c r="HE370" s="55"/>
      <c r="HF370" s="55"/>
      <c r="HG370" s="55"/>
      <c r="HH370" s="55"/>
      <c r="HI370" s="55"/>
      <c r="HJ370" s="55"/>
      <c r="HK370" s="55"/>
      <c r="HL370" s="55"/>
      <c r="HM370" s="55"/>
      <c r="HN370" s="55"/>
      <c r="HO370" s="55"/>
      <c r="HP370" s="55"/>
      <c r="HQ370" s="55"/>
      <c r="HR370" s="55"/>
      <c r="HS370" s="55"/>
      <c r="HT370" s="55"/>
      <c r="HU370" s="55"/>
      <c r="HV370" s="55"/>
      <c r="HW370" s="55"/>
      <c r="HX370" s="55"/>
      <c r="HY370" s="55"/>
      <c r="HZ370" s="55"/>
      <c r="IA370" s="55"/>
      <c r="IB370" s="55"/>
      <c r="IC370" s="55"/>
      <c r="ID370" s="55"/>
    </row>
    <row r="371" s="52" customFormat="1" ht="63" customHeight="1" spans="1:238">
      <c r="A371" s="112">
        <v>100</v>
      </c>
      <c r="B371" s="112" t="s">
        <v>1460</v>
      </c>
      <c r="C371" s="64" t="s">
        <v>1461</v>
      </c>
      <c r="D371" s="65" t="s">
        <v>1462</v>
      </c>
      <c r="E371" s="77" t="s">
        <v>1463</v>
      </c>
      <c r="F371" s="77" t="s">
        <v>35</v>
      </c>
      <c r="G371" s="64" t="s">
        <v>110</v>
      </c>
      <c r="H371" s="78">
        <v>1150</v>
      </c>
      <c r="I371" s="78">
        <v>1035</v>
      </c>
      <c r="J371" s="83">
        <v>1062.5</v>
      </c>
      <c r="K371" s="83">
        <v>1020</v>
      </c>
      <c r="L371" s="83">
        <v>867</v>
      </c>
      <c r="M371" s="89">
        <v>1065</v>
      </c>
      <c r="N371" s="41">
        <v>1020</v>
      </c>
      <c r="O371" s="41">
        <v>867</v>
      </c>
      <c r="P371" s="64" t="s">
        <v>37</v>
      </c>
      <c r="Q371" s="64" t="s">
        <v>35</v>
      </c>
      <c r="R371" s="64" t="s">
        <v>35</v>
      </c>
      <c r="S371" s="83" t="s">
        <v>191</v>
      </c>
      <c r="T371" s="77" t="s">
        <v>191</v>
      </c>
      <c r="U371" s="105" t="s">
        <v>1464</v>
      </c>
      <c r="V371" s="105">
        <v>330405008</v>
      </c>
      <c r="W371" s="106" t="s">
        <v>1465</v>
      </c>
      <c r="X371" s="105" t="s">
        <v>1466</v>
      </c>
      <c r="Y371" s="105"/>
      <c r="Z371" s="105" t="s">
        <v>36</v>
      </c>
      <c r="AA371" s="110" t="s">
        <v>35</v>
      </c>
      <c r="AB371" s="50">
        <v>1062.5</v>
      </c>
      <c r="AC371" s="50">
        <v>1020</v>
      </c>
      <c r="AD371" s="50">
        <v>867</v>
      </c>
      <c r="AE371" s="112" t="s">
        <v>37</v>
      </c>
      <c r="AF371" s="60"/>
      <c r="AG371" s="55"/>
      <c r="AH371" s="55"/>
      <c r="AI371" s="55"/>
      <c r="AJ371" s="55"/>
      <c r="AK371" s="55"/>
      <c r="AL371" s="55"/>
      <c r="AM371" s="55"/>
      <c r="AN371" s="55"/>
      <c r="AO371" s="55"/>
      <c r="AP371" s="55"/>
      <c r="AQ371" s="55"/>
      <c r="AR371" s="55"/>
      <c r="AS371" s="55"/>
      <c r="AT371" s="55"/>
      <c r="AU371" s="55"/>
      <c r="AV371" s="55"/>
      <c r="AW371" s="55"/>
      <c r="AX371" s="55"/>
      <c r="AY371" s="55"/>
      <c r="AZ371" s="55"/>
      <c r="BA371" s="55"/>
      <c r="BB371" s="55"/>
      <c r="BC371" s="55"/>
      <c r="BD371" s="55"/>
      <c r="BE371" s="55"/>
      <c r="BF371" s="55"/>
      <c r="BG371" s="55"/>
      <c r="BH371" s="55"/>
      <c r="BI371" s="55"/>
      <c r="BJ371" s="55"/>
      <c r="BK371" s="55"/>
      <c r="BL371" s="55"/>
      <c r="BM371" s="55"/>
      <c r="BN371" s="55"/>
      <c r="BO371" s="55"/>
      <c r="BP371" s="55"/>
      <c r="BQ371" s="55"/>
      <c r="BR371" s="55"/>
      <c r="BS371" s="55"/>
      <c r="BT371" s="55"/>
      <c r="BU371" s="55"/>
      <c r="BV371" s="55"/>
      <c r="BW371" s="55"/>
      <c r="BX371" s="55"/>
      <c r="BY371" s="55"/>
      <c r="BZ371" s="55"/>
      <c r="CA371" s="55"/>
      <c r="CB371" s="55"/>
      <c r="CC371" s="55"/>
      <c r="CD371" s="55"/>
      <c r="CE371" s="55"/>
      <c r="CF371" s="55"/>
      <c r="CG371" s="55"/>
      <c r="CH371" s="55"/>
      <c r="CI371" s="55"/>
      <c r="CJ371" s="55"/>
      <c r="CK371" s="55"/>
      <c r="CL371" s="55"/>
      <c r="CM371" s="55"/>
      <c r="CN371" s="55"/>
      <c r="CO371" s="55"/>
      <c r="CP371" s="55"/>
      <c r="CQ371" s="55"/>
      <c r="CR371" s="55"/>
      <c r="CS371" s="55"/>
      <c r="CT371" s="55"/>
      <c r="CU371" s="55"/>
      <c r="CV371" s="55"/>
      <c r="CW371" s="55"/>
      <c r="CX371" s="55"/>
      <c r="CY371" s="55"/>
      <c r="CZ371" s="55"/>
      <c r="DA371" s="55"/>
      <c r="DB371" s="55"/>
      <c r="DC371" s="55"/>
      <c r="DD371" s="55"/>
      <c r="DE371" s="55"/>
      <c r="DF371" s="55"/>
      <c r="DG371" s="55"/>
      <c r="DH371" s="55"/>
      <c r="DI371" s="55"/>
      <c r="DJ371" s="55"/>
      <c r="DK371" s="55"/>
      <c r="DL371" s="55"/>
      <c r="DM371" s="55"/>
      <c r="DN371" s="55"/>
      <c r="DO371" s="55"/>
      <c r="DP371" s="55"/>
      <c r="DQ371" s="55"/>
      <c r="DR371" s="55"/>
      <c r="DS371" s="55"/>
      <c r="DT371" s="55"/>
      <c r="DU371" s="55"/>
      <c r="DV371" s="55"/>
      <c r="DW371" s="55"/>
      <c r="DX371" s="55"/>
      <c r="DY371" s="55"/>
      <c r="DZ371" s="55"/>
      <c r="EA371" s="55"/>
      <c r="EB371" s="55"/>
      <c r="EC371" s="55"/>
      <c r="ED371" s="55"/>
      <c r="EE371" s="55"/>
      <c r="EF371" s="55"/>
      <c r="EG371" s="55"/>
      <c r="EH371" s="55"/>
      <c r="EI371" s="55"/>
      <c r="EJ371" s="55"/>
      <c r="EK371" s="55"/>
      <c r="EL371" s="55"/>
      <c r="EM371" s="55"/>
      <c r="EN371" s="55"/>
      <c r="EO371" s="55"/>
      <c r="EP371" s="55"/>
      <c r="EQ371" s="55"/>
      <c r="ER371" s="55"/>
      <c r="ES371" s="55"/>
      <c r="ET371" s="55"/>
      <c r="EU371" s="55"/>
      <c r="EV371" s="55"/>
      <c r="EW371" s="55"/>
      <c r="EX371" s="55"/>
      <c r="EY371" s="55"/>
      <c r="EZ371" s="55"/>
      <c r="FA371" s="55"/>
      <c r="FB371" s="55"/>
      <c r="FC371" s="55"/>
      <c r="FD371" s="55"/>
      <c r="FE371" s="55"/>
      <c r="FF371" s="55"/>
      <c r="FG371" s="55"/>
      <c r="FH371" s="55"/>
      <c r="FI371" s="55"/>
      <c r="FJ371" s="55"/>
      <c r="FK371" s="55"/>
      <c r="FL371" s="55"/>
      <c r="FM371" s="55"/>
      <c r="FN371" s="55"/>
      <c r="FO371" s="55"/>
      <c r="FP371" s="55"/>
      <c r="FQ371" s="55"/>
      <c r="FR371" s="55"/>
      <c r="FS371" s="55"/>
      <c r="FT371" s="55"/>
      <c r="FU371" s="55"/>
      <c r="FV371" s="55"/>
      <c r="FW371" s="55"/>
      <c r="FX371" s="55"/>
      <c r="FY371" s="55"/>
      <c r="FZ371" s="55"/>
      <c r="GA371" s="55"/>
      <c r="GB371" s="55"/>
      <c r="GC371" s="55"/>
      <c r="GD371" s="55"/>
      <c r="GE371" s="55"/>
      <c r="GF371" s="55"/>
      <c r="GG371" s="55"/>
      <c r="GH371" s="55"/>
      <c r="GI371" s="55"/>
      <c r="GJ371" s="55"/>
      <c r="GK371" s="55"/>
      <c r="GL371" s="55"/>
      <c r="GM371" s="55"/>
      <c r="GN371" s="55"/>
      <c r="GO371" s="55"/>
      <c r="GP371" s="55"/>
      <c r="GQ371" s="55"/>
      <c r="GR371" s="55"/>
      <c r="GS371" s="55"/>
      <c r="GT371" s="55"/>
      <c r="GU371" s="55"/>
      <c r="GV371" s="55"/>
      <c r="GW371" s="55"/>
      <c r="GX371" s="55"/>
      <c r="GY371" s="55"/>
      <c r="GZ371" s="55"/>
      <c r="HA371" s="55"/>
      <c r="HB371" s="55"/>
      <c r="HC371" s="55"/>
      <c r="HD371" s="55"/>
      <c r="HE371" s="55"/>
      <c r="HF371" s="55"/>
      <c r="HG371" s="55"/>
      <c r="HH371" s="55"/>
      <c r="HI371" s="55"/>
      <c r="HJ371" s="55"/>
      <c r="HK371" s="55"/>
      <c r="HL371" s="55"/>
      <c r="HM371" s="55"/>
      <c r="HN371" s="55"/>
      <c r="HO371" s="55"/>
      <c r="HP371" s="55"/>
      <c r="HQ371" s="55"/>
      <c r="HR371" s="55"/>
      <c r="HS371" s="55"/>
      <c r="HT371" s="55"/>
      <c r="HU371" s="55"/>
      <c r="HV371" s="55"/>
      <c r="HW371" s="55"/>
      <c r="HX371" s="55"/>
      <c r="HY371" s="55"/>
      <c r="HZ371" s="55"/>
      <c r="IA371" s="55"/>
      <c r="IB371" s="55"/>
      <c r="IC371" s="55"/>
      <c r="ID371" s="55"/>
    </row>
    <row r="372" s="52" customFormat="1" ht="33" customHeight="1" spans="1:238">
      <c r="A372" s="112" t="s">
        <v>95</v>
      </c>
      <c r="B372" s="112" t="s">
        <v>1467</v>
      </c>
      <c r="C372" s="64" t="s">
        <v>1468</v>
      </c>
      <c r="D372" s="65"/>
      <c r="E372" s="77"/>
      <c r="F372" s="77" t="s">
        <v>35</v>
      </c>
      <c r="G372" s="64" t="s">
        <v>110</v>
      </c>
      <c r="H372" s="78">
        <v>345</v>
      </c>
      <c r="I372" s="78">
        <v>311</v>
      </c>
      <c r="J372" s="83">
        <v>317.5</v>
      </c>
      <c r="K372" s="83">
        <v>305</v>
      </c>
      <c r="L372" s="83">
        <v>258</v>
      </c>
      <c r="M372" s="41">
        <v>320</v>
      </c>
      <c r="N372" s="41">
        <v>305</v>
      </c>
      <c r="O372" s="41">
        <v>260</v>
      </c>
      <c r="P372" s="64" t="s">
        <v>37</v>
      </c>
      <c r="Q372" s="64" t="s">
        <v>35</v>
      </c>
      <c r="R372" s="64" t="s">
        <v>35</v>
      </c>
      <c r="S372" s="83"/>
      <c r="T372" s="77" t="s">
        <v>186</v>
      </c>
      <c r="U372" s="105" t="s">
        <v>1469</v>
      </c>
      <c r="V372" s="105">
        <v>33040500801</v>
      </c>
      <c r="W372" s="106" t="s">
        <v>1470</v>
      </c>
      <c r="X372" s="105"/>
      <c r="Y372" s="105"/>
      <c r="Z372" s="105" t="s">
        <v>36</v>
      </c>
      <c r="AA372" s="110" t="s">
        <v>35</v>
      </c>
      <c r="AB372" s="50">
        <v>1380</v>
      </c>
      <c r="AC372" s="50">
        <v>1325</v>
      </c>
      <c r="AD372" s="50">
        <v>1125</v>
      </c>
      <c r="AE372" s="112" t="s">
        <v>37</v>
      </c>
      <c r="AF372" s="60"/>
      <c r="AG372" s="55"/>
      <c r="AH372" s="55"/>
      <c r="AI372" s="55"/>
      <c r="AJ372" s="55"/>
      <c r="AK372" s="55"/>
      <c r="AL372" s="55"/>
      <c r="AM372" s="55"/>
      <c r="AN372" s="55"/>
      <c r="AO372" s="55"/>
      <c r="AP372" s="55"/>
      <c r="AQ372" s="55"/>
      <c r="AR372" s="55"/>
      <c r="AS372" s="55"/>
      <c r="AT372" s="55"/>
      <c r="AU372" s="55"/>
      <c r="AV372" s="55"/>
      <c r="AW372" s="55"/>
      <c r="AX372" s="55"/>
      <c r="AY372" s="55"/>
      <c r="AZ372" s="55"/>
      <c r="BA372" s="55"/>
      <c r="BB372" s="55"/>
      <c r="BC372" s="55"/>
      <c r="BD372" s="55"/>
      <c r="BE372" s="55"/>
      <c r="BF372" s="55"/>
      <c r="BG372" s="55"/>
      <c r="BH372" s="55"/>
      <c r="BI372" s="55"/>
      <c r="BJ372" s="55"/>
      <c r="BK372" s="55"/>
      <c r="BL372" s="55"/>
      <c r="BM372" s="55"/>
      <c r="BN372" s="55"/>
      <c r="BO372" s="55"/>
      <c r="BP372" s="55"/>
      <c r="BQ372" s="55"/>
      <c r="BR372" s="55"/>
      <c r="BS372" s="55"/>
      <c r="BT372" s="55"/>
      <c r="BU372" s="55"/>
      <c r="BV372" s="55"/>
      <c r="BW372" s="55"/>
      <c r="BX372" s="55"/>
      <c r="BY372" s="55"/>
      <c r="BZ372" s="55"/>
      <c r="CA372" s="55"/>
      <c r="CB372" s="55"/>
      <c r="CC372" s="55"/>
      <c r="CD372" s="55"/>
      <c r="CE372" s="55"/>
      <c r="CF372" s="55"/>
      <c r="CG372" s="55"/>
      <c r="CH372" s="55"/>
      <c r="CI372" s="55"/>
      <c r="CJ372" s="55"/>
      <c r="CK372" s="55"/>
      <c r="CL372" s="55"/>
      <c r="CM372" s="55"/>
      <c r="CN372" s="55"/>
      <c r="CO372" s="55"/>
      <c r="CP372" s="55"/>
      <c r="CQ372" s="55"/>
      <c r="CR372" s="55"/>
      <c r="CS372" s="55"/>
      <c r="CT372" s="55"/>
      <c r="CU372" s="55"/>
      <c r="CV372" s="55"/>
      <c r="CW372" s="55"/>
      <c r="CX372" s="55"/>
      <c r="CY372" s="55"/>
      <c r="CZ372" s="55"/>
      <c r="DA372" s="55"/>
      <c r="DB372" s="55"/>
      <c r="DC372" s="55"/>
      <c r="DD372" s="55"/>
      <c r="DE372" s="55"/>
      <c r="DF372" s="55"/>
      <c r="DG372" s="55"/>
      <c r="DH372" s="55"/>
      <c r="DI372" s="55"/>
      <c r="DJ372" s="55"/>
      <c r="DK372" s="55"/>
      <c r="DL372" s="55"/>
      <c r="DM372" s="55"/>
      <c r="DN372" s="55"/>
      <c r="DO372" s="55"/>
      <c r="DP372" s="55"/>
      <c r="DQ372" s="55"/>
      <c r="DR372" s="55"/>
      <c r="DS372" s="55"/>
      <c r="DT372" s="55"/>
      <c r="DU372" s="55"/>
      <c r="DV372" s="55"/>
      <c r="DW372" s="55"/>
      <c r="DX372" s="55"/>
      <c r="DY372" s="55"/>
      <c r="DZ372" s="55"/>
      <c r="EA372" s="55"/>
      <c r="EB372" s="55"/>
      <c r="EC372" s="55"/>
      <c r="ED372" s="55"/>
      <c r="EE372" s="55"/>
      <c r="EF372" s="55"/>
      <c r="EG372" s="55"/>
      <c r="EH372" s="55"/>
      <c r="EI372" s="55"/>
      <c r="EJ372" s="55"/>
      <c r="EK372" s="55"/>
      <c r="EL372" s="55"/>
      <c r="EM372" s="55"/>
      <c r="EN372" s="55"/>
      <c r="EO372" s="55"/>
      <c r="EP372" s="55"/>
      <c r="EQ372" s="55"/>
      <c r="ER372" s="55"/>
      <c r="ES372" s="55"/>
      <c r="ET372" s="55"/>
      <c r="EU372" s="55"/>
      <c r="EV372" s="55"/>
      <c r="EW372" s="55"/>
      <c r="EX372" s="55"/>
      <c r="EY372" s="55"/>
      <c r="EZ372" s="55"/>
      <c r="FA372" s="55"/>
      <c r="FB372" s="55"/>
      <c r="FC372" s="55"/>
      <c r="FD372" s="55"/>
      <c r="FE372" s="55"/>
      <c r="FF372" s="55"/>
      <c r="FG372" s="55"/>
      <c r="FH372" s="55"/>
      <c r="FI372" s="55"/>
      <c r="FJ372" s="55"/>
      <c r="FK372" s="55"/>
      <c r="FL372" s="55"/>
      <c r="FM372" s="55"/>
      <c r="FN372" s="55"/>
      <c r="FO372" s="55"/>
      <c r="FP372" s="55"/>
      <c r="FQ372" s="55"/>
      <c r="FR372" s="55"/>
      <c r="FS372" s="55"/>
      <c r="FT372" s="55"/>
      <c r="FU372" s="55"/>
      <c r="FV372" s="55"/>
      <c r="FW372" s="55"/>
      <c r="FX372" s="55"/>
      <c r="FY372" s="55"/>
      <c r="FZ372" s="55"/>
      <c r="GA372" s="55"/>
      <c r="GB372" s="55"/>
      <c r="GC372" s="55"/>
      <c r="GD372" s="55"/>
      <c r="GE372" s="55"/>
      <c r="GF372" s="55"/>
      <c r="GG372" s="55"/>
      <c r="GH372" s="55"/>
      <c r="GI372" s="55"/>
      <c r="GJ372" s="55"/>
      <c r="GK372" s="55"/>
      <c r="GL372" s="55"/>
      <c r="GM372" s="55"/>
      <c r="GN372" s="55"/>
      <c r="GO372" s="55"/>
      <c r="GP372" s="55"/>
      <c r="GQ372" s="55"/>
      <c r="GR372" s="55"/>
      <c r="GS372" s="55"/>
      <c r="GT372" s="55"/>
      <c r="GU372" s="55"/>
      <c r="GV372" s="55"/>
      <c r="GW372" s="55"/>
      <c r="GX372" s="55"/>
      <c r="GY372" s="55"/>
      <c r="GZ372" s="55"/>
      <c r="HA372" s="55"/>
      <c r="HB372" s="55"/>
      <c r="HC372" s="55"/>
      <c r="HD372" s="55"/>
      <c r="HE372" s="55"/>
      <c r="HF372" s="55"/>
      <c r="HG372" s="55"/>
      <c r="HH372" s="55"/>
      <c r="HI372" s="55"/>
      <c r="HJ372" s="55"/>
      <c r="HK372" s="55"/>
      <c r="HL372" s="55"/>
      <c r="HM372" s="55"/>
      <c r="HN372" s="55"/>
      <c r="HO372" s="55"/>
      <c r="HP372" s="55"/>
      <c r="HQ372" s="55"/>
      <c r="HR372" s="55"/>
      <c r="HS372" s="55"/>
      <c r="HT372" s="55"/>
      <c r="HU372" s="55"/>
      <c r="HV372" s="55"/>
      <c r="HW372" s="55"/>
      <c r="HX372" s="55"/>
      <c r="HY372" s="55"/>
      <c r="HZ372" s="55"/>
      <c r="IA372" s="55"/>
      <c r="IB372" s="55"/>
      <c r="IC372" s="55"/>
      <c r="ID372" s="55"/>
    </row>
    <row r="373" s="52" customFormat="1" ht="37" customHeight="1" spans="1:238">
      <c r="A373" s="112">
        <v>101</v>
      </c>
      <c r="B373" s="112" t="s">
        <v>1471</v>
      </c>
      <c r="C373" s="64" t="s">
        <v>1472</v>
      </c>
      <c r="D373" s="65" t="s">
        <v>1473</v>
      </c>
      <c r="E373" s="77" t="s">
        <v>1474</v>
      </c>
      <c r="F373" s="77" t="s">
        <v>35</v>
      </c>
      <c r="G373" s="64" t="s">
        <v>110</v>
      </c>
      <c r="H373" s="78">
        <v>2075</v>
      </c>
      <c r="I373" s="78">
        <v>1868</v>
      </c>
      <c r="J373" s="83"/>
      <c r="K373" s="83"/>
      <c r="L373" s="83"/>
      <c r="M373" s="41">
        <v>1870</v>
      </c>
      <c r="N373" s="41">
        <v>1680</v>
      </c>
      <c r="O373" s="41">
        <v>1430</v>
      </c>
      <c r="P373" s="64" t="s">
        <v>37</v>
      </c>
      <c r="Q373" s="64" t="s">
        <v>35</v>
      </c>
      <c r="R373" s="64" t="s">
        <v>35</v>
      </c>
      <c r="S373" s="83" t="s">
        <v>38</v>
      </c>
      <c r="T373" s="77" t="s">
        <v>638</v>
      </c>
      <c r="U373" s="105" t="s">
        <v>1475</v>
      </c>
      <c r="V373" s="105">
        <v>330405007</v>
      </c>
      <c r="W373" s="106" t="s">
        <v>1476</v>
      </c>
      <c r="X373" s="105"/>
      <c r="Y373" s="105"/>
      <c r="Z373" s="105" t="s">
        <v>36</v>
      </c>
      <c r="AA373" s="110" t="s">
        <v>35</v>
      </c>
      <c r="AB373" s="50">
        <v>1010</v>
      </c>
      <c r="AC373" s="50">
        <v>910</v>
      </c>
      <c r="AD373" s="50">
        <v>775</v>
      </c>
      <c r="AE373" s="112" t="s">
        <v>37</v>
      </c>
      <c r="AF373" s="60"/>
      <c r="AG373" s="55"/>
      <c r="AH373" s="55"/>
      <c r="AI373" s="55"/>
      <c r="AJ373" s="55"/>
      <c r="AK373" s="55"/>
      <c r="AL373" s="55"/>
      <c r="AM373" s="55"/>
      <c r="AN373" s="55"/>
      <c r="AO373" s="55"/>
      <c r="AP373" s="55"/>
      <c r="AQ373" s="55"/>
      <c r="AR373" s="55"/>
      <c r="AS373" s="55"/>
      <c r="AT373" s="55"/>
      <c r="AU373" s="55"/>
      <c r="AV373" s="55"/>
      <c r="AW373" s="55"/>
      <c r="AX373" s="55"/>
      <c r="AY373" s="55"/>
      <c r="AZ373" s="55"/>
      <c r="BA373" s="55"/>
      <c r="BB373" s="55"/>
      <c r="BC373" s="55"/>
      <c r="BD373" s="55"/>
      <c r="BE373" s="55"/>
      <c r="BF373" s="55"/>
      <c r="BG373" s="55"/>
      <c r="BH373" s="55"/>
      <c r="BI373" s="55"/>
      <c r="BJ373" s="55"/>
      <c r="BK373" s="55"/>
      <c r="BL373" s="55"/>
      <c r="BM373" s="55"/>
      <c r="BN373" s="55"/>
      <c r="BO373" s="55"/>
      <c r="BP373" s="55"/>
      <c r="BQ373" s="55"/>
      <c r="BR373" s="55"/>
      <c r="BS373" s="55"/>
      <c r="BT373" s="55"/>
      <c r="BU373" s="55"/>
      <c r="BV373" s="55"/>
      <c r="BW373" s="55"/>
      <c r="BX373" s="55"/>
      <c r="BY373" s="55"/>
      <c r="BZ373" s="55"/>
      <c r="CA373" s="55"/>
      <c r="CB373" s="55"/>
      <c r="CC373" s="55"/>
      <c r="CD373" s="55"/>
      <c r="CE373" s="55"/>
      <c r="CF373" s="55"/>
      <c r="CG373" s="55"/>
      <c r="CH373" s="55"/>
      <c r="CI373" s="55"/>
      <c r="CJ373" s="55"/>
      <c r="CK373" s="55"/>
      <c r="CL373" s="55"/>
      <c r="CM373" s="55"/>
      <c r="CN373" s="55"/>
      <c r="CO373" s="55"/>
      <c r="CP373" s="55"/>
      <c r="CQ373" s="55"/>
      <c r="CR373" s="55"/>
      <c r="CS373" s="55"/>
      <c r="CT373" s="55"/>
      <c r="CU373" s="55"/>
      <c r="CV373" s="55"/>
      <c r="CW373" s="55"/>
      <c r="CX373" s="55"/>
      <c r="CY373" s="55"/>
      <c r="CZ373" s="55"/>
      <c r="DA373" s="55"/>
      <c r="DB373" s="55"/>
      <c r="DC373" s="55"/>
      <c r="DD373" s="55"/>
      <c r="DE373" s="55"/>
      <c r="DF373" s="55"/>
      <c r="DG373" s="55"/>
      <c r="DH373" s="55"/>
      <c r="DI373" s="55"/>
      <c r="DJ373" s="55"/>
      <c r="DK373" s="55"/>
      <c r="DL373" s="55"/>
      <c r="DM373" s="55"/>
      <c r="DN373" s="55"/>
      <c r="DO373" s="55"/>
      <c r="DP373" s="55"/>
      <c r="DQ373" s="55"/>
      <c r="DR373" s="55"/>
      <c r="DS373" s="55"/>
      <c r="DT373" s="55"/>
      <c r="DU373" s="55"/>
      <c r="DV373" s="55"/>
      <c r="DW373" s="55"/>
      <c r="DX373" s="55"/>
      <c r="DY373" s="55"/>
      <c r="DZ373" s="55"/>
      <c r="EA373" s="55"/>
      <c r="EB373" s="55"/>
      <c r="EC373" s="55"/>
      <c r="ED373" s="55"/>
      <c r="EE373" s="55"/>
      <c r="EF373" s="55"/>
      <c r="EG373" s="55"/>
      <c r="EH373" s="55"/>
      <c r="EI373" s="55"/>
      <c r="EJ373" s="55"/>
      <c r="EK373" s="55"/>
      <c r="EL373" s="55"/>
      <c r="EM373" s="55"/>
      <c r="EN373" s="55"/>
      <c r="EO373" s="55"/>
      <c r="EP373" s="55"/>
      <c r="EQ373" s="55"/>
      <c r="ER373" s="55"/>
      <c r="ES373" s="55"/>
      <c r="ET373" s="55"/>
      <c r="EU373" s="55"/>
      <c r="EV373" s="55"/>
      <c r="EW373" s="55"/>
      <c r="EX373" s="55"/>
      <c r="EY373" s="55"/>
      <c r="EZ373" s="55"/>
      <c r="FA373" s="55"/>
      <c r="FB373" s="55"/>
      <c r="FC373" s="55"/>
      <c r="FD373" s="55"/>
      <c r="FE373" s="55"/>
      <c r="FF373" s="55"/>
      <c r="FG373" s="55"/>
      <c r="FH373" s="55"/>
      <c r="FI373" s="55"/>
      <c r="FJ373" s="55"/>
      <c r="FK373" s="55"/>
      <c r="FL373" s="55"/>
      <c r="FM373" s="55"/>
      <c r="FN373" s="55"/>
      <c r="FO373" s="55"/>
      <c r="FP373" s="55"/>
      <c r="FQ373" s="55"/>
      <c r="FR373" s="55"/>
      <c r="FS373" s="55"/>
      <c r="FT373" s="55"/>
      <c r="FU373" s="55"/>
      <c r="FV373" s="55"/>
      <c r="FW373" s="55"/>
      <c r="FX373" s="55"/>
      <c r="FY373" s="55"/>
      <c r="FZ373" s="55"/>
      <c r="GA373" s="55"/>
      <c r="GB373" s="55"/>
      <c r="GC373" s="55"/>
      <c r="GD373" s="55"/>
      <c r="GE373" s="55"/>
      <c r="GF373" s="55"/>
      <c r="GG373" s="55"/>
      <c r="GH373" s="55"/>
      <c r="GI373" s="55"/>
      <c r="GJ373" s="55"/>
      <c r="GK373" s="55"/>
      <c r="GL373" s="55"/>
      <c r="GM373" s="55"/>
      <c r="GN373" s="55"/>
      <c r="GO373" s="55"/>
      <c r="GP373" s="55"/>
      <c r="GQ373" s="55"/>
      <c r="GR373" s="55"/>
      <c r="GS373" s="55"/>
      <c r="GT373" s="55"/>
      <c r="GU373" s="55"/>
      <c r="GV373" s="55"/>
      <c r="GW373" s="55"/>
      <c r="GX373" s="55"/>
      <c r="GY373" s="55"/>
      <c r="GZ373" s="55"/>
      <c r="HA373" s="55"/>
      <c r="HB373" s="55"/>
      <c r="HC373" s="55"/>
      <c r="HD373" s="55"/>
      <c r="HE373" s="55"/>
      <c r="HF373" s="55"/>
      <c r="HG373" s="55"/>
      <c r="HH373" s="55"/>
      <c r="HI373" s="55"/>
      <c r="HJ373" s="55"/>
      <c r="HK373" s="55"/>
      <c r="HL373" s="55"/>
      <c r="HM373" s="55"/>
      <c r="HN373" s="55"/>
      <c r="HO373" s="55"/>
      <c r="HP373" s="55"/>
      <c r="HQ373" s="55"/>
      <c r="HR373" s="55"/>
      <c r="HS373" s="55"/>
      <c r="HT373" s="55"/>
      <c r="HU373" s="55"/>
      <c r="HV373" s="55"/>
      <c r="HW373" s="55"/>
      <c r="HX373" s="55"/>
      <c r="HY373" s="55"/>
      <c r="HZ373" s="55"/>
      <c r="IA373" s="55"/>
      <c r="IB373" s="55"/>
      <c r="IC373" s="55"/>
      <c r="ID373" s="55"/>
    </row>
    <row r="374" s="52" customFormat="1" ht="37" customHeight="1" spans="1:238">
      <c r="A374" s="112"/>
      <c r="B374" s="112"/>
      <c r="C374" s="64"/>
      <c r="D374" s="65"/>
      <c r="E374" s="77"/>
      <c r="F374" s="77"/>
      <c r="G374" s="64"/>
      <c r="H374" s="42"/>
      <c r="I374" s="42"/>
      <c r="J374" s="83"/>
      <c r="K374" s="83"/>
      <c r="L374" s="83"/>
      <c r="M374" s="41"/>
      <c r="N374" s="41"/>
      <c r="O374" s="41"/>
      <c r="P374" s="64"/>
      <c r="Q374" s="64"/>
      <c r="R374" s="64"/>
      <c r="S374" s="83"/>
      <c r="T374" s="77"/>
      <c r="U374" s="105" t="s">
        <v>1018</v>
      </c>
      <c r="V374" s="105">
        <v>330407011</v>
      </c>
      <c r="W374" s="106" t="s">
        <v>1019</v>
      </c>
      <c r="X374" s="105"/>
      <c r="Y374" s="105"/>
      <c r="Z374" s="105" t="s">
        <v>36</v>
      </c>
      <c r="AA374" s="110" t="s">
        <v>35</v>
      </c>
      <c r="AB374" s="50">
        <v>2310</v>
      </c>
      <c r="AC374" s="50">
        <v>2080</v>
      </c>
      <c r="AD374" s="50">
        <v>1770</v>
      </c>
      <c r="AE374" s="112" t="s">
        <v>37</v>
      </c>
      <c r="AF374" s="60"/>
      <c r="AG374" s="55"/>
      <c r="AH374" s="55"/>
      <c r="AI374" s="55"/>
      <c r="AJ374" s="55"/>
      <c r="AK374" s="55"/>
      <c r="AL374" s="55"/>
      <c r="AM374" s="55"/>
      <c r="AN374" s="55"/>
      <c r="AO374" s="55"/>
      <c r="AP374" s="55"/>
      <c r="AQ374" s="55"/>
      <c r="AR374" s="55"/>
      <c r="AS374" s="55"/>
      <c r="AT374" s="55"/>
      <c r="AU374" s="55"/>
      <c r="AV374" s="55"/>
      <c r="AW374" s="55"/>
      <c r="AX374" s="55"/>
      <c r="AY374" s="55"/>
      <c r="AZ374" s="55"/>
      <c r="BA374" s="55"/>
      <c r="BB374" s="55"/>
      <c r="BC374" s="55"/>
      <c r="BD374" s="55"/>
      <c r="BE374" s="55"/>
      <c r="BF374" s="55"/>
      <c r="BG374" s="55"/>
      <c r="BH374" s="55"/>
      <c r="BI374" s="55"/>
      <c r="BJ374" s="55"/>
      <c r="BK374" s="55"/>
      <c r="BL374" s="55"/>
      <c r="BM374" s="55"/>
      <c r="BN374" s="55"/>
      <c r="BO374" s="55"/>
      <c r="BP374" s="55"/>
      <c r="BQ374" s="55"/>
      <c r="BR374" s="55"/>
      <c r="BS374" s="55"/>
      <c r="BT374" s="55"/>
      <c r="BU374" s="55"/>
      <c r="BV374" s="55"/>
      <c r="BW374" s="55"/>
      <c r="BX374" s="55"/>
      <c r="BY374" s="55"/>
      <c r="BZ374" s="55"/>
      <c r="CA374" s="55"/>
      <c r="CB374" s="55"/>
      <c r="CC374" s="55"/>
      <c r="CD374" s="55"/>
      <c r="CE374" s="55"/>
      <c r="CF374" s="55"/>
      <c r="CG374" s="55"/>
      <c r="CH374" s="55"/>
      <c r="CI374" s="55"/>
      <c r="CJ374" s="55"/>
      <c r="CK374" s="55"/>
      <c r="CL374" s="55"/>
      <c r="CM374" s="55"/>
      <c r="CN374" s="55"/>
      <c r="CO374" s="55"/>
      <c r="CP374" s="55"/>
      <c r="CQ374" s="55"/>
      <c r="CR374" s="55"/>
      <c r="CS374" s="55"/>
      <c r="CT374" s="55"/>
      <c r="CU374" s="55"/>
      <c r="CV374" s="55"/>
      <c r="CW374" s="55"/>
      <c r="CX374" s="55"/>
      <c r="CY374" s="55"/>
      <c r="CZ374" s="55"/>
      <c r="DA374" s="55"/>
      <c r="DB374" s="55"/>
      <c r="DC374" s="55"/>
      <c r="DD374" s="55"/>
      <c r="DE374" s="55"/>
      <c r="DF374" s="55"/>
      <c r="DG374" s="55"/>
      <c r="DH374" s="55"/>
      <c r="DI374" s="55"/>
      <c r="DJ374" s="55"/>
      <c r="DK374" s="55"/>
      <c r="DL374" s="55"/>
      <c r="DM374" s="55"/>
      <c r="DN374" s="55"/>
      <c r="DO374" s="55"/>
      <c r="DP374" s="55"/>
      <c r="DQ374" s="55"/>
      <c r="DR374" s="55"/>
      <c r="DS374" s="55"/>
      <c r="DT374" s="55"/>
      <c r="DU374" s="55"/>
      <c r="DV374" s="55"/>
      <c r="DW374" s="55"/>
      <c r="DX374" s="55"/>
      <c r="DY374" s="55"/>
      <c r="DZ374" s="55"/>
      <c r="EA374" s="55"/>
      <c r="EB374" s="55"/>
      <c r="EC374" s="55"/>
      <c r="ED374" s="55"/>
      <c r="EE374" s="55"/>
      <c r="EF374" s="55"/>
      <c r="EG374" s="55"/>
      <c r="EH374" s="55"/>
      <c r="EI374" s="55"/>
      <c r="EJ374" s="55"/>
      <c r="EK374" s="55"/>
      <c r="EL374" s="55"/>
      <c r="EM374" s="55"/>
      <c r="EN374" s="55"/>
      <c r="EO374" s="55"/>
      <c r="EP374" s="55"/>
      <c r="EQ374" s="55"/>
      <c r="ER374" s="55"/>
      <c r="ES374" s="55"/>
      <c r="ET374" s="55"/>
      <c r="EU374" s="55"/>
      <c r="EV374" s="55"/>
      <c r="EW374" s="55"/>
      <c r="EX374" s="55"/>
      <c r="EY374" s="55"/>
      <c r="EZ374" s="55"/>
      <c r="FA374" s="55"/>
      <c r="FB374" s="55"/>
      <c r="FC374" s="55"/>
      <c r="FD374" s="55"/>
      <c r="FE374" s="55"/>
      <c r="FF374" s="55"/>
      <c r="FG374" s="55"/>
      <c r="FH374" s="55"/>
      <c r="FI374" s="55"/>
      <c r="FJ374" s="55"/>
      <c r="FK374" s="55"/>
      <c r="FL374" s="55"/>
      <c r="FM374" s="55"/>
      <c r="FN374" s="55"/>
      <c r="FO374" s="55"/>
      <c r="FP374" s="55"/>
      <c r="FQ374" s="55"/>
      <c r="FR374" s="55"/>
      <c r="FS374" s="55"/>
      <c r="FT374" s="55"/>
      <c r="FU374" s="55"/>
      <c r="FV374" s="55"/>
      <c r="FW374" s="55"/>
      <c r="FX374" s="55"/>
      <c r="FY374" s="55"/>
      <c r="FZ374" s="55"/>
      <c r="GA374" s="55"/>
      <c r="GB374" s="55"/>
      <c r="GC374" s="55"/>
      <c r="GD374" s="55"/>
      <c r="GE374" s="55"/>
      <c r="GF374" s="55"/>
      <c r="GG374" s="55"/>
      <c r="GH374" s="55"/>
      <c r="GI374" s="55"/>
      <c r="GJ374" s="55"/>
      <c r="GK374" s="55"/>
      <c r="GL374" s="55"/>
      <c r="GM374" s="55"/>
      <c r="GN374" s="55"/>
      <c r="GO374" s="55"/>
      <c r="GP374" s="55"/>
      <c r="GQ374" s="55"/>
      <c r="GR374" s="55"/>
      <c r="GS374" s="55"/>
      <c r="GT374" s="55"/>
      <c r="GU374" s="55"/>
      <c r="GV374" s="55"/>
      <c r="GW374" s="55"/>
      <c r="GX374" s="55"/>
      <c r="GY374" s="55"/>
      <c r="GZ374" s="55"/>
      <c r="HA374" s="55"/>
      <c r="HB374" s="55"/>
      <c r="HC374" s="55"/>
      <c r="HD374" s="55"/>
      <c r="HE374" s="55"/>
      <c r="HF374" s="55"/>
      <c r="HG374" s="55"/>
      <c r="HH374" s="55"/>
      <c r="HI374" s="55"/>
      <c r="HJ374" s="55"/>
      <c r="HK374" s="55"/>
      <c r="HL374" s="55"/>
      <c r="HM374" s="55"/>
      <c r="HN374" s="55"/>
      <c r="HO374" s="55"/>
      <c r="HP374" s="55"/>
      <c r="HQ374" s="55"/>
      <c r="HR374" s="55"/>
      <c r="HS374" s="55"/>
      <c r="HT374" s="55"/>
      <c r="HU374" s="55"/>
      <c r="HV374" s="55"/>
      <c r="HW374" s="55"/>
      <c r="HX374" s="55"/>
      <c r="HY374" s="55"/>
      <c r="HZ374" s="55"/>
      <c r="IA374" s="55"/>
      <c r="IB374" s="55"/>
      <c r="IC374" s="55"/>
      <c r="ID374" s="55"/>
    </row>
    <row r="375" s="52" customFormat="1" ht="38" customHeight="1" spans="1:238">
      <c r="A375" s="112" t="s">
        <v>95</v>
      </c>
      <c r="B375" s="112" t="s">
        <v>1477</v>
      </c>
      <c r="C375" s="64" t="s">
        <v>1478</v>
      </c>
      <c r="D375" s="65"/>
      <c r="E375" s="77"/>
      <c r="F375" s="77" t="s">
        <v>35</v>
      </c>
      <c r="G375" s="64" t="s">
        <v>110</v>
      </c>
      <c r="H375" s="78">
        <v>622.5</v>
      </c>
      <c r="I375" s="78">
        <v>560</v>
      </c>
      <c r="J375" s="83"/>
      <c r="K375" s="83"/>
      <c r="L375" s="83"/>
      <c r="M375" s="41">
        <v>560</v>
      </c>
      <c r="N375" s="41">
        <v>505</v>
      </c>
      <c r="O375" s="41">
        <v>430</v>
      </c>
      <c r="P375" s="64" t="s">
        <v>37</v>
      </c>
      <c r="Q375" s="64" t="s">
        <v>35</v>
      </c>
      <c r="R375" s="64" t="s">
        <v>35</v>
      </c>
      <c r="S375" s="83"/>
      <c r="T375" s="77" t="s">
        <v>186</v>
      </c>
      <c r="U375" s="105" t="s">
        <v>1479</v>
      </c>
      <c r="V375" s="105">
        <v>33040500701</v>
      </c>
      <c r="W375" s="106" t="s">
        <v>1480</v>
      </c>
      <c r="X375" s="105"/>
      <c r="Y375" s="105"/>
      <c r="Z375" s="105" t="s">
        <v>36</v>
      </c>
      <c r="AA375" s="110" t="s">
        <v>35</v>
      </c>
      <c r="AB375" s="50">
        <v>1315</v>
      </c>
      <c r="AC375" s="50">
        <v>1185</v>
      </c>
      <c r="AD375" s="50">
        <v>1005</v>
      </c>
      <c r="AE375" s="112" t="s">
        <v>37</v>
      </c>
      <c r="AF375" s="60"/>
      <c r="AG375" s="55"/>
      <c r="AH375" s="55"/>
      <c r="AI375" s="55"/>
      <c r="AJ375" s="55"/>
      <c r="AK375" s="55"/>
      <c r="AL375" s="55"/>
      <c r="AM375" s="55"/>
      <c r="AN375" s="55"/>
      <c r="AO375" s="55"/>
      <c r="AP375" s="55"/>
      <c r="AQ375" s="55"/>
      <c r="AR375" s="55"/>
      <c r="AS375" s="55"/>
      <c r="AT375" s="55"/>
      <c r="AU375" s="55"/>
      <c r="AV375" s="55"/>
      <c r="AW375" s="55"/>
      <c r="AX375" s="55"/>
      <c r="AY375" s="55"/>
      <c r="AZ375" s="55"/>
      <c r="BA375" s="55"/>
      <c r="BB375" s="55"/>
      <c r="BC375" s="55"/>
      <c r="BD375" s="55"/>
      <c r="BE375" s="55"/>
      <c r="BF375" s="55"/>
      <c r="BG375" s="55"/>
      <c r="BH375" s="55"/>
      <c r="BI375" s="55"/>
      <c r="BJ375" s="55"/>
      <c r="BK375" s="55"/>
      <c r="BL375" s="55"/>
      <c r="BM375" s="55"/>
      <c r="BN375" s="55"/>
      <c r="BO375" s="55"/>
      <c r="BP375" s="55"/>
      <c r="BQ375" s="55"/>
      <c r="BR375" s="55"/>
      <c r="BS375" s="55"/>
      <c r="BT375" s="55"/>
      <c r="BU375" s="55"/>
      <c r="BV375" s="55"/>
      <c r="BW375" s="55"/>
      <c r="BX375" s="55"/>
      <c r="BY375" s="55"/>
      <c r="BZ375" s="55"/>
      <c r="CA375" s="55"/>
      <c r="CB375" s="55"/>
      <c r="CC375" s="55"/>
      <c r="CD375" s="55"/>
      <c r="CE375" s="55"/>
      <c r="CF375" s="55"/>
      <c r="CG375" s="55"/>
      <c r="CH375" s="55"/>
      <c r="CI375" s="55"/>
      <c r="CJ375" s="55"/>
      <c r="CK375" s="55"/>
      <c r="CL375" s="55"/>
      <c r="CM375" s="55"/>
      <c r="CN375" s="55"/>
      <c r="CO375" s="55"/>
      <c r="CP375" s="55"/>
      <c r="CQ375" s="55"/>
      <c r="CR375" s="55"/>
      <c r="CS375" s="55"/>
      <c r="CT375" s="55"/>
      <c r="CU375" s="55"/>
      <c r="CV375" s="55"/>
      <c r="CW375" s="55"/>
      <c r="CX375" s="55"/>
      <c r="CY375" s="55"/>
      <c r="CZ375" s="55"/>
      <c r="DA375" s="55"/>
      <c r="DB375" s="55"/>
      <c r="DC375" s="55"/>
      <c r="DD375" s="55"/>
      <c r="DE375" s="55"/>
      <c r="DF375" s="55"/>
      <c r="DG375" s="55"/>
      <c r="DH375" s="55"/>
      <c r="DI375" s="55"/>
      <c r="DJ375" s="55"/>
      <c r="DK375" s="55"/>
      <c r="DL375" s="55"/>
      <c r="DM375" s="55"/>
      <c r="DN375" s="55"/>
      <c r="DO375" s="55"/>
      <c r="DP375" s="55"/>
      <c r="DQ375" s="55"/>
      <c r="DR375" s="55"/>
      <c r="DS375" s="55"/>
      <c r="DT375" s="55"/>
      <c r="DU375" s="55"/>
      <c r="DV375" s="55"/>
      <c r="DW375" s="55"/>
      <c r="DX375" s="55"/>
      <c r="DY375" s="55"/>
      <c r="DZ375" s="55"/>
      <c r="EA375" s="55"/>
      <c r="EB375" s="55"/>
      <c r="EC375" s="55"/>
      <c r="ED375" s="55"/>
      <c r="EE375" s="55"/>
      <c r="EF375" s="55"/>
      <c r="EG375" s="55"/>
      <c r="EH375" s="55"/>
      <c r="EI375" s="55"/>
      <c r="EJ375" s="55"/>
      <c r="EK375" s="55"/>
      <c r="EL375" s="55"/>
      <c r="EM375" s="55"/>
      <c r="EN375" s="55"/>
      <c r="EO375" s="55"/>
      <c r="EP375" s="55"/>
      <c r="EQ375" s="55"/>
      <c r="ER375" s="55"/>
      <c r="ES375" s="55"/>
      <c r="ET375" s="55"/>
      <c r="EU375" s="55"/>
      <c r="EV375" s="55"/>
      <c r="EW375" s="55"/>
      <c r="EX375" s="55"/>
      <c r="EY375" s="55"/>
      <c r="EZ375" s="55"/>
      <c r="FA375" s="55"/>
      <c r="FB375" s="55"/>
      <c r="FC375" s="55"/>
      <c r="FD375" s="55"/>
      <c r="FE375" s="55"/>
      <c r="FF375" s="55"/>
      <c r="FG375" s="55"/>
      <c r="FH375" s="55"/>
      <c r="FI375" s="55"/>
      <c r="FJ375" s="55"/>
      <c r="FK375" s="55"/>
      <c r="FL375" s="55"/>
      <c r="FM375" s="55"/>
      <c r="FN375" s="55"/>
      <c r="FO375" s="55"/>
      <c r="FP375" s="55"/>
      <c r="FQ375" s="55"/>
      <c r="FR375" s="55"/>
      <c r="FS375" s="55"/>
      <c r="FT375" s="55"/>
      <c r="FU375" s="55"/>
      <c r="FV375" s="55"/>
      <c r="FW375" s="55"/>
      <c r="FX375" s="55"/>
      <c r="FY375" s="55"/>
      <c r="FZ375" s="55"/>
      <c r="GA375" s="55"/>
      <c r="GB375" s="55"/>
      <c r="GC375" s="55"/>
      <c r="GD375" s="55"/>
      <c r="GE375" s="55"/>
      <c r="GF375" s="55"/>
      <c r="GG375" s="55"/>
      <c r="GH375" s="55"/>
      <c r="GI375" s="55"/>
      <c r="GJ375" s="55"/>
      <c r="GK375" s="55"/>
      <c r="GL375" s="55"/>
      <c r="GM375" s="55"/>
      <c r="GN375" s="55"/>
      <c r="GO375" s="55"/>
      <c r="GP375" s="55"/>
      <c r="GQ375" s="55"/>
      <c r="GR375" s="55"/>
      <c r="GS375" s="55"/>
      <c r="GT375" s="55"/>
      <c r="GU375" s="55"/>
      <c r="GV375" s="55"/>
      <c r="GW375" s="55"/>
      <c r="GX375" s="55"/>
      <c r="GY375" s="55"/>
      <c r="GZ375" s="55"/>
      <c r="HA375" s="55"/>
      <c r="HB375" s="55"/>
      <c r="HC375" s="55"/>
      <c r="HD375" s="55"/>
      <c r="HE375" s="55"/>
      <c r="HF375" s="55"/>
      <c r="HG375" s="55"/>
      <c r="HH375" s="55"/>
      <c r="HI375" s="55"/>
      <c r="HJ375" s="55"/>
      <c r="HK375" s="55"/>
      <c r="HL375" s="55"/>
      <c r="HM375" s="55"/>
      <c r="HN375" s="55"/>
      <c r="HO375" s="55"/>
      <c r="HP375" s="55"/>
      <c r="HQ375" s="55"/>
      <c r="HR375" s="55"/>
      <c r="HS375" s="55"/>
      <c r="HT375" s="55"/>
      <c r="HU375" s="55"/>
      <c r="HV375" s="55"/>
      <c r="HW375" s="55"/>
      <c r="HX375" s="55"/>
      <c r="HY375" s="55"/>
      <c r="HZ375" s="55"/>
      <c r="IA375" s="55"/>
      <c r="IB375" s="55"/>
      <c r="IC375" s="55"/>
      <c r="ID375" s="55"/>
    </row>
    <row r="376" s="52" customFormat="1" ht="25.5" spans="1:238">
      <c r="A376" s="112"/>
      <c r="B376" s="112"/>
      <c r="C376" s="64"/>
      <c r="D376" s="65"/>
      <c r="E376" s="77"/>
      <c r="F376" s="77"/>
      <c r="G376" s="64"/>
      <c r="H376" s="42"/>
      <c r="I376" s="42"/>
      <c r="J376" s="83"/>
      <c r="K376" s="83"/>
      <c r="L376" s="83"/>
      <c r="M376" s="41"/>
      <c r="N376" s="41"/>
      <c r="O376" s="41"/>
      <c r="P376" s="64"/>
      <c r="Q376" s="64"/>
      <c r="R376" s="64"/>
      <c r="S376" s="83"/>
      <c r="T376" s="77"/>
      <c r="U376" s="105" t="s">
        <v>1022</v>
      </c>
      <c r="V376" s="105">
        <v>33040701101</v>
      </c>
      <c r="W376" s="106" t="s">
        <v>1023</v>
      </c>
      <c r="X376" s="105"/>
      <c r="Y376" s="105"/>
      <c r="Z376" s="105" t="s">
        <v>36</v>
      </c>
      <c r="AA376" s="110" t="s">
        <v>35</v>
      </c>
      <c r="AB376" s="50">
        <v>3005</v>
      </c>
      <c r="AC376" s="50">
        <v>2705</v>
      </c>
      <c r="AD376" s="50">
        <v>2300</v>
      </c>
      <c r="AE376" s="112" t="s">
        <v>37</v>
      </c>
      <c r="AF376" s="60"/>
      <c r="AG376" s="55"/>
      <c r="AH376" s="55"/>
      <c r="AI376" s="55"/>
      <c r="AJ376" s="55"/>
      <c r="AK376" s="55"/>
      <c r="AL376" s="55"/>
      <c r="AM376" s="55"/>
      <c r="AN376" s="55"/>
      <c r="AO376" s="55"/>
      <c r="AP376" s="55"/>
      <c r="AQ376" s="55"/>
      <c r="AR376" s="55"/>
      <c r="AS376" s="55"/>
      <c r="AT376" s="55"/>
      <c r="AU376" s="55"/>
      <c r="AV376" s="55"/>
      <c r="AW376" s="55"/>
      <c r="AX376" s="55"/>
      <c r="AY376" s="55"/>
      <c r="AZ376" s="55"/>
      <c r="BA376" s="55"/>
      <c r="BB376" s="55"/>
      <c r="BC376" s="55"/>
      <c r="BD376" s="55"/>
      <c r="BE376" s="55"/>
      <c r="BF376" s="55"/>
      <c r="BG376" s="55"/>
      <c r="BH376" s="55"/>
      <c r="BI376" s="55"/>
      <c r="BJ376" s="55"/>
      <c r="BK376" s="55"/>
      <c r="BL376" s="55"/>
      <c r="BM376" s="55"/>
      <c r="BN376" s="55"/>
      <c r="BO376" s="55"/>
      <c r="BP376" s="55"/>
      <c r="BQ376" s="55"/>
      <c r="BR376" s="55"/>
      <c r="BS376" s="55"/>
      <c r="BT376" s="55"/>
      <c r="BU376" s="55"/>
      <c r="BV376" s="55"/>
      <c r="BW376" s="55"/>
      <c r="BX376" s="55"/>
      <c r="BY376" s="55"/>
      <c r="BZ376" s="55"/>
      <c r="CA376" s="55"/>
      <c r="CB376" s="55"/>
      <c r="CC376" s="55"/>
      <c r="CD376" s="55"/>
      <c r="CE376" s="55"/>
      <c r="CF376" s="55"/>
      <c r="CG376" s="55"/>
      <c r="CH376" s="55"/>
      <c r="CI376" s="55"/>
      <c r="CJ376" s="55"/>
      <c r="CK376" s="55"/>
      <c r="CL376" s="55"/>
      <c r="CM376" s="55"/>
      <c r="CN376" s="55"/>
      <c r="CO376" s="55"/>
      <c r="CP376" s="55"/>
      <c r="CQ376" s="55"/>
      <c r="CR376" s="55"/>
      <c r="CS376" s="55"/>
      <c r="CT376" s="55"/>
      <c r="CU376" s="55"/>
      <c r="CV376" s="55"/>
      <c r="CW376" s="55"/>
      <c r="CX376" s="55"/>
      <c r="CY376" s="55"/>
      <c r="CZ376" s="55"/>
      <c r="DA376" s="55"/>
      <c r="DB376" s="55"/>
      <c r="DC376" s="55"/>
      <c r="DD376" s="55"/>
      <c r="DE376" s="55"/>
      <c r="DF376" s="55"/>
      <c r="DG376" s="55"/>
      <c r="DH376" s="55"/>
      <c r="DI376" s="55"/>
      <c r="DJ376" s="55"/>
      <c r="DK376" s="55"/>
      <c r="DL376" s="55"/>
      <c r="DM376" s="55"/>
      <c r="DN376" s="55"/>
      <c r="DO376" s="55"/>
      <c r="DP376" s="55"/>
      <c r="DQ376" s="55"/>
      <c r="DR376" s="55"/>
      <c r="DS376" s="55"/>
      <c r="DT376" s="55"/>
      <c r="DU376" s="55"/>
      <c r="DV376" s="55"/>
      <c r="DW376" s="55"/>
      <c r="DX376" s="55"/>
      <c r="DY376" s="55"/>
      <c r="DZ376" s="55"/>
      <c r="EA376" s="55"/>
      <c r="EB376" s="55"/>
      <c r="EC376" s="55"/>
      <c r="ED376" s="55"/>
      <c r="EE376" s="55"/>
      <c r="EF376" s="55"/>
      <c r="EG376" s="55"/>
      <c r="EH376" s="55"/>
      <c r="EI376" s="55"/>
      <c r="EJ376" s="55"/>
      <c r="EK376" s="55"/>
      <c r="EL376" s="55"/>
      <c r="EM376" s="55"/>
      <c r="EN376" s="55"/>
      <c r="EO376" s="55"/>
      <c r="EP376" s="55"/>
      <c r="EQ376" s="55"/>
      <c r="ER376" s="55"/>
      <c r="ES376" s="55"/>
      <c r="ET376" s="55"/>
      <c r="EU376" s="55"/>
      <c r="EV376" s="55"/>
      <c r="EW376" s="55"/>
      <c r="EX376" s="55"/>
      <c r="EY376" s="55"/>
      <c r="EZ376" s="55"/>
      <c r="FA376" s="55"/>
      <c r="FB376" s="55"/>
      <c r="FC376" s="55"/>
      <c r="FD376" s="55"/>
      <c r="FE376" s="55"/>
      <c r="FF376" s="55"/>
      <c r="FG376" s="55"/>
      <c r="FH376" s="55"/>
      <c r="FI376" s="55"/>
      <c r="FJ376" s="55"/>
      <c r="FK376" s="55"/>
      <c r="FL376" s="55"/>
      <c r="FM376" s="55"/>
      <c r="FN376" s="55"/>
      <c r="FO376" s="55"/>
      <c r="FP376" s="55"/>
      <c r="FQ376" s="55"/>
      <c r="FR376" s="55"/>
      <c r="FS376" s="55"/>
      <c r="FT376" s="55"/>
      <c r="FU376" s="55"/>
      <c r="FV376" s="55"/>
      <c r="FW376" s="55"/>
      <c r="FX376" s="55"/>
      <c r="FY376" s="55"/>
      <c r="FZ376" s="55"/>
      <c r="GA376" s="55"/>
      <c r="GB376" s="55"/>
      <c r="GC376" s="55"/>
      <c r="GD376" s="55"/>
      <c r="GE376" s="55"/>
      <c r="GF376" s="55"/>
      <c r="GG376" s="55"/>
      <c r="GH376" s="55"/>
      <c r="GI376" s="55"/>
      <c r="GJ376" s="55"/>
      <c r="GK376" s="55"/>
      <c r="GL376" s="55"/>
      <c r="GM376" s="55"/>
      <c r="GN376" s="55"/>
      <c r="GO376" s="55"/>
      <c r="GP376" s="55"/>
      <c r="GQ376" s="55"/>
      <c r="GR376" s="55"/>
      <c r="GS376" s="55"/>
      <c r="GT376" s="55"/>
      <c r="GU376" s="55"/>
      <c r="GV376" s="55"/>
      <c r="GW376" s="55"/>
      <c r="GX376" s="55"/>
      <c r="GY376" s="55"/>
      <c r="GZ376" s="55"/>
      <c r="HA376" s="55"/>
      <c r="HB376" s="55"/>
      <c r="HC376" s="55"/>
      <c r="HD376" s="55"/>
      <c r="HE376" s="55"/>
      <c r="HF376" s="55"/>
      <c r="HG376" s="55"/>
      <c r="HH376" s="55"/>
      <c r="HI376" s="55"/>
      <c r="HJ376" s="55"/>
      <c r="HK376" s="55"/>
      <c r="HL376" s="55"/>
      <c r="HM376" s="55"/>
      <c r="HN376" s="55"/>
      <c r="HO376" s="55"/>
      <c r="HP376" s="55"/>
      <c r="HQ376" s="55"/>
      <c r="HR376" s="55"/>
      <c r="HS376" s="55"/>
      <c r="HT376" s="55"/>
      <c r="HU376" s="55"/>
      <c r="HV376" s="55"/>
      <c r="HW376" s="55"/>
      <c r="HX376" s="55"/>
      <c r="HY376" s="55"/>
      <c r="HZ376" s="55"/>
      <c r="IA376" s="55"/>
      <c r="IB376" s="55"/>
      <c r="IC376" s="55"/>
      <c r="ID376" s="55"/>
    </row>
    <row r="377" s="52" customFormat="1" ht="25.5" spans="1:238">
      <c r="A377" s="112">
        <v>102</v>
      </c>
      <c r="B377" s="112" t="s">
        <v>1481</v>
      </c>
      <c r="C377" s="64" t="s">
        <v>1482</v>
      </c>
      <c r="D377" s="65" t="s">
        <v>1483</v>
      </c>
      <c r="E377" s="77" t="s">
        <v>1484</v>
      </c>
      <c r="F377" s="77" t="s">
        <v>1485</v>
      </c>
      <c r="G377" s="64" t="s">
        <v>110</v>
      </c>
      <c r="H377" s="78">
        <v>1370</v>
      </c>
      <c r="I377" s="78">
        <v>1233</v>
      </c>
      <c r="J377" s="83">
        <v>1281.23076923077</v>
      </c>
      <c r="K377" s="83">
        <v>1149.58333333333</v>
      </c>
      <c r="L377" s="83"/>
      <c r="M377" s="41">
        <v>1280</v>
      </c>
      <c r="N377" s="41">
        <v>1150</v>
      </c>
      <c r="O377" s="41">
        <v>980</v>
      </c>
      <c r="P377" s="64" t="s">
        <v>37</v>
      </c>
      <c r="Q377" s="64" t="s">
        <v>35</v>
      </c>
      <c r="R377" s="64" t="s">
        <v>35</v>
      </c>
      <c r="S377" s="83" t="s">
        <v>191</v>
      </c>
      <c r="T377" s="77" t="s">
        <v>268</v>
      </c>
      <c r="U377" s="105" t="s">
        <v>1486</v>
      </c>
      <c r="V377" s="105">
        <v>330409019</v>
      </c>
      <c r="W377" s="106" t="s">
        <v>1487</v>
      </c>
      <c r="X377" s="105" t="s">
        <v>1488</v>
      </c>
      <c r="Y377" s="105" t="s">
        <v>1489</v>
      </c>
      <c r="Z377" s="105" t="s">
        <v>36</v>
      </c>
      <c r="AA377" s="110" t="s">
        <v>35</v>
      </c>
      <c r="AB377" s="50">
        <v>1180</v>
      </c>
      <c r="AC377" s="50">
        <v>1060</v>
      </c>
      <c r="AD377" s="50">
        <v>900</v>
      </c>
      <c r="AE377" s="112" t="s">
        <v>37</v>
      </c>
      <c r="AF377" s="60"/>
      <c r="AG377" s="55"/>
      <c r="AH377" s="55"/>
      <c r="AI377" s="55"/>
      <c r="AJ377" s="55"/>
      <c r="AK377" s="55"/>
      <c r="AL377" s="55"/>
      <c r="AM377" s="55"/>
      <c r="AN377" s="55"/>
      <c r="AO377" s="55"/>
      <c r="AP377" s="55"/>
      <c r="AQ377" s="55"/>
      <c r="AR377" s="55"/>
      <c r="AS377" s="55"/>
      <c r="AT377" s="55"/>
      <c r="AU377" s="55"/>
      <c r="AV377" s="55"/>
      <c r="AW377" s="55"/>
      <c r="AX377" s="55"/>
      <c r="AY377" s="55"/>
      <c r="AZ377" s="55"/>
      <c r="BA377" s="55"/>
      <c r="BB377" s="55"/>
      <c r="BC377" s="55"/>
      <c r="BD377" s="55"/>
      <c r="BE377" s="55"/>
      <c r="BF377" s="55"/>
      <c r="BG377" s="55"/>
      <c r="BH377" s="55"/>
      <c r="BI377" s="55"/>
      <c r="BJ377" s="55"/>
      <c r="BK377" s="55"/>
      <c r="BL377" s="55"/>
      <c r="BM377" s="55"/>
      <c r="BN377" s="55"/>
      <c r="BO377" s="55"/>
      <c r="BP377" s="55"/>
      <c r="BQ377" s="55"/>
      <c r="BR377" s="55"/>
      <c r="BS377" s="55"/>
      <c r="BT377" s="55"/>
      <c r="BU377" s="55"/>
      <c r="BV377" s="55"/>
      <c r="BW377" s="55"/>
      <c r="BX377" s="55"/>
      <c r="BY377" s="55"/>
      <c r="BZ377" s="55"/>
      <c r="CA377" s="55"/>
      <c r="CB377" s="55"/>
      <c r="CC377" s="55"/>
      <c r="CD377" s="55"/>
      <c r="CE377" s="55"/>
      <c r="CF377" s="55"/>
      <c r="CG377" s="55"/>
      <c r="CH377" s="55"/>
      <c r="CI377" s="55"/>
      <c r="CJ377" s="55"/>
      <c r="CK377" s="55"/>
      <c r="CL377" s="55"/>
      <c r="CM377" s="55"/>
      <c r="CN377" s="55"/>
      <c r="CO377" s="55"/>
      <c r="CP377" s="55"/>
      <c r="CQ377" s="55"/>
      <c r="CR377" s="55"/>
      <c r="CS377" s="55"/>
      <c r="CT377" s="55"/>
      <c r="CU377" s="55"/>
      <c r="CV377" s="55"/>
      <c r="CW377" s="55"/>
      <c r="CX377" s="55"/>
      <c r="CY377" s="55"/>
      <c r="CZ377" s="55"/>
      <c r="DA377" s="55"/>
      <c r="DB377" s="55"/>
      <c r="DC377" s="55"/>
      <c r="DD377" s="55"/>
      <c r="DE377" s="55"/>
      <c r="DF377" s="55"/>
      <c r="DG377" s="55"/>
      <c r="DH377" s="55"/>
      <c r="DI377" s="55"/>
      <c r="DJ377" s="55"/>
      <c r="DK377" s="55"/>
      <c r="DL377" s="55"/>
      <c r="DM377" s="55"/>
      <c r="DN377" s="55"/>
      <c r="DO377" s="55"/>
      <c r="DP377" s="55"/>
      <c r="DQ377" s="55"/>
      <c r="DR377" s="55"/>
      <c r="DS377" s="55"/>
      <c r="DT377" s="55"/>
      <c r="DU377" s="55"/>
      <c r="DV377" s="55"/>
      <c r="DW377" s="55"/>
      <c r="DX377" s="55"/>
      <c r="DY377" s="55"/>
      <c r="DZ377" s="55"/>
      <c r="EA377" s="55"/>
      <c r="EB377" s="55"/>
      <c r="EC377" s="55"/>
      <c r="ED377" s="55"/>
      <c r="EE377" s="55"/>
      <c r="EF377" s="55"/>
      <c r="EG377" s="55"/>
      <c r="EH377" s="55"/>
      <c r="EI377" s="55"/>
      <c r="EJ377" s="55"/>
      <c r="EK377" s="55"/>
      <c r="EL377" s="55"/>
      <c r="EM377" s="55"/>
      <c r="EN377" s="55"/>
      <c r="EO377" s="55"/>
      <c r="EP377" s="55"/>
      <c r="EQ377" s="55"/>
      <c r="ER377" s="55"/>
      <c r="ES377" s="55"/>
      <c r="ET377" s="55"/>
      <c r="EU377" s="55"/>
      <c r="EV377" s="55"/>
      <c r="EW377" s="55"/>
      <c r="EX377" s="55"/>
      <c r="EY377" s="55"/>
      <c r="EZ377" s="55"/>
      <c r="FA377" s="55"/>
      <c r="FB377" s="55"/>
      <c r="FC377" s="55"/>
      <c r="FD377" s="55"/>
      <c r="FE377" s="55"/>
      <c r="FF377" s="55"/>
      <c r="FG377" s="55"/>
      <c r="FH377" s="55"/>
      <c r="FI377" s="55"/>
      <c r="FJ377" s="55"/>
      <c r="FK377" s="55"/>
      <c r="FL377" s="55"/>
      <c r="FM377" s="55"/>
      <c r="FN377" s="55"/>
      <c r="FO377" s="55"/>
      <c r="FP377" s="55"/>
      <c r="FQ377" s="55"/>
      <c r="FR377" s="55"/>
      <c r="FS377" s="55"/>
      <c r="FT377" s="55"/>
      <c r="FU377" s="55"/>
      <c r="FV377" s="55"/>
      <c r="FW377" s="55"/>
      <c r="FX377" s="55"/>
      <c r="FY377" s="55"/>
      <c r="FZ377" s="55"/>
      <c r="GA377" s="55"/>
      <c r="GB377" s="55"/>
      <c r="GC377" s="55"/>
      <c r="GD377" s="55"/>
      <c r="GE377" s="55"/>
      <c r="GF377" s="55"/>
      <c r="GG377" s="55"/>
      <c r="GH377" s="55"/>
      <c r="GI377" s="55"/>
      <c r="GJ377" s="55"/>
      <c r="GK377" s="55"/>
      <c r="GL377" s="55"/>
      <c r="GM377" s="55"/>
      <c r="GN377" s="55"/>
      <c r="GO377" s="55"/>
      <c r="GP377" s="55"/>
      <c r="GQ377" s="55"/>
      <c r="GR377" s="55"/>
      <c r="GS377" s="55"/>
      <c r="GT377" s="55"/>
      <c r="GU377" s="55"/>
      <c r="GV377" s="55"/>
      <c r="GW377" s="55"/>
      <c r="GX377" s="55"/>
      <c r="GY377" s="55"/>
      <c r="GZ377" s="55"/>
      <c r="HA377" s="55"/>
      <c r="HB377" s="55"/>
      <c r="HC377" s="55"/>
      <c r="HD377" s="55"/>
      <c r="HE377" s="55"/>
      <c r="HF377" s="55"/>
      <c r="HG377" s="55"/>
      <c r="HH377" s="55"/>
      <c r="HI377" s="55"/>
      <c r="HJ377" s="55"/>
      <c r="HK377" s="55"/>
      <c r="HL377" s="55"/>
      <c r="HM377" s="55"/>
      <c r="HN377" s="55"/>
      <c r="HO377" s="55"/>
      <c r="HP377" s="55"/>
      <c r="HQ377" s="55"/>
      <c r="HR377" s="55"/>
      <c r="HS377" s="55"/>
      <c r="HT377" s="55"/>
      <c r="HU377" s="55"/>
      <c r="HV377" s="55"/>
      <c r="HW377" s="55"/>
      <c r="HX377" s="55"/>
      <c r="HY377" s="55"/>
      <c r="HZ377" s="55"/>
      <c r="IA377" s="55"/>
      <c r="IB377" s="55"/>
      <c r="IC377" s="55"/>
      <c r="ID377" s="55"/>
    </row>
    <row r="378" s="52" customFormat="1" ht="25.5" spans="1:238">
      <c r="A378" s="112"/>
      <c r="B378" s="112"/>
      <c r="C378" s="64"/>
      <c r="D378" s="65"/>
      <c r="E378" s="77"/>
      <c r="F378" s="77"/>
      <c r="G378" s="64"/>
      <c r="H378" s="42"/>
      <c r="I378" s="42"/>
      <c r="J378" s="83"/>
      <c r="K378" s="83"/>
      <c r="L378" s="83"/>
      <c r="M378" s="41"/>
      <c r="N378" s="41"/>
      <c r="O378" s="41"/>
      <c r="P378" s="64"/>
      <c r="Q378" s="64"/>
      <c r="R378" s="64"/>
      <c r="S378" s="83"/>
      <c r="T378" s="77"/>
      <c r="U378" s="105" t="s">
        <v>1490</v>
      </c>
      <c r="V378" s="105">
        <v>33040901901</v>
      </c>
      <c r="W378" s="106" t="s">
        <v>1491</v>
      </c>
      <c r="X378" s="105"/>
      <c r="Y378" s="105"/>
      <c r="Z378" s="105" t="s">
        <v>36</v>
      </c>
      <c r="AA378" s="110" t="s">
        <v>1492</v>
      </c>
      <c r="AB378" s="50">
        <v>1180</v>
      </c>
      <c r="AC378" s="50">
        <v>1060</v>
      </c>
      <c r="AD378" s="50">
        <v>900</v>
      </c>
      <c r="AE378" s="112" t="s">
        <v>37</v>
      </c>
      <c r="AF378" s="60"/>
      <c r="AG378" s="55"/>
      <c r="AH378" s="55"/>
      <c r="AI378" s="55"/>
      <c r="AJ378" s="55"/>
      <c r="AK378" s="55"/>
      <c r="AL378" s="55"/>
      <c r="AM378" s="55"/>
      <c r="AN378" s="55"/>
      <c r="AO378" s="55"/>
      <c r="AP378" s="55"/>
      <c r="AQ378" s="55"/>
      <c r="AR378" s="55"/>
      <c r="AS378" s="55"/>
      <c r="AT378" s="55"/>
      <c r="AU378" s="55"/>
      <c r="AV378" s="55"/>
      <c r="AW378" s="55"/>
      <c r="AX378" s="55"/>
      <c r="AY378" s="55"/>
      <c r="AZ378" s="55"/>
      <c r="BA378" s="55"/>
      <c r="BB378" s="55"/>
      <c r="BC378" s="55"/>
      <c r="BD378" s="55"/>
      <c r="BE378" s="55"/>
      <c r="BF378" s="55"/>
      <c r="BG378" s="55"/>
      <c r="BH378" s="55"/>
      <c r="BI378" s="55"/>
      <c r="BJ378" s="55"/>
      <c r="BK378" s="55"/>
      <c r="BL378" s="55"/>
      <c r="BM378" s="55"/>
      <c r="BN378" s="55"/>
      <c r="BO378" s="55"/>
      <c r="BP378" s="55"/>
      <c r="BQ378" s="55"/>
      <c r="BR378" s="55"/>
      <c r="BS378" s="55"/>
      <c r="BT378" s="55"/>
      <c r="BU378" s="55"/>
      <c r="BV378" s="55"/>
      <c r="BW378" s="55"/>
      <c r="BX378" s="55"/>
      <c r="BY378" s="55"/>
      <c r="BZ378" s="55"/>
      <c r="CA378" s="55"/>
      <c r="CB378" s="55"/>
      <c r="CC378" s="55"/>
      <c r="CD378" s="55"/>
      <c r="CE378" s="55"/>
      <c r="CF378" s="55"/>
      <c r="CG378" s="55"/>
      <c r="CH378" s="55"/>
      <c r="CI378" s="55"/>
      <c r="CJ378" s="55"/>
      <c r="CK378" s="55"/>
      <c r="CL378" s="55"/>
      <c r="CM378" s="55"/>
      <c r="CN378" s="55"/>
      <c r="CO378" s="55"/>
      <c r="CP378" s="55"/>
      <c r="CQ378" s="55"/>
      <c r="CR378" s="55"/>
      <c r="CS378" s="55"/>
      <c r="CT378" s="55"/>
      <c r="CU378" s="55"/>
      <c r="CV378" s="55"/>
      <c r="CW378" s="55"/>
      <c r="CX378" s="55"/>
      <c r="CY378" s="55"/>
      <c r="CZ378" s="55"/>
      <c r="DA378" s="55"/>
      <c r="DB378" s="55"/>
      <c r="DC378" s="55"/>
      <c r="DD378" s="55"/>
      <c r="DE378" s="55"/>
      <c r="DF378" s="55"/>
      <c r="DG378" s="55"/>
      <c r="DH378" s="55"/>
      <c r="DI378" s="55"/>
      <c r="DJ378" s="55"/>
      <c r="DK378" s="55"/>
      <c r="DL378" s="55"/>
      <c r="DM378" s="55"/>
      <c r="DN378" s="55"/>
      <c r="DO378" s="55"/>
      <c r="DP378" s="55"/>
      <c r="DQ378" s="55"/>
      <c r="DR378" s="55"/>
      <c r="DS378" s="55"/>
      <c r="DT378" s="55"/>
      <c r="DU378" s="55"/>
      <c r="DV378" s="55"/>
      <c r="DW378" s="55"/>
      <c r="DX378" s="55"/>
      <c r="DY378" s="55"/>
      <c r="DZ378" s="55"/>
      <c r="EA378" s="55"/>
      <c r="EB378" s="55"/>
      <c r="EC378" s="55"/>
      <c r="ED378" s="55"/>
      <c r="EE378" s="55"/>
      <c r="EF378" s="55"/>
      <c r="EG378" s="55"/>
      <c r="EH378" s="55"/>
      <c r="EI378" s="55"/>
      <c r="EJ378" s="55"/>
      <c r="EK378" s="55"/>
      <c r="EL378" s="55"/>
      <c r="EM378" s="55"/>
      <c r="EN378" s="55"/>
      <c r="EO378" s="55"/>
      <c r="EP378" s="55"/>
      <c r="EQ378" s="55"/>
      <c r="ER378" s="55"/>
      <c r="ES378" s="55"/>
      <c r="ET378" s="55"/>
      <c r="EU378" s="55"/>
      <c r="EV378" s="55"/>
      <c r="EW378" s="55"/>
      <c r="EX378" s="55"/>
      <c r="EY378" s="55"/>
      <c r="EZ378" s="55"/>
      <c r="FA378" s="55"/>
      <c r="FB378" s="55"/>
      <c r="FC378" s="55"/>
      <c r="FD378" s="55"/>
      <c r="FE378" s="55"/>
      <c r="FF378" s="55"/>
      <c r="FG378" s="55"/>
      <c r="FH378" s="55"/>
      <c r="FI378" s="55"/>
      <c r="FJ378" s="55"/>
      <c r="FK378" s="55"/>
      <c r="FL378" s="55"/>
      <c r="FM378" s="55"/>
      <c r="FN378" s="55"/>
      <c r="FO378" s="55"/>
      <c r="FP378" s="55"/>
      <c r="FQ378" s="55"/>
      <c r="FR378" s="55"/>
      <c r="FS378" s="55"/>
      <c r="FT378" s="55"/>
      <c r="FU378" s="55"/>
      <c r="FV378" s="55"/>
      <c r="FW378" s="55"/>
      <c r="FX378" s="55"/>
      <c r="FY378" s="55"/>
      <c r="FZ378" s="55"/>
      <c r="GA378" s="55"/>
      <c r="GB378" s="55"/>
      <c r="GC378" s="55"/>
      <c r="GD378" s="55"/>
      <c r="GE378" s="55"/>
      <c r="GF378" s="55"/>
      <c r="GG378" s="55"/>
      <c r="GH378" s="55"/>
      <c r="GI378" s="55"/>
      <c r="GJ378" s="55"/>
      <c r="GK378" s="55"/>
      <c r="GL378" s="55"/>
      <c r="GM378" s="55"/>
      <c r="GN378" s="55"/>
      <c r="GO378" s="55"/>
      <c r="GP378" s="55"/>
      <c r="GQ378" s="55"/>
      <c r="GR378" s="55"/>
      <c r="GS378" s="55"/>
      <c r="GT378" s="55"/>
      <c r="GU378" s="55"/>
      <c r="GV378" s="55"/>
      <c r="GW378" s="55"/>
      <c r="GX378" s="55"/>
      <c r="GY378" s="55"/>
      <c r="GZ378" s="55"/>
      <c r="HA378" s="55"/>
      <c r="HB378" s="55"/>
      <c r="HC378" s="55"/>
      <c r="HD378" s="55"/>
      <c r="HE378" s="55"/>
      <c r="HF378" s="55"/>
      <c r="HG378" s="55"/>
      <c r="HH378" s="55"/>
      <c r="HI378" s="55"/>
      <c r="HJ378" s="55"/>
      <c r="HK378" s="55"/>
      <c r="HL378" s="55"/>
      <c r="HM378" s="55"/>
      <c r="HN378" s="55"/>
      <c r="HO378" s="55"/>
      <c r="HP378" s="55"/>
      <c r="HQ378" s="55"/>
      <c r="HR378" s="55"/>
      <c r="HS378" s="55"/>
      <c r="HT378" s="55"/>
      <c r="HU378" s="55"/>
      <c r="HV378" s="55"/>
      <c r="HW378" s="55"/>
      <c r="HX378" s="55"/>
      <c r="HY378" s="55"/>
      <c r="HZ378" s="55"/>
      <c r="IA378" s="55"/>
      <c r="IB378" s="55"/>
      <c r="IC378" s="55"/>
      <c r="ID378" s="55"/>
    </row>
    <row r="379" s="52" customFormat="1" ht="25.5" spans="1:238">
      <c r="A379" s="112"/>
      <c r="B379" s="112"/>
      <c r="C379" s="64"/>
      <c r="D379" s="65"/>
      <c r="E379" s="77"/>
      <c r="F379" s="77"/>
      <c r="G379" s="64"/>
      <c r="H379" s="42"/>
      <c r="I379" s="42"/>
      <c r="J379" s="83"/>
      <c r="K379" s="83"/>
      <c r="L379" s="83"/>
      <c r="M379" s="41"/>
      <c r="N379" s="41"/>
      <c r="O379" s="41"/>
      <c r="P379" s="64"/>
      <c r="Q379" s="64"/>
      <c r="R379" s="64"/>
      <c r="S379" s="83"/>
      <c r="T379" s="77"/>
      <c r="U379" s="105" t="s">
        <v>1493</v>
      </c>
      <c r="V379" s="105">
        <v>33040901902</v>
      </c>
      <c r="W379" s="106" t="s">
        <v>1494</v>
      </c>
      <c r="X379" s="105"/>
      <c r="Y379" s="105"/>
      <c r="Z379" s="105" t="s">
        <v>36</v>
      </c>
      <c r="AA379" s="110" t="s">
        <v>1495</v>
      </c>
      <c r="AB379" s="50">
        <v>1180</v>
      </c>
      <c r="AC379" s="50">
        <v>1060</v>
      </c>
      <c r="AD379" s="50">
        <v>900</v>
      </c>
      <c r="AE379" s="112" t="s">
        <v>37</v>
      </c>
      <c r="AF379" s="60"/>
      <c r="AG379" s="55"/>
      <c r="AH379" s="55"/>
      <c r="AI379" s="55"/>
      <c r="AJ379" s="55"/>
      <c r="AK379" s="55"/>
      <c r="AL379" s="55"/>
      <c r="AM379" s="55"/>
      <c r="AN379" s="55"/>
      <c r="AO379" s="55"/>
      <c r="AP379" s="55"/>
      <c r="AQ379" s="55"/>
      <c r="AR379" s="55"/>
      <c r="AS379" s="55"/>
      <c r="AT379" s="55"/>
      <c r="AU379" s="55"/>
      <c r="AV379" s="55"/>
      <c r="AW379" s="55"/>
      <c r="AX379" s="55"/>
      <c r="AY379" s="55"/>
      <c r="AZ379" s="55"/>
      <c r="BA379" s="55"/>
      <c r="BB379" s="55"/>
      <c r="BC379" s="55"/>
      <c r="BD379" s="55"/>
      <c r="BE379" s="55"/>
      <c r="BF379" s="55"/>
      <c r="BG379" s="55"/>
      <c r="BH379" s="55"/>
      <c r="BI379" s="55"/>
      <c r="BJ379" s="55"/>
      <c r="BK379" s="55"/>
      <c r="BL379" s="55"/>
      <c r="BM379" s="55"/>
      <c r="BN379" s="55"/>
      <c r="BO379" s="55"/>
      <c r="BP379" s="55"/>
      <c r="BQ379" s="55"/>
      <c r="BR379" s="55"/>
      <c r="BS379" s="55"/>
      <c r="BT379" s="55"/>
      <c r="BU379" s="55"/>
      <c r="BV379" s="55"/>
      <c r="BW379" s="55"/>
      <c r="BX379" s="55"/>
      <c r="BY379" s="55"/>
      <c r="BZ379" s="55"/>
      <c r="CA379" s="55"/>
      <c r="CB379" s="55"/>
      <c r="CC379" s="55"/>
      <c r="CD379" s="55"/>
      <c r="CE379" s="55"/>
      <c r="CF379" s="55"/>
      <c r="CG379" s="55"/>
      <c r="CH379" s="55"/>
      <c r="CI379" s="55"/>
      <c r="CJ379" s="55"/>
      <c r="CK379" s="55"/>
      <c r="CL379" s="55"/>
      <c r="CM379" s="55"/>
      <c r="CN379" s="55"/>
      <c r="CO379" s="55"/>
      <c r="CP379" s="55"/>
      <c r="CQ379" s="55"/>
      <c r="CR379" s="55"/>
      <c r="CS379" s="55"/>
      <c r="CT379" s="55"/>
      <c r="CU379" s="55"/>
      <c r="CV379" s="55"/>
      <c r="CW379" s="55"/>
      <c r="CX379" s="55"/>
      <c r="CY379" s="55"/>
      <c r="CZ379" s="55"/>
      <c r="DA379" s="55"/>
      <c r="DB379" s="55"/>
      <c r="DC379" s="55"/>
      <c r="DD379" s="55"/>
      <c r="DE379" s="55"/>
      <c r="DF379" s="55"/>
      <c r="DG379" s="55"/>
      <c r="DH379" s="55"/>
      <c r="DI379" s="55"/>
      <c r="DJ379" s="55"/>
      <c r="DK379" s="55"/>
      <c r="DL379" s="55"/>
      <c r="DM379" s="55"/>
      <c r="DN379" s="55"/>
      <c r="DO379" s="55"/>
      <c r="DP379" s="55"/>
      <c r="DQ379" s="55"/>
      <c r="DR379" s="55"/>
      <c r="DS379" s="55"/>
      <c r="DT379" s="55"/>
      <c r="DU379" s="55"/>
      <c r="DV379" s="55"/>
      <c r="DW379" s="55"/>
      <c r="DX379" s="55"/>
      <c r="DY379" s="55"/>
      <c r="DZ379" s="55"/>
      <c r="EA379" s="55"/>
      <c r="EB379" s="55"/>
      <c r="EC379" s="55"/>
      <c r="ED379" s="55"/>
      <c r="EE379" s="55"/>
      <c r="EF379" s="55"/>
      <c r="EG379" s="55"/>
      <c r="EH379" s="55"/>
      <c r="EI379" s="55"/>
      <c r="EJ379" s="55"/>
      <c r="EK379" s="55"/>
      <c r="EL379" s="55"/>
      <c r="EM379" s="55"/>
      <c r="EN379" s="55"/>
      <c r="EO379" s="55"/>
      <c r="EP379" s="55"/>
      <c r="EQ379" s="55"/>
      <c r="ER379" s="55"/>
      <c r="ES379" s="55"/>
      <c r="ET379" s="55"/>
      <c r="EU379" s="55"/>
      <c r="EV379" s="55"/>
      <c r="EW379" s="55"/>
      <c r="EX379" s="55"/>
      <c r="EY379" s="55"/>
      <c r="EZ379" s="55"/>
      <c r="FA379" s="55"/>
      <c r="FB379" s="55"/>
      <c r="FC379" s="55"/>
      <c r="FD379" s="55"/>
      <c r="FE379" s="55"/>
      <c r="FF379" s="55"/>
      <c r="FG379" s="55"/>
      <c r="FH379" s="55"/>
      <c r="FI379" s="55"/>
      <c r="FJ379" s="55"/>
      <c r="FK379" s="55"/>
      <c r="FL379" s="55"/>
      <c r="FM379" s="55"/>
      <c r="FN379" s="55"/>
      <c r="FO379" s="55"/>
      <c r="FP379" s="55"/>
      <c r="FQ379" s="55"/>
      <c r="FR379" s="55"/>
      <c r="FS379" s="55"/>
      <c r="FT379" s="55"/>
      <c r="FU379" s="55"/>
      <c r="FV379" s="55"/>
      <c r="FW379" s="55"/>
      <c r="FX379" s="55"/>
      <c r="FY379" s="55"/>
      <c r="FZ379" s="55"/>
      <c r="GA379" s="55"/>
      <c r="GB379" s="55"/>
      <c r="GC379" s="55"/>
      <c r="GD379" s="55"/>
      <c r="GE379" s="55"/>
      <c r="GF379" s="55"/>
      <c r="GG379" s="55"/>
      <c r="GH379" s="55"/>
      <c r="GI379" s="55"/>
      <c r="GJ379" s="55"/>
      <c r="GK379" s="55"/>
      <c r="GL379" s="55"/>
      <c r="GM379" s="55"/>
      <c r="GN379" s="55"/>
      <c r="GO379" s="55"/>
      <c r="GP379" s="55"/>
      <c r="GQ379" s="55"/>
      <c r="GR379" s="55"/>
      <c r="GS379" s="55"/>
      <c r="GT379" s="55"/>
      <c r="GU379" s="55"/>
      <c r="GV379" s="55"/>
      <c r="GW379" s="55"/>
      <c r="GX379" s="55"/>
      <c r="GY379" s="55"/>
      <c r="GZ379" s="55"/>
      <c r="HA379" s="55"/>
      <c r="HB379" s="55"/>
      <c r="HC379" s="55"/>
      <c r="HD379" s="55"/>
      <c r="HE379" s="55"/>
      <c r="HF379" s="55"/>
      <c r="HG379" s="55"/>
      <c r="HH379" s="55"/>
      <c r="HI379" s="55"/>
      <c r="HJ379" s="55"/>
      <c r="HK379" s="55"/>
      <c r="HL379" s="55"/>
      <c r="HM379" s="55"/>
      <c r="HN379" s="55"/>
      <c r="HO379" s="55"/>
      <c r="HP379" s="55"/>
      <c r="HQ379" s="55"/>
      <c r="HR379" s="55"/>
      <c r="HS379" s="55"/>
      <c r="HT379" s="55"/>
      <c r="HU379" s="55"/>
      <c r="HV379" s="55"/>
      <c r="HW379" s="55"/>
      <c r="HX379" s="55"/>
      <c r="HY379" s="55"/>
      <c r="HZ379" s="55"/>
      <c r="IA379" s="55"/>
      <c r="IB379" s="55"/>
      <c r="IC379" s="55"/>
      <c r="ID379" s="55"/>
    </row>
    <row r="380" s="52" customFormat="1" ht="25.5" spans="1:238">
      <c r="A380" s="112"/>
      <c r="B380" s="112"/>
      <c r="C380" s="64"/>
      <c r="D380" s="65"/>
      <c r="E380" s="77"/>
      <c r="F380" s="77"/>
      <c r="G380" s="64"/>
      <c r="H380" s="42"/>
      <c r="I380" s="42"/>
      <c r="J380" s="83"/>
      <c r="K380" s="83"/>
      <c r="L380" s="83"/>
      <c r="M380" s="41"/>
      <c r="N380" s="41"/>
      <c r="O380" s="41"/>
      <c r="P380" s="64"/>
      <c r="Q380" s="64"/>
      <c r="R380" s="64"/>
      <c r="S380" s="83"/>
      <c r="T380" s="77"/>
      <c r="U380" s="105" t="s">
        <v>1496</v>
      </c>
      <c r="V380" s="105">
        <v>330409020</v>
      </c>
      <c r="W380" s="106" t="s">
        <v>1497</v>
      </c>
      <c r="X380" s="105"/>
      <c r="Y380" s="105" t="s">
        <v>1498</v>
      </c>
      <c r="Z380" s="105" t="s">
        <v>36</v>
      </c>
      <c r="AA380" s="110" t="s">
        <v>35</v>
      </c>
      <c r="AB380" s="50">
        <v>1650</v>
      </c>
      <c r="AC380" s="50">
        <v>1490</v>
      </c>
      <c r="AD380" s="50">
        <v>1270</v>
      </c>
      <c r="AE380" s="112" t="s">
        <v>37</v>
      </c>
      <c r="AF380" s="60"/>
      <c r="AG380" s="55"/>
      <c r="AH380" s="55"/>
      <c r="AI380" s="55"/>
      <c r="AJ380" s="55"/>
      <c r="AK380" s="55"/>
      <c r="AL380" s="55"/>
      <c r="AM380" s="55"/>
      <c r="AN380" s="55"/>
      <c r="AO380" s="55"/>
      <c r="AP380" s="55"/>
      <c r="AQ380" s="55"/>
      <c r="AR380" s="55"/>
      <c r="AS380" s="55"/>
      <c r="AT380" s="55"/>
      <c r="AU380" s="55"/>
      <c r="AV380" s="55"/>
      <c r="AW380" s="55"/>
      <c r="AX380" s="55"/>
      <c r="AY380" s="55"/>
      <c r="AZ380" s="55"/>
      <c r="BA380" s="55"/>
      <c r="BB380" s="55"/>
      <c r="BC380" s="55"/>
      <c r="BD380" s="55"/>
      <c r="BE380" s="55"/>
      <c r="BF380" s="55"/>
      <c r="BG380" s="55"/>
      <c r="BH380" s="55"/>
      <c r="BI380" s="55"/>
      <c r="BJ380" s="55"/>
      <c r="BK380" s="55"/>
      <c r="BL380" s="55"/>
      <c r="BM380" s="55"/>
      <c r="BN380" s="55"/>
      <c r="BO380" s="55"/>
      <c r="BP380" s="55"/>
      <c r="BQ380" s="55"/>
      <c r="BR380" s="55"/>
      <c r="BS380" s="55"/>
      <c r="BT380" s="55"/>
      <c r="BU380" s="55"/>
      <c r="BV380" s="55"/>
      <c r="BW380" s="55"/>
      <c r="BX380" s="55"/>
      <c r="BY380" s="55"/>
      <c r="BZ380" s="55"/>
      <c r="CA380" s="55"/>
      <c r="CB380" s="55"/>
      <c r="CC380" s="55"/>
      <c r="CD380" s="55"/>
      <c r="CE380" s="55"/>
      <c r="CF380" s="55"/>
      <c r="CG380" s="55"/>
      <c r="CH380" s="55"/>
      <c r="CI380" s="55"/>
      <c r="CJ380" s="55"/>
      <c r="CK380" s="55"/>
      <c r="CL380" s="55"/>
      <c r="CM380" s="55"/>
      <c r="CN380" s="55"/>
      <c r="CO380" s="55"/>
      <c r="CP380" s="55"/>
      <c r="CQ380" s="55"/>
      <c r="CR380" s="55"/>
      <c r="CS380" s="55"/>
      <c r="CT380" s="55"/>
      <c r="CU380" s="55"/>
      <c r="CV380" s="55"/>
      <c r="CW380" s="55"/>
      <c r="CX380" s="55"/>
      <c r="CY380" s="55"/>
      <c r="CZ380" s="55"/>
      <c r="DA380" s="55"/>
      <c r="DB380" s="55"/>
      <c r="DC380" s="55"/>
      <c r="DD380" s="55"/>
      <c r="DE380" s="55"/>
      <c r="DF380" s="55"/>
      <c r="DG380" s="55"/>
      <c r="DH380" s="55"/>
      <c r="DI380" s="55"/>
      <c r="DJ380" s="55"/>
      <c r="DK380" s="55"/>
      <c r="DL380" s="55"/>
      <c r="DM380" s="55"/>
      <c r="DN380" s="55"/>
      <c r="DO380" s="55"/>
      <c r="DP380" s="55"/>
      <c r="DQ380" s="55"/>
      <c r="DR380" s="55"/>
      <c r="DS380" s="55"/>
      <c r="DT380" s="55"/>
      <c r="DU380" s="55"/>
      <c r="DV380" s="55"/>
      <c r="DW380" s="55"/>
      <c r="DX380" s="55"/>
      <c r="DY380" s="55"/>
      <c r="DZ380" s="55"/>
      <c r="EA380" s="55"/>
      <c r="EB380" s="55"/>
      <c r="EC380" s="55"/>
      <c r="ED380" s="55"/>
      <c r="EE380" s="55"/>
      <c r="EF380" s="55"/>
      <c r="EG380" s="55"/>
      <c r="EH380" s="55"/>
      <c r="EI380" s="55"/>
      <c r="EJ380" s="55"/>
      <c r="EK380" s="55"/>
      <c r="EL380" s="55"/>
      <c r="EM380" s="55"/>
      <c r="EN380" s="55"/>
      <c r="EO380" s="55"/>
      <c r="EP380" s="55"/>
      <c r="EQ380" s="55"/>
      <c r="ER380" s="55"/>
      <c r="ES380" s="55"/>
      <c r="ET380" s="55"/>
      <c r="EU380" s="55"/>
      <c r="EV380" s="55"/>
      <c r="EW380" s="55"/>
      <c r="EX380" s="55"/>
      <c r="EY380" s="55"/>
      <c r="EZ380" s="55"/>
      <c r="FA380" s="55"/>
      <c r="FB380" s="55"/>
      <c r="FC380" s="55"/>
      <c r="FD380" s="55"/>
      <c r="FE380" s="55"/>
      <c r="FF380" s="55"/>
      <c r="FG380" s="55"/>
      <c r="FH380" s="55"/>
      <c r="FI380" s="55"/>
      <c r="FJ380" s="55"/>
      <c r="FK380" s="55"/>
      <c r="FL380" s="55"/>
      <c r="FM380" s="55"/>
      <c r="FN380" s="55"/>
      <c r="FO380" s="55"/>
      <c r="FP380" s="55"/>
      <c r="FQ380" s="55"/>
      <c r="FR380" s="55"/>
      <c r="FS380" s="55"/>
      <c r="FT380" s="55"/>
      <c r="FU380" s="55"/>
      <c r="FV380" s="55"/>
      <c r="FW380" s="55"/>
      <c r="FX380" s="55"/>
      <c r="FY380" s="55"/>
      <c r="FZ380" s="55"/>
      <c r="GA380" s="55"/>
      <c r="GB380" s="55"/>
      <c r="GC380" s="55"/>
      <c r="GD380" s="55"/>
      <c r="GE380" s="55"/>
      <c r="GF380" s="55"/>
      <c r="GG380" s="55"/>
      <c r="GH380" s="55"/>
      <c r="GI380" s="55"/>
      <c r="GJ380" s="55"/>
      <c r="GK380" s="55"/>
      <c r="GL380" s="55"/>
      <c r="GM380" s="55"/>
      <c r="GN380" s="55"/>
      <c r="GO380" s="55"/>
      <c r="GP380" s="55"/>
      <c r="GQ380" s="55"/>
      <c r="GR380" s="55"/>
      <c r="GS380" s="55"/>
      <c r="GT380" s="55"/>
      <c r="GU380" s="55"/>
      <c r="GV380" s="55"/>
      <c r="GW380" s="55"/>
      <c r="GX380" s="55"/>
      <c r="GY380" s="55"/>
      <c r="GZ380" s="55"/>
      <c r="HA380" s="55"/>
      <c r="HB380" s="55"/>
      <c r="HC380" s="55"/>
      <c r="HD380" s="55"/>
      <c r="HE380" s="55"/>
      <c r="HF380" s="55"/>
      <c r="HG380" s="55"/>
      <c r="HH380" s="55"/>
      <c r="HI380" s="55"/>
      <c r="HJ380" s="55"/>
      <c r="HK380" s="55"/>
      <c r="HL380" s="55"/>
      <c r="HM380" s="55"/>
      <c r="HN380" s="55"/>
      <c r="HO380" s="55"/>
      <c r="HP380" s="55"/>
      <c r="HQ380" s="55"/>
      <c r="HR380" s="55"/>
      <c r="HS380" s="55"/>
      <c r="HT380" s="55"/>
      <c r="HU380" s="55"/>
      <c r="HV380" s="55"/>
      <c r="HW380" s="55"/>
      <c r="HX380" s="55"/>
      <c r="HY380" s="55"/>
      <c r="HZ380" s="55"/>
      <c r="IA380" s="55"/>
      <c r="IB380" s="55"/>
      <c r="IC380" s="55"/>
      <c r="ID380" s="55"/>
    </row>
    <row r="381" s="52" customFormat="1" ht="25.5" spans="1:238">
      <c r="A381" s="112" t="s">
        <v>95</v>
      </c>
      <c r="B381" s="112" t="s">
        <v>1499</v>
      </c>
      <c r="C381" s="64" t="s">
        <v>1500</v>
      </c>
      <c r="D381" s="65"/>
      <c r="E381" s="77"/>
      <c r="F381" s="77" t="s">
        <v>35</v>
      </c>
      <c r="G381" s="64" t="s">
        <v>110</v>
      </c>
      <c r="H381" s="42">
        <v>411</v>
      </c>
      <c r="I381" s="42">
        <v>370</v>
      </c>
      <c r="J381" s="83"/>
      <c r="K381" s="83"/>
      <c r="L381" s="83"/>
      <c r="M381" s="41">
        <v>385</v>
      </c>
      <c r="N381" s="41">
        <v>345</v>
      </c>
      <c r="O381" s="41">
        <v>295</v>
      </c>
      <c r="P381" s="64" t="s">
        <v>37</v>
      </c>
      <c r="Q381" s="64" t="s">
        <v>35</v>
      </c>
      <c r="R381" s="64" t="s">
        <v>35</v>
      </c>
      <c r="S381" s="83"/>
      <c r="T381" s="77"/>
      <c r="U381" s="105" t="s">
        <v>1501</v>
      </c>
      <c r="V381" s="105">
        <v>33040901903</v>
      </c>
      <c r="W381" s="106" t="s">
        <v>1502</v>
      </c>
      <c r="X381" s="105"/>
      <c r="Y381" s="105"/>
      <c r="Z381" s="105" t="s">
        <v>36</v>
      </c>
      <c r="AA381" s="110" t="s">
        <v>35</v>
      </c>
      <c r="AB381" s="50">
        <v>1535</v>
      </c>
      <c r="AC381" s="50">
        <v>1380</v>
      </c>
      <c r="AD381" s="50">
        <v>1175</v>
      </c>
      <c r="AE381" s="112" t="s">
        <v>37</v>
      </c>
      <c r="AF381" s="60"/>
      <c r="AG381" s="55"/>
      <c r="AH381" s="55"/>
      <c r="AI381" s="55"/>
      <c r="AJ381" s="55"/>
      <c r="AK381" s="55"/>
      <c r="AL381" s="55"/>
      <c r="AM381" s="55"/>
      <c r="AN381" s="55"/>
      <c r="AO381" s="55"/>
      <c r="AP381" s="55"/>
      <c r="AQ381" s="55"/>
      <c r="AR381" s="55"/>
      <c r="AS381" s="55"/>
      <c r="AT381" s="55"/>
      <c r="AU381" s="55"/>
      <c r="AV381" s="55"/>
      <c r="AW381" s="55"/>
      <c r="AX381" s="55"/>
      <c r="AY381" s="55"/>
      <c r="AZ381" s="55"/>
      <c r="BA381" s="55"/>
      <c r="BB381" s="55"/>
      <c r="BC381" s="55"/>
      <c r="BD381" s="55"/>
      <c r="BE381" s="55"/>
      <c r="BF381" s="55"/>
      <c r="BG381" s="55"/>
      <c r="BH381" s="55"/>
      <c r="BI381" s="55"/>
      <c r="BJ381" s="55"/>
      <c r="BK381" s="55"/>
      <c r="BL381" s="55"/>
      <c r="BM381" s="55"/>
      <c r="BN381" s="55"/>
      <c r="BO381" s="55"/>
      <c r="BP381" s="55"/>
      <c r="BQ381" s="55"/>
      <c r="BR381" s="55"/>
      <c r="BS381" s="55"/>
      <c r="BT381" s="55"/>
      <c r="BU381" s="55"/>
      <c r="BV381" s="55"/>
      <c r="BW381" s="55"/>
      <c r="BX381" s="55"/>
      <c r="BY381" s="55"/>
      <c r="BZ381" s="55"/>
      <c r="CA381" s="55"/>
      <c r="CB381" s="55"/>
      <c r="CC381" s="55"/>
      <c r="CD381" s="55"/>
      <c r="CE381" s="55"/>
      <c r="CF381" s="55"/>
      <c r="CG381" s="55"/>
      <c r="CH381" s="55"/>
      <c r="CI381" s="55"/>
      <c r="CJ381" s="55"/>
      <c r="CK381" s="55"/>
      <c r="CL381" s="55"/>
      <c r="CM381" s="55"/>
      <c r="CN381" s="55"/>
      <c r="CO381" s="55"/>
      <c r="CP381" s="55"/>
      <c r="CQ381" s="55"/>
      <c r="CR381" s="55"/>
      <c r="CS381" s="55"/>
      <c r="CT381" s="55"/>
      <c r="CU381" s="55"/>
      <c r="CV381" s="55"/>
      <c r="CW381" s="55"/>
      <c r="CX381" s="55"/>
      <c r="CY381" s="55"/>
      <c r="CZ381" s="55"/>
      <c r="DA381" s="55"/>
      <c r="DB381" s="55"/>
      <c r="DC381" s="55"/>
      <c r="DD381" s="55"/>
      <c r="DE381" s="55"/>
      <c r="DF381" s="55"/>
      <c r="DG381" s="55"/>
      <c r="DH381" s="55"/>
      <c r="DI381" s="55"/>
      <c r="DJ381" s="55"/>
      <c r="DK381" s="55"/>
      <c r="DL381" s="55"/>
      <c r="DM381" s="55"/>
      <c r="DN381" s="55"/>
      <c r="DO381" s="55"/>
      <c r="DP381" s="55"/>
      <c r="DQ381" s="55"/>
      <c r="DR381" s="55"/>
      <c r="DS381" s="55"/>
      <c r="DT381" s="55"/>
      <c r="DU381" s="55"/>
      <c r="DV381" s="55"/>
      <c r="DW381" s="55"/>
      <c r="DX381" s="55"/>
      <c r="DY381" s="55"/>
      <c r="DZ381" s="55"/>
      <c r="EA381" s="55"/>
      <c r="EB381" s="55"/>
      <c r="EC381" s="55"/>
      <c r="ED381" s="55"/>
      <c r="EE381" s="55"/>
      <c r="EF381" s="55"/>
      <c r="EG381" s="55"/>
      <c r="EH381" s="55"/>
      <c r="EI381" s="55"/>
      <c r="EJ381" s="55"/>
      <c r="EK381" s="55"/>
      <c r="EL381" s="55"/>
      <c r="EM381" s="55"/>
      <c r="EN381" s="55"/>
      <c r="EO381" s="55"/>
      <c r="EP381" s="55"/>
      <c r="EQ381" s="55"/>
      <c r="ER381" s="55"/>
      <c r="ES381" s="55"/>
      <c r="ET381" s="55"/>
      <c r="EU381" s="55"/>
      <c r="EV381" s="55"/>
      <c r="EW381" s="55"/>
      <c r="EX381" s="55"/>
      <c r="EY381" s="55"/>
      <c r="EZ381" s="55"/>
      <c r="FA381" s="55"/>
      <c r="FB381" s="55"/>
      <c r="FC381" s="55"/>
      <c r="FD381" s="55"/>
      <c r="FE381" s="55"/>
      <c r="FF381" s="55"/>
      <c r="FG381" s="55"/>
      <c r="FH381" s="55"/>
      <c r="FI381" s="55"/>
      <c r="FJ381" s="55"/>
      <c r="FK381" s="55"/>
      <c r="FL381" s="55"/>
      <c r="FM381" s="55"/>
      <c r="FN381" s="55"/>
      <c r="FO381" s="55"/>
      <c r="FP381" s="55"/>
      <c r="FQ381" s="55"/>
      <c r="FR381" s="55"/>
      <c r="FS381" s="55"/>
      <c r="FT381" s="55"/>
      <c r="FU381" s="55"/>
      <c r="FV381" s="55"/>
      <c r="FW381" s="55"/>
      <c r="FX381" s="55"/>
      <c r="FY381" s="55"/>
      <c r="FZ381" s="55"/>
      <c r="GA381" s="55"/>
      <c r="GB381" s="55"/>
      <c r="GC381" s="55"/>
      <c r="GD381" s="55"/>
      <c r="GE381" s="55"/>
      <c r="GF381" s="55"/>
      <c r="GG381" s="55"/>
      <c r="GH381" s="55"/>
      <c r="GI381" s="55"/>
      <c r="GJ381" s="55"/>
      <c r="GK381" s="55"/>
      <c r="GL381" s="55"/>
      <c r="GM381" s="55"/>
      <c r="GN381" s="55"/>
      <c r="GO381" s="55"/>
      <c r="GP381" s="55"/>
      <c r="GQ381" s="55"/>
      <c r="GR381" s="55"/>
      <c r="GS381" s="55"/>
      <c r="GT381" s="55"/>
      <c r="GU381" s="55"/>
      <c r="GV381" s="55"/>
      <c r="GW381" s="55"/>
      <c r="GX381" s="55"/>
      <c r="GY381" s="55"/>
      <c r="GZ381" s="55"/>
      <c r="HA381" s="55"/>
      <c r="HB381" s="55"/>
      <c r="HC381" s="55"/>
      <c r="HD381" s="55"/>
      <c r="HE381" s="55"/>
      <c r="HF381" s="55"/>
      <c r="HG381" s="55"/>
      <c r="HH381" s="55"/>
      <c r="HI381" s="55"/>
      <c r="HJ381" s="55"/>
      <c r="HK381" s="55"/>
      <c r="HL381" s="55"/>
      <c r="HM381" s="55"/>
      <c r="HN381" s="55"/>
      <c r="HO381" s="55"/>
      <c r="HP381" s="55"/>
      <c r="HQ381" s="55"/>
      <c r="HR381" s="55"/>
      <c r="HS381" s="55"/>
      <c r="HT381" s="55"/>
      <c r="HU381" s="55"/>
      <c r="HV381" s="55"/>
      <c r="HW381" s="55"/>
      <c r="HX381" s="55"/>
      <c r="HY381" s="55"/>
      <c r="HZ381" s="55"/>
      <c r="IA381" s="55"/>
      <c r="IB381" s="55"/>
      <c r="IC381" s="55"/>
      <c r="ID381" s="55"/>
    </row>
    <row r="382" s="52" customFormat="1" ht="25.5" spans="1:238">
      <c r="A382" s="112"/>
      <c r="B382" s="112"/>
      <c r="C382" s="64"/>
      <c r="D382" s="65"/>
      <c r="E382" s="77"/>
      <c r="F382" s="77"/>
      <c r="G382" s="64"/>
      <c r="H382" s="42"/>
      <c r="I382" s="42"/>
      <c r="J382" s="83"/>
      <c r="K382" s="83"/>
      <c r="L382" s="83"/>
      <c r="M382" s="41"/>
      <c r="N382" s="41"/>
      <c r="O382" s="41"/>
      <c r="P382" s="64"/>
      <c r="Q382" s="64"/>
      <c r="R382" s="64"/>
      <c r="S382" s="83"/>
      <c r="T382" s="77"/>
      <c r="U382" s="105" t="s">
        <v>1503</v>
      </c>
      <c r="V382" s="105">
        <v>33040902001</v>
      </c>
      <c r="W382" s="106" t="s">
        <v>1504</v>
      </c>
      <c r="X382" s="105"/>
      <c r="Y382" s="105"/>
      <c r="Z382" s="105" t="s">
        <v>36</v>
      </c>
      <c r="AA382" s="110" t="s">
        <v>35</v>
      </c>
      <c r="AB382" s="50">
        <v>2145</v>
      </c>
      <c r="AC382" s="50">
        <v>1935</v>
      </c>
      <c r="AD382" s="50">
        <v>1645</v>
      </c>
      <c r="AE382" s="112" t="s">
        <v>37</v>
      </c>
      <c r="AF382" s="60"/>
      <c r="AG382" s="55"/>
      <c r="AH382" s="55"/>
      <c r="AI382" s="55"/>
      <c r="AJ382" s="55"/>
      <c r="AK382" s="55"/>
      <c r="AL382" s="55"/>
      <c r="AM382" s="55"/>
      <c r="AN382" s="55"/>
      <c r="AO382" s="55"/>
      <c r="AP382" s="55"/>
      <c r="AQ382" s="55"/>
      <c r="AR382" s="55"/>
      <c r="AS382" s="55"/>
      <c r="AT382" s="55"/>
      <c r="AU382" s="55"/>
      <c r="AV382" s="55"/>
      <c r="AW382" s="55"/>
      <c r="AX382" s="55"/>
      <c r="AY382" s="55"/>
      <c r="AZ382" s="55"/>
      <c r="BA382" s="55"/>
      <c r="BB382" s="55"/>
      <c r="BC382" s="55"/>
      <c r="BD382" s="55"/>
      <c r="BE382" s="55"/>
      <c r="BF382" s="55"/>
      <c r="BG382" s="55"/>
      <c r="BH382" s="55"/>
      <c r="BI382" s="55"/>
      <c r="BJ382" s="55"/>
      <c r="BK382" s="55"/>
      <c r="BL382" s="55"/>
      <c r="BM382" s="55"/>
      <c r="BN382" s="55"/>
      <c r="BO382" s="55"/>
      <c r="BP382" s="55"/>
      <c r="BQ382" s="55"/>
      <c r="BR382" s="55"/>
      <c r="BS382" s="55"/>
      <c r="BT382" s="55"/>
      <c r="BU382" s="55"/>
      <c r="BV382" s="55"/>
      <c r="BW382" s="55"/>
      <c r="BX382" s="55"/>
      <c r="BY382" s="55"/>
      <c r="BZ382" s="55"/>
      <c r="CA382" s="55"/>
      <c r="CB382" s="55"/>
      <c r="CC382" s="55"/>
      <c r="CD382" s="55"/>
      <c r="CE382" s="55"/>
      <c r="CF382" s="55"/>
      <c r="CG382" s="55"/>
      <c r="CH382" s="55"/>
      <c r="CI382" s="55"/>
      <c r="CJ382" s="55"/>
      <c r="CK382" s="55"/>
      <c r="CL382" s="55"/>
      <c r="CM382" s="55"/>
      <c r="CN382" s="55"/>
      <c r="CO382" s="55"/>
      <c r="CP382" s="55"/>
      <c r="CQ382" s="55"/>
      <c r="CR382" s="55"/>
      <c r="CS382" s="55"/>
      <c r="CT382" s="55"/>
      <c r="CU382" s="55"/>
      <c r="CV382" s="55"/>
      <c r="CW382" s="55"/>
      <c r="CX382" s="55"/>
      <c r="CY382" s="55"/>
      <c r="CZ382" s="55"/>
      <c r="DA382" s="55"/>
      <c r="DB382" s="55"/>
      <c r="DC382" s="55"/>
      <c r="DD382" s="55"/>
      <c r="DE382" s="55"/>
      <c r="DF382" s="55"/>
      <c r="DG382" s="55"/>
      <c r="DH382" s="55"/>
      <c r="DI382" s="55"/>
      <c r="DJ382" s="55"/>
      <c r="DK382" s="55"/>
      <c r="DL382" s="55"/>
      <c r="DM382" s="55"/>
      <c r="DN382" s="55"/>
      <c r="DO382" s="55"/>
      <c r="DP382" s="55"/>
      <c r="DQ382" s="55"/>
      <c r="DR382" s="55"/>
      <c r="DS382" s="55"/>
      <c r="DT382" s="55"/>
      <c r="DU382" s="55"/>
      <c r="DV382" s="55"/>
      <c r="DW382" s="55"/>
      <c r="DX382" s="55"/>
      <c r="DY382" s="55"/>
      <c r="DZ382" s="55"/>
      <c r="EA382" s="55"/>
      <c r="EB382" s="55"/>
      <c r="EC382" s="55"/>
      <c r="ED382" s="55"/>
      <c r="EE382" s="55"/>
      <c r="EF382" s="55"/>
      <c r="EG382" s="55"/>
      <c r="EH382" s="55"/>
      <c r="EI382" s="55"/>
      <c r="EJ382" s="55"/>
      <c r="EK382" s="55"/>
      <c r="EL382" s="55"/>
      <c r="EM382" s="55"/>
      <c r="EN382" s="55"/>
      <c r="EO382" s="55"/>
      <c r="EP382" s="55"/>
      <c r="EQ382" s="55"/>
      <c r="ER382" s="55"/>
      <c r="ES382" s="55"/>
      <c r="ET382" s="55"/>
      <c r="EU382" s="55"/>
      <c r="EV382" s="55"/>
      <c r="EW382" s="55"/>
      <c r="EX382" s="55"/>
      <c r="EY382" s="55"/>
      <c r="EZ382" s="55"/>
      <c r="FA382" s="55"/>
      <c r="FB382" s="55"/>
      <c r="FC382" s="55"/>
      <c r="FD382" s="55"/>
      <c r="FE382" s="55"/>
      <c r="FF382" s="55"/>
      <c r="FG382" s="55"/>
      <c r="FH382" s="55"/>
      <c r="FI382" s="55"/>
      <c r="FJ382" s="55"/>
      <c r="FK382" s="55"/>
      <c r="FL382" s="55"/>
      <c r="FM382" s="55"/>
      <c r="FN382" s="55"/>
      <c r="FO382" s="55"/>
      <c r="FP382" s="55"/>
      <c r="FQ382" s="55"/>
      <c r="FR382" s="55"/>
      <c r="FS382" s="55"/>
      <c r="FT382" s="55"/>
      <c r="FU382" s="55"/>
      <c r="FV382" s="55"/>
      <c r="FW382" s="55"/>
      <c r="FX382" s="55"/>
      <c r="FY382" s="55"/>
      <c r="FZ382" s="55"/>
      <c r="GA382" s="55"/>
      <c r="GB382" s="55"/>
      <c r="GC382" s="55"/>
      <c r="GD382" s="55"/>
      <c r="GE382" s="55"/>
      <c r="GF382" s="55"/>
      <c r="GG382" s="55"/>
      <c r="GH382" s="55"/>
      <c r="GI382" s="55"/>
      <c r="GJ382" s="55"/>
      <c r="GK382" s="55"/>
      <c r="GL382" s="55"/>
      <c r="GM382" s="55"/>
      <c r="GN382" s="55"/>
      <c r="GO382" s="55"/>
      <c r="GP382" s="55"/>
      <c r="GQ382" s="55"/>
      <c r="GR382" s="55"/>
      <c r="GS382" s="55"/>
      <c r="GT382" s="55"/>
      <c r="GU382" s="55"/>
      <c r="GV382" s="55"/>
      <c r="GW382" s="55"/>
      <c r="GX382" s="55"/>
      <c r="GY382" s="55"/>
      <c r="GZ382" s="55"/>
      <c r="HA382" s="55"/>
      <c r="HB382" s="55"/>
      <c r="HC382" s="55"/>
      <c r="HD382" s="55"/>
      <c r="HE382" s="55"/>
      <c r="HF382" s="55"/>
      <c r="HG382" s="55"/>
      <c r="HH382" s="55"/>
      <c r="HI382" s="55"/>
      <c r="HJ382" s="55"/>
      <c r="HK382" s="55"/>
      <c r="HL382" s="55"/>
      <c r="HM382" s="55"/>
      <c r="HN382" s="55"/>
      <c r="HO382" s="55"/>
      <c r="HP382" s="55"/>
      <c r="HQ382" s="55"/>
      <c r="HR382" s="55"/>
      <c r="HS382" s="55"/>
      <c r="HT382" s="55"/>
      <c r="HU382" s="55"/>
      <c r="HV382" s="55"/>
      <c r="HW382" s="55"/>
      <c r="HX382" s="55"/>
      <c r="HY382" s="55"/>
      <c r="HZ382" s="55"/>
      <c r="IA382" s="55"/>
      <c r="IB382" s="55"/>
      <c r="IC382" s="55"/>
      <c r="ID382" s="55"/>
    </row>
    <row r="383" s="52" customFormat="1" ht="40" customHeight="1" spans="1:238">
      <c r="A383" s="112" t="s">
        <v>95</v>
      </c>
      <c r="B383" s="112" t="s">
        <v>1505</v>
      </c>
      <c r="C383" s="64" t="s">
        <v>1506</v>
      </c>
      <c r="D383" s="65"/>
      <c r="E383" s="77"/>
      <c r="F383" s="77" t="s">
        <v>35</v>
      </c>
      <c r="G383" s="64" t="s">
        <v>110</v>
      </c>
      <c r="H383" s="78">
        <v>1096</v>
      </c>
      <c r="I383" s="78">
        <v>986</v>
      </c>
      <c r="J383" s="83"/>
      <c r="K383" s="83"/>
      <c r="L383" s="83"/>
      <c r="M383" s="41">
        <v>1024</v>
      </c>
      <c r="N383" s="41">
        <v>920</v>
      </c>
      <c r="O383" s="41">
        <v>784</v>
      </c>
      <c r="P383" s="64" t="s">
        <v>37</v>
      </c>
      <c r="Q383" s="64" t="s">
        <v>35</v>
      </c>
      <c r="R383" s="64" t="s">
        <v>35</v>
      </c>
      <c r="S383" s="83"/>
      <c r="T383" s="77" t="s">
        <v>1507</v>
      </c>
      <c r="U383" s="153"/>
      <c r="V383" s="153"/>
      <c r="W383" s="154"/>
      <c r="X383" s="155"/>
      <c r="Y383" s="153"/>
      <c r="Z383" s="153"/>
      <c r="AA383" s="156"/>
      <c r="AB383" s="157"/>
      <c r="AC383" s="157"/>
      <c r="AD383" s="157"/>
      <c r="AE383" s="153"/>
      <c r="AF383" s="60"/>
      <c r="AG383" s="55"/>
      <c r="AH383" s="55"/>
      <c r="AI383" s="55"/>
      <c r="AJ383" s="55"/>
      <c r="AK383" s="55"/>
      <c r="AL383" s="55"/>
      <c r="AM383" s="55"/>
      <c r="AN383" s="55"/>
      <c r="AO383" s="55"/>
      <c r="AP383" s="55"/>
      <c r="AQ383" s="55"/>
      <c r="AR383" s="55"/>
      <c r="AS383" s="55"/>
      <c r="AT383" s="55"/>
      <c r="AU383" s="55"/>
      <c r="AV383" s="55"/>
      <c r="AW383" s="55"/>
      <c r="AX383" s="55"/>
      <c r="AY383" s="55"/>
      <c r="AZ383" s="55"/>
      <c r="BA383" s="55"/>
      <c r="BB383" s="55"/>
      <c r="BC383" s="55"/>
      <c r="BD383" s="55"/>
      <c r="BE383" s="55"/>
      <c r="BF383" s="55"/>
      <c r="BG383" s="55"/>
      <c r="BH383" s="55"/>
      <c r="BI383" s="55"/>
      <c r="BJ383" s="55"/>
      <c r="BK383" s="55"/>
      <c r="BL383" s="55"/>
      <c r="BM383" s="55"/>
      <c r="BN383" s="55"/>
      <c r="BO383" s="55"/>
      <c r="BP383" s="55"/>
      <c r="BQ383" s="55"/>
      <c r="BR383" s="55"/>
      <c r="BS383" s="55"/>
      <c r="BT383" s="55"/>
      <c r="BU383" s="55"/>
      <c r="BV383" s="55"/>
      <c r="BW383" s="55"/>
      <c r="BX383" s="55"/>
      <c r="BY383" s="55"/>
      <c r="BZ383" s="55"/>
      <c r="CA383" s="55"/>
      <c r="CB383" s="55"/>
      <c r="CC383" s="55"/>
      <c r="CD383" s="55"/>
      <c r="CE383" s="55"/>
      <c r="CF383" s="55"/>
      <c r="CG383" s="55"/>
      <c r="CH383" s="55"/>
      <c r="CI383" s="55"/>
      <c r="CJ383" s="55"/>
      <c r="CK383" s="55"/>
      <c r="CL383" s="55"/>
      <c r="CM383" s="55"/>
      <c r="CN383" s="55"/>
      <c r="CO383" s="55"/>
      <c r="CP383" s="55"/>
      <c r="CQ383" s="55"/>
      <c r="CR383" s="55"/>
      <c r="CS383" s="55"/>
      <c r="CT383" s="55"/>
      <c r="CU383" s="55"/>
      <c r="CV383" s="55"/>
      <c r="CW383" s="55"/>
      <c r="CX383" s="55"/>
      <c r="CY383" s="55"/>
      <c r="CZ383" s="55"/>
      <c r="DA383" s="55"/>
      <c r="DB383" s="55"/>
      <c r="DC383" s="55"/>
      <c r="DD383" s="55"/>
      <c r="DE383" s="55"/>
      <c r="DF383" s="55"/>
      <c r="DG383" s="55"/>
      <c r="DH383" s="55"/>
      <c r="DI383" s="55"/>
      <c r="DJ383" s="55"/>
      <c r="DK383" s="55"/>
      <c r="DL383" s="55"/>
      <c r="DM383" s="55"/>
      <c r="DN383" s="55"/>
      <c r="DO383" s="55"/>
      <c r="DP383" s="55"/>
      <c r="DQ383" s="55"/>
      <c r="DR383" s="55"/>
      <c r="DS383" s="55"/>
      <c r="DT383" s="55"/>
      <c r="DU383" s="55"/>
      <c r="DV383" s="55"/>
      <c r="DW383" s="55"/>
      <c r="DX383" s="55"/>
      <c r="DY383" s="55"/>
      <c r="DZ383" s="55"/>
      <c r="EA383" s="55"/>
      <c r="EB383" s="55"/>
      <c r="EC383" s="55"/>
      <c r="ED383" s="55"/>
      <c r="EE383" s="55"/>
      <c r="EF383" s="55"/>
      <c r="EG383" s="55"/>
      <c r="EH383" s="55"/>
      <c r="EI383" s="55"/>
      <c r="EJ383" s="55"/>
      <c r="EK383" s="55"/>
      <c r="EL383" s="55"/>
      <c r="EM383" s="55"/>
      <c r="EN383" s="55"/>
      <c r="EO383" s="55"/>
      <c r="EP383" s="55"/>
      <c r="EQ383" s="55"/>
      <c r="ER383" s="55"/>
      <c r="ES383" s="55"/>
      <c r="ET383" s="55"/>
      <c r="EU383" s="55"/>
      <c r="EV383" s="55"/>
      <c r="EW383" s="55"/>
      <c r="EX383" s="55"/>
      <c r="EY383" s="55"/>
      <c r="EZ383" s="55"/>
      <c r="FA383" s="55"/>
      <c r="FB383" s="55"/>
      <c r="FC383" s="55"/>
      <c r="FD383" s="55"/>
      <c r="FE383" s="55"/>
      <c r="FF383" s="55"/>
      <c r="FG383" s="55"/>
      <c r="FH383" s="55"/>
      <c r="FI383" s="55"/>
      <c r="FJ383" s="55"/>
      <c r="FK383" s="55"/>
      <c r="FL383" s="55"/>
      <c r="FM383" s="55"/>
      <c r="FN383" s="55"/>
      <c r="FO383" s="55"/>
      <c r="FP383" s="55"/>
      <c r="FQ383" s="55"/>
      <c r="FR383" s="55"/>
      <c r="FS383" s="55"/>
      <c r="FT383" s="55"/>
      <c r="FU383" s="55"/>
      <c r="FV383" s="55"/>
      <c r="FW383" s="55"/>
      <c r="FX383" s="55"/>
      <c r="FY383" s="55"/>
      <c r="FZ383" s="55"/>
      <c r="GA383" s="55"/>
      <c r="GB383" s="55"/>
      <c r="GC383" s="55"/>
      <c r="GD383" s="55"/>
      <c r="GE383" s="55"/>
      <c r="GF383" s="55"/>
      <c r="GG383" s="55"/>
      <c r="GH383" s="55"/>
      <c r="GI383" s="55"/>
      <c r="GJ383" s="55"/>
      <c r="GK383" s="55"/>
      <c r="GL383" s="55"/>
      <c r="GM383" s="55"/>
      <c r="GN383" s="55"/>
      <c r="GO383" s="55"/>
      <c r="GP383" s="55"/>
      <c r="GQ383" s="55"/>
      <c r="GR383" s="55"/>
      <c r="GS383" s="55"/>
      <c r="GT383" s="55"/>
      <c r="GU383" s="55"/>
      <c r="GV383" s="55"/>
      <c r="GW383" s="55"/>
      <c r="GX383" s="55"/>
      <c r="GY383" s="55"/>
      <c r="GZ383" s="55"/>
      <c r="HA383" s="55"/>
      <c r="HB383" s="55"/>
      <c r="HC383" s="55"/>
      <c r="HD383" s="55"/>
      <c r="HE383" s="55"/>
      <c r="HF383" s="55"/>
      <c r="HG383" s="55"/>
      <c r="HH383" s="55"/>
      <c r="HI383" s="55"/>
      <c r="HJ383" s="55"/>
      <c r="HK383" s="55"/>
      <c r="HL383" s="55"/>
      <c r="HM383" s="55"/>
      <c r="HN383" s="55"/>
      <c r="HO383" s="55"/>
      <c r="HP383" s="55"/>
      <c r="HQ383" s="55"/>
      <c r="HR383" s="55"/>
      <c r="HS383" s="55"/>
      <c r="HT383" s="55"/>
      <c r="HU383" s="55"/>
      <c r="HV383" s="55"/>
      <c r="HW383" s="55"/>
      <c r="HX383" s="55"/>
      <c r="HY383" s="55"/>
      <c r="HZ383" s="55"/>
      <c r="IA383" s="55"/>
      <c r="IB383" s="55"/>
      <c r="IC383" s="55"/>
      <c r="ID383" s="55"/>
    </row>
    <row r="384" s="52" customFormat="1" ht="60" customHeight="1" spans="1:238">
      <c r="A384" s="112">
        <v>103</v>
      </c>
      <c r="B384" s="112" t="s">
        <v>1508</v>
      </c>
      <c r="C384" s="64" t="s">
        <v>1509</v>
      </c>
      <c r="D384" s="65" t="s">
        <v>1510</v>
      </c>
      <c r="E384" s="77" t="s">
        <v>1511</v>
      </c>
      <c r="F384" s="77" t="s">
        <v>35</v>
      </c>
      <c r="G384" s="64" t="s">
        <v>110</v>
      </c>
      <c r="H384" s="78">
        <v>1080</v>
      </c>
      <c r="I384" s="78">
        <v>972</v>
      </c>
      <c r="J384" s="83">
        <v>1000</v>
      </c>
      <c r="K384" s="83">
        <v>960</v>
      </c>
      <c r="L384" s="83">
        <v>816</v>
      </c>
      <c r="M384" s="41">
        <v>1000</v>
      </c>
      <c r="N384" s="41">
        <v>960</v>
      </c>
      <c r="O384" s="41">
        <v>816</v>
      </c>
      <c r="P384" s="64" t="s">
        <v>37</v>
      </c>
      <c r="Q384" s="64" t="s">
        <v>35</v>
      </c>
      <c r="R384" s="64" t="s">
        <v>35</v>
      </c>
      <c r="S384" s="83" t="s">
        <v>381</v>
      </c>
      <c r="T384" s="77" t="s">
        <v>381</v>
      </c>
      <c r="U384" s="105" t="s">
        <v>1512</v>
      </c>
      <c r="V384" s="105">
        <v>330409021</v>
      </c>
      <c r="W384" s="106" t="s">
        <v>1513</v>
      </c>
      <c r="X384" s="105"/>
      <c r="Y384" s="105"/>
      <c r="Z384" s="105" t="s">
        <v>36</v>
      </c>
      <c r="AA384" s="110" t="s">
        <v>35</v>
      </c>
      <c r="AB384" s="50">
        <v>1000</v>
      </c>
      <c r="AC384" s="50">
        <v>960</v>
      </c>
      <c r="AD384" s="50">
        <v>816</v>
      </c>
      <c r="AE384" s="112" t="s">
        <v>37</v>
      </c>
      <c r="AF384" s="60"/>
      <c r="AG384" s="55"/>
      <c r="AH384" s="55"/>
      <c r="AI384" s="55"/>
      <c r="AJ384" s="55"/>
      <c r="AK384" s="55"/>
      <c r="AL384" s="55"/>
      <c r="AM384" s="55"/>
      <c r="AN384" s="55"/>
      <c r="AO384" s="55"/>
      <c r="AP384" s="55"/>
      <c r="AQ384" s="55"/>
      <c r="AR384" s="55"/>
      <c r="AS384" s="55"/>
      <c r="AT384" s="55"/>
      <c r="AU384" s="55"/>
      <c r="AV384" s="55"/>
      <c r="AW384" s="55"/>
      <c r="AX384" s="55"/>
      <c r="AY384" s="55"/>
      <c r="AZ384" s="55"/>
      <c r="BA384" s="55"/>
      <c r="BB384" s="55"/>
      <c r="BC384" s="55"/>
      <c r="BD384" s="55"/>
      <c r="BE384" s="55"/>
      <c r="BF384" s="55"/>
      <c r="BG384" s="55"/>
      <c r="BH384" s="55"/>
      <c r="BI384" s="55"/>
      <c r="BJ384" s="55"/>
      <c r="BK384" s="55"/>
      <c r="BL384" s="55"/>
      <c r="BM384" s="55"/>
      <c r="BN384" s="55"/>
      <c r="BO384" s="55"/>
      <c r="BP384" s="55"/>
      <c r="BQ384" s="55"/>
      <c r="BR384" s="55"/>
      <c r="BS384" s="55"/>
      <c r="BT384" s="55"/>
      <c r="BU384" s="55"/>
      <c r="BV384" s="55"/>
      <c r="BW384" s="55"/>
      <c r="BX384" s="55"/>
      <c r="BY384" s="55"/>
      <c r="BZ384" s="55"/>
      <c r="CA384" s="55"/>
      <c r="CB384" s="55"/>
      <c r="CC384" s="55"/>
      <c r="CD384" s="55"/>
      <c r="CE384" s="55"/>
      <c r="CF384" s="55"/>
      <c r="CG384" s="55"/>
      <c r="CH384" s="55"/>
      <c r="CI384" s="55"/>
      <c r="CJ384" s="55"/>
      <c r="CK384" s="55"/>
      <c r="CL384" s="55"/>
      <c r="CM384" s="55"/>
      <c r="CN384" s="55"/>
      <c r="CO384" s="55"/>
      <c r="CP384" s="55"/>
      <c r="CQ384" s="55"/>
      <c r="CR384" s="55"/>
      <c r="CS384" s="55"/>
      <c r="CT384" s="55"/>
      <c r="CU384" s="55"/>
      <c r="CV384" s="55"/>
      <c r="CW384" s="55"/>
      <c r="CX384" s="55"/>
      <c r="CY384" s="55"/>
      <c r="CZ384" s="55"/>
      <c r="DA384" s="55"/>
      <c r="DB384" s="55"/>
      <c r="DC384" s="55"/>
      <c r="DD384" s="55"/>
      <c r="DE384" s="55"/>
      <c r="DF384" s="55"/>
      <c r="DG384" s="55"/>
      <c r="DH384" s="55"/>
      <c r="DI384" s="55"/>
      <c r="DJ384" s="55"/>
      <c r="DK384" s="55"/>
      <c r="DL384" s="55"/>
      <c r="DM384" s="55"/>
      <c r="DN384" s="55"/>
      <c r="DO384" s="55"/>
      <c r="DP384" s="55"/>
      <c r="DQ384" s="55"/>
      <c r="DR384" s="55"/>
      <c r="DS384" s="55"/>
      <c r="DT384" s="55"/>
      <c r="DU384" s="55"/>
      <c r="DV384" s="55"/>
      <c r="DW384" s="55"/>
      <c r="DX384" s="55"/>
      <c r="DY384" s="55"/>
      <c r="DZ384" s="55"/>
      <c r="EA384" s="55"/>
      <c r="EB384" s="55"/>
      <c r="EC384" s="55"/>
      <c r="ED384" s="55"/>
      <c r="EE384" s="55"/>
      <c r="EF384" s="55"/>
      <c r="EG384" s="55"/>
      <c r="EH384" s="55"/>
      <c r="EI384" s="55"/>
      <c r="EJ384" s="55"/>
      <c r="EK384" s="55"/>
      <c r="EL384" s="55"/>
      <c r="EM384" s="55"/>
      <c r="EN384" s="55"/>
      <c r="EO384" s="55"/>
      <c r="EP384" s="55"/>
      <c r="EQ384" s="55"/>
      <c r="ER384" s="55"/>
      <c r="ES384" s="55"/>
      <c r="ET384" s="55"/>
      <c r="EU384" s="55"/>
      <c r="EV384" s="55"/>
      <c r="EW384" s="55"/>
      <c r="EX384" s="55"/>
      <c r="EY384" s="55"/>
      <c r="EZ384" s="55"/>
      <c r="FA384" s="55"/>
      <c r="FB384" s="55"/>
      <c r="FC384" s="55"/>
      <c r="FD384" s="55"/>
      <c r="FE384" s="55"/>
      <c r="FF384" s="55"/>
      <c r="FG384" s="55"/>
      <c r="FH384" s="55"/>
      <c r="FI384" s="55"/>
      <c r="FJ384" s="55"/>
      <c r="FK384" s="55"/>
      <c r="FL384" s="55"/>
      <c r="FM384" s="55"/>
      <c r="FN384" s="55"/>
      <c r="FO384" s="55"/>
      <c r="FP384" s="55"/>
      <c r="FQ384" s="55"/>
      <c r="FR384" s="55"/>
      <c r="FS384" s="55"/>
      <c r="FT384" s="55"/>
      <c r="FU384" s="55"/>
      <c r="FV384" s="55"/>
      <c r="FW384" s="55"/>
      <c r="FX384" s="55"/>
      <c r="FY384" s="55"/>
      <c r="FZ384" s="55"/>
      <c r="GA384" s="55"/>
      <c r="GB384" s="55"/>
      <c r="GC384" s="55"/>
      <c r="GD384" s="55"/>
      <c r="GE384" s="55"/>
      <c r="GF384" s="55"/>
      <c r="GG384" s="55"/>
      <c r="GH384" s="55"/>
      <c r="GI384" s="55"/>
      <c r="GJ384" s="55"/>
      <c r="GK384" s="55"/>
      <c r="GL384" s="55"/>
      <c r="GM384" s="55"/>
      <c r="GN384" s="55"/>
      <c r="GO384" s="55"/>
      <c r="GP384" s="55"/>
      <c r="GQ384" s="55"/>
      <c r="GR384" s="55"/>
      <c r="GS384" s="55"/>
      <c r="GT384" s="55"/>
      <c r="GU384" s="55"/>
      <c r="GV384" s="55"/>
      <c r="GW384" s="55"/>
      <c r="GX384" s="55"/>
      <c r="GY384" s="55"/>
      <c r="GZ384" s="55"/>
      <c r="HA384" s="55"/>
      <c r="HB384" s="55"/>
      <c r="HC384" s="55"/>
      <c r="HD384" s="55"/>
      <c r="HE384" s="55"/>
      <c r="HF384" s="55"/>
      <c r="HG384" s="55"/>
      <c r="HH384" s="55"/>
      <c r="HI384" s="55"/>
      <c r="HJ384" s="55"/>
      <c r="HK384" s="55"/>
      <c r="HL384" s="55"/>
      <c r="HM384" s="55"/>
      <c r="HN384" s="55"/>
      <c r="HO384" s="55"/>
      <c r="HP384" s="55"/>
      <c r="HQ384" s="55"/>
      <c r="HR384" s="55"/>
      <c r="HS384" s="55"/>
      <c r="HT384" s="55"/>
      <c r="HU384" s="55"/>
      <c r="HV384" s="55"/>
      <c r="HW384" s="55"/>
      <c r="HX384" s="55"/>
      <c r="HY384" s="55"/>
      <c r="HZ384" s="55"/>
      <c r="IA384" s="55"/>
      <c r="IB384" s="55"/>
      <c r="IC384" s="55"/>
      <c r="ID384" s="55"/>
    </row>
    <row r="385" s="52" customFormat="1" ht="25.5" spans="1:238">
      <c r="A385" s="112" t="s">
        <v>95</v>
      </c>
      <c r="B385" s="112" t="s">
        <v>1514</v>
      </c>
      <c r="C385" s="64" t="s">
        <v>1515</v>
      </c>
      <c r="D385" s="65"/>
      <c r="E385" s="77"/>
      <c r="F385" s="77" t="s">
        <v>35</v>
      </c>
      <c r="G385" s="64" t="s">
        <v>110</v>
      </c>
      <c r="H385" s="78">
        <v>324</v>
      </c>
      <c r="I385" s="78">
        <v>292</v>
      </c>
      <c r="J385" s="83">
        <v>300</v>
      </c>
      <c r="K385" s="83">
        <v>290</v>
      </c>
      <c r="L385" s="83">
        <v>249</v>
      </c>
      <c r="M385" s="41">
        <v>300</v>
      </c>
      <c r="N385" s="41">
        <v>292</v>
      </c>
      <c r="O385" s="41">
        <v>245</v>
      </c>
      <c r="P385" s="64" t="s">
        <v>37</v>
      </c>
      <c r="Q385" s="64" t="s">
        <v>35</v>
      </c>
      <c r="R385" s="64" t="s">
        <v>35</v>
      </c>
      <c r="S385" s="83"/>
      <c r="T385" s="77" t="s">
        <v>186</v>
      </c>
      <c r="U385" s="105" t="s">
        <v>1516</v>
      </c>
      <c r="V385" s="105">
        <v>33040902101</v>
      </c>
      <c r="W385" s="106" t="s">
        <v>1517</v>
      </c>
      <c r="X385" s="105"/>
      <c r="Y385" s="105"/>
      <c r="Z385" s="105" t="s">
        <v>36</v>
      </c>
      <c r="AA385" s="110" t="s">
        <v>35</v>
      </c>
      <c r="AB385" s="50">
        <v>1300</v>
      </c>
      <c r="AC385" s="50">
        <v>1250</v>
      </c>
      <c r="AD385" s="50">
        <v>1065</v>
      </c>
      <c r="AE385" s="112" t="s">
        <v>37</v>
      </c>
      <c r="AF385" s="60"/>
      <c r="AG385" s="55"/>
      <c r="AH385" s="55"/>
      <c r="AI385" s="55"/>
      <c r="AJ385" s="55"/>
      <c r="AK385" s="55"/>
      <c r="AL385" s="55"/>
      <c r="AM385" s="55"/>
      <c r="AN385" s="55"/>
      <c r="AO385" s="55"/>
      <c r="AP385" s="55"/>
      <c r="AQ385" s="55"/>
      <c r="AR385" s="55"/>
      <c r="AS385" s="55"/>
      <c r="AT385" s="55"/>
      <c r="AU385" s="55"/>
      <c r="AV385" s="55"/>
      <c r="AW385" s="55"/>
      <c r="AX385" s="55"/>
      <c r="AY385" s="55"/>
      <c r="AZ385" s="55"/>
      <c r="BA385" s="55"/>
      <c r="BB385" s="55"/>
      <c r="BC385" s="55"/>
      <c r="BD385" s="55"/>
      <c r="BE385" s="55"/>
      <c r="BF385" s="55"/>
      <c r="BG385" s="55"/>
      <c r="BH385" s="55"/>
      <c r="BI385" s="55"/>
      <c r="BJ385" s="55"/>
      <c r="BK385" s="55"/>
      <c r="BL385" s="55"/>
      <c r="BM385" s="55"/>
      <c r="BN385" s="55"/>
      <c r="BO385" s="55"/>
      <c r="BP385" s="55"/>
      <c r="BQ385" s="55"/>
      <c r="BR385" s="55"/>
      <c r="BS385" s="55"/>
      <c r="BT385" s="55"/>
      <c r="BU385" s="55"/>
      <c r="BV385" s="55"/>
      <c r="BW385" s="55"/>
      <c r="BX385" s="55"/>
      <c r="BY385" s="55"/>
      <c r="BZ385" s="55"/>
      <c r="CA385" s="55"/>
      <c r="CB385" s="55"/>
      <c r="CC385" s="55"/>
      <c r="CD385" s="55"/>
      <c r="CE385" s="55"/>
      <c r="CF385" s="55"/>
      <c r="CG385" s="55"/>
      <c r="CH385" s="55"/>
      <c r="CI385" s="55"/>
      <c r="CJ385" s="55"/>
      <c r="CK385" s="55"/>
      <c r="CL385" s="55"/>
      <c r="CM385" s="55"/>
      <c r="CN385" s="55"/>
      <c r="CO385" s="55"/>
      <c r="CP385" s="55"/>
      <c r="CQ385" s="55"/>
      <c r="CR385" s="55"/>
      <c r="CS385" s="55"/>
      <c r="CT385" s="55"/>
      <c r="CU385" s="55"/>
      <c r="CV385" s="55"/>
      <c r="CW385" s="55"/>
      <c r="CX385" s="55"/>
      <c r="CY385" s="55"/>
      <c r="CZ385" s="55"/>
      <c r="DA385" s="55"/>
      <c r="DB385" s="55"/>
      <c r="DC385" s="55"/>
      <c r="DD385" s="55"/>
      <c r="DE385" s="55"/>
      <c r="DF385" s="55"/>
      <c r="DG385" s="55"/>
      <c r="DH385" s="55"/>
      <c r="DI385" s="55"/>
      <c r="DJ385" s="55"/>
      <c r="DK385" s="55"/>
      <c r="DL385" s="55"/>
      <c r="DM385" s="55"/>
      <c r="DN385" s="55"/>
      <c r="DO385" s="55"/>
      <c r="DP385" s="55"/>
      <c r="DQ385" s="55"/>
      <c r="DR385" s="55"/>
      <c r="DS385" s="55"/>
      <c r="DT385" s="55"/>
      <c r="DU385" s="55"/>
      <c r="DV385" s="55"/>
      <c r="DW385" s="55"/>
      <c r="DX385" s="55"/>
      <c r="DY385" s="55"/>
      <c r="DZ385" s="55"/>
      <c r="EA385" s="55"/>
      <c r="EB385" s="55"/>
      <c r="EC385" s="55"/>
      <c r="ED385" s="55"/>
      <c r="EE385" s="55"/>
      <c r="EF385" s="55"/>
      <c r="EG385" s="55"/>
      <c r="EH385" s="55"/>
      <c r="EI385" s="55"/>
      <c r="EJ385" s="55"/>
      <c r="EK385" s="55"/>
      <c r="EL385" s="55"/>
      <c r="EM385" s="55"/>
      <c r="EN385" s="55"/>
      <c r="EO385" s="55"/>
      <c r="EP385" s="55"/>
      <c r="EQ385" s="55"/>
      <c r="ER385" s="55"/>
      <c r="ES385" s="55"/>
      <c r="ET385" s="55"/>
      <c r="EU385" s="55"/>
      <c r="EV385" s="55"/>
      <c r="EW385" s="55"/>
      <c r="EX385" s="55"/>
      <c r="EY385" s="55"/>
      <c r="EZ385" s="55"/>
      <c r="FA385" s="55"/>
      <c r="FB385" s="55"/>
      <c r="FC385" s="55"/>
      <c r="FD385" s="55"/>
      <c r="FE385" s="55"/>
      <c r="FF385" s="55"/>
      <c r="FG385" s="55"/>
      <c r="FH385" s="55"/>
      <c r="FI385" s="55"/>
      <c r="FJ385" s="55"/>
      <c r="FK385" s="55"/>
      <c r="FL385" s="55"/>
      <c r="FM385" s="55"/>
      <c r="FN385" s="55"/>
      <c r="FO385" s="55"/>
      <c r="FP385" s="55"/>
      <c r="FQ385" s="55"/>
      <c r="FR385" s="55"/>
      <c r="FS385" s="55"/>
      <c r="FT385" s="55"/>
      <c r="FU385" s="55"/>
      <c r="FV385" s="55"/>
      <c r="FW385" s="55"/>
      <c r="FX385" s="55"/>
      <c r="FY385" s="55"/>
      <c r="FZ385" s="55"/>
      <c r="GA385" s="55"/>
      <c r="GB385" s="55"/>
      <c r="GC385" s="55"/>
      <c r="GD385" s="55"/>
      <c r="GE385" s="55"/>
      <c r="GF385" s="55"/>
      <c r="GG385" s="55"/>
      <c r="GH385" s="55"/>
      <c r="GI385" s="55"/>
      <c r="GJ385" s="55"/>
      <c r="GK385" s="55"/>
      <c r="GL385" s="55"/>
      <c r="GM385" s="55"/>
      <c r="GN385" s="55"/>
      <c r="GO385" s="55"/>
      <c r="GP385" s="55"/>
      <c r="GQ385" s="55"/>
      <c r="GR385" s="55"/>
      <c r="GS385" s="55"/>
      <c r="GT385" s="55"/>
      <c r="GU385" s="55"/>
      <c r="GV385" s="55"/>
      <c r="GW385" s="55"/>
      <c r="GX385" s="55"/>
      <c r="GY385" s="55"/>
      <c r="GZ385" s="55"/>
      <c r="HA385" s="55"/>
      <c r="HB385" s="55"/>
      <c r="HC385" s="55"/>
      <c r="HD385" s="55"/>
      <c r="HE385" s="55"/>
      <c r="HF385" s="55"/>
      <c r="HG385" s="55"/>
      <c r="HH385" s="55"/>
      <c r="HI385" s="55"/>
      <c r="HJ385" s="55"/>
      <c r="HK385" s="55"/>
      <c r="HL385" s="55"/>
      <c r="HM385" s="55"/>
      <c r="HN385" s="55"/>
      <c r="HO385" s="55"/>
      <c r="HP385" s="55"/>
      <c r="HQ385" s="55"/>
      <c r="HR385" s="55"/>
      <c r="HS385" s="55"/>
      <c r="HT385" s="55"/>
      <c r="HU385" s="55"/>
      <c r="HV385" s="55"/>
      <c r="HW385" s="55"/>
      <c r="HX385" s="55"/>
      <c r="HY385" s="55"/>
      <c r="HZ385" s="55"/>
      <c r="IA385" s="55"/>
      <c r="IB385" s="55"/>
      <c r="IC385" s="55"/>
      <c r="ID385" s="55"/>
    </row>
    <row r="386" s="55" customFormat="1" ht="63.75" spans="1:32">
      <c r="A386" s="112">
        <v>104</v>
      </c>
      <c r="B386" s="112" t="s">
        <v>1518</v>
      </c>
      <c r="C386" s="64" t="s">
        <v>1519</v>
      </c>
      <c r="D386" s="65" t="s">
        <v>1520</v>
      </c>
      <c r="E386" s="77" t="s">
        <v>1521</v>
      </c>
      <c r="F386" s="77" t="s">
        <v>1522</v>
      </c>
      <c r="G386" s="64" t="s">
        <v>110</v>
      </c>
      <c r="H386" s="78">
        <v>625</v>
      </c>
      <c r="I386" s="78">
        <v>565</v>
      </c>
      <c r="J386" s="83">
        <v>625</v>
      </c>
      <c r="K386" s="83">
        <v>600</v>
      </c>
      <c r="L386" s="83">
        <v>510</v>
      </c>
      <c r="M386" s="89">
        <v>600</v>
      </c>
      <c r="N386" s="94">
        <v>565</v>
      </c>
      <c r="O386" s="94">
        <v>500</v>
      </c>
      <c r="P386" s="64" t="s">
        <v>37</v>
      </c>
      <c r="Q386" s="64" t="s">
        <v>35</v>
      </c>
      <c r="R386" s="64" t="s">
        <v>35</v>
      </c>
      <c r="S386" s="83" t="s">
        <v>131</v>
      </c>
      <c r="T386" s="77" t="s">
        <v>111</v>
      </c>
      <c r="U386" s="105" t="s">
        <v>1523</v>
      </c>
      <c r="V386" s="105">
        <v>330409007</v>
      </c>
      <c r="W386" s="106" t="s">
        <v>1524</v>
      </c>
      <c r="X386" s="105"/>
      <c r="Y386" s="105" t="s">
        <v>1525</v>
      </c>
      <c r="Z386" s="105" t="s">
        <v>36</v>
      </c>
      <c r="AA386" s="110" t="s">
        <v>35</v>
      </c>
      <c r="AB386" s="50">
        <v>625</v>
      </c>
      <c r="AC386" s="50">
        <v>600</v>
      </c>
      <c r="AD386" s="50">
        <v>510</v>
      </c>
      <c r="AE386" s="112" t="s">
        <v>37</v>
      </c>
      <c r="AF386" s="60"/>
    </row>
    <row r="387" s="55" customFormat="1" ht="25.5" spans="1:32">
      <c r="A387" s="112" t="s">
        <v>95</v>
      </c>
      <c r="B387" s="112" t="s">
        <v>1526</v>
      </c>
      <c r="C387" s="64" t="s">
        <v>1527</v>
      </c>
      <c r="D387" s="65"/>
      <c r="E387" s="77"/>
      <c r="F387" s="77" t="s">
        <v>35</v>
      </c>
      <c r="G387" s="64" t="s">
        <v>110</v>
      </c>
      <c r="H387" s="78">
        <v>188</v>
      </c>
      <c r="I387" s="78">
        <v>170</v>
      </c>
      <c r="J387" s="83">
        <v>190</v>
      </c>
      <c r="K387" s="83">
        <v>180</v>
      </c>
      <c r="L387" s="83">
        <v>155</v>
      </c>
      <c r="M387" s="41">
        <v>190</v>
      </c>
      <c r="N387" s="94">
        <v>170</v>
      </c>
      <c r="O387" s="94">
        <v>150</v>
      </c>
      <c r="P387" s="64" t="s">
        <v>37</v>
      </c>
      <c r="Q387" s="64" t="s">
        <v>35</v>
      </c>
      <c r="R387" s="64" t="s">
        <v>35</v>
      </c>
      <c r="S387" s="83"/>
      <c r="T387" s="77" t="s">
        <v>186</v>
      </c>
      <c r="U387" s="105" t="s">
        <v>1528</v>
      </c>
      <c r="V387" s="105">
        <v>33040900701</v>
      </c>
      <c r="W387" s="106" t="s">
        <v>1529</v>
      </c>
      <c r="X387" s="105"/>
      <c r="Y387" s="105"/>
      <c r="Z387" s="105" t="s">
        <v>36</v>
      </c>
      <c r="AA387" s="110" t="s">
        <v>35</v>
      </c>
      <c r="AB387" s="50">
        <v>815</v>
      </c>
      <c r="AC387" s="50">
        <v>780</v>
      </c>
      <c r="AD387" s="50">
        <v>665</v>
      </c>
      <c r="AE387" s="112" t="s">
        <v>37</v>
      </c>
      <c r="AF387" s="60"/>
    </row>
    <row r="388" s="52" customFormat="1" ht="32" customHeight="1" spans="1:238">
      <c r="A388" s="64">
        <v>105</v>
      </c>
      <c r="B388" s="64" t="s">
        <v>1530</v>
      </c>
      <c r="C388" s="64" t="s">
        <v>1531</v>
      </c>
      <c r="D388" s="65" t="s">
        <v>1532</v>
      </c>
      <c r="E388" s="77" t="s">
        <v>1533</v>
      </c>
      <c r="F388" s="77" t="s">
        <v>1534</v>
      </c>
      <c r="G388" s="64" t="s">
        <v>110</v>
      </c>
      <c r="H388" s="78">
        <v>1100</v>
      </c>
      <c r="I388" s="78">
        <v>990</v>
      </c>
      <c r="J388" s="83">
        <v>1177.38095238095</v>
      </c>
      <c r="K388" s="83">
        <v>600</v>
      </c>
      <c r="L388" s="83"/>
      <c r="M388" s="89">
        <v>1050</v>
      </c>
      <c r="N388" s="89">
        <v>950</v>
      </c>
      <c r="O388" s="89">
        <v>810</v>
      </c>
      <c r="P388" s="64" t="s">
        <v>37</v>
      </c>
      <c r="Q388" s="64" t="s">
        <v>35</v>
      </c>
      <c r="R388" s="64" t="s">
        <v>35</v>
      </c>
      <c r="S388" s="83" t="s">
        <v>38</v>
      </c>
      <c r="T388" s="104" t="s">
        <v>1535</v>
      </c>
      <c r="U388" s="105" t="s">
        <v>1536</v>
      </c>
      <c r="V388" s="105">
        <v>330409008</v>
      </c>
      <c r="W388" s="106" t="s">
        <v>1537</v>
      </c>
      <c r="X388" s="105"/>
      <c r="Y388" s="105"/>
      <c r="Z388" s="105" t="s">
        <v>36</v>
      </c>
      <c r="AA388" s="110" t="s">
        <v>35</v>
      </c>
      <c r="AB388" s="50">
        <v>625</v>
      </c>
      <c r="AC388" s="50">
        <v>600</v>
      </c>
      <c r="AD388" s="50">
        <v>510</v>
      </c>
      <c r="AE388" s="112" t="s">
        <v>37</v>
      </c>
      <c r="AF388" s="60"/>
      <c r="AG388" s="55"/>
      <c r="AH388" s="55"/>
      <c r="AI388" s="55"/>
      <c r="AJ388" s="55"/>
      <c r="AK388" s="55"/>
      <c r="AL388" s="55"/>
      <c r="AM388" s="55"/>
      <c r="AN388" s="55"/>
      <c r="AO388" s="55"/>
      <c r="AP388" s="55"/>
      <c r="AQ388" s="55"/>
      <c r="AR388" s="55"/>
      <c r="AS388" s="55"/>
      <c r="AT388" s="55"/>
      <c r="AU388" s="55"/>
      <c r="AV388" s="55"/>
      <c r="AW388" s="55"/>
      <c r="AX388" s="55"/>
      <c r="AY388" s="55"/>
      <c r="AZ388" s="55"/>
      <c r="BA388" s="55"/>
      <c r="BB388" s="55"/>
      <c r="BC388" s="55"/>
      <c r="BD388" s="55"/>
      <c r="BE388" s="55"/>
      <c r="BF388" s="55"/>
      <c r="BG388" s="55"/>
      <c r="BH388" s="55"/>
      <c r="BI388" s="55"/>
      <c r="BJ388" s="55"/>
      <c r="BK388" s="55"/>
      <c r="BL388" s="55"/>
      <c r="BM388" s="55"/>
      <c r="BN388" s="55"/>
      <c r="BO388" s="55"/>
      <c r="BP388" s="55"/>
      <c r="BQ388" s="55"/>
      <c r="BR388" s="55"/>
      <c r="BS388" s="55"/>
      <c r="BT388" s="55"/>
      <c r="BU388" s="55"/>
      <c r="BV388" s="55"/>
      <c r="BW388" s="55"/>
      <c r="BX388" s="55"/>
      <c r="BY388" s="55"/>
      <c r="BZ388" s="55"/>
      <c r="CA388" s="55"/>
      <c r="CB388" s="55"/>
      <c r="CC388" s="55"/>
      <c r="CD388" s="55"/>
      <c r="CE388" s="55"/>
      <c r="CF388" s="55"/>
      <c r="CG388" s="55"/>
      <c r="CH388" s="55"/>
      <c r="CI388" s="55"/>
      <c r="CJ388" s="55"/>
      <c r="CK388" s="55"/>
      <c r="CL388" s="55"/>
      <c r="CM388" s="55"/>
      <c r="CN388" s="55"/>
      <c r="CO388" s="55"/>
      <c r="CP388" s="55"/>
      <c r="CQ388" s="55"/>
      <c r="CR388" s="55"/>
      <c r="CS388" s="55"/>
      <c r="CT388" s="55"/>
      <c r="CU388" s="55"/>
      <c r="CV388" s="55"/>
      <c r="CW388" s="55"/>
      <c r="CX388" s="55"/>
      <c r="CY388" s="55"/>
      <c r="CZ388" s="55"/>
      <c r="DA388" s="55"/>
      <c r="DB388" s="55"/>
      <c r="DC388" s="55"/>
      <c r="DD388" s="55"/>
      <c r="DE388" s="55"/>
      <c r="DF388" s="55"/>
      <c r="DG388" s="55"/>
      <c r="DH388" s="55"/>
      <c r="DI388" s="55"/>
      <c r="DJ388" s="55"/>
      <c r="DK388" s="55"/>
      <c r="DL388" s="55"/>
      <c r="DM388" s="55"/>
      <c r="DN388" s="55"/>
      <c r="DO388" s="55"/>
      <c r="DP388" s="55"/>
      <c r="DQ388" s="55"/>
      <c r="DR388" s="55"/>
      <c r="DS388" s="55"/>
      <c r="DT388" s="55"/>
      <c r="DU388" s="55"/>
      <c r="DV388" s="55"/>
      <c r="DW388" s="55"/>
      <c r="DX388" s="55"/>
      <c r="DY388" s="55"/>
      <c r="DZ388" s="55"/>
      <c r="EA388" s="55"/>
      <c r="EB388" s="55"/>
      <c r="EC388" s="55"/>
      <c r="ED388" s="55"/>
      <c r="EE388" s="55"/>
      <c r="EF388" s="55"/>
      <c r="EG388" s="55"/>
      <c r="EH388" s="55"/>
      <c r="EI388" s="55"/>
      <c r="EJ388" s="55"/>
      <c r="EK388" s="55"/>
      <c r="EL388" s="55"/>
      <c r="EM388" s="55"/>
      <c r="EN388" s="55"/>
      <c r="EO388" s="55"/>
      <c r="EP388" s="55"/>
      <c r="EQ388" s="55"/>
      <c r="ER388" s="55"/>
      <c r="ES388" s="55"/>
      <c r="ET388" s="55"/>
      <c r="EU388" s="55"/>
      <c r="EV388" s="55"/>
      <c r="EW388" s="55"/>
      <c r="EX388" s="55"/>
      <c r="EY388" s="55"/>
      <c r="EZ388" s="55"/>
      <c r="FA388" s="55"/>
      <c r="FB388" s="55"/>
      <c r="FC388" s="55"/>
      <c r="FD388" s="55"/>
      <c r="FE388" s="55"/>
      <c r="FF388" s="55"/>
      <c r="FG388" s="55"/>
      <c r="FH388" s="55"/>
      <c r="FI388" s="55"/>
      <c r="FJ388" s="55"/>
      <c r="FK388" s="55"/>
      <c r="FL388" s="55"/>
      <c r="FM388" s="55"/>
      <c r="FN388" s="55"/>
      <c r="FO388" s="55"/>
      <c r="FP388" s="55"/>
      <c r="FQ388" s="55"/>
      <c r="FR388" s="55"/>
      <c r="FS388" s="55"/>
      <c r="FT388" s="55"/>
      <c r="FU388" s="55"/>
      <c r="FV388" s="55"/>
      <c r="FW388" s="55"/>
      <c r="FX388" s="55"/>
      <c r="FY388" s="55"/>
      <c r="FZ388" s="55"/>
      <c r="GA388" s="55"/>
      <c r="GB388" s="55"/>
      <c r="GC388" s="55"/>
      <c r="GD388" s="55"/>
      <c r="GE388" s="55"/>
      <c r="GF388" s="55"/>
      <c r="GG388" s="55"/>
      <c r="GH388" s="55"/>
      <c r="GI388" s="55"/>
      <c r="GJ388" s="55"/>
      <c r="GK388" s="55"/>
      <c r="GL388" s="55"/>
      <c r="GM388" s="55"/>
      <c r="GN388" s="55"/>
      <c r="GO388" s="55"/>
      <c r="GP388" s="55"/>
      <c r="GQ388" s="55"/>
      <c r="GR388" s="55"/>
      <c r="GS388" s="55"/>
      <c r="GT388" s="55"/>
      <c r="GU388" s="55"/>
      <c r="GV388" s="55"/>
      <c r="GW388" s="55"/>
      <c r="GX388" s="55"/>
      <c r="GY388" s="55"/>
      <c r="GZ388" s="55"/>
      <c r="HA388" s="55"/>
      <c r="HB388" s="55"/>
      <c r="HC388" s="55"/>
      <c r="HD388" s="55"/>
      <c r="HE388" s="55"/>
      <c r="HF388" s="55"/>
      <c r="HG388" s="55"/>
      <c r="HH388" s="55"/>
      <c r="HI388" s="55"/>
      <c r="HJ388" s="55"/>
      <c r="HK388" s="55"/>
      <c r="HL388" s="55"/>
      <c r="HM388" s="55"/>
      <c r="HN388" s="55"/>
      <c r="HO388" s="55"/>
      <c r="HP388" s="55"/>
      <c r="HQ388" s="55"/>
      <c r="HR388" s="55"/>
      <c r="HS388" s="55"/>
      <c r="HT388" s="55"/>
      <c r="HU388" s="55"/>
      <c r="HV388" s="55"/>
      <c r="HW388" s="55"/>
      <c r="HX388" s="55"/>
      <c r="HY388" s="55"/>
      <c r="HZ388" s="55"/>
      <c r="IA388" s="55"/>
      <c r="IB388" s="55"/>
      <c r="IC388" s="55"/>
      <c r="ID388" s="55"/>
    </row>
    <row r="389" s="52" customFormat="1" ht="32" customHeight="1" spans="1:238">
      <c r="A389" s="64"/>
      <c r="B389" s="64"/>
      <c r="C389" s="64"/>
      <c r="D389" s="65"/>
      <c r="E389" s="77"/>
      <c r="F389" s="77"/>
      <c r="G389" s="64"/>
      <c r="H389" s="42"/>
      <c r="I389" s="42"/>
      <c r="J389" s="83"/>
      <c r="K389" s="83"/>
      <c r="L389" s="83"/>
      <c r="M389" s="89"/>
      <c r="N389" s="89"/>
      <c r="O389" s="89"/>
      <c r="P389" s="64"/>
      <c r="Q389" s="64"/>
      <c r="R389" s="64"/>
      <c r="S389" s="83"/>
      <c r="T389" s="104"/>
      <c r="U389" s="105" t="s">
        <v>1538</v>
      </c>
      <c r="V389" s="105">
        <v>330409009</v>
      </c>
      <c r="W389" s="106" t="s">
        <v>1539</v>
      </c>
      <c r="X389" s="105" t="s">
        <v>1540</v>
      </c>
      <c r="Y389" s="105" t="s">
        <v>1525</v>
      </c>
      <c r="Z389" s="105" t="s">
        <v>36</v>
      </c>
      <c r="AA389" s="110" t="s">
        <v>35</v>
      </c>
      <c r="AB389" s="50">
        <v>1350</v>
      </c>
      <c r="AC389" s="50">
        <v>1220</v>
      </c>
      <c r="AD389" s="50">
        <v>1040</v>
      </c>
      <c r="AE389" s="112" t="s">
        <v>37</v>
      </c>
      <c r="AF389" s="60"/>
      <c r="AG389" s="55"/>
      <c r="AH389" s="55"/>
      <c r="AI389" s="55"/>
      <c r="AJ389" s="55"/>
      <c r="AK389" s="55"/>
      <c r="AL389" s="55"/>
      <c r="AM389" s="55"/>
      <c r="AN389" s="55"/>
      <c r="AO389" s="55"/>
      <c r="AP389" s="55"/>
      <c r="AQ389" s="55"/>
      <c r="AR389" s="55"/>
      <c r="AS389" s="55"/>
      <c r="AT389" s="55"/>
      <c r="AU389" s="55"/>
      <c r="AV389" s="55"/>
      <c r="AW389" s="55"/>
      <c r="AX389" s="55"/>
      <c r="AY389" s="55"/>
      <c r="AZ389" s="55"/>
      <c r="BA389" s="55"/>
      <c r="BB389" s="55"/>
      <c r="BC389" s="55"/>
      <c r="BD389" s="55"/>
      <c r="BE389" s="55"/>
      <c r="BF389" s="55"/>
      <c r="BG389" s="55"/>
      <c r="BH389" s="55"/>
      <c r="BI389" s="55"/>
      <c r="BJ389" s="55"/>
      <c r="BK389" s="55"/>
      <c r="BL389" s="55"/>
      <c r="BM389" s="55"/>
      <c r="BN389" s="55"/>
      <c r="BO389" s="55"/>
      <c r="BP389" s="55"/>
      <c r="BQ389" s="55"/>
      <c r="BR389" s="55"/>
      <c r="BS389" s="55"/>
      <c r="BT389" s="55"/>
      <c r="BU389" s="55"/>
      <c r="BV389" s="55"/>
      <c r="BW389" s="55"/>
      <c r="BX389" s="55"/>
      <c r="BY389" s="55"/>
      <c r="BZ389" s="55"/>
      <c r="CA389" s="55"/>
      <c r="CB389" s="55"/>
      <c r="CC389" s="55"/>
      <c r="CD389" s="55"/>
      <c r="CE389" s="55"/>
      <c r="CF389" s="55"/>
      <c r="CG389" s="55"/>
      <c r="CH389" s="55"/>
      <c r="CI389" s="55"/>
      <c r="CJ389" s="55"/>
      <c r="CK389" s="55"/>
      <c r="CL389" s="55"/>
      <c r="CM389" s="55"/>
      <c r="CN389" s="55"/>
      <c r="CO389" s="55"/>
      <c r="CP389" s="55"/>
      <c r="CQ389" s="55"/>
      <c r="CR389" s="55"/>
      <c r="CS389" s="55"/>
      <c r="CT389" s="55"/>
      <c r="CU389" s="55"/>
      <c r="CV389" s="55"/>
      <c r="CW389" s="55"/>
      <c r="CX389" s="55"/>
      <c r="CY389" s="55"/>
      <c r="CZ389" s="55"/>
      <c r="DA389" s="55"/>
      <c r="DB389" s="55"/>
      <c r="DC389" s="55"/>
      <c r="DD389" s="55"/>
      <c r="DE389" s="55"/>
      <c r="DF389" s="55"/>
      <c r="DG389" s="55"/>
      <c r="DH389" s="55"/>
      <c r="DI389" s="55"/>
      <c r="DJ389" s="55"/>
      <c r="DK389" s="55"/>
      <c r="DL389" s="55"/>
      <c r="DM389" s="55"/>
      <c r="DN389" s="55"/>
      <c r="DO389" s="55"/>
      <c r="DP389" s="55"/>
      <c r="DQ389" s="55"/>
      <c r="DR389" s="55"/>
      <c r="DS389" s="55"/>
      <c r="DT389" s="55"/>
      <c r="DU389" s="55"/>
      <c r="DV389" s="55"/>
      <c r="DW389" s="55"/>
      <c r="DX389" s="55"/>
      <c r="DY389" s="55"/>
      <c r="DZ389" s="55"/>
      <c r="EA389" s="55"/>
      <c r="EB389" s="55"/>
      <c r="EC389" s="55"/>
      <c r="ED389" s="55"/>
      <c r="EE389" s="55"/>
      <c r="EF389" s="55"/>
      <c r="EG389" s="55"/>
      <c r="EH389" s="55"/>
      <c r="EI389" s="55"/>
      <c r="EJ389" s="55"/>
      <c r="EK389" s="55"/>
      <c r="EL389" s="55"/>
      <c r="EM389" s="55"/>
      <c r="EN389" s="55"/>
      <c r="EO389" s="55"/>
      <c r="EP389" s="55"/>
      <c r="EQ389" s="55"/>
      <c r="ER389" s="55"/>
      <c r="ES389" s="55"/>
      <c r="ET389" s="55"/>
      <c r="EU389" s="55"/>
      <c r="EV389" s="55"/>
      <c r="EW389" s="55"/>
      <c r="EX389" s="55"/>
      <c r="EY389" s="55"/>
      <c r="EZ389" s="55"/>
      <c r="FA389" s="55"/>
      <c r="FB389" s="55"/>
      <c r="FC389" s="55"/>
      <c r="FD389" s="55"/>
      <c r="FE389" s="55"/>
      <c r="FF389" s="55"/>
      <c r="FG389" s="55"/>
      <c r="FH389" s="55"/>
      <c r="FI389" s="55"/>
      <c r="FJ389" s="55"/>
      <c r="FK389" s="55"/>
      <c r="FL389" s="55"/>
      <c r="FM389" s="55"/>
      <c r="FN389" s="55"/>
      <c r="FO389" s="55"/>
      <c r="FP389" s="55"/>
      <c r="FQ389" s="55"/>
      <c r="FR389" s="55"/>
      <c r="FS389" s="55"/>
      <c r="FT389" s="55"/>
      <c r="FU389" s="55"/>
      <c r="FV389" s="55"/>
      <c r="FW389" s="55"/>
      <c r="FX389" s="55"/>
      <c r="FY389" s="55"/>
      <c r="FZ389" s="55"/>
      <c r="GA389" s="55"/>
      <c r="GB389" s="55"/>
      <c r="GC389" s="55"/>
      <c r="GD389" s="55"/>
      <c r="GE389" s="55"/>
      <c r="GF389" s="55"/>
      <c r="GG389" s="55"/>
      <c r="GH389" s="55"/>
      <c r="GI389" s="55"/>
      <c r="GJ389" s="55"/>
      <c r="GK389" s="55"/>
      <c r="GL389" s="55"/>
      <c r="GM389" s="55"/>
      <c r="GN389" s="55"/>
      <c r="GO389" s="55"/>
      <c r="GP389" s="55"/>
      <c r="GQ389" s="55"/>
      <c r="GR389" s="55"/>
      <c r="GS389" s="55"/>
      <c r="GT389" s="55"/>
      <c r="GU389" s="55"/>
      <c r="GV389" s="55"/>
      <c r="GW389" s="55"/>
      <c r="GX389" s="55"/>
      <c r="GY389" s="55"/>
      <c r="GZ389" s="55"/>
      <c r="HA389" s="55"/>
      <c r="HB389" s="55"/>
      <c r="HC389" s="55"/>
      <c r="HD389" s="55"/>
      <c r="HE389" s="55"/>
      <c r="HF389" s="55"/>
      <c r="HG389" s="55"/>
      <c r="HH389" s="55"/>
      <c r="HI389" s="55"/>
      <c r="HJ389" s="55"/>
      <c r="HK389" s="55"/>
      <c r="HL389" s="55"/>
      <c r="HM389" s="55"/>
      <c r="HN389" s="55"/>
      <c r="HO389" s="55"/>
      <c r="HP389" s="55"/>
      <c r="HQ389" s="55"/>
      <c r="HR389" s="55"/>
      <c r="HS389" s="55"/>
      <c r="HT389" s="55"/>
      <c r="HU389" s="55"/>
      <c r="HV389" s="55"/>
      <c r="HW389" s="55"/>
      <c r="HX389" s="55"/>
      <c r="HY389" s="55"/>
      <c r="HZ389" s="55"/>
      <c r="IA389" s="55"/>
      <c r="IB389" s="55"/>
      <c r="IC389" s="55"/>
      <c r="ID389" s="55"/>
    </row>
    <row r="390" s="52" customFormat="1" ht="32" customHeight="1" spans="1:238">
      <c r="A390" s="64"/>
      <c r="B390" s="64"/>
      <c r="C390" s="64"/>
      <c r="D390" s="65"/>
      <c r="E390" s="77"/>
      <c r="F390" s="77"/>
      <c r="G390" s="64"/>
      <c r="H390" s="42"/>
      <c r="I390" s="42"/>
      <c r="J390" s="83"/>
      <c r="K390" s="83"/>
      <c r="L390" s="83"/>
      <c r="M390" s="89"/>
      <c r="N390" s="89"/>
      <c r="O390" s="89"/>
      <c r="P390" s="64"/>
      <c r="Q390" s="64"/>
      <c r="R390" s="64"/>
      <c r="S390" s="83"/>
      <c r="T390" s="104"/>
      <c r="U390" s="105" t="s">
        <v>1541</v>
      </c>
      <c r="V390" s="105">
        <v>330409016</v>
      </c>
      <c r="W390" s="106" t="s">
        <v>1542</v>
      </c>
      <c r="X390" s="105"/>
      <c r="Y390" s="105"/>
      <c r="Z390" s="105" t="s">
        <v>36</v>
      </c>
      <c r="AA390" s="110" t="s">
        <v>35</v>
      </c>
      <c r="AB390" s="50">
        <v>2060</v>
      </c>
      <c r="AC390" s="50">
        <v>1850</v>
      </c>
      <c r="AD390" s="50">
        <v>1570</v>
      </c>
      <c r="AE390" s="112" t="s">
        <v>37</v>
      </c>
      <c r="AF390" s="60"/>
      <c r="AG390" s="55"/>
      <c r="AH390" s="55"/>
      <c r="AI390" s="55"/>
      <c r="AJ390" s="55"/>
      <c r="AK390" s="55"/>
      <c r="AL390" s="55"/>
      <c r="AM390" s="55"/>
      <c r="AN390" s="55"/>
      <c r="AO390" s="55"/>
      <c r="AP390" s="55"/>
      <c r="AQ390" s="55"/>
      <c r="AR390" s="55"/>
      <c r="AS390" s="55"/>
      <c r="AT390" s="55"/>
      <c r="AU390" s="55"/>
      <c r="AV390" s="55"/>
      <c r="AW390" s="55"/>
      <c r="AX390" s="55"/>
      <c r="AY390" s="55"/>
      <c r="AZ390" s="55"/>
      <c r="BA390" s="55"/>
      <c r="BB390" s="55"/>
      <c r="BC390" s="55"/>
      <c r="BD390" s="55"/>
      <c r="BE390" s="55"/>
      <c r="BF390" s="55"/>
      <c r="BG390" s="55"/>
      <c r="BH390" s="55"/>
      <c r="BI390" s="55"/>
      <c r="BJ390" s="55"/>
      <c r="BK390" s="55"/>
      <c r="BL390" s="55"/>
      <c r="BM390" s="55"/>
      <c r="BN390" s="55"/>
      <c r="BO390" s="55"/>
      <c r="BP390" s="55"/>
      <c r="BQ390" s="55"/>
      <c r="BR390" s="55"/>
      <c r="BS390" s="55"/>
      <c r="BT390" s="55"/>
      <c r="BU390" s="55"/>
      <c r="BV390" s="55"/>
      <c r="BW390" s="55"/>
      <c r="BX390" s="55"/>
      <c r="BY390" s="55"/>
      <c r="BZ390" s="55"/>
      <c r="CA390" s="55"/>
      <c r="CB390" s="55"/>
      <c r="CC390" s="55"/>
      <c r="CD390" s="55"/>
      <c r="CE390" s="55"/>
      <c r="CF390" s="55"/>
      <c r="CG390" s="55"/>
      <c r="CH390" s="55"/>
      <c r="CI390" s="55"/>
      <c r="CJ390" s="55"/>
      <c r="CK390" s="55"/>
      <c r="CL390" s="55"/>
      <c r="CM390" s="55"/>
      <c r="CN390" s="55"/>
      <c r="CO390" s="55"/>
      <c r="CP390" s="55"/>
      <c r="CQ390" s="55"/>
      <c r="CR390" s="55"/>
      <c r="CS390" s="55"/>
      <c r="CT390" s="55"/>
      <c r="CU390" s="55"/>
      <c r="CV390" s="55"/>
      <c r="CW390" s="55"/>
      <c r="CX390" s="55"/>
      <c r="CY390" s="55"/>
      <c r="CZ390" s="55"/>
      <c r="DA390" s="55"/>
      <c r="DB390" s="55"/>
      <c r="DC390" s="55"/>
      <c r="DD390" s="55"/>
      <c r="DE390" s="55"/>
      <c r="DF390" s="55"/>
      <c r="DG390" s="55"/>
      <c r="DH390" s="55"/>
      <c r="DI390" s="55"/>
      <c r="DJ390" s="55"/>
      <c r="DK390" s="55"/>
      <c r="DL390" s="55"/>
      <c r="DM390" s="55"/>
      <c r="DN390" s="55"/>
      <c r="DO390" s="55"/>
      <c r="DP390" s="55"/>
      <c r="DQ390" s="55"/>
      <c r="DR390" s="55"/>
      <c r="DS390" s="55"/>
      <c r="DT390" s="55"/>
      <c r="DU390" s="55"/>
      <c r="DV390" s="55"/>
      <c r="DW390" s="55"/>
      <c r="DX390" s="55"/>
      <c r="DY390" s="55"/>
      <c r="DZ390" s="55"/>
      <c r="EA390" s="55"/>
      <c r="EB390" s="55"/>
      <c r="EC390" s="55"/>
      <c r="ED390" s="55"/>
      <c r="EE390" s="55"/>
      <c r="EF390" s="55"/>
      <c r="EG390" s="55"/>
      <c r="EH390" s="55"/>
      <c r="EI390" s="55"/>
      <c r="EJ390" s="55"/>
      <c r="EK390" s="55"/>
      <c r="EL390" s="55"/>
      <c r="EM390" s="55"/>
      <c r="EN390" s="55"/>
      <c r="EO390" s="55"/>
      <c r="EP390" s="55"/>
      <c r="EQ390" s="55"/>
      <c r="ER390" s="55"/>
      <c r="ES390" s="55"/>
      <c r="ET390" s="55"/>
      <c r="EU390" s="55"/>
      <c r="EV390" s="55"/>
      <c r="EW390" s="55"/>
      <c r="EX390" s="55"/>
      <c r="EY390" s="55"/>
      <c r="EZ390" s="55"/>
      <c r="FA390" s="55"/>
      <c r="FB390" s="55"/>
      <c r="FC390" s="55"/>
      <c r="FD390" s="55"/>
      <c r="FE390" s="55"/>
      <c r="FF390" s="55"/>
      <c r="FG390" s="55"/>
      <c r="FH390" s="55"/>
      <c r="FI390" s="55"/>
      <c r="FJ390" s="55"/>
      <c r="FK390" s="55"/>
      <c r="FL390" s="55"/>
      <c r="FM390" s="55"/>
      <c r="FN390" s="55"/>
      <c r="FO390" s="55"/>
      <c r="FP390" s="55"/>
      <c r="FQ390" s="55"/>
      <c r="FR390" s="55"/>
      <c r="FS390" s="55"/>
      <c r="FT390" s="55"/>
      <c r="FU390" s="55"/>
      <c r="FV390" s="55"/>
      <c r="FW390" s="55"/>
      <c r="FX390" s="55"/>
      <c r="FY390" s="55"/>
      <c r="FZ390" s="55"/>
      <c r="GA390" s="55"/>
      <c r="GB390" s="55"/>
      <c r="GC390" s="55"/>
      <c r="GD390" s="55"/>
      <c r="GE390" s="55"/>
      <c r="GF390" s="55"/>
      <c r="GG390" s="55"/>
      <c r="GH390" s="55"/>
      <c r="GI390" s="55"/>
      <c r="GJ390" s="55"/>
      <c r="GK390" s="55"/>
      <c r="GL390" s="55"/>
      <c r="GM390" s="55"/>
      <c r="GN390" s="55"/>
      <c r="GO390" s="55"/>
      <c r="GP390" s="55"/>
      <c r="GQ390" s="55"/>
      <c r="GR390" s="55"/>
      <c r="GS390" s="55"/>
      <c r="GT390" s="55"/>
      <c r="GU390" s="55"/>
      <c r="GV390" s="55"/>
      <c r="GW390" s="55"/>
      <c r="GX390" s="55"/>
      <c r="GY390" s="55"/>
      <c r="GZ390" s="55"/>
      <c r="HA390" s="55"/>
      <c r="HB390" s="55"/>
      <c r="HC390" s="55"/>
      <c r="HD390" s="55"/>
      <c r="HE390" s="55"/>
      <c r="HF390" s="55"/>
      <c r="HG390" s="55"/>
      <c r="HH390" s="55"/>
      <c r="HI390" s="55"/>
      <c r="HJ390" s="55"/>
      <c r="HK390" s="55"/>
      <c r="HL390" s="55"/>
      <c r="HM390" s="55"/>
      <c r="HN390" s="55"/>
      <c r="HO390" s="55"/>
      <c r="HP390" s="55"/>
      <c r="HQ390" s="55"/>
      <c r="HR390" s="55"/>
      <c r="HS390" s="55"/>
      <c r="HT390" s="55"/>
      <c r="HU390" s="55"/>
      <c r="HV390" s="55"/>
      <c r="HW390" s="55"/>
      <c r="HX390" s="55"/>
      <c r="HY390" s="55"/>
      <c r="HZ390" s="55"/>
      <c r="IA390" s="55"/>
      <c r="IB390" s="55"/>
      <c r="IC390" s="55"/>
      <c r="ID390" s="55"/>
    </row>
    <row r="391" s="52" customFormat="1" ht="26" customHeight="1" spans="1:238">
      <c r="A391" s="64" t="s">
        <v>95</v>
      </c>
      <c r="B391" s="64" t="s">
        <v>1543</v>
      </c>
      <c r="C391" s="64" t="s">
        <v>1544</v>
      </c>
      <c r="D391" s="65"/>
      <c r="E391" s="77"/>
      <c r="F391" s="77" t="s">
        <v>35</v>
      </c>
      <c r="G391" s="64" t="s">
        <v>110</v>
      </c>
      <c r="H391" s="78">
        <v>330</v>
      </c>
      <c r="I391" s="78">
        <v>297</v>
      </c>
      <c r="J391" s="83"/>
      <c r="K391" s="83"/>
      <c r="L391" s="83"/>
      <c r="M391" s="41">
        <v>315</v>
      </c>
      <c r="N391" s="41">
        <v>285</v>
      </c>
      <c r="O391" s="41">
        <v>245</v>
      </c>
      <c r="P391" s="64" t="s">
        <v>37</v>
      </c>
      <c r="Q391" s="64" t="s">
        <v>35</v>
      </c>
      <c r="R391" s="64" t="s">
        <v>35</v>
      </c>
      <c r="S391" s="83"/>
      <c r="T391" s="77" t="s">
        <v>186</v>
      </c>
      <c r="U391" s="105" t="s">
        <v>1545</v>
      </c>
      <c r="V391" s="105">
        <v>33040900801</v>
      </c>
      <c r="W391" s="106" t="s">
        <v>1546</v>
      </c>
      <c r="X391" s="105"/>
      <c r="Y391" s="105"/>
      <c r="Z391" s="105" t="s">
        <v>36</v>
      </c>
      <c r="AA391" s="110" t="s">
        <v>35</v>
      </c>
      <c r="AB391" s="50">
        <v>815</v>
      </c>
      <c r="AC391" s="50">
        <v>780</v>
      </c>
      <c r="AD391" s="50">
        <v>665</v>
      </c>
      <c r="AE391" s="112" t="s">
        <v>37</v>
      </c>
      <c r="AF391" s="60"/>
      <c r="AG391" s="55"/>
      <c r="AH391" s="55"/>
      <c r="AI391" s="55"/>
      <c r="AJ391" s="55"/>
      <c r="AK391" s="55"/>
      <c r="AL391" s="55"/>
      <c r="AM391" s="55"/>
      <c r="AN391" s="55"/>
      <c r="AO391" s="55"/>
      <c r="AP391" s="55"/>
      <c r="AQ391" s="55"/>
      <c r="AR391" s="55"/>
      <c r="AS391" s="55"/>
      <c r="AT391" s="55"/>
      <c r="AU391" s="55"/>
      <c r="AV391" s="55"/>
      <c r="AW391" s="55"/>
      <c r="AX391" s="55"/>
      <c r="AY391" s="55"/>
      <c r="AZ391" s="55"/>
      <c r="BA391" s="55"/>
      <c r="BB391" s="55"/>
      <c r="BC391" s="55"/>
      <c r="BD391" s="55"/>
      <c r="BE391" s="55"/>
      <c r="BF391" s="55"/>
      <c r="BG391" s="55"/>
      <c r="BH391" s="55"/>
      <c r="BI391" s="55"/>
      <c r="BJ391" s="55"/>
      <c r="BK391" s="55"/>
      <c r="BL391" s="55"/>
      <c r="BM391" s="55"/>
      <c r="BN391" s="55"/>
      <c r="BO391" s="55"/>
      <c r="BP391" s="55"/>
      <c r="BQ391" s="55"/>
      <c r="BR391" s="55"/>
      <c r="BS391" s="55"/>
      <c r="BT391" s="55"/>
      <c r="BU391" s="55"/>
      <c r="BV391" s="55"/>
      <c r="BW391" s="55"/>
      <c r="BX391" s="55"/>
      <c r="BY391" s="55"/>
      <c r="BZ391" s="55"/>
      <c r="CA391" s="55"/>
      <c r="CB391" s="55"/>
      <c r="CC391" s="55"/>
      <c r="CD391" s="55"/>
      <c r="CE391" s="55"/>
      <c r="CF391" s="55"/>
      <c r="CG391" s="55"/>
      <c r="CH391" s="55"/>
      <c r="CI391" s="55"/>
      <c r="CJ391" s="55"/>
      <c r="CK391" s="55"/>
      <c r="CL391" s="55"/>
      <c r="CM391" s="55"/>
      <c r="CN391" s="55"/>
      <c r="CO391" s="55"/>
      <c r="CP391" s="55"/>
      <c r="CQ391" s="55"/>
      <c r="CR391" s="55"/>
      <c r="CS391" s="55"/>
      <c r="CT391" s="55"/>
      <c r="CU391" s="55"/>
      <c r="CV391" s="55"/>
      <c r="CW391" s="55"/>
      <c r="CX391" s="55"/>
      <c r="CY391" s="55"/>
      <c r="CZ391" s="55"/>
      <c r="DA391" s="55"/>
      <c r="DB391" s="55"/>
      <c r="DC391" s="55"/>
      <c r="DD391" s="55"/>
      <c r="DE391" s="55"/>
      <c r="DF391" s="55"/>
      <c r="DG391" s="55"/>
      <c r="DH391" s="55"/>
      <c r="DI391" s="55"/>
      <c r="DJ391" s="55"/>
      <c r="DK391" s="55"/>
      <c r="DL391" s="55"/>
      <c r="DM391" s="55"/>
      <c r="DN391" s="55"/>
      <c r="DO391" s="55"/>
      <c r="DP391" s="55"/>
      <c r="DQ391" s="55"/>
      <c r="DR391" s="55"/>
      <c r="DS391" s="55"/>
      <c r="DT391" s="55"/>
      <c r="DU391" s="55"/>
      <c r="DV391" s="55"/>
      <c r="DW391" s="55"/>
      <c r="DX391" s="55"/>
      <c r="DY391" s="55"/>
      <c r="DZ391" s="55"/>
      <c r="EA391" s="55"/>
      <c r="EB391" s="55"/>
      <c r="EC391" s="55"/>
      <c r="ED391" s="55"/>
      <c r="EE391" s="55"/>
      <c r="EF391" s="55"/>
      <c r="EG391" s="55"/>
      <c r="EH391" s="55"/>
      <c r="EI391" s="55"/>
      <c r="EJ391" s="55"/>
      <c r="EK391" s="55"/>
      <c r="EL391" s="55"/>
      <c r="EM391" s="55"/>
      <c r="EN391" s="55"/>
      <c r="EO391" s="55"/>
      <c r="EP391" s="55"/>
      <c r="EQ391" s="55"/>
      <c r="ER391" s="55"/>
      <c r="ES391" s="55"/>
      <c r="ET391" s="55"/>
      <c r="EU391" s="55"/>
      <c r="EV391" s="55"/>
      <c r="EW391" s="55"/>
      <c r="EX391" s="55"/>
      <c r="EY391" s="55"/>
      <c r="EZ391" s="55"/>
      <c r="FA391" s="55"/>
      <c r="FB391" s="55"/>
      <c r="FC391" s="55"/>
      <c r="FD391" s="55"/>
      <c r="FE391" s="55"/>
      <c r="FF391" s="55"/>
      <c r="FG391" s="55"/>
      <c r="FH391" s="55"/>
      <c r="FI391" s="55"/>
      <c r="FJ391" s="55"/>
      <c r="FK391" s="55"/>
      <c r="FL391" s="55"/>
      <c r="FM391" s="55"/>
      <c r="FN391" s="55"/>
      <c r="FO391" s="55"/>
      <c r="FP391" s="55"/>
      <c r="FQ391" s="55"/>
      <c r="FR391" s="55"/>
      <c r="FS391" s="55"/>
      <c r="FT391" s="55"/>
      <c r="FU391" s="55"/>
      <c r="FV391" s="55"/>
      <c r="FW391" s="55"/>
      <c r="FX391" s="55"/>
      <c r="FY391" s="55"/>
      <c r="FZ391" s="55"/>
      <c r="GA391" s="55"/>
      <c r="GB391" s="55"/>
      <c r="GC391" s="55"/>
      <c r="GD391" s="55"/>
      <c r="GE391" s="55"/>
      <c r="GF391" s="55"/>
      <c r="GG391" s="55"/>
      <c r="GH391" s="55"/>
      <c r="GI391" s="55"/>
      <c r="GJ391" s="55"/>
      <c r="GK391" s="55"/>
      <c r="GL391" s="55"/>
      <c r="GM391" s="55"/>
      <c r="GN391" s="55"/>
      <c r="GO391" s="55"/>
      <c r="GP391" s="55"/>
      <c r="GQ391" s="55"/>
      <c r="GR391" s="55"/>
      <c r="GS391" s="55"/>
      <c r="GT391" s="55"/>
      <c r="GU391" s="55"/>
      <c r="GV391" s="55"/>
      <c r="GW391" s="55"/>
      <c r="GX391" s="55"/>
      <c r="GY391" s="55"/>
      <c r="GZ391" s="55"/>
      <c r="HA391" s="55"/>
      <c r="HB391" s="55"/>
      <c r="HC391" s="55"/>
      <c r="HD391" s="55"/>
      <c r="HE391" s="55"/>
      <c r="HF391" s="55"/>
      <c r="HG391" s="55"/>
      <c r="HH391" s="55"/>
      <c r="HI391" s="55"/>
      <c r="HJ391" s="55"/>
      <c r="HK391" s="55"/>
      <c r="HL391" s="55"/>
      <c r="HM391" s="55"/>
      <c r="HN391" s="55"/>
      <c r="HO391" s="55"/>
      <c r="HP391" s="55"/>
      <c r="HQ391" s="55"/>
      <c r="HR391" s="55"/>
      <c r="HS391" s="55"/>
      <c r="HT391" s="55"/>
      <c r="HU391" s="55"/>
      <c r="HV391" s="55"/>
      <c r="HW391" s="55"/>
      <c r="HX391" s="55"/>
      <c r="HY391" s="55"/>
      <c r="HZ391" s="55"/>
      <c r="IA391" s="55"/>
      <c r="IB391" s="55"/>
      <c r="IC391" s="55"/>
      <c r="ID391" s="55"/>
    </row>
    <row r="392" s="52" customFormat="1" ht="26" customHeight="1" spans="1:238">
      <c r="A392" s="64"/>
      <c r="B392" s="64"/>
      <c r="C392" s="64"/>
      <c r="D392" s="65"/>
      <c r="E392" s="77"/>
      <c r="F392" s="77"/>
      <c r="G392" s="64"/>
      <c r="H392" s="42"/>
      <c r="I392" s="42"/>
      <c r="J392" s="83"/>
      <c r="K392" s="83"/>
      <c r="L392" s="83"/>
      <c r="M392" s="41"/>
      <c r="N392" s="41"/>
      <c r="O392" s="41"/>
      <c r="P392" s="64"/>
      <c r="Q392" s="64"/>
      <c r="R392" s="64"/>
      <c r="S392" s="83"/>
      <c r="T392" s="77"/>
      <c r="U392" s="105" t="s">
        <v>1547</v>
      </c>
      <c r="V392" s="105">
        <v>33040900901</v>
      </c>
      <c r="W392" s="106" t="s">
        <v>1548</v>
      </c>
      <c r="X392" s="105"/>
      <c r="Y392" s="105"/>
      <c r="Z392" s="105" t="s">
        <v>36</v>
      </c>
      <c r="AA392" s="110" t="s">
        <v>35</v>
      </c>
      <c r="AB392" s="50">
        <v>1755</v>
      </c>
      <c r="AC392" s="50">
        <v>1585</v>
      </c>
      <c r="AD392" s="50">
        <v>1345</v>
      </c>
      <c r="AE392" s="112" t="s">
        <v>37</v>
      </c>
      <c r="AF392" s="60"/>
      <c r="AG392" s="55"/>
      <c r="AH392" s="55"/>
      <c r="AI392" s="55"/>
      <c r="AJ392" s="55"/>
      <c r="AK392" s="55"/>
      <c r="AL392" s="55"/>
      <c r="AM392" s="55"/>
      <c r="AN392" s="55"/>
      <c r="AO392" s="55"/>
      <c r="AP392" s="55"/>
      <c r="AQ392" s="55"/>
      <c r="AR392" s="55"/>
      <c r="AS392" s="55"/>
      <c r="AT392" s="55"/>
      <c r="AU392" s="55"/>
      <c r="AV392" s="55"/>
      <c r="AW392" s="55"/>
      <c r="AX392" s="55"/>
      <c r="AY392" s="55"/>
      <c r="AZ392" s="55"/>
      <c r="BA392" s="55"/>
      <c r="BB392" s="55"/>
      <c r="BC392" s="55"/>
      <c r="BD392" s="55"/>
      <c r="BE392" s="55"/>
      <c r="BF392" s="55"/>
      <c r="BG392" s="55"/>
      <c r="BH392" s="55"/>
      <c r="BI392" s="55"/>
      <c r="BJ392" s="55"/>
      <c r="BK392" s="55"/>
      <c r="BL392" s="55"/>
      <c r="BM392" s="55"/>
      <c r="BN392" s="55"/>
      <c r="BO392" s="55"/>
      <c r="BP392" s="55"/>
      <c r="BQ392" s="55"/>
      <c r="BR392" s="55"/>
      <c r="BS392" s="55"/>
      <c r="BT392" s="55"/>
      <c r="BU392" s="55"/>
      <c r="BV392" s="55"/>
      <c r="BW392" s="55"/>
      <c r="BX392" s="55"/>
      <c r="BY392" s="55"/>
      <c r="BZ392" s="55"/>
      <c r="CA392" s="55"/>
      <c r="CB392" s="55"/>
      <c r="CC392" s="55"/>
      <c r="CD392" s="55"/>
      <c r="CE392" s="55"/>
      <c r="CF392" s="55"/>
      <c r="CG392" s="55"/>
      <c r="CH392" s="55"/>
      <c r="CI392" s="55"/>
      <c r="CJ392" s="55"/>
      <c r="CK392" s="55"/>
      <c r="CL392" s="55"/>
      <c r="CM392" s="55"/>
      <c r="CN392" s="55"/>
      <c r="CO392" s="55"/>
      <c r="CP392" s="55"/>
      <c r="CQ392" s="55"/>
      <c r="CR392" s="55"/>
      <c r="CS392" s="55"/>
      <c r="CT392" s="55"/>
      <c r="CU392" s="55"/>
      <c r="CV392" s="55"/>
      <c r="CW392" s="55"/>
      <c r="CX392" s="55"/>
      <c r="CY392" s="55"/>
      <c r="CZ392" s="55"/>
      <c r="DA392" s="55"/>
      <c r="DB392" s="55"/>
      <c r="DC392" s="55"/>
      <c r="DD392" s="55"/>
      <c r="DE392" s="55"/>
      <c r="DF392" s="55"/>
      <c r="DG392" s="55"/>
      <c r="DH392" s="55"/>
      <c r="DI392" s="55"/>
      <c r="DJ392" s="55"/>
      <c r="DK392" s="55"/>
      <c r="DL392" s="55"/>
      <c r="DM392" s="55"/>
      <c r="DN392" s="55"/>
      <c r="DO392" s="55"/>
      <c r="DP392" s="55"/>
      <c r="DQ392" s="55"/>
      <c r="DR392" s="55"/>
      <c r="DS392" s="55"/>
      <c r="DT392" s="55"/>
      <c r="DU392" s="55"/>
      <c r="DV392" s="55"/>
      <c r="DW392" s="55"/>
      <c r="DX392" s="55"/>
      <c r="DY392" s="55"/>
      <c r="DZ392" s="55"/>
      <c r="EA392" s="55"/>
      <c r="EB392" s="55"/>
      <c r="EC392" s="55"/>
      <c r="ED392" s="55"/>
      <c r="EE392" s="55"/>
      <c r="EF392" s="55"/>
      <c r="EG392" s="55"/>
      <c r="EH392" s="55"/>
      <c r="EI392" s="55"/>
      <c r="EJ392" s="55"/>
      <c r="EK392" s="55"/>
      <c r="EL392" s="55"/>
      <c r="EM392" s="55"/>
      <c r="EN392" s="55"/>
      <c r="EO392" s="55"/>
      <c r="EP392" s="55"/>
      <c r="EQ392" s="55"/>
      <c r="ER392" s="55"/>
      <c r="ES392" s="55"/>
      <c r="ET392" s="55"/>
      <c r="EU392" s="55"/>
      <c r="EV392" s="55"/>
      <c r="EW392" s="55"/>
      <c r="EX392" s="55"/>
      <c r="EY392" s="55"/>
      <c r="EZ392" s="55"/>
      <c r="FA392" s="55"/>
      <c r="FB392" s="55"/>
      <c r="FC392" s="55"/>
      <c r="FD392" s="55"/>
      <c r="FE392" s="55"/>
      <c r="FF392" s="55"/>
      <c r="FG392" s="55"/>
      <c r="FH392" s="55"/>
      <c r="FI392" s="55"/>
      <c r="FJ392" s="55"/>
      <c r="FK392" s="55"/>
      <c r="FL392" s="55"/>
      <c r="FM392" s="55"/>
      <c r="FN392" s="55"/>
      <c r="FO392" s="55"/>
      <c r="FP392" s="55"/>
      <c r="FQ392" s="55"/>
      <c r="FR392" s="55"/>
      <c r="FS392" s="55"/>
      <c r="FT392" s="55"/>
      <c r="FU392" s="55"/>
      <c r="FV392" s="55"/>
      <c r="FW392" s="55"/>
      <c r="FX392" s="55"/>
      <c r="FY392" s="55"/>
      <c r="FZ392" s="55"/>
      <c r="GA392" s="55"/>
      <c r="GB392" s="55"/>
      <c r="GC392" s="55"/>
      <c r="GD392" s="55"/>
      <c r="GE392" s="55"/>
      <c r="GF392" s="55"/>
      <c r="GG392" s="55"/>
      <c r="GH392" s="55"/>
      <c r="GI392" s="55"/>
      <c r="GJ392" s="55"/>
      <c r="GK392" s="55"/>
      <c r="GL392" s="55"/>
      <c r="GM392" s="55"/>
      <c r="GN392" s="55"/>
      <c r="GO392" s="55"/>
      <c r="GP392" s="55"/>
      <c r="GQ392" s="55"/>
      <c r="GR392" s="55"/>
      <c r="GS392" s="55"/>
      <c r="GT392" s="55"/>
      <c r="GU392" s="55"/>
      <c r="GV392" s="55"/>
      <c r="GW392" s="55"/>
      <c r="GX392" s="55"/>
      <c r="GY392" s="55"/>
      <c r="GZ392" s="55"/>
      <c r="HA392" s="55"/>
      <c r="HB392" s="55"/>
      <c r="HC392" s="55"/>
      <c r="HD392" s="55"/>
      <c r="HE392" s="55"/>
      <c r="HF392" s="55"/>
      <c r="HG392" s="55"/>
      <c r="HH392" s="55"/>
      <c r="HI392" s="55"/>
      <c r="HJ392" s="55"/>
      <c r="HK392" s="55"/>
      <c r="HL392" s="55"/>
      <c r="HM392" s="55"/>
      <c r="HN392" s="55"/>
      <c r="HO392" s="55"/>
      <c r="HP392" s="55"/>
      <c r="HQ392" s="55"/>
      <c r="HR392" s="55"/>
      <c r="HS392" s="55"/>
      <c r="HT392" s="55"/>
      <c r="HU392" s="55"/>
      <c r="HV392" s="55"/>
      <c r="HW392" s="55"/>
      <c r="HX392" s="55"/>
      <c r="HY392" s="55"/>
      <c r="HZ392" s="55"/>
      <c r="IA392" s="55"/>
      <c r="IB392" s="55"/>
      <c r="IC392" s="55"/>
      <c r="ID392" s="55"/>
    </row>
    <row r="393" s="52" customFormat="1" ht="26" customHeight="1" spans="1:238">
      <c r="A393" s="64"/>
      <c r="B393" s="64"/>
      <c r="C393" s="64"/>
      <c r="D393" s="65"/>
      <c r="E393" s="77"/>
      <c r="F393" s="77"/>
      <c r="G393" s="64"/>
      <c r="H393" s="42"/>
      <c r="I393" s="42"/>
      <c r="J393" s="83"/>
      <c r="K393" s="83"/>
      <c r="L393" s="83"/>
      <c r="M393" s="41"/>
      <c r="N393" s="41"/>
      <c r="O393" s="41"/>
      <c r="P393" s="64"/>
      <c r="Q393" s="64"/>
      <c r="R393" s="64"/>
      <c r="S393" s="83"/>
      <c r="T393" s="77"/>
      <c r="U393" s="105" t="s">
        <v>1549</v>
      </c>
      <c r="V393" s="105">
        <v>33040901601</v>
      </c>
      <c r="W393" s="106" t="s">
        <v>1550</v>
      </c>
      <c r="X393" s="105"/>
      <c r="Y393" s="105"/>
      <c r="Z393" s="105" t="s">
        <v>36</v>
      </c>
      <c r="AA393" s="110" t="s">
        <v>35</v>
      </c>
      <c r="AB393" s="50">
        <v>2680</v>
      </c>
      <c r="AC393" s="50">
        <v>2405</v>
      </c>
      <c r="AD393" s="50">
        <v>2045</v>
      </c>
      <c r="AE393" s="112" t="s">
        <v>37</v>
      </c>
      <c r="AF393" s="60"/>
      <c r="AG393" s="55"/>
      <c r="AH393" s="55"/>
      <c r="AI393" s="55"/>
      <c r="AJ393" s="55"/>
      <c r="AK393" s="55"/>
      <c r="AL393" s="55"/>
      <c r="AM393" s="55"/>
      <c r="AN393" s="55"/>
      <c r="AO393" s="55"/>
      <c r="AP393" s="55"/>
      <c r="AQ393" s="55"/>
      <c r="AR393" s="55"/>
      <c r="AS393" s="55"/>
      <c r="AT393" s="55"/>
      <c r="AU393" s="55"/>
      <c r="AV393" s="55"/>
      <c r="AW393" s="55"/>
      <c r="AX393" s="55"/>
      <c r="AY393" s="55"/>
      <c r="AZ393" s="55"/>
      <c r="BA393" s="55"/>
      <c r="BB393" s="55"/>
      <c r="BC393" s="55"/>
      <c r="BD393" s="55"/>
      <c r="BE393" s="55"/>
      <c r="BF393" s="55"/>
      <c r="BG393" s="55"/>
      <c r="BH393" s="55"/>
      <c r="BI393" s="55"/>
      <c r="BJ393" s="55"/>
      <c r="BK393" s="55"/>
      <c r="BL393" s="55"/>
      <c r="BM393" s="55"/>
      <c r="BN393" s="55"/>
      <c r="BO393" s="55"/>
      <c r="BP393" s="55"/>
      <c r="BQ393" s="55"/>
      <c r="BR393" s="55"/>
      <c r="BS393" s="55"/>
      <c r="BT393" s="55"/>
      <c r="BU393" s="55"/>
      <c r="BV393" s="55"/>
      <c r="BW393" s="55"/>
      <c r="BX393" s="55"/>
      <c r="BY393" s="55"/>
      <c r="BZ393" s="55"/>
      <c r="CA393" s="55"/>
      <c r="CB393" s="55"/>
      <c r="CC393" s="55"/>
      <c r="CD393" s="55"/>
      <c r="CE393" s="55"/>
      <c r="CF393" s="55"/>
      <c r="CG393" s="55"/>
      <c r="CH393" s="55"/>
      <c r="CI393" s="55"/>
      <c r="CJ393" s="55"/>
      <c r="CK393" s="55"/>
      <c r="CL393" s="55"/>
      <c r="CM393" s="55"/>
      <c r="CN393" s="55"/>
      <c r="CO393" s="55"/>
      <c r="CP393" s="55"/>
      <c r="CQ393" s="55"/>
      <c r="CR393" s="55"/>
      <c r="CS393" s="55"/>
      <c r="CT393" s="55"/>
      <c r="CU393" s="55"/>
      <c r="CV393" s="55"/>
      <c r="CW393" s="55"/>
      <c r="CX393" s="55"/>
      <c r="CY393" s="55"/>
      <c r="CZ393" s="55"/>
      <c r="DA393" s="55"/>
      <c r="DB393" s="55"/>
      <c r="DC393" s="55"/>
      <c r="DD393" s="55"/>
      <c r="DE393" s="55"/>
      <c r="DF393" s="55"/>
      <c r="DG393" s="55"/>
      <c r="DH393" s="55"/>
      <c r="DI393" s="55"/>
      <c r="DJ393" s="55"/>
      <c r="DK393" s="55"/>
      <c r="DL393" s="55"/>
      <c r="DM393" s="55"/>
      <c r="DN393" s="55"/>
      <c r="DO393" s="55"/>
      <c r="DP393" s="55"/>
      <c r="DQ393" s="55"/>
      <c r="DR393" s="55"/>
      <c r="DS393" s="55"/>
      <c r="DT393" s="55"/>
      <c r="DU393" s="55"/>
      <c r="DV393" s="55"/>
      <c r="DW393" s="55"/>
      <c r="DX393" s="55"/>
      <c r="DY393" s="55"/>
      <c r="DZ393" s="55"/>
      <c r="EA393" s="55"/>
      <c r="EB393" s="55"/>
      <c r="EC393" s="55"/>
      <c r="ED393" s="55"/>
      <c r="EE393" s="55"/>
      <c r="EF393" s="55"/>
      <c r="EG393" s="55"/>
      <c r="EH393" s="55"/>
      <c r="EI393" s="55"/>
      <c r="EJ393" s="55"/>
      <c r="EK393" s="55"/>
      <c r="EL393" s="55"/>
      <c r="EM393" s="55"/>
      <c r="EN393" s="55"/>
      <c r="EO393" s="55"/>
      <c r="EP393" s="55"/>
      <c r="EQ393" s="55"/>
      <c r="ER393" s="55"/>
      <c r="ES393" s="55"/>
      <c r="ET393" s="55"/>
      <c r="EU393" s="55"/>
      <c r="EV393" s="55"/>
      <c r="EW393" s="55"/>
      <c r="EX393" s="55"/>
      <c r="EY393" s="55"/>
      <c r="EZ393" s="55"/>
      <c r="FA393" s="55"/>
      <c r="FB393" s="55"/>
      <c r="FC393" s="55"/>
      <c r="FD393" s="55"/>
      <c r="FE393" s="55"/>
      <c r="FF393" s="55"/>
      <c r="FG393" s="55"/>
      <c r="FH393" s="55"/>
      <c r="FI393" s="55"/>
      <c r="FJ393" s="55"/>
      <c r="FK393" s="55"/>
      <c r="FL393" s="55"/>
      <c r="FM393" s="55"/>
      <c r="FN393" s="55"/>
      <c r="FO393" s="55"/>
      <c r="FP393" s="55"/>
      <c r="FQ393" s="55"/>
      <c r="FR393" s="55"/>
      <c r="FS393" s="55"/>
      <c r="FT393" s="55"/>
      <c r="FU393" s="55"/>
      <c r="FV393" s="55"/>
      <c r="FW393" s="55"/>
      <c r="FX393" s="55"/>
      <c r="FY393" s="55"/>
      <c r="FZ393" s="55"/>
      <c r="GA393" s="55"/>
      <c r="GB393" s="55"/>
      <c r="GC393" s="55"/>
      <c r="GD393" s="55"/>
      <c r="GE393" s="55"/>
      <c r="GF393" s="55"/>
      <c r="GG393" s="55"/>
      <c r="GH393" s="55"/>
      <c r="GI393" s="55"/>
      <c r="GJ393" s="55"/>
      <c r="GK393" s="55"/>
      <c r="GL393" s="55"/>
      <c r="GM393" s="55"/>
      <c r="GN393" s="55"/>
      <c r="GO393" s="55"/>
      <c r="GP393" s="55"/>
      <c r="GQ393" s="55"/>
      <c r="GR393" s="55"/>
      <c r="GS393" s="55"/>
      <c r="GT393" s="55"/>
      <c r="GU393" s="55"/>
      <c r="GV393" s="55"/>
      <c r="GW393" s="55"/>
      <c r="GX393" s="55"/>
      <c r="GY393" s="55"/>
      <c r="GZ393" s="55"/>
      <c r="HA393" s="55"/>
      <c r="HB393" s="55"/>
      <c r="HC393" s="55"/>
      <c r="HD393" s="55"/>
      <c r="HE393" s="55"/>
      <c r="HF393" s="55"/>
      <c r="HG393" s="55"/>
      <c r="HH393" s="55"/>
      <c r="HI393" s="55"/>
      <c r="HJ393" s="55"/>
      <c r="HK393" s="55"/>
      <c r="HL393" s="55"/>
      <c r="HM393" s="55"/>
      <c r="HN393" s="55"/>
      <c r="HO393" s="55"/>
      <c r="HP393" s="55"/>
      <c r="HQ393" s="55"/>
      <c r="HR393" s="55"/>
      <c r="HS393" s="55"/>
      <c r="HT393" s="55"/>
      <c r="HU393" s="55"/>
      <c r="HV393" s="55"/>
      <c r="HW393" s="55"/>
      <c r="HX393" s="55"/>
      <c r="HY393" s="55"/>
      <c r="HZ393" s="55"/>
      <c r="IA393" s="55"/>
      <c r="IB393" s="55"/>
      <c r="IC393" s="55"/>
      <c r="ID393" s="55"/>
    </row>
    <row r="394" s="52" customFormat="1" ht="38" customHeight="1" spans="1:238">
      <c r="A394" s="112" t="s">
        <v>95</v>
      </c>
      <c r="B394" s="112" t="s">
        <v>1551</v>
      </c>
      <c r="C394" s="64" t="s">
        <v>1552</v>
      </c>
      <c r="D394" s="65"/>
      <c r="E394" s="77"/>
      <c r="F394" s="77" t="s">
        <v>35</v>
      </c>
      <c r="G394" s="64" t="s">
        <v>110</v>
      </c>
      <c r="H394" s="42">
        <v>550</v>
      </c>
      <c r="I394" s="42">
        <v>495</v>
      </c>
      <c r="J394" s="83"/>
      <c r="K394" s="83"/>
      <c r="L394" s="83"/>
      <c r="M394" s="41">
        <v>525</v>
      </c>
      <c r="N394" s="41">
        <v>475</v>
      </c>
      <c r="O394" s="41">
        <v>405</v>
      </c>
      <c r="P394" s="64" t="s">
        <v>37</v>
      </c>
      <c r="Q394" s="64" t="s">
        <v>35</v>
      </c>
      <c r="R394" s="64" t="s">
        <v>35</v>
      </c>
      <c r="S394" s="83"/>
      <c r="T394" s="77" t="s">
        <v>1553</v>
      </c>
      <c r="U394" s="105" t="s">
        <v>1554</v>
      </c>
      <c r="V394" s="105">
        <v>330409015</v>
      </c>
      <c r="W394" s="106" t="s">
        <v>1555</v>
      </c>
      <c r="X394" s="105" t="s">
        <v>1556</v>
      </c>
      <c r="Y394" s="105"/>
      <c r="Z394" s="105" t="s">
        <v>36</v>
      </c>
      <c r="AA394" s="110" t="s">
        <v>35</v>
      </c>
      <c r="AB394" s="50">
        <v>1440</v>
      </c>
      <c r="AC394" s="50">
        <v>1300</v>
      </c>
      <c r="AD394" s="50">
        <v>1110</v>
      </c>
      <c r="AE394" s="112" t="s">
        <v>37</v>
      </c>
      <c r="AF394" s="60"/>
      <c r="AG394" s="55"/>
      <c r="AH394" s="55"/>
      <c r="AI394" s="55"/>
      <c r="AJ394" s="55"/>
      <c r="AK394" s="55"/>
      <c r="AL394" s="55"/>
      <c r="AM394" s="55"/>
      <c r="AN394" s="55"/>
      <c r="AO394" s="55"/>
      <c r="AP394" s="55"/>
      <c r="AQ394" s="55"/>
      <c r="AR394" s="55"/>
      <c r="AS394" s="55"/>
      <c r="AT394" s="55"/>
      <c r="AU394" s="55"/>
      <c r="AV394" s="55"/>
      <c r="AW394" s="55"/>
      <c r="AX394" s="55"/>
      <c r="AY394" s="55"/>
      <c r="AZ394" s="55"/>
      <c r="BA394" s="55"/>
      <c r="BB394" s="55"/>
      <c r="BC394" s="55"/>
      <c r="BD394" s="55"/>
      <c r="BE394" s="55"/>
      <c r="BF394" s="55"/>
      <c r="BG394" s="55"/>
      <c r="BH394" s="55"/>
      <c r="BI394" s="55"/>
      <c r="BJ394" s="55"/>
      <c r="BK394" s="55"/>
      <c r="BL394" s="55"/>
      <c r="BM394" s="55"/>
      <c r="BN394" s="55"/>
      <c r="BO394" s="55"/>
      <c r="BP394" s="55"/>
      <c r="BQ394" s="55"/>
      <c r="BR394" s="55"/>
      <c r="BS394" s="55"/>
      <c r="BT394" s="55"/>
      <c r="BU394" s="55"/>
      <c r="BV394" s="55"/>
      <c r="BW394" s="55"/>
      <c r="BX394" s="55"/>
      <c r="BY394" s="55"/>
      <c r="BZ394" s="55"/>
      <c r="CA394" s="55"/>
      <c r="CB394" s="55"/>
      <c r="CC394" s="55"/>
      <c r="CD394" s="55"/>
      <c r="CE394" s="55"/>
      <c r="CF394" s="55"/>
      <c r="CG394" s="55"/>
      <c r="CH394" s="55"/>
      <c r="CI394" s="55"/>
      <c r="CJ394" s="55"/>
      <c r="CK394" s="55"/>
      <c r="CL394" s="55"/>
      <c r="CM394" s="55"/>
      <c r="CN394" s="55"/>
      <c r="CO394" s="55"/>
      <c r="CP394" s="55"/>
      <c r="CQ394" s="55"/>
      <c r="CR394" s="55"/>
      <c r="CS394" s="55"/>
      <c r="CT394" s="55"/>
      <c r="CU394" s="55"/>
      <c r="CV394" s="55"/>
      <c r="CW394" s="55"/>
      <c r="CX394" s="55"/>
      <c r="CY394" s="55"/>
      <c r="CZ394" s="55"/>
      <c r="DA394" s="55"/>
      <c r="DB394" s="55"/>
      <c r="DC394" s="55"/>
      <c r="DD394" s="55"/>
      <c r="DE394" s="55"/>
      <c r="DF394" s="55"/>
      <c r="DG394" s="55"/>
      <c r="DH394" s="55"/>
      <c r="DI394" s="55"/>
      <c r="DJ394" s="55"/>
      <c r="DK394" s="55"/>
      <c r="DL394" s="55"/>
      <c r="DM394" s="55"/>
      <c r="DN394" s="55"/>
      <c r="DO394" s="55"/>
      <c r="DP394" s="55"/>
      <c r="DQ394" s="55"/>
      <c r="DR394" s="55"/>
      <c r="DS394" s="55"/>
      <c r="DT394" s="55"/>
      <c r="DU394" s="55"/>
      <c r="DV394" s="55"/>
      <c r="DW394" s="55"/>
      <c r="DX394" s="55"/>
      <c r="DY394" s="55"/>
      <c r="DZ394" s="55"/>
      <c r="EA394" s="55"/>
      <c r="EB394" s="55"/>
      <c r="EC394" s="55"/>
      <c r="ED394" s="55"/>
      <c r="EE394" s="55"/>
      <c r="EF394" s="55"/>
      <c r="EG394" s="55"/>
      <c r="EH394" s="55"/>
      <c r="EI394" s="55"/>
      <c r="EJ394" s="55"/>
      <c r="EK394" s="55"/>
      <c r="EL394" s="55"/>
      <c r="EM394" s="55"/>
      <c r="EN394" s="55"/>
      <c r="EO394" s="55"/>
      <c r="EP394" s="55"/>
      <c r="EQ394" s="55"/>
      <c r="ER394" s="55"/>
      <c r="ES394" s="55"/>
      <c r="ET394" s="55"/>
      <c r="EU394" s="55"/>
      <c r="EV394" s="55"/>
      <c r="EW394" s="55"/>
      <c r="EX394" s="55"/>
      <c r="EY394" s="55"/>
      <c r="EZ394" s="55"/>
      <c r="FA394" s="55"/>
      <c r="FB394" s="55"/>
      <c r="FC394" s="55"/>
      <c r="FD394" s="55"/>
      <c r="FE394" s="55"/>
      <c r="FF394" s="55"/>
      <c r="FG394" s="55"/>
      <c r="FH394" s="55"/>
      <c r="FI394" s="55"/>
      <c r="FJ394" s="55"/>
      <c r="FK394" s="55"/>
      <c r="FL394" s="55"/>
      <c r="FM394" s="55"/>
      <c r="FN394" s="55"/>
      <c r="FO394" s="55"/>
      <c r="FP394" s="55"/>
      <c r="FQ394" s="55"/>
      <c r="FR394" s="55"/>
      <c r="FS394" s="55"/>
      <c r="FT394" s="55"/>
      <c r="FU394" s="55"/>
      <c r="FV394" s="55"/>
      <c r="FW394" s="55"/>
      <c r="FX394" s="55"/>
      <c r="FY394" s="55"/>
      <c r="FZ394" s="55"/>
      <c r="GA394" s="55"/>
      <c r="GB394" s="55"/>
      <c r="GC394" s="55"/>
      <c r="GD394" s="55"/>
      <c r="GE394" s="55"/>
      <c r="GF394" s="55"/>
      <c r="GG394" s="55"/>
      <c r="GH394" s="55"/>
      <c r="GI394" s="55"/>
      <c r="GJ394" s="55"/>
      <c r="GK394" s="55"/>
      <c r="GL394" s="55"/>
      <c r="GM394" s="55"/>
      <c r="GN394" s="55"/>
      <c r="GO394" s="55"/>
      <c r="GP394" s="55"/>
      <c r="GQ394" s="55"/>
      <c r="GR394" s="55"/>
      <c r="GS394" s="55"/>
      <c r="GT394" s="55"/>
      <c r="GU394" s="55"/>
      <c r="GV394" s="55"/>
      <c r="GW394" s="55"/>
      <c r="GX394" s="55"/>
      <c r="GY394" s="55"/>
      <c r="GZ394" s="55"/>
      <c r="HA394" s="55"/>
      <c r="HB394" s="55"/>
      <c r="HC394" s="55"/>
      <c r="HD394" s="55"/>
      <c r="HE394" s="55"/>
      <c r="HF394" s="55"/>
      <c r="HG394" s="55"/>
      <c r="HH394" s="55"/>
      <c r="HI394" s="55"/>
      <c r="HJ394" s="55"/>
      <c r="HK394" s="55"/>
      <c r="HL394" s="55"/>
      <c r="HM394" s="55"/>
      <c r="HN394" s="55"/>
      <c r="HO394" s="55"/>
      <c r="HP394" s="55"/>
      <c r="HQ394" s="55"/>
      <c r="HR394" s="55"/>
      <c r="HS394" s="55"/>
      <c r="HT394" s="55"/>
      <c r="HU394" s="55"/>
      <c r="HV394" s="55"/>
      <c r="HW394" s="55"/>
      <c r="HX394" s="55"/>
      <c r="HY394" s="55"/>
      <c r="HZ394" s="55"/>
      <c r="IA394" s="55"/>
      <c r="IB394" s="55"/>
      <c r="IC394" s="55"/>
      <c r="ID394" s="55"/>
    </row>
    <row r="395" s="52" customFormat="1" ht="36" customHeight="1" spans="1:238">
      <c r="A395" s="112"/>
      <c r="B395" s="112"/>
      <c r="C395" s="64"/>
      <c r="D395" s="65"/>
      <c r="E395" s="77"/>
      <c r="F395" s="77"/>
      <c r="G395" s="64"/>
      <c r="H395" s="42"/>
      <c r="I395" s="42"/>
      <c r="J395" s="83"/>
      <c r="K395" s="83"/>
      <c r="L395" s="83"/>
      <c r="M395" s="41"/>
      <c r="N395" s="41"/>
      <c r="O395" s="41"/>
      <c r="P395" s="64"/>
      <c r="Q395" s="64"/>
      <c r="R395" s="64"/>
      <c r="S395" s="83"/>
      <c r="T395" s="77"/>
      <c r="U395" s="105" t="s">
        <v>1557</v>
      </c>
      <c r="V395" s="105">
        <v>33040901501</v>
      </c>
      <c r="W395" s="106" t="s">
        <v>1558</v>
      </c>
      <c r="X395" s="105"/>
      <c r="Y395" s="105"/>
      <c r="Z395" s="105" t="s">
        <v>36</v>
      </c>
      <c r="AA395" s="110" t="s">
        <v>35</v>
      </c>
      <c r="AB395" s="50">
        <v>1870</v>
      </c>
      <c r="AC395" s="50">
        <v>1690</v>
      </c>
      <c r="AD395" s="50">
        <v>1435</v>
      </c>
      <c r="AE395" s="112" t="s">
        <v>37</v>
      </c>
      <c r="AF395" s="60"/>
      <c r="AG395" s="55"/>
      <c r="AH395" s="55"/>
      <c r="AI395" s="55"/>
      <c r="AJ395" s="55"/>
      <c r="AK395" s="55"/>
      <c r="AL395" s="55"/>
      <c r="AM395" s="55"/>
      <c r="AN395" s="55"/>
      <c r="AO395" s="55"/>
      <c r="AP395" s="55"/>
      <c r="AQ395" s="55"/>
      <c r="AR395" s="55"/>
      <c r="AS395" s="55"/>
      <c r="AT395" s="55"/>
      <c r="AU395" s="55"/>
      <c r="AV395" s="55"/>
      <c r="AW395" s="55"/>
      <c r="AX395" s="55"/>
      <c r="AY395" s="55"/>
      <c r="AZ395" s="55"/>
      <c r="BA395" s="55"/>
      <c r="BB395" s="55"/>
      <c r="BC395" s="55"/>
      <c r="BD395" s="55"/>
      <c r="BE395" s="55"/>
      <c r="BF395" s="55"/>
      <c r="BG395" s="55"/>
      <c r="BH395" s="55"/>
      <c r="BI395" s="55"/>
      <c r="BJ395" s="55"/>
      <c r="BK395" s="55"/>
      <c r="BL395" s="55"/>
      <c r="BM395" s="55"/>
      <c r="BN395" s="55"/>
      <c r="BO395" s="55"/>
      <c r="BP395" s="55"/>
      <c r="BQ395" s="55"/>
      <c r="BR395" s="55"/>
      <c r="BS395" s="55"/>
      <c r="BT395" s="55"/>
      <c r="BU395" s="55"/>
      <c r="BV395" s="55"/>
      <c r="BW395" s="55"/>
      <c r="BX395" s="55"/>
      <c r="BY395" s="55"/>
      <c r="BZ395" s="55"/>
      <c r="CA395" s="55"/>
      <c r="CB395" s="55"/>
      <c r="CC395" s="55"/>
      <c r="CD395" s="55"/>
      <c r="CE395" s="55"/>
      <c r="CF395" s="55"/>
      <c r="CG395" s="55"/>
      <c r="CH395" s="55"/>
      <c r="CI395" s="55"/>
      <c r="CJ395" s="55"/>
      <c r="CK395" s="55"/>
      <c r="CL395" s="55"/>
      <c r="CM395" s="55"/>
      <c r="CN395" s="55"/>
      <c r="CO395" s="55"/>
      <c r="CP395" s="55"/>
      <c r="CQ395" s="55"/>
      <c r="CR395" s="55"/>
      <c r="CS395" s="55"/>
      <c r="CT395" s="55"/>
      <c r="CU395" s="55"/>
      <c r="CV395" s="55"/>
      <c r="CW395" s="55"/>
      <c r="CX395" s="55"/>
      <c r="CY395" s="55"/>
      <c r="CZ395" s="55"/>
      <c r="DA395" s="55"/>
      <c r="DB395" s="55"/>
      <c r="DC395" s="55"/>
      <c r="DD395" s="55"/>
      <c r="DE395" s="55"/>
      <c r="DF395" s="55"/>
      <c r="DG395" s="55"/>
      <c r="DH395" s="55"/>
      <c r="DI395" s="55"/>
      <c r="DJ395" s="55"/>
      <c r="DK395" s="55"/>
      <c r="DL395" s="55"/>
      <c r="DM395" s="55"/>
      <c r="DN395" s="55"/>
      <c r="DO395" s="55"/>
      <c r="DP395" s="55"/>
      <c r="DQ395" s="55"/>
      <c r="DR395" s="55"/>
      <c r="DS395" s="55"/>
      <c r="DT395" s="55"/>
      <c r="DU395" s="55"/>
      <c r="DV395" s="55"/>
      <c r="DW395" s="55"/>
      <c r="DX395" s="55"/>
      <c r="DY395" s="55"/>
      <c r="DZ395" s="55"/>
      <c r="EA395" s="55"/>
      <c r="EB395" s="55"/>
      <c r="EC395" s="55"/>
      <c r="ED395" s="55"/>
      <c r="EE395" s="55"/>
      <c r="EF395" s="55"/>
      <c r="EG395" s="55"/>
      <c r="EH395" s="55"/>
      <c r="EI395" s="55"/>
      <c r="EJ395" s="55"/>
      <c r="EK395" s="55"/>
      <c r="EL395" s="55"/>
      <c r="EM395" s="55"/>
      <c r="EN395" s="55"/>
      <c r="EO395" s="55"/>
      <c r="EP395" s="55"/>
      <c r="EQ395" s="55"/>
      <c r="ER395" s="55"/>
      <c r="ES395" s="55"/>
      <c r="ET395" s="55"/>
      <c r="EU395" s="55"/>
      <c r="EV395" s="55"/>
      <c r="EW395" s="55"/>
      <c r="EX395" s="55"/>
      <c r="EY395" s="55"/>
      <c r="EZ395" s="55"/>
      <c r="FA395" s="55"/>
      <c r="FB395" s="55"/>
      <c r="FC395" s="55"/>
      <c r="FD395" s="55"/>
      <c r="FE395" s="55"/>
      <c r="FF395" s="55"/>
      <c r="FG395" s="55"/>
      <c r="FH395" s="55"/>
      <c r="FI395" s="55"/>
      <c r="FJ395" s="55"/>
      <c r="FK395" s="55"/>
      <c r="FL395" s="55"/>
      <c r="FM395" s="55"/>
      <c r="FN395" s="55"/>
      <c r="FO395" s="55"/>
      <c r="FP395" s="55"/>
      <c r="FQ395" s="55"/>
      <c r="FR395" s="55"/>
      <c r="FS395" s="55"/>
      <c r="FT395" s="55"/>
      <c r="FU395" s="55"/>
      <c r="FV395" s="55"/>
      <c r="FW395" s="55"/>
      <c r="FX395" s="55"/>
      <c r="FY395" s="55"/>
      <c r="FZ395" s="55"/>
      <c r="GA395" s="55"/>
      <c r="GB395" s="55"/>
      <c r="GC395" s="55"/>
      <c r="GD395" s="55"/>
      <c r="GE395" s="55"/>
      <c r="GF395" s="55"/>
      <c r="GG395" s="55"/>
      <c r="GH395" s="55"/>
      <c r="GI395" s="55"/>
      <c r="GJ395" s="55"/>
      <c r="GK395" s="55"/>
      <c r="GL395" s="55"/>
      <c r="GM395" s="55"/>
      <c r="GN395" s="55"/>
      <c r="GO395" s="55"/>
      <c r="GP395" s="55"/>
      <c r="GQ395" s="55"/>
      <c r="GR395" s="55"/>
      <c r="GS395" s="55"/>
      <c r="GT395" s="55"/>
      <c r="GU395" s="55"/>
      <c r="GV395" s="55"/>
      <c r="GW395" s="55"/>
      <c r="GX395" s="55"/>
      <c r="GY395" s="55"/>
      <c r="GZ395" s="55"/>
      <c r="HA395" s="55"/>
      <c r="HB395" s="55"/>
      <c r="HC395" s="55"/>
      <c r="HD395" s="55"/>
      <c r="HE395" s="55"/>
      <c r="HF395" s="55"/>
      <c r="HG395" s="55"/>
      <c r="HH395" s="55"/>
      <c r="HI395" s="55"/>
      <c r="HJ395" s="55"/>
      <c r="HK395" s="55"/>
      <c r="HL395" s="55"/>
      <c r="HM395" s="55"/>
      <c r="HN395" s="55"/>
      <c r="HO395" s="55"/>
      <c r="HP395" s="55"/>
      <c r="HQ395" s="55"/>
      <c r="HR395" s="55"/>
      <c r="HS395" s="55"/>
      <c r="HT395" s="55"/>
      <c r="HU395" s="55"/>
      <c r="HV395" s="55"/>
      <c r="HW395" s="55"/>
      <c r="HX395" s="55"/>
      <c r="HY395" s="55"/>
      <c r="HZ395" s="55"/>
      <c r="IA395" s="55"/>
      <c r="IB395" s="55"/>
      <c r="IC395" s="55"/>
      <c r="ID395" s="55"/>
    </row>
    <row r="396" s="52" customFormat="1" ht="57" customHeight="1" spans="1:238">
      <c r="A396" s="112">
        <v>106</v>
      </c>
      <c r="B396" s="112" t="s">
        <v>1559</v>
      </c>
      <c r="C396" s="64" t="s">
        <v>1560</v>
      </c>
      <c r="D396" s="65" t="s">
        <v>1561</v>
      </c>
      <c r="E396" s="77" t="s">
        <v>1562</v>
      </c>
      <c r="F396" s="77" t="s">
        <v>35</v>
      </c>
      <c r="G396" s="64" t="s">
        <v>110</v>
      </c>
      <c r="H396" s="78">
        <v>1920</v>
      </c>
      <c r="I396" s="78">
        <v>1730</v>
      </c>
      <c r="J396" s="83">
        <v>1650</v>
      </c>
      <c r="K396" s="83">
        <v>1490</v>
      </c>
      <c r="L396" s="83">
        <v>1270</v>
      </c>
      <c r="M396" s="89">
        <v>1730</v>
      </c>
      <c r="N396" s="89">
        <v>1550</v>
      </c>
      <c r="O396" s="89">
        <v>1320</v>
      </c>
      <c r="P396" s="64" t="s">
        <v>37</v>
      </c>
      <c r="Q396" s="64" t="s">
        <v>35</v>
      </c>
      <c r="R396" s="64" t="s">
        <v>35</v>
      </c>
      <c r="S396" s="83" t="s">
        <v>333</v>
      </c>
      <c r="T396" s="104" t="s">
        <v>1343</v>
      </c>
      <c r="U396" s="105" t="s">
        <v>1563</v>
      </c>
      <c r="V396" s="105">
        <v>330409014</v>
      </c>
      <c r="W396" s="106" t="s">
        <v>1564</v>
      </c>
      <c r="X396" s="105" t="s">
        <v>1565</v>
      </c>
      <c r="Y396" s="105"/>
      <c r="Z396" s="105" t="s">
        <v>36</v>
      </c>
      <c r="AA396" s="110" t="s">
        <v>1566</v>
      </c>
      <c r="AB396" s="50">
        <v>1650</v>
      </c>
      <c r="AC396" s="50">
        <v>1490</v>
      </c>
      <c r="AD396" s="50">
        <v>1270</v>
      </c>
      <c r="AE396" s="112" t="s">
        <v>37</v>
      </c>
      <c r="AF396" s="60"/>
      <c r="AG396" s="55"/>
      <c r="AH396" s="55"/>
      <c r="AI396" s="55"/>
      <c r="AJ396" s="55"/>
      <c r="AK396" s="55"/>
      <c r="AL396" s="55"/>
      <c r="AM396" s="55"/>
      <c r="AN396" s="55"/>
      <c r="AO396" s="55"/>
      <c r="AP396" s="55"/>
      <c r="AQ396" s="55"/>
      <c r="AR396" s="55"/>
      <c r="AS396" s="55"/>
      <c r="AT396" s="55"/>
      <c r="AU396" s="55"/>
      <c r="AV396" s="55"/>
      <c r="AW396" s="55"/>
      <c r="AX396" s="55"/>
      <c r="AY396" s="55"/>
      <c r="AZ396" s="55"/>
      <c r="BA396" s="55"/>
      <c r="BB396" s="55"/>
      <c r="BC396" s="55"/>
      <c r="BD396" s="55"/>
      <c r="BE396" s="55"/>
      <c r="BF396" s="55"/>
      <c r="BG396" s="55"/>
      <c r="BH396" s="55"/>
      <c r="BI396" s="55"/>
      <c r="BJ396" s="55"/>
      <c r="BK396" s="55"/>
      <c r="BL396" s="55"/>
      <c r="BM396" s="55"/>
      <c r="BN396" s="55"/>
      <c r="BO396" s="55"/>
      <c r="BP396" s="55"/>
      <c r="BQ396" s="55"/>
      <c r="BR396" s="55"/>
      <c r="BS396" s="55"/>
      <c r="BT396" s="55"/>
      <c r="BU396" s="55"/>
      <c r="BV396" s="55"/>
      <c r="BW396" s="55"/>
      <c r="BX396" s="55"/>
      <c r="BY396" s="55"/>
      <c r="BZ396" s="55"/>
      <c r="CA396" s="55"/>
      <c r="CB396" s="55"/>
      <c r="CC396" s="55"/>
      <c r="CD396" s="55"/>
      <c r="CE396" s="55"/>
      <c r="CF396" s="55"/>
      <c r="CG396" s="55"/>
      <c r="CH396" s="55"/>
      <c r="CI396" s="55"/>
      <c r="CJ396" s="55"/>
      <c r="CK396" s="55"/>
      <c r="CL396" s="55"/>
      <c r="CM396" s="55"/>
      <c r="CN396" s="55"/>
      <c r="CO396" s="55"/>
      <c r="CP396" s="55"/>
      <c r="CQ396" s="55"/>
      <c r="CR396" s="55"/>
      <c r="CS396" s="55"/>
      <c r="CT396" s="55"/>
      <c r="CU396" s="55"/>
      <c r="CV396" s="55"/>
      <c r="CW396" s="55"/>
      <c r="CX396" s="55"/>
      <c r="CY396" s="55"/>
      <c r="CZ396" s="55"/>
      <c r="DA396" s="55"/>
      <c r="DB396" s="55"/>
      <c r="DC396" s="55"/>
      <c r="DD396" s="55"/>
      <c r="DE396" s="55"/>
      <c r="DF396" s="55"/>
      <c r="DG396" s="55"/>
      <c r="DH396" s="55"/>
      <c r="DI396" s="55"/>
      <c r="DJ396" s="55"/>
      <c r="DK396" s="55"/>
      <c r="DL396" s="55"/>
      <c r="DM396" s="55"/>
      <c r="DN396" s="55"/>
      <c r="DO396" s="55"/>
      <c r="DP396" s="55"/>
      <c r="DQ396" s="55"/>
      <c r="DR396" s="55"/>
      <c r="DS396" s="55"/>
      <c r="DT396" s="55"/>
      <c r="DU396" s="55"/>
      <c r="DV396" s="55"/>
      <c r="DW396" s="55"/>
      <c r="DX396" s="55"/>
      <c r="DY396" s="55"/>
      <c r="DZ396" s="55"/>
      <c r="EA396" s="55"/>
      <c r="EB396" s="55"/>
      <c r="EC396" s="55"/>
      <c r="ED396" s="55"/>
      <c r="EE396" s="55"/>
      <c r="EF396" s="55"/>
      <c r="EG396" s="55"/>
      <c r="EH396" s="55"/>
      <c r="EI396" s="55"/>
      <c r="EJ396" s="55"/>
      <c r="EK396" s="55"/>
      <c r="EL396" s="55"/>
      <c r="EM396" s="55"/>
      <c r="EN396" s="55"/>
      <c r="EO396" s="55"/>
      <c r="EP396" s="55"/>
      <c r="EQ396" s="55"/>
      <c r="ER396" s="55"/>
      <c r="ES396" s="55"/>
      <c r="ET396" s="55"/>
      <c r="EU396" s="55"/>
      <c r="EV396" s="55"/>
      <c r="EW396" s="55"/>
      <c r="EX396" s="55"/>
      <c r="EY396" s="55"/>
      <c r="EZ396" s="55"/>
      <c r="FA396" s="55"/>
      <c r="FB396" s="55"/>
      <c r="FC396" s="55"/>
      <c r="FD396" s="55"/>
      <c r="FE396" s="55"/>
      <c r="FF396" s="55"/>
      <c r="FG396" s="55"/>
      <c r="FH396" s="55"/>
      <c r="FI396" s="55"/>
      <c r="FJ396" s="55"/>
      <c r="FK396" s="55"/>
      <c r="FL396" s="55"/>
      <c r="FM396" s="55"/>
      <c r="FN396" s="55"/>
      <c r="FO396" s="55"/>
      <c r="FP396" s="55"/>
      <c r="FQ396" s="55"/>
      <c r="FR396" s="55"/>
      <c r="FS396" s="55"/>
      <c r="FT396" s="55"/>
      <c r="FU396" s="55"/>
      <c r="FV396" s="55"/>
      <c r="FW396" s="55"/>
      <c r="FX396" s="55"/>
      <c r="FY396" s="55"/>
      <c r="FZ396" s="55"/>
      <c r="GA396" s="55"/>
      <c r="GB396" s="55"/>
      <c r="GC396" s="55"/>
      <c r="GD396" s="55"/>
      <c r="GE396" s="55"/>
      <c r="GF396" s="55"/>
      <c r="GG396" s="55"/>
      <c r="GH396" s="55"/>
      <c r="GI396" s="55"/>
      <c r="GJ396" s="55"/>
      <c r="GK396" s="55"/>
      <c r="GL396" s="55"/>
      <c r="GM396" s="55"/>
      <c r="GN396" s="55"/>
      <c r="GO396" s="55"/>
      <c r="GP396" s="55"/>
      <c r="GQ396" s="55"/>
      <c r="GR396" s="55"/>
      <c r="GS396" s="55"/>
      <c r="GT396" s="55"/>
      <c r="GU396" s="55"/>
      <c r="GV396" s="55"/>
      <c r="GW396" s="55"/>
      <c r="GX396" s="55"/>
      <c r="GY396" s="55"/>
      <c r="GZ396" s="55"/>
      <c r="HA396" s="55"/>
      <c r="HB396" s="55"/>
      <c r="HC396" s="55"/>
      <c r="HD396" s="55"/>
      <c r="HE396" s="55"/>
      <c r="HF396" s="55"/>
      <c r="HG396" s="55"/>
      <c r="HH396" s="55"/>
      <c r="HI396" s="55"/>
      <c r="HJ396" s="55"/>
      <c r="HK396" s="55"/>
      <c r="HL396" s="55"/>
      <c r="HM396" s="55"/>
      <c r="HN396" s="55"/>
      <c r="HO396" s="55"/>
      <c r="HP396" s="55"/>
      <c r="HQ396" s="55"/>
      <c r="HR396" s="55"/>
      <c r="HS396" s="55"/>
      <c r="HT396" s="55"/>
      <c r="HU396" s="55"/>
      <c r="HV396" s="55"/>
      <c r="HW396" s="55"/>
      <c r="HX396" s="55"/>
      <c r="HY396" s="55"/>
      <c r="HZ396" s="55"/>
      <c r="IA396" s="55"/>
      <c r="IB396" s="55"/>
      <c r="IC396" s="55"/>
      <c r="ID396" s="55"/>
    </row>
    <row r="397" s="52" customFormat="1" ht="39" customHeight="1" spans="1:238">
      <c r="A397" s="112" t="s">
        <v>95</v>
      </c>
      <c r="B397" s="112" t="s">
        <v>1567</v>
      </c>
      <c r="C397" s="64" t="s">
        <v>1568</v>
      </c>
      <c r="D397" s="65"/>
      <c r="E397" s="77"/>
      <c r="F397" s="77" t="s">
        <v>35</v>
      </c>
      <c r="G397" s="64" t="s">
        <v>110</v>
      </c>
      <c r="H397" s="78">
        <v>576</v>
      </c>
      <c r="I397" s="78">
        <v>519</v>
      </c>
      <c r="J397" s="83">
        <v>495</v>
      </c>
      <c r="K397" s="83">
        <v>445</v>
      </c>
      <c r="L397" s="83">
        <v>375</v>
      </c>
      <c r="M397" s="89">
        <v>520</v>
      </c>
      <c r="N397" s="89">
        <v>465</v>
      </c>
      <c r="O397" s="89">
        <v>395</v>
      </c>
      <c r="P397" s="64" t="s">
        <v>37</v>
      </c>
      <c r="Q397" s="64" t="s">
        <v>35</v>
      </c>
      <c r="R397" s="64" t="s">
        <v>35</v>
      </c>
      <c r="S397" s="83"/>
      <c r="T397" s="77" t="s">
        <v>186</v>
      </c>
      <c r="U397" s="105" t="s">
        <v>1569</v>
      </c>
      <c r="V397" s="105">
        <v>33040901402</v>
      </c>
      <c r="W397" s="106" t="s">
        <v>1570</v>
      </c>
      <c r="X397" s="105"/>
      <c r="Y397" s="105"/>
      <c r="Z397" s="105" t="s">
        <v>36</v>
      </c>
      <c r="AA397" s="110" t="s">
        <v>35</v>
      </c>
      <c r="AB397" s="50">
        <v>2145</v>
      </c>
      <c r="AC397" s="50">
        <v>1935</v>
      </c>
      <c r="AD397" s="50">
        <v>1645</v>
      </c>
      <c r="AE397" s="112" t="s">
        <v>37</v>
      </c>
      <c r="AF397" s="60"/>
      <c r="AG397" s="55"/>
      <c r="AH397" s="55"/>
      <c r="AI397" s="55"/>
      <c r="AJ397" s="55"/>
      <c r="AK397" s="55"/>
      <c r="AL397" s="55"/>
      <c r="AM397" s="55"/>
      <c r="AN397" s="55"/>
      <c r="AO397" s="55"/>
      <c r="AP397" s="55"/>
      <c r="AQ397" s="55"/>
      <c r="AR397" s="55"/>
      <c r="AS397" s="55"/>
      <c r="AT397" s="55"/>
      <c r="AU397" s="55"/>
      <c r="AV397" s="55"/>
      <c r="AW397" s="55"/>
      <c r="AX397" s="55"/>
      <c r="AY397" s="55"/>
      <c r="AZ397" s="55"/>
      <c r="BA397" s="55"/>
      <c r="BB397" s="55"/>
      <c r="BC397" s="55"/>
      <c r="BD397" s="55"/>
      <c r="BE397" s="55"/>
      <c r="BF397" s="55"/>
      <c r="BG397" s="55"/>
      <c r="BH397" s="55"/>
      <c r="BI397" s="55"/>
      <c r="BJ397" s="55"/>
      <c r="BK397" s="55"/>
      <c r="BL397" s="55"/>
      <c r="BM397" s="55"/>
      <c r="BN397" s="55"/>
      <c r="BO397" s="55"/>
      <c r="BP397" s="55"/>
      <c r="BQ397" s="55"/>
      <c r="BR397" s="55"/>
      <c r="BS397" s="55"/>
      <c r="BT397" s="55"/>
      <c r="BU397" s="55"/>
      <c r="BV397" s="55"/>
      <c r="BW397" s="55"/>
      <c r="BX397" s="55"/>
      <c r="BY397" s="55"/>
      <c r="BZ397" s="55"/>
      <c r="CA397" s="55"/>
      <c r="CB397" s="55"/>
      <c r="CC397" s="55"/>
      <c r="CD397" s="55"/>
      <c r="CE397" s="55"/>
      <c r="CF397" s="55"/>
      <c r="CG397" s="55"/>
      <c r="CH397" s="55"/>
      <c r="CI397" s="55"/>
      <c r="CJ397" s="55"/>
      <c r="CK397" s="55"/>
      <c r="CL397" s="55"/>
      <c r="CM397" s="55"/>
      <c r="CN397" s="55"/>
      <c r="CO397" s="55"/>
      <c r="CP397" s="55"/>
      <c r="CQ397" s="55"/>
      <c r="CR397" s="55"/>
      <c r="CS397" s="55"/>
      <c r="CT397" s="55"/>
      <c r="CU397" s="55"/>
      <c r="CV397" s="55"/>
      <c r="CW397" s="55"/>
      <c r="CX397" s="55"/>
      <c r="CY397" s="55"/>
      <c r="CZ397" s="55"/>
      <c r="DA397" s="55"/>
      <c r="DB397" s="55"/>
      <c r="DC397" s="55"/>
      <c r="DD397" s="55"/>
      <c r="DE397" s="55"/>
      <c r="DF397" s="55"/>
      <c r="DG397" s="55"/>
      <c r="DH397" s="55"/>
      <c r="DI397" s="55"/>
      <c r="DJ397" s="55"/>
      <c r="DK397" s="55"/>
      <c r="DL397" s="55"/>
      <c r="DM397" s="55"/>
      <c r="DN397" s="55"/>
      <c r="DO397" s="55"/>
      <c r="DP397" s="55"/>
      <c r="DQ397" s="55"/>
      <c r="DR397" s="55"/>
      <c r="DS397" s="55"/>
      <c r="DT397" s="55"/>
      <c r="DU397" s="55"/>
      <c r="DV397" s="55"/>
      <c r="DW397" s="55"/>
      <c r="DX397" s="55"/>
      <c r="DY397" s="55"/>
      <c r="DZ397" s="55"/>
      <c r="EA397" s="55"/>
      <c r="EB397" s="55"/>
      <c r="EC397" s="55"/>
      <c r="ED397" s="55"/>
      <c r="EE397" s="55"/>
      <c r="EF397" s="55"/>
      <c r="EG397" s="55"/>
      <c r="EH397" s="55"/>
      <c r="EI397" s="55"/>
      <c r="EJ397" s="55"/>
      <c r="EK397" s="55"/>
      <c r="EL397" s="55"/>
      <c r="EM397" s="55"/>
      <c r="EN397" s="55"/>
      <c r="EO397" s="55"/>
      <c r="EP397" s="55"/>
      <c r="EQ397" s="55"/>
      <c r="ER397" s="55"/>
      <c r="ES397" s="55"/>
      <c r="ET397" s="55"/>
      <c r="EU397" s="55"/>
      <c r="EV397" s="55"/>
      <c r="EW397" s="55"/>
      <c r="EX397" s="55"/>
      <c r="EY397" s="55"/>
      <c r="EZ397" s="55"/>
      <c r="FA397" s="55"/>
      <c r="FB397" s="55"/>
      <c r="FC397" s="55"/>
      <c r="FD397" s="55"/>
      <c r="FE397" s="55"/>
      <c r="FF397" s="55"/>
      <c r="FG397" s="55"/>
      <c r="FH397" s="55"/>
      <c r="FI397" s="55"/>
      <c r="FJ397" s="55"/>
      <c r="FK397" s="55"/>
      <c r="FL397" s="55"/>
      <c r="FM397" s="55"/>
      <c r="FN397" s="55"/>
      <c r="FO397" s="55"/>
      <c r="FP397" s="55"/>
      <c r="FQ397" s="55"/>
      <c r="FR397" s="55"/>
      <c r="FS397" s="55"/>
      <c r="FT397" s="55"/>
      <c r="FU397" s="55"/>
      <c r="FV397" s="55"/>
      <c r="FW397" s="55"/>
      <c r="FX397" s="55"/>
      <c r="FY397" s="55"/>
      <c r="FZ397" s="55"/>
      <c r="GA397" s="55"/>
      <c r="GB397" s="55"/>
      <c r="GC397" s="55"/>
      <c r="GD397" s="55"/>
      <c r="GE397" s="55"/>
      <c r="GF397" s="55"/>
      <c r="GG397" s="55"/>
      <c r="GH397" s="55"/>
      <c r="GI397" s="55"/>
      <c r="GJ397" s="55"/>
      <c r="GK397" s="55"/>
      <c r="GL397" s="55"/>
      <c r="GM397" s="55"/>
      <c r="GN397" s="55"/>
      <c r="GO397" s="55"/>
      <c r="GP397" s="55"/>
      <c r="GQ397" s="55"/>
      <c r="GR397" s="55"/>
      <c r="GS397" s="55"/>
      <c r="GT397" s="55"/>
      <c r="GU397" s="55"/>
      <c r="GV397" s="55"/>
      <c r="GW397" s="55"/>
      <c r="GX397" s="55"/>
      <c r="GY397" s="55"/>
      <c r="GZ397" s="55"/>
      <c r="HA397" s="55"/>
      <c r="HB397" s="55"/>
      <c r="HC397" s="55"/>
      <c r="HD397" s="55"/>
      <c r="HE397" s="55"/>
      <c r="HF397" s="55"/>
      <c r="HG397" s="55"/>
      <c r="HH397" s="55"/>
      <c r="HI397" s="55"/>
      <c r="HJ397" s="55"/>
      <c r="HK397" s="55"/>
      <c r="HL397" s="55"/>
      <c r="HM397" s="55"/>
      <c r="HN397" s="55"/>
      <c r="HO397" s="55"/>
      <c r="HP397" s="55"/>
      <c r="HQ397" s="55"/>
      <c r="HR397" s="55"/>
      <c r="HS397" s="55"/>
      <c r="HT397" s="55"/>
      <c r="HU397" s="55"/>
      <c r="HV397" s="55"/>
      <c r="HW397" s="55"/>
      <c r="HX397" s="55"/>
      <c r="HY397" s="55"/>
      <c r="HZ397" s="55"/>
      <c r="IA397" s="55"/>
      <c r="IB397" s="55"/>
      <c r="IC397" s="55"/>
      <c r="ID397" s="55"/>
    </row>
    <row r="398" s="52" customFormat="1" ht="63.75" spans="1:238">
      <c r="A398" s="112">
        <v>107</v>
      </c>
      <c r="B398" s="112" t="s">
        <v>1571</v>
      </c>
      <c r="C398" s="64" t="s">
        <v>1572</v>
      </c>
      <c r="D398" s="65" t="s">
        <v>1573</v>
      </c>
      <c r="E398" s="77" t="s">
        <v>1574</v>
      </c>
      <c r="F398" s="77" t="s">
        <v>1575</v>
      </c>
      <c r="G398" s="64" t="s">
        <v>110</v>
      </c>
      <c r="H398" s="78">
        <v>2160</v>
      </c>
      <c r="I398" s="78">
        <v>1945</v>
      </c>
      <c r="J398" s="83">
        <v>1620</v>
      </c>
      <c r="K398" s="83">
        <v>1460</v>
      </c>
      <c r="L398" s="83">
        <v>1240</v>
      </c>
      <c r="M398" s="89">
        <v>1945</v>
      </c>
      <c r="N398" s="89">
        <v>1750</v>
      </c>
      <c r="O398" s="94">
        <v>1490</v>
      </c>
      <c r="P398" s="64" t="s">
        <v>37</v>
      </c>
      <c r="Q398" s="64" t="s">
        <v>35</v>
      </c>
      <c r="R398" s="64" t="s">
        <v>35</v>
      </c>
      <c r="S398" s="83" t="s">
        <v>333</v>
      </c>
      <c r="T398" s="104" t="s">
        <v>1017</v>
      </c>
      <c r="U398" s="105" t="s">
        <v>1576</v>
      </c>
      <c r="V398" s="105">
        <v>33040901401</v>
      </c>
      <c r="W398" s="106" t="s">
        <v>1577</v>
      </c>
      <c r="X398" s="105" t="s">
        <v>35</v>
      </c>
      <c r="Y398" s="105"/>
      <c r="Z398" s="105" t="s">
        <v>36</v>
      </c>
      <c r="AA398" s="110" t="s">
        <v>1578</v>
      </c>
      <c r="AB398" s="50">
        <v>1620</v>
      </c>
      <c r="AC398" s="50">
        <v>1460</v>
      </c>
      <c r="AD398" s="50">
        <v>1240</v>
      </c>
      <c r="AE398" s="112" t="s">
        <v>37</v>
      </c>
      <c r="AF398" s="60"/>
      <c r="AG398" s="55"/>
      <c r="AH398" s="55"/>
      <c r="AI398" s="55"/>
      <c r="AJ398" s="55"/>
      <c r="AK398" s="55"/>
      <c r="AL398" s="55"/>
      <c r="AM398" s="55"/>
      <c r="AN398" s="55"/>
      <c r="AO398" s="55"/>
      <c r="AP398" s="55"/>
      <c r="AQ398" s="55"/>
      <c r="AR398" s="55"/>
      <c r="AS398" s="55"/>
      <c r="AT398" s="55"/>
      <c r="AU398" s="55"/>
      <c r="AV398" s="55"/>
      <c r="AW398" s="55"/>
      <c r="AX398" s="55"/>
      <c r="AY398" s="55"/>
      <c r="AZ398" s="55"/>
      <c r="BA398" s="55"/>
      <c r="BB398" s="55"/>
      <c r="BC398" s="55"/>
      <c r="BD398" s="55"/>
      <c r="BE398" s="55"/>
      <c r="BF398" s="55"/>
      <c r="BG398" s="55"/>
      <c r="BH398" s="55"/>
      <c r="BI398" s="55"/>
      <c r="BJ398" s="55"/>
      <c r="BK398" s="55"/>
      <c r="BL398" s="55"/>
      <c r="BM398" s="55"/>
      <c r="BN398" s="55"/>
      <c r="BO398" s="55"/>
      <c r="BP398" s="55"/>
      <c r="BQ398" s="55"/>
      <c r="BR398" s="55"/>
      <c r="BS398" s="55"/>
      <c r="BT398" s="55"/>
      <c r="BU398" s="55"/>
      <c r="BV398" s="55"/>
      <c r="BW398" s="55"/>
      <c r="BX398" s="55"/>
      <c r="BY398" s="55"/>
      <c r="BZ398" s="55"/>
      <c r="CA398" s="55"/>
      <c r="CB398" s="55"/>
      <c r="CC398" s="55"/>
      <c r="CD398" s="55"/>
      <c r="CE398" s="55"/>
      <c r="CF398" s="55"/>
      <c r="CG398" s="55"/>
      <c r="CH398" s="55"/>
      <c r="CI398" s="55"/>
      <c r="CJ398" s="55"/>
      <c r="CK398" s="55"/>
      <c r="CL398" s="55"/>
      <c r="CM398" s="55"/>
      <c r="CN398" s="55"/>
      <c r="CO398" s="55"/>
      <c r="CP398" s="55"/>
      <c r="CQ398" s="55"/>
      <c r="CR398" s="55"/>
      <c r="CS398" s="55"/>
      <c r="CT398" s="55"/>
      <c r="CU398" s="55"/>
      <c r="CV398" s="55"/>
      <c r="CW398" s="55"/>
      <c r="CX398" s="55"/>
      <c r="CY398" s="55"/>
      <c r="CZ398" s="55"/>
      <c r="DA398" s="55"/>
      <c r="DB398" s="55"/>
      <c r="DC398" s="55"/>
      <c r="DD398" s="55"/>
      <c r="DE398" s="55"/>
      <c r="DF398" s="55"/>
      <c r="DG398" s="55"/>
      <c r="DH398" s="55"/>
      <c r="DI398" s="55"/>
      <c r="DJ398" s="55"/>
      <c r="DK398" s="55"/>
      <c r="DL398" s="55"/>
      <c r="DM398" s="55"/>
      <c r="DN398" s="55"/>
      <c r="DO398" s="55"/>
      <c r="DP398" s="55"/>
      <c r="DQ398" s="55"/>
      <c r="DR398" s="55"/>
      <c r="DS398" s="55"/>
      <c r="DT398" s="55"/>
      <c r="DU398" s="55"/>
      <c r="DV398" s="55"/>
      <c r="DW398" s="55"/>
      <c r="DX398" s="55"/>
      <c r="DY398" s="55"/>
      <c r="DZ398" s="55"/>
      <c r="EA398" s="55"/>
      <c r="EB398" s="55"/>
      <c r="EC398" s="55"/>
      <c r="ED398" s="55"/>
      <c r="EE398" s="55"/>
      <c r="EF398" s="55"/>
      <c r="EG398" s="55"/>
      <c r="EH398" s="55"/>
      <c r="EI398" s="55"/>
      <c r="EJ398" s="55"/>
      <c r="EK398" s="55"/>
      <c r="EL398" s="55"/>
      <c r="EM398" s="55"/>
      <c r="EN398" s="55"/>
      <c r="EO398" s="55"/>
      <c r="EP398" s="55"/>
      <c r="EQ398" s="55"/>
      <c r="ER398" s="55"/>
      <c r="ES398" s="55"/>
      <c r="ET398" s="55"/>
      <c r="EU398" s="55"/>
      <c r="EV398" s="55"/>
      <c r="EW398" s="55"/>
      <c r="EX398" s="55"/>
      <c r="EY398" s="55"/>
      <c r="EZ398" s="55"/>
      <c r="FA398" s="55"/>
      <c r="FB398" s="55"/>
      <c r="FC398" s="55"/>
      <c r="FD398" s="55"/>
      <c r="FE398" s="55"/>
      <c r="FF398" s="55"/>
      <c r="FG398" s="55"/>
      <c r="FH398" s="55"/>
      <c r="FI398" s="55"/>
      <c r="FJ398" s="55"/>
      <c r="FK398" s="55"/>
      <c r="FL398" s="55"/>
      <c r="FM398" s="55"/>
      <c r="FN398" s="55"/>
      <c r="FO398" s="55"/>
      <c r="FP398" s="55"/>
      <c r="FQ398" s="55"/>
      <c r="FR398" s="55"/>
      <c r="FS398" s="55"/>
      <c r="FT398" s="55"/>
      <c r="FU398" s="55"/>
      <c r="FV398" s="55"/>
      <c r="FW398" s="55"/>
      <c r="FX398" s="55"/>
      <c r="FY398" s="55"/>
      <c r="FZ398" s="55"/>
      <c r="GA398" s="55"/>
      <c r="GB398" s="55"/>
      <c r="GC398" s="55"/>
      <c r="GD398" s="55"/>
      <c r="GE398" s="55"/>
      <c r="GF398" s="55"/>
      <c r="GG398" s="55"/>
      <c r="GH398" s="55"/>
      <c r="GI398" s="55"/>
      <c r="GJ398" s="55"/>
      <c r="GK398" s="55"/>
      <c r="GL398" s="55"/>
      <c r="GM398" s="55"/>
      <c r="GN398" s="55"/>
      <c r="GO398" s="55"/>
      <c r="GP398" s="55"/>
      <c r="GQ398" s="55"/>
      <c r="GR398" s="55"/>
      <c r="GS398" s="55"/>
      <c r="GT398" s="55"/>
      <c r="GU398" s="55"/>
      <c r="GV398" s="55"/>
      <c r="GW398" s="55"/>
      <c r="GX398" s="55"/>
      <c r="GY398" s="55"/>
      <c r="GZ398" s="55"/>
      <c r="HA398" s="55"/>
      <c r="HB398" s="55"/>
      <c r="HC398" s="55"/>
      <c r="HD398" s="55"/>
      <c r="HE398" s="55"/>
      <c r="HF398" s="55"/>
      <c r="HG398" s="55"/>
      <c r="HH398" s="55"/>
      <c r="HI398" s="55"/>
      <c r="HJ398" s="55"/>
      <c r="HK398" s="55"/>
      <c r="HL398" s="55"/>
      <c r="HM398" s="55"/>
      <c r="HN398" s="55"/>
      <c r="HO398" s="55"/>
      <c r="HP398" s="55"/>
      <c r="HQ398" s="55"/>
      <c r="HR398" s="55"/>
      <c r="HS398" s="55"/>
      <c r="HT398" s="55"/>
      <c r="HU398" s="55"/>
      <c r="HV398" s="55"/>
      <c r="HW398" s="55"/>
      <c r="HX398" s="55"/>
      <c r="HY398" s="55"/>
      <c r="HZ398" s="55"/>
      <c r="IA398" s="55"/>
      <c r="IB398" s="55"/>
      <c r="IC398" s="55"/>
      <c r="ID398" s="55"/>
    </row>
    <row r="399" s="52" customFormat="1" ht="31" customHeight="1" spans="1:238">
      <c r="A399" s="112" t="s">
        <v>95</v>
      </c>
      <c r="B399" s="112" t="s">
        <v>1579</v>
      </c>
      <c r="C399" s="64" t="s">
        <v>1580</v>
      </c>
      <c r="D399" s="65"/>
      <c r="E399" s="77"/>
      <c r="F399" s="77" t="s">
        <v>35</v>
      </c>
      <c r="G399" s="64" t="s">
        <v>110</v>
      </c>
      <c r="H399" s="78">
        <v>648</v>
      </c>
      <c r="I399" s="78">
        <v>584</v>
      </c>
      <c r="J399" s="83">
        <v>485</v>
      </c>
      <c r="K399" s="83">
        <v>440</v>
      </c>
      <c r="L399" s="83">
        <v>375</v>
      </c>
      <c r="M399" s="94">
        <v>585</v>
      </c>
      <c r="N399" s="94">
        <v>525</v>
      </c>
      <c r="O399" s="94">
        <v>445</v>
      </c>
      <c r="P399" s="64" t="s">
        <v>37</v>
      </c>
      <c r="Q399" s="64" t="s">
        <v>35</v>
      </c>
      <c r="R399" s="64" t="s">
        <v>35</v>
      </c>
      <c r="S399" s="83"/>
      <c r="T399" s="77" t="s">
        <v>186</v>
      </c>
      <c r="U399" s="105" t="s">
        <v>1581</v>
      </c>
      <c r="V399" s="105">
        <v>33040901403</v>
      </c>
      <c r="W399" s="106" t="s">
        <v>1582</v>
      </c>
      <c r="X399" s="105" t="s">
        <v>35</v>
      </c>
      <c r="Y399" s="105"/>
      <c r="Z399" s="105" t="s">
        <v>36</v>
      </c>
      <c r="AA399" s="110" t="s">
        <v>1578</v>
      </c>
      <c r="AB399" s="50">
        <v>2105</v>
      </c>
      <c r="AC399" s="50">
        <v>1900</v>
      </c>
      <c r="AD399" s="50">
        <v>1615</v>
      </c>
      <c r="AE399" s="112" t="s">
        <v>37</v>
      </c>
      <c r="AF399" s="60"/>
      <c r="AG399" s="55"/>
      <c r="AH399" s="55"/>
      <c r="AI399" s="55"/>
      <c r="AJ399" s="55"/>
      <c r="AK399" s="55"/>
      <c r="AL399" s="55"/>
      <c r="AM399" s="55"/>
      <c r="AN399" s="55"/>
      <c r="AO399" s="55"/>
      <c r="AP399" s="55"/>
      <c r="AQ399" s="55"/>
      <c r="AR399" s="55"/>
      <c r="AS399" s="55"/>
      <c r="AT399" s="55"/>
      <c r="AU399" s="55"/>
      <c r="AV399" s="55"/>
      <c r="AW399" s="55"/>
      <c r="AX399" s="55"/>
      <c r="AY399" s="55"/>
      <c r="AZ399" s="55"/>
      <c r="BA399" s="55"/>
      <c r="BB399" s="55"/>
      <c r="BC399" s="55"/>
      <c r="BD399" s="55"/>
      <c r="BE399" s="55"/>
      <c r="BF399" s="55"/>
      <c r="BG399" s="55"/>
      <c r="BH399" s="55"/>
      <c r="BI399" s="55"/>
      <c r="BJ399" s="55"/>
      <c r="BK399" s="55"/>
      <c r="BL399" s="55"/>
      <c r="BM399" s="55"/>
      <c r="BN399" s="55"/>
      <c r="BO399" s="55"/>
      <c r="BP399" s="55"/>
      <c r="BQ399" s="55"/>
      <c r="BR399" s="55"/>
      <c r="BS399" s="55"/>
      <c r="BT399" s="55"/>
      <c r="BU399" s="55"/>
      <c r="BV399" s="55"/>
      <c r="BW399" s="55"/>
      <c r="BX399" s="55"/>
      <c r="BY399" s="55"/>
      <c r="BZ399" s="55"/>
      <c r="CA399" s="55"/>
      <c r="CB399" s="55"/>
      <c r="CC399" s="55"/>
      <c r="CD399" s="55"/>
      <c r="CE399" s="55"/>
      <c r="CF399" s="55"/>
      <c r="CG399" s="55"/>
      <c r="CH399" s="55"/>
      <c r="CI399" s="55"/>
      <c r="CJ399" s="55"/>
      <c r="CK399" s="55"/>
      <c r="CL399" s="55"/>
      <c r="CM399" s="55"/>
      <c r="CN399" s="55"/>
      <c r="CO399" s="55"/>
      <c r="CP399" s="55"/>
      <c r="CQ399" s="55"/>
      <c r="CR399" s="55"/>
      <c r="CS399" s="55"/>
      <c r="CT399" s="55"/>
      <c r="CU399" s="55"/>
      <c r="CV399" s="55"/>
      <c r="CW399" s="55"/>
      <c r="CX399" s="55"/>
      <c r="CY399" s="55"/>
      <c r="CZ399" s="55"/>
      <c r="DA399" s="55"/>
      <c r="DB399" s="55"/>
      <c r="DC399" s="55"/>
      <c r="DD399" s="55"/>
      <c r="DE399" s="55"/>
      <c r="DF399" s="55"/>
      <c r="DG399" s="55"/>
      <c r="DH399" s="55"/>
      <c r="DI399" s="55"/>
      <c r="DJ399" s="55"/>
      <c r="DK399" s="55"/>
      <c r="DL399" s="55"/>
      <c r="DM399" s="55"/>
      <c r="DN399" s="55"/>
      <c r="DO399" s="55"/>
      <c r="DP399" s="55"/>
      <c r="DQ399" s="55"/>
      <c r="DR399" s="55"/>
      <c r="DS399" s="55"/>
      <c r="DT399" s="55"/>
      <c r="DU399" s="55"/>
      <c r="DV399" s="55"/>
      <c r="DW399" s="55"/>
      <c r="DX399" s="55"/>
      <c r="DY399" s="55"/>
      <c r="DZ399" s="55"/>
      <c r="EA399" s="55"/>
      <c r="EB399" s="55"/>
      <c r="EC399" s="55"/>
      <c r="ED399" s="55"/>
      <c r="EE399" s="55"/>
      <c r="EF399" s="55"/>
      <c r="EG399" s="55"/>
      <c r="EH399" s="55"/>
      <c r="EI399" s="55"/>
      <c r="EJ399" s="55"/>
      <c r="EK399" s="55"/>
      <c r="EL399" s="55"/>
      <c r="EM399" s="55"/>
      <c r="EN399" s="55"/>
      <c r="EO399" s="55"/>
      <c r="EP399" s="55"/>
      <c r="EQ399" s="55"/>
      <c r="ER399" s="55"/>
      <c r="ES399" s="55"/>
      <c r="ET399" s="55"/>
      <c r="EU399" s="55"/>
      <c r="EV399" s="55"/>
      <c r="EW399" s="55"/>
      <c r="EX399" s="55"/>
      <c r="EY399" s="55"/>
      <c r="EZ399" s="55"/>
      <c r="FA399" s="55"/>
      <c r="FB399" s="55"/>
      <c r="FC399" s="55"/>
      <c r="FD399" s="55"/>
      <c r="FE399" s="55"/>
      <c r="FF399" s="55"/>
      <c r="FG399" s="55"/>
      <c r="FH399" s="55"/>
      <c r="FI399" s="55"/>
      <c r="FJ399" s="55"/>
      <c r="FK399" s="55"/>
      <c r="FL399" s="55"/>
      <c r="FM399" s="55"/>
      <c r="FN399" s="55"/>
      <c r="FO399" s="55"/>
      <c r="FP399" s="55"/>
      <c r="FQ399" s="55"/>
      <c r="FR399" s="55"/>
      <c r="FS399" s="55"/>
      <c r="FT399" s="55"/>
      <c r="FU399" s="55"/>
      <c r="FV399" s="55"/>
      <c r="FW399" s="55"/>
      <c r="FX399" s="55"/>
      <c r="FY399" s="55"/>
      <c r="FZ399" s="55"/>
      <c r="GA399" s="55"/>
      <c r="GB399" s="55"/>
      <c r="GC399" s="55"/>
      <c r="GD399" s="55"/>
      <c r="GE399" s="55"/>
      <c r="GF399" s="55"/>
      <c r="GG399" s="55"/>
      <c r="GH399" s="55"/>
      <c r="GI399" s="55"/>
      <c r="GJ399" s="55"/>
      <c r="GK399" s="55"/>
      <c r="GL399" s="55"/>
      <c r="GM399" s="55"/>
      <c r="GN399" s="55"/>
      <c r="GO399" s="55"/>
      <c r="GP399" s="55"/>
      <c r="GQ399" s="55"/>
      <c r="GR399" s="55"/>
      <c r="GS399" s="55"/>
      <c r="GT399" s="55"/>
      <c r="GU399" s="55"/>
      <c r="GV399" s="55"/>
      <c r="GW399" s="55"/>
      <c r="GX399" s="55"/>
      <c r="GY399" s="55"/>
      <c r="GZ399" s="55"/>
      <c r="HA399" s="55"/>
      <c r="HB399" s="55"/>
      <c r="HC399" s="55"/>
      <c r="HD399" s="55"/>
      <c r="HE399" s="55"/>
      <c r="HF399" s="55"/>
      <c r="HG399" s="55"/>
      <c r="HH399" s="55"/>
      <c r="HI399" s="55"/>
      <c r="HJ399" s="55"/>
      <c r="HK399" s="55"/>
      <c r="HL399" s="55"/>
      <c r="HM399" s="55"/>
      <c r="HN399" s="55"/>
      <c r="HO399" s="55"/>
      <c r="HP399" s="55"/>
      <c r="HQ399" s="55"/>
      <c r="HR399" s="55"/>
      <c r="HS399" s="55"/>
      <c r="HT399" s="55"/>
      <c r="HU399" s="55"/>
      <c r="HV399" s="55"/>
      <c r="HW399" s="55"/>
      <c r="HX399" s="55"/>
      <c r="HY399" s="55"/>
      <c r="HZ399" s="55"/>
      <c r="IA399" s="55"/>
      <c r="IB399" s="55"/>
      <c r="IC399" s="55"/>
      <c r="ID399" s="55"/>
    </row>
    <row r="400" s="52" customFormat="1" ht="25.5" spans="1:238">
      <c r="A400" s="64">
        <v>108</v>
      </c>
      <c r="B400" s="64" t="s">
        <v>1583</v>
      </c>
      <c r="C400" s="64" t="s">
        <v>1584</v>
      </c>
      <c r="D400" s="65" t="s">
        <v>1585</v>
      </c>
      <c r="E400" s="77" t="s">
        <v>1586</v>
      </c>
      <c r="F400" s="77" t="s">
        <v>35</v>
      </c>
      <c r="G400" s="64" t="s">
        <v>110</v>
      </c>
      <c r="H400" s="78">
        <v>1900</v>
      </c>
      <c r="I400" s="78">
        <v>1710</v>
      </c>
      <c r="J400" s="84">
        <v>1431.05263157895</v>
      </c>
      <c r="K400" s="83">
        <v>1220</v>
      </c>
      <c r="L400" s="83"/>
      <c r="M400" s="41">
        <v>1700</v>
      </c>
      <c r="N400" s="41">
        <v>1530</v>
      </c>
      <c r="O400" s="41">
        <v>1300</v>
      </c>
      <c r="P400" s="64" t="s">
        <v>37</v>
      </c>
      <c r="Q400" s="64" t="s">
        <v>35</v>
      </c>
      <c r="R400" s="64" t="s">
        <v>35</v>
      </c>
      <c r="S400" s="83" t="s">
        <v>333</v>
      </c>
      <c r="T400" s="77" t="s">
        <v>1587</v>
      </c>
      <c r="U400" s="105" t="s">
        <v>1588</v>
      </c>
      <c r="V400" s="105">
        <v>330409006</v>
      </c>
      <c r="W400" s="106" t="s">
        <v>1589</v>
      </c>
      <c r="X400" s="105"/>
      <c r="Y400" s="105"/>
      <c r="Z400" s="105" t="s">
        <v>36</v>
      </c>
      <c r="AA400" s="110"/>
      <c r="AB400" s="50">
        <v>1440</v>
      </c>
      <c r="AC400" s="50">
        <v>1300</v>
      </c>
      <c r="AD400" s="50">
        <v>1110</v>
      </c>
      <c r="AE400" s="112" t="s">
        <v>37</v>
      </c>
      <c r="AF400" s="60"/>
      <c r="AG400" s="55"/>
      <c r="AH400" s="55"/>
      <c r="AI400" s="55"/>
      <c r="AJ400" s="55"/>
      <c r="AK400" s="55"/>
      <c r="AL400" s="55"/>
      <c r="AM400" s="55"/>
      <c r="AN400" s="55"/>
      <c r="AO400" s="55"/>
      <c r="AP400" s="55"/>
      <c r="AQ400" s="55"/>
      <c r="AR400" s="55"/>
      <c r="AS400" s="55"/>
      <c r="AT400" s="55"/>
      <c r="AU400" s="55"/>
      <c r="AV400" s="55"/>
      <c r="AW400" s="55"/>
      <c r="AX400" s="55"/>
      <c r="AY400" s="55"/>
      <c r="AZ400" s="55"/>
      <c r="BA400" s="55"/>
      <c r="BB400" s="55"/>
      <c r="BC400" s="55"/>
      <c r="BD400" s="55"/>
      <c r="BE400" s="55"/>
      <c r="BF400" s="55"/>
      <c r="BG400" s="55"/>
      <c r="BH400" s="55"/>
      <c r="BI400" s="55"/>
      <c r="BJ400" s="55"/>
      <c r="BK400" s="55"/>
      <c r="BL400" s="55"/>
      <c r="BM400" s="55"/>
      <c r="BN400" s="55"/>
      <c r="BO400" s="55"/>
      <c r="BP400" s="55"/>
      <c r="BQ400" s="55"/>
      <c r="BR400" s="55"/>
      <c r="BS400" s="55"/>
      <c r="BT400" s="55"/>
      <c r="BU400" s="55"/>
      <c r="BV400" s="55"/>
      <c r="BW400" s="55"/>
      <c r="BX400" s="55"/>
      <c r="BY400" s="55"/>
      <c r="BZ400" s="55"/>
      <c r="CA400" s="55"/>
      <c r="CB400" s="55"/>
      <c r="CC400" s="55"/>
      <c r="CD400" s="55"/>
      <c r="CE400" s="55"/>
      <c r="CF400" s="55"/>
      <c r="CG400" s="55"/>
      <c r="CH400" s="55"/>
      <c r="CI400" s="55"/>
      <c r="CJ400" s="55"/>
      <c r="CK400" s="55"/>
      <c r="CL400" s="55"/>
      <c r="CM400" s="55"/>
      <c r="CN400" s="55"/>
      <c r="CO400" s="55"/>
      <c r="CP400" s="55"/>
      <c r="CQ400" s="55"/>
      <c r="CR400" s="55"/>
      <c r="CS400" s="55"/>
      <c r="CT400" s="55"/>
      <c r="CU400" s="55"/>
      <c r="CV400" s="55"/>
      <c r="CW400" s="55"/>
      <c r="CX400" s="55"/>
      <c r="CY400" s="55"/>
      <c r="CZ400" s="55"/>
      <c r="DA400" s="55"/>
      <c r="DB400" s="55"/>
      <c r="DC400" s="55"/>
      <c r="DD400" s="55"/>
      <c r="DE400" s="55"/>
      <c r="DF400" s="55"/>
      <c r="DG400" s="55"/>
      <c r="DH400" s="55"/>
      <c r="DI400" s="55"/>
      <c r="DJ400" s="55"/>
      <c r="DK400" s="55"/>
      <c r="DL400" s="55"/>
      <c r="DM400" s="55"/>
      <c r="DN400" s="55"/>
      <c r="DO400" s="55"/>
      <c r="DP400" s="55"/>
      <c r="DQ400" s="55"/>
      <c r="DR400" s="55"/>
      <c r="DS400" s="55"/>
      <c r="DT400" s="55"/>
      <c r="DU400" s="55"/>
      <c r="DV400" s="55"/>
      <c r="DW400" s="55"/>
      <c r="DX400" s="55"/>
      <c r="DY400" s="55"/>
      <c r="DZ400" s="55"/>
      <c r="EA400" s="55"/>
      <c r="EB400" s="55"/>
      <c r="EC400" s="55"/>
      <c r="ED400" s="55"/>
      <c r="EE400" s="55"/>
      <c r="EF400" s="55"/>
      <c r="EG400" s="55"/>
      <c r="EH400" s="55"/>
      <c r="EI400" s="55"/>
      <c r="EJ400" s="55"/>
      <c r="EK400" s="55"/>
      <c r="EL400" s="55"/>
      <c r="EM400" s="55"/>
      <c r="EN400" s="55"/>
      <c r="EO400" s="55"/>
      <c r="EP400" s="55"/>
      <c r="EQ400" s="55"/>
      <c r="ER400" s="55"/>
      <c r="ES400" s="55"/>
      <c r="ET400" s="55"/>
      <c r="EU400" s="55"/>
      <c r="EV400" s="55"/>
      <c r="EW400" s="55"/>
      <c r="EX400" s="55"/>
      <c r="EY400" s="55"/>
      <c r="EZ400" s="55"/>
      <c r="FA400" s="55"/>
      <c r="FB400" s="55"/>
      <c r="FC400" s="55"/>
      <c r="FD400" s="55"/>
      <c r="FE400" s="55"/>
      <c r="FF400" s="55"/>
      <c r="FG400" s="55"/>
      <c r="FH400" s="55"/>
      <c r="FI400" s="55"/>
      <c r="FJ400" s="55"/>
      <c r="FK400" s="55"/>
      <c r="FL400" s="55"/>
      <c r="FM400" s="55"/>
      <c r="FN400" s="55"/>
      <c r="FO400" s="55"/>
      <c r="FP400" s="55"/>
      <c r="FQ400" s="55"/>
      <c r="FR400" s="55"/>
      <c r="FS400" s="55"/>
      <c r="FT400" s="55"/>
      <c r="FU400" s="55"/>
      <c r="FV400" s="55"/>
      <c r="FW400" s="55"/>
      <c r="FX400" s="55"/>
      <c r="FY400" s="55"/>
      <c r="FZ400" s="55"/>
      <c r="GA400" s="55"/>
      <c r="GB400" s="55"/>
      <c r="GC400" s="55"/>
      <c r="GD400" s="55"/>
      <c r="GE400" s="55"/>
      <c r="GF400" s="55"/>
      <c r="GG400" s="55"/>
      <c r="GH400" s="55"/>
      <c r="GI400" s="55"/>
      <c r="GJ400" s="55"/>
      <c r="GK400" s="55"/>
      <c r="GL400" s="55"/>
      <c r="GM400" s="55"/>
      <c r="GN400" s="55"/>
      <c r="GO400" s="55"/>
      <c r="GP400" s="55"/>
      <c r="GQ400" s="55"/>
      <c r="GR400" s="55"/>
      <c r="GS400" s="55"/>
      <c r="GT400" s="55"/>
      <c r="GU400" s="55"/>
      <c r="GV400" s="55"/>
      <c r="GW400" s="55"/>
      <c r="GX400" s="55"/>
      <c r="GY400" s="55"/>
      <c r="GZ400" s="55"/>
      <c r="HA400" s="55"/>
      <c r="HB400" s="55"/>
      <c r="HC400" s="55"/>
      <c r="HD400" s="55"/>
      <c r="HE400" s="55"/>
      <c r="HF400" s="55"/>
      <c r="HG400" s="55"/>
      <c r="HH400" s="55"/>
      <c r="HI400" s="55"/>
      <c r="HJ400" s="55"/>
      <c r="HK400" s="55"/>
      <c r="HL400" s="55"/>
      <c r="HM400" s="55"/>
      <c r="HN400" s="55"/>
      <c r="HO400" s="55"/>
      <c r="HP400" s="55"/>
      <c r="HQ400" s="55"/>
      <c r="HR400" s="55"/>
      <c r="HS400" s="55"/>
      <c r="HT400" s="55"/>
      <c r="HU400" s="55"/>
      <c r="HV400" s="55"/>
      <c r="HW400" s="55"/>
      <c r="HX400" s="55"/>
      <c r="HY400" s="55"/>
      <c r="HZ400" s="55"/>
      <c r="IA400" s="55"/>
      <c r="IB400" s="55"/>
      <c r="IC400" s="55"/>
      <c r="ID400" s="55"/>
    </row>
    <row r="401" s="55" customFormat="1" ht="25.5" spans="1:32">
      <c r="A401" s="64"/>
      <c r="B401" s="64"/>
      <c r="C401" s="64"/>
      <c r="D401" s="65"/>
      <c r="E401" s="77"/>
      <c r="F401" s="77"/>
      <c r="G401" s="64"/>
      <c r="H401" s="42"/>
      <c r="I401" s="42"/>
      <c r="J401" s="84"/>
      <c r="K401" s="83"/>
      <c r="L401" s="83"/>
      <c r="M401" s="41"/>
      <c r="N401" s="41"/>
      <c r="O401" s="41"/>
      <c r="P401" s="64"/>
      <c r="Q401" s="64"/>
      <c r="R401" s="64"/>
      <c r="S401" s="83"/>
      <c r="T401" s="77"/>
      <c r="U401" s="105" t="s">
        <v>1590</v>
      </c>
      <c r="V401" s="105">
        <v>330409022</v>
      </c>
      <c r="W401" s="106" t="s">
        <v>1591</v>
      </c>
      <c r="X401" s="105"/>
      <c r="Y401" s="105"/>
      <c r="Z401" s="105" t="s">
        <v>664</v>
      </c>
      <c r="AA401" s="110"/>
      <c r="AB401" s="50">
        <v>1350</v>
      </c>
      <c r="AC401" s="50">
        <v>1220</v>
      </c>
      <c r="AD401" s="50">
        <v>1040</v>
      </c>
      <c r="AE401" s="112" t="s">
        <v>37</v>
      </c>
      <c r="AF401" s="60"/>
    </row>
    <row r="402" s="55" customFormat="1" ht="25.5" spans="1:32">
      <c r="A402" s="64"/>
      <c r="B402" s="64"/>
      <c r="C402" s="64"/>
      <c r="D402" s="65"/>
      <c r="E402" s="77"/>
      <c r="F402" s="77"/>
      <c r="G402" s="64"/>
      <c r="H402" s="42"/>
      <c r="I402" s="42"/>
      <c r="J402" s="84"/>
      <c r="K402" s="83"/>
      <c r="L402" s="83"/>
      <c r="M402" s="41"/>
      <c r="N402" s="41"/>
      <c r="O402" s="41"/>
      <c r="P402" s="64"/>
      <c r="Q402" s="64"/>
      <c r="R402" s="64"/>
      <c r="S402" s="83"/>
      <c r="T402" s="77"/>
      <c r="U402" s="105" t="s">
        <v>1592</v>
      </c>
      <c r="V402" s="105">
        <v>330409024</v>
      </c>
      <c r="W402" s="106" t="s">
        <v>1593</v>
      </c>
      <c r="X402" s="105"/>
      <c r="Y402" s="105" t="s">
        <v>1594</v>
      </c>
      <c r="Z402" s="105" t="s">
        <v>36</v>
      </c>
      <c r="AA402" s="110"/>
      <c r="AB402" s="50">
        <v>2890</v>
      </c>
      <c r="AC402" s="50">
        <v>2600</v>
      </c>
      <c r="AD402" s="50">
        <v>2210</v>
      </c>
      <c r="AE402" s="112" t="s">
        <v>37</v>
      </c>
      <c r="AF402" s="60"/>
    </row>
    <row r="403" s="55" customFormat="1" ht="25.5" spans="1:32">
      <c r="A403" s="64" t="s">
        <v>95</v>
      </c>
      <c r="B403" s="64" t="s">
        <v>1595</v>
      </c>
      <c r="C403" s="64" t="s">
        <v>1596</v>
      </c>
      <c r="D403" s="65"/>
      <c r="E403" s="77"/>
      <c r="F403" s="77" t="s">
        <v>35</v>
      </c>
      <c r="G403" s="64" t="s">
        <v>110</v>
      </c>
      <c r="H403" s="78">
        <v>570</v>
      </c>
      <c r="I403" s="78">
        <v>513</v>
      </c>
      <c r="J403" s="83"/>
      <c r="K403" s="83"/>
      <c r="L403" s="83"/>
      <c r="M403" s="41">
        <v>510</v>
      </c>
      <c r="N403" s="41">
        <v>459</v>
      </c>
      <c r="O403" s="41">
        <v>390</v>
      </c>
      <c r="P403" s="64" t="s">
        <v>37</v>
      </c>
      <c r="Q403" s="64" t="s">
        <v>35</v>
      </c>
      <c r="R403" s="64" t="s">
        <v>35</v>
      </c>
      <c r="S403" s="83"/>
      <c r="T403" s="77" t="s">
        <v>186</v>
      </c>
      <c r="U403" s="105" t="s">
        <v>1597</v>
      </c>
      <c r="V403" s="105">
        <v>33040900601</v>
      </c>
      <c r="W403" s="106" t="s">
        <v>1598</v>
      </c>
      <c r="X403" s="105"/>
      <c r="Y403" s="105"/>
      <c r="Z403" s="105" t="s">
        <v>36</v>
      </c>
      <c r="AA403" s="110" t="s">
        <v>35</v>
      </c>
      <c r="AB403" s="50">
        <v>1870</v>
      </c>
      <c r="AC403" s="50">
        <v>1690</v>
      </c>
      <c r="AD403" s="50">
        <v>1435</v>
      </c>
      <c r="AE403" s="112" t="s">
        <v>37</v>
      </c>
      <c r="AF403" s="60"/>
    </row>
    <row r="404" customFormat="1" ht="25.5" spans="1:32">
      <c r="A404" s="64"/>
      <c r="B404" s="64"/>
      <c r="C404" s="64"/>
      <c r="D404" s="65"/>
      <c r="E404" s="77"/>
      <c r="F404" s="77"/>
      <c r="G404" s="64"/>
      <c r="H404" s="42"/>
      <c r="I404" s="42"/>
      <c r="J404" s="83"/>
      <c r="K404" s="83"/>
      <c r="L404" s="83"/>
      <c r="M404" s="41"/>
      <c r="N404" s="41"/>
      <c r="O404" s="41"/>
      <c r="P404" s="64"/>
      <c r="Q404" s="64"/>
      <c r="R404" s="64"/>
      <c r="S404" s="83"/>
      <c r="T404" s="77"/>
      <c r="U404" s="105" t="s">
        <v>1599</v>
      </c>
      <c r="V404" s="105">
        <v>33040902201</v>
      </c>
      <c r="W404" s="106" t="s">
        <v>1600</v>
      </c>
      <c r="X404" s="105"/>
      <c r="Y404" s="105"/>
      <c r="Z404" s="105" t="s">
        <v>664</v>
      </c>
      <c r="AA404" s="110" t="s">
        <v>35</v>
      </c>
      <c r="AB404" s="50">
        <v>1755</v>
      </c>
      <c r="AC404" s="50">
        <v>1585</v>
      </c>
      <c r="AD404" s="50">
        <v>1345</v>
      </c>
      <c r="AE404" s="112" t="s">
        <v>37</v>
      </c>
      <c r="AF404" s="149"/>
    </row>
    <row r="405" customFormat="1" ht="25.5" spans="1:32">
      <c r="A405" s="64"/>
      <c r="B405" s="64"/>
      <c r="C405" s="64"/>
      <c r="D405" s="65"/>
      <c r="E405" s="77"/>
      <c r="F405" s="77"/>
      <c r="G405" s="64"/>
      <c r="H405" s="42"/>
      <c r="I405" s="42"/>
      <c r="J405" s="83"/>
      <c r="K405" s="83"/>
      <c r="L405" s="83"/>
      <c r="M405" s="41"/>
      <c r="N405" s="41"/>
      <c r="O405" s="41"/>
      <c r="P405" s="64"/>
      <c r="Q405" s="64"/>
      <c r="R405" s="64"/>
      <c r="S405" s="83"/>
      <c r="T405" s="77"/>
      <c r="U405" s="105" t="s">
        <v>1601</v>
      </c>
      <c r="V405" s="105">
        <v>33040902401</v>
      </c>
      <c r="W405" s="106" t="s">
        <v>1602</v>
      </c>
      <c r="X405" s="105"/>
      <c r="Y405" s="105"/>
      <c r="Z405" s="105" t="s">
        <v>36</v>
      </c>
      <c r="AA405" s="110" t="s">
        <v>35</v>
      </c>
      <c r="AB405" s="50">
        <v>3755</v>
      </c>
      <c r="AC405" s="50">
        <v>3380</v>
      </c>
      <c r="AD405" s="50">
        <v>2875</v>
      </c>
      <c r="AE405" s="112" t="s">
        <v>37</v>
      </c>
      <c r="AF405" s="149"/>
    </row>
    <row r="406" s="52" customFormat="1" ht="25.5" spans="1:238">
      <c r="A406" s="112" t="s">
        <v>95</v>
      </c>
      <c r="B406" s="112" t="s">
        <v>1603</v>
      </c>
      <c r="C406" s="64" t="s">
        <v>1604</v>
      </c>
      <c r="D406" s="65"/>
      <c r="E406" s="77"/>
      <c r="F406" s="77" t="s">
        <v>35</v>
      </c>
      <c r="G406" s="64" t="s">
        <v>110</v>
      </c>
      <c r="H406" s="78">
        <v>1520</v>
      </c>
      <c r="I406" s="78">
        <v>1368</v>
      </c>
      <c r="J406" s="83"/>
      <c r="K406" s="83"/>
      <c r="L406" s="83"/>
      <c r="M406" s="41">
        <v>1360</v>
      </c>
      <c r="N406" s="41">
        <v>1224</v>
      </c>
      <c r="O406" s="41">
        <v>1040</v>
      </c>
      <c r="P406" s="64" t="s">
        <v>37</v>
      </c>
      <c r="Q406" s="64" t="s">
        <v>35</v>
      </c>
      <c r="R406" s="64" t="s">
        <v>35</v>
      </c>
      <c r="S406" s="83"/>
      <c r="T406" s="77" t="s">
        <v>1605</v>
      </c>
      <c r="U406" s="153"/>
      <c r="V406" s="153"/>
      <c r="W406" s="154"/>
      <c r="X406" s="155"/>
      <c r="Y406" s="153"/>
      <c r="Z406" s="153"/>
      <c r="AA406" s="156"/>
      <c r="AB406" s="157"/>
      <c r="AC406" s="157"/>
      <c r="AD406" s="157"/>
      <c r="AE406" s="153"/>
      <c r="AF406" s="60"/>
      <c r="AG406" s="55"/>
      <c r="AH406" s="55"/>
      <c r="AI406" s="55"/>
      <c r="AJ406" s="55"/>
      <c r="AK406" s="55"/>
      <c r="AL406" s="55"/>
      <c r="AM406" s="55"/>
      <c r="AN406" s="55"/>
      <c r="AO406" s="55"/>
      <c r="AP406" s="55"/>
      <c r="AQ406" s="55"/>
      <c r="AR406" s="55"/>
      <c r="AS406" s="55"/>
      <c r="AT406" s="55"/>
      <c r="AU406" s="55"/>
      <c r="AV406" s="55"/>
      <c r="AW406" s="55"/>
      <c r="AX406" s="55"/>
      <c r="AY406" s="55"/>
      <c r="AZ406" s="55"/>
      <c r="BA406" s="55"/>
      <c r="BB406" s="55"/>
      <c r="BC406" s="55"/>
      <c r="BD406" s="55"/>
      <c r="BE406" s="55"/>
      <c r="BF406" s="55"/>
      <c r="BG406" s="55"/>
      <c r="BH406" s="55"/>
      <c r="BI406" s="55"/>
      <c r="BJ406" s="55"/>
      <c r="BK406" s="55"/>
      <c r="BL406" s="55"/>
      <c r="BM406" s="55"/>
      <c r="BN406" s="55"/>
      <c r="BO406" s="55"/>
      <c r="BP406" s="55"/>
      <c r="BQ406" s="55"/>
      <c r="BR406" s="55"/>
      <c r="BS406" s="55"/>
      <c r="BT406" s="55"/>
      <c r="BU406" s="55"/>
      <c r="BV406" s="55"/>
      <c r="BW406" s="55"/>
      <c r="BX406" s="55"/>
      <c r="BY406" s="55"/>
      <c r="BZ406" s="55"/>
      <c r="CA406" s="55"/>
      <c r="CB406" s="55"/>
      <c r="CC406" s="55"/>
      <c r="CD406" s="55"/>
      <c r="CE406" s="55"/>
      <c r="CF406" s="55"/>
      <c r="CG406" s="55"/>
      <c r="CH406" s="55"/>
      <c r="CI406" s="55"/>
      <c r="CJ406" s="55"/>
      <c r="CK406" s="55"/>
      <c r="CL406" s="55"/>
      <c r="CM406" s="55"/>
      <c r="CN406" s="55"/>
      <c r="CO406" s="55"/>
      <c r="CP406" s="55"/>
      <c r="CQ406" s="55"/>
      <c r="CR406" s="55"/>
      <c r="CS406" s="55"/>
      <c r="CT406" s="55"/>
      <c r="CU406" s="55"/>
      <c r="CV406" s="55"/>
      <c r="CW406" s="55"/>
      <c r="CX406" s="55"/>
      <c r="CY406" s="55"/>
      <c r="CZ406" s="55"/>
      <c r="DA406" s="55"/>
      <c r="DB406" s="55"/>
      <c r="DC406" s="55"/>
      <c r="DD406" s="55"/>
      <c r="DE406" s="55"/>
      <c r="DF406" s="55"/>
      <c r="DG406" s="55"/>
      <c r="DH406" s="55"/>
      <c r="DI406" s="55"/>
      <c r="DJ406" s="55"/>
      <c r="DK406" s="55"/>
      <c r="DL406" s="55"/>
      <c r="DM406" s="55"/>
      <c r="DN406" s="55"/>
      <c r="DO406" s="55"/>
      <c r="DP406" s="55"/>
      <c r="DQ406" s="55"/>
      <c r="DR406" s="55"/>
      <c r="DS406" s="55"/>
      <c r="DT406" s="55"/>
      <c r="DU406" s="55"/>
      <c r="DV406" s="55"/>
      <c r="DW406" s="55"/>
      <c r="DX406" s="55"/>
      <c r="DY406" s="55"/>
      <c r="DZ406" s="55"/>
      <c r="EA406" s="55"/>
      <c r="EB406" s="55"/>
      <c r="EC406" s="55"/>
      <c r="ED406" s="55"/>
      <c r="EE406" s="55"/>
      <c r="EF406" s="55"/>
      <c r="EG406" s="55"/>
      <c r="EH406" s="55"/>
      <c r="EI406" s="55"/>
      <c r="EJ406" s="55"/>
      <c r="EK406" s="55"/>
      <c r="EL406" s="55"/>
      <c r="EM406" s="55"/>
      <c r="EN406" s="55"/>
      <c r="EO406" s="55"/>
      <c r="EP406" s="55"/>
      <c r="EQ406" s="55"/>
      <c r="ER406" s="55"/>
      <c r="ES406" s="55"/>
      <c r="ET406" s="55"/>
      <c r="EU406" s="55"/>
      <c r="EV406" s="55"/>
      <c r="EW406" s="55"/>
      <c r="EX406" s="55"/>
      <c r="EY406" s="55"/>
      <c r="EZ406" s="55"/>
      <c r="FA406" s="55"/>
      <c r="FB406" s="55"/>
      <c r="FC406" s="55"/>
      <c r="FD406" s="55"/>
      <c r="FE406" s="55"/>
      <c r="FF406" s="55"/>
      <c r="FG406" s="55"/>
      <c r="FH406" s="55"/>
      <c r="FI406" s="55"/>
      <c r="FJ406" s="55"/>
      <c r="FK406" s="55"/>
      <c r="FL406" s="55"/>
      <c r="FM406" s="55"/>
      <c r="FN406" s="55"/>
      <c r="FO406" s="55"/>
      <c r="FP406" s="55"/>
      <c r="FQ406" s="55"/>
      <c r="FR406" s="55"/>
      <c r="FS406" s="55"/>
      <c r="FT406" s="55"/>
      <c r="FU406" s="55"/>
      <c r="FV406" s="55"/>
      <c r="FW406" s="55"/>
      <c r="FX406" s="55"/>
      <c r="FY406" s="55"/>
      <c r="FZ406" s="55"/>
      <c r="GA406" s="55"/>
      <c r="GB406" s="55"/>
      <c r="GC406" s="55"/>
      <c r="GD406" s="55"/>
      <c r="GE406" s="55"/>
      <c r="GF406" s="55"/>
      <c r="GG406" s="55"/>
      <c r="GH406" s="55"/>
      <c r="GI406" s="55"/>
      <c r="GJ406" s="55"/>
      <c r="GK406" s="55"/>
      <c r="GL406" s="55"/>
      <c r="GM406" s="55"/>
      <c r="GN406" s="55"/>
      <c r="GO406" s="55"/>
      <c r="GP406" s="55"/>
      <c r="GQ406" s="55"/>
      <c r="GR406" s="55"/>
      <c r="GS406" s="55"/>
      <c r="GT406" s="55"/>
      <c r="GU406" s="55"/>
      <c r="GV406" s="55"/>
      <c r="GW406" s="55"/>
      <c r="GX406" s="55"/>
      <c r="GY406" s="55"/>
      <c r="GZ406" s="55"/>
      <c r="HA406" s="55"/>
      <c r="HB406" s="55"/>
      <c r="HC406" s="55"/>
      <c r="HD406" s="55"/>
      <c r="HE406" s="55"/>
      <c r="HF406" s="55"/>
      <c r="HG406" s="55"/>
      <c r="HH406" s="55"/>
      <c r="HI406" s="55"/>
      <c r="HJ406" s="55"/>
      <c r="HK406" s="55"/>
      <c r="HL406" s="55"/>
      <c r="HM406" s="55"/>
      <c r="HN406" s="55"/>
      <c r="HO406" s="55"/>
      <c r="HP406" s="55"/>
      <c r="HQ406" s="55"/>
      <c r="HR406" s="55"/>
      <c r="HS406" s="55"/>
      <c r="HT406" s="55"/>
      <c r="HU406" s="55"/>
      <c r="HV406" s="55"/>
      <c r="HW406" s="55"/>
      <c r="HX406" s="55"/>
      <c r="HY406" s="55"/>
      <c r="HZ406" s="55"/>
      <c r="IA406" s="55"/>
      <c r="IB406" s="55"/>
      <c r="IC406" s="55"/>
      <c r="ID406" s="55"/>
    </row>
    <row r="407" s="52" customFormat="1" ht="51" spans="1:238">
      <c r="A407" s="112">
        <v>109</v>
      </c>
      <c r="B407" s="112" t="s">
        <v>1606</v>
      </c>
      <c r="C407" s="64" t="s">
        <v>1607</v>
      </c>
      <c r="D407" s="65" t="s">
        <v>1608</v>
      </c>
      <c r="E407" s="77" t="s">
        <v>1609</v>
      </c>
      <c r="F407" s="77" t="s">
        <v>35</v>
      </c>
      <c r="G407" s="64" t="s">
        <v>110</v>
      </c>
      <c r="H407" s="78">
        <v>1150</v>
      </c>
      <c r="I407" s="78">
        <v>1035</v>
      </c>
      <c r="J407" s="83">
        <v>1010</v>
      </c>
      <c r="K407" s="83">
        <v>910</v>
      </c>
      <c r="L407" s="83">
        <v>775</v>
      </c>
      <c r="M407" s="41">
        <v>1010</v>
      </c>
      <c r="N407" s="41">
        <v>910</v>
      </c>
      <c r="O407" s="41">
        <v>775</v>
      </c>
      <c r="P407" s="64" t="s">
        <v>37</v>
      </c>
      <c r="Q407" s="64" t="s">
        <v>35</v>
      </c>
      <c r="R407" s="64" t="s">
        <v>35</v>
      </c>
      <c r="S407" s="83"/>
      <c r="T407" s="77" t="s">
        <v>381</v>
      </c>
      <c r="U407" s="105" t="s">
        <v>1610</v>
      </c>
      <c r="V407" s="105">
        <v>330409004</v>
      </c>
      <c r="W407" s="106" t="s">
        <v>1611</v>
      </c>
      <c r="X407" s="105"/>
      <c r="Y407" s="105"/>
      <c r="Z407" s="105" t="s">
        <v>36</v>
      </c>
      <c r="AA407" s="110" t="s">
        <v>35</v>
      </c>
      <c r="AB407" s="50">
        <v>1010</v>
      </c>
      <c r="AC407" s="50">
        <v>910</v>
      </c>
      <c r="AD407" s="50">
        <v>775</v>
      </c>
      <c r="AE407" s="112" t="s">
        <v>37</v>
      </c>
      <c r="AF407" s="60"/>
      <c r="AG407" s="55"/>
      <c r="AH407" s="55"/>
      <c r="AI407" s="55"/>
      <c r="AJ407" s="55"/>
      <c r="AK407" s="55"/>
      <c r="AL407" s="55"/>
      <c r="AM407" s="55"/>
      <c r="AN407" s="55"/>
      <c r="AO407" s="55"/>
      <c r="AP407" s="55"/>
      <c r="AQ407" s="55"/>
      <c r="AR407" s="55"/>
      <c r="AS407" s="55"/>
      <c r="AT407" s="55"/>
      <c r="AU407" s="55"/>
      <c r="AV407" s="55"/>
      <c r="AW407" s="55"/>
      <c r="AX407" s="55"/>
      <c r="AY407" s="55"/>
      <c r="AZ407" s="55"/>
      <c r="BA407" s="55"/>
      <c r="BB407" s="55"/>
      <c r="BC407" s="55"/>
      <c r="BD407" s="55"/>
      <c r="BE407" s="55"/>
      <c r="BF407" s="55"/>
      <c r="BG407" s="55"/>
      <c r="BH407" s="55"/>
      <c r="BI407" s="55"/>
      <c r="BJ407" s="55"/>
      <c r="BK407" s="55"/>
      <c r="BL407" s="55"/>
      <c r="BM407" s="55"/>
      <c r="BN407" s="55"/>
      <c r="BO407" s="55"/>
      <c r="BP407" s="55"/>
      <c r="BQ407" s="55"/>
      <c r="BR407" s="55"/>
      <c r="BS407" s="55"/>
      <c r="BT407" s="55"/>
      <c r="BU407" s="55"/>
      <c r="BV407" s="55"/>
      <c r="BW407" s="55"/>
      <c r="BX407" s="55"/>
      <c r="BY407" s="55"/>
      <c r="BZ407" s="55"/>
      <c r="CA407" s="55"/>
      <c r="CB407" s="55"/>
      <c r="CC407" s="55"/>
      <c r="CD407" s="55"/>
      <c r="CE407" s="55"/>
      <c r="CF407" s="55"/>
      <c r="CG407" s="55"/>
      <c r="CH407" s="55"/>
      <c r="CI407" s="55"/>
      <c r="CJ407" s="55"/>
      <c r="CK407" s="55"/>
      <c r="CL407" s="55"/>
      <c r="CM407" s="55"/>
      <c r="CN407" s="55"/>
      <c r="CO407" s="55"/>
      <c r="CP407" s="55"/>
      <c r="CQ407" s="55"/>
      <c r="CR407" s="55"/>
      <c r="CS407" s="55"/>
      <c r="CT407" s="55"/>
      <c r="CU407" s="55"/>
      <c r="CV407" s="55"/>
      <c r="CW407" s="55"/>
      <c r="CX407" s="55"/>
      <c r="CY407" s="55"/>
      <c r="CZ407" s="55"/>
      <c r="DA407" s="55"/>
      <c r="DB407" s="55"/>
      <c r="DC407" s="55"/>
      <c r="DD407" s="55"/>
      <c r="DE407" s="55"/>
      <c r="DF407" s="55"/>
      <c r="DG407" s="55"/>
      <c r="DH407" s="55"/>
      <c r="DI407" s="55"/>
      <c r="DJ407" s="55"/>
      <c r="DK407" s="55"/>
      <c r="DL407" s="55"/>
      <c r="DM407" s="55"/>
      <c r="DN407" s="55"/>
      <c r="DO407" s="55"/>
      <c r="DP407" s="55"/>
      <c r="DQ407" s="55"/>
      <c r="DR407" s="55"/>
      <c r="DS407" s="55"/>
      <c r="DT407" s="55"/>
      <c r="DU407" s="55"/>
      <c r="DV407" s="55"/>
      <c r="DW407" s="55"/>
      <c r="DX407" s="55"/>
      <c r="DY407" s="55"/>
      <c r="DZ407" s="55"/>
      <c r="EA407" s="55"/>
      <c r="EB407" s="55"/>
      <c r="EC407" s="55"/>
      <c r="ED407" s="55"/>
      <c r="EE407" s="55"/>
      <c r="EF407" s="55"/>
      <c r="EG407" s="55"/>
      <c r="EH407" s="55"/>
      <c r="EI407" s="55"/>
      <c r="EJ407" s="55"/>
      <c r="EK407" s="55"/>
      <c r="EL407" s="55"/>
      <c r="EM407" s="55"/>
      <c r="EN407" s="55"/>
      <c r="EO407" s="55"/>
      <c r="EP407" s="55"/>
      <c r="EQ407" s="55"/>
      <c r="ER407" s="55"/>
      <c r="ES407" s="55"/>
      <c r="ET407" s="55"/>
      <c r="EU407" s="55"/>
      <c r="EV407" s="55"/>
      <c r="EW407" s="55"/>
      <c r="EX407" s="55"/>
      <c r="EY407" s="55"/>
      <c r="EZ407" s="55"/>
      <c r="FA407" s="55"/>
      <c r="FB407" s="55"/>
      <c r="FC407" s="55"/>
      <c r="FD407" s="55"/>
      <c r="FE407" s="55"/>
      <c r="FF407" s="55"/>
      <c r="FG407" s="55"/>
      <c r="FH407" s="55"/>
      <c r="FI407" s="55"/>
      <c r="FJ407" s="55"/>
      <c r="FK407" s="55"/>
      <c r="FL407" s="55"/>
      <c r="FM407" s="55"/>
      <c r="FN407" s="55"/>
      <c r="FO407" s="55"/>
      <c r="FP407" s="55"/>
      <c r="FQ407" s="55"/>
      <c r="FR407" s="55"/>
      <c r="FS407" s="55"/>
      <c r="FT407" s="55"/>
      <c r="FU407" s="55"/>
      <c r="FV407" s="55"/>
      <c r="FW407" s="55"/>
      <c r="FX407" s="55"/>
      <c r="FY407" s="55"/>
      <c r="FZ407" s="55"/>
      <c r="GA407" s="55"/>
      <c r="GB407" s="55"/>
      <c r="GC407" s="55"/>
      <c r="GD407" s="55"/>
      <c r="GE407" s="55"/>
      <c r="GF407" s="55"/>
      <c r="GG407" s="55"/>
      <c r="GH407" s="55"/>
      <c r="GI407" s="55"/>
      <c r="GJ407" s="55"/>
      <c r="GK407" s="55"/>
      <c r="GL407" s="55"/>
      <c r="GM407" s="55"/>
      <c r="GN407" s="55"/>
      <c r="GO407" s="55"/>
      <c r="GP407" s="55"/>
      <c r="GQ407" s="55"/>
      <c r="GR407" s="55"/>
      <c r="GS407" s="55"/>
      <c r="GT407" s="55"/>
      <c r="GU407" s="55"/>
      <c r="GV407" s="55"/>
      <c r="GW407" s="55"/>
      <c r="GX407" s="55"/>
      <c r="GY407" s="55"/>
      <c r="GZ407" s="55"/>
      <c r="HA407" s="55"/>
      <c r="HB407" s="55"/>
      <c r="HC407" s="55"/>
      <c r="HD407" s="55"/>
      <c r="HE407" s="55"/>
      <c r="HF407" s="55"/>
      <c r="HG407" s="55"/>
      <c r="HH407" s="55"/>
      <c r="HI407" s="55"/>
      <c r="HJ407" s="55"/>
      <c r="HK407" s="55"/>
      <c r="HL407" s="55"/>
      <c r="HM407" s="55"/>
      <c r="HN407" s="55"/>
      <c r="HO407" s="55"/>
      <c r="HP407" s="55"/>
      <c r="HQ407" s="55"/>
      <c r="HR407" s="55"/>
      <c r="HS407" s="55"/>
      <c r="HT407" s="55"/>
      <c r="HU407" s="55"/>
      <c r="HV407" s="55"/>
      <c r="HW407" s="55"/>
      <c r="HX407" s="55"/>
      <c r="HY407" s="55"/>
      <c r="HZ407" s="55"/>
      <c r="IA407" s="55"/>
      <c r="IB407" s="55"/>
      <c r="IC407" s="55"/>
      <c r="ID407" s="55"/>
    </row>
    <row r="408" s="52" customFormat="1" ht="25.5" spans="1:238">
      <c r="A408" s="112" t="s">
        <v>95</v>
      </c>
      <c r="B408" s="112" t="s">
        <v>1612</v>
      </c>
      <c r="C408" s="64" t="s">
        <v>1613</v>
      </c>
      <c r="D408" s="65"/>
      <c r="E408" s="77"/>
      <c r="F408" s="77" t="s">
        <v>35</v>
      </c>
      <c r="G408" s="64" t="s">
        <v>110</v>
      </c>
      <c r="H408" s="78">
        <v>345</v>
      </c>
      <c r="I408" s="78">
        <v>311</v>
      </c>
      <c r="J408" s="83">
        <v>305</v>
      </c>
      <c r="K408" s="83">
        <v>275</v>
      </c>
      <c r="L408" s="83">
        <v>230</v>
      </c>
      <c r="M408" s="41">
        <v>305</v>
      </c>
      <c r="N408" s="41">
        <v>275</v>
      </c>
      <c r="O408" s="41">
        <v>230</v>
      </c>
      <c r="P408" s="64" t="s">
        <v>37</v>
      </c>
      <c r="Q408" s="64" t="s">
        <v>35</v>
      </c>
      <c r="R408" s="64" t="s">
        <v>35</v>
      </c>
      <c r="S408" s="83"/>
      <c r="T408" s="77" t="s">
        <v>186</v>
      </c>
      <c r="U408" s="105" t="s">
        <v>1614</v>
      </c>
      <c r="V408" s="105">
        <v>33040900401</v>
      </c>
      <c r="W408" s="106" t="s">
        <v>1615</v>
      </c>
      <c r="X408" s="105"/>
      <c r="Y408" s="105"/>
      <c r="Z408" s="105" t="s">
        <v>36</v>
      </c>
      <c r="AA408" s="110" t="s">
        <v>35</v>
      </c>
      <c r="AB408" s="50">
        <v>1315</v>
      </c>
      <c r="AC408" s="50">
        <v>1185</v>
      </c>
      <c r="AD408" s="50">
        <v>1005</v>
      </c>
      <c r="AE408" s="112" t="s">
        <v>37</v>
      </c>
      <c r="AF408" s="60"/>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5"/>
      <c r="BM408" s="55"/>
      <c r="BN408" s="55"/>
      <c r="BO408" s="55"/>
      <c r="BP408" s="55"/>
      <c r="BQ408" s="55"/>
      <c r="BR408" s="55"/>
      <c r="BS408" s="55"/>
      <c r="BT408" s="55"/>
      <c r="BU408" s="55"/>
      <c r="BV408" s="55"/>
      <c r="BW408" s="55"/>
      <c r="BX408" s="55"/>
      <c r="BY408" s="55"/>
      <c r="BZ408" s="55"/>
      <c r="CA408" s="55"/>
      <c r="CB408" s="55"/>
      <c r="CC408" s="55"/>
      <c r="CD408" s="55"/>
      <c r="CE408" s="55"/>
      <c r="CF408" s="55"/>
      <c r="CG408" s="55"/>
      <c r="CH408" s="55"/>
      <c r="CI408" s="55"/>
      <c r="CJ408" s="55"/>
      <c r="CK408" s="55"/>
      <c r="CL408" s="55"/>
      <c r="CM408" s="55"/>
      <c r="CN408" s="55"/>
      <c r="CO408" s="55"/>
      <c r="CP408" s="55"/>
      <c r="CQ408" s="55"/>
      <c r="CR408" s="55"/>
      <c r="CS408" s="55"/>
      <c r="CT408" s="55"/>
      <c r="CU408" s="55"/>
      <c r="CV408" s="55"/>
      <c r="CW408" s="55"/>
      <c r="CX408" s="55"/>
      <c r="CY408" s="55"/>
      <c r="CZ408" s="55"/>
      <c r="DA408" s="55"/>
      <c r="DB408" s="55"/>
      <c r="DC408" s="55"/>
      <c r="DD408" s="55"/>
      <c r="DE408" s="55"/>
      <c r="DF408" s="55"/>
      <c r="DG408" s="55"/>
      <c r="DH408" s="55"/>
      <c r="DI408" s="55"/>
      <c r="DJ408" s="55"/>
      <c r="DK408" s="55"/>
      <c r="DL408" s="55"/>
      <c r="DM408" s="55"/>
      <c r="DN408" s="55"/>
      <c r="DO408" s="55"/>
      <c r="DP408" s="55"/>
      <c r="DQ408" s="55"/>
      <c r="DR408" s="55"/>
      <c r="DS408" s="55"/>
      <c r="DT408" s="55"/>
      <c r="DU408" s="55"/>
      <c r="DV408" s="55"/>
      <c r="DW408" s="55"/>
      <c r="DX408" s="55"/>
      <c r="DY408" s="55"/>
      <c r="DZ408" s="55"/>
      <c r="EA408" s="55"/>
      <c r="EB408" s="55"/>
      <c r="EC408" s="55"/>
      <c r="ED408" s="55"/>
      <c r="EE408" s="55"/>
      <c r="EF408" s="55"/>
      <c r="EG408" s="55"/>
      <c r="EH408" s="55"/>
      <c r="EI408" s="55"/>
      <c r="EJ408" s="55"/>
      <c r="EK408" s="55"/>
      <c r="EL408" s="55"/>
      <c r="EM408" s="55"/>
      <c r="EN408" s="55"/>
      <c r="EO408" s="55"/>
      <c r="EP408" s="55"/>
      <c r="EQ408" s="55"/>
      <c r="ER408" s="55"/>
      <c r="ES408" s="55"/>
      <c r="ET408" s="55"/>
      <c r="EU408" s="55"/>
      <c r="EV408" s="55"/>
      <c r="EW408" s="55"/>
      <c r="EX408" s="55"/>
      <c r="EY408" s="55"/>
      <c r="EZ408" s="55"/>
      <c r="FA408" s="55"/>
      <c r="FB408" s="55"/>
      <c r="FC408" s="55"/>
      <c r="FD408" s="55"/>
      <c r="FE408" s="55"/>
      <c r="FF408" s="55"/>
      <c r="FG408" s="55"/>
      <c r="FH408" s="55"/>
      <c r="FI408" s="55"/>
      <c r="FJ408" s="55"/>
      <c r="FK408" s="55"/>
      <c r="FL408" s="55"/>
      <c r="FM408" s="55"/>
      <c r="FN408" s="55"/>
      <c r="FO408" s="55"/>
      <c r="FP408" s="55"/>
      <c r="FQ408" s="55"/>
      <c r="FR408" s="55"/>
      <c r="FS408" s="55"/>
      <c r="FT408" s="55"/>
      <c r="FU408" s="55"/>
      <c r="FV408" s="55"/>
      <c r="FW408" s="55"/>
      <c r="FX408" s="55"/>
      <c r="FY408" s="55"/>
      <c r="FZ408" s="55"/>
      <c r="GA408" s="55"/>
      <c r="GB408" s="55"/>
      <c r="GC408" s="55"/>
      <c r="GD408" s="55"/>
      <c r="GE408" s="55"/>
      <c r="GF408" s="55"/>
      <c r="GG408" s="55"/>
      <c r="GH408" s="55"/>
      <c r="GI408" s="55"/>
      <c r="GJ408" s="55"/>
      <c r="GK408" s="55"/>
      <c r="GL408" s="55"/>
      <c r="GM408" s="55"/>
      <c r="GN408" s="55"/>
      <c r="GO408" s="55"/>
      <c r="GP408" s="55"/>
      <c r="GQ408" s="55"/>
      <c r="GR408" s="55"/>
      <c r="GS408" s="55"/>
      <c r="GT408" s="55"/>
      <c r="GU408" s="55"/>
      <c r="GV408" s="55"/>
      <c r="GW408" s="55"/>
      <c r="GX408" s="55"/>
      <c r="GY408" s="55"/>
      <c r="GZ408" s="55"/>
      <c r="HA408" s="55"/>
      <c r="HB408" s="55"/>
      <c r="HC408" s="55"/>
      <c r="HD408" s="55"/>
      <c r="HE408" s="55"/>
      <c r="HF408" s="55"/>
      <c r="HG408" s="55"/>
      <c r="HH408" s="55"/>
      <c r="HI408" s="55"/>
      <c r="HJ408" s="55"/>
      <c r="HK408" s="55"/>
      <c r="HL408" s="55"/>
      <c r="HM408" s="55"/>
      <c r="HN408" s="55"/>
      <c r="HO408" s="55"/>
      <c r="HP408" s="55"/>
      <c r="HQ408" s="55"/>
      <c r="HR408" s="55"/>
      <c r="HS408" s="55"/>
      <c r="HT408" s="55"/>
      <c r="HU408" s="55"/>
      <c r="HV408" s="55"/>
      <c r="HW408" s="55"/>
      <c r="HX408" s="55"/>
      <c r="HY408" s="55"/>
      <c r="HZ408" s="55"/>
      <c r="IA408" s="55"/>
      <c r="IB408" s="55"/>
      <c r="IC408" s="55"/>
      <c r="ID408" s="55"/>
    </row>
    <row r="409" s="52" customFormat="1" ht="26" customHeight="1" spans="1:238">
      <c r="A409" s="64">
        <v>110</v>
      </c>
      <c r="B409" s="64" t="s">
        <v>1616</v>
      </c>
      <c r="C409" s="64" t="s">
        <v>1617</v>
      </c>
      <c r="D409" s="122" t="s">
        <v>1618</v>
      </c>
      <c r="E409" s="64" t="s">
        <v>1619</v>
      </c>
      <c r="F409" s="64" t="s">
        <v>35</v>
      </c>
      <c r="G409" s="64" t="s">
        <v>110</v>
      </c>
      <c r="H409" s="78">
        <v>1200</v>
      </c>
      <c r="I409" s="78">
        <v>1080</v>
      </c>
      <c r="J409" s="83">
        <v>1142.1875</v>
      </c>
      <c r="K409" s="83">
        <v>1002.85714285714</v>
      </c>
      <c r="L409" s="83"/>
      <c r="M409" s="41">
        <v>1150</v>
      </c>
      <c r="N409" s="41">
        <v>1010</v>
      </c>
      <c r="O409" s="41">
        <v>860</v>
      </c>
      <c r="P409" s="64" t="s">
        <v>37</v>
      </c>
      <c r="Q409" s="64" t="s">
        <v>35</v>
      </c>
      <c r="R409" s="64" t="s">
        <v>35</v>
      </c>
      <c r="S409" s="83" t="s">
        <v>191</v>
      </c>
      <c r="T409" s="77" t="s">
        <v>268</v>
      </c>
      <c r="U409" s="105" t="s">
        <v>1620</v>
      </c>
      <c r="V409" s="105">
        <v>330407003</v>
      </c>
      <c r="W409" s="106" t="s">
        <v>1621</v>
      </c>
      <c r="X409" s="105"/>
      <c r="Y409" s="105" t="s">
        <v>1622</v>
      </c>
      <c r="Z409" s="105" t="s">
        <v>36</v>
      </c>
      <c r="AA409" s="110" t="s">
        <v>35</v>
      </c>
      <c r="AB409" s="50">
        <v>3090</v>
      </c>
      <c r="AC409" s="50">
        <v>2780</v>
      </c>
      <c r="AD409" s="50">
        <v>2360</v>
      </c>
      <c r="AE409" s="112" t="s">
        <v>37</v>
      </c>
      <c r="AF409" s="60"/>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5"/>
      <c r="BM409" s="55"/>
      <c r="BN409" s="55"/>
      <c r="BO409" s="55"/>
      <c r="BP409" s="55"/>
      <c r="BQ409" s="55"/>
      <c r="BR409" s="55"/>
      <c r="BS409" s="55"/>
      <c r="BT409" s="55"/>
      <c r="BU409" s="55"/>
      <c r="BV409" s="55"/>
      <c r="BW409" s="55"/>
      <c r="BX409" s="55"/>
      <c r="BY409" s="55"/>
      <c r="BZ409" s="55"/>
      <c r="CA409" s="55"/>
      <c r="CB409" s="55"/>
      <c r="CC409" s="55"/>
      <c r="CD409" s="55"/>
      <c r="CE409" s="55"/>
      <c r="CF409" s="55"/>
      <c r="CG409" s="55"/>
      <c r="CH409" s="55"/>
      <c r="CI409" s="55"/>
      <c r="CJ409" s="55"/>
      <c r="CK409" s="55"/>
      <c r="CL409" s="55"/>
      <c r="CM409" s="55"/>
      <c r="CN409" s="55"/>
      <c r="CO409" s="55"/>
      <c r="CP409" s="55"/>
      <c r="CQ409" s="55"/>
      <c r="CR409" s="55"/>
      <c r="CS409" s="55"/>
      <c r="CT409" s="55"/>
      <c r="CU409" s="55"/>
      <c r="CV409" s="55"/>
      <c r="CW409" s="55"/>
      <c r="CX409" s="55"/>
      <c r="CY409" s="55"/>
      <c r="CZ409" s="55"/>
      <c r="DA409" s="55"/>
      <c r="DB409" s="55"/>
      <c r="DC409" s="55"/>
      <c r="DD409" s="55"/>
      <c r="DE409" s="55"/>
      <c r="DF409" s="55"/>
      <c r="DG409" s="55"/>
      <c r="DH409" s="55"/>
      <c r="DI409" s="55"/>
      <c r="DJ409" s="55"/>
      <c r="DK409" s="55"/>
      <c r="DL409" s="55"/>
      <c r="DM409" s="55"/>
      <c r="DN409" s="55"/>
      <c r="DO409" s="55"/>
      <c r="DP409" s="55"/>
      <c r="DQ409" s="55"/>
      <c r="DR409" s="55"/>
      <c r="DS409" s="55"/>
      <c r="DT409" s="55"/>
      <c r="DU409" s="55"/>
      <c r="DV409" s="55"/>
      <c r="DW409" s="55"/>
      <c r="DX409" s="55"/>
      <c r="DY409" s="55"/>
      <c r="DZ409" s="55"/>
      <c r="EA409" s="55"/>
      <c r="EB409" s="55"/>
      <c r="EC409" s="55"/>
      <c r="ED409" s="55"/>
      <c r="EE409" s="55"/>
      <c r="EF409" s="55"/>
      <c r="EG409" s="55"/>
      <c r="EH409" s="55"/>
      <c r="EI409" s="55"/>
      <c r="EJ409" s="55"/>
      <c r="EK409" s="55"/>
      <c r="EL409" s="55"/>
      <c r="EM409" s="55"/>
      <c r="EN409" s="55"/>
      <c r="EO409" s="55"/>
      <c r="EP409" s="55"/>
      <c r="EQ409" s="55"/>
      <c r="ER409" s="55"/>
      <c r="ES409" s="55"/>
      <c r="ET409" s="55"/>
      <c r="EU409" s="55"/>
      <c r="EV409" s="55"/>
      <c r="EW409" s="55"/>
      <c r="EX409" s="55"/>
      <c r="EY409" s="55"/>
      <c r="EZ409" s="55"/>
      <c r="FA409" s="55"/>
      <c r="FB409" s="55"/>
      <c r="FC409" s="55"/>
      <c r="FD409" s="55"/>
      <c r="FE409" s="55"/>
      <c r="FF409" s="55"/>
      <c r="FG409" s="55"/>
      <c r="FH409" s="55"/>
      <c r="FI409" s="55"/>
      <c r="FJ409" s="55"/>
      <c r="FK409" s="55"/>
      <c r="FL409" s="55"/>
      <c r="FM409" s="55"/>
      <c r="FN409" s="55"/>
      <c r="FO409" s="55"/>
      <c r="FP409" s="55"/>
      <c r="FQ409" s="55"/>
      <c r="FR409" s="55"/>
      <c r="FS409" s="55"/>
      <c r="FT409" s="55"/>
      <c r="FU409" s="55"/>
      <c r="FV409" s="55"/>
      <c r="FW409" s="55"/>
      <c r="FX409" s="55"/>
      <c r="FY409" s="55"/>
      <c r="FZ409" s="55"/>
      <c r="GA409" s="55"/>
      <c r="GB409" s="55"/>
      <c r="GC409" s="55"/>
      <c r="GD409" s="55"/>
      <c r="GE409" s="55"/>
      <c r="GF409" s="55"/>
      <c r="GG409" s="55"/>
      <c r="GH409" s="55"/>
      <c r="GI409" s="55"/>
      <c r="GJ409" s="55"/>
      <c r="GK409" s="55"/>
      <c r="GL409" s="55"/>
      <c r="GM409" s="55"/>
      <c r="GN409" s="55"/>
      <c r="GO409" s="55"/>
      <c r="GP409" s="55"/>
      <c r="GQ409" s="55"/>
      <c r="GR409" s="55"/>
      <c r="GS409" s="55"/>
      <c r="GT409" s="55"/>
      <c r="GU409" s="55"/>
      <c r="GV409" s="55"/>
      <c r="GW409" s="55"/>
      <c r="GX409" s="55"/>
      <c r="GY409" s="55"/>
      <c r="GZ409" s="55"/>
      <c r="HA409" s="55"/>
      <c r="HB409" s="55"/>
      <c r="HC409" s="55"/>
      <c r="HD409" s="55"/>
      <c r="HE409" s="55"/>
      <c r="HF409" s="55"/>
      <c r="HG409" s="55"/>
      <c r="HH409" s="55"/>
      <c r="HI409" s="55"/>
      <c r="HJ409" s="55"/>
      <c r="HK409" s="55"/>
      <c r="HL409" s="55"/>
      <c r="HM409" s="55"/>
      <c r="HN409" s="55"/>
      <c r="HO409" s="55"/>
      <c r="HP409" s="55"/>
      <c r="HQ409" s="55"/>
      <c r="HR409" s="55"/>
      <c r="HS409" s="55"/>
      <c r="HT409" s="55"/>
      <c r="HU409" s="55"/>
      <c r="HV409" s="55"/>
      <c r="HW409" s="55"/>
      <c r="HX409" s="55"/>
      <c r="HY409" s="55"/>
      <c r="HZ409" s="55"/>
      <c r="IA409" s="55"/>
      <c r="IB409" s="55"/>
      <c r="IC409" s="55"/>
      <c r="ID409" s="55"/>
    </row>
    <row r="410" s="52" customFormat="1" ht="26" customHeight="1" spans="1:238">
      <c r="A410" s="64"/>
      <c r="B410" s="64"/>
      <c r="C410" s="64"/>
      <c r="D410" s="122"/>
      <c r="E410" s="64"/>
      <c r="F410" s="64"/>
      <c r="G410" s="64"/>
      <c r="H410" s="78"/>
      <c r="I410" s="78"/>
      <c r="J410" s="83"/>
      <c r="K410" s="83"/>
      <c r="L410" s="83"/>
      <c r="M410" s="41"/>
      <c r="N410" s="41"/>
      <c r="O410" s="41"/>
      <c r="P410" s="64"/>
      <c r="Q410" s="64"/>
      <c r="R410" s="64"/>
      <c r="S410" s="83"/>
      <c r="T410" s="77"/>
      <c r="U410" s="105" t="s">
        <v>1623</v>
      </c>
      <c r="V410" s="105">
        <v>330409001</v>
      </c>
      <c r="W410" s="106" t="s">
        <v>1624</v>
      </c>
      <c r="X410" s="105"/>
      <c r="Y410" s="105"/>
      <c r="Z410" s="105" t="s">
        <v>36</v>
      </c>
      <c r="AA410" s="110" t="s">
        <v>35</v>
      </c>
      <c r="AB410" s="50">
        <v>875</v>
      </c>
      <c r="AC410" s="50">
        <v>840</v>
      </c>
      <c r="AD410" s="50">
        <v>714</v>
      </c>
      <c r="AE410" s="112" t="s">
        <v>37</v>
      </c>
      <c r="AF410" s="60"/>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5"/>
      <c r="BM410" s="55"/>
      <c r="BN410" s="55"/>
      <c r="BO410" s="55"/>
      <c r="BP410" s="55"/>
      <c r="BQ410" s="55"/>
      <c r="BR410" s="55"/>
      <c r="BS410" s="55"/>
      <c r="BT410" s="55"/>
      <c r="BU410" s="55"/>
      <c r="BV410" s="55"/>
      <c r="BW410" s="55"/>
      <c r="BX410" s="55"/>
      <c r="BY410" s="55"/>
      <c r="BZ410" s="55"/>
      <c r="CA410" s="55"/>
      <c r="CB410" s="55"/>
      <c r="CC410" s="55"/>
      <c r="CD410" s="55"/>
      <c r="CE410" s="55"/>
      <c r="CF410" s="55"/>
      <c r="CG410" s="55"/>
      <c r="CH410" s="55"/>
      <c r="CI410" s="55"/>
      <c r="CJ410" s="55"/>
      <c r="CK410" s="55"/>
      <c r="CL410" s="55"/>
      <c r="CM410" s="55"/>
      <c r="CN410" s="55"/>
      <c r="CO410" s="55"/>
      <c r="CP410" s="55"/>
      <c r="CQ410" s="55"/>
      <c r="CR410" s="55"/>
      <c r="CS410" s="55"/>
      <c r="CT410" s="55"/>
      <c r="CU410" s="55"/>
      <c r="CV410" s="55"/>
      <c r="CW410" s="55"/>
      <c r="CX410" s="55"/>
      <c r="CY410" s="55"/>
      <c r="CZ410" s="55"/>
      <c r="DA410" s="55"/>
      <c r="DB410" s="55"/>
      <c r="DC410" s="55"/>
      <c r="DD410" s="55"/>
      <c r="DE410" s="55"/>
      <c r="DF410" s="55"/>
      <c r="DG410" s="55"/>
      <c r="DH410" s="55"/>
      <c r="DI410" s="55"/>
      <c r="DJ410" s="55"/>
      <c r="DK410" s="55"/>
      <c r="DL410" s="55"/>
      <c r="DM410" s="55"/>
      <c r="DN410" s="55"/>
      <c r="DO410" s="55"/>
      <c r="DP410" s="55"/>
      <c r="DQ410" s="55"/>
      <c r="DR410" s="55"/>
      <c r="DS410" s="55"/>
      <c r="DT410" s="55"/>
      <c r="DU410" s="55"/>
      <c r="DV410" s="55"/>
      <c r="DW410" s="55"/>
      <c r="DX410" s="55"/>
      <c r="DY410" s="55"/>
      <c r="DZ410" s="55"/>
      <c r="EA410" s="55"/>
      <c r="EB410" s="55"/>
      <c r="EC410" s="55"/>
      <c r="ED410" s="55"/>
      <c r="EE410" s="55"/>
      <c r="EF410" s="55"/>
      <c r="EG410" s="55"/>
      <c r="EH410" s="55"/>
      <c r="EI410" s="55"/>
      <c r="EJ410" s="55"/>
      <c r="EK410" s="55"/>
      <c r="EL410" s="55"/>
      <c r="EM410" s="55"/>
      <c r="EN410" s="55"/>
      <c r="EO410" s="55"/>
      <c r="EP410" s="55"/>
      <c r="EQ410" s="55"/>
      <c r="ER410" s="55"/>
      <c r="ES410" s="55"/>
      <c r="ET410" s="55"/>
      <c r="EU410" s="55"/>
      <c r="EV410" s="55"/>
      <c r="EW410" s="55"/>
      <c r="EX410" s="55"/>
      <c r="EY410" s="55"/>
      <c r="EZ410" s="55"/>
      <c r="FA410" s="55"/>
      <c r="FB410" s="55"/>
      <c r="FC410" s="55"/>
      <c r="FD410" s="55"/>
      <c r="FE410" s="55"/>
      <c r="FF410" s="55"/>
      <c r="FG410" s="55"/>
      <c r="FH410" s="55"/>
      <c r="FI410" s="55"/>
      <c r="FJ410" s="55"/>
      <c r="FK410" s="55"/>
      <c r="FL410" s="55"/>
      <c r="FM410" s="55"/>
      <c r="FN410" s="55"/>
      <c r="FO410" s="55"/>
      <c r="FP410" s="55"/>
      <c r="FQ410" s="55"/>
      <c r="FR410" s="55"/>
      <c r="FS410" s="55"/>
      <c r="FT410" s="55"/>
      <c r="FU410" s="55"/>
      <c r="FV410" s="55"/>
      <c r="FW410" s="55"/>
      <c r="FX410" s="55"/>
      <c r="FY410" s="55"/>
      <c r="FZ410" s="55"/>
      <c r="GA410" s="55"/>
      <c r="GB410" s="55"/>
      <c r="GC410" s="55"/>
      <c r="GD410" s="55"/>
      <c r="GE410" s="55"/>
      <c r="GF410" s="55"/>
      <c r="GG410" s="55"/>
      <c r="GH410" s="55"/>
      <c r="GI410" s="55"/>
      <c r="GJ410" s="55"/>
      <c r="GK410" s="55"/>
      <c r="GL410" s="55"/>
      <c r="GM410" s="55"/>
      <c r="GN410" s="55"/>
      <c r="GO410" s="55"/>
      <c r="GP410" s="55"/>
      <c r="GQ410" s="55"/>
      <c r="GR410" s="55"/>
      <c r="GS410" s="55"/>
      <c r="GT410" s="55"/>
      <c r="GU410" s="55"/>
      <c r="GV410" s="55"/>
      <c r="GW410" s="55"/>
      <c r="GX410" s="55"/>
      <c r="GY410" s="55"/>
      <c r="GZ410" s="55"/>
      <c r="HA410" s="55"/>
      <c r="HB410" s="55"/>
      <c r="HC410" s="55"/>
      <c r="HD410" s="55"/>
      <c r="HE410" s="55"/>
      <c r="HF410" s="55"/>
      <c r="HG410" s="55"/>
      <c r="HH410" s="55"/>
      <c r="HI410" s="55"/>
      <c r="HJ410" s="55"/>
      <c r="HK410" s="55"/>
      <c r="HL410" s="55"/>
      <c r="HM410" s="55"/>
      <c r="HN410" s="55"/>
      <c r="HO410" s="55"/>
      <c r="HP410" s="55"/>
      <c r="HQ410" s="55"/>
      <c r="HR410" s="55"/>
      <c r="HS410" s="55"/>
      <c r="HT410" s="55"/>
      <c r="HU410" s="55"/>
      <c r="HV410" s="55"/>
      <c r="HW410" s="55"/>
      <c r="HX410" s="55"/>
      <c r="HY410" s="55"/>
      <c r="HZ410" s="55"/>
      <c r="IA410" s="55"/>
      <c r="IB410" s="55"/>
      <c r="IC410" s="55"/>
      <c r="ID410" s="55"/>
    </row>
    <row r="411" s="52" customFormat="1" ht="26" customHeight="1" spans="1:238">
      <c r="A411" s="64"/>
      <c r="B411" s="64"/>
      <c r="C411" s="64"/>
      <c r="D411" s="122"/>
      <c r="E411" s="64"/>
      <c r="F411" s="64"/>
      <c r="G411" s="64"/>
      <c r="H411" s="78"/>
      <c r="I411" s="78"/>
      <c r="J411" s="83"/>
      <c r="K411" s="83"/>
      <c r="L411" s="83"/>
      <c r="M411" s="41"/>
      <c r="N411" s="41"/>
      <c r="O411" s="41"/>
      <c r="P411" s="64"/>
      <c r="Q411" s="64"/>
      <c r="R411" s="64"/>
      <c r="S411" s="83"/>
      <c r="T411" s="77"/>
      <c r="U411" s="105" t="s">
        <v>1625</v>
      </c>
      <c r="V411" s="105">
        <v>330409002</v>
      </c>
      <c r="W411" s="106" t="s">
        <v>1626</v>
      </c>
      <c r="X411" s="105"/>
      <c r="Y411" s="105"/>
      <c r="Z411" s="105" t="s">
        <v>36</v>
      </c>
      <c r="AA411" s="110" t="s">
        <v>35</v>
      </c>
      <c r="AB411" s="50">
        <v>1350</v>
      </c>
      <c r="AC411" s="50">
        <v>1220</v>
      </c>
      <c r="AD411" s="50">
        <v>1040</v>
      </c>
      <c r="AE411" s="112" t="s">
        <v>37</v>
      </c>
      <c r="AF411" s="60"/>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c r="BM411" s="55"/>
      <c r="BN411" s="55"/>
      <c r="BO411" s="55"/>
      <c r="BP411" s="55"/>
      <c r="BQ411" s="55"/>
      <c r="BR411" s="55"/>
      <c r="BS411" s="55"/>
      <c r="BT411" s="55"/>
      <c r="BU411" s="55"/>
      <c r="BV411" s="55"/>
      <c r="BW411" s="55"/>
      <c r="BX411" s="55"/>
      <c r="BY411" s="55"/>
      <c r="BZ411" s="55"/>
      <c r="CA411" s="55"/>
      <c r="CB411" s="55"/>
      <c r="CC411" s="55"/>
      <c r="CD411" s="55"/>
      <c r="CE411" s="55"/>
      <c r="CF411" s="55"/>
      <c r="CG411" s="55"/>
      <c r="CH411" s="55"/>
      <c r="CI411" s="55"/>
      <c r="CJ411" s="55"/>
      <c r="CK411" s="55"/>
      <c r="CL411" s="55"/>
      <c r="CM411" s="55"/>
      <c r="CN411" s="55"/>
      <c r="CO411" s="55"/>
      <c r="CP411" s="55"/>
      <c r="CQ411" s="55"/>
      <c r="CR411" s="55"/>
      <c r="CS411" s="55"/>
      <c r="CT411" s="55"/>
      <c r="CU411" s="55"/>
      <c r="CV411" s="55"/>
      <c r="CW411" s="55"/>
      <c r="CX411" s="55"/>
      <c r="CY411" s="55"/>
      <c r="CZ411" s="55"/>
      <c r="DA411" s="55"/>
      <c r="DB411" s="55"/>
      <c r="DC411" s="55"/>
      <c r="DD411" s="55"/>
      <c r="DE411" s="55"/>
      <c r="DF411" s="55"/>
      <c r="DG411" s="55"/>
      <c r="DH411" s="55"/>
      <c r="DI411" s="55"/>
      <c r="DJ411" s="55"/>
      <c r="DK411" s="55"/>
      <c r="DL411" s="55"/>
      <c r="DM411" s="55"/>
      <c r="DN411" s="55"/>
      <c r="DO411" s="55"/>
      <c r="DP411" s="55"/>
      <c r="DQ411" s="55"/>
      <c r="DR411" s="55"/>
      <c r="DS411" s="55"/>
      <c r="DT411" s="55"/>
      <c r="DU411" s="55"/>
      <c r="DV411" s="55"/>
      <c r="DW411" s="55"/>
      <c r="DX411" s="55"/>
      <c r="DY411" s="55"/>
      <c r="DZ411" s="55"/>
      <c r="EA411" s="55"/>
      <c r="EB411" s="55"/>
      <c r="EC411" s="55"/>
      <c r="ED411" s="55"/>
      <c r="EE411" s="55"/>
      <c r="EF411" s="55"/>
      <c r="EG411" s="55"/>
      <c r="EH411" s="55"/>
      <c r="EI411" s="55"/>
      <c r="EJ411" s="55"/>
      <c r="EK411" s="55"/>
      <c r="EL411" s="55"/>
      <c r="EM411" s="55"/>
      <c r="EN411" s="55"/>
      <c r="EO411" s="55"/>
      <c r="EP411" s="55"/>
      <c r="EQ411" s="55"/>
      <c r="ER411" s="55"/>
      <c r="ES411" s="55"/>
      <c r="ET411" s="55"/>
      <c r="EU411" s="55"/>
      <c r="EV411" s="55"/>
      <c r="EW411" s="55"/>
      <c r="EX411" s="55"/>
      <c r="EY411" s="55"/>
      <c r="EZ411" s="55"/>
      <c r="FA411" s="55"/>
      <c r="FB411" s="55"/>
      <c r="FC411" s="55"/>
      <c r="FD411" s="55"/>
      <c r="FE411" s="55"/>
      <c r="FF411" s="55"/>
      <c r="FG411" s="55"/>
      <c r="FH411" s="55"/>
      <c r="FI411" s="55"/>
      <c r="FJ411" s="55"/>
      <c r="FK411" s="55"/>
      <c r="FL411" s="55"/>
      <c r="FM411" s="55"/>
      <c r="FN411" s="55"/>
      <c r="FO411" s="55"/>
      <c r="FP411" s="55"/>
      <c r="FQ411" s="55"/>
      <c r="FR411" s="55"/>
      <c r="FS411" s="55"/>
      <c r="FT411" s="55"/>
      <c r="FU411" s="55"/>
      <c r="FV411" s="55"/>
      <c r="FW411" s="55"/>
      <c r="FX411" s="55"/>
      <c r="FY411" s="55"/>
      <c r="FZ411" s="55"/>
      <c r="GA411" s="55"/>
      <c r="GB411" s="55"/>
      <c r="GC411" s="55"/>
      <c r="GD411" s="55"/>
      <c r="GE411" s="55"/>
      <c r="GF411" s="55"/>
      <c r="GG411" s="55"/>
      <c r="GH411" s="55"/>
      <c r="GI411" s="55"/>
      <c r="GJ411" s="55"/>
      <c r="GK411" s="55"/>
      <c r="GL411" s="55"/>
      <c r="GM411" s="55"/>
      <c r="GN411" s="55"/>
      <c r="GO411" s="55"/>
      <c r="GP411" s="55"/>
      <c r="GQ411" s="55"/>
      <c r="GR411" s="55"/>
      <c r="GS411" s="55"/>
      <c r="GT411" s="55"/>
      <c r="GU411" s="55"/>
      <c r="GV411" s="55"/>
      <c r="GW411" s="55"/>
      <c r="GX411" s="55"/>
      <c r="GY411" s="55"/>
      <c r="GZ411" s="55"/>
      <c r="HA411" s="55"/>
      <c r="HB411" s="55"/>
      <c r="HC411" s="55"/>
      <c r="HD411" s="55"/>
      <c r="HE411" s="55"/>
      <c r="HF411" s="55"/>
      <c r="HG411" s="55"/>
      <c r="HH411" s="55"/>
      <c r="HI411" s="55"/>
      <c r="HJ411" s="55"/>
      <c r="HK411" s="55"/>
      <c r="HL411" s="55"/>
      <c r="HM411" s="55"/>
      <c r="HN411" s="55"/>
      <c r="HO411" s="55"/>
      <c r="HP411" s="55"/>
      <c r="HQ411" s="55"/>
      <c r="HR411" s="55"/>
      <c r="HS411" s="55"/>
      <c r="HT411" s="55"/>
      <c r="HU411" s="55"/>
      <c r="HV411" s="55"/>
      <c r="HW411" s="55"/>
      <c r="HX411" s="55"/>
      <c r="HY411" s="55"/>
      <c r="HZ411" s="55"/>
      <c r="IA411" s="55"/>
      <c r="IB411" s="55"/>
      <c r="IC411" s="55"/>
      <c r="ID411" s="55"/>
    </row>
    <row r="412" s="52" customFormat="1" ht="26" customHeight="1" spans="1:238">
      <c r="A412" s="64"/>
      <c r="B412" s="64"/>
      <c r="C412" s="64"/>
      <c r="D412" s="122"/>
      <c r="E412" s="64"/>
      <c r="F412" s="64"/>
      <c r="G412" s="64"/>
      <c r="H412" s="78"/>
      <c r="I412" s="78"/>
      <c r="J412" s="83"/>
      <c r="K412" s="83"/>
      <c r="L412" s="83"/>
      <c r="M412" s="41"/>
      <c r="N412" s="41"/>
      <c r="O412" s="41"/>
      <c r="P412" s="64"/>
      <c r="Q412" s="64"/>
      <c r="R412" s="64"/>
      <c r="S412" s="83"/>
      <c r="T412" s="77"/>
      <c r="U412" s="105" t="s">
        <v>1627</v>
      </c>
      <c r="V412" s="105">
        <v>330409003</v>
      </c>
      <c r="W412" s="106" t="s">
        <v>1628</v>
      </c>
      <c r="X412" s="105"/>
      <c r="Y412" s="105"/>
      <c r="Z412" s="105" t="s">
        <v>36</v>
      </c>
      <c r="AA412" s="110" t="s">
        <v>35</v>
      </c>
      <c r="AB412" s="50">
        <v>875</v>
      </c>
      <c r="AC412" s="50">
        <v>840</v>
      </c>
      <c r="AD412" s="50">
        <v>714</v>
      </c>
      <c r="AE412" s="112" t="s">
        <v>37</v>
      </c>
      <c r="AF412" s="60"/>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c r="BM412" s="55"/>
      <c r="BN412" s="55"/>
      <c r="BO412" s="55"/>
      <c r="BP412" s="55"/>
      <c r="BQ412" s="55"/>
      <c r="BR412" s="55"/>
      <c r="BS412" s="55"/>
      <c r="BT412" s="55"/>
      <c r="BU412" s="55"/>
      <c r="BV412" s="55"/>
      <c r="BW412" s="55"/>
      <c r="BX412" s="55"/>
      <c r="BY412" s="55"/>
      <c r="BZ412" s="55"/>
      <c r="CA412" s="55"/>
      <c r="CB412" s="55"/>
      <c r="CC412" s="55"/>
      <c r="CD412" s="55"/>
      <c r="CE412" s="55"/>
      <c r="CF412" s="55"/>
      <c r="CG412" s="55"/>
      <c r="CH412" s="55"/>
      <c r="CI412" s="55"/>
      <c r="CJ412" s="55"/>
      <c r="CK412" s="55"/>
      <c r="CL412" s="55"/>
      <c r="CM412" s="55"/>
      <c r="CN412" s="55"/>
      <c r="CO412" s="55"/>
      <c r="CP412" s="55"/>
      <c r="CQ412" s="55"/>
      <c r="CR412" s="55"/>
      <c r="CS412" s="55"/>
      <c r="CT412" s="55"/>
      <c r="CU412" s="55"/>
      <c r="CV412" s="55"/>
      <c r="CW412" s="55"/>
      <c r="CX412" s="55"/>
      <c r="CY412" s="55"/>
      <c r="CZ412" s="55"/>
      <c r="DA412" s="55"/>
      <c r="DB412" s="55"/>
      <c r="DC412" s="55"/>
      <c r="DD412" s="55"/>
      <c r="DE412" s="55"/>
      <c r="DF412" s="55"/>
      <c r="DG412" s="55"/>
      <c r="DH412" s="55"/>
      <c r="DI412" s="55"/>
      <c r="DJ412" s="55"/>
      <c r="DK412" s="55"/>
      <c r="DL412" s="55"/>
      <c r="DM412" s="55"/>
      <c r="DN412" s="55"/>
      <c r="DO412" s="55"/>
      <c r="DP412" s="55"/>
      <c r="DQ412" s="55"/>
      <c r="DR412" s="55"/>
      <c r="DS412" s="55"/>
      <c r="DT412" s="55"/>
      <c r="DU412" s="55"/>
      <c r="DV412" s="55"/>
      <c r="DW412" s="55"/>
      <c r="DX412" s="55"/>
      <c r="DY412" s="55"/>
      <c r="DZ412" s="55"/>
      <c r="EA412" s="55"/>
      <c r="EB412" s="55"/>
      <c r="EC412" s="55"/>
      <c r="ED412" s="55"/>
      <c r="EE412" s="55"/>
      <c r="EF412" s="55"/>
      <c r="EG412" s="55"/>
      <c r="EH412" s="55"/>
      <c r="EI412" s="55"/>
      <c r="EJ412" s="55"/>
      <c r="EK412" s="55"/>
      <c r="EL412" s="55"/>
      <c r="EM412" s="55"/>
      <c r="EN412" s="55"/>
      <c r="EO412" s="55"/>
      <c r="EP412" s="55"/>
      <c r="EQ412" s="55"/>
      <c r="ER412" s="55"/>
      <c r="ES412" s="55"/>
      <c r="ET412" s="55"/>
      <c r="EU412" s="55"/>
      <c r="EV412" s="55"/>
      <c r="EW412" s="55"/>
      <c r="EX412" s="55"/>
      <c r="EY412" s="55"/>
      <c r="EZ412" s="55"/>
      <c r="FA412" s="55"/>
      <c r="FB412" s="55"/>
      <c r="FC412" s="55"/>
      <c r="FD412" s="55"/>
      <c r="FE412" s="55"/>
      <c r="FF412" s="55"/>
      <c r="FG412" s="55"/>
      <c r="FH412" s="55"/>
      <c r="FI412" s="55"/>
      <c r="FJ412" s="55"/>
      <c r="FK412" s="55"/>
      <c r="FL412" s="55"/>
      <c r="FM412" s="55"/>
      <c r="FN412" s="55"/>
      <c r="FO412" s="55"/>
      <c r="FP412" s="55"/>
      <c r="FQ412" s="55"/>
      <c r="FR412" s="55"/>
      <c r="FS412" s="55"/>
      <c r="FT412" s="55"/>
      <c r="FU412" s="55"/>
      <c r="FV412" s="55"/>
      <c r="FW412" s="55"/>
      <c r="FX412" s="55"/>
      <c r="FY412" s="55"/>
      <c r="FZ412" s="55"/>
      <c r="GA412" s="55"/>
      <c r="GB412" s="55"/>
      <c r="GC412" s="55"/>
      <c r="GD412" s="55"/>
      <c r="GE412" s="55"/>
      <c r="GF412" s="55"/>
      <c r="GG412" s="55"/>
      <c r="GH412" s="55"/>
      <c r="GI412" s="55"/>
      <c r="GJ412" s="55"/>
      <c r="GK412" s="55"/>
      <c r="GL412" s="55"/>
      <c r="GM412" s="55"/>
      <c r="GN412" s="55"/>
      <c r="GO412" s="55"/>
      <c r="GP412" s="55"/>
      <c r="GQ412" s="55"/>
      <c r="GR412" s="55"/>
      <c r="GS412" s="55"/>
      <c r="GT412" s="55"/>
      <c r="GU412" s="55"/>
      <c r="GV412" s="55"/>
      <c r="GW412" s="55"/>
      <c r="GX412" s="55"/>
      <c r="GY412" s="55"/>
      <c r="GZ412" s="55"/>
      <c r="HA412" s="55"/>
      <c r="HB412" s="55"/>
      <c r="HC412" s="55"/>
      <c r="HD412" s="55"/>
      <c r="HE412" s="55"/>
      <c r="HF412" s="55"/>
      <c r="HG412" s="55"/>
      <c r="HH412" s="55"/>
      <c r="HI412" s="55"/>
      <c r="HJ412" s="55"/>
      <c r="HK412" s="55"/>
      <c r="HL412" s="55"/>
      <c r="HM412" s="55"/>
      <c r="HN412" s="55"/>
      <c r="HO412" s="55"/>
      <c r="HP412" s="55"/>
      <c r="HQ412" s="55"/>
      <c r="HR412" s="55"/>
      <c r="HS412" s="55"/>
      <c r="HT412" s="55"/>
      <c r="HU412" s="55"/>
      <c r="HV412" s="55"/>
      <c r="HW412" s="55"/>
      <c r="HX412" s="55"/>
      <c r="HY412" s="55"/>
      <c r="HZ412" s="55"/>
      <c r="IA412" s="55"/>
      <c r="IB412" s="55"/>
      <c r="IC412" s="55"/>
      <c r="ID412" s="55"/>
    </row>
    <row r="413" s="52" customFormat="1" ht="26" customHeight="1" spans="1:238">
      <c r="A413" s="64"/>
      <c r="B413" s="64"/>
      <c r="C413" s="64"/>
      <c r="D413" s="122"/>
      <c r="E413" s="64"/>
      <c r="F413" s="64"/>
      <c r="G413" s="64"/>
      <c r="H413" s="78"/>
      <c r="I413" s="78"/>
      <c r="J413" s="83"/>
      <c r="K413" s="83"/>
      <c r="L413" s="83"/>
      <c r="M413" s="41"/>
      <c r="N413" s="41"/>
      <c r="O413" s="41"/>
      <c r="P413" s="64"/>
      <c r="Q413" s="64"/>
      <c r="R413" s="64"/>
      <c r="S413" s="83"/>
      <c r="T413" s="77"/>
      <c r="U413" s="105" t="s">
        <v>1629</v>
      </c>
      <c r="V413" s="105">
        <v>310300073</v>
      </c>
      <c r="W413" s="106" t="s">
        <v>1630</v>
      </c>
      <c r="X413" s="105" t="s">
        <v>1631</v>
      </c>
      <c r="Y413" s="105"/>
      <c r="Z413" s="105" t="s">
        <v>36</v>
      </c>
      <c r="AA413" s="110" t="s">
        <v>35</v>
      </c>
      <c r="AB413" s="50">
        <v>63</v>
      </c>
      <c r="AC413" s="50">
        <v>60</v>
      </c>
      <c r="AD413" s="50">
        <v>51</v>
      </c>
      <c r="AE413" s="112" t="s">
        <v>37</v>
      </c>
      <c r="AF413" s="60"/>
      <c r="AG413" s="55"/>
      <c r="AH413" s="55"/>
      <c r="AI413" s="55"/>
      <c r="AJ413" s="55"/>
      <c r="AK413" s="55"/>
      <c r="AL413" s="55"/>
      <c r="AM413" s="55"/>
      <c r="AN413" s="55"/>
      <c r="AO413" s="55"/>
      <c r="AP413" s="55"/>
      <c r="AQ413" s="55"/>
      <c r="AR413" s="55"/>
      <c r="AS413" s="55"/>
      <c r="AT413" s="55"/>
      <c r="AU413" s="55"/>
      <c r="AV413" s="55"/>
      <c r="AW413" s="55"/>
      <c r="AX413" s="55"/>
      <c r="AY413" s="55"/>
      <c r="AZ413" s="55"/>
      <c r="BA413" s="55"/>
      <c r="BB413" s="55"/>
      <c r="BC413" s="55"/>
      <c r="BD413" s="55"/>
      <c r="BE413" s="55"/>
      <c r="BF413" s="55"/>
      <c r="BG413" s="55"/>
      <c r="BH413" s="55"/>
      <c r="BI413" s="55"/>
      <c r="BJ413" s="55"/>
      <c r="BK413" s="55"/>
      <c r="BL413" s="55"/>
      <c r="BM413" s="55"/>
      <c r="BN413" s="55"/>
      <c r="BO413" s="55"/>
      <c r="BP413" s="55"/>
      <c r="BQ413" s="55"/>
      <c r="BR413" s="55"/>
      <c r="BS413" s="55"/>
      <c r="BT413" s="55"/>
      <c r="BU413" s="55"/>
      <c r="BV413" s="55"/>
      <c r="BW413" s="55"/>
      <c r="BX413" s="55"/>
      <c r="BY413" s="55"/>
      <c r="BZ413" s="55"/>
      <c r="CA413" s="55"/>
      <c r="CB413" s="55"/>
      <c r="CC413" s="55"/>
      <c r="CD413" s="55"/>
      <c r="CE413" s="55"/>
      <c r="CF413" s="55"/>
      <c r="CG413" s="55"/>
      <c r="CH413" s="55"/>
      <c r="CI413" s="55"/>
      <c r="CJ413" s="55"/>
      <c r="CK413" s="55"/>
      <c r="CL413" s="55"/>
      <c r="CM413" s="55"/>
      <c r="CN413" s="55"/>
      <c r="CO413" s="55"/>
      <c r="CP413" s="55"/>
      <c r="CQ413" s="55"/>
      <c r="CR413" s="55"/>
      <c r="CS413" s="55"/>
      <c r="CT413" s="55"/>
      <c r="CU413" s="55"/>
      <c r="CV413" s="55"/>
      <c r="CW413" s="55"/>
      <c r="CX413" s="55"/>
      <c r="CY413" s="55"/>
      <c r="CZ413" s="55"/>
      <c r="DA413" s="55"/>
      <c r="DB413" s="55"/>
      <c r="DC413" s="55"/>
      <c r="DD413" s="55"/>
      <c r="DE413" s="55"/>
      <c r="DF413" s="55"/>
      <c r="DG413" s="55"/>
      <c r="DH413" s="55"/>
      <c r="DI413" s="55"/>
      <c r="DJ413" s="55"/>
      <c r="DK413" s="55"/>
      <c r="DL413" s="55"/>
      <c r="DM413" s="55"/>
      <c r="DN413" s="55"/>
      <c r="DO413" s="55"/>
      <c r="DP413" s="55"/>
      <c r="DQ413" s="55"/>
      <c r="DR413" s="55"/>
      <c r="DS413" s="55"/>
      <c r="DT413" s="55"/>
      <c r="DU413" s="55"/>
      <c r="DV413" s="55"/>
      <c r="DW413" s="55"/>
      <c r="DX413" s="55"/>
      <c r="DY413" s="55"/>
      <c r="DZ413" s="55"/>
      <c r="EA413" s="55"/>
      <c r="EB413" s="55"/>
      <c r="EC413" s="55"/>
      <c r="ED413" s="55"/>
      <c r="EE413" s="55"/>
      <c r="EF413" s="55"/>
      <c r="EG413" s="55"/>
      <c r="EH413" s="55"/>
      <c r="EI413" s="55"/>
      <c r="EJ413" s="55"/>
      <c r="EK413" s="55"/>
      <c r="EL413" s="55"/>
      <c r="EM413" s="55"/>
      <c r="EN413" s="55"/>
      <c r="EO413" s="55"/>
      <c r="EP413" s="55"/>
      <c r="EQ413" s="55"/>
      <c r="ER413" s="55"/>
      <c r="ES413" s="55"/>
      <c r="ET413" s="55"/>
      <c r="EU413" s="55"/>
      <c r="EV413" s="55"/>
      <c r="EW413" s="55"/>
      <c r="EX413" s="55"/>
      <c r="EY413" s="55"/>
      <c r="EZ413" s="55"/>
      <c r="FA413" s="55"/>
      <c r="FB413" s="55"/>
      <c r="FC413" s="55"/>
      <c r="FD413" s="55"/>
      <c r="FE413" s="55"/>
      <c r="FF413" s="55"/>
      <c r="FG413" s="55"/>
      <c r="FH413" s="55"/>
      <c r="FI413" s="55"/>
      <c r="FJ413" s="55"/>
      <c r="FK413" s="55"/>
      <c r="FL413" s="55"/>
      <c r="FM413" s="55"/>
      <c r="FN413" s="55"/>
      <c r="FO413" s="55"/>
      <c r="FP413" s="55"/>
      <c r="FQ413" s="55"/>
      <c r="FR413" s="55"/>
      <c r="FS413" s="55"/>
      <c r="FT413" s="55"/>
      <c r="FU413" s="55"/>
      <c r="FV413" s="55"/>
      <c r="FW413" s="55"/>
      <c r="FX413" s="55"/>
      <c r="FY413" s="55"/>
      <c r="FZ413" s="55"/>
      <c r="GA413" s="55"/>
      <c r="GB413" s="55"/>
      <c r="GC413" s="55"/>
      <c r="GD413" s="55"/>
      <c r="GE413" s="55"/>
      <c r="GF413" s="55"/>
      <c r="GG413" s="55"/>
      <c r="GH413" s="55"/>
      <c r="GI413" s="55"/>
      <c r="GJ413" s="55"/>
      <c r="GK413" s="55"/>
      <c r="GL413" s="55"/>
      <c r="GM413" s="55"/>
      <c r="GN413" s="55"/>
      <c r="GO413" s="55"/>
      <c r="GP413" s="55"/>
      <c r="GQ413" s="55"/>
      <c r="GR413" s="55"/>
      <c r="GS413" s="55"/>
      <c r="GT413" s="55"/>
      <c r="GU413" s="55"/>
      <c r="GV413" s="55"/>
      <c r="GW413" s="55"/>
      <c r="GX413" s="55"/>
      <c r="GY413" s="55"/>
      <c r="GZ413" s="55"/>
      <c r="HA413" s="55"/>
      <c r="HB413" s="55"/>
      <c r="HC413" s="55"/>
      <c r="HD413" s="55"/>
      <c r="HE413" s="55"/>
      <c r="HF413" s="55"/>
      <c r="HG413" s="55"/>
      <c r="HH413" s="55"/>
      <c r="HI413" s="55"/>
      <c r="HJ413" s="55"/>
      <c r="HK413" s="55"/>
      <c r="HL413" s="55"/>
      <c r="HM413" s="55"/>
      <c r="HN413" s="55"/>
      <c r="HO413" s="55"/>
      <c r="HP413" s="55"/>
      <c r="HQ413" s="55"/>
      <c r="HR413" s="55"/>
      <c r="HS413" s="55"/>
      <c r="HT413" s="55"/>
      <c r="HU413" s="55"/>
      <c r="HV413" s="55"/>
      <c r="HW413" s="55"/>
      <c r="HX413" s="55"/>
      <c r="HY413" s="55"/>
      <c r="HZ413" s="55"/>
      <c r="IA413" s="55"/>
      <c r="IB413" s="55"/>
      <c r="IC413" s="55"/>
      <c r="ID413" s="55"/>
    </row>
    <row r="414" s="52" customFormat="1" ht="25" customHeight="1" spans="1:238">
      <c r="A414" s="112" t="s">
        <v>95</v>
      </c>
      <c r="B414" s="112" t="s">
        <v>1632</v>
      </c>
      <c r="C414" s="64" t="s">
        <v>1633</v>
      </c>
      <c r="D414" s="65"/>
      <c r="E414" s="77"/>
      <c r="F414" s="77" t="s">
        <v>35</v>
      </c>
      <c r="G414" s="64" t="s">
        <v>110</v>
      </c>
      <c r="H414" s="78">
        <v>360</v>
      </c>
      <c r="I414" s="78">
        <v>324</v>
      </c>
      <c r="J414" s="83"/>
      <c r="K414" s="83"/>
      <c r="L414" s="83"/>
      <c r="M414" s="41">
        <v>345</v>
      </c>
      <c r="N414" s="41">
        <v>305</v>
      </c>
      <c r="O414" s="41">
        <v>260</v>
      </c>
      <c r="P414" s="64" t="s">
        <v>37</v>
      </c>
      <c r="Q414" s="64" t="s">
        <v>35</v>
      </c>
      <c r="R414" s="64" t="s">
        <v>35</v>
      </c>
      <c r="S414" s="83"/>
      <c r="T414" s="77" t="s">
        <v>186</v>
      </c>
      <c r="U414" s="105" t="s">
        <v>1634</v>
      </c>
      <c r="V414" s="105">
        <v>33040700301</v>
      </c>
      <c r="W414" s="106" t="s">
        <v>1635</v>
      </c>
      <c r="X414" s="105"/>
      <c r="Y414" s="105"/>
      <c r="Z414" s="105" t="s">
        <v>36</v>
      </c>
      <c r="AA414" s="110" t="s">
        <v>35</v>
      </c>
      <c r="AB414" s="50">
        <v>4015</v>
      </c>
      <c r="AC414" s="50">
        <v>3615</v>
      </c>
      <c r="AD414" s="50">
        <v>3075</v>
      </c>
      <c r="AE414" s="112" t="s">
        <v>37</v>
      </c>
      <c r="AF414" s="60"/>
      <c r="AG414" s="55"/>
      <c r="AH414" s="55"/>
      <c r="AI414" s="55"/>
      <c r="AJ414" s="55"/>
      <c r="AK414" s="55"/>
      <c r="AL414" s="55"/>
      <c r="AM414" s="55"/>
      <c r="AN414" s="55"/>
      <c r="AO414" s="55"/>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5"/>
      <c r="BM414" s="55"/>
      <c r="BN414" s="55"/>
      <c r="BO414" s="55"/>
      <c r="BP414" s="55"/>
      <c r="BQ414" s="55"/>
      <c r="BR414" s="55"/>
      <c r="BS414" s="55"/>
      <c r="BT414" s="55"/>
      <c r="BU414" s="55"/>
      <c r="BV414" s="55"/>
      <c r="BW414" s="55"/>
      <c r="BX414" s="55"/>
      <c r="BY414" s="55"/>
      <c r="BZ414" s="55"/>
      <c r="CA414" s="55"/>
      <c r="CB414" s="55"/>
      <c r="CC414" s="55"/>
      <c r="CD414" s="55"/>
      <c r="CE414" s="55"/>
      <c r="CF414" s="55"/>
      <c r="CG414" s="55"/>
      <c r="CH414" s="55"/>
      <c r="CI414" s="55"/>
      <c r="CJ414" s="55"/>
      <c r="CK414" s="55"/>
      <c r="CL414" s="55"/>
      <c r="CM414" s="55"/>
      <c r="CN414" s="55"/>
      <c r="CO414" s="55"/>
      <c r="CP414" s="55"/>
      <c r="CQ414" s="55"/>
      <c r="CR414" s="55"/>
      <c r="CS414" s="55"/>
      <c r="CT414" s="55"/>
      <c r="CU414" s="55"/>
      <c r="CV414" s="55"/>
      <c r="CW414" s="55"/>
      <c r="CX414" s="55"/>
      <c r="CY414" s="55"/>
      <c r="CZ414" s="55"/>
      <c r="DA414" s="55"/>
      <c r="DB414" s="55"/>
      <c r="DC414" s="55"/>
      <c r="DD414" s="55"/>
      <c r="DE414" s="55"/>
      <c r="DF414" s="55"/>
      <c r="DG414" s="55"/>
      <c r="DH414" s="55"/>
      <c r="DI414" s="55"/>
      <c r="DJ414" s="55"/>
      <c r="DK414" s="55"/>
      <c r="DL414" s="55"/>
      <c r="DM414" s="55"/>
      <c r="DN414" s="55"/>
      <c r="DO414" s="55"/>
      <c r="DP414" s="55"/>
      <c r="DQ414" s="55"/>
      <c r="DR414" s="55"/>
      <c r="DS414" s="55"/>
      <c r="DT414" s="55"/>
      <c r="DU414" s="55"/>
      <c r="DV414" s="55"/>
      <c r="DW414" s="55"/>
      <c r="DX414" s="55"/>
      <c r="DY414" s="55"/>
      <c r="DZ414" s="55"/>
      <c r="EA414" s="55"/>
      <c r="EB414" s="55"/>
      <c r="EC414" s="55"/>
      <c r="ED414" s="55"/>
      <c r="EE414" s="55"/>
      <c r="EF414" s="55"/>
      <c r="EG414" s="55"/>
      <c r="EH414" s="55"/>
      <c r="EI414" s="55"/>
      <c r="EJ414" s="55"/>
      <c r="EK414" s="55"/>
      <c r="EL414" s="55"/>
      <c r="EM414" s="55"/>
      <c r="EN414" s="55"/>
      <c r="EO414" s="55"/>
      <c r="EP414" s="55"/>
      <c r="EQ414" s="55"/>
      <c r="ER414" s="55"/>
      <c r="ES414" s="55"/>
      <c r="ET414" s="55"/>
      <c r="EU414" s="55"/>
      <c r="EV414" s="55"/>
      <c r="EW414" s="55"/>
      <c r="EX414" s="55"/>
      <c r="EY414" s="55"/>
      <c r="EZ414" s="55"/>
      <c r="FA414" s="55"/>
      <c r="FB414" s="55"/>
      <c r="FC414" s="55"/>
      <c r="FD414" s="55"/>
      <c r="FE414" s="55"/>
      <c r="FF414" s="55"/>
      <c r="FG414" s="55"/>
      <c r="FH414" s="55"/>
      <c r="FI414" s="55"/>
      <c r="FJ414" s="55"/>
      <c r="FK414" s="55"/>
      <c r="FL414" s="55"/>
      <c r="FM414" s="55"/>
      <c r="FN414" s="55"/>
      <c r="FO414" s="55"/>
      <c r="FP414" s="55"/>
      <c r="FQ414" s="55"/>
      <c r="FR414" s="55"/>
      <c r="FS414" s="55"/>
      <c r="FT414" s="55"/>
      <c r="FU414" s="55"/>
      <c r="FV414" s="55"/>
      <c r="FW414" s="55"/>
      <c r="FX414" s="55"/>
      <c r="FY414" s="55"/>
      <c r="FZ414" s="55"/>
      <c r="GA414" s="55"/>
      <c r="GB414" s="55"/>
      <c r="GC414" s="55"/>
      <c r="GD414" s="55"/>
      <c r="GE414" s="55"/>
      <c r="GF414" s="55"/>
      <c r="GG414" s="55"/>
      <c r="GH414" s="55"/>
      <c r="GI414" s="55"/>
      <c r="GJ414" s="55"/>
      <c r="GK414" s="55"/>
      <c r="GL414" s="55"/>
      <c r="GM414" s="55"/>
      <c r="GN414" s="55"/>
      <c r="GO414" s="55"/>
      <c r="GP414" s="55"/>
      <c r="GQ414" s="55"/>
      <c r="GR414" s="55"/>
      <c r="GS414" s="55"/>
      <c r="GT414" s="55"/>
      <c r="GU414" s="55"/>
      <c r="GV414" s="55"/>
      <c r="GW414" s="55"/>
      <c r="GX414" s="55"/>
      <c r="GY414" s="55"/>
      <c r="GZ414" s="55"/>
      <c r="HA414" s="55"/>
      <c r="HB414" s="55"/>
      <c r="HC414" s="55"/>
      <c r="HD414" s="55"/>
      <c r="HE414" s="55"/>
      <c r="HF414" s="55"/>
      <c r="HG414" s="55"/>
      <c r="HH414" s="55"/>
      <c r="HI414" s="55"/>
      <c r="HJ414" s="55"/>
      <c r="HK414" s="55"/>
      <c r="HL414" s="55"/>
      <c r="HM414" s="55"/>
      <c r="HN414" s="55"/>
      <c r="HO414" s="55"/>
      <c r="HP414" s="55"/>
      <c r="HQ414" s="55"/>
      <c r="HR414" s="55"/>
      <c r="HS414" s="55"/>
      <c r="HT414" s="55"/>
      <c r="HU414" s="55"/>
      <c r="HV414" s="55"/>
      <c r="HW414" s="55"/>
      <c r="HX414" s="55"/>
      <c r="HY414" s="55"/>
      <c r="HZ414" s="55"/>
      <c r="IA414" s="55"/>
      <c r="IB414" s="55"/>
      <c r="IC414" s="55"/>
      <c r="ID414" s="55"/>
    </row>
    <row r="415" s="55" customFormat="1" ht="25" customHeight="1" spans="1:32">
      <c r="A415" s="112"/>
      <c r="B415" s="112"/>
      <c r="C415" s="64"/>
      <c r="D415" s="65"/>
      <c r="E415" s="77"/>
      <c r="F415" s="77"/>
      <c r="G415" s="64"/>
      <c r="H415" s="42"/>
      <c r="I415" s="42"/>
      <c r="J415" s="83"/>
      <c r="K415" s="83"/>
      <c r="L415" s="83"/>
      <c r="M415" s="41"/>
      <c r="N415" s="41"/>
      <c r="O415" s="41"/>
      <c r="P415" s="64"/>
      <c r="Q415" s="64"/>
      <c r="R415" s="64"/>
      <c r="S415" s="83"/>
      <c r="T415" s="77"/>
      <c r="U415" s="105" t="s">
        <v>1636</v>
      </c>
      <c r="V415" s="105">
        <v>33040900101</v>
      </c>
      <c r="W415" s="106" t="s">
        <v>1637</v>
      </c>
      <c r="X415" s="105"/>
      <c r="Y415" s="105"/>
      <c r="Z415" s="105" t="s">
        <v>36</v>
      </c>
      <c r="AA415" s="110" t="s">
        <v>35</v>
      </c>
      <c r="AB415" s="50">
        <v>1140</v>
      </c>
      <c r="AC415" s="50">
        <v>1090</v>
      </c>
      <c r="AD415" s="50">
        <v>925</v>
      </c>
      <c r="AE415" s="112" t="s">
        <v>37</v>
      </c>
      <c r="AF415" s="60"/>
    </row>
    <row r="416" s="52" customFormat="1" ht="25" customHeight="1" spans="1:238">
      <c r="A416" s="112"/>
      <c r="B416" s="112"/>
      <c r="C416" s="64"/>
      <c r="D416" s="65"/>
      <c r="E416" s="77"/>
      <c r="F416" s="77"/>
      <c r="G416" s="64"/>
      <c r="H416" s="42"/>
      <c r="I416" s="42"/>
      <c r="J416" s="83"/>
      <c r="K416" s="83"/>
      <c r="L416" s="83"/>
      <c r="M416" s="41"/>
      <c r="N416" s="41"/>
      <c r="O416" s="41"/>
      <c r="P416" s="64"/>
      <c r="Q416" s="64"/>
      <c r="R416" s="64"/>
      <c r="S416" s="83"/>
      <c r="T416" s="77"/>
      <c r="U416" s="105" t="s">
        <v>1638</v>
      </c>
      <c r="V416" s="105">
        <v>33040900201</v>
      </c>
      <c r="W416" s="106" t="s">
        <v>1639</v>
      </c>
      <c r="X416" s="105"/>
      <c r="Y416" s="105"/>
      <c r="Z416" s="105" t="s">
        <v>36</v>
      </c>
      <c r="AA416" s="110" t="s">
        <v>35</v>
      </c>
      <c r="AB416" s="50">
        <v>1755</v>
      </c>
      <c r="AC416" s="50">
        <v>1585</v>
      </c>
      <c r="AD416" s="50">
        <v>1345</v>
      </c>
      <c r="AE416" s="112" t="s">
        <v>37</v>
      </c>
      <c r="AF416" s="60"/>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c r="BM416" s="55"/>
      <c r="BN416" s="55"/>
      <c r="BO416" s="55"/>
      <c r="BP416" s="55"/>
      <c r="BQ416" s="55"/>
      <c r="BR416" s="55"/>
      <c r="BS416" s="55"/>
      <c r="BT416" s="55"/>
      <c r="BU416" s="55"/>
      <c r="BV416" s="55"/>
      <c r="BW416" s="55"/>
      <c r="BX416" s="55"/>
      <c r="BY416" s="55"/>
      <c r="BZ416" s="55"/>
      <c r="CA416" s="55"/>
      <c r="CB416" s="55"/>
      <c r="CC416" s="55"/>
      <c r="CD416" s="55"/>
      <c r="CE416" s="55"/>
      <c r="CF416" s="55"/>
      <c r="CG416" s="55"/>
      <c r="CH416" s="55"/>
      <c r="CI416" s="55"/>
      <c r="CJ416" s="55"/>
      <c r="CK416" s="55"/>
      <c r="CL416" s="55"/>
      <c r="CM416" s="55"/>
      <c r="CN416" s="55"/>
      <c r="CO416" s="55"/>
      <c r="CP416" s="55"/>
      <c r="CQ416" s="55"/>
      <c r="CR416" s="55"/>
      <c r="CS416" s="55"/>
      <c r="CT416" s="55"/>
      <c r="CU416" s="55"/>
      <c r="CV416" s="55"/>
      <c r="CW416" s="55"/>
      <c r="CX416" s="55"/>
      <c r="CY416" s="55"/>
      <c r="CZ416" s="55"/>
      <c r="DA416" s="55"/>
      <c r="DB416" s="55"/>
      <c r="DC416" s="55"/>
      <c r="DD416" s="55"/>
      <c r="DE416" s="55"/>
      <c r="DF416" s="55"/>
      <c r="DG416" s="55"/>
      <c r="DH416" s="55"/>
      <c r="DI416" s="55"/>
      <c r="DJ416" s="55"/>
      <c r="DK416" s="55"/>
      <c r="DL416" s="55"/>
      <c r="DM416" s="55"/>
      <c r="DN416" s="55"/>
      <c r="DO416" s="55"/>
      <c r="DP416" s="55"/>
      <c r="DQ416" s="55"/>
      <c r="DR416" s="55"/>
      <c r="DS416" s="55"/>
      <c r="DT416" s="55"/>
      <c r="DU416" s="55"/>
      <c r="DV416" s="55"/>
      <c r="DW416" s="55"/>
      <c r="DX416" s="55"/>
      <c r="DY416" s="55"/>
      <c r="DZ416" s="55"/>
      <c r="EA416" s="55"/>
      <c r="EB416" s="55"/>
      <c r="EC416" s="55"/>
      <c r="ED416" s="55"/>
      <c r="EE416" s="55"/>
      <c r="EF416" s="55"/>
      <c r="EG416" s="55"/>
      <c r="EH416" s="55"/>
      <c r="EI416" s="55"/>
      <c r="EJ416" s="55"/>
      <c r="EK416" s="55"/>
      <c r="EL416" s="55"/>
      <c r="EM416" s="55"/>
      <c r="EN416" s="55"/>
      <c r="EO416" s="55"/>
      <c r="EP416" s="55"/>
      <c r="EQ416" s="55"/>
      <c r="ER416" s="55"/>
      <c r="ES416" s="55"/>
      <c r="ET416" s="55"/>
      <c r="EU416" s="55"/>
      <c r="EV416" s="55"/>
      <c r="EW416" s="55"/>
      <c r="EX416" s="55"/>
      <c r="EY416" s="55"/>
      <c r="EZ416" s="55"/>
      <c r="FA416" s="55"/>
      <c r="FB416" s="55"/>
      <c r="FC416" s="55"/>
      <c r="FD416" s="55"/>
      <c r="FE416" s="55"/>
      <c r="FF416" s="55"/>
      <c r="FG416" s="55"/>
      <c r="FH416" s="55"/>
      <c r="FI416" s="55"/>
      <c r="FJ416" s="55"/>
      <c r="FK416" s="55"/>
      <c r="FL416" s="55"/>
      <c r="FM416" s="55"/>
      <c r="FN416" s="55"/>
      <c r="FO416" s="55"/>
      <c r="FP416" s="55"/>
      <c r="FQ416" s="55"/>
      <c r="FR416" s="55"/>
      <c r="FS416" s="55"/>
      <c r="FT416" s="55"/>
      <c r="FU416" s="55"/>
      <c r="FV416" s="55"/>
      <c r="FW416" s="55"/>
      <c r="FX416" s="55"/>
      <c r="FY416" s="55"/>
      <c r="FZ416" s="55"/>
      <c r="GA416" s="55"/>
      <c r="GB416" s="55"/>
      <c r="GC416" s="55"/>
      <c r="GD416" s="55"/>
      <c r="GE416" s="55"/>
      <c r="GF416" s="55"/>
      <c r="GG416" s="55"/>
      <c r="GH416" s="55"/>
      <c r="GI416" s="55"/>
      <c r="GJ416" s="55"/>
      <c r="GK416" s="55"/>
      <c r="GL416" s="55"/>
      <c r="GM416" s="55"/>
      <c r="GN416" s="55"/>
      <c r="GO416" s="55"/>
      <c r="GP416" s="55"/>
      <c r="GQ416" s="55"/>
      <c r="GR416" s="55"/>
      <c r="GS416" s="55"/>
      <c r="GT416" s="55"/>
      <c r="GU416" s="55"/>
      <c r="GV416" s="55"/>
      <c r="GW416" s="55"/>
      <c r="GX416" s="55"/>
      <c r="GY416" s="55"/>
      <c r="GZ416" s="55"/>
      <c r="HA416" s="55"/>
      <c r="HB416" s="55"/>
      <c r="HC416" s="55"/>
      <c r="HD416" s="55"/>
      <c r="HE416" s="55"/>
      <c r="HF416" s="55"/>
      <c r="HG416" s="55"/>
      <c r="HH416" s="55"/>
      <c r="HI416" s="55"/>
      <c r="HJ416" s="55"/>
      <c r="HK416" s="55"/>
      <c r="HL416" s="55"/>
      <c r="HM416" s="55"/>
      <c r="HN416" s="55"/>
      <c r="HO416" s="55"/>
      <c r="HP416" s="55"/>
      <c r="HQ416" s="55"/>
      <c r="HR416" s="55"/>
      <c r="HS416" s="55"/>
      <c r="HT416" s="55"/>
      <c r="HU416" s="55"/>
      <c r="HV416" s="55"/>
      <c r="HW416" s="55"/>
      <c r="HX416" s="55"/>
      <c r="HY416" s="55"/>
      <c r="HZ416" s="55"/>
      <c r="IA416" s="55"/>
      <c r="IB416" s="55"/>
      <c r="IC416" s="55"/>
      <c r="ID416" s="55"/>
    </row>
    <row r="417" customFormat="1" ht="25" customHeight="1" spans="1:32">
      <c r="A417" s="112"/>
      <c r="B417" s="112"/>
      <c r="C417" s="64"/>
      <c r="D417" s="65"/>
      <c r="E417" s="77"/>
      <c r="F417" s="77"/>
      <c r="G417" s="64"/>
      <c r="H417" s="42"/>
      <c r="I417" s="42"/>
      <c r="J417" s="83"/>
      <c r="K417" s="83"/>
      <c r="L417" s="83"/>
      <c r="M417" s="41"/>
      <c r="N417" s="41"/>
      <c r="O417" s="41"/>
      <c r="P417" s="64"/>
      <c r="Q417" s="64"/>
      <c r="R417" s="64"/>
      <c r="S417" s="83"/>
      <c r="T417" s="77"/>
      <c r="U417" s="105" t="s">
        <v>1640</v>
      </c>
      <c r="V417" s="105">
        <v>33040900301</v>
      </c>
      <c r="W417" s="106" t="s">
        <v>1641</v>
      </c>
      <c r="X417" s="105"/>
      <c r="Y417" s="105"/>
      <c r="Z417" s="105" t="s">
        <v>36</v>
      </c>
      <c r="AA417" s="110" t="s">
        <v>35</v>
      </c>
      <c r="AB417" s="50">
        <v>1140</v>
      </c>
      <c r="AC417" s="50">
        <v>1090</v>
      </c>
      <c r="AD417" s="50">
        <v>925</v>
      </c>
      <c r="AE417" s="112" t="s">
        <v>37</v>
      </c>
      <c r="AF417" s="149"/>
    </row>
    <row r="418" s="55" customFormat="1" ht="25" customHeight="1" spans="1:32">
      <c r="A418" s="112"/>
      <c r="B418" s="112"/>
      <c r="C418" s="64"/>
      <c r="D418" s="65"/>
      <c r="E418" s="77"/>
      <c r="F418" s="77"/>
      <c r="G418" s="64"/>
      <c r="H418" s="42"/>
      <c r="I418" s="42"/>
      <c r="J418" s="83"/>
      <c r="K418" s="83"/>
      <c r="L418" s="83"/>
      <c r="M418" s="41"/>
      <c r="N418" s="41"/>
      <c r="O418" s="41"/>
      <c r="P418" s="64"/>
      <c r="Q418" s="64"/>
      <c r="R418" s="64"/>
      <c r="S418" s="83"/>
      <c r="T418" s="77"/>
      <c r="U418" s="105" t="s">
        <v>1629</v>
      </c>
      <c r="V418" s="105">
        <v>310300073</v>
      </c>
      <c r="W418" s="106" t="s">
        <v>1630</v>
      </c>
      <c r="X418" s="105" t="s">
        <v>1631</v>
      </c>
      <c r="Y418" s="105"/>
      <c r="Z418" s="105" t="s">
        <v>36</v>
      </c>
      <c r="AA418" s="110" t="s">
        <v>35</v>
      </c>
      <c r="AB418" s="50">
        <v>63</v>
      </c>
      <c r="AC418" s="50">
        <v>60</v>
      </c>
      <c r="AD418" s="50">
        <v>51</v>
      </c>
      <c r="AE418" s="112" t="s">
        <v>37</v>
      </c>
      <c r="AF418" s="60"/>
    </row>
    <row r="419" s="52" customFormat="1" ht="27" customHeight="1" spans="1:238">
      <c r="A419" s="112">
        <v>111</v>
      </c>
      <c r="B419" s="112" t="s">
        <v>1642</v>
      </c>
      <c r="C419" s="64" t="s">
        <v>1643</v>
      </c>
      <c r="D419" s="65" t="s">
        <v>1644</v>
      </c>
      <c r="E419" s="77" t="s">
        <v>1645</v>
      </c>
      <c r="F419" s="77" t="s">
        <v>35</v>
      </c>
      <c r="G419" s="64" t="s">
        <v>110</v>
      </c>
      <c r="H419" s="78">
        <v>630</v>
      </c>
      <c r="I419" s="78">
        <v>567</v>
      </c>
      <c r="J419" s="83">
        <v>625</v>
      </c>
      <c r="K419" s="125">
        <v>605</v>
      </c>
      <c r="L419" s="83"/>
      <c r="M419" s="41">
        <v>625</v>
      </c>
      <c r="N419" s="89">
        <v>565</v>
      </c>
      <c r="O419" s="41">
        <v>480</v>
      </c>
      <c r="P419" s="64" t="s">
        <v>37</v>
      </c>
      <c r="Q419" s="64" t="s">
        <v>35</v>
      </c>
      <c r="R419" s="64" t="s">
        <v>35</v>
      </c>
      <c r="S419" s="83" t="s">
        <v>38</v>
      </c>
      <c r="T419" s="77" t="s">
        <v>1646</v>
      </c>
      <c r="U419" s="105" t="s">
        <v>1647</v>
      </c>
      <c r="V419" s="105">
        <v>330409017</v>
      </c>
      <c r="W419" s="106" t="s">
        <v>1648</v>
      </c>
      <c r="X419" s="105"/>
      <c r="Y419" s="105" t="s">
        <v>1525</v>
      </c>
      <c r="Z419" s="105" t="s">
        <v>36</v>
      </c>
      <c r="AA419" s="110" t="s">
        <v>35</v>
      </c>
      <c r="AB419" s="50">
        <v>625</v>
      </c>
      <c r="AC419" s="50">
        <v>600</v>
      </c>
      <c r="AD419" s="50">
        <v>510</v>
      </c>
      <c r="AE419" s="112" t="s">
        <v>37</v>
      </c>
      <c r="AF419" s="60"/>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c r="BM419" s="55"/>
      <c r="BN419" s="55"/>
      <c r="BO419" s="55"/>
      <c r="BP419" s="55"/>
      <c r="BQ419" s="55"/>
      <c r="BR419" s="55"/>
      <c r="BS419" s="55"/>
      <c r="BT419" s="55"/>
      <c r="BU419" s="55"/>
      <c r="BV419" s="55"/>
      <c r="BW419" s="55"/>
      <c r="BX419" s="55"/>
      <c r="BY419" s="55"/>
      <c r="BZ419" s="55"/>
      <c r="CA419" s="55"/>
      <c r="CB419" s="55"/>
      <c r="CC419" s="55"/>
      <c r="CD419" s="55"/>
      <c r="CE419" s="55"/>
      <c r="CF419" s="55"/>
      <c r="CG419" s="55"/>
      <c r="CH419" s="55"/>
      <c r="CI419" s="55"/>
      <c r="CJ419" s="55"/>
      <c r="CK419" s="55"/>
      <c r="CL419" s="55"/>
      <c r="CM419" s="55"/>
      <c r="CN419" s="55"/>
      <c r="CO419" s="55"/>
      <c r="CP419" s="55"/>
      <c r="CQ419" s="55"/>
      <c r="CR419" s="55"/>
      <c r="CS419" s="55"/>
      <c r="CT419" s="55"/>
      <c r="CU419" s="55"/>
      <c r="CV419" s="55"/>
      <c r="CW419" s="55"/>
      <c r="CX419" s="55"/>
      <c r="CY419" s="55"/>
      <c r="CZ419" s="55"/>
      <c r="DA419" s="55"/>
      <c r="DB419" s="55"/>
      <c r="DC419" s="55"/>
      <c r="DD419" s="55"/>
      <c r="DE419" s="55"/>
      <c r="DF419" s="55"/>
      <c r="DG419" s="55"/>
      <c r="DH419" s="55"/>
      <c r="DI419" s="55"/>
      <c r="DJ419" s="55"/>
      <c r="DK419" s="55"/>
      <c r="DL419" s="55"/>
      <c r="DM419" s="55"/>
      <c r="DN419" s="55"/>
      <c r="DO419" s="55"/>
      <c r="DP419" s="55"/>
      <c r="DQ419" s="55"/>
      <c r="DR419" s="55"/>
      <c r="DS419" s="55"/>
      <c r="DT419" s="55"/>
      <c r="DU419" s="55"/>
      <c r="DV419" s="55"/>
      <c r="DW419" s="55"/>
      <c r="DX419" s="55"/>
      <c r="DY419" s="55"/>
      <c r="DZ419" s="55"/>
      <c r="EA419" s="55"/>
      <c r="EB419" s="55"/>
      <c r="EC419" s="55"/>
      <c r="ED419" s="55"/>
      <c r="EE419" s="55"/>
      <c r="EF419" s="55"/>
      <c r="EG419" s="55"/>
      <c r="EH419" s="55"/>
      <c r="EI419" s="55"/>
      <c r="EJ419" s="55"/>
      <c r="EK419" s="55"/>
      <c r="EL419" s="55"/>
      <c r="EM419" s="55"/>
      <c r="EN419" s="55"/>
      <c r="EO419" s="55"/>
      <c r="EP419" s="55"/>
      <c r="EQ419" s="55"/>
      <c r="ER419" s="55"/>
      <c r="ES419" s="55"/>
      <c r="ET419" s="55"/>
      <c r="EU419" s="55"/>
      <c r="EV419" s="55"/>
      <c r="EW419" s="55"/>
      <c r="EX419" s="55"/>
      <c r="EY419" s="55"/>
      <c r="EZ419" s="55"/>
      <c r="FA419" s="55"/>
      <c r="FB419" s="55"/>
      <c r="FC419" s="55"/>
      <c r="FD419" s="55"/>
      <c r="FE419" s="55"/>
      <c r="FF419" s="55"/>
      <c r="FG419" s="55"/>
      <c r="FH419" s="55"/>
      <c r="FI419" s="55"/>
      <c r="FJ419" s="55"/>
      <c r="FK419" s="55"/>
      <c r="FL419" s="55"/>
      <c r="FM419" s="55"/>
      <c r="FN419" s="55"/>
      <c r="FO419" s="55"/>
      <c r="FP419" s="55"/>
      <c r="FQ419" s="55"/>
      <c r="FR419" s="55"/>
      <c r="FS419" s="55"/>
      <c r="FT419" s="55"/>
      <c r="FU419" s="55"/>
      <c r="FV419" s="55"/>
      <c r="FW419" s="55"/>
      <c r="FX419" s="55"/>
      <c r="FY419" s="55"/>
      <c r="FZ419" s="55"/>
      <c r="GA419" s="55"/>
      <c r="GB419" s="55"/>
      <c r="GC419" s="55"/>
      <c r="GD419" s="55"/>
      <c r="GE419" s="55"/>
      <c r="GF419" s="55"/>
      <c r="GG419" s="55"/>
      <c r="GH419" s="55"/>
      <c r="GI419" s="55"/>
      <c r="GJ419" s="55"/>
      <c r="GK419" s="55"/>
      <c r="GL419" s="55"/>
      <c r="GM419" s="55"/>
      <c r="GN419" s="55"/>
      <c r="GO419" s="55"/>
      <c r="GP419" s="55"/>
      <c r="GQ419" s="55"/>
      <c r="GR419" s="55"/>
      <c r="GS419" s="55"/>
      <c r="GT419" s="55"/>
      <c r="GU419" s="55"/>
      <c r="GV419" s="55"/>
      <c r="GW419" s="55"/>
      <c r="GX419" s="55"/>
      <c r="GY419" s="55"/>
      <c r="GZ419" s="55"/>
      <c r="HA419" s="55"/>
      <c r="HB419" s="55"/>
      <c r="HC419" s="55"/>
      <c r="HD419" s="55"/>
      <c r="HE419" s="55"/>
      <c r="HF419" s="55"/>
      <c r="HG419" s="55"/>
      <c r="HH419" s="55"/>
      <c r="HI419" s="55"/>
      <c r="HJ419" s="55"/>
      <c r="HK419" s="55"/>
      <c r="HL419" s="55"/>
      <c r="HM419" s="55"/>
      <c r="HN419" s="55"/>
      <c r="HO419" s="55"/>
      <c r="HP419" s="55"/>
      <c r="HQ419" s="55"/>
      <c r="HR419" s="55"/>
      <c r="HS419" s="55"/>
      <c r="HT419" s="55"/>
      <c r="HU419" s="55"/>
      <c r="HV419" s="55"/>
      <c r="HW419" s="55"/>
      <c r="HX419" s="55"/>
      <c r="HY419" s="55"/>
      <c r="HZ419" s="55"/>
      <c r="IA419" s="55"/>
      <c r="IB419" s="55"/>
      <c r="IC419" s="55"/>
      <c r="ID419" s="55"/>
    </row>
    <row r="420" s="55" customFormat="1" ht="27" customHeight="1" spans="1:32">
      <c r="A420" s="112"/>
      <c r="B420" s="112"/>
      <c r="C420" s="64"/>
      <c r="D420" s="65"/>
      <c r="E420" s="77"/>
      <c r="F420" s="77"/>
      <c r="G420" s="64"/>
      <c r="H420" s="42"/>
      <c r="I420" s="42"/>
      <c r="J420" s="83"/>
      <c r="K420" s="125"/>
      <c r="L420" s="83"/>
      <c r="M420" s="41"/>
      <c r="N420" s="89"/>
      <c r="O420" s="41"/>
      <c r="P420" s="64"/>
      <c r="Q420" s="64"/>
      <c r="R420" s="64"/>
      <c r="S420" s="83"/>
      <c r="T420" s="77"/>
      <c r="U420" s="105" t="s">
        <v>1649</v>
      </c>
      <c r="V420" s="105">
        <v>330409012</v>
      </c>
      <c r="W420" s="106" t="s">
        <v>1650</v>
      </c>
      <c r="X420" s="105"/>
      <c r="Y420" s="105" t="s">
        <v>1651</v>
      </c>
      <c r="Z420" s="105" t="s">
        <v>36</v>
      </c>
      <c r="AA420" s="110" t="s">
        <v>35</v>
      </c>
      <c r="AB420" s="50">
        <v>675</v>
      </c>
      <c r="AC420" s="50">
        <v>610</v>
      </c>
      <c r="AD420" s="50">
        <v>520</v>
      </c>
      <c r="AE420" s="112" t="s">
        <v>37</v>
      </c>
      <c r="AF420" s="60"/>
    </row>
    <row r="421" s="55" customFormat="1" ht="27" customHeight="1" spans="1:32">
      <c r="A421" s="112"/>
      <c r="B421" s="112"/>
      <c r="C421" s="64"/>
      <c r="D421" s="65"/>
      <c r="E421" s="77"/>
      <c r="F421" s="77"/>
      <c r="G421" s="64"/>
      <c r="H421" s="42"/>
      <c r="I421" s="42"/>
      <c r="J421" s="83"/>
      <c r="K421" s="125"/>
      <c r="L421" s="83"/>
      <c r="M421" s="41"/>
      <c r="N421" s="89"/>
      <c r="O421" s="41"/>
      <c r="P421" s="64"/>
      <c r="Q421" s="64"/>
      <c r="R421" s="64"/>
      <c r="S421" s="83"/>
      <c r="T421" s="77"/>
      <c r="U421" s="105" t="s">
        <v>1652</v>
      </c>
      <c r="V421" s="105">
        <v>330409011</v>
      </c>
      <c r="W421" s="106" t="s">
        <v>1653</v>
      </c>
      <c r="X421" s="105"/>
      <c r="Y421" s="105"/>
      <c r="Z421" s="105" t="s">
        <v>36</v>
      </c>
      <c r="AA421" s="110" t="s">
        <v>35</v>
      </c>
      <c r="AB421" s="50">
        <v>505</v>
      </c>
      <c r="AC421" s="50">
        <v>455</v>
      </c>
      <c r="AD421" s="50">
        <v>385</v>
      </c>
      <c r="AE421" s="112" t="s">
        <v>37</v>
      </c>
      <c r="AF421" s="60"/>
    </row>
    <row r="422" s="55" customFormat="1" ht="25.5" spans="1:32">
      <c r="A422" s="112" t="s">
        <v>95</v>
      </c>
      <c r="B422" s="112" t="s">
        <v>1654</v>
      </c>
      <c r="C422" s="64" t="s">
        <v>1655</v>
      </c>
      <c r="D422" s="65"/>
      <c r="E422" s="77"/>
      <c r="F422" s="77" t="s">
        <v>35</v>
      </c>
      <c r="G422" s="64" t="s">
        <v>110</v>
      </c>
      <c r="H422" s="78">
        <v>189</v>
      </c>
      <c r="I422" s="78">
        <v>170</v>
      </c>
      <c r="J422" s="83"/>
      <c r="K422" s="83"/>
      <c r="L422" s="83"/>
      <c r="M422" s="41">
        <v>185</v>
      </c>
      <c r="N422" s="41">
        <v>170</v>
      </c>
      <c r="O422" s="41">
        <v>145</v>
      </c>
      <c r="P422" s="64" t="s">
        <v>37</v>
      </c>
      <c r="Q422" s="64" t="s">
        <v>35</v>
      </c>
      <c r="R422" s="64" t="s">
        <v>35</v>
      </c>
      <c r="S422" s="83"/>
      <c r="T422" s="77" t="s">
        <v>186</v>
      </c>
      <c r="U422" s="105" t="s">
        <v>1656</v>
      </c>
      <c r="V422" s="105">
        <v>33040901701</v>
      </c>
      <c r="W422" s="106" t="s">
        <v>1657</v>
      </c>
      <c r="X422" s="105"/>
      <c r="Y422" s="105"/>
      <c r="Z422" s="105" t="s">
        <v>36</v>
      </c>
      <c r="AA422" s="110" t="s">
        <v>35</v>
      </c>
      <c r="AB422" s="50">
        <v>815</v>
      </c>
      <c r="AC422" s="50">
        <v>780</v>
      </c>
      <c r="AD422" s="50">
        <v>665</v>
      </c>
      <c r="AE422" s="112" t="s">
        <v>37</v>
      </c>
      <c r="AF422" s="60"/>
    </row>
    <row r="423" s="55" customFormat="1" ht="25.5" spans="1:32">
      <c r="A423" s="112"/>
      <c r="B423" s="112"/>
      <c r="C423" s="64"/>
      <c r="D423" s="65"/>
      <c r="E423" s="77"/>
      <c r="F423" s="77"/>
      <c r="G423" s="64"/>
      <c r="H423" s="42"/>
      <c r="I423" s="42"/>
      <c r="J423" s="83"/>
      <c r="K423" s="83"/>
      <c r="L423" s="83"/>
      <c r="M423" s="41"/>
      <c r="N423" s="41"/>
      <c r="O423" s="41"/>
      <c r="P423" s="64"/>
      <c r="Q423" s="64"/>
      <c r="R423" s="64"/>
      <c r="S423" s="83"/>
      <c r="T423" s="77"/>
      <c r="U423" s="105" t="s">
        <v>1658</v>
      </c>
      <c r="V423" s="105">
        <v>33040901201</v>
      </c>
      <c r="W423" s="106" t="s">
        <v>1659</v>
      </c>
      <c r="X423" s="105"/>
      <c r="Y423" s="105"/>
      <c r="Z423" s="105" t="s">
        <v>36</v>
      </c>
      <c r="AA423" s="110" t="s">
        <v>35</v>
      </c>
      <c r="AB423" s="50">
        <v>880</v>
      </c>
      <c r="AC423" s="50">
        <v>795</v>
      </c>
      <c r="AD423" s="50">
        <v>675</v>
      </c>
      <c r="AE423" s="112" t="s">
        <v>37</v>
      </c>
      <c r="AF423" s="60"/>
    </row>
    <row r="424" s="55" customFormat="1" ht="25.5" spans="1:32">
      <c r="A424" s="112"/>
      <c r="B424" s="112"/>
      <c r="C424" s="64"/>
      <c r="D424" s="65"/>
      <c r="E424" s="77"/>
      <c r="F424" s="77"/>
      <c r="G424" s="64"/>
      <c r="H424" s="42"/>
      <c r="I424" s="42"/>
      <c r="J424" s="83"/>
      <c r="K424" s="83"/>
      <c r="L424" s="83"/>
      <c r="M424" s="41"/>
      <c r="N424" s="41"/>
      <c r="O424" s="41"/>
      <c r="P424" s="64"/>
      <c r="Q424" s="64"/>
      <c r="R424" s="64"/>
      <c r="S424" s="83"/>
      <c r="T424" s="77"/>
      <c r="U424" s="105" t="s">
        <v>1660</v>
      </c>
      <c r="V424" s="105">
        <v>33040901101</v>
      </c>
      <c r="W424" s="106" t="s">
        <v>1661</v>
      </c>
      <c r="X424" s="105"/>
      <c r="Y424" s="105"/>
      <c r="Z424" s="105" t="s">
        <v>36</v>
      </c>
      <c r="AA424" s="110" t="s">
        <v>35</v>
      </c>
      <c r="AB424" s="50">
        <v>655</v>
      </c>
      <c r="AC424" s="50">
        <v>590</v>
      </c>
      <c r="AD424" s="50">
        <v>500</v>
      </c>
      <c r="AE424" s="112" t="s">
        <v>37</v>
      </c>
      <c r="AF424" s="60"/>
    </row>
    <row r="425" s="52" customFormat="1" ht="69" customHeight="1" spans="1:238">
      <c r="A425" s="112">
        <v>112</v>
      </c>
      <c r="B425" s="112" t="s">
        <v>1662</v>
      </c>
      <c r="C425" s="64" t="s">
        <v>1663</v>
      </c>
      <c r="D425" s="65" t="s">
        <v>1664</v>
      </c>
      <c r="E425" s="77" t="s">
        <v>1665</v>
      </c>
      <c r="F425" s="77" t="s">
        <v>1666</v>
      </c>
      <c r="G425" s="64" t="s">
        <v>110</v>
      </c>
      <c r="H425" s="78">
        <v>1340</v>
      </c>
      <c r="I425" s="78">
        <v>1206</v>
      </c>
      <c r="J425" s="83">
        <v>1180</v>
      </c>
      <c r="K425" s="83">
        <v>1060</v>
      </c>
      <c r="L425" s="83">
        <v>900</v>
      </c>
      <c r="M425" s="41">
        <v>1180</v>
      </c>
      <c r="N425" s="41">
        <v>1060</v>
      </c>
      <c r="O425" s="41">
        <v>900</v>
      </c>
      <c r="P425" s="64" t="s">
        <v>37</v>
      </c>
      <c r="Q425" s="64" t="s">
        <v>35</v>
      </c>
      <c r="R425" s="64" t="s">
        <v>35</v>
      </c>
      <c r="S425" s="83" t="s">
        <v>381</v>
      </c>
      <c r="T425" s="77" t="s">
        <v>381</v>
      </c>
      <c r="U425" s="105" t="s">
        <v>1667</v>
      </c>
      <c r="V425" s="105">
        <v>330409018</v>
      </c>
      <c r="W425" s="106" t="s">
        <v>1668</v>
      </c>
      <c r="X425" s="105"/>
      <c r="Y425" s="105" t="s">
        <v>1669</v>
      </c>
      <c r="Z425" s="105" t="s">
        <v>36</v>
      </c>
      <c r="AA425" s="110" t="s">
        <v>35</v>
      </c>
      <c r="AB425" s="50">
        <v>1180</v>
      </c>
      <c r="AC425" s="50">
        <v>1060</v>
      </c>
      <c r="AD425" s="50">
        <v>900</v>
      </c>
      <c r="AE425" s="112" t="s">
        <v>37</v>
      </c>
      <c r="AF425" s="60"/>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c r="BM425" s="55"/>
      <c r="BN425" s="55"/>
      <c r="BO425" s="55"/>
      <c r="BP425" s="55"/>
      <c r="BQ425" s="55"/>
      <c r="BR425" s="55"/>
      <c r="BS425" s="55"/>
      <c r="BT425" s="55"/>
      <c r="BU425" s="55"/>
      <c r="BV425" s="55"/>
      <c r="BW425" s="55"/>
      <c r="BX425" s="55"/>
      <c r="BY425" s="55"/>
      <c r="BZ425" s="55"/>
      <c r="CA425" s="55"/>
      <c r="CB425" s="55"/>
      <c r="CC425" s="55"/>
      <c r="CD425" s="55"/>
      <c r="CE425" s="55"/>
      <c r="CF425" s="55"/>
      <c r="CG425" s="55"/>
      <c r="CH425" s="55"/>
      <c r="CI425" s="55"/>
      <c r="CJ425" s="55"/>
      <c r="CK425" s="55"/>
      <c r="CL425" s="55"/>
      <c r="CM425" s="55"/>
      <c r="CN425" s="55"/>
      <c r="CO425" s="55"/>
      <c r="CP425" s="55"/>
      <c r="CQ425" s="55"/>
      <c r="CR425" s="55"/>
      <c r="CS425" s="55"/>
      <c r="CT425" s="55"/>
      <c r="CU425" s="55"/>
      <c r="CV425" s="55"/>
      <c r="CW425" s="55"/>
      <c r="CX425" s="55"/>
      <c r="CY425" s="55"/>
      <c r="CZ425" s="55"/>
      <c r="DA425" s="55"/>
      <c r="DB425" s="55"/>
      <c r="DC425" s="55"/>
      <c r="DD425" s="55"/>
      <c r="DE425" s="55"/>
      <c r="DF425" s="55"/>
      <c r="DG425" s="55"/>
      <c r="DH425" s="55"/>
      <c r="DI425" s="55"/>
      <c r="DJ425" s="55"/>
      <c r="DK425" s="55"/>
      <c r="DL425" s="55"/>
      <c r="DM425" s="55"/>
      <c r="DN425" s="55"/>
      <c r="DO425" s="55"/>
      <c r="DP425" s="55"/>
      <c r="DQ425" s="55"/>
      <c r="DR425" s="55"/>
      <c r="DS425" s="55"/>
      <c r="DT425" s="55"/>
      <c r="DU425" s="55"/>
      <c r="DV425" s="55"/>
      <c r="DW425" s="55"/>
      <c r="DX425" s="55"/>
      <c r="DY425" s="55"/>
      <c r="DZ425" s="55"/>
      <c r="EA425" s="55"/>
      <c r="EB425" s="55"/>
      <c r="EC425" s="55"/>
      <c r="ED425" s="55"/>
      <c r="EE425" s="55"/>
      <c r="EF425" s="55"/>
      <c r="EG425" s="55"/>
      <c r="EH425" s="55"/>
      <c r="EI425" s="55"/>
      <c r="EJ425" s="55"/>
      <c r="EK425" s="55"/>
      <c r="EL425" s="55"/>
      <c r="EM425" s="55"/>
      <c r="EN425" s="55"/>
      <c r="EO425" s="55"/>
      <c r="EP425" s="55"/>
      <c r="EQ425" s="55"/>
      <c r="ER425" s="55"/>
      <c r="ES425" s="55"/>
      <c r="ET425" s="55"/>
      <c r="EU425" s="55"/>
      <c r="EV425" s="55"/>
      <c r="EW425" s="55"/>
      <c r="EX425" s="55"/>
      <c r="EY425" s="55"/>
      <c r="EZ425" s="55"/>
      <c r="FA425" s="55"/>
      <c r="FB425" s="55"/>
      <c r="FC425" s="55"/>
      <c r="FD425" s="55"/>
      <c r="FE425" s="55"/>
      <c r="FF425" s="55"/>
      <c r="FG425" s="55"/>
      <c r="FH425" s="55"/>
      <c r="FI425" s="55"/>
      <c r="FJ425" s="55"/>
      <c r="FK425" s="55"/>
      <c r="FL425" s="55"/>
      <c r="FM425" s="55"/>
      <c r="FN425" s="55"/>
      <c r="FO425" s="55"/>
      <c r="FP425" s="55"/>
      <c r="FQ425" s="55"/>
      <c r="FR425" s="55"/>
      <c r="FS425" s="55"/>
      <c r="FT425" s="55"/>
      <c r="FU425" s="55"/>
      <c r="FV425" s="55"/>
      <c r="FW425" s="55"/>
      <c r="FX425" s="55"/>
      <c r="FY425" s="55"/>
      <c r="FZ425" s="55"/>
      <c r="GA425" s="55"/>
      <c r="GB425" s="55"/>
      <c r="GC425" s="55"/>
      <c r="GD425" s="55"/>
      <c r="GE425" s="55"/>
      <c r="GF425" s="55"/>
      <c r="GG425" s="55"/>
      <c r="GH425" s="55"/>
      <c r="GI425" s="55"/>
      <c r="GJ425" s="55"/>
      <c r="GK425" s="55"/>
      <c r="GL425" s="55"/>
      <c r="GM425" s="55"/>
      <c r="GN425" s="55"/>
      <c r="GO425" s="55"/>
      <c r="GP425" s="55"/>
      <c r="GQ425" s="55"/>
      <c r="GR425" s="55"/>
      <c r="GS425" s="55"/>
      <c r="GT425" s="55"/>
      <c r="GU425" s="55"/>
      <c r="GV425" s="55"/>
      <c r="GW425" s="55"/>
      <c r="GX425" s="55"/>
      <c r="GY425" s="55"/>
      <c r="GZ425" s="55"/>
      <c r="HA425" s="55"/>
      <c r="HB425" s="55"/>
      <c r="HC425" s="55"/>
      <c r="HD425" s="55"/>
      <c r="HE425" s="55"/>
      <c r="HF425" s="55"/>
      <c r="HG425" s="55"/>
      <c r="HH425" s="55"/>
      <c r="HI425" s="55"/>
      <c r="HJ425" s="55"/>
      <c r="HK425" s="55"/>
      <c r="HL425" s="55"/>
      <c r="HM425" s="55"/>
      <c r="HN425" s="55"/>
      <c r="HO425" s="55"/>
      <c r="HP425" s="55"/>
      <c r="HQ425" s="55"/>
      <c r="HR425" s="55"/>
      <c r="HS425" s="55"/>
      <c r="HT425" s="55"/>
      <c r="HU425" s="55"/>
      <c r="HV425" s="55"/>
      <c r="HW425" s="55"/>
      <c r="HX425" s="55"/>
      <c r="HY425" s="55"/>
      <c r="HZ425" s="55"/>
      <c r="IA425" s="55"/>
      <c r="IB425" s="55"/>
      <c r="IC425" s="55"/>
      <c r="ID425" s="55"/>
    </row>
    <row r="426" s="52" customFormat="1" ht="25.5" spans="1:238">
      <c r="A426" s="112" t="s">
        <v>95</v>
      </c>
      <c r="B426" s="112" t="s">
        <v>1670</v>
      </c>
      <c r="C426" s="64" t="s">
        <v>1671</v>
      </c>
      <c r="D426" s="65"/>
      <c r="E426" s="77"/>
      <c r="F426" s="77" t="s">
        <v>35</v>
      </c>
      <c r="G426" s="64" t="s">
        <v>110</v>
      </c>
      <c r="H426" s="78">
        <v>402</v>
      </c>
      <c r="I426" s="78">
        <v>362</v>
      </c>
      <c r="J426" s="83">
        <v>355</v>
      </c>
      <c r="K426" s="83">
        <v>320</v>
      </c>
      <c r="L426" s="83">
        <v>275</v>
      </c>
      <c r="M426" s="41">
        <v>355</v>
      </c>
      <c r="N426" s="41">
        <v>320</v>
      </c>
      <c r="O426" s="94">
        <v>270</v>
      </c>
      <c r="P426" s="64" t="s">
        <v>37</v>
      </c>
      <c r="Q426" s="64" t="s">
        <v>35</v>
      </c>
      <c r="R426" s="64" t="s">
        <v>35</v>
      </c>
      <c r="S426" s="83"/>
      <c r="T426" s="77" t="s">
        <v>186</v>
      </c>
      <c r="U426" s="105" t="s">
        <v>1672</v>
      </c>
      <c r="V426" s="105">
        <v>33040901801</v>
      </c>
      <c r="W426" s="106" t="s">
        <v>1673</v>
      </c>
      <c r="X426" s="105"/>
      <c r="Y426" s="105"/>
      <c r="Z426" s="105" t="s">
        <v>36</v>
      </c>
      <c r="AA426" s="110" t="s">
        <v>35</v>
      </c>
      <c r="AB426" s="50">
        <v>1535</v>
      </c>
      <c r="AC426" s="50">
        <v>1380</v>
      </c>
      <c r="AD426" s="50">
        <v>1175</v>
      </c>
      <c r="AE426" s="112" t="s">
        <v>37</v>
      </c>
      <c r="AF426" s="60"/>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c r="BM426" s="55"/>
      <c r="BN426" s="55"/>
      <c r="BO426" s="55"/>
      <c r="BP426" s="55"/>
      <c r="BQ426" s="55"/>
      <c r="BR426" s="55"/>
      <c r="BS426" s="55"/>
      <c r="BT426" s="55"/>
      <c r="BU426" s="55"/>
      <c r="BV426" s="55"/>
      <c r="BW426" s="55"/>
      <c r="BX426" s="55"/>
      <c r="BY426" s="55"/>
      <c r="BZ426" s="55"/>
      <c r="CA426" s="55"/>
      <c r="CB426" s="55"/>
      <c r="CC426" s="55"/>
      <c r="CD426" s="55"/>
      <c r="CE426" s="55"/>
      <c r="CF426" s="55"/>
      <c r="CG426" s="55"/>
      <c r="CH426" s="55"/>
      <c r="CI426" s="55"/>
      <c r="CJ426" s="55"/>
      <c r="CK426" s="55"/>
      <c r="CL426" s="55"/>
      <c r="CM426" s="55"/>
      <c r="CN426" s="55"/>
      <c r="CO426" s="55"/>
      <c r="CP426" s="55"/>
      <c r="CQ426" s="55"/>
      <c r="CR426" s="55"/>
      <c r="CS426" s="55"/>
      <c r="CT426" s="55"/>
      <c r="CU426" s="55"/>
      <c r="CV426" s="55"/>
      <c r="CW426" s="55"/>
      <c r="CX426" s="55"/>
      <c r="CY426" s="55"/>
      <c r="CZ426" s="55"/>
      <c r="DA426" s="55"/>
      <c r="DB426" s="55"/>
      <c r="DC426" s="55"/>
      <c r="DD426" s="55"/>
      <c r="DE426" s="55"/>
      <c r="DF426" s="55"/>
      <c r="DG426" s="55"/>
      <c r="DH426" s="55"/>
      <c r="DI426" s="55"/>
      <c r="DJ426" s="55"/>
      <c r="DK426" s="55"/>
      <c r="DL426" s="55"/>
      <c r="DM426" s="55"/>
      <c r="DN426" s="55"/>
      <c r="DO426" s="55"/>
      <c r="DP426" s="55"/>
      <c r="DQ426" s="55"/>
      <c r="DR426" s="55"/>
      <c r="DS426" s="55"/>
      <c r="DT426" s="55"/>
      <c r="DU426" s="55"/>
      <c r="DV426" s="55"/>
      <c r="DW426" s="55"/>
      <c r="DX426" s="55"/>
      <c r="DY426" s="55"/>
      <c r="DZ426" s="55"/>
      <c r="EA426" s="55"/>
      <c r="EB426" s="55"/>
      <c r="EC426" s="55"/>
      <c r="ED426" s="55"/>
      <c r="EE426" s="55"/>
      <c r="EF426" s="55"/>
      <c r="EG426" s="55"/>
      <c r="EH426" s="55"/>
      <c r="EI426" s="55"/>
      <c r="EJ426" s="55"/>
      <c r="EK426" s="55"/>
      <c r="EL426" s="55"/>
      <c r="EM426" s="55"/>
      <c r="EN426" s="55"/>
      <c r="EO426" s="55"/>
      <c r="EP426" s="55"/>
      <c r="EQ426" s="55"/>
      <c r="ER426" s="55"/>
      <c r="ES426" s="55"/>
      <c r="ET426" s="55"/>
      <c r="EU426" s="55"/>
      <c r="EV426" s="55"/>
      <c r="EW426" s="55"/>
      <c r="EX426" s="55"/>
      <c r="EY426" s="55"/>
      <c r="EZ426" s="55"/>
      <c r="FA426" s="55"/>
      <c r="FB426" s="55"/>
      <c r="FC426" s="55"/>
      <c r="FD426" s="55"/>
      <c r="FE426" s="55"/>
      <c r="FF426" s="55"/>
      <c r="FG426" s="55"/>
      <c r="FH426" s="55"/>
      <c r="FI426" s="55"/>
      <c r="FJ426" s="55"/>
      <c r="FK426" s="55"/>
      <c r="FL426" s="55"/>
      <c r="FM426" s="55"/>
      <c r="FN426" s="55"/>
      <c r="FO426" s="55"/>
      <c r="FP426" s="55"/>
      <c r="FQ426" s="55"/>
      <c r="FR426" s="55"/>
      <c r="FS426" s="55"/>
      <c r="FT426" s="55"/>
      <c r="FU426" s="55"/>
      <c r="FV426" s="55"/>
      <c r="FW426" s="55"/>
      <c r="FX426" s="55"/>
      <c r="FY426" s="55"/>
      <c r="FZ426" s="55"/>
      <c r="GA426" s="55"/>
      <c r="GB426" s="55"/>
      <c r="GC426" s="55"/>
      <c r="GD426" s="55"/>
      <c r="GE426" s="55"/>
      <c r="GF426" s="55"/>
      <c r="GG426" s="55"/>
      <c r="GH426" s="55"/>
      <c r="GI426" s="55"/>
      <c r="GJ426" s="55"/>
      <c r="GK426" s="55"/>
      <c r="GL426" s="55"/>
      <c r="GM426" s="55"/>
      <c r="GN426" s="55"/>
      <c r="GO426" s="55"/>
      <c r="GP426" s="55"/>
      <c r="GQ426" s="55"/>
      <c r="GR426" s="55"/>
      <c r="GS426" s="55"/>
      <c r="GT426" s="55"/>
      <c r="GU426" s="55"/>
      <c r="GV426" s="55"/>
      <c r="GW426" s="55"/>
      <c r="GX426" s="55"/>
      <c r="GY426" s="55"/>
      <c r="GZ426" s="55"/>
      <c r="HA426" s="55"/>
      <c r="HB426" s="55"/>
      <c r="HC426" s="55"/>
      <c r="HD426" s="55"/>
      <c r="HE426" s="55"/>
      <c r="HF426" s="55"/>
      <c r="HG426" s="55"/>
      <c r="HH426" s="55"/>
      <c r="HI426" s="55"/>
      <c r="HJ426" s="55"/>
      <c r="HK426" s="55"/>
      <c r="HL426" s="55"/>
      <c r="HM426" s="55"/>
      <c r="HN426" s="55"/>
      <c r="HO426" s="55"/>
      <c r="HP426" s="55"/>
      <c r="HQ426" s="55"/>
      <c r="HR426" s="55"/>
      <c r="HS426" s="55"/>
      <c r="HT426" s="55"/>
      <c r="HU426" s="55"/>
      <c r="HV426" s="55"/>
      <c r="HW426" s="55"/>
      <c r="HX426" s="55"/>
      <c r="HY426" s="55"/>
      <c r="HZ426" s="55"/>
      <c r="IA426" s="55"/>
      <c r="IB426" s="55"/>
      <c r="IC426" s="55"/>
      <c r="ID426" s="55"/>
    </row>
    <row r="427" s="52" customFormat="1" ht="24" customHeight="1" spans="1:238">
      <c r="A427" s="112">
        <v>113</v>
      </c>
      <c r="B427" s="164" t="s">
        <v>1674</v>
      </c>
      <c r="C427" s="64" t="s">
        <v>1675</v>
      </c>
      <c r="D427" s="65" t="s">
        <v>1676</v>
      </c>
      <c r="E427" s="77" t="s">
        <v>1677</v>
      </c>
      <c r="F427" s="77" t="s">
        <v>1678</v>
      </c>
      <c r="G427" s="64" t="s">
        <v>110</v>
      </c>
      <c r="H427" s="78">
        <v>820</v>
      </c>
      <c r="I427" s="78">
        <v>738</v>
      </c>
      <c r="J427" s="84">
        <v>777.299949672874</v>
      </c>
      <c r="K427" s="84">
        <v>757.445414847162</v>
      </c>
      <c r="L427" s="84">
        <v>660</v>
      </c>
      <c r="M427" s="41">
        <v>780</v>
      </c>
      <c r="N427" s="41">
        <v>735</v>
      </c>
      <c r="O427" s="41">
        <v>660</v>
      </c>
      <c r="P427" s="64" t="s">
        <v>37</v>
      </c>
      <c r="Q427" s="64" t="s">
        <v>35</v>
      </c>
      <c r="R427" s="64" t="s">
        <v>35</v>
      </c>
      <c r="S427" s="83" t="s">
        <v>38</v>
      </c>
      <c r="T427" s="77" t="s">
        <v>1679</v>
      </c>
      <c r="U427" s="105" t="s">
        <v>1680</v>
      </c>
      <c r="V427" s="105">
        <v>330402006</v>
      </c>
      <c r="W427" s="106" t="s">
        <v>1681</v>
      </c>
      <c r="X427" s="105"/>
      <c r="Y427" s="105" t="s">
        <v>1682</v>
      </c>
      <c r="Z427" s="105" t="s">
        <v>36</v>
      </c>
      <c r="AA427" s="110" t="s">
        <v>35</v>
      </c>
      <c r="AB427" s="50">
        <v>675</v>
      </c>
      <c r="AC427" s="50">
        <v>610</v>
      </c>
      <c r="AD427" s="50">
        <v>520</v>
      </c>
      <c r="AE427" s="112" t="s">
        <v>37</v>
      </c>
      <c r="AF427" s="60"/>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c r="BM427" s="55"/>
      <c r="BN427" s="55"/>
      <c r="BO427" s="55"/>
      <c r="BP427" s="55"/>
      <c r="BQ427" s="55"/>
      <c r="BR427" s="55"/>
      <c r="BS427" s="55"/>
      <c r="BT427" s="55"/>
      <c r="BU427" s="55"/>
      <c r="BV427" s="55"/>
      <c r="BW427" s="55"/>
      <c r="BX427" s="55"/>
      <c r="BY427" s="55"/>
      <c r="BZ427" s="55"/>
      <c r="CA427" s="55"/>
      <c r="CB427" s="55"/>
      <c r="CC427" s="55"/>
      <c r="CD427" s="55"/>
      <c r="CE427" s="55"/>
      <c r="CF427" s="55"/>
      <c r="CG427" s="55"/>
      <c r="CH427" s="55"/>
      <c r="CI427" s="55"/>
      <c r="CJ427" s="55"/>
      <c r="CK427" s="55"/>
      <c r="CL427" s="55"/>
      <c r="CM427" s="55"/>
      <c r="CN427" s="55"/>
      <c r="CO427" s="55"/>
      <c r="CP427" s="55"/>
      <c r="CQ427" s="55"/>
      <c r="CR427" s="55"/>
      <c r="CS427" s="55"/>
      <c r="CT427" s="55"/>
      <c r="CU427" s="55"/>
      <c r="CV427" s="55"/>
      <c r="CW427" s="55"/>
      <c r="CX427" s="55"/>
      <c r="CY427" s="55"/>
      <c r="CZ427" s="55"/>
      <c r="DA427" s="55"/>
      <c r="DB427" s="55"/>
      <c r="DC427" s="55"/>
      <c r="DD427" s="55"/>
      <c r="DE427" s="55"/>
      <c r="DF427" s="55"/>
      <c r="DG427" s="55"/>
      <c r="DH427" s="55"/>
      <c r="DI427" s="55"/>
      <c r="DJ427" s="55"/>
      <c r="DK427" s="55"/>
      <c r="DL427" s="55"/>
      <c r="DM427" s="55"/>
      <c r="DN427" s="55"/>
      <c r="DO427" s="55"/>
      <c r="DP427" s="55"/>
      <c r="DQ427" s="55"/>
      <c r="DR427" s="55"/>
      <c r="DS427" s="55"/>
      <c r="DT427" s="55"/>
      <c r="DU427" s="55"/>
      <c r="DV427" s="55"/>
      <c r="DW427" s="55"/>
      <c r="DX427" s="55"/>
      <c r="DY427" s="55"/>
      <c r="DZ427" s="55"/>
      <c r="EA427" s="55"/>
      <c r="EB427" s="55"/>
      <c r="EC427" s="55"/>
      <c r="ED427" s="55"/>
      <c r="EE427" s="55"/>
      <c r="EF427" s="55"/>
      <c r="EG427" s="55"/>
      <c r="EH427" s="55"/>
      <c r="EI427" s="55"/>
      <c r="EJ427" s="55"/>
      <c r="EK427" s="55"/>
      <c r="EL427" s="55"/>
      <c r="EM427" s="55"/>
      <c r="EN427" s="55"/>
      <c r="EO427" s="55"/>
      <c r="EP427" s="55"/>
      <c r="EQ427" s="55"/>
      <c r="ER427" s="55"/>
      <c r="ES427" s="55"/>
      <c r="ET427" s="55"/>
      <c r="EU427" s="55"/>
      <c r="EV427" s="55"/>
      <c r="EW427" s="55"/>
      <c r="EX427" s="55"/>
      <c r="EY427" s="55"/>
      <c r="EZ427" s="55"/>
      <c r="FA427" s="55"/>
      <c r="FB427" s="55"/>
      <c r="FC427" s="55"/>
      <c r="FD427" s="55"/>
      <c r="FE427" s="55"/>
      <c r="FF427" s="55"/>
      <c r="FG427" s="55"/>
      <c r="FH427" s="55"/>
      <c r="FI427" s="55"/>
      <c r="FJ427" s="55"/>
      <c r="FK427" s="55"/>
      <c r="FL427" s="55"/>
      <c r="FM427" s="55"/>
      <c r="FN427" s="55"/>
      <c r="FO427" s="55"/>
      <c r="FP427" s="55"/>
      <c r="FQ427" s="55"/>
      <c r="FR427" s="55"/>
      <c r="FS427" s="55"/>
      <c r="FT427" s="55"/>
      <c r="FU427" s="55"/>
      <c r="FV427" s="55"/>
      <c r="FW427" s="55"/>
      <c r="FX427" s="55"/>
      <c r="FY427" s="55"/>
      <c r="FZ427" s="55"/>
      <c r="GA427" s="55"/>
      <c r="GB427" s="55"/>
      <c r="GC427" s="55"/>
      <c r="GD427" s="55"/>
      <c r="GE427" s="55"/>
      <c r="GF427" s="55"/>
      <c r="GG427" s="55"/>
      <c r="GH427" s="55"/>
      <c r="GI427" s="55"/>
      <c r="GJ427" s="55"/>
      <c r="GK427" s="55"/>
      <c r="GL427" s="55"/>
      <c r="GM427" s="55"/>
      <c r="GN427" s="55"/>
      <c r="GO427" s="55"/>
      <c r="GP427" s="55"/>
      <c r="GQ427" s="55"/>
      <c r="GR427" s="55"/>
      <c r="GS427" s="55"/>
      <c r="GT427" s="55"/>
      <c r="GU427" s="55"/>
      <c r="GV427" s="55"/>
      <c r="GW427" s="55"/>
      <c r="GX427" s="55"/>
      <c r="GY427" s="55"/>
      <c r="GZ427" s="55"/>
      <c r="HA427" s="55"/>
      <c r="HB427" s="55"/>
      <c r="HC427" s="55"/>
      <c r="HD427" s="55"/>
      <c r="HE427" s="55"/>
      <c r="HF427" s="55"/>
      <c r="HG427" s="55"/>
      <c r="HH427" s="55"/>
      <c r="HI427" s="55"/>
      <c r="HJ427" s="55"/>
      <c r="HK427" s="55"/>
      <c r="HL427" s="55"/>
      <c r="HM427" s="55"/>
      <c r="HN427" s="55"/>
      <c r="HO427" s="55"/>
      <c r="HP427" s="55"/>
      <c r="HQ427" s="55"/>
      <c r="HR427" s="55"/>
      <c r="HS427" s="55"/>
      <c r="HT427" s="55"/>
      <c r="HU427" s="55"/>
      <c r="HV427" s="55"/>
      <c r="HW427" s="55"/>
      <c r="HX427" s="55"/>
      <c r="HY427" s="55"/>
      <c r="HZ427" s="55"/>
      <c r="IA427" s="55"/>
      <c r="IB427" s="55"/>
      <c r="IC427" s="55"/>
      <c r="ID427" s="55"/>
    </row>
    <row r="428" s="55" customFormat="1" ht="24" customHeight="1" spans="1:32">
      <c r="A428" s="112"/>
      <c r="B428" s="112"/>
      <c r="C428" s="64"/>
      <c r="D428" s="65"/>
      <c r="E428" s="77"/>
      <c r="F428" s="77"/>
      <c r="G428" s="64"/>
      <c r="H428" s="42"/>
      <c r="I428" s="42"/>
      <c r="J428" s="84"/>
      <c r="K428" s="84"/>
      <c r="L428" s="84"/>
      <c r="M428" s="41"/>
      <c r="N428" s="41"/>
      <c r="O428" s="41"/>
      <c r="P428" s="64"/>
      <c r="Q428" s="64"/>
      <c r="R428" s="64"/>
      <c r="S428" s="83"/>
      <c r="T428" s="77"/>
      <c r="U428" s="105" t="s">
        <v>1683</v>
      </c>
      <c r="V428" s="105">
        <v>330402003</v>
      </c>
      <c r="W428" s="106" t="s">
        <v>1684</v>
      </c>
      <c r="X428" s="105"/>
      <c r="Y428" s="105"/>
      <c r="Z428" s="105" t="s">
        <v>36</v>
      </c>
      <c r="AA428" s="110" t="s">
        <v>35</v>
      </c>
      <c r="AB428" s="50">
        <v>1100</v>
      </c>
      <c r="AC428" s="50">
        <v>990</v>
      </c>
      <c r="AD428" s="50">
        <v>840</v>
      </c>
      <c r="AE428" s="112" t="s">
        <v>37</v>
      </c>
      <c r="AF428" s="60"/>
    </row>
    <row r="429" s="55" customFormat="1" ht="24" customHeight="1" spans="1:32">
      <c r="A429" s="112"/>
      <c r="B429" s="112"/>
      <c r="C429" s="64"/>
      <c r="D429" s="65"/>
      <c r="E429" s="77"/>
      <c r="F429" s="77"/>
      <c r="G429" s="64"/>
      <c r="H429" s="42"/>
      <c r="I429" s="42"/>
      <c r="J429" s="84"/>
      <c r="K429" s="84"/>
      <c r="L429" s="84"/>
      <c r="M429" s="41"/>
      <c r="N429" s="41"/>
      <c r="O429" s="41"/>
      <c r="P429" s="64"/>
      <c r="Q429" s="64"/>
      <c r="R429" s="64"/>
      <c r="S429" s="83"/>
      <c r="T429" s="77"/>
      <c r="U429" s="105" t="s">
        <v>1685</v>
      </c>
      <c r="V429" s="105">
        <v>330402007</v>
      </c>
      <c r="W429" s="106" t="s">
        <v>1686</v>
      </c>
      <c r="X429" s="105"/>
      <c r="Y429" s="105"/>
      <c r="Z429" s="105" t="s">
        <v>36</v>
      </c>
      <c r="AA429" s="110" t="s">
        <v>1687</v>
      </c>
      <c r="AB429" s="50">
        <v>925</v>
      </c>
      <c r="AC429" s="50">
        <v>835</v>
      </c>
      <c r="AD429" s="50">
        <v>710</v>
      </c>
      <c r="AE429" s="112" t="s">
        <v>37</v>
      </c>
      <c r="AF429" s="60"/>
    </row>
    <row r="430" s="52" customFormat="1" ht="24" customHeight="1" spans="1:238">
      <c r="A430" s="112"/>
      <c r="B430" s="112"/>
      <c r="C430" s="64"/>
      <c r="D430" s="65"/>
      <c r="E430" s="77"/>
      <c r="F430" s="77"/>
      <c r="G430" s="64"/>
      <c r="H430" s="42"/>
      <c r="I430" s="42"/>
      <c r="J430" s="84"/>
      <c r="K430" s="84"/>
      <c r="L430" s="84"/>
      <c r="M430" s="41"/>
      <c r="N430" s="41"/>
      <c r="O430" s="41"/>
      <c r="P430" s="64"/>
      <c r="Q430" s="64"/>
      <c r="R430" s="64"/>
      <c r="S430" s="83"/>
      <c r="T430" s="77"/>
      <c r="U430" s="105" t="s">
        <v>1688</v>
      </c>
      <c r="V430" s="105">
        <v>330402008</v>
      </c>
      <c r="W430" s="106" t="s">
        <v>1689</v>
      </c>
      <c r="X430" s="105" t="s">
        <v>1690</v>
      </c>
      <c r="Y430" s="105" t="s">
        <v>1682</v>
      </c>
      <c r="Z430" s="105" t="s">
        <v>36</v>
      </c>
      <c r="AA430" s="110" t="s">
        <v>35</v>
      </c>
      <c r="AB430" s="50">
        <v>760</v>
      </c>
      <c r="AC430" s="50">
        <v>685</v>
      </c>
      <c r="AD430" s="50">
        <v>585</v>
      </c>
      <c r="AE430" s="112" t="s">
        <v>37</v>
      </c>
      <c r="AF430" s="60"/>
      <c r="AG430" s="55"/>
      <c r="AH430" s="55"/>
      <c r="AI430" s="55"/>
      <c r="AJ430" s="55"/>
      <c r="AK430" s="55"/>
      <c r="AL430" s="55"/>
      <c r="AM430" s="55"/>
      <c r="AN430" s="55"/>
      <c r="AO430" s="55"/>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c r="BV430" s="55"/>
      <c r="BW430" s="55"/>
      <c r="BX430" s="55"/>
      <c r="BY430" s="55"/>
      <c r="BZ430" s="55"/>
      <c r="CA430" s="55"/>
      <c r="CB430" s="55"/>
      <c r="CC430" s="55"/>
      <c r="CD430" s="55"/>
      <c r="CE430" s="55"/>
      <c r="CF430" s="55"/>
      <c r="CG430" s="55"/>
      <c r="CH430" s="55"/>
      <c r="CI430" s="55"/>
      <c r="CJ430" s="55"/>
      <c r="CK430" s="55"/>
      <c r="CL430" s="55"/>
      <c r="CM430" s="55"/>
      <c r="CN430" s="55"/>
      <c r="CO430" s="55"/>
      <c r="CP430" s="55"/>
      <c r="CQ430" s="55"/>
      <c r="CR430" s="55"/>
      <c r="CS430" s="55"/>
      <c r="CT430" s="55"/>
      <c r="CU430" s="55"/>
      <c r="CV430" s="55"/>
      <c r="CW430" s="55"/>
      <c r="CX430" s="55"/>
      <c r="CY430" s="55"/>
      <c r="CZ430" s="55"/>
      <c r="DA430" s="55"/>
      <c r="DB430" s="55"/>
      <c r="DC430" s="55"/>
      <c r="DD430" s="55"/>
      <c r="DE430" s="55"/>
      <c r="DF430" s="55"/>
      <c r="DG430" s="55"/>
      <c r="DH430" s="55"/>
      <c r="DI430" s="55"/>
      <c r="DJ430" s="55"/>
      <c r="DK430" s="55"/>
      <c r="DL430" s="55"/>
      <c r="DM430" s="55"/>
      <c r="DN430" s="55"/>
      <c r="DO430" s="55"/>
      <c r="DP430" s="55"/>
      <c r="DQ430" s="55"/>
      <c r="DR430" s="55"/>
      <c r="DS430" s="55"/>
      <c r="DT430" s="55"/>
      <c r="DU430" s="55"/>
      <c r="DV430" s="55"/>
      <c r="DW430" s="55"/>
      <c r="DX430" s="55"/>
      <c r="DY430" s="55"/>
      <c r="DZ430" s="55"/>
      <c r="EA430" s="55"/>
      <c r="EB430" s="55"/>
      <c r="EC430" s="55"/>
      <c r="ED430" s="55"/>
      <c r="EE430" s="55"/>
      <c r="EF430" s="55"/>
      <c r="EG430" s="55"/>
      <c r="EH430" s="55"/>
      <c r="EI430" s="55"/>
      <c r="EJ430" s="55"/>
      <c r="EK430" s="55"/>
      <c r="EL430" s="55"/>
      <c r="EM430" s="55"/>
      <c r="EN430" s="55"/>
      <c r="EO430" s="55"/>
      <c r="EP430" s="55"/>
      <c r="EQ430" s="55"/>
      <c r="ER430" s="55"/>
      <c r="ES430" s="55"/>
      <c r="ET430" s="55"/>
      <c r="EU430" s="55"/>
      <c r="EV430" s="55"/>
      <c r="EW430" s="55"/>
      <c r="EX430" s="55"/>
      <c r="EY430" s="55"/>
      <c r="EZ430" s="55"/>
      <c r="FA430" s="55"/>
      <c r="FB430" s="55"/>
      <c r="FC430" s="55"/>
      <c r="FD430" s="55"/>
      <c r="FE430" s="55"/>
      <c r="FF430" s="55"/>
      <c r="FG430" s="55"/>
      <c r="FH430" s="55"/>
      <c r="FI430" s="55"/>
      <c r="FJ430" s="55"/>
      <c r="FK430" s="55"/>
      <c r="FL430" s="55"/>
      <c r="FM430" s="55"/>
      <c r="FN430" s="55"/>
      <c r="FO430" s="55"/>
      <c r="FP430" s="55"/>
      <c r="FQ430" s="55"/>
      <c r="FR430" s="55"/>
      <c r="FS430" s="55"/>
      <c r="FT430" s="55"/>
      <c r="FU430" s="55"/>
      <c r="FV430" s="55"/>
      <c r="FW430" s="55"/>
      <c r="FX430" s="55"/>
      <c r="FY430" s="55"/>
      <c r="FZ430" s="55"/>
      <c r="GA430" s="55"/>
      <c r="GB430" s="55"/>
      <c r="GC430" s="55"/>
      <c r="GD430" s="55"/>
      <c r="GE430" s="55"/>
      <c r="GF430" s="55"/>
      <c r="GG430" s="55"/>
      <c r="GH430" s="55"/>
      <c r="GI430" s="55"/>
      <c r="GJ430" s="55"/>
      <c r="GK430" s="55"/>
      <c r="GL430" s="55"/>
      <c r="GM430" s="55"/>
      <c r="GN430" s="55"/>
      <c r="GO430" s="55"/>
      <c r="GP430" s="55"/>
      <c r="GQ430" s="55"/>
      <c r="GR430" s="55"/>
      <c r="GS430" s="55"/>
      <c r="GT430" s="55"/>
      <c r="GU430" s="55"/>
      <c r="GV430" s="55"/>
      <c r="GW430" s="55"/>
      <c r="GX430" s="55"/>
      <c r="GY430" s="55"/>
      <c r="GZ430" s="55"/>
      <c r="HA430" s="55"/>
      <c r="HB430" s="55"/>
      <c r="HC430" s="55"/>
      <c r="HD430" s="55"/>
      <c r="HE430" s="55"/>
      <c r="HF430" s="55"/>
      <c r="HG430" s="55"/>
      <c r="HH430" s="55"/>
      <c r="HI430" s="55"/>
      <c r="HJ430" s="55"/>
      <c r="HK430" s="55"/>
      <c r="HL430" s="55"/>
      <c r="HM430" s="55"/>
      <c r="HN430" s="55"/>
      <c r="HO430" s="55"/>
      <c r="HP430" s="55"/>
      <c r="HQ430" s="55"/>
      <c r="HR430" s="55"/>
      <c r="HS430" s="55"/>
      <c r="HT430" s="55"/>
      <c r="HU430" s="55"/>
      <c r="HV430" s="55"/>
      <c r="HW430" s="55"/>
      <c r="HX430" s="55"/>
      <c r="HY430" s="55"/>
      <c r="HZ430" s="55"/>
      <c r="IA430" s="55"/>
      <c r="IB430" s="55"/>
      <c r="IC430" s="55"/>
      <c r="ID430" s="55"/>
    </row>
    <row r="431" s="52" customFormat="1" ht="24" customHeight="1" spans="1:238">
      <c r="A431" s="112"/>
      <c r="B431" s="112"/>
      <c r="C431" s="64"/>
      <c r="D431" s="65"/>
      <c r="E431" s="77"/>
      <c r="F431" s="77"/>
      <c r="G431" s="64"/>
      <c r="H431" s="42"/>
      <c r="I431" s="42"/>
      <c r="J431" s="84"/>
      <c r="K431" s="84"/>
      <c r="L431" s="84"/>
      <c r="M431" s="41"/>
      <c r="N431" s="41"/>
      <c r="O431" s="41"/>
      <c r="P431" s="64"/>
      <c r="Q431" s="64"/>
      <c r="R431" s="64"/>
      <c r="S431" s="83"/>
      <c r="T431" s="77"/>
      <c r="U431" s="105" t="s">
        <v>1691</v>
      </c>
      <c r="V431" s="105">
        <v>330402009</v>
      </c>
      <c r="W431" s="106" t="s">
        <v>1692</v>
      </c>
      <c r="X431" s="105" t="s">
        <v>1693</v>
      </c>
      <c r="Y431" s="105"/>
      <c r="Z431" s="105" t="s">
        <v>36</v>
      </c>
      <c r="AA431" s="110" t="s">
        <v>1694</v>
      </c>
      <c r="AB431" s="50">
        <v>505</v>
      </c>
      <c r="AC431" s="50">
        <v>455</v>
      </c>
      <c r="AD431" s="50">
        <v>385</v>
      </c>
      <c r="AE431" s="112" t="s">
        <v>37</v>
      </c>
      <c r="AF431" s="60"/>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c r="BV431" s="55"/>
      <c r="BW431" s="55"/>
      <c r="BX431" s="55"/>
      <c r="BY431" s="55"/>
      <c r="BZ431" s="55"/>
      <c r="CA431" s="55"/>
      <c r="CB431" s="55"/>
      <c r="CC431" s="55"/>
      <c r="CD431" s="55"/>
      <c r="CE431" s="55"/>
      <c r="CF431" s="55"/>
      <c r="CG431" s="55"/>
      <c r="CH431" s="55"/>
      <c r="CI431" s="55"/>
      <c r="CJ431" s="55"/>
      <c r="CK431" s="55"/>
      <c r="CL431" s="55"/>
      <c r="CM431" s="55"/>
      <c r="CN431" s="55"/>
      <c r="CO431" s="55"/>
      <c r="CP431" s="55"/>
      <c r="CQ431" s="55"/>
      <c r="CR431" s="55"/>
      <c r="CS431" s="55"/>
      <c r="CT431" s="55"/>
      <c r="CU431" s="55"/>
      <c r="CV431" s="55"/>
      <c r="CW431" s="55"/>
      <c r="CX431" s="55"/>
      <c r="CY431" s="55"/>
      <c r="CZ431" s="55"/>
      <c r="DA431" s="55"/>
      <c r="DB431" s="55"/>
      <c r="DC431" s="55"/>
      <c r="DD431" s="55"/>
      <c r="DE431" s="55"/>
      <c r="DF431" s="55"/>
      <c r="DG431" s="55"/>
      <c r="DH431" s="55"/>
      <c r="DI431" s="55"/>
      <c r="DJ431" s="55"/>
      <c r="DK431" s="55"/>
      <c r="DL431" s="55"/>
      <c r="DM431" s="55"/>
      <c r="DN431" s="55"/>
      <c r="DO431" s="55"/>
      <c r="DP431" s="55"/>
      <c r="DQ431" s="55"/>
      <c r="DR431" s="55"/>
      <c r="DS431" s="55"/>
      <c r="DT431" s="55"/>
      <c r="DU431" s="55"/>
      <c r="DV431" s="55"/>
      <c r="DW431" s="55"/>
      <c r="DX431" s="55"/>
      <c r="DY431" s="55"/>
      <c r="DZ431" s="55"/>
      <c r="EA431" s="55"/>
      <c r="EB431" s="55"/>
      <c r="EC431" s="55"/>
      <c r="ED431" s="55"/>
      <c r="EE431" s="55"/>
      <c r="EF431" s="55"/>
      <c r="EG431" s="55"/>
      <c r="EH431" s="55"/>
      <c r="EI431" s="55"/>
      <c r="EJ431" s="55"/>
      <c r="EK431" s="55"/>
      <c r="EL431" s="55"/>
      <c r="EM431" s="55"/>
      <c r="EN431" s="55"/>
      <c r="EO431" s="55"/>
      <c r="EP431" s="55"/>
      <c r="EQ431" s="55"/>
      <c r="ER431" s="55"/>
      <c r="ES431" s="55"/>
      <c r="ET431" s="55"/>
      <c r="EU431" s="55"/>
      <c r="EV431" s="55"/>
      <c r="EW431" s="55"/>
      <c r="EX431" s="55"/>
      <c r="EY431" s="55"/>
      <c r="EZ431" s="55"/>
      <c r="FA431" s="55"/>
      <c r="FB431" s="55"/>
      <c r="FC431" s="55"/>
      <c r="FD431" s="55"/>
      <c r="FE431" s="55"/>
      <c r="FF431" s="55"/>
      <c r="FG431" s="55"/>
      <c r="FH431" s="55"/>
      <c r="FI431" s="55"/>
      <c r="FJ431" s="55"/>
      <c r="FK431" s="55"/>
      <c r="FL431" s="55"/>
      <c r="FM431" s="55"/>
      <c r="FN431" s="55"/>
      <c r="FO431" s="55"/>
      <c r="FP431" s="55"/>
      <c r="FQ431" s="55"/>
      <c r="FR431" s="55"/>
      <c r="FS431" s="55"/>
      <c r="FT431" s="55"/>
      <c r="FU431" s="55"/>
      <c r="FV431" s="55"/>
      <c r="FW431" s="55"/>
      <c r="FX431" s="55"/>
      <c r="FY431" s="55"/>
      <c r="FZ431" s="55"/>
      <c r="GA431" s="55"/>
      <c r="GB431" s="55"/>
      <c r="GC431" s="55"/>
      <c r="GD431" s="55"/>
      <c r="GE431" s="55"/>
      <c r="GF431" s="55"/>
      <c r="GG431" s="55"/>
      <c r="GH431" s="55"/>
      <c r="GI431" s="55"/>
      <c r="GJ431" s="55"/>
      <c r="GK431" s="55"/>
      <c r="GL431" s="55"/>
      <c r="GM431" s="55"/>
      <c r="GN431" s="55"/>
      <c r="GO431" s="55"/>
      <c r="GP431" s="55"/>
      <c r="GQ431" s="55"/>
      <c r="GR431" s="55"/>
      <c r="GS431" s="55"/>
      <c r="GT431" s="55"/>
      <c r="GU431" s="55"/>
      <c r="GV431" s="55"/>
      <c r="GW431" s="55"/>
      <c r="GX431" s="55"/>
      <c r="GY431" s="55"/>
      <c r="GZ431" s="55"/>
      <c r="HA431" s="55"/>
      <c r="HB431" s="55"/>
      <c r="HC431" s="55"/>
      <c r="HD431" s="55"/>
      <c r="HE431" s="55"/>
      <c r="HF431" s="55"/>
      <c r="HG431" s="55"/>
      <c r="HH431" s="55"/>
      <c r="HI431" s="55"/>
      <c r="HJ431" s="55"/>
      <c r="HK431" s="55"/>
      <c r="HL431" s="55"/>
      <c r="HM431" s="55"/>
      <c r="HN431" s="55"/>
      <c r="HO431" s="55"/>
      <c r="HP431" s="55"/>
      <c r="HQ431" s="55"/>
      <c r="HR431" s="55"/>
      <c r="HS431" s="55"/>
      <c r="HT431" s="55"/>
      <c r="HU431" s="55"/>
      <c r="HV431" s="55"/>
      <c r="HW431" s="55"/>
      <c r="HX431" s="55"/>
      <c r="HY431" s="55"/>
      <c r="HZ431" s="55"/>
      <c r="IA431" s="55"/>
      <c r="IB431" s="55"/>
      <c r="IC431" s="55"/>
      <c r="ID431" s="55"/>
    </row>
    <row r="432" s="52" customFormat="1" ht="24" customHeight="1" spans="1:238">
      <c r="A432" s="112"/>
      <c r="B432" s="112"/>
      <c r="C432" s="64"/>
      <c r="D432" s="65"/>
      <c r="E432" s="77"/>
      <c r="F432" s="77"/>
      <c r="G432" s="64"/>
      <c r="H432" s="42"/>
      <c r="I432" s="42"/>
      <c r="J432" s="84"/>
      <c r="K432" s="84"/>
      <c r="L432" s="84"/>
      <c r="M432" s="41"/>
      <c r="N432" s="41"/>
      <c r="O432" s="41"/>
      <c r="P432" s="64"/>
      <c r="Q432" s="64"/>
      <c r="R432" s="64"/>
      <c r="S432" s="83"/>
      <c r="T432" s="77"/>
      <c r="U432" s="105" t="s">
        <v>1695</v>
      </c>
      <c r="V432" s="105">
        <v>33040200901</v>
      </c>
      <c r="W432" s="106" t="s">
        <v>1696</v>
      </c>
      <c r="X432" s="105"/>
      <c r="Y432" s="105"/>
      <c r="Z432" s="105" t="s">
        <v>36</v>
      </c>
      <c r="AA432" s="110" t="s">
        <v>500</v>
      </c>
      <c r="AB432" s="50">
        <v>575</v>
      </c>
      <c r="AC432" s="50">
        <v>520</v>
      </c>
      <c r="AD432" s="50">
        <v>445</v>
      </c>
      <c r="AE432" s="112" t="s">
        <v>37</v>
      </c>
      <c r="AF432" s="60"/>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5"/>
      <c r="BV432" s="55"/>
      <c r="BW432" s="55"/>
      <c r="BX432" s="55"/>
      <c r="BY432" s="55"/>
      <c r="BZ432" s="55"/>
      <c r="CA432" s="55"/>
      <c r="CB432" s="55"/>
      <c r="CC432" s="55"/>
      <c r="CD432" s="55"/>
      <c r="CE432" s="55"/>
      <c r="CF432" s="55"/>
      <c r="CG432" s="55"/>
      <c r="CH432" s="55"/>
      <c r="CI432" s="55"/>
      <c r="CJ432" s="55"/>
      <c r="CK432" s="55"/>
      <c r="CL432" s="55"/>
      <c r="CM432" s="55"/>
      <c r="CN432" s="55"/>
      <c r="CO432" s="55"/>
      <c r="CP432" s="55"/>
      <c r="CQ432" s="55"/>
      <c r="CR432" s="55"/>
      <c r="CS432" s="55"/>
      <c r="CT432" s="55"/>
      <c r="CU432" s="55"/>
      <c r="CV432" s="55"/>
      <c r="CW432" s="55"/>
      <c r="CX432" s="55"/>
      <c r="CY432" s="55"/>
      <c r="CZ432" s="55"/>
      <c r="DA432" s="55"/>
      <c r="DB432" s="55"/>
      <c r="DC432" s="55"/>
      <c r="DD432" s="55"/>
      <c r="DE432" s="55"/>
      <c r="DF432" s="55"/>
      <c r="DG432" s="55"/>
      <c r="DH432" s="55"/>
      <c r="DI432" s="55"/>
      <c r="DJ432" s="55"/>
      <c r="DK432" s="55"/>
      <c r="DL432" s="55"/>
      <c r="DM432" s="55"/>
      <c r="DN432" s="55"/>
      <c r="DO432" s="55"/>
      <c r="DP432" s="55"/>
      <c r="DQ432" s="55"/>
      <c r="DR432" s="55"/>
      <c r="DS432" s="55"/>
      <c r="DT432" s="55"/>
      <c r="DU432" s="55"/>
      <c r="DV432" s="55"/>
      <c r="DW432" s="55"/>
      <c r="DX432" s="55"/>
      <c r="DY432" s="55"/>
      <c r="DZ432" s="55"/>
      <c r="EA432" s="55"/>
      <c r="EB432" s="55"/>
      <c r="EC432" s="55"/>
      <c r="ED432" s="55"/>
      <c r="EE432" s="55"/>
      <c r="EF432" s="55"/>
      <c r="EG432" s="55"/>
      <c r="EH432" s="55"/>
      <c r="EI432" s="55"/>
      <c r="EJ432" s="55"/>
      <c r="EK432" s="55"/>
      <c r="EL432" s="55"/>
      <c r="EM432" s="55"/>
      <c r="EN432" s="55"/>
      <c r="EO432" s="55"/>
      <c r="EP432" s="55"/>
      <c r="EQ432" s="55"/>
      <c r="ER432" s="55"/>
      <c r="ES432" s="55"/>
      <c r="ET432" s="55"/>
      <c r="EU432" s="55"/>
      <c r="EV432" s="55"/>
      <c r="EW432" s="55"/>
      <c r="EX432" s="55"/>
      <c r="EY432" s="55"/>
      <c r="EZ432" s="55"/>
      <c r="FA432" s="55"/>
      <c r="FB432" s="55"/>
      <c r="FC432" s="55"/>
      <c r="FD432" s="55"/>
      <c r="FE432" s="55"/>
      <c r="FF432" s="55"/>
      <c r="FG432" s="55"/>
      <c r="FH432" s="55"/>
      <c r="FI432" s="55"/>
      <c r="FJ432" s="55"/>
      <c r="FK432" s="55"/>
      <c r="FL432" s="55"/>
      <c r="FM432" s="55"/>
      <c r="FN432" s="55"/>
      <c r="FO432" s="55"/>
      <c r="FP432" s="55"/>
      <c r="FQ432" s="55"/>
      <c r="FR432" s="55"/>
      <c r="FS432" s="55"/>
      <c r="FT432" s="55"/>
      <c r="FU432" s="55"/>
      <c r="FV432" s="55"/>
      <c r="FW432" s="55"/>
      <c r="FX432" s="55"/>
      <c r="FY432" s="55"/>
      <c r="FZ432" s="55"/>
      <c r="GA432" s="55"/>
      <c r="GB432" s="55"/>
      <c r="GC432" s="55"/>
      <c r="GD432" s="55"/>
      <c r="GE432" s="55"/>
      <c r="GF432" s="55"/>
      <c r="GG432" s="55"/>
      <c r="GH432" s="55"/>
      <c r="GI432" s="55"/>
      <c r="GJ432" s="55"/>
      <c r="GK432" s="55"/>
      <c r="GL432" s="55"/>
      <c r="GM432" s="55"/>
      <c r="GN432" s="55"/>
      <c r="GO432" s="55"/>
      <c r="GP432" s="55"/>
      <c r="GQ432" s="55"/>
      <c r="GR432" s="55"/>
      <c r="GS432" s="55"/>
      <c r="GT432" s="55"/>
      <c r="GU432" s="55"/>
      <c r="GV432" s="55"/>
      <c r="GW432" s="55"/>
      <c r="GX432" s="55"/>
      <c r="GY432" s="55"/>
      <c r="GZ432" s="55"/>
      <c r="HA432" s="55"/>
      <c r="HB432" s="55"/>
      <c r="HC432" s="55"/>
      <c r="HD432" s="55"/>
      <c r="HE432" s="55"/>
      <c r="HF432" s="55"/>
      <c r="HG432" s="55"/>
      <c r="HH432" s="55"/>
      <c r="HI432" s="55"/>
      <c r="HJ432" s="55"/>
      <c r="HK432" s="55"/>
      <c r="HL432" s="55"/>
      <c r="HM432" s="55"/>
      <c r="HN432" s="55"/>
      <c r="HO432" s="55"/>
      <c r="HP432" s="55"/>
      <c r="HQ432" s="55"/>
      <c r="HR432" s="55"/>
      <c r="HS432" s="55"/>
      <c r="HT432" s="55"/>
      <c r="HU432" s="55"/>
      <c r="HV432" s="55"/>
      <c r="HW432" s="55"/>
      <c r="HX432" s="55"/>
      <c r="HY432" s="55"/>
      <c r="HZ432" s="55"/>
      <c r="IA432" s="55"/>
      <c r="IB432" s="55"/>
      <c r="IC432" s="55"/>
      <c r="ID432" s="55"/>
    </row>
    <row r="433" s="52" customFormat="1" ht="25.5" spans="1:238">
      <c r="A433" s="112" t="s">
        <v>95</v>
      </c>
      <c r="B433" s="112" t="s">
        <v>1697</v>
      </c>
      <c r="C433" s="64" t="s">
        <v>1698</v>
      </c>
      <c r="D433" s="65"/>
      <c r="E433" s="77"/>
      <c r="F433" s="77" t="s">
        <v>35</v>
      </c>
      <c r="G433" s="64" t="s">
        <v>110</v>
      </c>
      <c r="H433" s="78">
        <v>246</v>
      </c>
      <c r="I433" s="78">
        <v>221</v>
      </c>
      <c r="J433" s="83">
        <v>230</v>
      </c>
      <c r="K433" s="83"/>
      <c r="L433" s="83"/>
      <c r="M433" s="41">
        <v>235</v>
      </c>
      <c r="N433" s="41">
        <v>220</v>
      </c>
      <c r="O433" s="41">
        <v>200</v>
      </c>
      <c r="P433" s="64" t="s">
        <v>37</v>
      </c>
      <c r="Q433" s="64" t="s">
        <v>35</v>
      </c>
      <c r="R433" s="64" t="s">
        <v>35</v>
      </c>
      <c r="S433" s="83"/>
      <c r="T433" s="77" t="s">
        <v>186</v>
      </c>
      <c r="U433" s="105" t="s">
        <v>1699</v>
      </c>
      <c r="V433" s="105">
        <v>33040200601</v>
      </c>
      <c r="W433" s="106" t="s">
        <v>1700</v>
      </c>
      <c r="X433" s="105"/>
      <c r="Y433" s="105"/>
      <c r="Z433" s="105" t="s">
        <v>36</v>
      </c>
      <c r="AA433" s="110" t="s">
        <v>35</v>
      </c>
      <c r="AB433" s="50">
        <v>880</v>
      </c>
      <c r="AC433" s="50">
        <v>795</v>
      </c>
      <c r="AD433" s="50">
        <v>675</v>
      </c>
      <c r="AE433" s="112" t="s">
        <v>37</v>
      </c>
      <c r="AF433" s="60"/>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c r="BV433" s="55"/>
      <c r="BW433" s="55"/>
      <c r="BX433" s="55"/>
      <c r="BY433" s="55"/>
      <c r="BZ433" s="55"/>
      <c r="CA433" s="55"/>
      <c r="CB433" s="55"/>
      <c r="CC433" s="55"/>
      <c r="CD433" s="55"/>
      <c r="CE433" s="55"/>
      <c r="CF433" s="55"/>
      <c r="CG433" s="55"/>
      <c r="CH433" s="55"/>
      <c r="CI433" s="55"/>
      <c r="CJ433" s="55"/>
      <c r="CK433" s="55"/>
      <c r="CL433" s="55"/>
      <c r="CM433" s="55"/>
      <c r="CN433" s="55"/>
      <c r="CO433" s="55"/>
      <c r="CP433" s="55"/>
      <c r="CQ433" s="55"/>
      <c r="CR433" s="55"/>
      <c r="CS433" s="55"/>
      <c r="CT433" s="55"/>
      <c r="CU433" s="55"/>
      <c r="CV433" s="55"/>
      <c r="CW433" s="55"/>
      <c r="CX433" s="55"/>
      <c r="CY433" s="55"/>
      <c r="CZ433" s="55"/>
      <c r="DA433" s="55"/>
      <c r="DB433" s="55"/>
      <c r="DC433" s="55"/>
      <c r="DD433" s="55"/>
      <c r="DE433" s="55"/>
      <c r="DF433" s="55"/>
      <c r="DG433" s="55"/>
      <c r="DH433" s="55"/>
      <c r="DI433" s="55"/>
      <c r="DJ433" s="55"/>
      <c r="DK433" s="55"/>
      <c r="DL433" s="55"/>
      <c r="DM433" s="55"/>
      <c r="DN433" s="55"/>
      <c r="DO433" s="55"/>
      <c r="DP433" s="55"/>
      <c r="DQ433" s="55"/>
      <c r="DR433" s="55"/>
      <c r="DS433" s="55"/>
      <c r="DT433" s="55"/>
      <c r="DU433" s="55"/>
      <c r="DV433" s="55"/>
      <c r="DW433" s="55"/>
      <c r="DX433" s="55"/>
      <c r="DY433" s="55"/>
      <c r="DZ433" s="55"/>
      <c r="EA433" s="55"/>
      <c r="EB433" s="55"/>
      <c r="EC433" s="55"/>
      <c r="ED433" s="55"/>
      <c r="EE433" s="55"/>
      <c r="EF433" s="55"/>
      <c r="EG433" s="55"/>
      <c r="EH433" s="55"/>
      <c r="EI433" s="55"/>
      <c r="EJ433" s="55"/>
      <c r="EK433" s="55"/>
      <c r="EL433" s="55"/>
      <c r="EM433" s="55"/>
      <c r="EN433" s="55"/>
      <c r="EO433" s="55"/>
      <c r="EP433" s="55"/>
      <c r="EQ433" s="55"/>
      <c r="ER433" s="55"/>
      <c r="ES433" s="55"/>
      <c r="ET433" s="55"/>
      <c r="EU433" s="55"/>
      <c r="EV433" s="55"/>
      <c r="EW433" s="55"/>
      <c r="EX433" s="55"/>
      <c r="EY433" s="55"/>
      <c r="EZ433" s="55"/>
      <c r="FA433" s="55"/>
      <c r="FB433" s="55"/>
      <c r="FC433" s="55"/>
      <c r="FD433" s="55"/>
      <c r="FE433" s="55"/>
      <c r="FF433" s="55"/>
      <c r="FG433" s="55"/>
      <c r="FH433" s="55"/>
      <c r="FI433" s="55"/>
      <c r="FJ433" s="55"/>
      <c r="FK433" s="55"/>
      <c r="FL433" s="55"/>
      <c r="FM433" s="55"/>
      <c r="FN433" s="55"/>
      <c r="FO433" s="55"/>
      <c r="FP433" s="55"/>
      <c r="FQ433" s="55"/>
      <c r="FR433" s="55"/>
      <c r="FS433" s="55"/>
      <c r="FT433" s="55"/>
      <c r="FU433" s="55"/>
      <c r="FV433" s="55"/>
      <c r="FW433" s="55"/>
      <c r="FX433" s="55"/>
      <c r="FY433" s="55"/>
      <c r="FZ433" s="55"/>
      <c r="GA433" s="55"/>
      <c r="GB433" s="55"/>
      <c r="GC433" s="55"/>
      <c r="GD433" s="55"/>
      <c r="GE433" s="55"/>
      <c r="GF433" s="55"/>
      <c r="GG433" s="55"/>
      <c r="GH433" s="55"/>
      <c r="GI433" s="55"/>
      <c r="GJ433" s="55"/>
      <c r="GK433" s="55"/>
      <c r="GL433" s="55"/>
      <c r="GM433" s="55"/>
      <c r="GN433" s="55"/>
      <c r="GO433" s="55"/>
      <c r="GP433" s="55"/>
      <c r="GQ433" s="55"/>
      <c r="GR433" s="55"/>
      <c r="GS433" s="55"/>
      <c r="GT433" s="55"/>
      <c r="GU433" s="55"/>
      <c r="GV433" s="55"/>
      <c r="GW433" s="55"/>
      <c r="GX433" s="55"/>
      <c r="GY433" s="55"/>
      <c r="GZ433" s="55"/>
      <c r="HA433" s="55"/>
      <c r="HB433" s="55"/>
      <c r="HC433" s="55"/>
      <c r="HD433" s="55"/>
      <c r="HE433" s="55"/>
      <c r="HF433" s="55"/>
      <c r="HG433" s="55"/>
      <c r="HH433" s="55"/>
      <c r="HI433" s="55"/>
      <c r="HJ433" s="55"/>
      <c r="HK433" s="55"/>
      <c r="HL433" s="55"/>
      <c r="HM433" s="55"/>
      <c r="HN433" s="55"/>
      <c r="HO433" s="55"/>
      <c r="HP433" s="55"/>
      <c r="HQ433" s="55"/>
      <c r="HR433" s="55"/>
      <c r="HS433" s="55"/>
      <c r="HT433" s="55"/>
      <c r="HU433" s="55"/>
      <c r="HV433" s="55"/>
      <c r="HW433" s="55"/>
      <c r="HX433" s="55"/>
      <c r="HY433" s="55"/>
      <c r="HZ433" s="55"/>
      <c r="IA433" s="55"/>
      <c r="IB433" s="55"/>
      <c r="IC433" s="55"/>
      <c r="ID433" s="55"/>
    </row>
    <row r="434" s="52" customFormat="1" ht="25.5" spans="1:238">
      <c r="A434" s="112"/>
      <c r="B434" s="112"/>
      <c r="C434" s="64"/>
      <c r="D434" s="65"/>
      <c r="E434" s="77"/>
      <c r="F434" s="77"/>
      <c r="G434" s="64"/>
      <c r="H434" s="42"/>
      <c r="I434" s="42"/>
      <c r="J434" s="83"/>
      <c r="K434" s="83"/>
      <c r="L434" s="83"/>
      <c r="M434" s="41"/>
      <c r="N434" s="41"/>
      <c r="O434" s="41"/>
      <c r="P434" s="64"/>
      <c r="Q434" s="64"/>
      <c r="R434" s="64"/>
      <c r="S434" s="83"/>
      <c r="T434" s="77"/>
      <c r="U434" s="105" t="s">
        <v>1701</v>
      </c>
      <c r="V434" s="105">
        <v>33040200301</v>
      </c>
      <c r="W434" s="106" t="s">
        <v>1702</v>
      </c>
      <c r="X434" s="105"/>
      <c r="Y434" s="105"/>
      <c r="Z434" s="105" t="s">
        <v>36</v>
      </c>
      <c r="AA434" s="110" t="s">
        <v>35</v>
      </c>
      <c r="AB434" s="50">
        <v>1430</v>
      </c>
      <c r="AC434" s="50">
        <v>1285</v>
      </c>
      <c r="AD434" s="50">
        <v>1090</v>
      </c>
      <c r="AE434" s="112" t="s">
        <v>37</v>
      </c>
      <c r="AF434" s="60"/>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c r="BV434" s="55"/>
      <c r="BW434" s="55"/>
      <c r="BX434" s="55"/>
      <c r="BY434" s="55"/>
      <c r="BZ434" s="55"/>
      <c r="CA434" s="55"/>
      <c r="CB434" s="55"/>
      <c r="CC434" s="55"/>
      <c r="CD434" s="55"/>
      <c r="CE434" s="55"/>
      <c r="CF434" s="55"/>
      <c r="CG434" s="55"/>
      <c r="CH434" s="55"/>
      <c r="CI434" s="55"/>
      <c r="CJ434" s="55"/>
      <c r="CK434" s="55"/>
      <c r="CL434" s="55"/>
      <c r="CM434" s="55"/>
      <c r="CN434" s="55"/>
      <c r="CO434" s="55"/>
      <c r="CP434" s="55"/>
      <c r="CQ434" s="55"/>
      <c r="CR434" s="55"/>
      <c r="CS434" s="55"/>
      <c r="CT434" s="55"/>
      <c r="CU434" s="55"/>
      <c r="CV434" s="55"/>
      <c r="CW434" s="55"/>
      <c r="CX434" s="55"/>
      <c r="CY434" s="55"/>
      <c r="CZ434" s="55"/>
      <c r="DA434" s="55"/>
      <c r="DB434" s="55"/>
      <c r="DC434" s="55"/>
      <c r="DD434" s="55"/>
      <c r="DE434" s="55"/>
      <c r="DF434" s="55"/>
      <c r="DG434" s="55"/>
      <c r="DH434" s="55"/>
      <c r="DI434" s="55"/>
      <c r="DJ434" s="55"/>
      <c r="DK434" s="55"/>
      <c r="DL434" s="55"/>
      <c r="DM434" s="55"/>
      <c r="DN434" s="55"/>
      <c r="DO434" s="55"/>
      <c r="DP434" s="55"/>
      <c r="DQ434" s="55"/>
      <c r="DR434" s="55"/>
      <c r="DS434" s="55"/>
      <c r="DT434" s="55"/>
      <c r="DU434" s="55"/>
      <c r="DV434" s="55"/>
      <c r="DW434" s="55"/>
      <c r="DX434" s="55"/>
      <c r="DY434" s="55"/>
      <c r="DZ434" s="55"/>
      <c r="EA434" s="55"/>
      <c r="EB434" s="55"/>
      <c r="EC434" s="55"/>
      <c r="ED434" s="55"/>
      <c r="EE434" s="55"/>
      <c r="EF434" s="55"/>
      <c r="EG434" s="55"/>
      <c r="EH434" s="55"/>
      <c r="EI434" s="55"/>
      <c r="EJ434" s="55"/>
      <c r="EK434" s="55"/>
      <c r="EL434" s="55"/>
      <c r="EM434" s="55"/>
      <c r="EN434" s="55"/>
      <c r="EO434" s="55"/>
      <c r="EP434" s="55"/>
      <c r="EQ434" s="55"/>
      <c r="ER434" s="55"/>
      <c r="ES434" s="55"/>
      <c r="ET434" s="55"/>
      <c r="EU434" s="55"/>
      <c r="EV434" s="55"/>
      <c r="EW434" s="55"/>
      <c r="EX434" s="55"/>
      <c r="EY434" s="55"/>
      <c r="EZ434" s="55"/>
      <c r="FA434" s="55"/>
      <c r="FB434" s="55"/>
      <c r="FC434" s="55"/>
      <c r="FD434" s="55"/>
      <c r="FE434" s="55"/>
      <c r="FF434" s="55"/>
      <c r="FG434" s="55"/>
      <c r="FH434" s="55"/>
      <c r="FI434" s="55"/>
      <c r="FJ434" s="55"/>
      <c r="FK434" s="55"/>
      <c r="FL434" s="55"/>
      <c r="FM434" s="55"/>
      <c r="FN434" s="55"/>
      <c r="FO434" s="55"/>
      <c r="FP434" s="55"/>
      <c r="FQ434" s="55"/>
      <c r="FR434" s="55"/>
      <c r="FS434" s="55"/>
      <c r="FT434" s="55"/>
      <c r="FU434" s="55"/>
      <c r="FV434" s="55"/>
      <c r="FW434" s="55"/>
      <c r="FX434" s="55"/>
      <c r="FY434" s="55"/>
      <c r="FZ434" s="55"/>
      <c r="GA434" s="55"/>
      <c r="GB434" s="55"/>
      <c r="GC434" s="55"/>
      <c r="GD434" s="55"/>
      <c r="GE434" s="55"/>
      <c r="GF434" s="55"/>
      <c r="GG434" s="55"/>
      <c r="GH434" s="55"/>
      <c r="GI434" s="55"/>
      <c r="GJ434" s="55"/>
      <c r="GK434" s="55"/>
      <c r="GL434" s="55"/>
      <c r="GM434" s="55"/>
      <c r="GN434" s="55"/>
      <c r="GO434" s="55"/>
      <c r="GP434" s="55"/>
      <c r="GQ434" s="55"/>
      <c r="GR434" s="55"/>
      <c r="GS434" s="55"/>
      <c r="GT434" s="55"/>
      <c r="GU434" s="55"/>
      <c r="GV434" s="55"/>
      <c r="GW434" s="55"/>
      <c r="GX434" s="55"/>
      <c r="GY434" s="55"/>
      <c r="GZ434" s="55"/>
      <c r="HA434" s="55"/>
      <c r="HB434" s="55"/>
      <c r="HC434" s="55"/>
      <c r="HD434" s="55"/>
      <c r="HE434" s="55"/>
      <c r="HF434" s="55"/>
      <c r="HG434" s="55"/>
      <c r="HH434" s="55"/>
      <c r="HI434" s="55"/>
      <c r="HJ434" s="55"/>
      <c r="HK434" s="55"/>
      <c r="HL434" s="55"/>
      <c r="HM434" s="55"/>
      <c r="HN434" s="55"/>
      <c r="HO434" s="55"/>
      <c r="HP434" s="55"/>
      <c r="HQ434" s="55"/>
      <c r="HR434" s="55"/>
      <c r="HS434" s="55"/>
      <c r="HT434" s="55"/>
      <c r="HU434" s="55"/>
      <c r="HV434" s="55"/>
      <c r="HW434" s="55"/>
      <c r="HX434" s="55"/>
      <c r="HY434" s="55"/>
      <c r="HZ434" s="55"/>
      <c r="IA434" s="55"/>
      <c r="IB434" s="55"/>
      <c r="IC434" s="55"/>
      <c r="ID434" s="55"/>
    </row>
    <row r="435" s="52" customFormat="1" ht="25.5" spans="1:238">
      <c r="A435" s="112"/>
      <c r="B435" s="112"/>
      <c r="C435" s="64"/>
      <c r="D435" s="65"/>
      <c r="E435" s="77"/>
      <c r="F435" s="77"/>
      <c r="G435" s="64"/>
      <c r="H435" s="42"/>
      <c r="I435" s="42"/>
      <c r="J435" s="83"/>
      <c r="K435" s="83"/>
      <c r="L435" s="83"/>
      <c r="M435" s="41"/>
      <c r="N435" s="41"/>
      <c r="O435" s="41"/>
      <c r="P435" s="64"/>
      <c r="Q435" s="64"/>
      <c r="R435" s="64"/>
      <c r="S435" s="83"/>
      <c r="T435" s="77"/>
      <c r="U435" s="105" t="s">
        <v>1703</v>
      </c>
      <c r="V435" s="105">
        <v>33040200701</v>
      </c>
      <c r="W435" s="106" t="s">
        <v>1704</v>
      </c>
      <c r="X435" s="105"/>
      <c r="Y435" s="105"/>
      <c r="Z435" s="105" t="s">
        <v>36</v>
      </c>
      <c r="AA435" s="110" t="s">
        <v>35</v>
      </c>
      <c r="AB435" s="50">
        <v>1205</v>
      </c>
      <c r="AC435" s="50">
        <v>1085</v>
      </c>
      <c r="AD435" s="50">
        <v>920</v>
      </c>
      <c r="AE435" s="112" t="s">
        <v>37</v>
      </c>
      <c r="AF435" s="60"/>
      <c r="AG435" s="55"/>
      <c r="AH435" s="55"/>
      <c r="AI435" s="55"/>
      <c r="AJ435" s="55"/>
      <c r="AK435" s="55"/>
      <c r="AL435" s="55"/>
      <c r="AM435" s="55"/>
      <c r="AN435" s="55"/>
      <c r="AO435" s="55"/>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c r="BV435" s="55"/>
      <c r="BW435" s="55"/>
      <c r="BX435" s="55"/>
      <c r="BY435" s="55"/>
      <c r="BZ435" s="55"/>
      <c r="CA435" s="55"/>
      <c r="CB435" s="55"/>
      <c r="CC435" s="55"/>
      <c r="CD435" s="55"/>
      <c r="CE435" s="55"/>
      <c r="CF435" s="55"/>
      <c r="CG435" s="55"/>
      <c r="CH435" s="55"/>
      <c r="CI435" s="55"/>
      <c r="CJ435" s="55"/>
      <c r="CK435" s="55"/>
      <c r="CL435" s="55"/>
      <c r="CM435" s="55"/>
      <c r="CN435" s="55"/>
      <c r="CO435" s="55"/>
      <c r="CP435" s="55"/>
      <c r="CQ435" s="55"/>
      <c r="CR435" s="55"/>
      <c r="CS435" s="55"/>
      <c r="CT435" s="55"/>
      <c r="CU435" s="55"/>
      <c r="CV435" s="55"/>
      <c r="CW435" s="55"/>
      <c r="CX435" s="55"/>
      <c r="CY435" s="55"/>
      <c r="CZ435" s="55"/>
      <c r="DA435" s="55"/>
      <c r="DB435" s="55"/>
      <c r="DC435" s="55"/>
      <c r="DD435" s="55"/>
      <c r="DE435" s="55"/>
      <c r="DF435" s="55"/>
      <c r="DG435" s="55"/>
      <c r="DH435" s="55"/>
      <c r="DI435" s="55"/>
      <c r="DJ435" s="55"/>
      <c r="DK435" s="55"/>
      <c r="DL435" s="55"/>
      <c r="DM435" s="55"/>
      <c r="DN435" s="55"/>
      <c r="DO435" s="55"/>
      <c r="DP435" s="55"/>
      <c r="DQ435" s="55"/>
      <c r="DR435" s="55"/>
      <c r="DS435" s="55"/>
      <c r="DT435" s="55"/>
      <c r="DU435" s="55"/>
      <c r="DV435" s="55"/>
      <c r="DW435" s="55"/>
      <c r="DX435" s="55"/>
      <c r="DY435" s="55"/>
      <c r="DZ435" s="55"/>
      <c r="EA435" s="55"/>
      <c r="EB435" s="55"/>
      <c r="EC435" s="55"/>
      <c r="ED435" s="55"/>
      <c r="EE435" s="55"/>
      <c r="EF435" s="55"/>
      <c r="EG435" s="55"/>
      <c r="EH435" s="55"/>
      <c r="EI435" s="55"/>
      <c r="EJ435" s="55"/>
      <c r="EK435" s="55"/>
      <c r="EL435" s="55"/>
      <c r="EM435" s="55"/>
      <c r="EN435" s="55"/>
      <c r="EO435" s="55"/>
      <c r="EP435" s="55"/>
      <c r="EQ435" s="55"/>
      <c r="ER435" s="55"/>
      <c r="ES435" s="55"/>
      <c r="ET435" s="55"/>
      <c r="EU435" s="55"/>
      <c r="EV435" s="55"/>
      <c r="EW435" s="55"/>
      <c r="EX435" s="55"/>
      <c r="EY435" s="55"/>
      <c r="EZ435" s="55"/>
      <c r="FA435" s="55"/>
      <c r="FB435" s="55"/>
      <c r="FC435" s="55"/>
      <c r="FD435" s="55"/>
      <c r="FE435" s="55"/>
      <c r="FF435" s="55"/>
      <c r="FG435" s="55"/>
      <c r="FH435" s="55"/>
      <c r="FI435" s="55"/>
      <c r="FJ435" s="55"/>
      <c r="FK435" s="55"/>
      <c r="FL435" s="55"/>
      <c r="FM435" s="55"/>
      <c r="FN435" s="55"/>
      <c r="FO435" s="55"/>
      <c r="FP435" s="55"/>
      <c r="FQ435" s="55"/>
      <c r="FR435" s="55"/>
      <c r="FS435" s="55"/>
      <c r="FT435" s="55"/>
      <c r="FU435" s="55"/>
      <c r="FV435" s="55"/>
      <c r="FW435" s="55"/>
      <c r="FX435" s="55"/>
      <c r="FY435" s="55"/>
      <c r="FZ435" s="55"/>
      <c r="GA435" s="55"/>
      <c r="GB435" s="55"/>
      <c r="GC435" s="55"/>
      <c r="GD435" s="55"/>
      <c r="GE435" s="55"/>
      <c r="GF435" s="55"/>
      <c r="GG435" s="55"/>
      <c r="GH435" s="55"/>
      <c r="GI435" s="55"/>
      <c r="GJ435" s="55"/>
      <c r="GK435" s="55"/>
      <c r="GL435" s="55"/>
      <c r="GM435" s="55"/>
      <c r="GN435" s="55"/>
      <c r="GO435" s="55"/>
      <c r="GP435" s="55"/>
      <c r="GQ435" s="55"/>
      <c r="GR435" s="55"/>
      <c r="GS435" s="55"/>
      <c r="GT435" s="55"/>
      <c r="GU435" s="55"/>
      <c r="GV435" s="55"/>
      <c r="GW435" s="55"/>
      <c r="GX435" s="55"/>
      <c r="GY435" s="55"/>
      <c r="GZ435" s="55"/>
      <c r="HA435" s="55"/>
      <c r="HB435" s="55"/>
      <c r="HC435" s="55"/>
      <c r="HD435" s="55"/>
      <c r="HE435" s="55"/>
      <c r="HF435" s="55"/>
      <c r="HG435" s="55"/>
      <c r="HH435" s="55"/>
      <c r="HI435" s="55"/>
      <c r="HJ435" s="55"/>
      <c r="HK435" s="55"/>
      <c r="HL435" s="55"/>
      <c r="HM435" s="55"/>
      <c r="HN435" s="55"/>
      <c r="HO435" s="55"/>
      <c r="HP435" s="55"/>
      <c r="HQ435" s="55"/>
      <c r="HR435" s="55"/>
      <c r="HS435" s="55"/>
      <c r="HT435" s="55"/>
      <c r="HU435" s="55"/>
      <c r="HV435" s="55"/>
      <c r="HW435" s="55"/>
      <c r="HX435" s="55"/>
      <c r="HY435" s="55"/>
      <c r="HZ435" s="55"/>
      <c r="IA435" s="55"/>
      <c r="IB435" s="55"/>
      <c r="IC435" s="55"/>
      <c r="ID435" s="55"/>
    </row>
    <row r="436" s="52" customFormat="1" ht="25.5" spans="1:238">
      <c r="A436" s="112"/>
      <c r="B436" s="112"/>
      <c r="C436" s="64"/>
      <c r="D436" s="65"/>
      <c r="E436" s="77"/>
      <c r="F436" s="77"/>
      <c r="G436" s="64"/>
      <c r="H436" s="42"/>
      <c r="I436" s="42"/>
      <c r="J436" s="83"/>
      <c r="K436" s="83"/>
      <c r="L436" s="83"/>
      <c r="M436" s="41"/>
      <c r="N436" s="41"/>
      <c r="O436" s="41"/>
      <c r="P436" s="64"/>
      <c r="Q436" s="64"/>
      <c r="R436" s="64"/>
      <c r="S436" s="83"/>
      <c r="T436" s="77"/>
      <c r="U436" s="105" t="s">
        <v>1705</v>
      </c>
      <c r="V436" s="105">
        <v>33040200801</v>
      </c>
      <c r="W436" s="106" t="s">
        <v>1706</v>
      </c>
      <c r="X436" s="105"/>
      <c r="Y436" s="105"/>
      <c r="Z436" s="105" t="s">
        <v>36</v>
      </c>
      <c r="AA436" s="110" t="s">
        <v>35</v>
      </c>
      <c r="AB436" s="50">
        <v>990</v>
      </c>
      <c r="AC436" s="50">
        <v>890</v>
      </c>
      <c r="AD436" s="50">
        <v>755</v>
      </c>
      <c r="AE436" s="112" t="s">
        <v>37</v>
      </c>
      <c r="AF436" s="60"/>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5"/>
      <c r="BV436" s="55"/>
      <c r="BW436" s="55"/>
      <c r="BX436" s="55"/>
      <c r="BY436" s="55"/>
      <c r="BZ436" s="55"/>
      <c r="CA436" s="55"/>
      <c r="CB436" s="55"/>
      <c r="CC436" s="55"/>
      <c r="CD436" s="55"/>
      <c r="CE436" s="55"/>
      <c r="CF436" s="55"/>
      <c r="CG436" s="55"/>
      <c r="CH436" s="55"/>
      <c r="CI436" s="55"/>
      <c r="CJ436" s="55"/>
      <c r="CK436" s="55"/>
      <c r="CL436" s="55"/>
      <c r="CM436" s="55"/>
      <c r="CN436" s="55"/>
      <c r="CO436" s="55"/>
      <c r="CP436" s="55"/>
      <c r="CQ436" s="55"/>
      <c r="CR436" s="55"/>
      <c r="CS436" s="55"/>
      <c r="CT436" s="55"/>
      <c r="CU436" s="55"/>
      <c r="CV436" s="55"/>
      <c r="CW436" s="55"/>
      <c r="CX436" s="55"/>
      <c r="CY436" s="55"/>
      <c r="CZ436" s="55"/>
      <c r="DA436" s="55"/>
      <c r="DB436" s="55"/>
      <c r="DC436" s="55"/>
      <c r="DD436" s="55"/>
      <c r="DE436" s="55"/>
      <c r="DF436" s="55"/>
      <c r="DG436" s="55"/>
      <c r="DH436" s="55"/>
      <c r="DI436" s="55"/>
      <c r="DJ436" s="55"/>
      <c r="DK436" s="55"/>
      <c r="DL436" s="55"/>
      <c r="DM436" s="55"/>
      <c r="DN436" s="55"/>
      <c r="DO436" s="55"/>
      <c r="DP436" s="55"/>
      <c r="DQ436" s="55"/>
      <c r="DR436" s="55"/>
      <c r="DS436" s="55"/>
      <c r="DT436" s="55"/>
      <c r="DU436" s="55"/>
      <c r="DV436" s="55"/>
      <c r="DW436" s="55"/>
      <c r="DX436" s="55"/>
      <c r="DY436" s="55"/>
      <c r="DZ436" s="55"/>
      <c r="EA436" s="55"/>
      <c r="EB436" s="55"/>
      <c r="EC436" s="55"/>
      <c r="ED436" s="55"/>
      <c r="EE436" s="55"/>
      <c r="EF436" s="55"/>
      <c r="EG436" s="55"/>
      <c r="EH436" s="55"/>
      <c r="EI436" s="55"/>
      <c r="EJ436" s="55"/>
      <c r="EK436" s="55"/>
      <c r="EL436" s="55"/>
      <c r="EM436" s="55"/>
      <c r="EN436" s="55"/>
      <c r="EO436" s="55"/>
      <c r="EP436" s="55"/>
      <c r="EQ436" s="55"/>
      <c r="ER436" s="55"/>
      <c r="ES436" s="55"/>
      <c r="ET436" s="55"/>
      <c r="EU436" s="55"/>
      <c r="EV436" s="55"/>
      <c r="EW436" s="55"/>
      <c r="EX436" s="55"/>
      <c r="EY436" s="55"/>
      <c r="EZ436" s="55"/>
      <c r="FA436" s="55"/>
      <c r="FB436" s="55"/>
      <c r="FC436" s="55"/>
      <c r="FD436" s="55"/>
      <c r="FE436" s="55"/>
      <c r="FF436" s="55"/>
      <c r="FG436" s="55"/>
      <c r="FH436" s="55"/>
      <c r="FI436" s="55"/>
      <c r="FJ436" s="55"/>
      <c r="FK436" s="55"/>
      <c r="FL436" s="55"/>
      <c r="FM436" s="55"/>
      <c r="FN436" s="55"/>
      <c r="FO436" s="55"/>
      <c r="FP436" s="55"/>
      <c r="FQ436" s="55"/>
      <c r="FR436" s="55"/>
      <c r="FS436" s="55"/>
      <c r="FT436" s="55"/>
      <c r="FU436" s="55"/>
      <c r="FV436" s="55"/>
      <c r="FW436" s="55"/>
      <c r="FX436" s="55"/>
      <c r="FY436" s="55"/>
      <c r="FZ436" s="55"/>
      <c r="GA436" s="55"/>
      <c r="GB436" s="55"/>
      <c r="GC436" s="55"/>
      <c r="GD436" s="55"/>
      <c r="GE436" s="55"/>
      <c r="GF436" s="55"/>
      <c r="GG436" s="55"/>
      <c r="GH436" s="55"/>
      <c r="GI436" s="55"/>
      <c r="GJ436" s="55"/>
      <c r="GK436" s="55"/>
      <c r="GL436" s="55"/>
      <c r="GM436" s="55"/>
      <c r="GN436" s="55"/>
      <c r="GO436" s="55"/>
      <c r="GP436" s="55"/>
      <c r="GQ436" s="55"/>
      <c r="GR436" s="55"/>
      <c r="GS436" s="55"/>
      <c r="GT436" s="55"/>
      <c r="GU436" s="55"/>
      <c r="GV436" s="55"/>
      <c r="GW436" s="55"/>
      <c r="GX436" s="55"/>
      <c r="GY436" s="55"/>
      <c r="GZ436" s="55"/>
      <c r="HA436" s="55"/>
      <c r="HB436" s="55"/>
      <c r="HC436" s="55"/>
      <c r="HD436" s="55"/>
      <c r="HE436" s="55"/>
      <c r="HF436" s="55"/>
      <c r="HG436" s="55"/>
      <c r="HH436" s="55"/>
      <c r="HI436" s="55"/>
      <c r="HJ436" s="55"/>
      <c r="HK436" s="55"/>
      <c r="HL436" s="55"/>
      <c r="HM436" s="55"/>
      <c r="HN436" s="55"/>
      <c r="HO436" s="55"/>
      <c r="HP436" s="55"/>
      <c r="HQ436" s="55"/>
      <c r="HR436" s="55"/>
      <c r="HS436" s="55"/>
      <c r="HT436" s="55"/>
      <c r="HU436" s="55"/>
      <c r="HV436" s="55"/>
      <c r="HW436" s="55"/>
      <c r="HX436" s="55"/>
      <c r="HY436" s="55"/>
      <c r="HZ436" s="55"/>
      <c r="IA436" s="55"/>
      <c r="IB436" s="55"/>
      <c r="IC436" s="55"/>
      <c r="ID436" s="55"/>
    </row>
    <row r="437" s="52" customFormat="1" ht="25.5" spans="1:238">
      <c r="A437" s="112"/>
      <c r="B437" s="112"/>
      <c r="C437" s="64"/>
      <c r="D437" s="65"/>
      <c r="E437" s="77"/>
      <c r="F437" s="77"/>
      <c r="G437" s="64"/>
      <c r="H437" s="42"/>
      <c r="I437" s="42"/>
      <c r="J437" s="83"/>
      <c r="K437" s="83"/>
      <c r="L437" s="83"/>
      <c r="M437" s="41"/>
      <c r="N437" s="41"/>
      <c r="O437" s="41"/>
      <c r="P437" s="64"/>
      <c r="Q437" s="64"/>
      <c r="R437" s="64"/>
      <c r="S437" s="83"/>
      <c r="T437" s="77"/>
      <c r="U437" s="105" t="s">
        <v>1707</v>
      </c>
      <c r="V437" s="105">
        <v>33040200902</v>
      </c>
      <c r="W437" s="106" t="s">
        <v>1708</v>
      </c>
      <c r="X437" s="105"/>
      <c r="Y437" s="105"/>
      <c r="Z437" s="105" t="s">
        <v>36</v>
      </c>
      <c r="AA437" s="110" t="s">
        <v>35</v>
      </c>
      <c r="AB437" s="50">
        <v>655</v>
      </c>
      <c r="AC437" s="50">
        <v>590</v>
      </c>
      <c r="AD437" s="50">
        <v>500</v>
      </c>
      <c r="AE437" s="112" t="s">
        <v>37</v>
      </c>
      <c r="AF437" s="60"/>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5"/>
      <c r="BV437" s="55"/>
      <c r="BW437" s="55"/>
      <c r="BX437" s="55"/>
      <c r="BY437" s="55"/>
      <c r="BZ437" s="55"/>
      <c r="CA437" s="55"/>
      <c r="CB437" s="55"/>
      <c r="CC437" s="55"/>
      <c r="CD437" s="55"/>
      <c r="CE437" s="55"/>
      <c r="CF437" s="55"/>
      <c r="CG437" s="55"/>
      <c r="CH437" s="55"/>
      <c r="CI437" s="55"/>
      <c r="CJ437" s="55"/>
      <c r="CK437" s="55"/>
      <c r="CL437" s="55"/>
      <c r="CM437" s="55"/>
      <c r="CN437" s="55"/>
      <c r="CO437" s="55"/>
      <c r="CP437" s="55"/>
      <c r="CQ437" s="55"/>
      <c r="CR437" s="55"/>
      <c r="CS437" s="55"/>
      <c r="CT437" s="55"/>
      <c r="CU437" s="55"/>
      <c r="CV437" s="55"/>
      <c r="CW437" s="55"/>
      <c r="CX437" s="55"/>
      <c r="CY437" s="55"/>
      <c r="CZ437" s="55"/>
      <c r="DA437" s="55"/>
      <c r="DB437" s="55"/>
      <c r="DC437" s="55"/>
      <c r="DD437" s="55"/>
      <c r="DE437" s="55"/>
      <c r="DF437" s="55"/>
      <c r="DG437" s="55"/>
      <c r="DH437" s="55"/>
      <c r="DI437" s="55"/>
      <c r="DJ437" s="55"/>
      <c r="DK437" s="55"/>
      <c r="DL437" s="55"/>
      <c r="DM437" s="55"/>
      <c r="DN437" s="55"/>
      <c r="DO437" s="55"/>
      <c r="DP437" s="55"/>
      <c r="DQ437" s="55"/>
      <c r="DR437" s="55"/>
      <c r="DS437" s="55"/>
      <c r="DT437" s="55"/>
      <c r="DU437" s="55"/>
      <c r="DV437" s="55"/>
      <c r="DW437" s="55"/>
      <c r="DX437" s="55"/>
      <c r="DY437" s="55"/>
      <c r="DZ437" s="55"/>
      <c r="EA437" s="55"/>
      <c r="EB437" s="55"/>
      <c r="EC437" s="55"/>
      <c r="ED437" s="55"/>
      <c r="EE437" s="55"/>
      <c r="EF437" s="55"/>
      <c r="EG437" s="55"/>
      <c r="EH437" s="55"/>
      <c r="EI437" s="55"/>
      <c r="EJ437" s="55"/>
      <c r="EK437" s="55"/>
      <c r="EL437" s="55"/>
      <c r="EM437" s="55"/>
      <c r="EN437" s="55"/>
      <c r="EO437" s="55"/>
      <c r="EP437" s="55"/>
      <c r="EQ437" s="55"/>
      <c r="ER437" s="55"/>
      <c r="ES437" s="55"/>
      <c r="ET437" s="55"/>
      <c r="EU437" s="55"/>
      <c r="EV437" s="55"/>
      <c r="EW437" s="55"/>
      <c r="EX437" s="55"/>
      <c r="EY437" s="55"/>
      <c r="EZ437" s="55"/>
      <c r="FA437" s="55"/>
      <c r="FB437" s="55"/>
      <c r="FC437" s="55"/>
      <c r="FD437" s="55"/>
      <c r="FE437" s="55"/>
      <c r="FF437" s="55"/>
      <c r="FG437" s="55"/>
      <c r="FH437" s="55"/>
      <c r="FI437" s="55"/>
      <c r="FJ437" s="55"/>
      <c r="FK437" s="55"/>
      <c r="FL437" s="55"/>
      <c r="FM437" s="55"/>
      <c r="FN437" s="55"/>
      <c r="FO437" s="55"/>
      <c r="FP437" s="55"/>
      <c r="FQ437" s="55"/>
      <c r="FR437" s="55"/>
      <c r="FS437" s="55"/>
      <c r="FT437" s="55"/>
      <c r="FU437" s="55"/>
      <c r="FV437" s="55"/>
      <c r="FW437" s="55"/>
      <c r="FX437" s="55"/>
      <c r="FY437" s="55"/>
      <c r="FZ437" s="55"/>
      <c r="GA437" s="55"/>
      <c r="GB437" s="55"/>
      <c r="GC437" s="55"/>
      <c r="GD437" s="55"/>
      <c r="GE437" s="55"/>
      <c r="GF437" s="55"/>
      <c r="GG437" s="55"/>
      <c r="GH437" s="55"/>
      <c r="GI437" s="55"/>
      <c r="GJ437" s="55"/>
      <c r="GK437" s="55"/>
      <c r="GL437" s="55"/>
      <c r="GM437" s="55"/>
      <c r="GN437" s="55"/>
      <c r="GO437" s="55"/>
      <c r="GP437" s="55"/>
      <c r="GQ437" s="55"/>
      <c r="GR437" s="55"/>
      <c r="GS437" s="55"/>
      <c r="GT437" s="55"/>
      <c r="GU437" s="55"/>
      <c r="GV437" s="55"/>
      <c r="GW437" s="55"/>
      <c r="GX437" s="55"/>
      <c r="GY437" s="55"/>
      <c r="GZ437" s="55"/>
      <c r="HA437" s="55"/>
      <c r="HB437" s="55"/>
      <c r="HC437" s="55"/>
      <c r="HD437" s="55"/>
      <c r="HE437" s="55"/>
      <c r="HF437" s="55"/>
      <c r="HG437" s="55"/>
      <c r="HH437" s="55"/>
      <c r="HI437" s="55"/>
      <c r="HJ437" s="55"/>
      <c r="HK437" s="55"/>
      <c r="HL437" s="55"/>
      <c r="HM437" s="55"/>
      <c r="HN437" s="55"/>
      <c r="HO437" s="55"/>
      <c r="HP437" s="55"/>
      <c r="HQ437" s="55"/>
      <c r="HR437" s="55"/>
      <c r="HS437" s="55"/>
      <c r="HT437" s="55"/>
      <c r="HU437" s="55"/>
      <c r="HV437" s="55"/>
      <c r="HW437" s="55"/>
      <c r="HX437" s="55"/>
      <c r="HY437" s="55"/>
      <c r="HZ437" s="55"/>
      <c r="IA437" s="55"/>
      <c r="IB437" s="55"/>
      <c r="IC437" s="55"/>
      <c r="ID437" s="55"/>
    </row>
    <row r="438" customFormat="1" ht="25.5" spans="1:32">
      <c r="A438" s="112"/>
      <c r="B438" s="112"/>
      <c r="C438" s="64"/>
      <c r="D438" s="65"/>
      <c r="E438" s="77"/>
      <c r="F438" s="77"/>
      <c r="G438" s="64"/>
      <c r="H438" s="42"/>
      <c r="I438" s="42"/>
      <c r="J438" s="83"/>
      <c r="K438" s="83"/>
      <c r="L438" s="83"/>
      <c r="M438" s="41"/>
      <c r="N438" s="41"/>
      <c r="O438" s="41"/>
      <c r="P438" s="64"/>
      <c r="Q438" s="64"/>
      <c r="R438" s="64"/>
      <c r="S438" s="83"/>
      <c r="T438" s="77"/>
      <c r="U438" s="105" t="s">
        <v>1709</v>
      </c>
      <c r="V438" s="105">
        <v>33040200903</v>
      </c>
      <c r="W438" s="106" t="s">
        <v>1710</v>
      </c>
      <c r="X438" s="105"/>
      <c r="Y438" s="105"/>
      <c r="Z438" s="105" t="s">
        <v>36</v>
      </c>
      <c r="AA438" s="110" t="s">
        <v>500</v>
      </c>
      <c r="AB438" s="50">
        <v>750</v>
      </c>
      <c r="AC438" s="50">
        <v>675</v>
      </c>
      <c r="AD438" s="50">
        <v>575</v>
      </c>
      <c r="AE438" s="112" t="s">
        <v>37</v>
      </c>
      <c r="AF438" s="149"/>
    </row>
    <row r="439" s="55" customFormat="1" ht="25.5" spans="1:32">
      <c r="A439" s="112" t="s">
        <v>95</v>
      </c>
      <c r="B439" s="112" t="s">
        <v>1711</v>
      </c>
      <c r="C439" s="64" t="s">
        <v>1712</v>
      </c>
      <c r="D439" s="65"/>
      <c r="E439" s="77"/>
      <c r="F439" s="77" t="s">
        <v>35</v>
      </c>
      <c r="G439" s="64" t="s">
        <v>110</v>
      </c>
      <c r="H439" s="78">
        <v>492</v>
      </c>
      <c r="I439" s="78">
        <v>443</v>
      </c>
      <c r="J439" s="83"/>
      <c r="K439" s="83"/>
      <c r="L439" s="83"/>
      <c r="M439" s="41">
        <v>468</v>
      </c>
      <c r="N439" s="41">
        <v>441</v>
      </c>
      <c r="O439" s="41">
        <v>396</v>
      </c>
      <c r="P439" s="64" t="s">
        <v>37</v>
      </c>
      <c r="Q439" s="64" t="s">
        <v>35</v>
      </c>
      <c r="R439" s="64" t="s">
        <v>35</v>
      </c>
      <c r="S439" s="83"/>
      <c r="T439" s="77" t="s">
        <v>1713</v>
      </c>
      <c r="U439" s="105" t="s">
        <v>1714</v>
      </c>
      <c r="V439" s="105">
        <v>33040200401</v>
      </c>
      <c r="W439" s="106" t="s">
        <v>1715</v>
      </c>
      <c r="X439" s="105"/>
      <c r="Y439" s="105"/>
      <c r="Z439" s="105" t="s">
        <v>36</v>
      </c>
      <c r="AA439" s="110" t="s">
        <v>1716</v>
      </c>
      <c r="AB439" s="50">
        <v>505</v>
      </c>
      <c r="AC439" s="50">
        <v>455</v>
      </c>
      <c r="AD439" s="50">
        <v>385</v>
      </c>
      <c r="AE439" s="112" t="s">
        <v>37</v>
      </c>
      <c r="AF439" s="60"/>
    </row>
    <row r="440" s="55" customFormat="1" ht="25.5" spans="1:32">
      <c r="A440" s="112" t="s">
        <v>95</v>
      </c>
      <c r="B440" s="164" t="s">
        <v>1674</v>
      </c>
      <c r="C440" s="64" t="s">
        <v>1717</v>
      </c>
      <c r="D440" s="65"/>
      <c r="E440" s="77"/>
      <c r="F440" s="77" t="s">
        <v>35</v>
      </c>
      <c r="G440" s="64" t="s">
        <v>36</v>
      </c>
      <c r="H440" s="78">
        <v>600</v>
      </c>
      <c r="I440" s="78">
        <v>540</v>
      </c>
      <c r="J440" s="83">
        <v>540</v>
      </c>
      <c r="K440" s="83">
        <v>485</v>
      </c>
      <c r="L440" s="83">
        <v>415</v>
      </c>
      <c r="M440" s="41">
        <v>540</v>
      </c>
      <c r="N440" s="41">
        <v>485</v>
      </c>
      <c r="O440" s="41">
        <v>415</v>
      </c>
      <c r="P440" s="64" t="s">
        <v>37</v>
      </c>
      <c r="Q440" s="64" t="s">
        <v>35</v>
      </c>
      <c r="R440" s="64" t="s">
        <v>35</v>
      </c>
      <c r="S440" s="83"/>
      <c r="T440" s="77" t="s">
        <v>381</v>
      </c>
      <c r="U440" s="105" t="s">
        <v>1718</v>
      </c>
      <c r="V440" s="105">
        <v>33040200702</v>
      </c>
      <c r="W440" s="106" t="s">
        <v>1719</v>
      </c>
      <c r="X440" s="105"/>
      <c r="Y440" s="105"/>
      <c r="Z440" s="105" t="s">
        <v>36</v>
      </c>
      <c r="AA440" s="110" t="s">
        <v>35</v>
      </c>
      <c r="AB440" s="50">
        <v>540</v>
      </c>
      <c r="AC440" s="50">
        <v>485</v>
      </c>
      <c r="AD440" s="50">
        <v>415</v>
      </c>
      <c r="AE440" s="112" t="s">
        <v>37</v>
      </c>
      <c r="AF440" s="60"/>
    </row>
    <row r="441" s="52" customFormat="1" ht="58" customHeight="1" spans="1:238">
      <c r="A441" s="112">
        <v>114</v>
      </c>
      <c r="B441" s="112" t="s">
        <v>1720</v>
      </c>
      <c r="C441" s="64" t="s">
        <v>1721</v>
      </c>
      <c r="D441" s="65" t="s">
        <v>1722</v>
      </c>
      <c r="E441" s="77" t="s">
        <v>1723</v>
      </c>
      <c r="F441" s="77" t="s">
        <v>35</v>
      </c>
      <c r="G441" s="64" t="s">
        <v>110</v>
      </c>
      <c r="H441" s="78">
        <v>580</v>
      </c>
      <c r="I441" s="78">
        <v>522</v>
      </c>
      <c r="J441" s="83">
        <v>505</v>
      </c>
      <c r="K441" s="83">
        <v>455</v>
      </c>
      <c r="L441" s="83">
        <v>385</v>
      </c>
      <c r="M441" s="41">
        <v>520</v>
      </c>
      <c r="N441" s="41">
        <v>465</v>
      </c>
      <c r="O441" s="41">
        <v>395</v>
      </c>
      <c r="P441" s="64" t="s">
        <v>37</v>
      </c>
      <c r="Q441" s="64" t="s">
        <v>35</v>
      </c>
      <c r="R441" s="64" t="s">
        <v>35</v>
      </c>
      <c r="S441" s="83" t="s">
        <v>485</v>
      </c>
      <c r="T441" s="77" t="s">
        <v>1724</v>
      </c>
      <c r="U441" s="105" t="s">
        <v>1725</v>
      </c>
      <c r="V441" s="105">
        <v>330402004</v>
      </c>
      <c r="W441" s="106" t="s">
        <v>1726</v>
      </c>
      <c r="X441" s="105" t="s">
        <v>1727</v>
      </c>
      <c r="Y441" s="105"/>
      <c r="Z441" s="105" t="s">
        <v>36</v>
      </c>
      <c r="AA441" s="110" t="s">
        <v>35</v>
      </c>
      <c r="AB441" s="50">
        <v>505</v>
      </c>
      <c r="AC441" s="50">
        <v>455</v>
      </c>
      <c r="AD441" s="50">
        <v>385</v>
      </c>
      <c r="AE441" s="112" t="s">
        <v>37</v>
      </c>
      <c r="AF441" s="60"/>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5"/>
      <c r="BV441" s="55"/>
      <c r="BW441" s="55"/>
      <c r="BX441" s="55"/>
      <c r="BY441" s="55"/>
      <c r="BZ441" s="55"/>
      <c r="CA441" s="55"/>
      <c r="CB441" s="55"/>
      <c r="CC441" s="55"/>
      <c r="CD441" s="55"/>
      <c r="CE441" s="55"/>
      <c r="CF441" s="55"/>
      <c r="CG441" s="55"/>
      <c r="CH441" s="55"/>
      <c r="CI441" s="55"/>
      <c r="CJ441" s="55"/>
      <c r="CK441" s="55"/>
      <c r="CL441" s="55"/>
      <c r="CM441" s="55"/>
      <c r="CN441" s="55"/>
      <c r="CO441" s="55"/>
      <c r="CP441" s="55"/>
      <c r="CQ441" s="55"/>
      <c r="CR441" s="55"/>
      <c r="CS441" s="55"/>
      <c r="CT441" s="55"/>
      <c r="CU441" s="55"/>
      <c r="CV441" s="55"/>
      <c r="CW441" s="55"/>
      <c r="CX441" s="55"/>
      <c r="CY441" s="55"/>
      <c r="CZ441" s="55"/>
      <c r="DA441" s="55"/>
      <c r="DB441" s="55"/>
      <c r="DC441" s="55"/>
      <c r="DD441" s="55"/>
      <c r="DE441" s="55"/>
      <c r="DF441" s="55"/>
      <c r="DG441" s="55"/>
      <c r="DH441" s="55"/>
      <c r="DI441" s="55"/>
      <c r="DJ441" s="55"/>
      <c r="DK441" s="55"/>
      <c r="DL441" s="55"/>
      <c r="DM441" s="55"/>
      <c r="DN441" s="55"/>
      <c r="DO441" s="55"/>
      <c r="DP441" s="55"/>
      <c r="DQ441" s="55"/>
      <c r="DR441" s="55"/>
      <c r="DS441" s="55"/>
      <c r="DT441" s="55"/>
      <c r="DU441" s="55"/>
      <c r="DV441" s="55"/>
      <c r="DW441" s="55"/>
      <c r="DX441" s="55"/>
      <c r="DY441" s="55"/>
      <c r="DZ441" s="55"/>
      <c r="EA441" s="55"/>
      <c r="EB441" s="55"/>
      <c r="EC441" s="55"/>
      <c r="ED441" s="55"/>
      <c r="EE441" s="55"/>
      <c r="EF441" s="55"/>
      <c r="EG441" s="55"/>
      <c r="EH441" s="55"/>
      <c r="EI441" s="55"/>
      <c r="EJ441" s="55"/>
      <c r="EK441" s="55"/>
      <c r="EL441" s="55"/>
      <c r="EM441" s="55"/>
      <c r="EN441" s="55"/>
      <c r="EO441" s="55"/>
      <c r="EP441" s="55"/>
      <c r="EQ441" s="55"/>
      <c r="ER441" s="55"/>
      <c r="ES441" s="55"/>
      <c r="ET441" s="55"/>
      <c r="EU441" s="55"/>
      <c r="EV441" s="55"/>
      <c r="EW441" s="55"/>
      <c r="EX441" s="55"/>
      <c r="EY441" s="55"/>
      <c r="EZ441" s="55"/>
      <c r="FA441" s="55"/>
      <c r="FB441" s="55"/>
      <c r="FC441" s="55"/>
      <c r="FD441" s="55"/>
      <c r="FE441" s="55"/>
      <c r="FF441" s="55"/>
      <c r="FG441" s="55"/>
      <c r="FH441" s="55"/>
      <c r="FI441" s="55"/>
      <c r="FJ441" s="55"/>
      <c r="FK441" s="55"/>
      <c r="FL441" s="55"/>
      <c r="FM441" s="55"/>
      <c r="FN441" s="55"/>
      <c r="FO441" s="55"/>
      <c r="FP441" s="55"/>
      <c r="FQ441" s="55"/>
      <c r="FR441" s="55"/>
      <c r="FS441" s="55"/>
      <c r="FT441" s="55"/>
      <c r="FU441" s="55"/>
      <c r="FV441" s="55"/>
      <c r="FW441" s="55"/>
      <c r="FX441" s="55"/>
      <c r="FY441" s="55"/>
      <c r="FZ441" s="55"/>
      <c r="GA441" s="55"/>
      <c r="GB441" s="55"/>
      <c r="GC441" s="55"/>
      <c r="GD441" s="55"/>
      <c r="GE441" s="55"/>
      <c r="GF441" s="55"/>
      <c r="GG441" s="55"/>
      <c r="GH441" s="55"/>
      <c r="GI441" s="55"/>
      <c r="GJ441" s="55"/>
      <c r="GK441" s="55"/>
      <c r="GL441" s="55"/>
      <c r="GM441" s="55"/>
      <c r="GN441" s="55"/>
      <c r="GO441" s="55"/>
      <c r="GP441" s="55"/>
      <c r="GQ441" s="55"/>
      <c r="GR441" s="55"/>
      <c r="GS441" s="55"/>
      <c r="GT441" s="55"/>
      <c r="GU441" s="55"/>
      <c r="GV441" s="55"/>
      <c r="GW441" s="55"/>
      <c r="GX441" s="55"/>
      <c r="GY441" s="55"/>
      <c r="GZ441" s="55"/>
      <c r="HA441" s="55"/>
      <c r="HB441" s="55"/>
      <c r="HC441" s="55"/>
      <c r="HD441" s="55"/>
      <c r="HE441" s="55"/>
      <c r="HF441" s="55"/>
      <c r="HG441" s="55"/>
      <c r="HH441" s="55"/>
      <c r="HI441" s="55"/>
      <c r="HJ441" s="55"/>
      <c r="HK441" s="55"/>
      <c r="HL441" s="55"/>
      <c r="HM441" s="55"/>
      <c r="HN441" s="55"/>
      <c r="HO441" s="55"/>
      <c r="HP441" s="55"/>
      <c r="HQ441" s="55"/>
      <c r="HR441" s="55"/>
      <c r="HS441" s="55"/>
      <c r="HT441" s="55"/>
      <c r="HU441" s="55"/>
      <c r="HV441" s="55"/>
      <c r="HW441" s="55"/>
      <c r="HX441" s="55"/>
      <c r="HY441" s="55"/>
      <c r="HZ441" s="55"/>
      <c r="IA441" s="55"/>
      <c r="IB441" s="55"/>
      <c r="IC441" s="55"/>
      <c r="ID441" s="55"/>
    </row>
    <row r="442" s="52" customFormat="1" ht="31" customHeight="1" spans="1:238">
      <c r="A442" s="112" t="s">
        <v>95</v>
      </c>
      <c r="B442" s="112" t="s">
        <v>1728</v>
      </c>
      <c r="C442" s="64" t="s">
        <v>1729</v>
      </c>
      <c r="D442" s="65"/>
      <c r="E442" s="77"/>
      <c r="F442" s="77" t="s">
        <v>35</v>
      </c>
      <c r="G442" s="64" t="s">
        <v>110</v>
      </c>
      <c r="H442" s="78">
        <v>174</v>
      </c>
      <c r="I442" s="78">
        <v>156</v>
      </c>
      <c r="J442" s="83"/>
      <c r="K442" s="83"/>
      <c r="L442" s="83"/>
      <c r="M442" s="41">
        <v>155</v>
      </c>
      <c r="N442" s="41">
        <v>140</v>
      </c>
      <c r="O442" s="41">
        <v>120</v>
      </c>
      <c r="P442" s="64" t="s">
        <v>37</v>
      </c>
      <c r="Q442" s="64" t="s">
        <v>35</v>
      </c>
      <c r="R442" s="64" t="s">
        <v>35</v>
      </c>
      <c r="S442" s="83"/>
      <c r="T442" s="77" t="s">
        <v>186</v>
      </c>
      <c r="U442" s="105" t="s">
        <v>1730</v>
      </c>
      <c r="V442" s="105">
        <v>33040200402</v>
      </c>
      <c r="W442" s="106" t="s">
        <v>1731</v>
      </c>
      <c r="X442" s="105"/>
      <c r="Y442" s="105"/>
      <c r="Z442" s="105" t="s">
        <v>36</v>
      </c>
      <c r="AA442" s="110" t="s">
        <v>35</v>
      </c>
      <c r="AB442" s="50">
        <v>655</v>
      </c>
      <c r="AC442" s="50">
        <v>590</v>
      </c>
      <c r="AD442" s="50">
        <v>500</v>
      </c>
      <c r="AE442" s="112" t="s">
        <v>37</v>
      </c>
      <c r="AF442" s="60"/>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5"/>
      <c r="BV442" s="55"/>
      <c r="BW442" s="55"/>
      <c r="BX442" s="55"/>
      <c r="BY442" s="55"/>
      <c r="BZ442" s="55"/>
      <c r="CA442" s="55"/>
      <c r="CB442" s="55"/>
      <c r="CC442" s="55"/>
      <c r="CD442" s="55"/>
      <c r="CE442" s="55"/>
      <c r="CF442" s="55"/>
      <c r="CG442" s="55"/>
      <c r="CH442" s="55"/>
      <c r="CI442" s="55"/>
      <c r="CJ442" s="55"/>
      <c r="CK442" s="55"/>
      <c r="CL442" s="55"/>
      <c r="CM442" s="55"/>
      <c r="CN442" s="55"/>
      <c r="CO442" s="55"/>
      <c r="CP442" s="55"/>
      <c r="CQ442" s="55"/>
      <c r="CR442" s="55"/>
      <c r="CS442" s="55"/>
      <c r="CT442" s="55"/>
      <c r="CU442" s="55"/>
      <c r="CV442" s="55"/>
      <c r="CW442" s="55"/>
      <c r="CX442" s="55"/>
      <c r="CY442" s="55"/>
      <c r="CZ442" s="55"/>
      <c r="DA442" s="55"/>
      <c r="DB442" s="55"/>
      <c r="DC442" s="55"/>
      <c r="DD442" s="55"/>
      <c r="DE442" s="55"/>
      <c r="DF442" s="55"/>
      <c r="DG442" s="55"/>
      <c r="DH442" s="55"/>
      <c r="DI442" s="55"/>
      <c r="DJ442" s="55"/>
      <c r="DK442" s="55"/>
      <c r="DL442" s="55"/>
      <c r="DM442" s="55"/>
      <c r="DN442" s="55"/>
      <c r="DO442" s="55"/>
      <c r="DP442" s="55"/>
      <c r="DQ442" s="55"/>
      <c r="DR442" s="55"/>
      <c r="DS442" s="55"/>
      <c r="DT442" s="55"/>
      <c r="DU442" s="55"/>
      <c r="DV442" s="55"/>
      <c r="DW442" s="55"/>
      <c r="DX442" s="55"/>
      <c r="DY442" s="55"/>
      <c r="DZ442" s="55"/>
      <c r="EA442" s="55"/>
      <c r="EB442" s="55"/>
      <c r="EC442" s="55"/>
      <c r="ED442" s="55"/>
      <c r="EE442" s="55"/>
      <c r="EF442" s="55"/>
      <c r="EG442" s="55"/>
      <c r="EH442" s="55"/>
      <c r="EI442" s="55"/>
      <c r="EJ442" s="55"/>
      <c r="EK442" s="55"/>
      <c r="EL442" s="55"/>
      <c r="EM442" s="55"/>
      <c r="EN442" s="55"/>
      <c r="EO442" s="55"/>
      <c r="EP442" s="55"/>
      <c r="EQ442" s="55"/>
      <c r="ER442" s="55"/>
      <c r="ES442" s="55"/>
      <c r="ET442" s="55"/>
      <c r="EU442" s="55"/>
      <c r="EV442" s="55"/>
      <c r="EW442" s="55"/>
      <c r="EX442" s="55"/>
      <c r="EY442" s="55"/>
      <c r="EZ442" s="55"/>
      <c r="FA442" s="55"/>
      <c r="FB442" s="55"/>
      <c r="FC442" s="55"/>
      <c r="FD442" s="55"/>
      <c r="FE442" s="55"/>
      <c r="FF442" s="55"/>
      <c r="FG442" s="55"/>
      <c r="FH442" s="55"/>
      <c r="FI442" s="55"/>
      <c r="FJ442" s="55"/>
      <c r="FK442" s="55"/>
      <c r="FL442" s="55"/>
      <c r="FM442" s="55"/>
      <c r="FN442" s="55"/>
      <c r="FO442" s="55"/>
      <c r="FP442" s="55"/>
      <c r="FQ442" s="55"/>
      <c r="FR442" s="55"/>
      <c r="FS442" s="55"/>
      <c r="FT442" s="55"/>
      <c r="FU442" s="55"/>
      <c r="FV442" s="55"/>
      <c r="FW442" s="55"/>
      <c r="FX442" s="55"/>
      <c r="FY442" s="55"/>
      <c r="FZ442" s="55"/>
      <c r="GA442" s="55"/>
      <c r="GB442" s="55"/>
      <c r="GC442" s="55"/>
      <c r="GD442" s="55"/>
      <c r="GE442" s="55"/>
      <c r="GF442" s="55"/>
      <c r="GG442" s="55"/>
      <c r="GH442" s="55"/>
      <c r="GI442" s="55"/>
      <c r="GJ442" s="55"/>
      <c r="GK442" s="55"/>
      <c r="GL442" s="55"/>
      <c r="GM442" s="55"/>
      <c r="GN442" s="55"/>
      <c r="GO442" s="55"/>
      <c r="GP442" s="55"/>
      <c r="GQ442" s="55"/>
      <c r="GR442" s="55"/>
      <c r="GS442" s="55"/>
      <c r="GT442" s="55"/>
      <c r="GU442" s="55"/>
      <c r="GV442" s="55"/>
      <c r="GW442" s="55"/>
      <c r="GX442" s="55"/>
      <c r="GY442" s="55"/>
      <c r="GZ442" s="55"/>
      <c r="HA442" s="55"/>
      <c r="HB442" s="55"/>
      <c r="HC442" s="55"/>
      <c r="HD442" s="55"/>
      <c r="HE442" s="55"/>
      <c r="HF442" s="55"/>
      <c r="HG442" s="55"/>
      <c r="HH442" s="55"/>
      <c r="HI442" s="55"/>
      <c r="HJ442" s="55"/>
      <c r="HK442" s="55"/>
      <c r="HL442" s="55"/>
      <c r="HM442" s="55"/>
      <c r="HN442" s="55"/>
      <c r="HO442" s="55"/>
      <c r="HP442" s="55"/>
      <c r="HQ442" s="55"/>
      <c r="HR442" s="55"/>
      <c r="HS442" s="55"/>
      <c r="HT442" s="55"/>
      <c r="HU442" s="55"/>
      <c r="HV442" s="55"/>
      <c r="HW442" s="55"/>
      <c r="HX442" s="55"/>
      <c r="HY442" s="55"/>
      <c r="HZ442" s="55"/>
      <c r="IA442" s="55"/>
      <c r="IB442" s="55"/>
      <c r="IC442" s="55"/>
      <c r="ID442" s="55"/>
    </row>
    <row r="443" s="55" customFormat="1" ht="25.5" spans="1:32">
      <c r="A443" s="112" t="s">
        <v>95</v>
      </c>
      <c r="B443" s="112" t="s">
        <v>1732</v>
      </c>
      <c r="C443" s="64" t="s">
        <v>1733</v>
      </c>
      <c r="D443" s="65"/>
      <c r="E443" s="77"/>
      <c r="F443" s="77" t="s">
        <v>35</v>
      </c>
      <c r="G443" s="64" t="s">
        <v>110</v>
      </c>
      <c r="H443" s="78">
        <v>580</v>
      </c>
      <c r="I443" s="78">
        <v>522</v>
      </c>
      <c r="J443" s="83"/>
      <c r="K443" s="83"/>
      <c r="L443" s="83"/>
      <c r="M443" s="41">
        <v>520</v>
      </c>
      <c r="N443" s="41">
        <v>465</v>
      </c>
      <c r="O443" s="41">
        <v>395</v>
      </c>
      <c r="P443" s="64" t="s">
        <v>37</v>
      </c>
      <c r="Q443" s="64" t="s">
        <v>35</v>
      </c>
      <c r="R443" s="64" t="s">
        <v>35</v>
      </c>
      <c r="S443" s="83"/>
      <c r="T443" s="77" t="s">
        <v>1734</v>
      </c>
      <c r="U443" s="105" t="s">
        <v>1714</v>
      </c>
      <c r="V443" s="105">
        <v>33040200401</v>
      </c>
      <c r="W443" s="106" t="s">
        <v>1715</v>
      </c>
      <c r="X443" s="105"/>
      <c r="Y443" s="105"/>
      <c r="Z443" s="105" t="s">
        <v>36</v>
      </c>
      <c r="AA443" s="110" t="s">
        <v>1716</v>
      </c>
      <c r="AB443" s="50">
        <v>505</v>
      </c>
      <c r="AC443" s="50">
        <v>455</v>
      </c>
      <c r="AD443" s="50">
        <v>385</v>
      </c>
      <c r="AE443" s="112" t="s">
        <v>37</v>
      </c>
      <c r="AF443" s="60"/>
    </row>
    <row r="444" s="55" customFormat="1" ht="25.5" spans="1:32">
      <c r="A444" s="112"/>
      <c r="B444" s="112"/>
      <c r="C444" s="64"/>
      <c r="D444" s="65"/>
      <c r="E444" s="77"/>
      <c r="F444" s="77"/>
      <c r="G444" s="64"/>
      <c r="H444" s="42"/>
      <c r="I444" s="42"/>
      <c r="J444" s="83"/>
      <c r="K444" s="83"/>
      <c r="L444" s="83"/>
      <c r="M444" s="41"/>
      <c r="N444" s="41"/>
      <c r="O444" s="41"/>
      <c r="P444" s="64"/>
      <c r="Q444" s="64"/>
      <c r="R444" s="64"/>
      <c r="S444" s="83"/>
      <c r="T444" s="77"/>
      <c r="U444" s="105" t="s">
        <v>1735</v>
      </c>
      <c r="V444" s="105">
        <v>330402005</v>
      </c>
      <c r="W444" s="106" t="s">
        <v>1736</v>
      </c>
      <c r="X444" s="105" t="s">
        <v>1737</v>
      </c>
      <c r="Y444" s="105"/>
      <c r="Z444" s="105" t="s">
        <v>36</v>
      </c>
      <c r="AA444" s="110" t="s">
        <v>35</v>
      </c>
      <c r="AB444" s="50">
        <v>505</v>
      </c>
      <c r="AC444" s="50">
        <v>455</v>
      </c>
      <c r="AD444" s="50">
        <v>385</v>
      </c>
      <c r="AE444" s="112" t="s">
        <v>37</v>
      </c>
      <c r="AF444" s="60"/>
    </row>
    <row r="445" s="55" customFormat="1" ht="25.5" spans="1:32">
      <c r="A445" s="112"/>
      <c r="B445" s="112"/>
      <c r="C445" s="64"/>
      <c r="D445" s="65"/>
      <c r="E445" s="77"/>
      <c r="F445" s="77"/>
      <c r="G445" s="64"/>
      <c r="H445" s="42"/>
      <c r="I445" s="42"/>
      <c r="J445" s="83"/>
      <c r="K445" s="83"/>
      <c r="L445" s="83"/>
      <c r="M445" s="41"/>
      <c r="N445" s="41"/>
      <c r="O445" s="41"/>
      <c r="P445" s="64"/>
      <c r="Q445" s="64"/>
      <c r="R445" s="64"/>
      <c r="S445" s="83"/>
      <c r="T445" s="77"/>
      <c r="U445" s="105" t="s">
        <v>1738</v>
      </c>
      <c r="V445" s="105">
        <v>33040200501</v>
      </c>
      <c r="W445" s="106" t="s">
        <v>1739</v>
      </c>
      <c r="X445" s="105"/>
      <c r="Y445" s="105"/>
      <c r="Z445" s="105" t="s">
        <v>36</v>
      </c>
      <c r="AA445" s="110" t="s">
        <v>1740</v>
      </c>
      <c r="AB445" s="50">
        <v>505</v>
      </c>
      <c r="AC445" s="50">
        <v>455</v>
      </c>
      <c r="AD445" s="50">
        <v>385</v>
      </c>
      <c r="AE445" s="112" t="s">
        <v>37</v>
      </c>
      <c r="AF445" s="60"/>
    </row>
    <row r="446" s="55" customFormat="1" ht="25.5" spans="1:32">
      <c r="A446" s="112"/>
      <c r="B446" s="112"/>
      <c r="C446" s="64"/>
      <c r="D446" s="65"/>
      <c r="E446" s="77"/>
      <c r="F446" s="77"/>
      <c r="G446" s="64"/>
      <c r="H446" s="42"/>
      <c r="I446" s="42"/>
      <c r="J446" s="83"/>
      <c r="K446" s="83"/>
      <c r="L446" s="83"/>
      <c r="M446" s="41"/>
      <c r="N446" s="41"/>
      <c r="O446" s="41"/>
      <c r="P446" s="64"/>
      <c r="Q446" s="64"/>
      <c r="R446" s="64"/>
      <c r="S446" s="83"/>
      <c r="T446" s="77"/>
      <c r="U446" s="105" t="s">
        <v>1741</v>
      </c>
      <c r="V446" s="105">
        <v>33040200502</v>
      </c>
      <c r="W446" s="106" t="s">
        <v>1742</v>
      </c>
      <c r="X446" s="105"/>
      <c r="Y446" s="105"/>
      <c r="Z446" s="105" t="s">
        <v>36</v>
      </c>
      <c r="AA446" s="110" t="s">
        <v>1743</v>
      </c>
      <c r="AB446" s="50">
        <v>505</v>
      </c>
      <c r="AC446" s="50">
        <v>455</v>
      </c>
      <c r="AD446" s="50">
        <v>385</v>
      </c>
      <c r="AE446" s="112" t="s">
        <v>37</v>
      </c>
      <c r="AF446" s="60"/>
    </row>
    <row r="447" s="55" customFormat="1" ht="25.5" spans="1:32">
      <c r="A447" s="112"/>
      <c r="B447" s="112"/>
      <c r="C447" s="64"/>
      <c r="D447" s="65"/>
      <c r="E447" s="77"/>
      <c r="F447" s="77"/>
      <c r="G447" s="64"/>
      <c r="H447" s="42"/>
      <c r="I447" s="42"/>
      <c r="J447" s="83"/>
      <c r="K447" s="83"/>
      <c r="L447" s="83"/>
      <c r="M447" s="41"/>
      <c r="N447" s="41"/>
      <c r="O447" s="41"/>
      <c r="P447" s="64"/>
      <c r="Q447" s="64"/>
      <c r="R447" s="64"/>
      <c r="S447" s="83"/>
      <c r="T447" s="77"/>
      <c r="U447" s="105" t="s">
        <v>1744</v>
      </c>
      <c r="V447" s="105">
        <v>33040200503</v>
      </c>
      <c r="W447" s="106" t="s">
        <v>1745</v>
      </c>
      <c r="X447" s="105"/>
      <c r="Y447" s="105"/>
      <c r="Z447" s="105" t="s">
        <v>36</v>
      </c>
      <c r="AA447" s="110" t="s">
        <v>35</v>
      </c>
      <c r="AB447" s="50">
        <v>655</v>
      </c>
      <c r="AC447" s="50">
        <v>590</v>
      </c>
      <c r="AD447" s="50">
        <v>500</v>
      </c>
      <c r="AE447" s="112" t="s">
        <v>37</v>
      </c>
      <c r="AF447" s="60"/>
    </row>
    <row r="448" s="52" customFormat="1" ht="51" spans="1:238">
      <c r="A448" s="112">
        <v>115</v>
      </c>
      <c r="B448" s="112" t="s">
        <v>1746</v>
      </c>
      <c r="C448" s="64" t="s">
        <v>1747</v>
      </c>
      <c r="D448" s="65" t="s">
        <v>1748</v>
      </c>
      <c r="E448" s="77" t="s">
        <v>1749</v>
      </c>
      <c r="F448" s="77" t="s">
        <v>35</v>
      </c>
      <c r="G448" s="64" t="s">
        <v>110</v>
      </c>
      <c r="H448" s="78">
        <v>340</v>
      </c>
      <c r="I448" s="78">
        <v>305</v>
      </c>
      <c r="J448" s="83">
        <v>312.5</v>
      </c>
      <c r="K448" s="83">
        <v>300</v>
      </c>
      <c r="L448" s="83">
        <v>255</v>
      </c>
      <c r="M448" s="89">
        <v>315</v>
      </c>
      <c r="N448" s="41">
        <v>300</v>
      </c>
      <c r="O448" s="41">
        <v>255</v>
      </c>
      <c r="P448" s="64" t="s">
        <v>37</v>
      </c>
      <c r="Q448" s="64" t="s">
        <v>35</v>
      </c>
      <c r="R448" s="64" t="s">
        <v>35</v>
      </c>
      <c r="S448" s="83"/>
      <c r="T448" s="77" t="s">
        <v>191</v>
      </c>
      <c r="U448" s="105" t="s">
        <v>1750</v>
      </c>
      <c r="V448" s="105">
        <v>330402002</v>
      </c>
      <c r="W448" s="106" t="s">
        <v>1751</v>
      </c>
      <c r="X448" s="105" t="s">
        <v>1752</v>
      </c>
      <c r="Y448" s="105"/>
      <c r="Z448" s="105" t="s">
        <v>36</v>
      </c>
      <c r="AA448" s="110" t="s">
        <v>35</v>
      </c>
      <c r="AB448" s="50">
        <v>312.5</v>
      </c>
      <c r="AC448" s="50">
        <v>300</v>
      </c>
      <c r="AD448" s="50">
        <v>255</v>
      </c>
      <c r="AE448" s="112" t="s">
        <v>37</v>
      </c>
      <c r="AF448" s="60"/>
      <c r="AG448" s="55"/>
      <c r="AH448" s="55"/>
      <c r="AI448" s="55"/>
      <c r="AJ448" s="55"/>
      <c r="AK448" s="55"/>
      <c r="AL448" s="55"/>
      <c r="AM448" s="55"/>
      <c r="AN448" s="55"/>
      <c r="AO448" s="55"/>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55"/>
      <c r="BR448" s="55"/>
      <c r="BS448" s="55"/>
      <c r="BT448" s="55"/>
      <c r="BU448" s="55"/>
      <c r="BV448" s="55"/>
      <c r="BW448" s="55"/>
      <c r="BX448" s="55"/>
      <c r="BY448" s="55"/>
      <c r="BZ448" s="55"/>
      <c r="CA448" s="55"/>
      <c r="CB448" s="55"/>
      <c r="CC448" s="55"/>
      <c r="CD448" s="55"/>
      <c r="CE448" s="55"/>
      <c r="CF448" s="55"/>
      <c r="CG448" s="55"/>
      <c r="CH448" s="55"/>
      <c r="CI448" s="55"/>
      <c r="CJ448" s="55"/>
      <c r="CK448" s="55"/>
      <c r="CL448" s="55"/>
      <c r="CM448" s="55"/>
      <c r="CN448" s="55"/>
      <c r="CO448" s="55"/>
      <c r="CP448" s="55"/>
      <c r="CQ448" s="55"/>
      <c r="CR448" s="55"/>
      <c r="CS448" s="55"/>
      <c r="CT448" s="55"/>
      <c r="CU448" s="55"/>
      <c r="CV448" s="55"/>
      <c r="CW448" s="55"/>
      <c r="CX448" s="55"/>
      <c r="CY448" s="55"/>
      <c r="CZ448" s="55"/>
      <c r="DA448" s="55"/>
      <c r="DB448" s="55"/>
      <c r="DC448" s="55"/>
      <c r="DD448" s="55"/>
      <c r="DE448" s="55"/>
      <c r="DF448" s="55"/>
      <c r="DG448" s="55"/>
      <c r="DH448" s="55"/>
      <c r="DI448" s="55"/>
      <c r="DJ448" s="55"/>
      <c r="DK448" s="55"/>
      <c r="DL448" s="55"/>
      <c r="DM448" s="55"/>
      <c r="DN448" s="55"/>
      <c r="DO448" s="55"/>
      <c r="DP448" s="55"/>
      <c r="DQ448" s="55"/>
      <c r="DR448" s="55"/>
      <c r="DS448" s="55"/>
      <c r="DT448" s="55"/>
      <c r="DU448" s="55"/>
      <c r="DV448" s="55"/>
      <c r="DW448" s="55"/>
      <c r="DX448" s="55"/>
      <c r="DY448" s="55"/>
      <c r="DZ448" s="55"/>
      <c r="EA448" s="55"/>
      <c r="EB448" s="55"/>
      <c r="EC448" s="55"/>
      <c r="ED448" s="55"/>
      <c r="EE448" s="55"/>
      <c r="EF448" s="55"/>
      <c r="EG448" s="55"/>
      <c r="EH448" s="55"/>
      <c r="EI448" s="55"/>
      <c r="EJ448" s="55"/>
      <c r="EK448" s="55"/>
      <c r="EL448" s="55"/>
      <c r="EM448" s="55"/>
      <c r="EN448" s="55"/>
      <c r="EO448" s="55"/>
      <c r="EP448" s="55"/>
      <c r="EQ448" s="55"/>
      <c r="ER448" s="55"/>
      <c r="ES448" s="55"/>
      <c r="ET448" s="55"/>
      <c r="EU448" s="55"/>
      <c r="EV448" s="55"/>
      <c r="EW448" s="55"/>
      <c r="EX448" s="55"/>
      <c r="EY448" s="55"/>
      <c r="EZ448" s="55"/>
      <c r="FA448" s="55"/>
      <c r="FB448" s="55"/>
      <c r="FC448" s="55"/>
      <c r="FD448" s="55"/>
      <c r="FE448" s="55"/>
      <c r="FF448" s="55"/>
      <c r="FG448" s="55"/>
      <c r="FH448" s="55"/>
      <c r="FI448" s="55"/>
      <c r="FJ448" s="55"/>
      <c r="FK448" s="55"/>
      <c r="FL448" s="55"/>
      <c r="FM448" s="55"/>
      <c r="FN448" s="55"/>
      <c r="FO448" s="55"/>
      <c r="FP448" s="55"/>
      <c r="FQ448" s="55"/>
      <c r="FR448" s="55"/>
      <c r="FS448" s="55"/>
      <c r="FT448" s="55"/>
      <c r="FU448" s="55"/>
      <c r="FV448" s="55"/>
      <c r="FW448" s="55"/>
      <c r="FX448" s="55"/>
      <c r="FY448" s="55"/>
      <c r="FZ448" s="55"/>
      <c r="GA448" s="55"/>
      <c r="GB448" s="55"/>
      <c r="GC448" s="55"/>
      <c r="GD448" s="55"/>
      <c r="GE448" s="55"/>
      <c r="GF448" s="55"/>
      <c r="GG448" s="55"/>
      <c r="GH448" s="55"/>
      <c r="GI448" s="55"/>
      <c r="GJ448" s="55"/>
      <c r="GK448" s="55"/>
      <c r="GL448" s="55"/>
      <c r="GM448" s="55"/>
      <c r="GN448" s="55"/>
      <c r="GO448" s="55"/>
      <c r="GP448" s="55"/>
      <c r="GQ448" s="55"/>
      <c r="GR448" s="55"/>
      <c r="GS448" s="55"/>
      <c r="GT448" s="55"/>
      <c r="GU448" s="55"/>
      <c r="GV448" s="55"/>
      <c r="GW448" s="55"/>
      <c r="GX448" s="55"/>
      <c r="GY448" s="55"/>
      <c r="GZ448" s="55"/>
      <c r="HA448" s="55"/>
      <c r="HB448" s="55"/>
      <c r="HC448" s="55"/>
      <c r="HD448" s="55"/>
      <c r="HE448" s="55"/>
      <c r="HF448" s="55"/>
      <c r="HG448" s="55"/>
      <c r="HH448" s="55"/>
      <c r="HI448" s="55"/>
      <c r="HJ448" s="55"/>
      <c r="HK448" s="55"/>
      <c r="HL448" s="55"/>
      <c r="HM448" s="55"/>
      <c r="HN448" s="55"/>
      <c r="HO448" s="55"/>
      <c r="HP448" s="55"/>
      <c r="HQ448" s="55"/>
      <c r="HR448" s="55"/>
      <c r="HS448" s="55"/>
      <c r="HT448" s="55"/>
      <c r="HU448" s="55"/>
      <c r="HV448" s="55"/>
      <c r="HW448" s="55"/>
      <c r="HX448" s="55"/>
      <c r="HY448" s="55"/>
      <c r="HZ448" s="55"/>
      <c r="IA448" s="55"/>
      <c r="IB448" s="55"/>
      <c r="IC448" s="55"/>
      <c r="ID448" s="55"/>
    </row>
    <row r="449" s="52" customFormat="1" ht="37" customHeight="1" spans="1:238">
      <c r="A449" s="112" t="s">
        <v>95</v>
      </c>
      <c r="B449" s="112" t="s">
        <v>1753</v>
      </c>
      <c r="C449" s="64" t="s">
        <v>1754</v>
      </c>
      <c r="D449" s="65"/>
      <c r="E449" s="77"/>
      <c r="F449" s="77" t="s">
        <v>35</v>
      </c>
      <c r="G449" s="64" t="s">
        <v>110</v>
      </c>
      <c r="H449" s="78">
        <v>102</v>
      </c>
      <c r="I449" s="78">
        <v>92</v>
      </c>
      <c r="J449" s="83">
        <v>92.5</v>
      </c>
      <c r="K449" s="83">
        <v>90</v>
      </c>
      <c r="L449" s="83">
        <v>75</v>
      </c>
      <c r="M449" s="89">
        <v>95</v>
      </c>
      <c r="N449" s="41">
        <v>90</v>
      </c>
      <c r="O449" s="94">
        <v>77</v>
      </c>
      <c r="P449" s="64" t="s">
        <v>37</v>
      </c>
      <c r="Q449" s="64" t="s">
        <v>35</v>
      </c>
      <c r="R449" s="64" t="s">
        <v>35</v>
      </c>
      <c r="S449" s="83"/>
      <c r="T449" s="77" t="s">
        <v>186</v>
      </c>
      <c r="U449" s="105" t="s">
        <v>1755</v>
      </c>
      <c r="V449" s="105">
        <v>33040200201</v>
      </c>
      <c r="W449" s="106" t="s">
        <v>1756</v>
      </c>
      <c r="X449" s="105"/>
      <c r="Y449" s="105"/>
      <c r="Z449" s="105" t="s">
        <v>36</v>
      </c>
      <c r="AA449" s="110" t="s">
        <v>35</v>
      </c>
      <c r="AB449" s="50">
        <v>405</v>
      </c>
      <c r="AC449" s="50">
        <v>390</v>
      </c>
      <c r="AD449" s="50">
        <v>330</v>
      </c>
      <c r="AE449" s="112" t="s">
        <v>37</v>
      </c>
      <c r="AF449" s="60"/>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c r="BV449" s="55"/>
      <c r="BW449" s="55"/>
      <c r="BX449" s="55"/>
      <c r="BY449" s="55"/>
      <c r="BZ449" s="55"/>
      <c r="CA449" s="55"/>
      <c r="CB449" s="55"/>
      <c r="CC449" s="55"/>
      <c r="CD449" s="55"/>
      <c r="CE449" s="55"/>
      <c r="CF449" s="55"/>
      <c r="CG449" s="55"/>
      <c r="CH449" s="55"/>
      <c r="CI449" s="55"/>
      <c r="CJ449" s="55"/>
      <c r="CK449" s="55"/>
      <c r="CL449" s="55"/>
      <c r="CM449" s="55"/>
      <c r="CN449" s="55"/>
      <c r="CO449" s="55"/>
      <c r="CP449" s="55"/>
      <c r="CQ449" s="55"/>
      <c r="CR449" s="55"/>
      <c r="CS449" s="55"/>
      <c r="CT449" s="55"/>
      <c r="CU449" s="55"/>
      <c r="CV449" s="55"/>
      <c r="CW449" s="55"/>
      <c r="CX449" s="55"/>
      <c r="CY449" s="55"/>
      <c r="CZ449" s="55"/>
      <c r="DA449" s="55"/>
      <c r="DB449" s="55"/>
      <c r="DC449" s="55"/>
      <c r="DD449" s="55"/>
      <c r="DE449" s="55"/>
      <c r="DF449" s="55"/>
      <c r="DG449" s="55"/>
      <c r="DH449" s="55"/>
      <c r="DI449" s="55"/>
      <c r="DJ449" s="55"/>
      <c r="DK449" s="55"/>
      <c r="DL449" s="55"/>
      <c r="DM449" s="55"/>
      <c r="DN449" s="55"/>
      <c r="DO449" s="55"/>
      <c r="DP449" s="55"/>
      <c r="DQ449" s="55"/>
      <c r="DR449" s="55"/>
      <c r="DS449" s="55"/>
      <c r="DT449" s="55"/>
      <c r="DU449" s="55"/>
      <c r="DV449" s="55"/>
      <c r="DW449" s="55"/>
      <c r="DX449" s="55"/>
      <c r="DY449" s="55"/>
      <c r="DZ449" s="55"/>
      <c r="EA449" s="55"/>
      <c r="EB449" s="55"/>
      <c r="EC449" s="55"/>
      <c r="ED449" s="55"/>
      <c r="EE449" s="55"/>
      <c r="EF449" s="55"/>
      <c r="EG449" s="55"/>
      <c r="EH449" s="55"/>
      <c r="EI449" s="55"/>
      <c r="EJ449" s="55"/>
      <c r="EK449" s="55"/>
      <c r="EL449" s="55"/>
      <c r="EM449" s="55"/>
      <c r="EN449" s="55"/>
      <c r="EO449" s="55"/>
      <c r="EP449" s="55"/>
      <c r="EQ449" s="55"/>
      <c r="ER449" s="55"/>
      <c r="ES449" s="55"/>
      <c r="ET449" s="55"/>
      <c r="EU449" s="55"/>
      <c r="EV449" s="55"/>
      <c r="EW449" s="55"/>
      <c r="EX449" s="55"/>
      <c r="EY449" s="55"/>
      <c r="EZ449" s="55"/>
      <c r="FA449" s="55"/>
      <c r="FB449" s="55"/>
      <c r="FC449" s="55"/>
      <c r="FD449" s="55"/>
      <c r="FE449" s="55"/>
      <c r="FF449" s="55"/>
      <c r="FG449" s="55"/>
      <c r="FH449" s="55"/>
      <c r="FI449" s="55"/>
      <c r="FJ449" s="55"/>
      <c r="FK449" s="55"/>
      <c r="FL449" s="55"/>
      <c r="FM449" s="55"/>
      <c r="FN449" s="55"/>
      <c r="FO449" s="55"/>
      <c r="FP449" s="55"/>
      <c r="FQ449" s="55"/>
      <c r="FR449" s="55"/>
      <c r="FS449" s="55"/>
      <c r="FT449" s="55"/>
      <c r="FU449" s="55"/>
      <c r="FV449" s="55"/>
      <c r="FW449" s="55"/>
      <c r="FX449" s="55"/>
      <c r="FY449" s="55"/>
      <c r="FZ449" s="55"/>
      <c r="GA449" s="55"/>
      <c r="GB449" s="55"/>
      <c r="GC449" s="55"/>
      <c r="GD449" s="55"/>
      <c r="GE449" s="55"/>
      <c r="GF449" s="55"/>
      <c r="GG449" s="55"/>
      <c r="GH449" s="55"/>
      <c r="GI449" s="55"/>
      <c r="GJ449" s="55"/>
      <c r="GK449" s="55"/>
      <c r="GL449" s="55"/>
      <c r="GM449" s="55"/>
      <c r="GN449" s="55"/>
      <c r="GO449" s="55"/>
      <c r="GP449" s="55"/>
      <c r="GQ449" s="55"/>
      <c r="GR449" s="55"/>
      <c r="GS449" s="55"/>
      <c r="GT449" s="55"/>
      <c r="GU449" s="55"/>
      <c r="GV449" s="55"/>
      <c r="GW449" s="55"/>
      <c r="GX449" s="55"/>
      <c r="GY449" s="55"/>
      <c r="GZ449" s="55"/>
      <c r="HA449" s="55"/>
      <c r="HB449" s="55"/>
      <c r="HC449" s="55"/>
      <c r="HD449" s="55"/>
      <c r="HE449" s="55"/>
      <c r="HF449" s="55"/>
      <c r="HG449" s="55"/>
      <c r="HH449" s="55"/>
      <c r="HI449" s="55"/>
      <c r="HJ449" s="55"/>
      <c r="HK449" s="55"/>
      <c r="HL449" s="55"/>
      <c r="HM449" s="55"/>
      <c r="HN449" s="55"/>
      <c r="HO449" s="55"/>
      <c r="HP449" s="55"/>
      <c r="HQ449" s="55"/>
      <c r="HR449" s="55"/>
      <c r="HS449" s="55"/>
      <c r="HT449" s="55"/>
      <c r="HU449" s="55"/>
      <c r="HV449" s="55"/>
      <c r="HW449" s="55"/>
      <c r="HX449" s="55"/>
      <c r="HY449" s="55"/>
      <c r="HZ449" s="55"/>
      <c r="IA449" s="55"/>
      <c r="IB449" s="55"/>
      <c r="IC449" s="55"/>
      <c r="ID449" s="55"/>
    </row>
    <row r="450" s="52" customFormat="1" ht="54" customHeight="1" spans="1:238">
      <c r="A450" s="112">
        <v>116</v>
      </c>
      <c r="B450" s="112" t="s">
        <v>1757</v>
      </c>
      <c r="C450" s="64" t="s">
        <v>1758</v>
      </c>
      <c r="D450" s="65" t="s">
        <v>1759</v>
      </c>
      <c r="E450" s="77" t="s">
        <v>1760</v>
      </c>
      <c r="F450" s="77" t="s">
        <v>35</v>
      </c>
      <c r="G450" s="64" t="s">
        <v>110</v>
      </c>
      <c r="H450" s="78">
        <v>810</v>
      </c>
      <c r="I450" s="78">
        <v>730</v>
      </c>
      <c r="J450" s="83">
        <v>750</v>
      </c>
      <c r="K450" s="83">
        <v>720</v>
      </c>
      <c r="L450" s="83">
        <v>612</v>
      </c>
      <c r="M450" s="41">
        <v>750</v>
      </c>
      <c r="N450" s="41">
        <v>720</v>
      </c>
      <c r="O450" s="41">
        <v>612</v>
      </c>
      <c r="P450" s="64" t="s">
        <v>37</v>
      </c>
      <c r="Q450" s="64" t="s">
        <v>35</v>
      </c>
      <c r="R450" s="64" t="s">
        <v>35</v>
      </c>
      <c r="S450" s="83" t="s">
        <v>381</v>
      </c>
      <c r="T450" s="77"/>
      <c r="U450" s="105" t="s">
        <v>1761</v>
      </c>
      <c r="V450" s="105">
        <v>330409005</v>
      </c>
      <c r="W450" s="106" t="s">
        <v>1762</v>
      </c>
      <c r="X450" s="105" t="s">
        <v>1763</v>
      </c>
      <c r="Y450" s="105" t="s">
        <v>1090</v>
      </c>
      <c r="Z450" s="105" t="s">
        <v>36</v>
      </c>
      <c r="AA450" s="110" t="s">
        <v>35</v>
      </c>
      <c r="AB450" s="50">
        <v>750</v>
      </c>
      <c r="AC450" s="50">
        <v>720</v>
      </c>
      <c r="AD450" s="50">
        <v>612</v>
      </c>
      <c r="AE450" s="112" t="s">
        <v>37</v>
      </c>
      <c r="AF450" s="60"/>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c r="BV450" s="55"/>
      <c r="BW450" s="55"/>
      <c r="BX450" s="55"/>
      <c r="BY450" s="55"/>
      <c r="BZ450" s="55"/>
      <c r="CA450" s="55"/>
      <c r="CB450" s="55"/>
      <c r="CC450" s="55"/>
      <c r="CD450" s="55"/>
      <c r="CE450" s="55"/>
      <c r="CF450" s="55"/>
      <c r="CG450" s="55"/>
      <c r="CH450" s="55"/>
      <c r="CI450" s="55"/>
      <c r="CJ450" s="55"/>
      <c r="CK450" s="55"/>
      <c r="CL450" s="55"/>
      <c r="CM450" s="55"/>
      <c r="CN450" s="55"/>
      <c r="CO450" s="55"/>
      <c r="CP450" s="55"/>
      <c r="CQ450" s="55"/>
      <c r="CR450" s="55"/>
      <c r="CS450" s="55"/>
      <c r="CT450" s="55"/>
      <c r="CU450" s="55"/>
      <c r="CV450" s="55"/>
      <c r="CW450" s="55"/>
      <c r="CX450" s="55"/>
      <c r="CY450" s="55"/>
      <c r="CZ450" s="55"/>
      <c r="DA450" s="55"/>
      <c r="DB450" s="55"/>
      <c r="DC450" s="55"/>
      <c r="DD450" s="55"/>
      <c r="DE450" s="55"/>
      <c r="DF450" s="55"/>
      <c r="DG450" s="55"/>
      <c r="DH450" s="55"/>
      <c r="DI450" s="55"/>
      <c r="DJ450" s="55"/>
      <c r="DK450" s="55"/>
      <c r="DL450" s="55"/>
      <c r="DM450" s="55"/>
      <c r="DN450" s="55"/>
      <c r="DO450" s="55"/>
      <c r="DP450" s="55"/>
      <c r="DQ450" s="55"/>
      <c r="DR450" s="55"/>
      <c r="DS450" s="55"/>
      <c r="DT450" s="55"/>
      <c r="DU450" s="55"/>
      <c r="DV450" s="55"/>
      <c r="DW450" s="55"/>
      <c r="DX450" s="55"/>
      <c r="DY450" s="55"/>
      <c r="DZ450" s="55"/>
      <c r="EA450" s="55"/>
      <c r="EB450" s="55"/>
      <c r="EC450" s="55"/>
      <c r="ED450" s="55"/>
      <c r="EE450" s="55"/>
      <c r="EF450" s="55"/>
      <c r="EG450" s="55"/>
      <c r="EH450" s="55"/>
      <c r="EI450" s="55"/>
      <c r="EJ450" s="55"/>
      <c r="EK450" s="55"/>
      <c r="EL450" s="55"/>
      <c r="EM450" s="55"/>
      <c r="EN450" s="55"/>
      <c r="EO450" s="55"/>
      <c r="EP450" s="55"/>
      <c r="EQ450" s="55"/>
      <c r="ER450" s="55"/>
      <c r="ES450" s="55"/>
      <c r="ET450" s="55"/>
      <c r="EU450" s="55"/>
      <c r="EV450" s="55"/>
      <c r="EW450" s="55"/>
      <c r="EX450" s="55"/>
      <c r="EY450" s="55"/>
      <c r="EZ450" s="55"/>
      <c r="FA450" s="55"/>
      <c r="FB450" s="55"/>
      <c r="FC450" s="55"/>
      <c r="FD450" s="55"/>
      <c r="FE450" s="55"/>
      <c r="FF450" s="55"/>
      <c r="FG450" s="55"/>
      <c r="FH450" s="55"/>
      <c r="FI450" s="55"/>
      <c r="FJ450" s="55"/>
      <c r="FK450" s="55"/>
      <c r="FL450" s="55"/>
      <c r="FM450" s="55"/>
      <c r="FN450" s="55"/>
      <c r="FO450" s="55"/>
      <c r="FP450" s="55"/>
      <c r="FQ450" s="55"/>
      <c r="FR450" s="55"/>
      <c r="FS450" s="55"/>
      <c r="FT450" s="55"/>
      <c r="FU450" s="55"/>
      <c r="FV450" s="55"/>
      <c r="FW450" s="55"/>
      <c r="FX450" s="55"/>
      <c r="FY450" s="55"/>
      <c r="FZ450" s="55"/>
      <c r="GA450" s="55"/>
      <c r="GB450" s="55"/>
      <c r="GC450" s="55"/>
      <c r="GD450" s="55"/>
      <c r="GE450" s="55"/>
      <c r="GF450" s="55"/>
      <c r="GG450" s="55"/>
      <c r="GH450" s="55"/>
      <c r="GI450" s="55"/>
      <c r="GJ450" s="55"/>
      <c r="GK450" s="55"/>
      <c r="GL450" s="55"/>
      <c r="GM450" s="55"/>
      <c r="GN450" s="55"/>
      <c r="GO450" s="55"/>
      <c r="GP450" s="55"/>
      <c r="GQ450" s="55"/>
      <c r="GR450" s="55"/>
      <c r="GS450" s="55"/>
      <c r="GT450" s="55"/>
      <c r="GU450" s="55"/>
      <c r="GV450" s="55"/>
      <c r="GW450" s="55"/>
      <c r="GX450" s="55"/>
      <c r="GY450" s="55"/>
      <c r="GZ450" s="55"/>
      <c r="HA450" s="55"/>
      <c r="HB450" s="55"/>
      <c r="HC450" s="55"/>
      <c r="HD450" s="55"/>
      <c r="HE450" s="55"/>
      <c r="HF450" s="55"/>
      <c r="HG450" s="55"/>
      <c r="HH450" s="55"/>
      <c r="HI450" s="55"/>
      <c r="HJ450" s="55"/>
      <c r="HK450" s="55"/>
      <c r="HL450" s="55"/>
      <c r="HM450" s="55"/>
      <c r="HN450" s="55"/>
      <c r="HO450" s="55"/>
      <c r="HP450" s="55"/>
      <c r="HQ450" s="55"/>
      <c r="HR450" s="55"/>
      <c r="HS450" s="55"/>
      <c r="HT450" s="55"/>
      <c r="HU450" s="55"/>
      <c r="HV450" s="55"/>
      <c r="HW450" s="55"/>
      <c r="HX450" s="55"/>
      <c r="HY450" s="55"/>
      <c r="HZ450" s="55"/>
      <c r="IA450" s="55"/>
      <c r="IB450" s="55"/>
      <c r="IC450" s="55"/>
      <c r="ID450" s="55"/>
    </row>
    <row r="451" s="52" customFormat="1" ht="38" customHeight="1" spans="1:238">
      <c r="A451" s="112" t="s">
        <v>95</v>
      </c>
      <c r="B451" s="112" t="s">
        <v>1764</v>
      </c>
      <c r="C451" s="64" t="s">
        <v>1765</v>
      </c>
      <c r="D451" s="65"/>
      <c r="E451" s="77"/>
      <c r="F451" s="77" t="s">
        <v>35</v>
      </c>
      <c r="G451" s="64" t="s">
        <v>110</v>
      </c>
      <c r="H451" s="78">
        <v>243</v>
      </c>
      <c r="I451" s="78">
        <v>219</v>
      </c>
      <c r="J451" s="83">
        <v>225</v>
      </c>
      <c r="K451" s="83">
        <v>215</v>
      </c>
      <c r="L451" s="83">
        <v>183</v>
      </c>
      <c r="M451" s="41">
        <v>225</v>
      </c>
      <c r="N451" s="41">
        <v>215</v>
      </c>
      <c r="O451" s="94">
        <v>185</v>
      </c>
      <c r="P451" s="64" t="s">
        <v>37</v>
      </c>
      <c r="Q451" s="64" t="s">
        <v>35</v>
      </c>
      <c r="R451" s="64" t="s">
        <v>35</v>
      </c>
      <c r="S451" s="83"/>
      <c r="T451" s="77" t="s">
        <v>186</v>
      </c>
      <c r="U451" s="105" t="s">
        <v>1766</v>
      </c>
      <c r="V451" s="105">
        <v>33040900503</v>
      </c>
      <c r="W451" s="106" t="s">
        <v>1767</v>
      </c>
      <c r="X451" s="105"/>
      <c r="Y451" s="105"/>
      <c r="Z451" s="105" t="s">
        <v>36</v>
      </c>
      <c r="AA451" s="110" t="s">
        <v>35</v>
      </c>
      <c r="AB451" s="50">
        <v>975</v>
      </c>
      <c r="AC451" s="50">
        <v>935</v>
      </c>
      <c r="AD451" s="50">
        <v>795</v>
      </c>
      <c r="AE451" s="112" t="s">
        <v>37</v>
      </c>
      <c r="AF451" s="60"/>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5"/>
      <c r="BV451" s="55"/>
      <c r="BW451" s="55"/>
      <c r="BX451" s="55"/>
      <c r="BY451" s="55"/>
      <c r="BZ451" s="55"/>
      <c r="CA451" s="55"/>
      <c r="CB451" s="55"/>
      <c r="CC451" s="55"/>
      <c r="CD451" s="55"/>
      <c r="CE451" s="55"/>
      <c r="CF451" s="55"/>
      <c r="CG451" s="55"/>
      <c r="CH451" s="55"/>
      <c r="CI451" s="55"/>
      <c r="CJ451" s="55"/>
      <c r="CK451" s="55"/>
      <c r="CL451" s="55"/>
      <c r="CM451" s="55"/>
      <c r="CN451" s="55"/>
      <c r="CO451" s="55"/>
      <c r="CP451" s="55"/>
      <c r="CQ451" s="55"/>
      <c r="CR451" s="55"/>
      <c r="CS451" s="55"/>
      <c r="CT451" s="55"/>
      <c r="CU451" s="55"/>
      <c r="CV451" s="55"/>
      <c r="CW451" s="55"/>
      <c r="CX451" s="55"/>
      <c r="CY451" s="55"/>
      <c r="CZ451" s="55"/>
      <c r="DA451" s="55"/>
      <c r="DB451" s="55"/>
      <c r="DC451" s="55"/>
      <c r="DD451" s="55"/>
      <c r="DE451" s="55"/>
      <c r="DF451" s="55"/>
      <c r="DG451" s="55"/>
      <c r="DH451" s="55"/>
      <c r="DI451" s="55"/>
      <c r="DJ451" s="55"/>
      <c r="DK451" s="55"/>
      <c r="DL451" s="55"/>
      <c r="DM451" s="55"/>
      <c r="DN451" s="55"/>
      <c r="DO451" s="55"/>
      <c r="DP451" s="55"/>
      <c r="DQ451" s="55"/>
      <c r="DR451" s="55"/>
      <c r="DS451" s="55"/>
      <c r="DT451" s="55"/>
      <c r="DU451" s="55"/>
      <c r="DV451" s="55"/>
      <c r="DW451" s="55"/>
      <c r="DX451" s="55"/>
      <c r="DY451" s="55"/>
      <c r="DZ451" s="55"/>
      <c r="EA451" s="55"/>
      <c r="EB451" s="55"/>
      <c r="EC451" s="55"/>
      <c r="ED451" s="55"/>
      <c r="EE451" s="55"/>
      <c r="EF451" s="55"/>
      <c r="EG451" s="55"/>
      <c r="EH451" s="55"/>
      <c r="EI451" s="55"/>
      <c r="EJ451" s="55"/>
      <c r="EK451" s="55"/>
      <c r="EL451" s="55"/>
      <c r="EM451" s="55"/>
      <c r="EN451" s="55"/>
      <c r="EO451" s="55"/>
      <c r="EP451" s="55"/>
      <c r="EQ451" s="55"/>
      <c r="ER451" s="55"/>
      <c r="ES451" s="55"/>
      <c r="ET451" s="55"/>
      <c r="EU451" s="55"/>
      <c r="EV451" s="55"/>
      <c r="EW451" s="55"/>
      <c r="EX451" s="55"/>
      <c r="EY451" s="55"/>
      <c r="EZ451" s="55"/>
      <c r="FA451" s="55"/>
      <c r="FB451" s="55"/>
      <c r="FC451" s="55"/>
      <c r="FD451" s="55"/>
      <c r="FE451" s="55"/>
      <c r="FF451" s="55"/>
      <c r="FG451" s="55"/>
      <c r="FH451" s="55"/>
      <c r="FI451" s="55"/>
      <c r="FJ451" s="55"/>
      <c r="FK451" s="55"/>
      <c r="FL451" s="55"/>
      <c r="FM451" s="55"/>
      <c r="FN451" s="55"/>
      <c r="FO451" s="55"/>
      <c r="FP451" s="55"/>
      <c r="FQ451" s="55"/>
      <c r="FR451" s="55"/>
      <c r="FS451" s="55"/>
      <c r="FT451" s="55"/>
      <c r="FU451" s="55"/>
      <c r="FV451" s="55"/>
      <c r="FW451" s="55"/>
      <c r="FX451" s="55"/>
      <c r="FY451" s="55"/>
      <c r="FZ451" s="55"/>
      <c r="GA451" s="55"/>
      <c r="GB451" s="55"/>
      <c r="GC451" s="55"/>
      <c r="GD451" s="55"/>
      <c r="GE451" s="55"/>
      <c r="GF451" s="55"/>
      <c r="GG451" s="55"/>
      <c r="GH451" s="55"/>
      <c r="GI451" s="55"/>
      <c r="GJ451" s="55"/>
      <c r="GK451" s="55"/>
      <c r="GL451" s="55"/>
      <c r="GM451" s="55"/>
      <c r="GN451" s="55"/>
      <c r="GO451" s="55"/>
      <c r="GP451" s="55"/>
      <c r="GQ451" s="55"/>
      <c r="GR451" s="55"/>
      <c r="GS451" s="55"/>
      <c r="GT451" s="55"/>
      <c r="GU451" s="55"/>
      <c r="GV451" s="55"/>
      <c r="GW451" s="55"/>
      <c r="GX451" s="55"/>
      <c r="GY451" s="55"/>
      <c r="GZ451" s="55"/>
      <c r="HA451" s="55"/>
      <c r="HB451" s="55"/>
      <c r="HC451" s="55"/>
      <c r="HD451" s="55"/>
      <c r="HE451" s="55"/>
      <c r="HF451" s="55"/>
      <c r="HG451" s="55"/>
      <c r="HH451" s="55"/>
      <c r="HI451" s="55"/>
      <c r="HJ451" s="55"/>
      <c r="HK451" s="55"/>
      <c r="HL451" s="55"/>
      <c r="HM451" s="55"/>
      <c r="HN451" s="55"/>
      <c r="HO451" s="55"/>
      <c r="HP451" s="55"/>
      <c r="HQ451" s="55"/>
      <c r="HR451" s="55"/>
      <c r="HS451" s="55"/>
      <c r="HT451" s="55"/>
      <c r="HU451" s="55"/>
      <c r="HV451" s="55"/>
      <c r="HW451" s="55"/>
      <c r="HX451" s="55"/>
      <c r="HY451" s="55"/>
      <c r="HZ451" s="55"/>
      <c r="IA451" s="55"/>
      <c r="IB451" s="55"/>
      <c r="IC451" s="55"/>
      <c r="ID451" s="55"/>
    </row>
    <row r="452" s="52" customFormat="1" ht="28" customHeight="1" spans="1:238">
      <c r="A452" s="112" t="s">
        <v>95</v>
      </c>
      <c r="B452" s="112" t="s">
        <v>1768</v>
      </c>
      <c r="C452" s="64" t="s">
        <v>1769</v>
      </c>
      <c r="D452" s="65"/>
      <c r="E452" s="77"/>
      <c r="F452" s="77" t="s">
        <v>35</v>
      </c>
      <c r="G452" s="64" t="s">
        <v>110</v>
      </c>
      <c r="H452" s="78">
        <v>243</v>
      </c>
      <c r="I452" s="78">
        <v>219</v>
      </c>
      <c r="J452" s="83"/>
      <c r="K452" s="83"/>
      <c r="L452" s="83"/>
      <c r="M452" s="41">
        <v>225</v>
      </c>
      <c r="N452" s="41">
        <v>215</v>
      </c>
      <c r="O452" s="41">
        <v>185</v>
      </c>
      <c r="P452" s="64" t="s">
        <v>37</v>
      </c>
      <c r="Q452" s="64" t="s">
        <v>35</v>
      </c>
      <c r="R452" s="64" t="s">
        <v>35</v>
      </c>
      <c r="S452" s="83"/>
      <c r="T452" s="77" t="s">
        <v>1770</v>
      </c>
      <c r="U452" s="105" t="s">
        <v>1771</v>
      </c>
      <c r="V452" s="105">
        <v>33040900501</v>
      </c>
      <c r="W452" s="106" t="s">
        <v>1772</v>
      </c>
      <c r="X452" s="105"/>
      <c r="Y452" s="105"/>
      <c r="Z452" s="105" t="s">
        <v>36</v>
      </c>
      <c r="AA452" s="110" t="s">
        <v>35</v>
      </c>
      <c r="AB452" s="50">
        <v>750</v>
      </c>
      <c r="AC452" s="50">
        <v>720</v>
      </c>
      <c r="AD452" s="50">
        <v>612</v>
      </c>
      <c r="AE452" s="112" t="s">
        <v>37</v>
      </c>
      <c r="AF452" s="60"/>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5"/>
      <c r="BV452" s="55"/>
      <c r="BW452" s="55"/>
      <c r="BX452" s="55"/>
      <c r="BY452" s="55"/>
      <c r="BZ452" s="55"/>
      <c r="CA452" s="55"/>
      <c r="CB452" s="55"/>
      <c r="CC452" s="55"/>
      <c r="CD452" s="55"/>
      <c r="CE452" s="55"/>
      <c r="CF452" s="55"/>
      <c r="CG452" s="55"/>
      <c r="CH452" s="55"/>
      <c r="CI452" s="55"/>
      <c r="CJ452" s="55"/>
      <c r="CK452" s="55"/>
      <c r="CL452" s="55"/>
      <c r="CM452" s="55"/>
      <c r="CN452" s="55"/>
      <c r="CO452" s="55"/>
      <c r="CP452" s="55"/>
      <c r="CQ452" s="55"/>
      <c r="CR452" s="55"/>
      <c r="CS452" s="55"/>
      <c r="CT452" s="55"/>
      <c r="CU452" s="55"/>
      <c r="CV452" s="55"/>
      <c r="CW452" s="55"/>
      <c r="CX452" s="55"/>
      <c r="CY452" s="55"/>
      <c r="CZ452" s="55"/>
      <c r="DA452" s="55"/>
      <c r="DB452" s="55"/>
      <c r="DC452" s="55"/>
      <c r="DD452" s="55"/>
      <c r="DE452" s="55"/>
      <c r="DF452" s="55"/>
      <c r="DG452" s="55"/>
      <c r="DH452" s="55"/>
      <c r="DI452" s="55"/>
      <c r="DJ452" s="55"/>
      <c r="DK452" s="55"/>
      <c r="DL452" s="55"/>
      <c r="DM452" s="55"/>
      <c r="DN452" s="55"/>
      <c r="DO452" s="55"/>
      <c r="DP452" s="55"/>
      <c r="DQ452" s="55"/>
      <c r="DR452" s="55"/>
      <c r="DS452" s="55"/>
      <c r="DT452" s="55"/>
      <c r="DU452" s="55"/>
      <c r="DV452" s="55"/>
      <c r="DW452" s="55"/>
      <c r="DX452" s="55"/>
      <c r="DY452" s="55"/>
      <c r="DZ452" s="55"/>
      <c r="EA452" s="55"/>
      <c r="EB452" s="55"/>
      <c r="EC452" s="55"/>
      <c r="ED452" s="55"/>
      <c r="EE452" s="55"/>
      <c r="EF452" s="55"/>
      <c r="EG452" s="55"/>
      <c r="EH452" s="55"/>
      <c r="EI452" s="55"/>
      <c r="EJ452" s="55"/>
      <c r="EK452" s="55"/>
      <c r="EL452" s="55"/>
      <c r="EM452" s="55"/>
      <c r="EN452" s="55"/>
      <c r="EO452" s="55"/>
      <c r="EP452" s="55"/>
      <c r="EQ452" s="55"/>
      <c r="ER452" s="55"/>
      <c r="ES452" s="55"/>
      <c r="ET452" s="55"/>
      <c r="EU452" s="55"/>
      <c r="EV452" s="55"/>
      <c r="EW452" s="55"/>
      <c r="EX452" s="55"/>
      <c r="EY452" s="55"/>
      <c r="EZ452" s="55"/>
      <c r="FA452" s="55"/>
      <c r="FB452" s="55"/>
      <c r="FC452" s="55"/>
      <c r="FD452" s="55"/>
      <c r="FE452" s="55"/>
      <c r="FF452" s="55"/>
      <c r="FG452" s="55"/>
      <c r="FH452" s="55"/>
      <c r="FI452" s="55"/>
      <c r="FJ452" s="55"/>
      <c r="FK452" s="55"/>
      <c r="FL452" s="55"/>
      <c r="FM452" s="55"/>
      <c r="FN452" s="55"/>
      <c r="FO452" s="55"/>
      <c r="FP452" s="55"/>
      <c r="FQ452" s="55"/>
      <c r="FR452" s="55"/>
      <c r="FS452" s="55"/>
      <c r="FT452" s="55"/>
      <c r="FU452" s="55"/>
      <c r="FV452" s="55"/>
      <c r="FW452" s="55"/>
      <c r="FX452" s="55"/>
      <c r="FY452" s="55"/>
      <c r="FZ452" s="55"/>
      <c r="GA452" s="55"/>
      <c r="GB452" s="55"/>
      <c r="GC452" s="55"/>
      <c r="GD452" s="55"/>
      <c r="GE452" s="55"/>
      <c r="GF452" s="55"/>
      <c r="GG452" s="55"/>
      <c r="GH452" s="55"/>
      <c r="GI452" s="55"/>
      <c r="GJ452" s="55"/>
      <c r="GK452" s="55"/>
      <c r="GL452" s="55"/>
      <c r="GM452" s="55"/>
      <c r="GN452" s="55"/>
      <c r="GO452" s="55"/>
      <c r="GP452" s="55"/>
      <c r="GQ452" s="55"/>
      <c r="GR452" s="55"/>
      <c r="GS452" s="55"/>
      <c r="GT452" s="55"/>
      <c r="GU452" s="55"/>
      <c r="GV452" s="55"/>
      <c r="GW452" s="55"/>
      <c r="GX452" s="55"/>
      <c r="GY452" s="55"/>
      <c r="GZ452" s="55"/>
      <c r="HA452" s="55"/>
      <c r="HB452" s="55"/>
      <c r="HC452" s="55"/>
      <c r="HD452" s="55"/>
      <c r="HE452" s="55"/>
      <c r="HF452" s="55"/>
      <c r="HG452" s="55"/>
      <c r="HH452" s="55"/>
      <c r="HI452" s="55"/>
      <c r="HJ452" s="55"/>
      <c r="HK452" s="55"/>
      <c r="HL452" s="55"/>
      <c r="HM452" s="55"/>
      <c r="HN452" s="55"/>
      <c r="HO452" s="55"/>
      <c r="HP452" s="55"/>
      <c r="HQ452" s="55"/>
      <c r="HR452" s="55"/>
      <c r="HS452" s="55"/>
      <c r="HT452" s="55"/>
      <c r="HU452" s="55"/>
      <c r="HV452" s="55"/>
      <c r="HW452" s="55"/>
      <c r="HX452" s="55"/>
      <c r="HY452" s="55"/>
      <c r="HZ452" s="55"/>
      <c r="IA452" s="55"/>
      <c r="IB452" s="55"/>
      <c r="IC452" s="55"/>
      <c r="ID452" s="55"/>
    </row>
    <row r="453" s="55" customFormat="1" ht="28" customHeight="1" spans="1:32">
      <c r="A453" s="112"/>
      <c r="B453" s="112"/>
      <c r="C453" s="64"/>
      <c r="D453" s="65"/>
      <c r="E453" s="77"/>
      <c r="F453" s="77"/>
      <c r="G453" s="64"/>
      <c r="H453" s="42"/>
      <c r="I453" s="42"/>
      <c r="J453" s="83"/>
      <c r="K453" s="83"/>
      <c r="L453" s="83"/>
      <c r="M453" s="41"/>
      <c r="N453" s="41"/>
      <c r="O453" s="41"/>
      <c r="P453" s="64"/>
      <c r="Q453" s="64"/>
      <c r="R453" s="64"/>
      <c r="S453" s="83"/>
      <c r="T453" s="77"/>
      <c r="U453" s="105" t="s">
        <v>1773</v>
      </c>
      <c r="V453" s="105">
        <v>33040900502</v>
      </c>
      <c r="W453" s="106" t="s">
        <v>1774</v>
      </c>
      <c r="X453" s="105"/>
      <c r="Y453" s="105"/>
      <c r="Z453" s="105" t="s">
        <v>36</v>
      </c>
      <c r="AA453" s="110" t="s">
        <v>35</v>
      </c>
      <c r="AB453" s="50">
        <v>750</v>
      </c>
      <c r="AC453" s="50">
        <v>720</v>
      </c>
      <c r="AD453" s="50">
        <v>612</v>
      </c>
      <c r="AE453" s="112" t="s">
        <v>37</v>
      </c>
      <c r="AF453" s="60"/>
    </row>
    <row r="454" s="52" customFormat="1" ht="26" customHeight="1" spans="1:238">
      <c r="A454" s="112">
        <v>117</v>
      </c>
      <c r="B454" s="112" t="s">
        <v>1775</v>
      </c>
      <c r="C454" s="64" t="s">
        <v>1776</v>
      </c>
      <c r="D454" s="65" t="s">
        <v>1777</v>
      </c>
      <c r="E454" s="77" t="s">
        <v>1778</v>
      </c>
      <c r="F454" s="77" t="s">
        <v>35</v>
      </c>
      <c r="G454" s="64" t="s">
        <v>1779</v>
      </c>
      <c r="H454" s="78">
        <v>1430</v>
      </c>
      <c r="I454" s="78">
        <v>1287</v>
      </c>
      <c r="J454" s="84">
        <v>1268.64847715736</v>
      </c>
      <c r="K454" s="84">
        <v>1142.7027027027</v>
      </c>
      <c r="L454" s="83"/>
      <c r="M454" s="41">
        <v>1270</v>
      </c>
      <c r="N454" s="41">
        <v>1145</v>
      </c>
      <c r="O454" s="41">
        <v>975</v>
      </c>
      <c r="P454" s="64" t="s">
        <v>37</v>
      </c>
      <c r="Q454" s="64" t="s">
        <v>35</v>
      </c>
      <c r="R454" s="64" t="s">
        <v>348</v>
      </c>
      <c r="S454" s="83" t="s">
        <v>191</v>
      </c>
      <c r="T454" s="77" t="s">
        <v>191</v>
      </c>
      <c r="U454" s="105" t="s">
        <v>1780</v>
      </c>
      <c r="V454" s="105">
        <v>330408001</v>
      </c>
      <c r="W454" s="106" t="s">
        <v>1781</v>
      </c>
      <c r="X454" s="105" t="s">
        <v>1782</v>
      </c>
      <c r="Y454" s="105"/>
      <c r="Z454" s="105" t="s">
        <v>1783</v>
      </c>
      <c r="AA454" s="110" t="s">
        <v>1784</v>
      </c>
      <c r="AB454" s="50">
        <v>875</v>
      </c>
      <c r="AC454" s="50">
        <v>840</v>
      </c>
      <c r="AD454" s="50">
        <v>714</v>
      </c>
      <c r="AE454" s="112" t="s">
        <v>37</v>
      </c>
      <c r="AF454" s="60"/>
      <c r="AG454" s="55"/>
      <c r="AH454" s="55"/>
      <c r="AI454" s="55"/>
      <c r="AJ454" s="55"/>
      <c r="AK454" s="55"/>
      <c r="AL454" s="55"/>
      <c r="AM454" s="55"/>
      <c r="AN454" s="55"/>
      <c r="AO454" s="55"/>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c r="BV454" s="55"/>
      <c r="BW454" s="55"/>
      <c r="BX454" s="55"/>
      <c r="BY454" s="55"/>
      <c r="BZ454" s="55"/>
      <c r="CA454" s="55"/>
      <c r="CB454" s="55"/>
      <c r="CC454" s="55"/>
      <c r="CD454" s="55"/>
      <c r="CE454" s="55"/>
      <c r="CF454" s="55"/>
      <c r="CG454" s="55"/>
      <c r="CH454" s="55"/>
      <c r="CI454" s="55"/>
      <c r="CJ454" s="55"/>
      <c r="CK454" s="55"/>
      <c r="CL454" s="55"/>
      <c r="CM454" s="55"/>
      <c r="CN454" s="55"/>
      <c r="CO454" s="55"/>
      <c r="CP454" s="55"/>
      <c r="CQ454" s="55"/>
      <c r="CR454" s="55"/>
      <c r="CS454" s="55"/>
      <c r="CT454" s="55"/>
      <c r="CU454" s="55"/>
      <c r="CV454" s="55"/>
      <c r="CW454" s="55"/>
      <c r="CX454" s="55"/>
      <c r="CY454" s="55"/>
      <c r="CZ454" s="55"/>
      <c r="DA454" s="55"/>
      <c r="DB454" s="55"/>
      <c r="DC454" s="55"/>
      <c r="DD454" s="55"/>
      <c r="DE454" s="55"/>
      <c r="DF454" s="55"/>
      <c r="DG454" s="55"/>
      <c r="DH454" s="55"/>
      <c r="DI454" s="55"/>
      <c r="DJ454" s="55"/>
      <c r="DK454" s="55"/>
      <c r="DL454" s="55"/>
      <c r="DM454" s="55"/>
      <c r="DN454" s="55"/>
      <c r="DO454" s="55"/>
      <c r="DP454" s="55"/>
      <c r="DQ454" s="55"/>
      <c r="DR454" s="55"/>
      <c r="DS454" s="55"/>
      <c r="DT454" s="55"/>
      <c r="DU454" s="55"/>
      <c r="DV454" s="55"/>
      <c r="DW454" s="55"/>
      <c r="DX454" s="55"/>
      <c r="DY454" s="55"/>
      <c r="DZ454" s="55"/>
      <c r="EA454" s="55"/>
      <c r="EB454" s="55"/>
      <c r="EC454" s="55"/>
      <c r="ED454" s="55"/>
      <c r="EE454" s="55"/>
      <c r="EF454" s="55"/>
      <c r="EG454" s="55"/>
      <c r="EH454" s="55"/>
      <c r="EI454" s="55"/>
      <c r="EJ454" s="55"/>
      <c r="EK454" s="55"/>
      <c r="EL454" s="55"/>
      <c r="EM454" s="55"/>
      <c r="EN454" s="55"/>
      <c r="EO454" s="55"/>
      <c r="EP454" s="55"/>
      <c r="EQ454" s="55"/>
      <c r="ER454" s="55"/>
      <c r="ES454" s="55"/>
      <c r="ET454" s="55"/>
      <c r="EU454" s="55"/>
      <c r="EV454" s="55"/>
      <c r="EW454" s="55"/>
      <c r="EX454" s="55"/>
      <c r="EY454" s="55"/>
      <c r="EZ454" s="55"/>
      <c r="FA454" s="55"/>
      <c r="FB454" s="55"/>
      <c r="FC454" s="55"/>
      <c r="FD454" s="55"/>
      <c r="FE454" s="55"/>
      <c r="FF454" s="55"/>
      <c r="FG454" s="55"/>
      <c r="FH454" s="55"/>
      <c r="FI454" s="55"/>
      <c r="FJ454" s="55"/>
      <c r="FK454" s="55"/>
      <c r="FL454" s="55"/>
      <c r="FM454" s="55"/>
      <c r="FN454" s="55"/>
      <c r="FO454" s="55"/>
      <c r="FP454" s="55"/>
      <c r="FQ454" s="55"/>
      <c r="FR454" s="55"/>
      <c r="FS454" s="55"/>
      <c r="FT454" s="55"/>
      <c r="FU454" s="55"/>
      <c r="FV454" s="55"/>
      <c r="FW454" s="55"/>
      <c r="FX454" s="55"/>
      <c r="FY454" s="55"/>
      <c r="FZ454" s="55"/>
      <c r="GA454" s="55"/>
      <c r="GB454" s="55"/>
      <c r="GC454" s="55"/>
      <c r="GD454" s="55"/>
      <c r="GE454" s="55"/>
      <c r="GF454" s="55"/>
      <c r="GG454" s="55"/>
      <c r="GH454" s="55"/>
      <c r="GI454" s="55"/>
      <c r="GJ454" s="55"/>
      <c r="GK454" s="55"/>
      <c r="GL454" s="55"/>
      <c r="GM454" s="55"/>
      <c r="GN454" s="55"/>
      <c r="GO454" s="55"/>
      <c r="GP454" s="55"/>
      <c r="GQ454" s="55"/>
      <c r="GR454" s="55"/>
      <c r="GS454" s="55"/>
      <c r="GT454" s="55"/>
      <c r="GU454" s="55"/>
      <c r="GV454" s="55"/>
      <c r="GW454" s="55"/>
      <c r="GX454" s="55"/>
      <c r="GY454" s="55"/>
      <c r="GZ454" s="55"/>
      <c r="HA454" s="55"/>
      <c r="HB454" s="55"/>
      <c r="HC454" s="55"/>
      <c r="HD454" s="55"/>
      <c r="HE454" s="55"/>
      <c r="HF454" s="55"/>
      <c r="HG454" s="55"/>
      <c r="HH454" s="55"/>
      <c r="HI454" s="55"/>
      <c r="HJ454" s="55"/>
      <c r="HK454" s="55"/>
      <c r="HL454" s="55"/>
      <c r="HM454" s="55"/>
      <c r="HN454" s="55"/>
      <c r="HO454" s="55"/>
      <c r="HP454" s="55"/>
      <c r="HQ454" s="55"/>
      <c r="HR454" s="55"/>
      <c r="HS454" s="55"/>
      <c r="HT454" s="55"/>
      <c r="HU454" s="55"/>
      <c r="HV454" s="55"/>
      <c r="HW454" s="55"/>
      <c r="HX454" s="55"/>
      <c r="HY454" s="55"/>
      <c r="HZ454" s="55"/>
      <c r="IA454" s="55"/>
      <c r="IB454" s="55"/>
      <c r="IC454" s="55"/>
      <c r="ID454" s="55"/>
    </row>
    <row r="455" s="52" customFormat="1" ht="26" customHeight="1" spans="1:238">
      <c r="A455" s="112"/>
      <c r="B455" s="112"/>
      <c r="C455" s="64"/>
      <c r="D455" s="65"/>
      <c r="E455" s="77"/>
      <c r="F455" s="77"/>
      <c r="G455" s="64"/>
      <c r="H455" s="42"/>
      <c r="I455" s="42"/>
      <c r="J455" s="84"/>
      <c r="K455" s="84"/>
      <c r="L455" s="83"/>
      <c r="M455" s="41"/>
      <c r="N455" s="41"/>
      <c r="O455" s="41"/>
      <c r="P455" s="64"/>
      <c r="Q455" s="64"/>
      <c r="R455" s="64"/>
      <c r="S455" s="83"/>
      <c r="T455" s="77"/>
      <c r="U455" s="105" t="s">
        <v>1785</v>
      </c>
      <c r="V455" s="105">
        <v>33040800101</v>
      </c>
      <c r="W455" s="106" t="s">
        <v>1786</v>
      </c>
      <c r="X455" s="105"/>
      <c r="Y455" s="105"/>
      <c r="Z455" s="105" t="s">
        <v>1783</v>
      </c>
      <c r="AA455" s="110" t="s">
        <v>1787</v>
      </c>
      <c r="AB455" s="50">
        <v>1312.5</v>
      </c>
      <c r="AC455" s="50">
        <v>1260</v>
      </c>
      <c r="AD455" s="50">
        <v>1071</v>
      </c>
      <c r="AE455" s="112" t="s">
        <v>37</v>
      </c>
      <c r="AF455" s="60"/>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5"/>
      <c r="BV455" s="55"/>
      <c r="BW455" s="55"/>
      <c r="BX455" s="55"/>
      <c r="BY455" s="55"/>
      <c r="BZ455" s="55"/>
      <c r="CA455" s="55"/>
      <c r="CB455" s="55"/>
      <c r="CC455" s="55"/>
      <c r="CD455" s="55"/>
      <c r="CE455" s="55"/>
      <c r="CF455" s="55"/>
      <c r="CG455" s="55"/>
      <c r="CH455" s="55"/>
      <c r="CI455" s="55"/>
      <c r="CJ455" s="55"/>
      <c r="CK455" s="55"/>
      <c r="CL455" s="55"/>
      <c r="CM455" s="55"/>
      <c r="CN455" s="55"/>
      <c r="CO455" s="55"/>
      <c r="CP455" s="55"/>
      <c r="CQ455" s="55"/>
      <c r="CR455" s="55"/>
      <c r="CS455" s="55"/>
      <c r="CT455" s="55"/>
      <c r="CU455" s="55"/>
      <c r="CV455" s="55"/>
      <c r="CW455" s="55"/>
      <c r="CX455" s="55"/>
      <c r="CY455" s="55"/>
      <c r="CZ455" s="55"/>
      <c r="DA455" s="55"/>
      <c r="DB455" s="55"/>
      <c r="DC455" s="55"/>
      <c r="DD455" s="55"/>
      <c r="DE455" s="55"/>
      <c r="DF455" s="55"/>
      <c r="DG455" s="55"/>
      <c r="DH455" s="55"/>
      <c r="DI455" s="55"/>
      <c r="DJ455" s="55"/>
      <c r="DK455" s="55"/>
      <c r="DL455" s="55"/>
      <c r="DM455" s="55"/>
      <c r="DN455" s="55"/>
      <c r="DO455" s="55"/>
      <c r="DP455" s="55"/>
      <c r="DQ455" s="55"/>
      <c r="DR455" s="55"/>
      <c r="DS455" s="55"/>
      <c r="DT455" s="55"/>
      <c r="DU455" s="55"/>
      <c r="DV455" s="55"/>
      <c r="DW455" s="55"/>
      <c r="DX455" s="55"/>
      <c r="DY455" s="55"/>
      <c r="DZ455" s="55"/>
      <c r="EA455" s="55"/>
      <c r="EB455" s="55"/>
      <c r="EC455" s="55"/>
      <c r="ED455" s="55"/>
      <c r="EE455" s="55"/>
      <c r="EF455" s="55"/>
      <c r="EG455" s="55"/>
      <c r="EH455" s="55"/>
      <c r="EI455" s="55"/>
      <c r="EJ455" s="55"/>
      <c r="EK455" s="55"/>
      <c r="EL455" s="55"/>
      <c r="EM455" s="55"/>
      <c r="EN455" s="55"/>
      <c r="EO455" s="55"/>
      <c r="EP455" s="55"/>
      <c r="EQ455" s="55"/>
      <c r="ER455" s="55"/>
      <c r="ES455" s="55"/>
      <c r="ET455" s="55"/>
      <c r="EU455" s="55"/>
      <c r="EV455" s="55"/>
      <c r="EW455" s="55"/>
      <c r="EX455" s="55"/>
      <c r="EY455" s="55"/>
      <c r="EZ455" s="55"/>
      <c r="FA455" s="55"/>
      <c r="FB455" s="55"/>
      <c r="FC455" s="55"/>
      <c r="FD455" s="55"/>
      <c r="FE455" s="55"/>
      <c r="FF455" s="55"/>
      <c r="FG455" s="55"/>
      <c r="FH455" s="55"/>
      <c r="FI455" s="55"/>
      <c r="FJ455" s="55"/>
      <c r="FK455" s="55"/>
      <c r="FL455" s="55"/>
      <c r="FM455" s="55"/>
      <c r="FN455" s="55"/>
      <c r="FO455" s="55"/>
      <c r="FP455" s="55"/>
      <c r="FQ455" s="55"/>
      <c r="FR455" s="55"/>
      <c r="FS455" s="55"/>
      <c r="FT455" s="55"/>
      <c r="FU455" s="55"/>
      <c r="FV455" s="55"/>
      <c r="FW455" s="55"/>
      <c r="FX455" s="55"/>
      <c r="FY455" s="55"/>
      <c r="FZ455" s="55"/>
      <c r="GA455" s="55"/>
      <c r="GB455" s="55"/>
      <c r="GC455" s="55"/>
      <c r="GD455" s="55"/>
      <c r="GE455" s="55"/>
      <c r="GF455" s="55"/>
      <c r="GG455" s="55"/>
      <c r="GH455" s="55"/>
      <c r="GI455" s="55"/>
      <c r="GJ455" s="55"/>
      <c r="GK455" s="55"/>
      <c r="GL455" s="55"/>
      <c r="GM455" s="55"/>
      <c r="GN455" s="55"/>
      <c r="GO455" s="55"/>
      <c r="GP455" s="55"/>
      <c r="GQ455" s="55"/>
      <c r="GR455" s="55"/>
      <c r="GS455" s="55"/>
      <c r="GT455" s="55"/>
      <c r="GU455" s="55"/>
      <c r="GV455" s="55"/>
      <c r="GW455" s="55"/>
      <c r="GX455" s="55"/>
      <c r="GY455" s="55"/>
      <c r="GZ455" s="55"/>
      <c r="HA455" s="55"/>
      <c r="HB455" s="55"/>
      <c r="HC455" s="55"/>
      <c r="HD455" s="55"/>
      <c r="HE455" s="55"/>
      <c r="HF455" s="55"/>
      <c r="HG455" s="55"/>
      <c r="HH455" s="55"/>
      <c r="HI455" s="55"/>
      <c r="HJ455" s="55"/>
      <c r="HK455" s="55"/>
      <c r="HL455" s="55"/>
      <c r="HM455" s="55"/>
      <c r="HN455" s="55"/>
      <c r="HO455" s="55"/>
      <c r="HP455" s="55"/>
      <c r="HQ455" s="55"/>
      <c r="HR455" s="55"/>
      <c r="HS455" s="55"/>
      <c r="HT455" s="55"/>
      <c r="HU455" s="55"/>
      <c r="HV455" s="55"/>
      <c r="HW455" s="55"/>
      <c r="HX455" s="55"/>
      <c r="HY455" s="55"/>
      <c r="HZ455" s="55"/>
      <c r="IA455" s="55"/>
      <c r="IB455" s="55"/>
      <c r="IC455" s="55"/>
      <c r="ID455" s="55"/>
    </row>
    <row r="456" s="52" customFormat="1" ht="26" customHeight="1" spans="1:238">
      <c r="A456" s="112"/>
      <c r="B456" s="112"/>
      <c r="C456" s="64"/>
      <c r="D456" s="65"/>
      <c r="E456" s="77"/>
      <c r="F456" s="77"/>
      <c r="G456" s="64"/>
      <c r="H456" s="42"/>
      <c r="I456" s="42"/>
      <c r="J456" s="84"/>
      <c r="K456" s="84"/>
      <c r="L456" s="83"/>
      <c r="M456" s="41"/>
      <c r="N456" s="41"/>
      <c r="O456" s="41"/>
      <c r="P456" s="64"/>
      <c r="Q456" s="64"/>
      <c r="R456" s="64"/>
      <c r="S456" s="83"/>
      <c r="T456" s="77"/>
      <c r="U456" s="105" t="s">
        <v>1788</v>
      </c>
      <c r="V456" s="105">
        <v>33040800102</v>
      </c>
      <c r="W456" s="106" t="s">
        <v>1789</v>
      </c>
      <c r="X456" s="105"/>
      <c r="Y456" s="105"/>
      <c r="Z456" s="105" t="s">
        <v>1783</v>
      </c>
      <c r="AA456" s="110" t="s">
        <v>1790</v>
      </c>
      <c r="AB456" s="50">
        <v>1531.3</v>
      </c>
      <c r="AC456" s="50">
        <v>1470</v>
      </c>
      <c r="AD456" s="50">
        <v>1249.5</v>
      </c>
      <c r="AE456" s="112" t="s">
        <v>37</v>
      </c>
      <c r="AF456" s="60"/>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5"/>
      <c r="BV456" s="55"/>
      <c r="BW456" s="55"/>
      <c r="BX456" s="55"/>
      <c r="BY456" s="55"/>
      <c r="BZ456" s="55"/>
      <c r="CA456" s="55"/>
      <c r="CB456" s="55"/>
      <c r="CC456" s="55"/>
      <c r="CD456" s="55"/>
      <c r="CE456" s="55"/>
      <c r="CF456" s="55"/>
      <c r="CG456" s="55"/>
      <c r="CH456" s="55"/>
      <c r="CI456" s="55"/>
      <c r="CJ456" s="55"/>
      <c r="CK456" s="55"/>
      <c r="CL456" s="55"/>
      <c r="CM456" s="55"/>
      <c r="CN456" s="55"/>
      <c r="CO456" s="55"/>
      <c r="CP456" s="55"/>
      <c r="CQ456" s="55"/>
      <c r="CR456" s="55"/>
      <c r="CS456" s="55"/>
      <c r="CT456" s="55"/>
      <c r="CU456" s="55"/>
      <c r="CV456" s="55"/>
      <c r="CW456" s="55"/>
      <c r="CX456" s="55"/>
      <c r="CY456" s="55"/>
      <c r="CZ456" s="55"/>
      <c r="DA456" s="55"/>
      <c r="DB456" s="55"/>
      <c r="DC456" s="55"/>
      <c r="DD456" s="55"/>
      <c r="DE456" s="55"/>
      <c r="DF456" s="55"/>
      <c r="DG456" s="55"/>
      <c r="DH456" s="55"/>
      <c r="DI456" s="55"/>
      <c r="DJ456" s="55"/>
      <c r="DK456" s="55"/>
      <c r="DL456" s="55"/>
      <c r="DM456" s="55"/>
      <c r="DN456" s="55"/>
      <c r="DO456" s="55"/>
      <c r="DP456" s="55"/>
      <c r="DQ456" s="55"/>
      <c r="DR456" s="55"/>
      <c r="DS456" s="55"/>
      <c r="DT456" s="55"/>
      <c r="DU456" s="55"/>
      <c r="DV456" s="55"/>
      <c r="DW456" s="55"/>
      <c r="DX456" s="55"/>
      <c r="DY456" s="55"/>
      <c r="DZ456" s="55"/>
      <c r="EA456" s="55"/>
      <c r="EB456" s="55"/>
      <c r="EC456" s="55"/>
      <c r="ED456" s="55"/>
      <c r="EE456" s="55"/>
      <c r="EF456" s="55"/>
      <c r="EG456" s="55"/>
      <c r="EH456" s="55"/>
      <c r="EI456" s="55"/>
      <c r="EJ456" s="55"/>
      <c r="EK456" s="55"/>
      <c r="EL456" s="55"/>
      <c r="EM456" s="55"/>
      <c r="EN456" s="55"/>
      <c r="EO456" s="55"/>
      <c r="EP456" s="55"/>
      <c r="EQ456" s="55"/>
      <c r="ER456" s="55"/>
      <c r="ES456" s="55"/>
      <c r="ET456" s="55"/>
      <c r="EU456" s="55"/>
      <c r="EV456" s="55"/>
      <c r="EW456" s="55"/>
      <c r="EX456" s="55"/>
      <c r="EY456" s="55"/>
      <c r="EZ456" s="55"/>
      <c r="FA456" s="55"/>
      <c r="FB456" s="55"/>
      <c r="FC456" s="55"/>
      <c r="FD456" s="55"/>
      <c r="FE456" s="55"/>
      <c r="FF456" s="55"/>
      <c r="FG456" s="55"/>
      <c r="FH456" s="55"/>
      <c r="FI456" s="55"/>
      <c r="FJ456" s="55"/>
      <c r="FK456" s="55"/>
      <c r="FL456" s="55"/>
      <c r="FM456" s="55"/>
      <c r="FN456" s="55"/>
      <c r="FO456" s="55"/>
      <c r="FP456" s="55"/>
      <c r="FQ456" s="55"/>
      <c r="FR456" s="55"/>
      <c r="FS456" s="55"/>
      <c r="FT456" s="55"/>
      <c r="FU456" s="55"/>
      <c r="FV456" s="55"/>
      <c r="FW456" s="55"/>
      <c r="FX456" s="55"/>
      <c r="FY456" s="55"/>
      <c r="FZ456" s="55"/>
      <c r="GA456" s="55"/>
      <c r="GB456" s="55"/>
      <c r="GC456" s="55"/>
      <c r="GD456" s="55"/>
      <c r="GE456" s="55"/>
      <c r="GF456" s="55"/>
      <c r="GG456" s="55"/>
      <c r="GH456" s="55"/>
      <c r="GI456" s="55"/>
      <c r="GJ456" s="55"/>
      <c r="GK456" s="55"/>
      <c r="GL456" s="55"/>
      <c r="GM456" s="55"/>
      <c r="GN456" s="55"/>
      <c r="GO456" s="55"/>
      <c r="GP456" s="55"/>
      <c r="GQ456" s="55"/>
      <c r="GR456" s="55"/>
      <c r="GS456" s="55"/>
      <c r="GT456" s="55"/>
      <c r="GU456" s="55"/>
      <c r="GV456" s="55"/>
      <c r="GW456" s="55"/>
      <c r="GX456" s="55"/>
      <c r="GY456" s="55"/>
      <c r="GZ456" s="55"/>
      <c r="HA456" s="55"/>
      <c r="HB456" s="55"/>
      <c r="HC456" s="55"/>
      <c r="HD456" s="55"/>
      <c r="HE456" s="55"/>
      <c r="HF456" s="55"/>
      <c r="HG456" s="55"/>
      <c r="HH456" s="55"/>
      <c r="HI456" s="55"/>
      <c r="HJ456" s="55"/>
      <c r="HK456" s="55"/>
      <c r="HL456" s="55"/>
      <c r="HM456" s="55"/>
      <c r="HN456" s="55"/>
      <c r="HO456" s="55"/>
      <c r="HP456" s="55"/>
      <c r="HQ456" s="55"/>
      <c r="HR456" s="55"/>
      <c r="HS456" s="55"/>
      <c r="HT456" s="55"/>
      <c r="HU456" s="55"/>
      <c r="HV456" s="55"/>
      <c r="HW456" s="55"/>
      <c r="HX456" s="55"/>
      <c r="HY456" s="55"/>
      <c r="HZ456" s="55"/>
      <c r="IA456" s="55"/>
      <c r="IB456" s="55"/>
      <c r="IC456" s="55"/>
      <c r="ID456" s="55"/>
    </row>
    <row r="457" s="52" customFormat="1" ht="26" customHeight="1" spans="1:238">
      <c r="A457" s="112"/>
      <c r="B457" s="112"/>
      <c r="C457" s="64"/>
      <c r="D457" s="65"/>
      <c r="E457" s="77"/>
      <c r="F457" s="77"/>
      <c r="G457" s="64"/>
      <c r="H457" s="42"/>
      <c r="I457" s="42"/>
      <c r="J457" s="84"/>
      <c r="K457" s="84"/>
      <c r="L457" s="83"/>
      <c r="M457" s="41"/>
      <c r="N457" s="41"/>
      <c r="O457" s="41"/>
      <c r="P457" s="64"/>
      <c r="Q457" s="64"/>
      <c r="R457" s="64"/>
      <c r="S457" s="83"/>
      <c r="T457" s="77"/>
      <c r="U457" s="105" t="s">
        <v>1791</v>
      </c>
      <c r="V457" s="105">
        <v>330408002</v>
      </c>
      <c r="W457" s="106" t="s">
        <v>1792</v>
      </c>
      <c r="X457" s="105" t="s">
        <v>1793</v>
      </c>
      <c r="Y457" s="105"/>
      <c r="Z457" s="105" t="s">
        <v>1783</v>
      </c>
      <c r="AA457" s="110" t="s">
        <v>1794</v>
      </c>
      <c r="AB457" s="50">
        <v>1180</v>
      </c>
      <c r="AC457" s="50">
        <v>1060</v>
      </c>
      <c r="AD457" s="50">
        <v>900</v>
      </c>
      <c r="AE457" s="112" t="s">
        <v>37</v>
      </c>
      <c r="AF457" s="60"/>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c r="BV457" s="55"/>
      <c r="BW457" s="55"/>
      <c r="BX457" s="55"/>
      <c r="BY457" s="55"/>
      <c r="BZ457" s="55"/>
      <c r="CA457" s="55"/>
      <c r="CB457" s="55"/>
      <c r="CC457" s="55"/>
      <c r="CD457" s="55"/>
      <c r="CE457" s="55"/>
      <c r="CF457" s="55"/>
      <c r="CG457" s="55"/>
      <c r="CH457" s="55"/>
      <c r="CI457" s="55"/>
      <c r="CJ457" s="55"/>
      <c r="CK457" s="55"/>
      <c r="CL457" s="55"/>
      <c r="CM457" s="55"/>
      <c r="CN457" s="55"/>
      <c r="CO457" s="55"/>
      <c r="CP457" s="55"/>
      <c r="CQ457" s="55"/>
      <c r="CR457" s="55"/>
      <c r="CS457" s="55"/>
      <c r="CT457" s="55"/>
      <c r="CU457" s="55"/>
      <c r="CV457" s="55"/>
      <c r="CW457" s="55"/>
      <c r="CX457" s="55"/>
      <c r="CY457" s="55"/>
      <c r="CZ457" s="55"/>
      <c r="DA457" s="55"/>
      <c r="DB457" s="55"/>
      <c r="DC457" s="55"/>
      <c r="DD457" s="55"/>
      <c r="DE457" s="55"/>
      <c r="DF457" s="55"/>
      <c r="DG457" s="55"/>
      <c r="DH457" s="55"/>
      <c r="DI457" s="55"/>
      <c r="DJ457" s="55"/>
      <c r="DK457" s="55"/>
      <c r="DL457" s="55"/>
      <c r="DM457" s="55"/>
      <c r="DN457" s="55"/>
      <c r="DO457" s="55"/>
      <c r="DP457" s="55"/>
      <c r="DQ457" s="55"/>
      <c r="DR457" s="55"/>
      <c r="DS457" s="55"/>
      <c r="DT457" s="55"/>
      <c r="DU457" s="55"/>
      <c r="DV457" s="55"/>
      <c r="DW457" s="55"/>
      <c r="DX457" s="55"/>
      <c r="DY457" s="55"/>
      <c r="DZ457" s="55"/>
      <c r="EA457" s="55"/>
      <c r="EB457" s="55"/>
      <c r="EC457" s="55"/>
      <c r="ED457" s="55"/>
      <c r="EE457" s="55"/>
      <c r="EF457" s="55"/>
      <c r="EG457" s="55"/>
      <c r="EH457" s="55"/>
      <c r="EI457" s="55"/>
      <c r="EJ457" s="55"/>
      <c r="EK457" s="55"/>
      <c r="EL457" s="55"/>
      <c r="EM457" s="55"/>
      <c r="EN457" s="55"/>
      <c r="EO457" s="55"/>
      <c r="EP457" s="55"/>
      <c r="EQ457" s="55"/>
      <c r="ER457" s="55"/>
      <c r="ES457" s="55"/>
      <c r="ET457" s="55"/>
      <c r="EU457" s="55"/>
      <c r="EV457" s="55"/>
      <c r="EW457" s="55"/>
      <c r="EX457" s="55"/>
      <c r="EY457" s="55"/>
      <c r="EZ457" s="55"/>
      <c r="FA457" s="55"/>
      <c r="FB457" s="55"/>
      <c r="FC457" s="55"/>
      <c r="FD457" s="55"/>
      <c r="FE457" s="55"/>
      <c r="FF457" s="55"/>
      <c r="FG457" s="55"/>
      <c r="FH457" s="55"/>
      <c r="FI457" s="55"/>
      <c r="FJ457" s="55"/>
      <c r="FK457" s="55"/>
      <c r="FL457" s="55"/>
      <c r="FM457" s="55"/>
      <c r="FN457" s="55"/>
      <c r="FO457" s="55"/>
      <c r="FP457" s="55"/>
      <c r="FQ457" s="55"/>
      <c r="FR457" s="55"/>
      <c r="FS457" s="55"/>
      <c r="FT457" s="55"/>
      <c r="FU457" s="55"/>
      <c r="FV457" s="55"/>
      <c r="FW457" s="55"/>
      <c r="FX457" s="55"/>
      <c r="FY457" s="55"/>
      <c r="FZ457" s="55"/>
      <c r="GA457" s="55"/>
      <c r="GB457" s="55"/>
      <c r="GC457" s="55"/>
      <c r="GD457" s="55"/>
      <c r="GE457" s="55"/>
      <c r="GF457" s="55"/>
      <c r="GG457" s="55"/>
      <c r="GH457" s="55"/>
      <c r="GI457" s="55"/>
      <c r="GJ457" s="55"/>
      <c r="GK457" s="55"/>
      <c r="GL457" s="55"/>
      <c r="GM457" s="55"/>
      <c r="GN457" s="55"/>
      <c r="GO457" s="55"/>
      <c r="GP457" s="55"/>
      <c r="GQ457" s="55"/>
      <c r="GR457" s="55"/>
      <c r="GS457" s="55"/>
      <c r="GT457" s="55"/>
      <c r="GU457" s="55"/>
      <c r="GV457" s="55"/>
      <c r="GW457" s="55"/>
      <c r="GX457" s="55"/>
      <c r="GY457" s="55"/>
      <c r="GZ457" s="55"/>
      <c r="HA457" s="55"/>
      <c r="HB457" s="55"/>
      <c r="HC457" s="55"/>
      <c r="HD457" s="55"/>
      <c r="HE457" s="55"/>
      <c r="HF457" s="55"/>
      <c r="HG457" s="55"/>
      <c r="HH457" s="55"/>
      <c r="HI457" s="55"/>
      <c r="HJ457" s="55"/>
      <c r="HK457" s="55"/>
      <c r="HL457" s="55"/>
      <c r="HM457" s="55"/>
      <c r="HN457" s="55"/>
      <c r="HO457" s="55"/>
      <c r="HP457" s="55"/>
      <c r="HQ457" s="55"/>
      <c r="HR457" s="55"/>
      <c r="HS457" s="55"/>
      <c r="HT457" s="55"/>
      <c r="HU457" s="55"/>
      <c r="HV457" s="55"/>
      <c r="HW457" s="55"/>
      <c r="HX457" s="55"/>
      <c r="HY457" s="55"/>
      <c r="HZ457" s="55"/>
      <c r="IA457" s="55"/>
      <c r="IB457" s="55"/>
      <c r="IC457" s="55"/>
      <c r="ID457" s="55"/>
    </row>
    <row r="458" s="52" customFormat="1" ht="26" customHeight="1" spans="1:238">
      <c r="A458" s="112"/>
      <c r="B458" s="112"/>
      <c r="C458" s="64"/>
      <c r="D458" s="65"/>
      <c r="E458" s="77"/>
      <c r="F458" s="77"/>
      <c r="G458" s="64"/>
      <c r="H458" s="42"/>
      <c r="I458" s="42"/>
      <c r="J458" s="84"/>
      <c r="K458" s="84"/>
      <c r="L458" s="83"/>
      <c r="M458" s="41"/>
      <c r="N458" s="41"/>
      <c r="O458" s="41"/>
      <c r="P458" s="64"/>
      <c r="Q458" s="64"/>
      <c r="R458" s="64"/>
      <c r="S458" s="83"/>
      <c r="T458" s="77"/>
      <c r="U458" s="105" t="s">
        <v>1795</v>
      </c>
      <c r="V458" s="105">
        <v>33040800201</v>
      </c>
      <c r="W458" s="106" t="s">
        <v>1796</v>
      </c>
      <c r="X458" s="105"/>
      <c r="Y458" s="105"/>
      <c r="Z458" s="105" t="s">
        <v>1783</v>
      </c>
      <c r="AA458" s="110" t="s">
        <v>1797</v>
      </c>
      <c r="AB458" s="50">
        <v>1685</v>
      </c>
      <c r="AC458" s="50">
        <v>1515</v>
      </c>
      <c r="AD458" s="50">
        <v>1285</v>
      </c>
      <c r="AE458" s="112" t="s">
        <v>37</v>
      </c>
      <c r="AF458" s="60"/>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5"/>
      <c r="BV458" s="55"/>
      <c r="BW458" s="55"/>
      <c r="BX458" s="55"/>
      <c r="BY458" s="55"/>
      <c r="BZ458" s="55"/>
      <c r="CA458" s="55"/>
      <c r="CB458" s="55"/>
      <c r="CC458" s="55"/>
      <c r="CD458" s="55"/>
      <c r="CE458" s="55"/>
      <c r="CF458" s="55"/>
      <c r="CG458" s="55"/>
      <c r="CH458" s="55"/>
      <c r="CI458" s="55"/>
      <c r="CJ458" s="55"/>
      <c r="CK458" s="55"/>
      <c r="CL458" s="55"/>
      <c r="CM458" s="55"/>
      <c r="CN458" s="55"/>
      <c r="CO458" s="55"/>
      <c r="CP458" s="55"/>
      <c r="CQ458" s="55"/>
      <c r="CR458" s="55"/>
      <c r="CS458" s="55"/>
      <c r="CT458" s="55"/>
      <c r="CU458" s="55"/>
      <c r="CV458" s="55"/>
      <c r="CW458" s="55"/>
      <c r="CX458" s="55"/>
      <c r="CY458" s="55"/>
      <c r="CZ458" s="55"/>
      <c r="DA458" s="55"/>
      <c r="DB458" s="55"/>
      <c r="DC458" s="55"/>
      <c r="DD458" s="55"/>
      <c r="DE458" s="55"/>
      <c r="DF458" s="55"/>
      <c r="DG458" s="55"/>
      <c r="DH458" s="55"/>
      <c r="DI458" s="55"/>
      <c r="DJ458" s="55"/>
      <c r="DK458" s="55"/>
      <c r="DL458" s="55"/>
      <c r="DM458" s="55"/>
      <c r="DN458" s="55"/>
      <c r="DO458" s="55"/>
      <c r="DP458" s="55"/>
      <c r="DQ458" s="55"/>
      <c r="DR458" s="55"/>
      <c r="DS458" s="55"/>
      <c r="DT458" s="55"/>
      <c r="DU458" s="55"/>
      <c r="DV458" s="55"/>
      <c r="DW458" s="55"/>
      <c r="DX458" s="55"/>
      <c r="DY458" s="55"/>
      <c r="DZ458" s="55"/>
      <c r="EA458" s="55"/>
      <c r="EB458" s="55"/>
      <c r="EC458" s="55"/>
      <c r="ED458" s="55"/>
      <c r="EE458" s="55"/>
      <c r="EF458" s="55"/>
      <c r="EG458" s="55"/>
      <c r="EH458" s="55"/>
      <c r="EI458" s="55"/>
      <c r="EJ458" s="55"/>
      <c r="EK458" s="55"/>
      <c r="EL458" s="55"/>
      <c r="EM458" s="55"/>
      <c r="EN458" s="55"/>
      <c r="EO458" s="55"/>
      <c r="EP458" s="55"/>
      <c r="EQ458" s="55"/>
      <c r="ER458" s="55"/>
      <c r="ES458" s="55"/>
      <c r="ET458" s="55"/>
      <c r="EU458" s="55"/>
      <c r="EV458" s="55"/>
      <c r="EW458" s="55"/>
      <c r="EX458" s="55"/>
      <c r="EY458" s="55"/>
      <c r="EZ458" s="55"/>
      <c r="FA458" s="55"/>
      <c r="FB458" s="55"/>
      <c r="FC458" s="55"/>
      <c r="FD458" s="55"/>
      <c r="FE458" s="55"/>
      <c r="FF458" s="55"/>
      <c r="FG458" s="55"/>
      <c r="FH458" s="55"/>
      <c r="FI458" s="55"/>
      <c r="FJ458" s="55"/>
      <c r="FK458" s="55"/>
      <c r="FL458" s="55"/>
      <c r="FM458" s="55"/>
      <c r="FN458" s="55"/>
      <c r="FO458" s="55"/>
      <c r="FP458" s="55"/>
      <c r="FQ458" s="55"/>
      <c r="FR458" s="55"/>
      <c r="FS458" s="55"/>
      <c r="FT458" s="55"/>
      <c r="FU458" s="55"/>
      <c r="FV458" s="55"/>
      <c r="FW458" s="55"/>
      <c r="FX458" s="55"/>
      <c r="FY458" s="55"/>
      <c r="FZ458" s="55"/>
      <c r="GA458" s="55"/>
      <c r="GB458" s="55"/>
      <c r="GC458" s="55"/>
      <c r="GD458" s="55"/>
      <c r="GE458" s="55"/>
      <c r="GF458" s="55"/>
      <c r="GG458" s="55"/>
      <c r="GH458" s="55"/>
      <c r="GI458" s="55"/>
      <c r="GJ458" s="55"/>
      <c r="GK458" s="55"/>
      <c r="GL458" s="55"/>
      <c r="GM458" s="55"/>
      <c r="GN458" s="55"/>
      <c r="GO458" s="55"/>
      <c r="GP458" s="55"/>
      <c r="GQ458" s="55"/>
      <c r="GR458" s="55"/>
      <c r="GS458" s="55"/>
      <c r="GT458" s="55"/>
      <c r="GU458" s="55"/>
      <c r="GV458" s="55"/>
      <c r="GW458" s="55"/>
      <c r="GX458" s="55"/>
      <c r="GY458" s="55"/>
      <c r="GZ458" s="55"/>
      <c r="HA458" s="55"/>
      <c r="HB458" s="55"/>
      <c r="HC458" s="55"/>
      <c r="HD458" s="55"/>
      <c r="HE458" s="55"/>
      <c r="HF458" s="55"/>
      <c r="HG458" s="55"/>
      <c r="HH458" s="55"/>
      <c r="HI458" s="55"/>
      <c r="HJ458" s="55"/>
      <c r="HK458" s="55"/>
      <c r="HL458" s="55"/>
      <c r="HM458" s="55"/>
      <c r="HN458" s="55"/>
      <c r="HO458" s="55"/>
      <c r="HP458" s="55"/>
      <c r="HQ458" s="55"/>
      <c r="HR458" s="55"/>
      <c r="HS458" s="55"/>
      <c r="HT458" s="55"/>
      <c r="HU458" s="55"/>
      <c r="HV458" s="55"/>
      <c r="HW458" s="55"/>
      <c r="HX458" s="55"/>
      <c r="HY458" s="55"/>
      <c r="HZ458" s="55"/>
      <c r="IA458" s="55"/>
      <c r="IB458" s="55"/>
      <c r="IC458" s="55"/>
      <c r="ID458" s="55"/>
    </row>
    <row r="459" s="52" customFormat="1" ht="26" customHeight="1" spans="1:238">
      <c r="A459" s="112"/>
      <c r="B459" s="112"/>
      <c r="C459" s="64"/>
      <c r="D459" s="65"/>
      <c r="E459" s="77"/>
      <c r="F459" s="77"/>
      <c r="G459" s="64"/>
      <c r="H459" s="42"/>
      <c r="I459" s="42"/>
      <c r="J459" s="84"/>
      <c r="K459" s="84"/>
      <c r="L459" s="83"/>
      <c r="M459" s="41"/>
      <c r="N459" s="41"/>
      <c r="O459" s="41"/>
      <c r="P459" s="64"/>
      <c r="Q459" s="64"/>
      <c r="R459" s="64"/>
      <c r="S459" s="83"/>
      <c r="T459" s="77"/>
      <c r="U459" s="105" t="s">
        <v>1798</v>
      </c>
      <c r="V459" s="105">
        <v>33040800202</v>
      </c>
      <c r="W459" s="106" t="s">
        <v>1799</v>
      </c>
      <c r="X459" s="105"/>
      <c r="Y459" s="105"/>
      <c r="Z459" s="105" t="s">
        <v>1783</v>
      </c>
      <c r="AA459" s="110" t="s">
        <v>1800</v>
      </c>
      <c r="AB459" s="50">
        <v>1935</v>
      </c>
      <c r="AC459" s="50">
        <v>1740</v>
      </c>
      <c r="AD459" s="50">
        <v>1475</v>
      </c>
      <c r="AE459" s="112" t="s">
        <v>37</v>
      </c>
      <c r="AF459" s="60"/>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c r="BV459" s="55"/>
      <c r="BW459" s="55"/>
      <c r="BX459" s="55"/>
      <c r="BY459" s="55"/>
      <c r="BZ459" s="55"/>
      <c r="CA459" s="55"/>
      <c r="CB459" s="55"/>
      <c r="CC459" s="55"/>
      <c r="CD459" s="55"/>
      <c r="CE459" s="55"/>
      <c r="CF459" s="55"/>
      <c r="CG459" s="55"/>
      <c r="CH459" s="55"/>
      <c r="CI459" s="55"/>
      <c r="CJ459" s="55"/>
      <c r="CK459" s="55"/>
      <c r="CL459" s="55"/>
      <c r="CM459" s="55"/>
      <c r="CN459" s="55"/>
      <c r="CO459" s="55"/>
      <c r="CP459" s="55"/>
      <c r="CQ459" s="55"/>
      <c r="CR459" s="55"/>
      <c r="CS459" s="55"/>
      <c r="CT459" s="55"/>
      <c r="CU459" s="55"/>
      <c r="CV459" s="55"/>
      <c r="CW459" s="55"/>
      <c r="CX459" s="55"/>
      <c r="CY459" s="55"/>
      <c r="CZ459" s="55"/>
      <c r="DA459" s="55"/>
      <c r="DB459" s="55"/>
      <c r="DC459" s="55"/>
      <c r="DD459" s="55"/>
      <c r="DE459" s="55"/>
      <c r="DF459" s="55"/>
      <c r="DG459" s="55"/>
      <c r="DH459" s="55"/>
      <c r="DI459" s="55"/>
      <c r="DJ459" s="55"/>
      <c r="DK459" s="55"/>
      <c r="DL459" s="55"/>
      <c r="DM459" s="55"/>
      <c r="DN459" s="55"/>
      <c r="DO459" s="55"/>
      <c r="DP459" s="55"/>
      <c r="DQ459" s="55"/>
      <c r="DR459" s="55"/>
      <c r="DS459" s="55"/>
      <c r="DT459" s="55"/>
      <c r="DU459" s="55"/>
      <c r="DV459" s="55"/>
      <c r="DW459" s="55"/>
      <c r="DX459" s="55"/>
      <c r="DY459" s="55"/>
      <c r="DZ459" s="55"/>
      <c r="EA459" s="55"/>
      <c r="EB459" s="55"/>
      <c r="EC459" s="55"/>
      <c r="ED459" s="55"/>
      <c r="EE459" s="55"/>
      <c r="EF459" s="55"/>
      <c r="EG459" s="55"/>
      <c r="EH459" s="55"/>
      <c r="EI459" s="55"/>
      <c r="EJ459" s="55"/>
      <c r="EK459" s="55"/>
      <c r="EL459" s="55"/>
      <c r="EM459" s="55"/>
      <c r="EN459" s="55"/>
      <c r="EO459" s="55"/>
      <c r="EP459" s="55"/>
      <c r="EQ459" s="55"/>
      <c r="ER459" s="55"/>
      <c r="ES459" s="55"/>
      <c r="ET459" s="55"/>
      <c r="EU459" s="55"/>
      <c r="EV459" s="55"/>
      <c r="EW459" s="55"/>
      <c r="EX459" s="55"/>
      <c r="EY459" s="55"/>
      <c r="EZ459" s="55"/>
      <c r="FA459" s="55"/>
      <c r="FB459" s="55"/>
      <c r="FC459" s="55"/>
      <c r="FD459" s="55"/>
      <c r="FE459" s="55"/>
      <c r="FF459" s="55"/>
      <c r="FG459" s="55"/>
      <c r="FH459" s="55"/>
      <c r="FI459" s="55"/>
      <c r="FJ459" s="55"/>
      <c r="FK459" s="55"/>
      <c r="FL459" s="55"/>
      <c r="FM459" s="55"/>
      <c r="FN459" s="55"/>
      <c r="FO459" s="55"/>
      <c r="FP459" s="55"/>
      <c r="FQ459" s="55"/>
      <c r="FR459" s="55"/>
      <c r="FS459" s="55"/>
      <c r="FT459" s="55"/>
      <c r="FU459" s="55"/>
      <c r="FV459" s="55"/>
      <c r="FW459" s="55"/>
      <c r="FX459" s="55"/>
      <c r="FY459" s="55"/>
      <c r="FZ459" s="55"/>
      <c r="GA459" s="55"/>
      <c r="GB459" s="55"/>
      <c r="GC459" s="55"/>
      <c r="GD459" s="55"/>
      <c r="GE459" s="55"/>
      <c r="GF459" s="55"/>
      <c r="GG459" s="55"/>
      <c r="GH459" s="55"/>
      <c r="GI459" s="55"/>
      <c r="GJ459" s="55"/>
      <c r="GK459" s="55"/>
      <c r="GL459" s="55"/>
      <c r="GM459" s="55"/>
      <c r="GN459" s="55"/>
      <c r="GO459" s="55"/>
      <c r="GP459" s="55"/>
      <c r="GQ459" s="55"/>
      <c r="GR459" s="55"/>
      <c r="GS459" s="55"/>
      <c r="GT459" s="55"/>
      <c r="GU459" s="55"/>
      <c r="GV459" s="55"/>
      <c r="GW459" s="55"/>
      <c r="GX459" s="55"/>
      <c r="GY459" s="55"/>
      <c r="GZ459" s="55"/>
      <c r="HA459" s="55"/>
      <c r="HB459" s="55"/>
      <c r="HC459" s="55"/>
      <c r="HD459" s="55"/>
      <c r="HE459" s="55"/>
      <c r="HF459" s="55"/>
      <c r="HG459" s="55"/>
      <c r="HH459" s="55"/>
      <c r="HI459" s="55"/>
      <c r="HJ459" s="55"/>
      <c r="HK459" s="55"/>
      <c r="HL459" s="55"/>
      <c r="HM459" s="55"/>
      <c r="HN459" s="55"/>
      <c r="HO459" s="55"/>
      <c r="HP459" s="55"/>
      <c r="HQ459" s="55"/>
      <c r="HR459" s="55"/>
      <c r="HS459" s="55"/>
      <c r="HT459" s="55"/>
      <c r="HU459" s="55"/>
      <c r="HV459" s="55"/>
      <c r="HW459" s="55"/>
      <c r="HX459" s="55"/>
      <c r="HY459" s="55"/>
      <c r="HZ459" s="55"/>
      <c r="IA459" s="55"/>
      <c r="IB459" s="55"/>
      <c r="IC459" s="55"/>
      <c r="ID459" s="55"/>
    </row>
    <row r="460" s="52" customFormat="1" ht="26" customHeight="1" spans="1:238">
      <c r="A460" s="112"/>
      <c r="B460" s="112"/>
      <c r="C460" s="64"/>
      <c r="D460" s="65"/>
      <c r="E460" s="77"/>
      <c r="F460" s="77"/>
      <c r="G460" s="64"/>
      <c r="H460" s="42"/>
      <c r="I460" s="42"/>
      <c r="J460" s="84"/>
      <c r="K460" s="84"/>
      <c r="L460" s="83"/>
      <c r="M460" s="41"/>
      <c r="N460" s="41"/>
      <c r="O460" s="41"/>
      <c r="P460" s="64"/>
      <c r="Q460" s="64"/>
      <c r="R460" s="64"/>
      <c r="S460" s="83"/>
      <c r="T460" s="77"/>
      <c r="U460" s="105" t="s">
        <v>1801</v>
      </c>
      <c r="V460" s="105">
        <v>330408003</v>
      </c>
      <c r="W460" s="106" t="s">
        <v>1802</v>
      </c>
      <c r="X460" s="105" t="s">
        <v>1803</v>
      </c>
      <c r="Y460" s="105"/>
      <c r="Z460" s="105" t="s">
        <v>36</v>
      </c>
      <c r="AA460" s="110" t="s">
        <v>1804</v>
      </c>
      <c r="AB460" s="50">
        <v>1650</v>
      </c>
      <c r="AC460" s="50">
        <v>1490</v>
      </c>
      <c r="AD460" s="50">
        <v>1270</v>
      </c>
      <c r="AE460" s="112" t="s">
        <v>37</v>
      </c>
      <c r="AF460" s="60"/>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c r="BV460" s="55"/>
      <c r="BW460" s="55"/>
      <c r="BX460" s="55"/>
      <c r="BY460" s="55"/>
      <c r="BZ460" s="55"/>
      <c r="CA460" s="55"/>
      <c r="CB460" s="55"/>
      <c r="CC460" s="55"/>
      <c r="CD460" s="55"/>
      <c r="CE460" s="55"/>
      <c r="CF460" s="55"/>
      <c r="CG460" s="55"/>
      <c r="CH460" s="55"/>
      <c r="CI460" s="55"/>
      <c r="CJ460" s="55"/>
      <c r="CK460" s="55"/>
      <c r="CL460" s="55"/>
      <c r="CM460" s="55"/>
      <c r="CN460" s="55"/>
      <c r="CO460" s="55"/>
      <c r="CP460" s="55"/>
      <c r="CQ460" s="55"/>
      <c r="CR460" s="55"/>
      <c r="CS460" s="55"/>
      <c r="CT460" s="55"/>
      <c r="CU460" s="55"/>
      <c r="CV460" s="55"/>
      <c r="CW460" s="55"/>
      <c r="CX460" s="55"/>
      <c r="CY460" s="55"/>
      <c r="CZ460" s="55"/>
      <c r="DA460" s="55"/>
      <c r="DB460" s="55"/>
      <c r="DC460" s="55"/>
      <c r="DD460" s="55"/>
      <c r="DE460" s="55"/>
      <c r="DF460" s="55"/>
      <c r="DG460" s="55"/>
      <c r="DH460" s="55"/>
      <c r="DI460" s="55"/>
      <c r="DJ460" s="55"/>
      <c r="DK460" s="55"/>
      <c r="DL460" s="55"/>
      <c r="DM460" s="55"/>
      <c r="DN460" s="55"/>
      <c r="DO460" s="55"/>
      <c r="DP460" s="55"/>
      <c r="DQ460" s="55"/>
      <c r="DR460" s="55"/>
      <c r="DS460" s="55"/>
      <c r="DT460" s="55"/>
      <c r="DU460" s="55"/>
      <c r="DV460" s="55"/>
      <c r="DW460" s="55"/>
      <c r="DX460" s="55"/>
      <c r="DY460" s="55"/>
      <c r="DZ460" s="55"/>
      <c r="EA460" s="55"/>
      <c r="EB460" s="55"/>
      <c r="EC460" s="55"/>
      <c r="ED460" s="55"/>
      <c r="EE460" s="55"/>
      <c r="EF460" s="55"/>
      <c r="EG460" s="55"/>
      <c r="EH460" s="55"/>
      <c r="EI460" s="55"/>
      <c r="EJ460" s="55"/>
      <c r="EK460" s="55"/>
      <c r="EL460" s="55"/>
      <c r="EM460" s="55"/>
      <c r="EN460" s="55"/>
      <c r="EO460" s="55"/>
      <c r="EP460" s="55"/>
      <c r="EQ460" s="55"/>
      <c r="ER460" s="55"/>
      <c r="ES460" s="55"/>
      <c r="ET460" s="55"/>
      <c r="EU460" s="55"/>
      <c r="EV460" s="55"/>
      <c r="EW460" s="55"/>
      <c r="EX460" s="55"/>
      <c r="EY460" s="55"/>
      <c r="EZ460" s="55"/>
      <c r="FA460" s="55"/>
      <c r="FB460" s="55"/>
      <c r="FC460" s="55"/>
      <c r="FD460" s="55"/>
      <c r="FE460" s="55"/>
      <c r="FF460" s="55"/>
      <c r="FG460" s="55"/>
      <c r="FH460" s="55"/>
      <c r="FI460" s="55"/>
      <c r="FJ460" s="55"/>
      <c r="FK460" s="55"/>
      <c r="FL460" s="55"/>
      <c r="FM460" s="55"/>
      <c r="FN460" s="55"/>
      <c r="FO460" s="55"/>
      <c r="FP460" s="55"/>
      <c r="FQ460" s="55"/>
      <c r="FR460" s="55"/>
      <c r="FS460" s="55"/>
      <c r="FT460" s="55"/>
      <c r="FU460" s="55"/>
      <c r="FV460" s="55"/>
      <c r="FW460" s="55"/>
      <c r="FX460" s="55"/>
      <c r="FY460" s="55"/>
      <c r="FZ460" s="55"/>
      <c r="GA460" s="55"/>
      <c r="GB460" s="55"/>
      <c r="GC460" s="55"/>
      <c r="GD460" s="55"/>
      <c r="GE460" s="55"/>
      <c r="GF460" s="55"/>
      <c r="GG460" s="55"/>
      <c r="GH460" s="55"/>
      <c r="GI460" s="55"/>
      <c r="GJ460" s="55"/>
      <c r="GK460" s="55"/>
      <c r="GL460" s="55"/>
      <c r="GM460" s="55"/>
      <c r="GN460" s="55"/>
      <c r="GO460" s="55"/>
      <c r="GP460" s="55"/>
      <c r="GQ460" s="55"/>
      <c r="GR460" s="55"/>
      <c r="GS460" s="55"/>
      <c r="GT460" s="55"/>
      <c r="GU460" s="55"/>
      <c r="GV460" s="55"/>
      <c r="GW460" s="55"/>
      <c r="GX460" s="55"/>
      <c r="GY460" s="55"/>
      <c r="GZ460" s="55"/>
      <c r="HA460" s="55"/>
      <c r="HB460" s="55"/>
      <c r="HC460" s="55"/>
      <c r="HD460" s="55"/>
      <c r="HE460" s="55"/>
      <c r="HF460" s="55"/>
      <c r="HG460" s="55"/>
      <c r="HH460" s="55"/>
      <c r="HI460" s="55"/>
      <c r="HJ460" s="55"/>
      <c r="HK460" s="55"/>
      <c r="HL460" s="55"/>
      <c r="HM460" s="55"/>
      <c r="HN460" s="55"/>
      <c r="HO460" s="55"/>
      <c r="HP460" s="55"/>
      <c r="HQ460" s="55"/>
      <c r="HR460" s="55"/>
      <c r="HS460" s="55"/>
      <c r="HT460" s="55"/>
      <c r="HU460" s="55"/>
      <c r="HV460" s="55"/>
      <c r="HW460" s="55"/>
      <c r="HX460" s="55"/>
      <c r="HY460" s="55"/>
      <c r="HZ460" s="55"/>
      <c r="IA460" s="55"/>
      <c r="IB460" s="55"/>
      <c r="IC460" s="55"/>
      <c r="ID460" s="55"/>
    </row>
    <row r="461" s="52" customFormat="1" ht="26" customHeight="1" spans="1:238">
      <c r="A461" s="112"/>
      <c r="B461" s="112"/>
      <c r="C461" s="64"/>
      <c r="D461" s="65"/>
      <c r="E461" s="77"/>
      <c r="F461" s="77"/>
      <c r="G461" s="64"/>
      <c r="H461" s="42"/>
      <c r="I461" s="42"/>
      <c r="J461" s="84"/>
      <c r="K461" s="84"/>
      <c r="L461" s="83"/>
      <c r="M461" s="41"/>
      <c r="N461" s="41"/>
      <c r="O461" s="41"/>
      <c r="P461" s="64"/>
      <c r="Q461" s="64"/>
      <c r="R461" s="64"/>
      <c r="S461" s="83"/>
      <c r="T461" s="77"/>
      <c r="U461" s="105" t="s">
        <v>1805</v>
      </c>
      <c r="V461" s="105">
        <v>33040800301</v>
      </c>
      <c r="W461" s="106" t="s">
        <v>1806</v>
      </c>
      <c r="X461" s="105"/>
      <c r="Y461" s="105"/>
      <c r="Z461" s="105" t="s">
        <v>36</v>
      </c>
      <c r="AA461" s="110" t="s">
        <v>1807</v>
      </c>
      <c r="AB461" s="50">
        <v>825</v>
      </c>
      <c r="AC461" s="50">
        <v>745</v>
      </c>
      <c r="AD461" s="50">
        <v>635</v>
      </c>
      <c r="AE461" s="112" t="s">
        <v>37</v>
      </c>
      <c r="AF461" s="60"/>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c r="BV461" s="55"/>
      <c r="BW461" s="55"/>
      <c r="BX461" s="55"/>
      <c r="BY461" s="55"/>
      <c r="BZ461" s="55"/>
      <c r="CA461" s="55"/>
      <c r="CB461" s="55"/>
      <c r="CC461" s="55"/>
      <c r="CD461" s="55"/>
      <c r="CE461" s="55"/>
      <c r="CF461" s="55"/>
      <c r="CG461" s="55"/>
      <c r="CH461" s="55"/>
      <c r="CI461" s="55"/>
      <c r="CJ461" s="55"/>
      <c r="CK461" s="55"/>
      <c r="CL461" s="55"/>
      <c r="CM461" s="55"/>
      <c r="CN461" s="55"/>
      <c r="CO461" s="55"/>
      <c r="CP461" s="55"/>
      <c r="CQ461" s="55"/>
      <c r="CR461" s="55"/>
      <c r="CS461" s="55"/>
      <c r="CT461" s="55"/>
      <c r="CU461" s="55"/>
      <c r="CV461" s="55"/>
      <c r="CW461" s="55"/>
      <c r="CX461" s="55"/>
      <c r="CY461" s="55"/>
      <c r="CZ461" s="55"/>
      <c r="DA461" s="55"/>
      <c r="DB461" s="55"/>
      <c r="DC461" s="55"/>
      <c r="DD461" s="55"/>
      <c r="DE461" s="55"/>
      <c r="DF461" s="55"/>
      <c r="DG461" s="55"/>
      <c r="DH461" s="55"/>
      <c r="DI461" s="55"/>
      <c r="DJ461" s="55"/>
      <c r="DK461" s="55"/>
      <c r="DL461" s="55"/>
      <c r="DM461" s="55"/>
      <c r="DN461" s="55"/>
      <c r="DO461" s="55"/>
      <c r="DP461" s="55"/>
      <c r="DQ461" s="55"/>
      <c r="DR461" s="55"/>
      <c r="DS461" s="55"/>
      <c r="DT461" s="55"/>
      <c r="DU461" s="55"/>
      <c r="DV461" s="55"/>
      <c r="DW461" s="55"/>
      <c r="DX461" s="55"/>
      <c r="DY461" s="55"/>
      <c r="DZ461" s="55"/>
      <c r="EA461" s="55"/>
      <c r="EB461" s="55"/>
      <c r="EC461" s="55"/>
      <c r="ED461" s="55"/>
      <c r="EE461" s="55"/>
      <c r="EF461" s="55"/>
      <c r="EG461" s="55"/>
      <c r="EH461" s="55"/>
      <c r="EI461" s="55"/>
      <c r="EJ461" s="55"/>
      <c r="EK461" s="55"/>
      <c r="EL461" s="55"/>
      <c r="EM461" s="55"/>
      <c r="EN461" s="55"/>
      <c r="EO461" s="55"/>
      <c r="EP461" s="55"/>
      <c r="EQ461" s="55"/>
      <c r="ER461" s="55"/>
      <c r="ES461" s="55"/>
      <c r="ET461" s="55"/>
      <c r="EU461" s="55"/>
      <c r="EV461" s="55"/>
      <c r="EW461" s="55"/>
      <c r="EX461" s="55"/>
      <c r="EY461" s="55"/>
      <c r="EZ461" s="55"/>
      <c r="FA461" s="55"/>
      <c r="FB461" s="55"/>
      <c r="FC461" s="55"/>
      <c r="FD461" s="55"/>
      <c r="FE461" s="55"/>
      <c r="FF461" s="55"/>
      <c r="FG461" s="55"/>
      <c r="FH461" s="55"/>
      <c r="FI461" s="55"/>
      <c r="FJ461" s="55"/>
      <c r="FK461" s="55"/>
      <c r="FL461" s="55"/>
      <c r="FM461" s="55"/>
      <c r="FN461" s="55"/>
      <c r="FO461" s="55"/>
      <c r="FP461" s="55"/>
      <c r="FQ461" s="55"/>
      <c r="FR461" s="55"/>
      <c r="FS461" s="55"/>
      <c r="FT461" s="55"/>
      <c r="FU461" s="55"/>
      <c r="FV461" s="55"/>
      <c r="FW461" s="55"/>
      <c r="FX461" s="55"/>
      <c r="FY461" s="55"/>
      <c r="FZ461" s="55"/>
      <c r="GA461" s="55"/>
      <c r="GB461" s="55"/>
      <c r="GC461" s="55"/>
      <c r="GD461" s="55"/>
      <c r="GE461" s="55"/>
      <c r="GF461" s="55"/>
      <c r="GG461" s="55"/>
      <c r="GH461" s="55"/>
      <c r="GI461" s="55"/>
      <c r="GJ461" s="55"/>
      <c r="GK461" s="55"/>
      <c r="GL461" s="55"/>
      <c r="GM461" s="55"/>
      <c r="GN461" s="55"/>
      <c r="GO461" s="55"/>
      <c r="GP461" s="55"/>
      <c r="GQ461" s="55"/>
      <c r="GR461" s="55"/>
      <c r="GS461" s="55"/>
      <c r="GT461" s="55"/>
      <c r="GU461" s="55"/>
      <c r="GV461" s="55"/>
      <c r="GW461" s="55"/>
      <c r="GX461" s="55"/>
      <c r="GY461" s="55"/>
      <c r="GZ461" s="55"/>
      <c r="HA461" s="55"/>
      <c r="HB461" s="55"/>
      <c r="HC461" s="55"/>
      <c r="HD461" s="55"/>
      <c r="HE461" s="55"/>
      <c r="HF461" s="55"/>
      <c r="HG461" s="55"/>
      <c r="HH461" s="55"/>
      <c r="HI461" s="55"/>
      <c r="HJ461" s="55"/>
      <c r="HK461" s="55"/>
      <c r="HL461" s="55"/>
      <c r="HM461" s="55"/>
      <c r="HN461" s="55"/>
      <c r="HO461" s="55"/>
      <c r="HP461" s="55"/>
      <c r="HQ461" s="55"/>
      <c r="HR461" s="55"/>
      <c r="HS461" s="55"/>
      <c r="HT461" s="55"/>
      <c r="HU461" s="55"/>
      <c r="HV461" s="55"/>
      <c r="HW461" s="55"/>
      <c r="HX461" s="55"/>
      <c r="HY461" s="55"/>
      <c r="HZ461" s="55"/>
      <c r="IA461" s="55"/>
      <c r="IB461" s="55"/>
      <c r="IC461" s="55"/>
      <c r="ID461" s="55"/>
    </row>
    <row r="462" s="52" customFormat="1" ht="26" customHeight="1" spans="1:238">
      <c r="A462" s="112"/>
      <c r="B462" s="112"/>
      <c r="C462" s="64"/>
      <c r="D462" s="65"/>
      <c r="E462" s="77"/>
      <c r="F462" s="77"/>
      <c r="G462" s="64"/>
      <c r="H462" s="42"/>
      <c r="I462" s="42"/>
      <c r="J462" s="84"/>
      <c r="K462" s="84"/>
      <c r="L462" s="83"/>
      <c r="M462" s="41"/>
      <c r="N462" s="41"/>
      <c r="O462" s="41"/>
      <c r="P462" s="64"/>
      <c r="Q462" s="64"/>
      <c r="R462" s="64"/>
      <c r="S462" s="83"/>
      <c r="T462" s="77"/>
      <c r="U462" s="105" t="s">
        <v>1808</v>
      </c>
      <c r="V462" s="105">
        <v>330408004</v>
      </c>
      <c r="W462" s="106" t="s">
        <v>1809</v>
      </c>
      <c r="X462" s="105"/>
      <c r="Y462" s="105"/>
      <c r="Z462" s="105" t="s">
        <v>36</v>
      </c>
      <c r="AA462" s="110" t="s">
        <v>35</v>
      </c>
      <c r="AB462" s="50">
        <v>1350</v>
      </c>
      <c r="AC462" s="50">
        <v>1220</v>
      </c>
      <c r="AD462" s="50">
        <v>1040</v>
      </c>
      <c r="AE462" s="112"/>
      <c r="AF462" s="60"/>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c r="BV462" s="55"/>
      <c r="BW462" s="55"/>
      <c r="BX462" s="55"/>
      <c r="BY462" s="55"/>
      <c r="BZ462" s="55"/>
      <c r="CA462" s="55"/>
      <c r="CB462" s="55"/>
      <c r="CC462" s="55"/>
      <c r="CD462" s="55"/>
      <c r="CE462" s="55"/>
      <c r="CF462" s="55"/>
      <c r="CG462" s="55"/>
      <c r="CH462" s="55"/>
      <c r="CI462" s="55"/>
      <c r="CJ462" s="55"/>
      <c r="CK462" s="55"/>
      <c r="CL462" s="55"/>
      <c r="CM462" s="55"/>
      <c r="CN462" s="55"/>
      <c r="CO462" s="55"/>
      <c r="CP462" s="55"/>
      <c r="CQ462" s="55"/>
      <c r="CR462" s="55"/>
      <c r="CS462" s="55"/>
      <c r="CT462" s="55"/>
      <c r="CU462" s="55"/>
      <c r="CV462" s="55"/>
      <c r="CW462" s="55"/>
      <c r="CX462" s="55"/>
      <c r="CY462" s="55"/>
      <c r="CZ462" s="55"/>
      <c r="DA462" s="55"/>
      <c r="DB462" s="55"/>
      <c r="DC462" s="55"/>
      <c r="DD462" s="55"/>
      <c r="DE462" s="55"/>
      <c r="DF462" s="55"/>
      <c r="DG462" s="55"/>
      <c r="DH462" s="55"/>
      <c r="DI462" s="55"/>
      <c r="DJ462" s="55"/>
      <c r="DK462" s="55"/>
      <c r="DL462" s="55"/>
      <c r="DM462" s="55"/>
      <c r="DN462" s="55"/>
      <c r="DO462" s="55"/>
      <c r="DP462" s="55"/>
      <c r="DQ462" s="55"/>
      <c r="DR462" s="55"/>
      <c r="DS462" s="55"/>
      <c r="DT462" s="55"/>
      <c r="DU462" s="55"/>
      <c r="DV462" s="55"/>
      <c r="DW462" s="55"/>
      <c r="DX462" s="55"/>
      <c r="DY462" s="55"/>
      <c r="DZ462" s="55"/>
      <c r="EA462" s="55"/>
      <c r="EB462" s="55"/>
      <c r="EC462" s="55"/>
      <c r="ED462" s="55"/>
      <c r="EE462" s="55"/>
      <c r="EF462" s="55"/>
      <c r="EG462" s="55"/>
      <c r="EH462" s="55"/>
      <c r="EI462" s="55"/>
      <c r="EJ462" s="55"/>
      <c r="EK462" s="55"/>
      <c r="EL462" s="55"/>
      <c r="EM462" s="55"/>
      <c r="EN462" s="55"/>
      <c r="EO462" s="55"/>
      <c r="EP462" s="55"/>
      <c r="EQ462" s="55"/>
      <c r="ER462" s="55"/>
      <c r="ES462" s="55"/>
      <c r="ET462" s="55"/>
      <c r="EU462" s="55"/>
      <c r="EV462" s="55"/>
      <c r="EW462" s="55"/>
      <c r="EX462" s="55"/>
      <c r="EY462" s="55"/>
      <c r="EZ462" s="55"/>
      <c r="FA462" s="55"/>
      <c r="FB462" s="55"/>
      <c r="FC462" s="55"/>
      <c r="FD462" s="55"/>
      <c r="FE462" s="55"/>
      <c r="FF462" s="55"/>
      <c r="FG462" s="55"/>
      <c r="FH462" s="55"/>
      <c r="FI462" s="55"/>
      <c r="FJ462" s="55"/>
      <c r="FK462" s="55"/>
      <c r="FL462" s="55"/>
      <c r="FM462" s="55"/>
      <c r="FN462" s="55"/>
      <c r="FO462" s="55"/>
      <c r="FP462" s="55"/>
      <c r="FQ462" s="55"/>
      <c r="FR462" s="55"/>
      <c r="FS462" s="55"/>
      <c r="FT462" s="55"/>
      <c r="FU462" s="55"/>
      <c r="FV462" s="55"/>
      <c r="FW462" s="55"/>
      <c r="FX462" s="55"/>
      <c r="FY462" s="55"/>
      <c r="FZ462" s="55"/>
      <c r="GA462" s="55"/>
      <c r="GB462" s="55"/>
      <c r="GC462" s="55"/>
      <c r="GD462" s="55"/>
      <c r="GE462" s="55"/>
      <c r="GF462" s="55"/>
      <c r="GG462" s="55"/>
      <c r="GH462" s="55"/>
      <c r="GI462" s="55"/>
      <c r="GJ462" s="55"/>
      <c r="GK462" s="55"/>
      <c r="GL462" s="55"/>
      <c r="GM462" s="55"/>
      <c r="GN462" s="55"/>
      <c r="GO462" s="55"/>
      <c r="GP462" s="55"/>
      <c r="GQ462" s="55"/>
      <c r="GR462" s="55"/>
      <c r="GS462" s="55"/>
      <c r="GT462" s="55"/>
      <c r="GU462" s="55"/>
      <c r="GV462" s="55"/>
      <c r="GW462" s="55"/>
      <c r="GX462" s="55"/>
      <c r="GY462" s="55"/>
      <c r="GZ462" s="55"/>
      <c r="HA462" s="55"/>
      <c r="HB462" s="55"/>
      <c r="HC462" s="55"/>
      <c r="HD462" s="55"/>
      <c r="HE462" s="55"/>
      <c r="HF462" s="55"/>
      <c r="HG462" s="55"/>
      <c r="HH462" s="55"/>
      <c r="HI462" s="55"/>
      <c r="HJ462" s="55"/>
      <c r="HK462" s="55"/>
      <c r="HL462" s="55"/>
      <c r="HM462" s="55"/>
      <c r="HN462" s="55"/>
      <c r="HO462" s="55"/>
      <c r="HP462" s="55"/>
      <c r="HQ462" s="55"/>
      <c r="HR462" s="55"/>
      <c r="HS462" s="55"/>
      <c r="HT462" s="55"/>
      <c r="HU462" s="55"/>
      <c r="HV462" s="55"/>
      <c r="HW462" s="55"/>
      <c r="HX462" s="55"/>
      <c r="HY462" s="55"/>
      <c r="HZ462" s="55"/>
      <c r="IA462" s="55"/>
      <c r="IB462" s="55"/>
      <c r="IC462" s="55"/>
      <c r="ID462" s="55"/>
    </row>
    <row r="463" s="55" customFormat="1" ht="25" customHeight="1" spans="1:32">
      <c r="A463" s="112" t="s">
        <v>95</v>
      </c>
      <c r="B463" s="112" t="s">
        <v>1810</v>
      </c>
      <c r="C463" s="64" t="s">
        <v>1811</v>
      </c>
      <c r="D463" s="65"/>
      <c r="E463" s="77"/>
      <c r="F463" s="77"/>
      <c r="G463" s="64" t="s">
        <v>1779</v>
      </c>
      <c r="H463" s="78">
        <v>429</v>
      </c>
      <c r="I463" s="78">
        <v>386</v>
      </c>
      <c r="J463" s="139">
        <v>346.037735849057</v>
      </c>
      <c r="K463" s="83"/>
      <c r="L463" s="83"/>
      <c r="M463" s="41">
        <v>380</v>
      </c>
      <c r="N463" s="41">
        <v>345</v>
      </c>
      <c r="O463" s="41">
        <v>295</v>
      </c>
      <c r="P463" s="64" t="s">
        <v>37</v>
      </c>
      <c r="Q463" s="64" t="s">
        <v>35</v>
      </c>
      <c r="R463" s="64" t="s">
        <v>348</v>
      </c>
      <c r="S463" s="83"/>
      <c r="T463" s="77" t="s">
        <v>186</v>
      </c>
      <c r="U463" s="105" t="s">
        <v>1812</v>
      </c>
      <c r="V463" s="105">
        <v>33040800103</v>
      </c>
      <c r="W463" s="106" t="s">
        <v>1813</v>
      </c>
      <c r="X463" s="105"/>
      <c r="Y463" s="105"/>
      <c r="Z463" s="105" t="s">
        <v>1783</v>
      </c>
      <c r="AA463" s="110" t="s">
        <v>35</v>
      </c>
      <c r="AB463" s="50">
        <v>1140</v>
      </c>
      <c r="AC463" s="50">
        <v>1090</v>
      </c>
      <c r="AD463" s="50">
        <v>925</v>
      </c>
      <c r="AE463" s="112" t="s">
        <v>37</v>
      </c>
      <c r="AF463" s="60"/>
    </row>
    <row r="464" customFormat="1" ht="25" customHeight="1" spans="1:32">
      <c r="A464" s="112"/>
      <c r="B464" s="112"/>
      <c r="C464" s="64"/>
      <c r="D464" s="65"/>
      <c r="E464" s="77"/>
      <c r="F464" s="77"/>
      <c r="G464" s="64"/>
      <c r="H464" s="42"/>
      <c r="I464" s="42"/>
      <c r="J464" s="139"/>
      <c r="K464" s="83"/>
      <c r="L464" s="83"/>
      <c r="M464" s="41"/>
      <c r="N464" s="41"/>
      <c r="O464" s="41"/>
      <c r="P464" s="64"/>
      <c r="Q464" s="64"/>
      <c r="R464" s="64"/>
      <c r="S464" s="83"/>
      <c r="T464" s="77"/>
      <c r="U464" s="105" t="s">
        <v>1814</v>
      </c>
      <c r="V464" s="105">
        <v>33040800104</v>
      </c>
      <c r="W464" s="106" t="s">
        <v>1815</v>
      </c>
      <c r="X464" s="105"/>
      <c r="Y464" s="105"/>
      <c r="Z464" s="105" t="s">
        <v>1783</v>
      </c>
      <c r="AA464" s="110" t="s">
        <v>35</v>
      </c>
      <c r="AB464" s="50">
        <v>1705</v>
      </c>
      <c r="AC464" s="50">
        <v>1640</v>
      </c>
      <c r="AD464" s="50">
        <v>1395</v>
      </c>
      <c r="AE464" s="112" t="s">
        <v>37</v>
      </c>
      <c r="AF464" s="149"/>
    </row>
    <row r="465" customFormat="1" ht="25" customHeight="1" spans="1:32">
      <c r="A465" s="112"/>
      <c r="B465" s="112"/>
      <c r="C465" s="64"/>
      <c r="D465" s="65"/>
      <c r="E465" s="77"/>
      <c r="F465" s="77"/>
      <c r="G465" s="64"/>
      <c r="H465" s="42"/>
      <c r="I465" s="42"/>
      <c r="J465" s="139"/>
      <c r="K465" s="83"/>
      <c r="L465" s="83"/>
      <c r="M465" s="41"/>
      <c r="N465" s="41"/>
      <c r="O465" s="41"/>
      <c r="P465" s="64"/>
      <c r="Q465" s="64"/>
      <c r="R465" s="64"/>
      <c r="S465" s="83"/>
      <c r="T465" s="77"/>
      <c r="U465" s="105" t="s">
        <v>1816</v>
      </c>
      <c r="V465" s="105">
        <v>33040800105</v>
      </c>
      <c r="W465" s="106" t="s">
        <v>1817</v>
      </c>
      <c r="X465" s="105"/>
      <c r="Y465" s="105"/>
      <c r="Z465" s="105" t="s">
        <v>1783</v>
      </c>
      <c r="AA465" s="110" t="s">
        <v>35</v>
      </c>
      <c r="AB465" s="50">
        <v>1990</v>
      </c>
      <c r="AC465" s="50">
        <v>1910</v>
      </c>
      <c r="AD465" s="50">
        <v>1625</v>
      </c>
      <c r="AE465" s="112" t="s">
        <v>37</v>
      </c>
      <c r="AF465" s="149"/>
    </row>
    <row r="466" customFormat="1" ht="25" customHeight="1" spans="1:32">
      <c r="A466" s="112"/>
      <c r="B466" s="112"/>
      <c r="C466" s="64"/>
      <c r="D466" s="65"/>
      <c r="E466" s="77"/>
      <c r="F466" s="77"/>
      <c r="G466" s="64"/>
      <c r="H466" s="42"/>
      <c r="I466" s="42"/>
      <c r="J466" s="139"/>
      <c r="K466" s="83"/>
      <c r="L466" s="83"/>
      <c r="M466" s="41"/>
      <c r="N466" s="41"/>
      <c r="O466" s="41"/>
      <c r="P466" s="64"/>
      <c r="Q466" s="64"/>
      <c r="R466" s="64"/>
      <c r="S466" s="83"/>
      <c r="T466" s="77"/>
      <c r="U466" s="105" t="s">
        <v>1818</v>
      </c>
      <c r="V466" s="105">
        <v>33040800203</v>
      </c>
      <c r="W466" s="106" t="s">
        <v>1819</v>
      </c>
      <c r="X466" s="105"/>
      <c r="Y466" s="105"/>
      <c r="Z466" s="105" t="s">
        <v>1783</v>
      </c>
      <c r="AA466" s="110" t="s">
        <v>35</v>
      </c>
      <c r="AB466" s="50">
        <v>1535</v>
      </c>
      <c r="AC466" s="50">
        <v>1380</v>
      </c>
      <c r="AD466" s="50">
        <v>1175</v>
      </c>
      <c r="AE466" s="112" t="s">
        <v>37</v>
      </c>
      <c r="AF466" s="149"/>
    </row>
    <row r="467" customFormat="1" ht="25" customHeight="1" spans="1:32">
      <c r="A467" s="112"/>
      <c r="B467" s="112"/>
      <c r="C467" s="64"/>
      <c r="D467" s="65"/>
      <c r="E467" s="77"/>
      <c r="F467" s="77"/>
      <c r="G467" s="64"/>
      <c r="H467" s="42"/>
      <c r="I467" s="42"/>
      <c r="J467" s="139"/>
      <c r="K467" s="83"/>
      <c r="L467" s="83"/>
      <c r="M467" s="41"/>
      <c r="N467" s="41"/>
      <c r="O467" s="41"/>
      <c r="P467" s="64"/>
      <c r="Q467" s="64"/>
      <c r="R467" s="64"/>
      <c r="S467" s="83"/>
      <c r="T467" s="77"/>
      <c r="U467" s="105" t="s">
        <v>1820</v>
      </c>
      <c r="V467" s="105">
        <v>33040800204</v>
      </c>
      <c r="W467" s="106" t="s">
        <v>1821</v>
      </c>
      <c r="X467" s="105"/>
      <c r="Y467" s="105"/>
      <c r="Z467" s="105" t="s">
        <v>1783</v>
      </c>
      <c r="AA467" s="110" t="s">
        <v>1797</v>
      </c>
      <c r="AB467" s="50">
        <v>2190</v>
      </c>
      <c r="AC467" s="50">
        <v>1970</v>
      </c>
      <c r="AD467" s="50">
        <v>1675</v>
      </c>
      <c r="AE467" s="112" t="s">
        <v>37</v>
      </c>
      <c r="AF467" s="149"/>
    </row>
    <row r="468" customFormat="1" ht="25" customHeight="1" spans="1:32">
      <c r="A468" s="112"/>
      <c r="B468" s="112"/>
      <c r="C468" s="64"/>
      <c r="D468" s="65"/>
      <c r="E468" s="77"/>
      <c r="F468" s="77"/>
      <c r="G468" s="64"/>
      <c r="H468" s="42"/>
      <c r="I468" s="42"/>
      <c r="J468" s="139"/>
      <c r="K468" s="83"/>
      <c r="L468" s="83"/>
      <c r="M468" s="41"/>
      <c r="N468" s="41"/>
      <c r="O468" s="41"/>
      <c r="P468" s="64"/>
      <c r="Q468" s="64"/>
      <c r="R468" s="64"/>
      <c r="S468" s="83"/>
      <c r="T468" s="77"/>
      <c r="U468" s="105" t="s">
        <v>1822</v>
      </c>
      <c r="V468" s="105">
        <v>33040800205</v>
      </c>
      <c r="W468" s="106" t="s">
        <v>1823</v>
      </c>
      <c r="X468" s="105"/>
      <c r="Y468" s="105"/>
      <c r="Z468" s="105" t="s">
        <v>1783</v>
      </c>
      <c r="AA468" s="110" t="s">
        <v>1800</v>
      </c>
      <c r="AB468" s="50">
        <v>2515</v>
      </c>
      <c r="AC468" s="50">
        <v>2260</v>
      </c>
      <c r="AD468" s="50">
        <v>1920</v>
      </c>
      <c r="AE468" s="112" t="s">
        <v>37</v>
      </c>
      <c r="AF468" s="149"/>
    </row>
    <row r="469" customFormat="1" ht="25" customHeight="1" spans="1:32">
      <c r="A469" s="112"/>
      <c r="B469" s="112"/>
      <c r="C469" s="64"/>
      <c r="D469" s="65"/>
      <c r="E469" s="77"/>
      <c r="F469" s="77"/>
      <c r="G469" s="64"/>
      <c r="H469" s="42"/>
      <c r="I469" s="42"/>
      <c r="J469" s="139"/>
      <c r="K469" s="83"/>
      <c r="L469" s="83"/>
      <c r="M469" s="41"/>
      <c r="N469" s="41"/>
      <c r="O469" s="41"/>
      <c r="P469" s="64"/>
      <c r="Q469" s="64"/>
      <c r="R469" s="64"/>
      <c r="S469" s="83"/>
      <c r="T469" s="77"/>
      <c r="U469" s="105" t="s">
        <v>1824</v>
      </c>
      <c r="V469" s="105">
        <v>33040800302</v>
      </c>
      <c r="W469" s="106" t="s">
        <v>1825</v>
      </c>
      <c r="X469" s="105"/>
      <c r="Y469" s="105"/>
      <c r="Z469" s="105" t="s">
        <v>36</v>
      </c>
      <c r="AA469" s="110" t="s">
        <v>35</v>
      </c>
      <c r="AB469" s="50">
        <v>2145</v>
      </c>
      <c r="AC469" s="50">
        <v>1935</v>
      </c>
      <c r="AD469" s="50">
        <v>1645</v>
      </c>
      <c r="AE469" s="112" t="s">
        <v>37</v>
      </c>
      <c r="AF469" s="149"/>
    </row>
    <row r="470" customFormat="1" ht="25" customHeight="1" spans="1:32">
      <c r="A470" s="112"/>
      <c r="B470" s="112"/>
      <c r="C470" s="64"/>
      <c r="D470" s="65"/>
      <c r="E470" s="77"/>
      <c r="F470" s="77"/>
      <c r="G470" s="64"/>
      <c r="H470" s="42"/>
      <c r="I470" s="42"/>
      <c r="J470" s="139"/>
      <c r="K470" s="83"/>
      <c r="L470" s="83"/>
      <c r="M470" s="41"/>
      <c r="N470" s="41"/>
      <c r="O470" s="41"/>
      <c r="P470" s="64"/>
      <c r="Q470" s="64"/>
      <c r="R470" s="64"/>
      <c r="S470" s="83"/>
      <c r="T470" s="77"/>
      <c r="U470" s="105" t="s">
        <v>1826</v>
      </c>
      <c r="V470" s="105">
        <v>33040800303</v>
      </c>
      <c r="W470" s="106" t="s">
        <v>1827</v>
      </c>
      <c r="X470" s="105"/>
      <c r="Y470" s="105"/>
      <c r="Z470" s="105" t="s">
        <v>36</v>
      </c>
      <c r="AA470" s="110" t="s">
        <v>1807</v>
      </c>
      <c r="AB470" s="50">
        <v>1075</v>
      </c>
      <c r="AC470" s="50">
        <v>970</v>
      </c>
      <c r="AD470" s="50">
        <v>825</v>
      </c>
      <c r="AE470" s="112" t="s">
        <v>37</v>
      </c>
      <c r="AF470" s="149"/>
    </row>
    <row r="471" customFormat="1" ht="25" customHeight="1" spans="1:32">
      <c r="A471" s="112"/>
      <c r="B471" s="112"/>
      <c r="C471" s="64"/>
      <c r="D471" s="65"/>
      <c r="E471" s="77"/>
      <c r="F471" s="77"/>
      <c r="G471" s="64"/>
      <c r="H471" s="42"/>
      <c r="I471" s="42"/>
      <c r="J471" s="139"/>
      <c r="K471" s="83"/>
      <c r="L471" s="83"/>
      <c r="M471" s="41"/>
      <c r="N471" s="41"/>
      <c r="O471" s="41"/>
      <c r="P471" s="64"/>
      <c r="Q471" s="64"/>
      <c r="R471" s="64"/>
      <c r="S471" s="83"/>
      <c r="T471" s="77"/>
      <c r="U471" s="105" t="s">
        <v>1828</v>
      </c>
      <c r="V471" s="105">
        <v>33040800401</v>
      </c>
      <c r="W471" s="106" t="s">
        <v>1829</v>
      </c>
      <c r="X471" s="105"/>
      <c r="Y471" s="105"/>
      <c r="Z471" s="105" t="s">
        <v>36</v>
      </c>
      <c r="AA471" s="110" t="s">
        <v>35</v>
      </c>
      <c r="AB471" s="50">
        <v>1755</v>
      </c>
      <c r="AC471" s="50">
        <v>1585</v>
      </c>
      <c r="AD471" s="50">
        <v>1345</v>
      </c>
      <c r="AE471" s="112"/>
      <c r="AF471" s="149"/>
    </row>
    <row r="472" s="52" customFormat="1" ht="57" customHeight="1" spans="1:238">
      <c r="A472" s="112">
        <v>118</v>
      </c>
      <c r="B472" s="112" t="s">
        <v>1830</v>
      </c>
      <c r="C472" s="64" t="s">
        <v>1831</v>
      </c>
      <c r="D472" s="65" t="s">
        <v>1832</v>
      </c>
      <c r="E472" s="77" t="s">
        <v>1833</v>
      </c>
      <c r="F472" s="77" t="s">
        <v>35</v>
      </c>
      <c r="G472" s="64" t="s">
        <v>110</v>
      </c>
      <c r="H472" s="78">
        <v>800</v>
      </c>
      <c r="I472" s="78">
        <v>720</v>
      </c>
      <c r="J472" s="83"/>
      <c r="K472" s="83"/>
      <c r="L472" s="83"/>
      <c r="M472" s="41">
        <v>720</v>
      </c>
      <c r="N472" s="41">
        <v>650</v>
      </c>
      <c r="O472" s="41">
        <v>555</v>
      </c>
      <c r="P472" s="64" t="s">
        <v>621</v>
      </c>
      <c r="Q472" s="64" t="s">
        <v>35</v>
      </c>
      <c r="R472" s="64" t="s">
        <v>35</v>
      </c>
      <c r="S472" s="83" t="s">
        <v>400</v>
      </c>
      <c r="T472" s="77" t="s">
        <v>648</v>
      </c>
      <c r="U472" s="112"/>
      <c r="V472" s="112"/>
      <c r="W472" s="112"/>
      <c r="X472" s="64"/>
      <c r="Y472" s="112"/>
      <c r="Z472" s="112"/>
      <c r="AA472" s="110"/>
      <c r="AB472" s="50"/>
      <c r="AC472" s="50"/>
      <c r="AD472" s="50"/>
      <c r="AE472" s="112"/>
      <c r="AF472" s="60"/>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5"/>
      <c r="BV472" s="55"/>
      <c r="BW472" s="55"/>
      <c r="BX472" s="55"/>
      <c r="BY472" s="55"/>
      <c r="BZ472" s="55"/>
      <c r="CA472" s="55"/>
      <c r="CB472" s="55"/>
      <c r="CC472" s="55"/>
      <c r="CD472" s="55"/>
      <c r="CE472" s="55"/>
      <c r="CF472" s="55"/>
      <c r="CG472" s="55"/>
      <c r="CH472" s="55"/>
      <c r="CI472" s="55"/>
      <c r="CJ472" s="55"/>
      <c r="CK472" s="55"/>
      <c r="CL472" s="55"/>
      <c r="CM472" s="55"/>
      <c r="CN472" s="55"/>
      <c r="CO472" s="55"/>
      <c r="CP472" s="55"/>
      <c r="CQ472" s="55"/>
      <c r="CR472" s="55"/>
      <c r="CS472" s="55"/>
      <c r="CT472" s="55"/>
      <c r="CU472" s="55"/>
      <c r="CV472" s="55"/>
      <c r="CW472" s="55"/>
      <c r="CX472" s="55"/>
      <c r="CY472" s="55"/>
      <c r="CZ472" s="55"/>
      <c r="DA472" s="55"/>
      <c r="DB472" s="55"/>
      <c r="DC472" s="55"/>
      <c r="DD472" s="55"/>
      <c r="DE472" s="55"/>
      <c r="DF472" s="55"/>
      <c r="DG472" s="55"/>
      <c r="DH472" s="55"/>
      <c r="DI472" s="55"/>
      <c r="DJ472" s="55"/>
      <c r="DK472" s="55"/>
      <c r="DL472" s="55"/>
      <c r="DM472" s="55"/>
      <c r="DN472" s="55"/>
      <c r="DO472" s="55"/>
      <c r="DP472" s="55"/>
      <c r="DQ472" s="55"/>
      <c r="DR472" s="55"/>
      <c r="DS472" s="55"/>
      <c r="DT472" s="55"/>
      <c r="DU472" s="55"/>
      <c r="DV472" s="55"/>
      <c r="DW472" s="55"/>
      <c r="DX472" s="55"/>
      <c r="DY472" s="55"/>
      <c r="DZ472" s="55"/>
      <c r="EA472" s="55"/>
      <c r="EB472" s="55"/>
      <c r="EC472" s="55"/>
      <c r="ED472" s="55"/>
      <c r="EE472" s="55"/>
      <c r="EF472" s="55"/>
      <c r="EG472" s="55"/>
      <c r="EH472" s="55"/>
      <c r="EI472" s="55"/>
      <c r="EJ472" s="55"/>
      <c r="EK472" s="55"/>
      <c r="EL472" s="55"/>
      <c r="EM472" s="55"/>
      <c r="EN472" s="55"/>
      <c r="EO472" s="55"/>
      <c r="EP472" s="55"/>
      <c r="EQ472" s="55"/>
      <c r="ER472" s="55"/>
      <c r="ES472" s="55"/>
      <c r="ET472" s="55"/>
      <c r="EU472" s="55"/>
      <c r="EV472" s="55"/>
      <c r="EW472" s="55"/>
      <c r="EX472" s="55"/>
      <c r="EY472" s="55"/>
      <c r="EZ472" s="55"/>
      <c r="FA472" s="55"/>
      <c r="FB472" s="55"/>
      <c r="FC472" s="55"/>
      <c r="FD472" s="55"/>
      <c r="FE472" s="55"/>
      <c r="FF472" s="55"/>
      <c r="FG472" s="55"/>
      <c r="FH472" s="55"/>
      <c r="FI472" s="55"/>
      <c r="FJ472" s="55"/>
      <c r="FK472" s="55"/>
      <c r="FL472" s="55"/>
      <c r="FM472" s="55"/>
      <c r="FN472" s="55"/>
      <c r="FO472" s="55"/>
      <c r="FP472" s="55"/>
      <c r="FQ472" s="55"/>
      <c r="FR472" s="55"/>
      <c r="FS472" s="55"/>
      <c r="FT472" s="55"/>
      <c r="FU472" s="55"/>
      <c r="FV472" s="55"/>
      <c r="FW472" s="55"/>
      <c r="FX472" s="55"/>
      <c r="FY472" s="55"/>
      <c r="FZ472" s="55"/>
      <c r="GA472" s="55"/>
      <c r="GB472" s="55"/>
      <c r="GC472" s="55"/>
      <c r="GD472" s="55"/>
      <c r="GE472" s="55"/>
      <c r="GF472" s="55"/>
      <c r="GG472" s="55"/>
      <c r="GH472" s="55"/>
      <c r="GI472" s="55"/>
      <c r="GJ472" s="55"/>
      <c r="GK472" s="55"/>
      <c r="GL472" s="55"/>
      <c r="GM472" s="55"/>
      <c r="GN472" s="55"/>
      <c r="GO472" s="55"/>
      <c r="GP472" s="55"/>
      <c r="GQ472" s="55"/>
      <c r="GR472" s="55"/>
      <c r="GS472" s="55"/>
      <c r="GT472" s="55"/>
      <c r="GU472" s="55"/>
      <c r="GV472" s="55"/>
      <c r="GW472" s="55"/>
      <c r="GX472" s="55"/>
      <c r="GY472" s="55"/>
      <c r="GZ472" s="55"/>
      <c r="HA472" s="55"/>
      <c r="HB472" s="55"/>
      <c r="HC472" s="55"/>
      <c r="HD472" s="55"/>
      <c r="HE472" s="55"/>
      <c r="HF472" s="55"/>
      <c r="HG472" s="55"/>
      <c r="HH472" s="55"/>
      <c r="HI472" s="55"/>
      <c r="HJ472" s="55"/>
      <c r="HK472" s="55"/>
      <c r="HL472" s="55"/>
      <c r="HM472" s="55"/>
      <c r="HN472" s="55"/>
      <c r="HO472" s="55"/>
      <c r="HP472" s="55"/>
      <c r="HQ472" s="55"/>
      <c r="HR472" s="55"/>
      <c r="HS472" s="55"/>
      <c r="HT472" s="55"/>
      <c r="HU472" s="55"/>
      <c r="HV472" s="55"/>
      <c r="HW472" s="55"/>
      <c r="HX472" s="55"/>
      <c r="HY472" s="55"/>
      <c r="HZ472" s="55"/>
      <c r="IA472" s="55"/>
      <c r="IB472" s="55"/>
      <c r="IC472" s="55"/>
      <c r="ID472" s="55"/>
    </row>
    <row r="473" s="52" customFormat="1" ht="25.5" spans="1:238">
      <c r="A473" s="112" t="s">
        <v>95</v>
      </c>
      <c r="B473" s="112" t="s">
        <v>1834</v>
      </c>
      <c r="C473" s="64" t="s">
        <v>1835</v>
      </c>
      <c r="D473" s="65"/>
      <c r="E473" s="77"/>
      <c r="F473" s="77" t="s">
        <v>35</v>
      </c>
      <c r="G473" s="64" t="s">
        <v>110</v>
      </c>
      <c r="H473" s="78">
        <v>240</v>
      </c>
      <c r="I473" s="78">
        <v>216</v>
      </c>
      <c r="J473" s="83"/>
      <c r="K473" s="83"/>
      <c r="L473" s="83"/>
      <c r="M473" s="41">
        <v>215</v>
      </c>
      <c r="N473" s="41">
        <v>195</v>
      </c>
      <c r="O473" s="41">
        <v>165</v>
      </c>
      <c r="P473" s="64" t="s">
        <v>621</v>
      </c>
      <c r="Q473" s="64" t="s">
        <v>35</v>
      </c>
      <c r="R473" s="64" t="s">
        <v>35</v>
      </c>
      <c r="S473" s="83"/>
      <c r="T473" s="77" t="s">
        <v>186</v>
      </c>
      <c r="U473" s="112"/>
      <c r="V473" s="112"/>
      <c r="W473" s="112"/>
      <c r="X473" s="64"/>
      <c r="Y473" s="112"/>
      <c r="Z473" s="112"/>
      <c r="AA473" s="110"/>
      <c r="AB473" s="50"/>
      <c r="AC473" s="50"/>
      <c r="AD473" s="50"/>
      <c r="AE473" s="112"/>
      <c r="AF473" s="60"/>
      <c r="AG473" s="55"/>
      <c r="AH473" s="55"/>
      <c r="AI473" s="55"/>
      <c r="AJ473" s="55"/>
      <c r="AK473" s="55"/>
      <c r="AL473" s="55"/>
      <c r="AM473" s="55"/>
      <c r="AN473" s="55"/>
      <c r="AO473" s="55"/>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c r="BV473" s="55"/>
      <c r="BW473" s="55"/>
      <c r="BX473" s="55"/>
      <c r="BY473" s="55"/>
      <c r="BZ473" s="55"/>
      <c r="CA473" s="55"/>
      <c r="CB473" s="55"/>
      <c r="CC473" s="55"/>
      <c r="CD473" s="55"/>
      <c r="CE473" s="55"/>
      <c r="CF473" s="55"/>
      <c r="CG473" s="55"/>
      <c r="CH473" s="55"/>
      <c r="CI473" s="55"/>
      <c r="CJ473" s="55"/>
      <c r="CK473" s="55"/>
      <c r="CL473" s="55"/>
      <c r="CM473" s="55"/>
      <c r="CN473" s="55"/>
      <c r="CO473" s="55"/>
      <c r="CP473" s="55"/>
      <c r="CQ473" s="55"/>
      <c r="CR473" s="55"/>
      <c r="CS473" s="55"/>
      <c r="CT473" s="55"/>
      <c r="CU473" s="55"/>
      <c r="CV473" s="55"/>
      <c r="CW473" s="55"/>
      <c r="CX473" s="55"/>
      <c r="CY473" s="55"/>
      <c r="CZ473" s="55"/>
      <c r="DA473" s="55"/>
      <c r="DB473" s="55"/>
      <c r="DC473" s="55"/>
      <c r="DD473" s="55"/>
      <c r="DE473" s="55"/>
      <c r="DF473" s="55"/>
      <c r="DG473" s="55"/>
      <c r="DH473" s="55"/>
      <c r="DI473" s="55"/>
      <c r="DJ473" s="55"/>
      <c r="DK473" s="55"/>
      <c r="DL473" s="55"/>
      <c r="DM473" s="55"/>
      <c r="DN473" s="55"/>
      <c r="DO473" s="55"/>
      <c r="DP473" s="55"/>
      <c r="DQ473" s="55"/>
      <c r="DR473" s="55"/>
      <c r="DS473" s="55"/>
      <c r="DT473" s="55"/>
      <c r="DU473" s="55"/>
      <c r="DV473" s="55"/>
      <c r="DW473" s="55"/>
      <c r="DX473" s="55"/>
      <c r="DY473" s="55"/>
      <c r="DZ473" s="55"/>
      <c r="EA473" s="55"/>
      <c r="EB473" s="55"/>
      <c r="EC473" s="55"/>
      <c r="ED473" s="55"/>
      <c r="EE473" s="55"/>
      <c r="EF473" s="55"/>
      <c r="EG473" s="55"/>
      <c r="EH473" s="55"/>
      <c r="EI473" s="55"/>
      <c r="EJ473" s="55"/>
      <c r="EK473" s="55"/>
      <c r="EL473" s="55"/>
      <c r="EM473" s="55"/>
      <c r="EN473" s="55"/>
      <c r="EO473" s="55"/>
      <c r="EP473" s="55"/>
      <c r="EQ473" s="55"/>
      <c r="ER473" s="55"/>
      <c r="ES473" s="55"/>
      <c r="ET473" s="55"/>
      <c r="EU473" s="55"/>
      <c r="EV473" s="55"/>
      <c r="EW473" s="55"/>
      <c r="EX473" s="55"/>
      <c r="EY473" s="55"/>
      <c r="EZ473" s="55"/>
      <c r="FA473" s="55"/>
      <c r="FB473" s="55"/>
      <c r="FC473" s="55"/>
      <c r="FD473" s="55"/>
      <c r="FE473" s="55"/>
      <c r="FF473" s="55"/>
      <c r="FG473" s="55"/>
      <c r="FH473" s="55"/>
      <c r="FI473" s="55"/>
      <c r="FJ473" s="55"/>
      <c r="FK473" s="55"/>
      <c r="FL473" s="55"/>
      <c r="FM473" s="55"/>
      <c r="FN473" s="55"/>
      <c r="FO473" s="55"/>
      <c r="FP473" s="55"/>
      <c r="FQ473" s="55"/>
      <c r="FR473" s="55"/>
      <c r="FS473" s="55"/>
      <c r="FT473" s="55"/>
      <c r="FU473" s="55"/>
      <c r="FV473" s="55"/>
      <c r="FW473" s="55"/>
      <c r="FX473" s="55"/>
      <c r="FY473" s="55"/>
      <c r="FZ473" s="55"/>
      <c r="GA473" s="55"/>
      <c r="GB473" s="55"/>
      <c r="GC473" s="55"/>
      <c r="GD473" s="55"/>
      <c r="GE473" s="55"/>
      <c r="GF473" s="55"/>
      <c r="GG473" s="55"/>
      <c r="GH473" s="55"/>
      <c r="GI473" s="55"/>
      <c r="GJ473" s="55"/>
      <c r="GK473" s="55"/>
      <c r="GL473" s="55"/>
      <c r="GM473" s="55"/>
      <c r="GN473" s="55"/>
      <c r="GO473" s="55"/>
      <c r="GP473" s="55"/>
      <c r="GQ473" s="55"/>
      <c r="GR473" s="55"/>
      <c r="GS473" s="55"/>
      <c r="GT473" s="55"/>
      <c r="GU473" s="55"/>
      <c r="GV473" s="55"/>
      <c r="GW473" s="55"/>
      <c r="GX473" s="55"/>
      <c r="GY473" s="55"/>
      <c r="GZ473" s="55"/>
      <c r="HA473" s="55"/>
      <c r="HB473" s="55"/>
      <c r="HC473" s="55"/>
      <c r="HD473" s="55"/>
      <c r="HE473" s="55"/>
      <c r="HF473" s="55"/>
      <c r="HG473" s="55"/>
      <c r="HH473" s="55"/>
      <c r="HI473" s="55"/>
      <c r="HJ473" s="55"/>
      <c r="HK473" s="55"/>
      <c r="HL473" s="55"/>
      <c r="HM473" s="55"/>
      <c r="HN473" s="55"/>
      <c r="HO473" s="55"/>
      <c r="HP473" s="55"/>
      <c r="HQ473" s="55"/>
      <c r="HR473" s="55"/>
      <c r="HS473" s="55"/>
      <c r="HT473" s="55"/>
      <c r="HU473" s="55"/>
      <c r="HV473" s="55"/>
      <c r="HW473" s="55"/>
      <c r="HX473" s="55"/>
      <c r="HY473" s="55"/>
      <c r="HZ473" s="55"/>
      <c r="IA473" s="55"/>
      <c r="IB473" s="55"/>
      <c r="IC473" s="55"/>
      <c r="ID473" s="55"/>
    </row>
    <row r="474" s="52" customFormat="1" ht="55" customHeight="1" spans="1:238">
      <c r="A474" s="112">
        <v>119</v>
      </c>
      <c r="B474" s="112" t="s">
        <v>1836</v>
      </c>
      <c r="C474" s="64" t="s">
        <v>1837</v>
      </c>
      <c r="D474" s="65" t="s">
        <v>1838</v>
      </c>
      <c r="E474" s="77" t="s">
        <v>1839</v>
      </c>
      <c r="F474" s="77" t="s">
        <v>35</v>
      </c>
      <c r="G474" s="64" t="s">
        <v>110</v>
      </c>
      <c r="H474" s="78">
        <v>100</v>
      </c>
      <c r="I474" s="78">
        <v>90</v>
      </c>
      <c r="J474" s="83">
        <v>36.8</v>
      </c>
      <c r="K474" s="83">
        <v>35</v>
      </c>
      <c r="L474" s="83">
        <v>29.8</v>
      </c>
      <c r="M474" s="94">
        <v>92</v>
      </c>
      <c r="N474" s="94">
        <v>88</v>
      </c>
      <c r="O474" s="94">
        <v>75</v>
      </c>
      <c r="P474" s="64" t="s">
        <v>37</v>
      </c>
      <c r="Q474" s="64" t="s">
        <v>35</v>
      </c>
      <c r="R474" s="64" t="s">
        <v>35</v>
      </c>
      <c r="S474" s="83" t="s">
        <v>38</v>
      </c>
      <c r="T474" s="77" t="s">
        <v>1840</v>
      </c>
      <c r="U474" s="105" t="s">
        <v>1841</v>
      </c>
      <c r="V474" s="105">
        <v>310300093</v>
      </c>
      <c r="W474" s="106" t="s">
        <v>1842</v>
      </c>
      <c r="X474" s="105"/>
      <c r="Y474" s="105"/>
      <c r="Z474" s="105" t="s">
        <v>36</v>
      </c>
      <c r="AA474" s="110" t="s">
        <v>35</v>
      </c>
      <c r="AB474" s="50">
        <v>36.8</v>
      </c>
      <c r="AC474" s="50">
        <v>35</v>
      </c>
      <c r="AD474" s="50">
        <v>29.8</v>
      </c>
      <c r="AE474" s="112" t="s">
        <v>37</v>
      </c>
      <c r="AF474" s="60"/>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5"/>
      <c r="BV474" s="55"/>
      <c r="BW474" s="55"/>
      <c r="BX474" s="55"/>
      <c r="BY474" s="55"/>
      <c r="BZ474" s="55"/>
      <c r="CA474" s="55"/>
      <c r="CB474" s="55"/>
      <c r="CC474" s="55"/>
      <c r="CD474" s="55"/>
      <c r="CE474" s="55"/>
      <c r="CF474" s="55"/>
      <c r="CG474" s="55"/>
      <c r="CH474" s="55"/>
      <c r="CI474" s="55"/>
      <c r="CJ474" s="55"/>
      <c r="CK474" s="55"/>
      <c r="CL474" s="55"/>
      <c r="CM474" s="55"/>
      <c r="CN474" s="55"/>
      <c r="CO474" s="55"/>
      <c r="CP474" s="55"/>
      <c r="CQ474" s="55"/>
      <c r="CR474" s="55"/>
      <c r="CS474" s="55"/>
      <c r="CT474" s="55"/>
      <c r="CU474" s="55"/>
      <c r="CV474" s="55"/>
      <c r="CW474" s="55"/>
      <c r="CX474" s="55"/>
      <c r="CY474" s="55"/>
      <c r="CZ474" s="55"/>
      <c r="DA474" s="55"/>
      <c r="DB474" s="55"/>
      <c r="DC474" s="55"/>
      <c r="DD474" s="55"/>
      <c r="DE474" s="55"/>
      <c r="DF474" s="55"/>
      <c r="DG474" s="55"/>
      <c r="DH474" s="55"/>
      <c r="DI474" s="55"/>
      <c r="DJ474" s="55"/>
      <c r="DK474" s="55"/>
      <c r="DL474" s="55"/>
      <c r="DM474" s="55"/>
      <c r="DN474" s="55"/>
      <c r="DO474" s="55"/>
      <c r="DP474" s="55"/>
      <c r="DQ474" s="55"/>
      <c r="DR474" s="55"/>
      <c r="DS474" s="55"/>
      <c r="DT474" s="55"/>
      <c r="DU474" s="55"/>
      <c r="DV474" s="55"/>
      <c r="DW474" s="55"/>
      <c r="DX474" s="55"/>
      <c r="DY474" s="55"/>
      <c r="DZ474" s="55"/>
      <c r="EA474" s="55"/>
      <c r="EB474" s="55"/>
      <c r="EC474" s="55"/>
      <c r="ED474" s="55"/>
      <c r="EE474" s="55"/>
      <c r="EF474" s="55"/>
      <c r="EG474" s="55"/>
      <c r="EH474" s="55"/>
      <c r="EI474" s="55"/>
      <c r="EJ474" s="55"/>
      <c r="EK474" s="55"/>
      <c r="EL474" s="55"/>
      <c r="EM474" s="55"/>
      <c r="EN474" s="55"/>
      <c r="EO474" s="55"/>
      <c r="EP474" s="55"/>
      <c r="EQ474" s="55"/>
      <c r="ER474" s="55"/>
      <c r="ES474" s="55"/>
      <c r="ET474" s="55"/>
      <c r="EU474" s="55"/>
      <c r="EV474" s="55"/>
      <c r="EW474" s="55"/>
      <c r="EX474" s="55"/>
      <c r="EY474" s="55"/>
      <c r="EZ474" s="55"/>
      <c r="FA474" s="55"/>
      <c r="FB474" s="55"/>
      <c r="FC474" s="55"/>
      <c r="FD474" s="55"/>
      <c r="FE474" s="55"/>
      <c r="FF474" s="55"/>
      <c r="FG474" s="55"/>
      <c r="FH474" s="55"/>
      <c r="FI474" s="55"/>
      <c r="FJ474" s="55"/>
      <c r="FK474" s="55"/>
      <c r="FL474" s="55"/>
      <c r="FM474" s="55"/>
      <c r="FN474" s="55"/>
      <c r="FO474" s="55"/>
      <c r="FP474" s="55"/>
      <c r="FQ474" s="55"/>
      <c r="FR474" s="55"/>
      <c r="FS474" s="55"/>
      <c r="FT474" s="55"/>
      <c r="FU474" s="55"/>
      <c r="FV474" s="55"/>
      <c r="FW474" s="55"/>
      <c r="FX474" s="55"/>
      <c r="FY474" s="55"/>
      <c r="FZ474" s="55"/>
      <c r="GA474" s="55"/>
      <c r="GB474" s="55"/>
      <c r="GC474" s="55"/>
      <c r="GD474" s="55"/>
      <c r="GE474" s="55"/>
      <c r="GF474" s="55"/>
      <c r="GG474" s="55"/>
      <c r="GH474" s="55"/>
      <c r="GI474" s="55"/>
      <c r="GJ474" s="55"/>
      <c r="GK474" s="55"/>
      <c r="GL474" s="55"/>
      <c r="GM474" s="55"/>
      <c r="GN474" s="55"/>
      <c r="GO474" s="55"/>
      <c r="GP474" s="55"/>
      <c r="GQ474" s="55"/>
      <c r="GR474" s="55"/>
      <c r="GS474" s="55"/>
      <c r="GT474" s="55"/>
      <c r="GU474" s="55"/>
      <c r="GV474" s="55"/>
      <c r="GW474" s="55"/>
      <c r="GX474" s="55"/>
      <c r="GY474" s="55"/>
      <c r="GZ474" s="55"/>
      <c r="HA474" s="55"/>
      <c r="HB474" s="55"/>
      <c r="HC474" s="55"/>
      <c r="HD474" s="55"/>
      <c r="HE474" s="55"/>
      <c r="HF474" s="55"/>
      <c r="HG474" s="55"/>
      <c r="HH474" s="55"/>
      <c r="HI474" s="55"/>
      <c r="HJ474" s="55"/>
      <c r="HK474" s="55"/>
      <c r="HL474" s="55"/>
      <c r="HM474" s="55"/>
      <c r="HN474" s="55"/>
      <c r="HO474" s="55"/>
      <c r="HP474" s="55"/>
      <c r="HQ474" s="55"/>
      <c r="HR474" s="55"/>
      <c r="HS474" s="55"/>
      <c r="HT474" s="55"/>
      <c r="HU474" s="55"/>
      <c r="HV474" s="55"/>
      <c r="HW474" s="55"/>
      <c r="HX474" s="55"/>
      <c r="HY474" s="55"/>
      <c r="HZ474" s="55"/>
      <c r="IA474" s="55"/>
      <c r="IB474" s="55"/>
      <c r="IC474" s="55"/>
      <c r="ID474" s="55"/>
    </row>
    <row r="475" s="52" customFormat="1" ht="32" customHeight="1" spans="1:238">
      <c r="A475" s="112" t="s">
        <v>95</v>
      </c>
      <c r="B475" s="112" t="s">
        <v>1843</v>
      </c>
      <c r="C475" s="64" t="s">
        <v>1844</v>
      </c>
      <c r="D475" s="65"/>
      <c r="E475" s="77"/>
      <c r="F475" s="77" t="s">
        <v>35</v>
      </c>
      <c r="G475" s="64" t="s">
        <v>110</v>
      </c>
      <c r="H475" s="78">
        <v>30</v>
      </c>
      <c r="I475" s="78">
        <v>27</v>
      </c>
      <c r="J475" s="83"/>
      <c r="K475" s="83"/>
      <c r="L475" s="83"/>
      <c r="M475" s="41">
        <v>28</v>
      </c>
      <c r="N475" s="41">
        <v>26</v>
      </c>
      <c r="O475" s="41">
        <v>23</v>
      </c>
      <c r="P475" s="64" t="s">
        <v>37</v>
      </c>
      <c r="Q475" s="64" t="s">
        <v>35</v>
      </c>
      <c r="R475" s="64" t="s">
        <v>35</v>
      </c>
      <c r="S475" s="83"/>
      <c r="T475" s="77" t="s">
        <v>186</v>
      </c>
      <c r="U475" s="112"/>
      <c r="V475" s="112"/>
      <c r="W475" s="112"/>
      <c r="X475" s="64"/>
      <c r="Y475" s="112"/>
      <c r="Z475" s="112"/>
      <c r="AA475" s="110"/>
      <c r="AB475" s="50"/>
      <c r="AC475" s="50"/>
      <c r="AD475" s="50"/>
      <c r="AE475" s="112"/>
      <c r="AF475" s="60"/>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5"/>
      <c r="BV475" s="55"/>
      <c r="BW475" s="55"/>
      <c r="BX475" s="55"/>
      <c r="BY475" s="55"/>
      <c r="BZ475" s="55"/>
      <c r="CA475" s="55"/>
      <c r="CB475" s="55"/>
      <c r="CC475" s="55"/>
      <c r="CD475" s="55"/>
      <c r="CE475" s="55"/>
      <c r="CF475" s="55"/>
      <c r="CG475" s="55"/>
      <c r="CH475" s="55"/>
      <c r="CI475" s="55"/>
      <c r="CJ475" s="55"/>
      <c r="CK475" s="55"/>
      <c r="CL475" s="55"/>
      <c r="CM475" s="55"/>
      <c r="CN475" s="55"/>
      <c r="CO475" s="55"/>
      <c r="CP475" s="55"/>
      <c r="CQ475" s="55"/>
      <c r="CR475" s="55"/>
      <c r="CS475" s="55"/>
      <c r="CT475" s="55"/>
      <c r="CU475" s="55"/>
      <c r="CV475" s="55"/>
      <c r="CW475" s="55"/>
      <c r="CX475" s="55"/>
      <c r="CY475" s="55"/>
      <c r="CZ475" s="55"/>
      <c r="DA475" s="55"/>
      <c r="DB475" s="55"/>
      <c r="DC475" s="55"/>
      <c r="DD475" s="55"/>
      <c r="DE475" s="55"/>
      <c r="DF475" s="55"/>
      <c r="DG475" s="55"/>
      <c r="DH475" s="55"/>
      <c r="DI475" s="55"/>
      <c r="DJ475" s="55"/>
      <c r="DK475" s="55"/>
      <c r="DL475" s="55"/>
      <c r="DM475" s="55"/>
      <c r="DN475" s="55"/>
      <c r="DO475" s="55"/>
      <c r="DP475" s="55"/>
      <c r="DQ475" s="55"/>
      <c r="DR475" s="55"/>
      <c r="DS475" s="55"/>
      <c r="DT475" s="55"/>
      <c r="DU475" s="55"/>
      <c r="DV475" s="55"/>
      <c r="DW475" s="55"/>
      <c r="DX475" s="55"/>
      <c r="DY475" s="55"/>
      <c r="DZ475" s="55"/>
      <c r="EA475" s="55"/>
      <c r="EB475" s="55"/>
      <c r="EC475" s="55"/>
      <c r="ED475" s="55"/>
      <c r="EE475" s="55"/>
      <c r="EF475" s="55"/>
      <c r="EG475" s="55"/>
      <c r="EH475" s="55"/>
      <c r="EI475" s="55"/>
      <c r="EJ475" s="55"/>
      <c r="EK475" s="55"/>
      <c r="EL475" s="55"/>
      <c r="EM475" s="55"/>
      <c r="EN475" s="55"/>
      <c r="EO475" s="55"/>
      <c r="EP475" s="55"/>
      <c r="EQ475" s="55"/>
      <c r="ER475" s="55"/>
      <c r="ES475" s="55"/>
      <c r="ET475" s="55"/>
      <c r="EU475" s="55"/>
      <c r="EV475" s="55"/>
      <c r="EW475" s="55"/>
      <c r="EX475" s="55"/>
      <c r="EY475" s="55"/>
      <c r="EZ475" s="55"/>
      <c r="FA475" s="55"/>
      <c r="FB475" s="55"/>
      <c r="FC475" s="55"/>
      <c r="FD475" s="55"/>
      <c r="FE475" s="55"/>
      <c r="FF475" s="55"/>
      <c r="FG475" s="55"/>
      <c r="FH475" s="55"/>
      <c r="FI475" s="55"/>
      <c r="FJ475" s="55"/>
      <c r="FK475" s="55"/>
      <c r="FL475" s="55"/>
      <c r="FM475" s="55"/>
      <c r="FN475" s="55"/>
      <c r="FO475" s="55"/>
      <c r="FP475" s="55"/>
      <c r="FQ475" s="55"/>
      <c r="FR475" s="55"/>
      <c r="FS475" s="55"/>
      <c r="FT475" s="55"/>
      <c r="FU475" s="55"/>
      <c r="FV475" s="55"/>
      <c r="FW475" s="55"/>
      <c r="FX475" s="55"/>
      <c r="FY475" s="55"/>
      <c r="FZ475" s="55"/>
      <c r="GA475" s="55"/>
      <c r="GB475" s="55"/>
      <c r="GC475" s="55"/>
      <c r="GD475" s="55"/>
      <c r="GE475" s="55"/>
      <c r="GF475" s="55"/>
      <c r="GG475" s="55"/>
      <c r="GH475" s="55"/>
      <c r="GI475" s="55"/>
      <c r="GJ475" s="55"/>
      <c r="GK475" s="55"/>
      <c r="GL475" s="55"/>
      <c r="GM475" s="55"/>
      <c r="GN475" s="55"/>
      <c r="GO475" s="55"/>
      <c r="GP475" s="55"/>
      <c r="GQ475" s="55"/>
      <c r="GR475" s="55"/>
      <c r="GS475" s="55"/>
      <c r="GT475" s="55"/>
      <c r="GU475" s="55"/>
      <c r="GV475" s="55"/>
      <c r="GW475" s="55"/>
      <c r="GX475" s="55"/>
      <c r="GY475" s="55"/>
      <c r="GZ475" s="55"/>
      <c r="HA475" s="55"/>
      <c r="HB475" s="55"/>
      <c r="HC475" s="55"/>
      <c r="HD475" s="55"/>
      <c r="HE475" s="55"/>
      <c r="HF475" s="55"/>
      <c r="HG475" s="55"/>
      <c r="HH475" s="55"/>
      <c r="HI475" s="55"/>
      <c r="HJ475" s="55"/>
      <c r="HK475" s="55"/>
      <c r="HL475" s="55"/>
      <c r="HM475" s="55"/>
      <c r="HN475" s="55"/>
      <c r="HO475" s="55"/>
      <c r="HP475" s="55"/>
      <c r="HQ475" s="55"/>
      <c r="HR475" s="55"/>
      <c r="HS475" s="55"/>
      <c r="HT475" s="55"/>
      <c r="HU475" s="55"/>
      <c r="HV475" s="55"/>
      <c r="HW475" s="55"/>
      <c r="HX475" s="55"/>
      <c r="HY475" s="55"/>
      <c r="HZ475" s="55"/>
      <c r="IA475" s="55"/>
      <c r="IB475" s="55"/>
      <c r="IC475" s="55"/>
      <c r="ID475" s="55"/>
    </row>
    <row r="476" s="52" customFormat="1" ht="63" customHeight="1" spans="1:238">
      <c r="A476" s="112">
        <v>120</v>
      </c>
      <c r="B476" s="112" t="s">
        <v>1845</v>
      </c>
      <c r="C476" s="64" t="s">
        <v>1846</v>
      </c>
      <c r="D476" s="65" t="s">
        <v>1847</v>
      </c>
      <c r="E476" s="77" t="s">
        <v>1848</v>
      </c>
      <c r="F476" s="77"/>
      <c r="G476" s="64" t="s">
        <v>110</v>
      </c>
      <c r="H476" s="78">
        <v>375</v>
      </c>
      <c r="I476" s="78">
        <v>340</v>
      </c>
      <c r="J476" s="83">
        <v>375</v>
      </c>
      <c r="K476" s="83">
        <v>360</v>
      </c>
      <c r="L476" s="83">
        <v>306</v>
      </c>
      <c r="M476" s="41">
        <v>375</v>
      </c>
      <c r="N476" s="89">
        <v>340</v>
      </c>
      <c r="O476" s="41">
        <v>305</v>
      </c>
      <c r="P476" s="64" t="s">
        <v>37</v>
      </c>
      <c r="Q476" s="64" t="s">
        <v>35</v>
      </c>
      <c r="R476" s="64" t="s">
        <v>35</v>
      </c>
      <c r="S476" s="83" t="s">
        <v>38</v>
      </c>
      <c r="T476" s="77" t="s">
        <v>1328</v>
      </c>
      <c r="U476" s="105" t="s">
        <v>1849</v>
      </c>
      <c r="V476" s="105">
        <v>330403008</v>
      </c>
      <c r="W476" s="106" t="s">
        <v>1850</v>
      </c>
      <c r="X476" s="105" t="s">
        <v>1851</v>
      </c>
      <c r="Y476" s="105"/>
      <c r="Z476" s="105" t="s">
        <v>36</v>
      </c>
      <c r="AA476" s="110" t="s">
        <v>35</v>
      </c>
      <c r="AB476" s="50">
        <v>375</v>
      </c>
      <c r="AC476" s="50">
        <v>360</v>
      </c>
      <c r="AD476" s="50">
        <v>306</v>
      </c>
      <c r="AE476" s="112" t="s">
        <v>37</v>
      </c>
      <c r="AF476" s="60"/>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c r="BV476" s="55"/>
      <c r="BW476" s="55"/>
      <c r="BX476" s="55"/>
      <c r="BY476" s="55"/>
      <c r="BZ476" s="55"/>
      <c r="CA476" s="55"/>
      <c r="CB476" s="55"/>
      <c r="CC476" s="55"/>
      <c r="CD476" s="55"/>
      <c r="CE476" s="55"/>
      <c r="CF476" s="55"/>
      <c r="CG476" s="55"/>
      <c r="CH476" s="55"/>
      <c r="CI476" s="55"/>
      <c r="CJ476" s="55"/>
      <c r="CK476" s="55"/>
      <c r="CL476" s="55"/>
      <c r="CM476" s="55"/>
      <c r="CN476" s="55"/>
      <c r="CO476" s="55"/>
      <c r="CP476" s="55"/>
      <c r="CQ476" s="55"/>
      <c r="CR476" s="55"/>
      <c r="CS476" s="55"/>
      <c r="CT476" s="55"/>
      <c r="CU476" s="55"/>
      <c r="CV476" s="55"/>
      <c r="CW476" s="55"/>
      <c r="CX476" s="55"/>
      <c r="CY476" s="55"/>
      <c r="CZ476" s="55"/>
      <c r="DA476" s="55"/>
      <c r="DB476" s="55"/>
      <c r="DC476" s="55"/>
      <c r="DD476" s="55"/>
      <c r="DE476" s="55"/>
      <c r="DF476" s="55"/>
      <c r="DG476" s="55"/>
      <c r="DH476" s="55"/>
      <c r="DI476" s="55"/>
      <c r="DJ476" s="55"/>
      <c r="DK476" s="55"/>
      <c r="DL476" s="55"/>
      <c r="DM476" s="55"/>
      <c r="DN476" s="55"/>
      <c r="DO476" s="55"/>
      <c r="DP476" s="55"/>
      <c r="DQ476" s="55"/>
      <c r="DR476" s="55"/>
      <c r="DS476" s="55"/>
      <c r="DT476" s="55"/>
      <c r="DU476" s="55"/>
      <c r="DV476" s="55"/>
      <c r="DW476" s="55"/>
      <c r="DX476" s="55"/>
      <c r="DY476" s="55"/>
      <c r="DZ476" s="55"/>
      <c r="EA476" s="55"/>
      <c r="EB476" s="55"/>
      <c r="EC476" s="55"/>
      <c r="ED476" s="55"/>
      <c r="EE476" s="55"/>
      <c r="EF476" s="55"/>
      <c r="EG476" s="55"/>
      <c r="EH476" s="55"/>
      <c r="EI476" s="55"/>
      <c r="EJ476" s="55"/>
      <c r="EK476" s="55"/>
      <c r="EL476" s="55"/>
      <c r="EM476" s="55"/>
      <c r="EN476" s="55"/>
      <c r="EO476" s="55"/>
      <c r="EP476" s="55"/>
      <c r="EQ476" s="55"/>
      <c r="ER476" s="55"/>
      <c r="ES476" s="55"/>
      <c r="ET476" s="55"/>
      <c r="EU476" s="55"/>
      <c r="EV476" s="55"/>
      <c r="EW476" s="55"/>
      <c r="EX476" s="55"/>
      <c r="EY476" s="55"/>
      <c r="EZ476" s="55"/>
      <c r="FA476" s="55"/>
      <c r="FB476" s="55"/>
      <c r="FC476" s="55"/>
      <c r="FD476" s="55"/>
      <c r="FE476" s="55"/>
      <c r="FF476" s="55"/>
      <c r="FG476" s="55"/>
      <c r="FH476" s="55"/>
      <c r="FI476" s="55"/>
      <c r="FJ476" s="55"/>
      <c r="FK476" s="55"/>
      <c r="FL476" s="55"/>
      <c r="FM476" s="55"/>
      <c r="FN476" s="55"/>
      <c r="FO476" s="55"/>
      <c r="FP476" s="55"/>
      <c r="FQ476" s="55"/>
      <c r="FR476" s="55"/>
      <c r="FS476" s="55"/>
      <c r="FT476" s="55"/>
      <c r="FU476" s="55"/>
      <c r="FV476" s="55"/>
      <c r="FW476" s="55"/>
      <c r="FX476" s="55"/>
      <c r="FY476" s="55"/>
      <c r="FZ476" s="55"/>
      <c r="GA476" s="55"/>
      <c r="GB476" s="55"/>
      <c r="GC476" s="55"/>
      <c r="GD476" s="55"/>
      <c r="GE476" s="55"/>
      <c r="GF476" s="55"/>
      <c r="GG476" s="55"/>
      <c r="GH476" s="55"/>
      <c r="GI476" s="55"/>
      <c r="GJ476" s="55"/>
      <c r="GK476" s="55"/>
      <c r="GL476" s="55"/>
      <c r="GM476" s="55"/>
      <c r="GN476" s="55"/>
      <c r="GO476" s="55"/>
      <c r="GP476" s="55"/>
      <c r="GQ476" s="55"/>
      <c r="GR476" s="55"/>
      <c r="GS476" s="55"/>
      <c r="GT476" s="55"/>
      <c r="GU476" s="55"/>
      <c r="GV476" s="55"/>
      <c r="GW476" s="55"/>
      <c r="GX476" s="55"/>
      <c r="GY476" s="55"/>
      <c r="GZ476" s="55"/>
      <c r="HA476" s="55"/>
      <c r="HB476" s="55"/>
      <c r="HC476" s="55"/>
      <c r="HD476" s="55"/>
      <c r="HE476" s="55"/>
      <c r="HF476" s="55"/>
      <c r="HG476" s="55"/>
      <c r="HH476" s="55"/>
      <c r="HI476" s="55"/>
      <c r="HJ476" s="55"/>
      <c r="HK476" s="55"/>
      <c r="HL476" s="55"/>
      <c r="HM476" s="55"/>
      <c r="HN476" s="55"/>
      <c r="HO476" s="55"/>
      <c r="HP476" s="55"/>
      <c r="HQ476" s="55"/>
      <c r="HR476" s="55"/>
      <c r="HS476" s="55"/>
      <c r="HT476" s="55"/>
      <c r="HU476" s="55"/>
      <c r="HV476" s="55"/>
      <c r="HW476" s="55"/>
      <c r="HX476" s="55"/>
      <c r="HY476" s="55"/>
      <c r="HZ476" s="55"/>
      <c r="IA476" s="55"/>
      <c r="IB476" s="55"/>
      <c r="IC476" s="55"/>
      <c r="ID476" s="55"/>
    </row>
    <row r="477" s="52" customFormat="1" ht="39" customHeight="1" spans="1:238">
      <c r="A477" s="112" t="s">
        <v>95</v>
      </c>
      <c r="B477" s="112" t="s">
        <v>1852</v>
      </c>
      <c r="C477" s="64" t="s">
        <v>1853</v>
      </c>
      <c r="D477" s="65"/>
      <c r="E477" s="77"/>
      <c r="F477" s="77" t="s">
        <v>35</v>
      </c>
      <c r="G477" s="64" t="s">
        <v>110</v>
      </c>
      <c r="H477" s="78">
        <v>113</v>
      </c>
      <c r="I477" s="78">
        <v>102</v>
      </c>
      <c r="J477" s="83">
        <v>115</v>
      </c>
      <c r="K477" s="83">
        <v>110</v>
      </c>
      <c r="L477" s="83">
        <v>94</v>
      </c>
      <c r="M477" s="41">
        <v>115</v>
      </c>
      <c r="N477" s="41">
        <v>100</v>
      </c>
      <c r="O477" s="41">
        <v>92</v>
      </c>
      <c r="P477" s="64" t="s">
        <v>37</v>
      </c>
      <c r="Q477" s="64" t="s">
        <v>35</v>
      </c>
      <c r="R477" s="64" t="s">
        <v>35</v>
      </c>
      <c r="S477" s="83"/>
      <c r="T477" s="77" t="s">
        <v>186</v>
      </c>
      <c r="U477" s="105" t="s">
        <v>1854</v>
      </c>
      <c r="V477" s="105">
        <v>33040300801</v>
      </c>
      <c r="W477" s="106" t="s">
        <v>1855</v>
      </c>
      <c r="X477" s="105"/>
      <c r="Y477" s="105"/>
      <c r="Z477" s="105" t="s">
        <v>36</v>
      </c>
      <c r="AA477" s="110" t="s">
        <v>35</v>
      </c>
      <c r="AB477" s="50">
        <v>490</v>
      </c>
      <c r="AC477" s="50">
        <v>470</v>
      </c>
      <c r="AD477" s="50">
        <v>400</v>
      </c>
      <c r="AE477" s="112" t="s">
        <v>37</v>
      </c>
      <c r="AF477" s="60"/>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5"/>
      <c r="BV477" s="55"/>
      <c r="BW477" s="55"/>
      <c r="BX477" s="55"/>
      <c r="BY477" s="55"/>
      <c r="BZ477" s="55"/>
      <c r="CA477" s="55"/>
      <c r="CB477" s="55"/>
      <c r="CC477" s="55"/>
      <c r="CD477" s="55"/>
      <c r="CE477" s="55"/>
      <c r="CF477" s="55"/>
      <c r="CG477" s="55"/>
      <c r="CH477" s="55"/>
      <c r="CI477" s="55"/>
      <c r="CJ477" s="55"/>
      <c r="CK477" s="55"/>
      <c r="CL477" s="55"/>
      <c r="CM477" s="55"/>
      <c r="CN477" s="55"/>
      <c r="CO477" s="55"/>
      <c r="CP477" s="55"/>
      <c r="CQ477" s="55"/>
      <c r="CR477" s="55"/>
      <c r="CS477" s="55"/>
      <c r="CT477" s="55"/>
      <c r="CU477" s="55"/>
      <c r="CV477" s="55"/>
      <c r="CW477" s="55"/>
      <c r="CX477" s="55"/>
      <c r="CY477" s="55"/>
      <c r="CZ477" s="55"/>
      <c r="DA477" s="55"/>
      <c r="DB477" s="55"/>
      <c r="DC477" s="55"/>
      <c r="DD477" s="55"/>
      <c r="DE477" s="55"/>
      <c r="DF477" s="55"/>
      <c r="DG477" s="55"/>
      <c r="DH477" s="55"/>
      <c r="DI477" s="55"/>
      <c r="DJ477" s="55"/>
      <c r="DK477" s="55"/>
      <c r="DL477" s="55"/>
      <c r="DM477" s="55"/>
      <c r="DN477" s="55"/>
      <c r="DO477" s="55"/>
      <c r="DP477" s="55"/>
      <c r="DQ477" s="55"/>
      <c r="DR477" s="55"/>
      <c r="DS477" s="55"/>
      <c r="DT477" s="55"/>
      <c r="DU477" s="55"/>
      <c r="DV477" s="55"/>
      <c r="DW477" s="55"/>
      <c r="DX477" s="55"/>
      <c r="DY477" s="55"/>
      <c r="DZ477" s="55"/>
      <c r="EA477" s="55"/>
      <c r="EB477" s="55"/>
      <c r="EC477" s="55"/>
      <c r="ED477" s="55"/>
      <c r="EE477" s="55"/>
      <c r="EF477" s="55"/>
      <c r="EG477" s="55"/>
      <c r="EH477" s="55"/>
      <c r="EI477" s="55"/>
      <c r="EJ477" s="55"/>
      <c r="EK477" s="55"/>
      <c r="EL477" s="55"/>
      <c r="EM477" s="55"/>
      <c r="EN477" s="55"/>
      <c r="EO477" s="55"/>
      <c r="EP477" s="55"/>
      <c r="EQ477" s="55"/>
      <c r="ER477" s="55"/>
      <c r="ES477" s="55"/>
      <c r="ET477" s="55"/>
      <c r="EU477" s="55"/>
      <c r="EV477" s="55"/>
      <c r="EW477" s="55"/>
      <c r="EX477" s="55"/>
      <c r="EY477" s="55"/>
      <c r="EZ477" s="55"/>
      <c r="FA477" s="55"/>
      <c r="FB477" s="55"/>
      <c r="FC477" s="55"/>
      <c r="FD477" s="55"/>
      <c r="FE477" s="55"/>
      <c r="FF477" s="55"/>
      <c r="FG477" s="55"/>
      <c r="FH477" s="55"/>
      <c r="FI477" s="55"/>
      <c r="FJ477" s="55"/>
      <c r="FK477" s="55"/>
      <c r="FL477" s="55"/>
      <c r="FM477" s="55"/>
      <c r="FN477" s="55"/>
      <c r="FO477" s="55"/>
      <c r="FP477" s="55"/>
      <c r="FQ477" s="55"/>
      <c r="FR477" s="55"/>
      <c r="FS477" s="55"/>
      <c r="FT477" s="55"/>
      <c r="FU477" s="55"/>
      <c r="FV477" s="55"/>
      <c r="FW477" s="55"/>
      <c r="FX477" s="55"/>
      <c r="FY477" s="55"/>
      <c r="FZ477" s="55"/>
      <c r="GA477" s="55"/>
      <c r="GB477" s="55"/>
      <c r="GC477" s="55"/>
      <c r="GD477" s="55"/>
      <c r="GE477" s="55"/>
      <c r="GF477" s="55"/>
      <c r="GG477" s="55"/>
      <c r="GH477" s="55"/>
      <c r="GI477" s="55"/>
      <c r="GJ477" s="55"/>
      <c r="GK477" s="55"/>
      <c r="GL477" s="55"/>
      <c r="GM477" s="55"/>
      <c r="GN477" s="55"/>
      <c r="GO477" s="55"/>
      <c r="GP477" s="55"/>
      <c r="GQ477" s="55"/>
      <c r="GR477" s="55"/>
      <c r="GS477" s="55"/>
      <c r="GT477" s="55"/>
      <c r="GU477" s="55"/>
      <c r="GV477" s="55"/>
      <c r="GW477" s="55"/>
      <c r="GX477" s="55"/>
      <c r="GY477" s="55"/>
      <c r="GZ477" s="55"/>
      <c r="HA477" s="55"/>
      <c r="HB477" s="55"/>
      <c r="HC477" s="55"/>
      <c r="HD477" s="55"/>
      <c r="HE477" s="55"/>
      <c r="HF477" s="55"/>
      <c r="HG477" s="55"/>
      <c r="HH477" s="55"/>
      <c r="HI477" s="55"/>
      <c r="HJ477" s="55"/>
      <c r="HK477" s="55"/>
      <c r="HL477" s="55"/>
      <c r="HM477" s="55"/>
      <c r="HN477" s="55"/>
      <c r="HO477" s="55"/>
      <c r="HP477" s="55"/>
      <c r="HQ477" s="55"/>
      <c r="HR477" s="55"/>
      <c r="HS477" s="55"/>
      <c r="HT477" s="55"/>
      <c r="HU477" s="55"/>
      <c r="HV477" s="55"/>
      <c r="HW477" s="55"/>
      <c r="HX477" s="55"/>
      <c r="HY477" s="55"/>
      <c r="HZ477" s="55"/>
      <c r="IA477" s="55"/>
      <c r="IB477" s="55"/>
      <c r="IC477" s="55"/>
      <c r="ID477" s="55"/>
    </row>
    <row r="478" s="52" customFormat="1" ht="63.75" spans="1:238">
      <c r="A478" s="112">
        <v>121</v>
      </c>
      <c r="B478" s="112" t="s">
        <v>1856</v>
      </c>
      <c r="C478" s="64" t="s">
        <v>1857</v>
      </c>
      <c r="D478" s="65" t="s">
        <v>1858</v>
      </c>
      <c r="E478" s="77" t="s">
        <v>1209</v>
      </c>
      <c r="F478" s="77" t="s">
        <v>1859</v>
      </c>
      <c r="G478" s="64" t="s">
        <v>472</v>
      </c>
      <c r="H478" s="42" t="s">
        <v>1400</v>
      </c>
      <c r="I478" s="42" t="s">
        <v>1400</v>
      </c>
      <c r="J478" s="83"/>
      <c r="K478" s="83"/>
      <c r="L478" s="83"/>
      <c r="M478" s="41"/>
      <c r="N478" s="41"/>
      <c r="O478" s="41"/>
      <c r="P478" s="64" t="s">
        <v>621</v>
      </c>
      <c r="Q478" s="64" t="s">
        <v>35</v>
      </c>
      <c r="R478" s="64" t="s">
        <v>35</v>
      </c>
      <c r="S478" s="83" t="s">
        <v>1400</v>
      </c>
      <c r="T478" s="77" t="s">
        <v>1400</v>
      </c>
      <c r="U478" s="105" t="s">
        <v>1860</v>
      </c>
      <c r="V478" s="105">
        <v>330401015</v>
      </c>
      <c r="W478" s="106" t="s">
        <v>1861</v>
      </c>
      <c r="X478" s="105"/>
      <c r="Y478" s="105"/>
      <c r="Z478" s="105" t="s">
        <v>1862</v>
      </c>
      <c r="AA478" s="110" t="s">
        <v>1400</v>
      </c>
      <c r="AB478" s="50"/>
      <c r="AC478" s="50"/>
      <c r="AD478" s="50"/>
      <c r="AE478" s="112"/>
      <c r="AF478" s="60"/>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c r="BV478" s="55"/>
      <c r="BW478" s="55"/>
      <c r="BX478" s="55"/>
      <c r="BY478" s="55"/>
      <c r="BZ478" s="55"/>
      <c r="CA478" s="55"/>
      <c r="CB478" s="55"/>
      <c r="CC478" s="55"/>
      <c r="CD478" s="55"/>
      <c r="CE478" s="55"/>
      <c r="CF478" s="55"/>
      <c r="CG478" s="55"/>
      <c r="CH478" s="55"/>
      <c r="CI478" s="55"/>
      <c r="CJ478" s="55"/>
      <c r="CK478" s="55"/>
      <c r="CL478" s="55"/>
      <c r="CM478" s="55"/>
      <c r="CN478" s="55"/>
      <c r="CO478" s="55"/>
      <c r="CP478" s="55"/>
      <c r="CQ478" s="55"/>
      <c r="CR478" s="55"/>
      <c r="CS478" s="55"/>
      <c r="CT478" s="55"/>
      <c r="CU478" s="55"/>
      <c r="CV478" s="55"/>
      <c r="CW478" s="55"/>
      <c r="CX478" s="55"/>
      <c r="CY478" s="55"/>
      <c r="CZ478" s="55"/>
      <c r="DA478" s="55"/>
      <c r="DB478" s="55"/>
      <c r="DC478" s="55"/>
      <c r="DD478" s="55"/>
      <c r="DE478" s="55"/>
      <c r="DF478" s="55"/>
      <c r="DG478" s="55"/>
      <c r="DH478" s="55"/>
      <c r="DI478" s="55"/>
      <c r="DJ478" s="55"/>
      <c r="DK478" s="55"/>
      <c r="DL478" s="55"/>
      <c r="DM478" s="55"/>
      <c r="DN478" s="55"/>
      <c r="DO478" s="55"/>
      <c r="DP478" s="55"/>
      <c r="DQ478" s="55"/>
      <c r="DR478" s="55"/>
      <c r="DS478" s="55"/>
      <c r="DT478" s="55"/>
      <c r="DU478" s="55"/>
      <c r="DV478" s="55"/>
      <c r="DW478" s="55"/>
      <c r="DX478" s="55"/>
      <c r="DY478" s="55"/>
      <c r="DZ478" s="55"/>
      <c r="EA478" s="55"/>
      <c r="EB478" s="55"/>
      <c r="EC478" s="55"/>
      <c r="ED478" s="55"/>
      <c r="EE478" s="55"/>
      <c r="EF478" s="55"/>
      <c r="EG478" s="55"/>
      <c r="EH478" s="55"/>
      <c r="EI478" s="55"/>
      <c r="EJ478" s="55"/>
      <c r="EK478" s="55"/>
      <c r="EL478" s="55"/>
      <c r="EM478" s="55"/>
      <c r="EN478" s="55"/>
      <c r="EO478" s="55"/>
      <c r="EP478" s="55"/>
      <c r="EQ478" s="55"/>
      <c r="ER478" s="55"/>
      <c r="ES478" s="55"/>
      <c r="ET478" s="55"/>
      <c r="EU478" s="55"/>
      <c r="EV478" s="55"/>
      <c r="EW478" s="55"/>
      <c r="EX478" s="55"/>
      <c r="EY478" s="55"/>
      <c r="EZ478" s="55"/>
      <c r="FA478" s="55"/>
      <c r="FB478" s="55"/>
      <c r="FC478" s="55"/>
      <c r="FD478" s="55"/>
      <c r="FE478" s="55"/>
      <c r="FF478" s="55"/>
      <c r="FG478" s="55"/>
      <c r="FH478" s="55"/>
      <c r="FI478" s="55"/>
      <c r="FJ478" s="55"/>
      <c r="FK478" s="55"/>
      <c r="FL478" s="55"/>
      <c r="FM478" s="55"/>
      <c r="FN478" s="55"/>
      <c r="FO478" s="55"/>
      <c r="FP478" s="55"/>
      <c r="FQ478" s="55"/>
      <c r="FR478" s="55"/>
      <c r="FS478" s="55"/>
      <c r="FT478" s="55"/>
      <c r="FU478" s="55"/>
      <c r="FV478" s="55"/>
      <c r="FW478" s="55"/>
      <c r="FX478" s="55"/>
      <c r="FY478" s="55"/>
      <c r="FZ478" s="55"/>
      <c r="GA478" s="55"/>
      <c r="GB478" s="55"/>
      <c r="GC478" s="55"/>
      <c r="GD478" s="55"/>
      <c r="GE478" s="55"/>
      <c r="GF478" s="55"/>
      <c r="GG478" s="55"/>
      <c r="GH478" s="55"/>
      <c r="GI478" s="55"/>
      <c r="GJ478" s="55"/>
      <c r="GK478" s="55"/>
      <c r="GL478" s="55"/>
      <c r="GM478" s="55"/>
      <c r="GN478" s="55"/>
      <c r="GO478" s="55"/>
      <c r="GP478" s="55"/>
      <c r="GQ478" s="55"/>
      <c r="GR478" s="55"/>
      <c r="GS478" s="55"/>
      <c r="GT478" s="55"/>
      <c r="GU478" s="55"/>
      <c r="GV478" s="55"/>
      <c r="GW478" s="55"/>
      <c r="GX478" s="55"/>
      <c r="GY478" s="55"/>
      <c r="GZ478" s="55"/>
      <c r="HA478" s="55"/>
      <c r="HB478" s="55"/>
      <c r="HC478" s="55"/>
      <c r="HD478" s="55"/>
      <c r="HE478" s="55"/>
      <c r="HF478" s="55"/>
      <c r="HG478" s="55"/>
      <c r="HH478" s="55"/>
      <c r="HI478" s="55"/>
      <c r="HJ478" s="55"/>
      <c r="HK478" s="55"/>
      <c r="HL478" s="55"/>
      <c r="HM478" s="55"/>
      <c r="HN478" s="55"/>
      <c r="HO478" s="55"/>
      <c r="HP478" s="55"/>
      <c r="HQ478" s="55"/>
      <c r="HR478" s="55"/>
      <c r="HS478" s="55"/>
      <c r="HT478" s="55"/>
      <c r="HU478" s="55"/>
      <c r="HV478" s="55"/>
      <c r="HW478" s="55"/>
      <c r="HX478" s="55"/>
      <c r="HY478" s="55"/>
      <c r="HZ478" s="55"/>
      <c r="IA478" s="55"/>
      <c r="IB478" s="55"/>
      <c r="IC478" s="55"/>
      <c r="ID478" s="55"/>
    </row>
    <row r="479" s="52" customFormat="1" ht="25.5" spans="1:238">
      <c r="A479" s="112">
        <v>122</v>
      </c>
      <c r="B479" s="112" t="s">
        <v>1863</v>
      </c>
      <c r="C479" s="64" t="s">
        <v>1864</v>
      </c>
      <c r="D479" s="65" t="s">
        <v>1865</v>
      </c>
      <c r="E479" s="77" t="s">
        <v>1209</v>
      </c>
      <c r="F479" s="77" t="s">
        <v>1859</v>
      </c>
      <c r="G479" s="64" t="s">
        <v>472</v>
      </c>
      <c r="H479" s="42" t="s">
        <v>1400</v>
      </c>
      <c r="I479" s="42" t="s">
        <v>1400</v>
      </c>
      <c r="J479" s="83"/>
      <c r="K479" s="83"/>
      <c r="L479" s="83"/>
      <c r="M479" s="41"/>
      <c r="N479" s="41"/>
      <c r="O479" s="41"/>
      <c r="P479" s="64" t="s">
        <v>621</v>
      </c>
      <c r="Q479" s="64" t="s">
        <v>35</v>
      </c>
      <c r="R479" s="64" t="s">
        <v>35</v>
      </c>
      <c r="S479" s="161" t="s">
        <v>1400</v>
      </c>
      <c r="T479" s="77" t="s">
        <v>1400</v>
      </c>
      <c r="U479" s="105" t="s">
        <v>1866</v>
      </c>
      <c r="V479" s="105">
        <v>330401012</v>
      </c>
      <c r="W479" s="106" t="s">
        <v>1867</v>
      </c>
      <c r="X479" s="105" t="s">
        <v>1868</v>
      </c>
      <c r="Y479" s="105"/>
      <c r="Z479" s="105" t="s">
        <v>1862</v>
      </c>
      <c r="AA479" s="110" t="s">
        <v>1400</v>
      </c>
      <c r="AB479" s="50"/>
      <c r="AC479" s="50"/>
      <c r="AD479" s="50"/>
      <c r="AE479" s="112"/>
      <c r="AF479" s="60"/>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55"/>
      <c r="BR479" s="55"/>
      <c r="BS479" s="55"/>
      <c r="BT479" s="55"/>
      <c r="BU479" s="55"/>
      <c r="BV479" s="55"/>
      <c r="BW479" s="55"/>
      <c r="BX479" s="55"/>
      <c r="BY479" s="55"/>
      <c r="BZ479" s="55"/>
      <c r="CA479" s="55"/>
      <c r="CB479" s="55"/>
      <c r="CC479" s="55"/>
      <c r="CD479" s="55"/>
      <c r="CE479" s="55"/>
      <c r="CF479" s="55"/>
      <c r="CG479" s="55"/>
      <c r="CH479" s="55"/>
      <c r="CI479" s="55"/>
      <c r="CJ479" s="55"/>
      <c r="CK479" s="55"/>
      <c r="CL479" s="55"/>
      <c r="CM479" s="55"/>
      <c r="CN479" s="55"/>
      <c r="CO479" s="55"/>
      <c r="CP479" s="55"/>
      <c r="CQ479" s="55"/>
      <c r="CR479" s="55"/>
      <c r="CS479" s="55"/>
      <c r="CT479" s="55"/>
      <c r="CU479" s="55"/>
      <c r="CV479" s="55"/>
      <c r="CW479" s="55"/>
      <c r="CX479" s="55"/>
      <c r="CY479" s="55"/>
      <c r="CZ479" s="55"/>
      <c r="DA479" s="55"/>
      <c r="DB479" s="55"/>
      <c r="DC479" s="55"/>
      <c r="DD479" s="55"/>
      <c r="DE479" s="55"/>
      <c r="DF479" s="55"/>
      <c r="DG479" s="55"/>
      <c r="DH479" s="55"/>
      <c r="DI479" s="55"/>
      <c r="DJ479" s="55"/>
      <c r="DK479" s="55"/>
      <c r="DL479" s="55"/>
      <c r="DM479" s="55"/>
      <c r="DN479" s="55"/>
      <c r="DO479" s="55"/>
      <c r="DP479" s="55"/>
      <c r="DQ479" s="55"/>
      <c r="DR479" s="55"/>
      <c r="DS479" s="55"/>
      <c r="DT479" s="55"/>
      <c r="DU479" s="55"/>
      <c r="DV479" s="55"/>
      <c r="DW479" s="55"/>
      <c r="DX479" s="55"/>
      <c r="DY479" s="55"/>
      <c r="DZ479" s="55"/>
      <c r="EA479" s="55"/>
      <c r="EB479" s="55"/>
      <c r="EC479" s="55"/>
      <c r="ED479" s="55"/>
      <c r="EE479" s="55"/>
      <c r="EF479" s="55"/>
      <c r="EG479" s="55"/>
      <c r="EH479" s="55"/>
      <c r="EI479" s="55"/>
      <c r="EJ479" s="55"/>
      <c r="EK479" s="55"/>
      <c r="EL479" s="55"/>
      <c r="EM479" s="55"/>
      <c r="EN479" s="55"/>
      <c r="EO479" s="55"/>
      <c r="EP479" s="55"/>
      <c r="EQ479" s="55"/>
      <c r="ER479" s="55"/>
      <c r="ES479" s="55"/>
      <c r="ET479" s="55"/>
      <c r="EU479" s="55"/>
      <c r="EV479" s="55"/>
      <c r="EW479" s="55"/>
      <c r="EX479" s="55"/>
      <c r="EY479" s="55"/>
      <c r="EZ479" s="55"/>
      <c r="FA479" s="55"/>
      <c r="FB479" s="55"/>
      <c r="FC479" s="55"/>
      <c r="FD479" s="55"/>
      <c r="FE479" s="55"/>
      <c r="FF479" s="55"/>
      <c r="FG479" s="55"/>
      <c r="FH479" s="55"/>
      <c r="FI479" s="55"/>
      <c r="FJ479" s="55"/>
      <c r="FK479" s="55"/>
      <c r="FL479" s="55"/>
      <c r="FM479" s="55"/>
      <c r="FN479" s="55"/>
      <c r="FO479" s="55"/>
      <c r="FP479" s="55"/>
      <c r="FQ479" s="55"/>
      <c r="FR479" s="55"/>
      <c r="FS479" s="55"/>
      <c r="FT479" s="55"/>
      <c r="FU479" s="55"/>
      <c r="FV479" s="55"/>
      <c r="FW479" s="55"/>
      <c r="FX479" s="55"/>
      <c r="FY479" s="55"/>
      <c r="FZ479" s="55"/>
      <c r="GA479" s="55"/>
      <c r="GB479" s="55"/>
      <c r="GC479" s="55"/>
      <c r="GD479" s="55"/>
      <c r="GE479" s="55"/>
      <c r="GF479" s="55"/>
      <c r="GG479" s="55"/>
      <c r="GH479" s="55"/>
      <c r="GI479" s="55"/>
      <c r="GJ479" s="55"/>
      <c r="GK479" s="55"/>
      <c r="GL479" s="55"/>
      <c r="GM479" s="55"/>
      <c r="GN479" s="55"/>
      <c r="GO479" s="55"/>
      <c r="GP479" s="55"/>
      <c r="GQ479" s="55"/>
      <c r="GR479" s="55"/>
      <c r="GS479" s="55"/>
      <c r="GT479" s="55"/>
      <c r="GU479" s="55"/>
      <c r="GV479" s="55"/>
      <c r="GW479" s="55"/>
      <c r="GX479" s="55"/>
      <c r="GY479" s="55"/>
      <c r="GZ479" s="55"/>
      <c r="HA479" s="55"/>
      <c r="HB479" s="55"/>
      <c r="HC479" s="55"/>
      <c r="HD479" s="55"/>
      <c r="HE479" s="55"/>
      <c r="HF479" s="55"/>
      <c r="HG479" s="55"/>
      <c r="HH479" s="55"/>
      <c r="HI479" s="55"/>
      <c r="HJ479" s="55"/>
      <c r="HK479" s="55"/>
      <c r="HL479" s="55"/>
      <c r="HM479" s="55"/>
      <c r="HN479" s="55"/>
      <c r="HO479" s="55"/>
      <c r="HP479" s="55"/>
      <c r="HQ479" s="55"/>
      <c r="HR479" s="55"/>
      <c r="HS479" s="55"/>
      <c r="HT479" s="55"/>
      <c r="HU479" s="55"/>
      <c r="HV479" s="55"/>
      <c r="HW479" s="55"/>
      <c r="HX479" s="55"/>
      <c r="HY479" s="55"/>
      <c r="HZ479" s="55"/>
      <c r="IA479" s="55"/>
      <c r="IB479" s="55"/>
      <c r="IC479" s="55"/>
      <c r="ID479" s="55"/>
    </row>
    <row r="480" s="52" customFormat="1" ht="25.5" spans="1:238">
      <c r="A480" s="112"/>
      <c r="B480" s="112"/>
      <c r="C480" s="64"/>
      <c r="D480" s="65"/>
      <c r="E480" s="77"/>
      <c r="F480" s="77"/>
      <c r="G480" s="64"/>
      <c r="H480" s="42"/>
      <c r="I480" s="42"/>
      <c r="J480" s="83"/>
      <c r="K480" s="83"/>
      <c r="L480" s="83"/>
      <c r="M480" s="41"/>
      <c r="N480" s="41"/>
      <c r="O480" s="41"/>
      <c r="P480" s="64"/>
      <c r="Q480" s="64"/>
      <c r="R480" s="64"/>
      <c r="S480" s="162"/>
      <c r="T480" s="77"/>
      <c r="U480" s="105" t="s">
        <v>1869</v>
      </c>
      <c r="V480" s="105">
        <v>330401013</v>
      </c>
      <c r="W480" s="106" t="s">
        <v>1870</v>
      </c>
      <c r="X480" s="105"/>
      <c r="Y480" s="105"/>
      <c r="Z480" s="105" t="s">
        <v>36</v>
      </c>
      <c r="AA480" s="110" t="s">
        <v>1400</v>
      </c>
      <c r="AB480" s="50"/>
      <c r="AC480" s="50"/>
      <c r="AD480" s="50"/>
      <c r="AE480" s="112"/>
      <c r="AF480" s="60"/>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5"/>
      <c r="BV480" s="55"/>
      <c r="BW480" s="55"/>
      <c r="BX480" s="55"/>
      <c r="BY480" s="55"/>
      <c r="BZ480" s="55"/>
      <c r="CA480" s="55"/>
      <c r="CB480" s="55"/>
      <c r="CC480" s="55"/>
      <c r="CD480" s="55"/>
      <c r="CE480" s="55"/>
      <c r="CF480" s="55"/>
      <c r="CG480" s="55"/>
      <c r="CH480" s="55"/>
      <c r="CI480" s="55"/>
      <c r="CJ480" s="55"/>
      <c r="CK480" s="55"/>
      <c r="CL480" s="55"/>
      <c r="CM480" s="55"/>
      <c r="CN480" s="55"/>
      <c r="CO480" s="55"/>
      <c r="CP480" s="55"/>
      <c r="CQ480" s="55"/>
      <c r="CR480" s="55"/>
      <c r="CS480" s="55"/>
      <c r="CT480" s="55"/>
      <c r="CU480" s="55"/>
      <c r="CV480" s="55"/>
      <c r="CW480" s="55"/>
      <c r="CX480" s="55"/>
      <c r="CY480" s="55"/>
      <c r="CZ480" s="55"/>
      <c r="DA480" s="55"/>
      <c r="DB480" s="55"/>
      <c r="DC480" s="55"/>
      <c r="DD480" s="55"/>
      <c r="DE480" s="55"/>
      <c r="DF480" s="55"/>
      <c r="DG480" s="55"/>
      <c r="DH480" s="55"/>
      <c r="DI480" s="55"/>
      <c r="DJ480" s="55"/>
      <c r="DK480" s="55"/>
      <c r="DL480" s="55"/>
      <c r="DM480" s="55"/>
      <c r="DN480" s="55"/>
      <c r="DO480" s="55"/>
      <c r="DP480" s="55"/>
      <c r="DQ480" s="55"/>
      <c r="DR480" s="55"/>
      <c r="DS480" s="55"/>
      <c r="DT480" s="55"/>
      <c r="DU480" s="55"/>
      <c r="DV480" s="55"/>
      <c r="DW480" s="55"/>
      <c r="DX480" s="55"/>
      <c r="DY480" s="55"/>
      <c r="DZ480" s="55"/>
      <c r="EA480" s="55"/>
      <c r="EB480" s="55"/>
      <c r="EC480" s="55"/>
      <c r="ED480" s="55"/>
      <c r="EE480" s="55"/>
      <c r="EF480" s="55"/>
      <c r="EG480" s="55"/>
      <c r="EH480" s="55"/>
      <c r="EI480" s="55"/>
      <c r="EJ480" s="55"/>
      <c r="EK480" s="55"/>
      <c r="EL480" s="55"/>
      <c r="EM480" s="55"/>
      <c r="EN480" s="55"/>
      <c r="EO480" s="55"/>
      <c r="EP480" s="55"/>
      <c r="EQ480" s="55"/>
      <c r="ER480" s="55"/>
      <c r="ES480" s="55"/>
      <c r="ET480" s="55"/>
      <c r="EU480" s="55"/>
      <c r="EV480" s="55"/>
      <c r="EW480" s="55"/>
      <c r="EX480" s="55"/>
      <c r="EY480" s="55"/>
      <c r="EZ480" s="55"/>
      <c r="FA480" s="55"/>
      <c r="FB480" s="55"/>
      <c r="FC480" s="55"/>
      <c r="FD480" s="55"/>
      <c r="FE480" s="55"/>
      <c r="FF480" s="55"/>
      <c r="FG480" s="55"/>
      <c r="FH480" s="55"/>
      <c r="FI480" s="55"/>
      <c r="FJ480" s="55"/>
      <c r="FK480" s="55"/>
      <c r="FL480" s="55"/>
      <c r="FM480" s="55"/>
      <c r="FN480" s="55"/>
      <c r="FO480" s="55"/>
      <c r="FP480" s="55"/>
      <c r="FQ480" s="55"/>
      <c r="FR480" s="55"/>
      <c r="FS480" s="55"/>
      <c r="FT480" s="55"/>
      <c r="FU480" s="55"/>
      <c r="FV480" s="55"/>
      <c r="FW480" s="55"/>
      <c r="FX480" s="55"/>
      <c r="FY480" s="55"/>
      <c r="FZ480" s="55"/>
      <c r="GA480" s="55"/>
      <c r="GB480" s="55"/>
      <c r="GC480" s="55"/>
      <c r="GD480" s="55"/>
      <c r="GE480" s="55"/>
      <c r="GF480" s="55"/>
      <c r="GG480" s="55"/>
      <c r="GH480" s="55"/>
      <c r="GI480" s="55"/>
      <c r="GJ480" s="55"/>
      <c r="GK480" s="55"/>
      <c r="GL480" s="55"/>
      <c r="GM480" s="55"/>
      <c r="GN480" s="55"/>
      <c r="GO480" s="55"/>
      <c r="GP480" s="55"/>
      <c r="GQ480" s="55"/>
      <c r="GR480" s="55"/>
      <c r="GS480" s="55"/>
      <c r="GT480" s="55"/>
      <c r="GU480" s="55"/>
      <c r="GV480" s="55"/>
      <c r="GW480" s="55"/>
      <c r="GX480" s="55"/>
      <c r="GY480" s="55"/>
      <c r="GZ480" s="55"/>
      <c r="HA480" s="55"/>
      <c r="HB480" s="55"/>
      <c r="HC480" s="55"/>
      <c r="HD480" s="55"/>
      <c r="HE480" s="55"/>
      <c r="HF480" s="55"/>
      <c r="HG480" s="55"/>
      <c r="HH480" s="55"/>
      <c r="HI480" s="55"/>
      <c r="HJ480" s="55"/>
      <c r="HK480" s="55"/>
      <c r="HL480" s="55"/>
      <c r="HM480" s="55"/>
      <c r="HN480" s="55"/>
      <c r="HO480" s="55"/>
      <c r="HP480" s="55"/>
      <c r="HQ480" s="55"/>
      <c r="HR480" s="55"/>
      <c r="HS480" s="55"/>
      <c r="HT480" s="55"/>
      <c r="HU480" s="55"/>
      <c r="HV480" s="55"/>
      <c r="HW480" s="55"/>
      <c r="HX480" s="55"/>
      <c r="HY480" s="55"/>
      <c r="HZ480" s="55"/>
      <c r="IA480" s="55"/>
      <c r="IB480" s="55"/>
      <c r="IC480" s="55"/>
      <c r="ID480" s="55"/>
    </row>
    <row r="481" s="52" customFormat="1" ht="25.5" spans="1:238">
      <c r="A481" s="112">
        <v>123</v>
      </c>
      <c r="B481" s="112" t="s">
        <v>1871</v>
      </c>
      <c r="C481" s="64" t="s">
        <v>1872</v>
      </c>
      <c r="D481" s="65" t="s">
        <v>1873</v>
      </c>
      <c r="E481" s="77" t="s">
        <v>1874</v>
      </c>
      <c r="F481" s="77" t="s">
        <v>1859</v>
      </c>
      <c r="G481" s="64" t="s">
        <v>110</v>
      </c>
      <c r="H481" s="42" t="s">
        <v>1400</v>
      </c>
      <c r="I481" s="42" t="s">
        <v>1400</v>
      </c>
      <c r="J481" s="83"/>
      <c r="K481" s="83"/>
      <c r="L481" s="83"/>
      <c r="M481" s="41"/>
      <c r="N481" s="41"/>
      <c r="O481" s="41"/>
      <c r="P481" s="64" t="s">
        <v>621</v>
      </c>
      <c r="Q481" s="64" t="s">
        <v>35</v>
      </c>
      <c r="R481" s="64" t="s">
        <v>35</v>
      </c>
      <c r="S481" s="161" t="s">
        <v>1400</v>
      </c>
      <c r="T481" s="77" t="s">
        <v>1400</v>
      </c>
      <c r="U481" s="105" t="s">
        <v>1875</v>
      </c>
      <c r="V481" s="105">
        <v>330409025</v>
      </c>
      <c r="W481" s="106" t="s">
        <v>1876</v>
      </c>
      <c r="X481" s="105"/>
      <c r="Y481" s="105" t="s">
        <v>1218</v>
      </c>
      <c r="Z481" s="105" t="s">
        <v>36</v>
      </c>
      <c r="AA481" s="110" t="s">
        <v>35</v>
      </c>
      <c r="AB481" s="50"/>
      <c r="AC481" s="50"/>
      <c r="AD481" s="50"/>
      <c r="AE481" s="112"/>
      <c r="AF481" s="60"/>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c r="BM481" s="55"/>
      <c r="BN481" s="55"/>
      <c r="BO481" s="55"/>
      <c r="BP481" s="55"/>
      <c r="BQ481" s="55"/>
      <c r="BR481" s="55"/>
      <c r="BS481" s="55"/>
      <c r="BT481" s="55"/>
      <c r="BU481" s="55"/>
      <c r="BV481" s="55"/>
      <c r="BW481" s="55"/>
      <c r="BX481" s="55"/>
      <c r="BY481" s="55"/>
      <c r="BZ481" s="55"/>
      <c r="CA481" s="55"/>
      <c r="CB481" s="55"/>
      <c r="CC481" s="55"/>
      <c r="CD481" s="55"/>
      <c r="CE481" s="55"/>
      <c r="CF481" s="55"/>
      <c r="CG481" s="55"/>
      <c r="CH481" s="55"/>
      <c r="CI481" s="55"/>
      <c r="CJ481" s="55"/>
      <c r="CK481" s="55"/>
      <c r="CL481" s="55"/>
      <c r="CM481" s="55"/>
      <c r="CN481" s="55"/>
      <c r="CO481" s="55"/>
      <c r="CP481" s="55"/>
      <c r="CQ481" s="55"/>
      <c r="CR481" s="55"/>
      <c r="CS481" s="55"/>
      <c r="CT481" s="55"/>
      <c r="CU481" s="55"/>
      <c r="CV481" s="55"/>
      <c r="CW481" s="55"/>
      <c r="CX481" s="55"/>
      <c r="CY481" s="55"/>
      <c r="CZ481" s="55"/>
      <c r="DA481" s="55"/>
      <c r="DB481" s="55"/>
      <c r="DC481" s="55"/>
      <c r="DD481" s="55"/>
      <c r="DE481" s="55"/>
      <c r="DF481" s="55"/>
      <c r="DG481" s="55"/>
      <c r="DH481" s="55"/>
      <c r="DI481" s="55"/>
      <c r="DJ481" s="55"/>
      <c r="DK481" s="55"/>
      <c r="DL481" s="55"/>
      <c r="DM481" s="55"/>
      <c r="DN481" s="55"/>
      <c r="DO481" s="55"/>
      <c r="DP481" s="55"/>
      <c r="DQ481" s="55"/>
      <c r="DR481" s="55"/>
      <c r="DS481" s="55"/>
      <c r="DT481" s="55"/>
      <c r="DU481" s="55"/>
      <c r="DV481" s="55"/>
      <c r="DW481" s="55"/>
      <c r="DX481" s="55"/>
      <c r="DY481" s="55"/>
      <c r="DZ481" s="55"/>
      <c r="EA481" s="55"/>
      <c r="EB481" s="55"/>
      <c r="EC481" s="55"/>
      <c r="ED481" s="55"/>
      <c r="EE481" s="55"/>
      <c r="EF481" s="55"/>
      <c r="EG481" s="55"/>
      <c r="EH481" s="55"/>
      <c r="EI481" s="55"/>
      <c r="EJ481" s="55"/>
      <c r="EK481" s="55"/>
      <c r="EL481" s="55"/>
      <c r="EM481" s="55"/>
      <c r="EN481" s="55"/>
      <c r="EO481" s="55"/>
      <c r="EP481" s="55"/>
      <c r="EQ481" s="55"/>
      <c r="ER481" s="55"/>
      <c r="ES481" s="55"/>
      <c r="ET481" s="55"/>
      <c r="EU481" s="55"/>
      <c r="EV481" s="55"/>
      <c r="EW481" s="55"/>
      <c r="EX481" s="55"/>
      <c r="EY481" s="55"/>
      <c r="EZ481" s="55"/>
      <c r="FA481" s="55"/>
      <c r="FB481" s="55"/>
      <c r="FC481" s="55"/>
      <c r="FD481" s="55"/>
      <c r="FE481" s="55"/>
      <c r="FF481" s="55"/>
      <c r="FG481" s="55"/>
      <c r="FH481" s="55"/>
      <c r="FI481" s="55"/>
      <c r="FJ481" s="55"/>
      <c r="FK481" s="55"/>
      <c r="FL481" s="55"/>
      <c r="FM481" s="55"/>
      <c r="FN481" s="55"/>
      <c r="FO481" s="55"/>
      <c r="FP481" s="55"/>
      <c r="FQ481" s="55"/>
      <c r="FR481" s="55"/>
      <c r="FS481" s="55"/>
      <c r="FT481" s="55"/>
      <c r="FU481" s="55"/>
      <c r="FV481" s="55"/>
      <c r="FW481" s="55"/>
      <c r="FX481" s="55"/>
      <c r="FY481" s="55"/>
      <c r="FZ481" s="55"/>
      <c r="GA481" s="55"/>
      <c r="GB481" s="55"/>
      <c r="GC481" s="55"/>
      <c r="GD481" s="55"/>
      <c r="GE481" s="55"/>
      <c r="GF481" s="55"/>
      <c r="GG481" s="55"/>
      <c r="GH481" s="55"/>
      <c r="GI481" s="55"/>
      <c r="GJ481" s="55"/>
      <c r="GK481" s="55"/>
      <c r="GL481" s="55"/>
      <c r="GM481" s="55"/>
      <c r="GN481" s="55"/>
      <c r="GO481" s="55"/>
      <c r="GP481" s="55"/>
      <c r="GQ481" s="55"/>
      <c r="GR481" s="55"/>
      <c r="GS481" s="55"/>
      <c r="GT481" s="55"/>
      <c r="GU481" s="55"/>
      <c r="GV481" s="55"/>
      <c r="GW481" s="55"/>
      <c r="GX481" s="55"/>
      <c r="GY481" s="55"/>
      <c r="GZ481" s="55"/>
      <c r="HA481" s="55"/>
      <c r="HB481" s="55"/>
      <c r="HC481" s="55"/>
      <c r="HD481" s="55"/>
      <c r="HE481" s="55"/>
      <c r="HF481" s="55"/>
      <c r="HG481" s="55"/>
      <c r="HH481" s="55"/>
      <c r="HI481" s="55"/>
      <c r="HJ481" s="55"/>
      <c r="HK481" s="55"/>
      <c r="HL481" s="55"/>
      <c r="HM481" s="55"/>
      <c r="HN481" s="55"/>
      <c r="HO481" s="55"/>
      <c r="HP481" s="55"/>
      <c r="HQ481" s="55"/>
      <c r="HR481" s="55"/>
      <c r="HS481" s="55"/>
      <c r="HT481" s="55"/>
      <c r="HU481" s="55"/>
      <c r="HV481" s="55"/>
      <c r="HW481" s="55"/>
      <c r="HX481" s="55"/>
      <c r="HY481" s="55"/>
      <c r="HZ481" s="55"/>
      <c r="IA481" s="55"/>
      <c r="IB481" s="55"/>
      <c r="IC481" s="55"/>
      <c r="ID481" s="55"/>
    </row>
    <row r="482" s="52" customFormat="1" ht="25.5" spans="1:238">
      <c r="A482" s="112"/>
      <c r="B482" s="112"/>
      <c r="C482" s="64"/>
      <c r="D482" s="65"/>
      <c r="E482" s="77"/>
      <c r="F482" s="77"/>
      <c r="G482" s="64"/>
      <c r="H482" s="42"/>
      <c r="I482" s="42"/>
      <c r="J482" s="83"/>
      <c r="K482" s="83"/>
      <c r="L482" s="83"/>
      <c r="M482" s="41"/>
      <c r="N482" s="41"/>
      <c r="O482" s="41"/>
      <c r="P482" s="64"/>
      <c r="Q482" s="64"/>
      <c r="R482" s="64"/>
      <c r="S482" s="162"/>
      <c r="T482" s="77"/>
      <c r="U482" s="105" t="s">
        <v>1877</v>
      </c>
      <c r="V482" s="105">
        <v>33040902501</v>
      </c>
      <c r="W482" s="106" t="s">
        <v>1878</v>
      </c>
      <c r="X482" s="105"/>
      <c r="Y482" s="105"/>
      <c r="Z482" s="105" t="s">
        <v>36</v>
      </c>
      <c r="AA482" s="110" t="s">
        <v>35</v>
      </c>
      <c r="AB482" s="50"/>
      <c r="AC482" s="50"/>
      <c r="AD482" s="50"/>
      <c r="AE482" s="112"/>
      <c r="AF482" s="60"/>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c r="BV482" s="55"/>
      <c r="BW482" s="55"/>
      <c r="BX482" s="55"/>
      <c r="BY482" s="55"/>
      <c r="BZ482" s="55"/>
      <c r="CA482" s="55"/>
      <c r="CB482" s="55"/>
      <c r="CC482" s="55"/>
      <c r="CD482" s="55"/>
      <c r="CE482" s="55"/>
      <c r="CF482" s="55"/>
      <c r="CG482" s="55"/>
      <c r="CH482" s="55"/>
      <c r="CI482" s="55"/>
      <c r="CJ482" s="55"/>
      <c r="CK482" s="55"/>
      <c r="CL482" s="55"/>
      <c r="CM482" s="55"/>
      <c r="CN482" s="55"/>
      <c r="CO482" s="55"/>
      <c r="CP482" s="55"/>
      <c r="CQ482" s="55"/>
      <c r="CR482" s="55"/>
      <c r="CS482" s="55"/>
      <c r="CT482" s="55"/>
      <c r="CU482" s="55"/>
      <c r="CV482" s="55"/>
      <c r="CW482" s="55"/>
      <c r="CX482" s="55"/>
      <c r="CY482" s="55"/>
      <c r="CZ482" s="55"/>
      <c r="DA482" s="55"/>
      <c r="DB482" s="55"/>
      <c r="DC482" s="55"/>
      <c r="DD482" s="55"/>
      <c r="DE482" s="55"/>
      <c r="DF482" s="55"/>
      <c r="DG482" s="55"/>
      <c r="DH482" s="55"/>
      <c r="DI482" s="55"/>
      <c r="DJ482" s="55"/>
      <c r="DK482" s="55"/>
      <c r="DL482" s="55"/>
      <c r="DM482" s="55"/>
      <c r="DN482" s="55"/>
      <c r="DO482" s="55"/>
      <c r="DP482" s="55"/>
      <c r="DQ482" s="55"/>
      <c r="DR482" s="55"/>
      <c r="DS482" s="55"/>
      <c r="DT482" s="55"/>
      <c r="DU482" s="55"/>
      <c r="DV482" s="55"/>
      <c r="DW482" s="55"/>
      <c r="DX482" s="55"/>
      <c r="DY482" s="55"/>
      <c r="DZ482" s="55"/>
      <c r="EA482" s="55"/>
      <c r="EB482" s="55"/>
      <c r="EC482" s="55"/>
      <c r="ED482" s="55"/>
      <c r="EE482" s="55"/>
      <c r="EF482" s="55"/>
      <c r="EG482" s="55"/>
      <c r="EH482" s="55"/>
      <c r="EI482" s="55"/>
      <c r="EJ482" s="55"/>
      <c r="EK482" s="55"/>
      <c r="EL482" s="55"/>
      <c r="EM482" s="55"/>
      <c r="EN482" s="55"/>
      <c r="EO482" s="55"/>
      <c r="EP482" s="55"/>
      <c r="EQ482" s="55"/>
      <c r="ER482" s="55"/>
      <c r="ES482" s="55"/>
      <c r="ET482" s="55"/>
      <c r="EU482" s="55"/>
      <c r="EV482" s="55"/>
      <c r="EW482" s="55"/>
      <c r="EX482" s="55"/>
      <c r="EY482" s="55"/>
      <c r="EZ482" s="55"/>
      <c r="FA482" s="55"/>
      <c r="FB482" s="55"/>
      <c r="FC482" s="55"/>
      <c r="FD482" s="55"/>
      <c r="FE482" s="55"/>
      <c r="FF482" s="55"/>
      <c r="FG482" s="55"/>
      <c r="FH482" s="55"/>
      <c r="FI482" s="55"/>
      <c r="FJ482" s="55"/>
      <c r="FK482" s="55"/>
      <c r="FL482" s="55"/>
      <c r="FM482" s="55"/>
      <c r="FN482" s="55"/>
      <c r="FO482" s="55"/>
      <c r="FP482" s="55"/>
      <c r="FQ482" s="55"/>
      <c r="FR482" s="55"/>
      <c r="FS482" s="55"/>
      <c r="FT482" s="55"/>
      <c r="FU482" s="55"/>
      <c r="FV482" s="55"/>
      <c r="FW482" s="55"/>
      <c r="FX482" s="55"/>
      <c r="FY482" s="55"/>
      <c r="FZ482" s="55"/>
      <c r="GA482" s="55"/>
      <c r="GB482" s="55"/>
      <c r="GC482" s="55"/>
      <c r="GD482" s="55"/>
      <c r="GE482" s="55"/>
      <c r="GF482" s="55"/>
      <c r="GG482" s="55"/>
      <c r="GH482" s="55"/>
      <c r="GI482" s="55"/>
      <c r="GJ482" s="55"/>
      <c r="GK482" s="55"/>
      <c r="GL482" s="55"/>
      <c r="GM482" s="55"/>
      <c r="GN482" s="55"/>
      <c r="GO482" s="55"/>
      <c r="GP482" s="55"/>
      <c r="GQ482" s="55"/>
      <c r="GR482" s="55"/>
      <c r="GS482" s="55"/>
      <c r="GT482" s="55"/>
      <c r="GU482" s="55"/>
      <c r="GV482" s="55"/>
      <c r="GW482" s="55"/>
      <c r="GX482" s="55"/>
      <c r="GY482" s="55"/>
      <c r="GZ482" s="55"/>
      <c r="HA482" s="55"/>
      <c r="HB482" s="55"/>
      <c r="HC482" s="55"/>
      <c r="HD482" s="55"/>
      <c r="HE482" s="55"/>
      <c r="HF482" s="55"/>
      <c r="HG482" s="55"/>
      <c r="HH482" s="55"/>
      <c r="HI482" s="55"/>
      <c r="HJ482" s="55"/>
      <c r="HK482" s="55"/>
      <c r="HL482" s="55"/>
      <c r="HM482" s="55"/>
      <c r="HN482" s="55"/>
      <c r="HO482" s="55"/>
      <c r="HP482" s="55"/>
      <c r="HQ482" s="55"/>
      <c r="HR482" s="55"/>
      <c r="HS482" s="55"/>
      <c r="HT482" s="55"/>
      <c r="HU482" s="55"/>
      <c r="HV482" s="55"/>
      <c r="HW482" s="55"/>
      <c r="HX482" s="55"/>
      <c r="HY482" s="55"/>
      <c r="HZ482" s="55"/>
      <c r="IA482" s="55"/>
      <c r="IB482" s="55"/>
      <c r="IC482" s="55"/>
      <c r="ID482" s="55"/>
    </row>
    <row r="483" s="52" customFormat="1" ht="51" spans="1:238">
      <c r="A483" s="112">
        <v>124</v>
      </c>
      <c r="B483" s="112" t="s">
        <v>1879</v>
      </c>
      <c r="C483" s="64" t="s">
        <v>1880</v>
      </c>
      <c r="D483" s="65" t="s">
        <v>1881</v>
      </c>
      <c r="E483" s="77" t="s">
        <v>1882</v>
      </c>
      <c r="F483" s="77" t="s">
        <v>1859</v>
      </c>
      <c r="G483" s="64" t="s">
        <v>110</v>
      </c>
      <c r="H483" s="42" t="s">
        <v>1400</v>
      </c>
      <c r="I483" s="42" t="s">
        <v>1400</v>
      </c>
      <c r="J483" s="83"/>
      <c r="K483" s="83"/>
      <c r="L483" s="83"/>
      <c r="M483" s="41"/>
      <c r="N483" s="41"/>
      <c r="O483" s="41"/>
      <c r="P483" s="64" t="s">
        <v>621</v>
      </c>
      <c r="Q483" s="64" t="s">
        <v>35</v>
      </c>
      <c r="R483" s="64" t="s">
        <v>35</v>
      </c>
      <c r="S483" s="83" t="s">
        <v>1400</v>
      </c>
      <c r="T483" s="77" t="s">
        <v>1400</v>
      </c>
      <c r="U483" s="105" t="s">
        <v>1883</v>
      </c>
      <c r="V483" s="105">
        <v>330409026</v>
      </c>
      <c r="W483" s="106" t="s">
        <v>1884</v>
      </c>
      <c r="X483" s="105"/>
      <c r="Y483" s="105" t="s">
        <v>1885</v>
      </c>
      <c r="Z483" s="105" t="s">
        <v>1862</v>
      </c>
      <c r="AA483" s="110" t="s">
        <v>1400</v>
      </c>
      <c r="AB483" s="50"/>
      <c r="AC483" s="50"/>
      <c r="AD483" s="50"/>
      <c r="AE483" s="112"/>
      <c r="AF483" s="60"/>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c r="BV483" s="55"/>
      <c r="BW483" s="55"/>
      <c r="BX483" s="55"/>
      <c r="BY483" s="55"/>
      <c r="BZ483" s="55"/>
      <c r="CA483" s="55"/>
      <c r="CB483" s="55"/>
      <c r="CC483" s="55"/>
      <c r="CD483" s="55"/>
      <c r="CE483" s="55"/>
      <c r="CF483" s="55"/>
      <c r="CG483" s="55"/>
      <c r="CH483" s="55"/>
      <c r="CI483" s="55"/>
      <c r="CJ483" s="55"/>
      <c r="CK483" s="55"/>
      <c r="CL483" s="55"/>
      <c r="CM483" s="55"/>
      <c r="CN483" s="55"/>
      <c r="CO483" s="55"/>
      <c r="CP483" s="55"/>
      <c r="CQ483" s="55"/>
      <c r="CR483" s="55"/>
      <c r="CS483" s="55"/>
      <c r="CT483" s="55"/>
      <c r="CU483" s="55"/>
      <c r="CV483" s="55"/>
      <c r="CW483" s="55"/>
      <c r="CX483" s="55"/>
      <c r="CY483" s="55"/>
      <c r="CZ483" s="55"/>
      <c r="DA483" s="55"/>
      <c r="DB483" s="55"/>
      <c r="DC483" s="55"/>
      <c r="DD483" s="55"/>
      <c r="DE483" s="55"/>
      <c r="DF483" s="55"/>
      <c r="DG483" s="55"/>
      <c r="DH483" s="55"/>
      <c r="DI483" s="55"/>
      <c r="DJ483" s="55"/>
      <c r="DK483" s="55"/>
      <c r="DL483" s="55"/>
      <c r="DM483" s="55"/>
      <c r="DN483" s="55"/>
      <c r="DO483" s="55"/>
      <c r="DP483" s="55"/>
      <c r="DQ483" s="55"/>
      <c r="DR483" s="55"/>
      <c r="DS483" s="55"/>
      <c r="DT483" s="55"/>
      <c r="DU483" s="55"/>
      <c r="DV483" s="55"/>
      <c r="DW483" s="55"/>
      <c r="DX483" s="55"/>
      <c r="DY483" s="55"/>
      <c r="DZ483" s="55"/>
      <c r="EA483" s="55"/>
      <c r="EB483" s="55"/>
      <c r="EC483" s="55"/>
      <c r="ED483" s="55"/>
      <c r="EE483" s="55"/>
      <c r="EF483" s="55"/>
      <c r="EG483" s="55"/>
      <c r="EH483" s="55"/>
      <c r="EI483" s="55"/>
      <c r="EJ483" s="55"/>
      <c r="EK483" s="55"/>
      <c r="EL483" s="55"/>
      <c r="EM483" s="55"/>
      <c r="EN483" s="55"/>
      <c r="EO483" s="55"/>
      <c r="EP483" s="55"/>
      <c r="EQ483" s="55"/>
      <c r="ER483" s="55"/>
      <c r="ES483" s="55"/>
      <c r="ET483" s="55"/>
      <c r="EU483" s="55"/>
      <c r="EV483" s="55"/>
      <c r="EW483" s="55"/>
      <c r="EX483" s="55"/>
      <c r="EY483" s="55"/>
      <c r="EZ483" s="55"/>
      <c r="FA483" s="55"/>
      <c r="FB483" s="55"/>
      <c r="FC483" s="55"/>
      <c r="FD483" s="55"/>
      <c r="FE483" s="55"/>
      <c r="FF483" s="55"/>
      <c r="FG483" s="55"/>
      <c r="FH483" s="55"/>
      <c r="FI483" s="55"/>
      <c r="FJ483" s="55"/>
      <c r="FK483" s="55"/>
      <c r="FL483" s="55"/>
      <c r="FM483" s="55"/>
      <c r="FN483" s="55"/>
      <c r="FO483" s="55"/>
      <c r="FP483" s="55"/>
      <c r="FQ483" s="55"/>
      <c r="FR483" s="55"/>
      <c r="FS483" s="55"/>
      <c r="FT483" s="55"/>
      <c r="FU483" s="55"/>
      <c r="FV483" s="55"/>
      <c r="FW483" s="55"/>
      <c r="FX483" s="55"/>
      <c r="FY483" s="55"/>
      <c r="FZ483" s="55"/>
      <c r="GA483" s="55"/>
      <c r="GB483" s="55"/>
      <c r="GC483" s="55"/>
      <c r="GD483" s="55"/>
      <c r="GE483" s="55"/>
      <c r="GF483" s="55"/>
      <c r="GG483" s="55"/>
      <c r="GH483" s="55"/>
      <c r="GI483" s="55"/>
      <c r="GJ483" s="55"/>
      <c r="GK483" s="55"/>
      <c r="GL483" s="55"/>
      <c r="GM483" s="55"/>
      <c r="GN483" s="55"/>
      <c r="GO483" s="55"/>
      <c r="GP483" s="55"/>
      <c r="GQ483" s="55"/>
      <c r="GR483" s="55"/>
      <c r="GS483" s="55"/>
      <c r="GT483" s="55"/>
      <c r="GU483" s="55"/>
      <c r="GV483" s="55"/>
      <c r="GW483" s="55"/>
      <c r="GX483" s="55"/>
      <c r="GY483" s="55"/>
      <c r="GZ483" s="55"/>
      <c r="HA483" s="55"/>
      <c r="HB483" s="55"/>
      <c r="HC483" s="55"/>
      <c r="HD483" s="55"/>
      <c r="HE483" s="55"/>
      <c r="HF483" s="55"/>
      <c r="HG483" s="55"/>
      <c r="HH483" s="55"/>
      <c r="HI483" s="55"/>
      <c r="HJ483" s="55"/>
      <c r="HK483" s="55"/>
      <c r="HL483" s="55"/>
      <c r="HM483" s="55"/>
      <c r="HN483" s="55"/>
      <c r="HO483" s="55"/>
      <c r="HP483" s="55"/>
      <c r="HQ483" s="55"/>
      <c r="HR483" s="55"/>
      <c r="HS483" s="55"/>
      <c r="HT483" s="55"/>
      <c r="HU483" s="55"/>
      <c r="HV483" s="55"/>
      <c r="HW483" s="55"/>
      <c r="HX483" s="55"/>
      <c r="HY483" s="55"/>
      <c r="HZ483" s="55"/>
      <c r="IA483" s="55"/>
      <c r="IB483" s="55"/>
      <c r="IC483" s="55"/>
      <c r="ID483" s="55"/>
    </row>
    <row r="484" s="52" customFormat="1" ht="25.5" spans="1:238">
      <c r="A484" s="112">
        <v>125</v>
      </c>
      <c r="B484" s="112" t="s">
        <v>1886</v>
      </c>
      <c r="C484" s="64" t="s">
        <v>1887</v>
      </c>
      <c r="D484" s="65" t="s">
        <v>1888</v>
      </c>
      <c r="E484" s="77" t="s">
        <v>1882</v>
      </c>
      <c r="F484" s="77" t="s">
        <v>1859</v>
      </c>
      <c r="G484" s="64" t="s">
        <v>110</v>
      </c>
      <c r="H484" s="42" t="s">
        <v>1400</v>
      </c>
      <c r="I484" s="42" t="s">
        <v>1400</v>
      </c>
      <c r="J484" s="83"/>
      <c r="K484" s="83"/>
      <c r="L484" s="83"/>
      <c r="M484" s="41"/>
      <c r="N484" s="41"/>
      <c r="O484" s="41"/>
      <c r="P484" s="64" t="s">
        <v>621</v>
      </c>
      <c r="Q484" s="64" t="s">
        <v>35</v>
      </c>
      <c r="R484" s="64" t="s">
        <v>35</v>
      </c>
      <c r="S484" s="161" t="s">
        <v>1400</v>
      </c>
      <c r="T484" s="77" t="s">
        <v>1400</v>
      </c>
      <c r="U484" s="105" t="s">
        <v>1889</v>
      </c>
      <c r="V484" s="105">
        <v>330409027</v>
      </c>
      <c r="W484" s="106" t="s">
        <v>1890</v>
      </c>
      <c r="X484" s="105" t="s">
        <v>1891</v>
      </c>
      <c r="Y484" s="105"/>
      <c r="Z484" s="105" t="s">
        <v>36</v>
      </c>
      <c r="AA484" s="110" t="s">
        <v>1400</v>
      </c>
      <c r="AB484" s="50"/>
      <c r="AC484" s="50"/>
      <c r="AD484" s="50"/>
      <c r="AE484" s="112"/>
      <c r="AF484" s="60"/>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5"/>
      <c r="BV484" s="55"/>
      <c r="BW484" s="55"/>
      <c r="BX484" s="55"/>
      <c r="BY484" s="55"/>
      <c r="BZ484" s="55"/>
      <c r="CA484" s="55"/>
      <c r="CB484" s="55"/>
      <c r="CC484" s="55"/>
      <c r="CD484" s="55"/>
      <c r="CE484" s="55"/>
      <c r="CF484" s="55"/>
      <c r="CG484" s="55"/>
      <c r="CH484" s="55"/>
      <c r="CI484" s="55"/>
      <c r="CJ484" s="55"/>
      <c r="CK484" s="55"/>
      <c r="CL484" s="55"/>
      <c r="CM484" s="55"/>
      <c r="CN484" s="55"/>
      <c r="CO484" s="55"/>
      <c r="CP484" s="55"/>
      <c r="CQ484" s="55"/>
      <c r="CR484" s="55"/>
      <c r="CS484" s="55"/>
      <c r="CT484" s="55"/>
      <c r="CU484" s="55"/>
      <c r="CV484" s="55"/>
      <c r="CW484" s="55"/>
      <c r="CX484" s="55"/>
      <c r="CY484" s="55"/>
      <c r="CZ484" s="55"/>
      <c r="DA484" s="55"/>
      <c r="DB484" s="55"/>
      <c r="DC484" s="55"/>
      <c r="DD484" s="55"/>
      <c r="DE484" s="55"/>
      <c r="DF484" s="55"/>
      <c r="DG484" s="55"/>
      <c r="DH484" s="55"/>
      <c r="DI484" s="55"/>
      <c r="DJ484" s="55"/>
      <c r="DK484" s="55"/>
      <c r="DL484" s="55"/>
      <c r="DM484" s="55"/>
      <c r="DN484" s="55"/>
      <c r="DO484" s="55"/>
      <c r="DP484" s="55"/>
      <c r="DQ484" s="55"/>
      <c r="DR484" s="55"/>
      <c r="DS484" s="55"/>
      <c r="DT484" s="55"/>
      <c r="DU484" s="55"/>
      <c r="DV484" s="55"/>
      <c r="DW484" s="55"/>
      <c r="DX484" s="55"/>
      <c r="DY484" s="55"/>
      <c r="DZ484" s="55"/>
      <c r="EA484" s="55"/>
      <c r="EB484" s="55"/>
      <c r="EC484" s="55"/>
      <c r="ED484" s="55"/>
      <c r="EE484" s="55"/>
      <c r="EF484" s="55"/>
      <c r="EG484" s="55"/>
      <c r="EH484" s="55"/>
      <c r="EI484" s="55"/>
      <c r="EJ484" s="55"/>
      <c r="EK484" s="55"/>
      <c r="EL484" s="55"/>
      <c r="EM484" s="55"/>
      <c r="EN484" s="55"/>
      <c r="EO484" s="55"/>
      <c r="EP484" s="55"/>
      <c r="EQ484" s="55"/>
      <c r="ER484" s="55"/>
      <c r="ES484" s="55"/>
      <c r="ET484" s="55"/>
      <c r="EU484" s="55"/>
      <c r="EV484" s="55"/>
      <c r="EW484" s="55"/>
      <c r="EX484" s="55"/>
      <c r="EY484" s="55"/>
      <c r="EZ484" s="55"/>
      <c r="FA484" s="55"/>
      <c r="FB484" s="55"/>
      <c r="FC484" s="55"/>
      <c r="FD484" s="55"/>
      <c r="FE484" s="55"/>
      <c r="FF484" s="55"/>
      <c r="FG484" s="55"/>
      <c r="FH484" s="55"/>
      <c r="FI484" s="55"/>
      <c r="FJ484" s="55"/>
      <c r="FK484" s="55"/>
      <c r="FL484" s="55"/>
      <c r="FM484" s="55"/>
      <c r="FN484" s="55"/>
      <c r="FO484" s="55"/>
      <c r="FP484" s="55"/>
      <c r="FQ484" s="55"/>
      <c r="FR484" s="55"/>
      <c r="FS484" s="55"/>
      <c r="FT484" s="55"/>
      <c r="FU484" s="55"/>
      <c r="FV484" s="55"/>
      <c r="FW484" s="55"/>
      <c r="FX484" s="55"/>
      <c r="FY484" s="55"/>
      <c r="FZ484" s="55"/>
      <c r="GA484" s="55"/>
      <c r="GB484" s="55"/>
      <c r="GC484" s="55"/>
      <c r="GD484" s="55"/>
      <c r="GE484" s="55"/>
      <c r="GF484" s="55"/>
      <c r="GG484" s="55"/>
      <c r="GH484" s="55"/>
      <c r="GI484" s="55"/>
      <c r="GJ484" s="55"/>
      <c r="GK484" s="55"/>
      <c r="GL484" s="55"/>
      <c r="GM484" s="55"/>
      <c r="GN484" s="55"/>
      <c r="GO484" s="55"/>
      <c r="GP484" s="55"/>
      <c r="GQ484" s="55"/>
      <c r="GR484" s="55"/>
      <c r="GS484" s="55"/>
      <c r="GT484" s="55"/>
      <c r="GU484" s="55"/>
      <c r="GV484" s="55"/>
      <c r="GW484" s="55"/>
      <c r="GX484" s="55"/>
      <c r="GY484" s="55"/>
      <c r="GZ484" s="55"/>
      <c r="HA484" s="55"/>
      <c r="HB484" s="55"/>
      <c r="HC484" s="55"/>
      <c r="HD484" s="55"/>
      <c r="HE484" s="55"/>
      <c r="HF484" s="55"/>
      <c r="HG484" s="55"/>
      <c r="HH484" s="55"/>
      <c r="HI484" s="55"/>
      <c r="HJ484" s="55"/>
      <c r="HK484" s="55"/>
      <c r="HL484" s="55"/>
      <c r="HM484" s="55"/>
      <c r="HN484" s="55"/>
      <c r="HO484" s="55"/>
      <c r="HP484" s="55"/>
      <c r="HQ484" s="55"/>
      <c r="HR484" s="55"/>
      <c r="HS484" s="55"/>
      <c r="HT484" s="55"/>
      <c r="HU484" s="55"/>
      <c r="HV484" s="55"/>
      <c r="HW484" s="55"/>
      <c r="HX484" s="55"/>
      <c r="HY484" s="55"/>
      <c r="HZ484" s="55"/>
      <c r="IA484" s="55"/>
      <c r="IB484" s="55"/>
      <c r="IC484" s="55"/>
      <c r="ID484" s="55"/>
    </row>
    <row r="485" s="52" customFormat="1" ht="25.5" spans="1:238">
      <c r="A485" s="112"/>
      <c r="B485" s="112"/>
      <c r="C485" s="64"/>
      <c r="D485" s="65"/>
      <c r="E485" s="77"/>
      <c r="F485" s="77"/>
      <c r="G485" s="64"/>
      <c r="H485" s="42"/>
      <c r="I485" s="42"/>
      <c r="J485" s="83"/>
      <c r="K485" s="83"/>
      <c r="L485" s="83"/>
      <c r="M485" s="41"/>
      <c r="N485" s="41"/>
      <c r="O485" s="41"/>
      <c r="P485" s="64"/>
      <c r="Q485" s="64"/>
      <c r="R485" s="64"/>
      <c r="S485" s="162"/>
      <c r="T485" s="77"/>
      <c r="U485" s="105" t="s">
        <v>1892</v>
      </c>
      <c r="V485" s="105">
        <v>330409028</v>
      </c>
      <c r="W485" s="105" t="s">
        <v>1893</v>
      </c>
      <c r="X485" s="105" t="s">
        <v>1894</v>
      </c>
      <c r="Y485" s="105"/>
      <c r="Z485" s="105" t="s">
        <v>36</v>
      </c>
      <c r="AA485" s="110" t="s">
        <v>1400</v>
      </c>
      <c r="AB485" s="50"/>
      <c r="AC485" s="50"/>
      <c r="AD485" s="50"/>
      <c r="AE485" s="112"/>
      <c r="AF485" s="60"/>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5"/>
      <c r="BV485" s="55"/>
      <c r="BW485" s="55"/>
      <c r="BX485" s="55"/>
      <c r="BY485" s="55"/>
      <c r="BZ485" s="55"/>
      <c r="CA485" s="55"/>
      <c r="CB485" s="55"/>
      <c r="CC485" s="55"/>
      <c r="CD485" s="55"/>
      <c r="CE485" s="55"/>
      <c r="CF485" s="55"/>
      <c r="CG485" s="55"/>
      <c r="CH485" s="55"/>
      <c r="CI485" s="55"/>
      <c r="CJ485" s="55"/>
      <c r="CK485" s="55"/>
      <c r="CL485" s="55"/>
      <c r="CM485" s="55"/>
      <c r="CN485" s="55"/>
      <c r="CO485" s="55"/>
      <c r="CP485" s="55"/>
      <c r="CQ485" s="55"/>
      <c r="CR485" s="55"/>
      <c r="CS485" s="55"/>
      <c r="CT485" s="55"/>
      <c r="CU485" s="55"/>
      <c r="CV485" s="55"/>
      <c r="CW485" s="55"/>
      <c r="CX485" s="55"/>
      <c r="CY485" s="55"/>
      <c r="CZ485" s="55"/>
      <c r="DA485" s="55"/>
      <c r="DB485" s="55"/>
      <c r="DC485" s="55"/>
      <c r="DD485" s="55"/>
      <c r="DE485" s="55"/>
      <c r="DF485" s="55"/>
      <c r="DG485" s="55"/>
      <c r="DH485" s="55"/>
      <c r="DI485" s="55"/>
      <c r="DJ485" s="55"/>
      <c r="DK485" s="55"/>
      <c r="DL485" s="55"/>
      <c r="DM485" s="55"/>
      <c r="DN485" s="55"/>
      <c r="DO485" s="55"/>
      <c r="DP485" s="55"/>
      <c r="DQ485" s="55"/>
      <c r="DR485" s="55"/>
      <c r="DS485" s="55"/>
      <c r="DT485" s="55"/>
      <c r="DU485" s="55"/>
      <c r="DV485" s="55"/>
      <c r="DW485" s="55"/>
      <c r="DX485" s="55"/>
      <c r="DY485" s="55"/>
      <c r="DZ485" s="55"/>
      <c r="EA485" s="55"/>
      <c r="EB485" s="55"/>
      <c r="EC485" s="55"/>
      <c r="ED485" s="55"/>
      <c r="EE485" s="55"/>
      <c r="EF485" s="55"/>
      <c r="EG485" s="55"/>
      <c r="EH485" s="55"/>
      <c r="EI485" s="55"/>
      <c r="EJ485" s="55"/>
      <c r="EK485" s="55"/>
      <c r="EL485" s="55"/>
      <c r="EM485" s="55"/>
      <c r="EN485" s="55"/>
      <c r="EO485" s="55"/>
      <c r="EP485" s="55"/>
      <c r="EQ485" s="55"/>
      <c r="ER485" s="55"/>
      <c r="ES485" s="55"/>
      <c r="ET485" s="55"/>
      <c r="EU485" s="55"/>
      <c r="EV485" s="55"/>
      <c r="EW485" s="55"/>
      <c r="EX485" s="55"/>
      <c r="EY485" s="55"/>
      <c r="EZ485" s="55"/>
      <c r="FA485" s="55"/>
      <c r="FB485" s="55"/>
      <c r="FC485" s="55"/>
      <c r="FD485" s="55"/>
      <c r="FE485" s="55"/>
      <c r="FF485" s="55"/>
      <c r="FG485" s="55"/>
      <c r="FH485" s="55"/>
      <c r="FI485" s="55"/>
      <c r="FJ485" s="55"/>
      <c r="FK485" s="55"/>
      <c r="FL485" s="55"/>
      <c r="FM485" s="55"/>
      <c r="FN485" s="55"/>
      <c r="FO485" s="55"/>
      <c r="FP485" s="55"/>
      <c r="FQ485" s="55"/>
      <c r="FR485" s="55"/>
      <c r="FS485" s="55"/>
      <c r="FT485" s="55"/>
      <c r="FU485" s="55"/>
      <c r="FV485" s="55"/>
      <c r="FW485" s="55"/>
      <c r="FX485" s="55"/>
      <c r="FY485" s="55"/>
      <c r="FZ485" s="55"/>
      <c r="GA485" s="55"/>
      <c r="GB485" s="55"/>
      <c r="GC485" s="55"/>
      <c r="GD485" s="55"/>
      <c r="GE485" s="55"/>
      <c r="GF485" s="55"/>
      <c r="GG485" s="55"/>
      <c r="GH485" s="55"/>
      <c r="GI485" s="55"/>
      <c r="GJ485" s="55"/>
      <c r="GK485" s="55"/>
      <c r="GL485" s="55"/>
      <c r="GM485" s="55"/>
      <c r="GN485" s="55"/>
      <c r="GO485" s="55"/>
      <c r="GP485" s="55"/>
      <c r="GQ485" s="55"/>
      <c r="GR485" s="55"/>
      <c r="GS485" s="55"/>
      <c r="GT485" s="55"/>
      <c r="GU485" s="55"/>
      <c r="GV485" s="55"/>
      <c r="GW485" s="55"/>
      <c r="GX485" s="55"/>
      <c r="GY485" s="55"/>
      <c r="GZ485" s="55"/>
      <c r="HA485" s="55"/>
      <c r="HB485" s="55"/>
      <c r="HC485" s="55"/>
      <c r="HD485" s="55"/>
      <c r="HE485" s="55"/>
      <c r="HF485" s="55"/>
      <c r="HG485" s="55"/>
      <c r="HH485" s="55"/>
      <c r="HI485" s="55"/>
      <c r="HJ485" s="55"/>
      <c r="HK485" s="55"/>
      <c r="HL485" s="55"/>
      <c r="HM485" s="55"/>
      <c r="HN485" s="55"/>
      <c r="HO485" s="55"/>
      <c r="HP485" s="55"/>
      <c r="HQ485" s="55"/>
      <c r="HR485" s="55"/>
      <c r="HS485" s="55"/>
      <c r="HT485" s="55"/>
      <c r="HU485" s="55"/>
      <c r="HV485" s="55"/>
      <c r="HW485" s="55"/>
      <c r="HX485" s="55"/>
      <c r="HY485" s="55"/>
      <c r="HZ485" s="55"/>
      <c r="IA485" s="55"/>
      <c r="IB485" s="55"/>
      <c r="IC485" s="55"/>
      <c r="ID485" s="55"/>
    </row>
    <row r="486" spans="3:3">
      <c r="C486" s="138"/>
    </row>
  </sheetData>
  <autoFilter ref="A3:IN485">
    <extLst/>
  </autoFilter>
  <mergeCells count="1780">
    <mergeCell ref="A1:AE1"/>
    <mergeCell ref="A2:T2"/>
    <mergeCell ref="U2:AD2"/>
    <mergeCell ref="A5:A16"/>
    <mergeCell ref="A17:A18"/>
    <mergeCell ref="A22:A26"/>
    <mergeCell ref="A30:A32"/>
    <mergeCell ref="A35:A37"/>
    <mergeCell ref="A39:A42"/>
    <mergeCell ref="A47:A49"/>
    <mergeCell ref="A50:A52"/>
    <mergeCell ref="A56:A59"/>
    <mergeCell ref="A61:A68"/>
    <mergeCell ref="A72:A75"/>
    <mergeCell ref="A78:A83"/>
    <mergeCell ref="A85:A86"/>
    <mergeCell ref="A94:A95"/>
    <mergeCell ref="A97:A98"/>
    <mergeCell ref="A101:A102"/>
    <mergeCell ref="A106:A107"/>
    <mergeCell ref="A109:A110"/>
    <mergeCell ref="A111:A112"/>
    <mergeCell ref="A118:A123"/>
    <mergeCell ref="A124:A126"/>
    <mergeCell ref="A127:A141"/>
    <mergeCell ref="A143:A146"/>
    <mergeCell ref="A148:A149"/>
    <mergeCell ref="A153:A155"/>
    <mergeCell ref="A159:A165"/>
    <mergeCell ref="A166:A171"/>
    <mergeCell ref="A177:A178"/>
    <mergeCell ref="A179:A181"/>
    <mergeCell ref="A182:A183"/>
    <mergeCell ref="A184:A185"/>
    <mergeCell ref="A194:A195"/>
    <mergeCell ref="A196:A197"/>
    <mergeCell ref="A202:A204"/>
    <mergeCell ref="A205:A206"/>
    <mergeCell ref="A209:A211"/>
    <mergeCell ref="A212:A214"/>
    <mergeCell ref="A221:A222"/>
    <mergeCell ref="A223:A224"/>
    <mergeCell ref="A225:A232"/>
    <mergeCell ref="A233:A240"/>
    <mergeCell ref="A250:A251"/>
    <mergeCell ref="A261:A262"/>
    <mergeCell ref="A263:A264"/>
    <mergeCell ref="A265:A268"/>
    <mergeCell ref="A269:A272"/>
    <mergeCell ref="A273:A274"/>
    <mergeCell ref="A275:A276"/>
    <mergeCell ref="A277:A278"/>
    <mergeCell ref="A279:A282"/>
    <mergeCell ref="A283:A286"/>
    <mergeCell ref="A287:A294"/>
    <mergeCell ref="A295:A302"/>
    <mergeCell ref="A303:A306"/>
    <mergeCell ref="A308:A311"/>
    <mergeCell ref="A316:A317"/>
    <mergeCell ref="A320:A328"/>
    <mergeCell ref="A329:A330"/>
    <mergeCell ref="A331:A332"/>
    <mergeCell ref="A335:A336"/>
    <mergeCell ref="A337:A338"/>
    <mergeCell ref="A339:A340"/>
    <mergeCell ref="A343:A344"/>
    <mergeCell ref="A345:A346"/>
    <mergeCell ref="A351:A352"/>
    <mergeCell ref="A356:A358"/>
    <mergeCell ref="A362:A363"/>
    <mergeCell ref="A373:A374"/>
    <mergeCell ref="A375:A376"/>
    <mergeCell ref="A377:A380"/>
    <mergeCell ref="A381:A382"/>
    <mergeCell ref="A388:A390"/>
    <mergeCell ref="A391:A393"/>
    <mergeCell ref="A394:A395"/>
    <mergeCell ref="A400:A402"/>
    <mergeCell ref="A403:A405"/>
    <mergeCell ref="A409:A413"/>
    <mergeCell ref="A414:A418"/>
    <mergeCell ref="A419:A421"/>
    <mergeCell ref="A422:A424"/>
    <mergeCell ref="A427:A432"/>
    <mergeCell ref="A433:A438"/>
    <mergeCell ref="A443:A447"/>
    <mergeCell ref="A452:A453"/>
    <mergeCell ref="A454:A462"/>
    <mergeCell ref="A463:A471"/>
    <mergeCell ref="A479:A480"/>
    <mergeCell ref="A481:A482"/>
    <mergeCell ref="A484:A485"/>
    <mergeCell ref="B5:B16"/>
    <mergeCell ref="B17:B18"/>
    <mergeCell ref="B22:B26"/>
    <mergeCell ref="B30:B32"/>
    <mergeCell ref="B35:B37"/>
    <mergeCell ref="B39:B42"/>
    <mergeCell ref="B47:B49"/>
    <mergeCell ref="B50:B52"/>
    <mergeCell ref="B56:B59"/>
    <mergeCell ref="B61:B68"/>
    <mergeCell ref="B72:B75"/>
    <mergeCell ref="B78:B83"/>
    <mergeCell ref="B85:B86"/>
    <mergeCell ref="B94:B95"/>
    <mergeCell ref="B97:B98"/>
    <mergeCell ref="B101:B102"/>
    <mergeCell ref="B106:B107"/>
    <mergeCell ref="B109:B110"/>
    <mergeCell ref="B111:B112"/>
    <mergeCell ref="B118:B123"/>
    <mergeCell ref="B124:B126"/>
    <mergeCell ref="B127:B141"/>
    <mergeCell ref="B143:B146"/>
    <mergeCell ref="B148:B149"/>
    <mergeCell ref="B153:B155"/>
    <mergeCell ref="B159:B165"/>
    <mergeCell ref="B166:B171"/>
    <mergeCell ref="B177:B178"/>
    <mergeCell ref="B179:B181"/>
    <mergeCell ref="B182:B183"/>
    <mergeCell ref="B184:B185"/>
    <mergeCell ref="B194:B195"/>
    <mergeCell ref="B196:B197"/>
    <mergeCell ref="B202:B204"/>
    <mergeCell ref="B205:B206"/>
    <mergeCell ref="B209:B211"/>
    <mergeCell ref="B212:B214"/>
    <mergeCell ref="B221:B222"/>
    <mergeCell ref="B223:B224"/>
    <mergeCell ref="B225:B232"/>
    <mergeCell ref="B233:B240"/>
    <mergeCell ref="B250:B251"/>
    <mergeCell ref="B261:B262"/>
    <mergeCell ref="B263:B264"/>
    <mergeCell ref="B265:B268"/>
    <mergeCell ref="B269:B272"/>
    <mergeCell ref="B273:B274"/>
    <mergeCell ref="B275:B276"/>
    <mergeCell ref="B277:B278"/>
    <mergeCell ref="B279:B282"/>
    <mergeCell ref="B283:B286"/>
    <mergeCell ref="B287:B294"/>
    <mergeCell ref="B295:B302"/>
    <mergeCell ref="B303:B306"/>
    <mergeCell ref="B308:B311"/>
    <mergeCell ref="B316:B317"/>
    <mergeCell ref="B320:B328"/>
    <mergeCell ref="B329:B330"/>
    <mergeCell ref="B331:B332"/>
    <mergeCell ref="B335:B336"/>
    <mergeCell ref="B337:B338"/>
    <mergeCell ref="B339:B340"/>
    <mergeCell ref="B343:B344"/>
    <mergeCell ref="B345:B346"/>
    <mergeCell ref="B351:B352"/>
    <mergeCell ref="B356:B358"/>
    <mergeCell ref="B362:B363"/>
    <mergeCell ref="B373:B374"/>
    <mergeCell ref="B375:B376"/>
    <mergeCell ref="B377:B380"/>
    <mergeCell ref="B381:B382"/>
    <mergeCell ref="B388:B390"/>
    <mergeCell ref="B391:B393"/>
    <mergeCell ref="B394:B395"/>
    <mergeCell ref="B400:B402"/>
    <mergeCell ref="B403:B405"/>
    <mergeCell ref="B409:B413"/>
    <mergeCell ref="B414:B418"/>
    <mergeCell ref="B419:B421"/>
    <mergeCell ref="B422:B424"/>
    <mergeCell ref="B427:B432"/>
    <mergeCell ref="B433:B438"/>
    <mergeCell ref="B443:B447"/>
    <mergeCell ref="B452:B453"/>
    <mergeCell ref="B454:B462"/>
    <mergeCell ref="B463:B471"/>
    <mergeCell ref="B479:B480"/>
    <mergeCell ref="B481:B482"/>
    <mergeCell ref="B484:B485"/>
    <mergeCell ref="C5:C16"/>
    <mergeCell ref="C17:C18"/>
    <mergeCell ref="C22:C26"/>
    <mergeCell ref="C30:C32"/>
    <mergeCell ref="C35:C37"/>
    <mergeCell ref="C39:C42"/>
    <mergeCell ref="C47:C49"/>
    <mergeCell ref="C50:C52"/>
    <mergeCell ref="C56:C59"/>
    <mergeCell ref="C61:C68"/>
    <mergeCell ref="C72:C75"/>
    <mergeCell ref="C78:C83"/>
    <mergeCell ref="C85:C86"/>
    <mergeCell ref="C94:C95"/>
    <mergeCell ref="C97:C98"/>
    <mergeCell ref="C101:C102"/>
    <mergeCell ref="C106:C107"/>
    <mergeCell ref="C109:C110"/>
    <mergeCell ref="C111:C112"/>
    <mergeCell ref="C118:C123"/>
    <mergeCell ref="C124:C126"/>
    <mergeCell ref="C127:C141"/>
    <mergeCell ref="C143:C146"/>
    <mergeCell ref="C148:C149"/>
    <mergeCell ref="C153:C155"/>
    <mergeCell ref="C159:C165"/>
    <mergeCell ref="C166:C171"/>
    <mergeCell ref="C177:C178"/>
    <mergeCell ref="C179:C181"/>
    <mergeCell ref="C182:C183"/>
    <mergeCell ref="C184:C185"/>
    <mergeCell ref="C194:C195"/>
    <mergeCell ref="C196:C197"/>
    <mergeCell ref="C202:C204"/>
    <mergeCell ref="C205:C206"/>
    <mergeCell ref="C209:C211"/>
    <mergeCell ref="C212:C214"/>
    <mergeCell ref="C221:C222"/>
    <mergeCell ref="C223:C224"/>
    <mergeCell ref="C225:C232"/>
    <mergeCell ref="C233:C240"/>
    <mergeCell ref="C250:C251"/>
    <mergeCell ref="C261:C262"/>
    <mergeCell ref="C263:C264"/>
    <mergeCell ref="C265:C268"/>
    <mergeCell ref="C269:C272"/>
    <mergeCell ref="C273:C274"/>
    <mergeCell ref="C275:C276"/>
    <mergeCell ref="C277:C278"/>
    <mergeCell ref="C279:C282"/>
    <mergeCell ref="C283:C286"/>
    <mergeCell ref="C287:C294"/>
    <mergeCell ref="C295:C302"/>
    <mergeCell ref="C303:C306"/>
    <mergeCell ref="C308:C311"/>
    <mergeCell ref="C316:C317"/>
    <mergeCell ref="C320:C328"/>
    <mergeCell ref="C329:C330"/>
    <mergeCell ref="C331:C332"/>
    <mergeCell ref="C335:C336"/>
    <mergeCell ref="C337:C338"/>
    <mergeCell ref="C339:C340"/>
    <mergeCell ref="C343:C344"/>
    <mergeCell ref="C345:C346"/>
    <mergeCell ref="C351:C352"/>
    <mergeCell ref="C356:C358"/>
    <mergeCell ref="C362:C363"/>
    <mergeCell ref="C373:C374"/>
    <mergeCell ref="C375:C376"/>
    <mergeCell ref="C377:C380"/>
    <mergeCell ref="C381:C382"/>
    <mergeCell ref="C388:C390"/>
    <mergeCell ref="C391:C393"/>
    <mergeCell ref="C394:C395"/>
    <mergeCell ref="C400:C402"/>
    <mergeCell ref="C403:C405"/>
    <mergeCell ref="C409:C413"/>
    <mergeCell ref="C414:C418"/>
    <mergeCell ref="C419:C421"/>
    <mergeCell ref="C422:C424"/>
    <mergeCell ref="C427:C432"/>
    <mergeCell ref="C433:C438"/>
    <mergeCell ref="C443:C447"/>
    <mergeCell ref="C452:C453"/>
    <mergeCell ref="C454:C462"/>
    <mergeCell ref="C463:C471"/>
    <mergeCell ref="C479:C480"/>
    <mergeCell ref="C481:C482"/>
    <mergeCell ref="C484:C485"/>
    <mergeCell ref="D5:D16"/>
    <mergeCell ref="D17:D18"/>
    <mergeCell ref="D22:D26"/>
    <mergeCell ref="D30:D32"/>
    <mergeCell ref="D35:D37"/>
    <mergeCell ref="D39:D42"/>
    <mergeCell ref="D47:D49"/>
    <mergeCell ref="D50:D52"/>
    <mergeCell ref="D56:D59"/>
    <mergeCell ref="D61:D68"/>
    <mergeCell ref="D72:D75"/>
    <mergeCell ref="D78:D83"/>
    <mergeCell ref="D85:D86"/>
    <mergeCell ref="D94:D95"/>
    <mergeCell ref="D97:D98"/>
    <mergeCell ref="D101:D102"/>
    <mergeCell ref="D106:D107"/>
    <mergeCell ref="D109:D110"/>
    <mergeCell ref="D111:D112"/>
    <mergeCell ref="D118:D123"/>
    <mergeCell ref="D124:D126"/>
    <mergeCell ref="D127:D141"/>
    <mergeCell ref="D143:D146"/>
    <mergeCell ref="D148:D149"/>
    <mergeCell ref="D153:D155"/>
    <mergeCell ref="D159:D165"/>
    <mergeCell ref="D166:D171"/>
    <mergeCell ref="D177:D178"/>
    <mergeCell ref="D179:D181"/>
    <mergeCell ref="D182:D183"/>
    <mergeCell ref="D184:D185"/>
    <mergeCell ref="D194:D195"/>
    <mergeCell ref="D196:D197"/>
    <mergeCell ref="D202:D204"/>
    <mergeCell ref="D205:D206"/>
    <mergeCell ref="D209:D211"/>
    <mergeCell ref="D212:D214"/>
    <mergeCell ref="D221:D222"/>
    <mergeCell ref="D223:D224"/>
    <mergeCell ref="D225:D232"/>
    <mergeCell ref="D233:D240"/>
    <mergeCell ref="D250:D251"/>
    <mergeCell ref="D261:D262"/>
    <mergeCell ref="D263:D264"/>
    <mergeCell ref="D265:D268"/>
    <mergeCell ref="D269:D272"/>
    <mergeCell ref="D273:D274"/>
    <mergeCell ref="D275:D276"/>
    <mergeCell ref="D277:D278"/>
    <mergeCell ref="D279:D282"/>
    <mergeCell ref="D283:D286"/>
    <mergeCell ref="D287:D294"/>
    <mergeCell ref="D295:D302"/>
    <mergeCell ref="D303:D306"/>
    <mergeCell ref="D308:D311"/>
    <mergeCell ref="D316:D317"/>
    <mergeCell ref="D320:D328"/>
    <mergeCell ref="D329:D330"/>
    <mergeCell ref="D331:D332"/>
    <mergeCell ref="D335:D336"/>
    <mergeCell ref="D337:D338"/>
    <mergeCell ref="D339:D340"/>
    <mergeCell ref="D343:D344"/>
    <mergeCell ref="D345:D346"/>
    <mergeCell ref="D351:D352"/>
    <mergeCell ref="D356:D358"/>
    <mergeCell ref="D362:D363"/>
    <mergeCell ref="D373:D374"/>
    <mergeCell ref="D375:D376"/>
    <mergeCell ref="D377:D380"/>
    <mergeCell ref="D381:D382"/>
    <mergeCell ref="D388:D390"/>
    <mergeCell ref="D391:D393"/>
    <mergeCell ref="D394:D395"/>
    <mergeCell ref="D400:D402"/>
    <mergeCell ref="D403:D405"/>
    <mergeCell ref="D409:D413"/>
    <mergeCell ref="D414:D418"/>
    <mergeCell ref="D419:D421"/>
    <mergeCell ref="D422:D424"/>
    <mergeCell ref="D427:D432"/>
    <mergeCell ref="D433:D438"/>
    <mergeCell ref="D443:D447"/>
    <mergeCell ref="D452:D453"/>
    <mergeCell ref="D454:D462"/>
    <mergeCell ref="D463:D471"/>
    <mergeCell ref="D479:D480"/>
    <mergeCell ref="D481:D482"/>
    <mergeCell ref="D484:D485"/>
    <mergeCell ref="E5:E16"/>
    <mergeCell ref="E17:E18"/>
    <mergeCell ref="E22:E26"/>
    <mergeCell ref="E30:E32"/>
    <mergeCell ref="E35:E37"/>
    <mergeCell ref="E39:E42"/>
    <mergeCell ref="E47:E49"/>
    <mergeCell ref="E50:E52"/>
    <mergeCell ref="E56:E59"/>
    <mergeCell ref="E61:E68"/>
    <mergeCell ref="E72:E75"/>
    <mergeCell ref="E78:E83"/>
    <mergeCell ref="E85:E86"/>
    <mergeCell ref="E94:E95"/>
    <mergeCell ref="E97:E98"/>
    <mergeCell ref="E101:E102"/>
    <mergeCell ref="E106:E107"/>
    <mergeCell ref="E109:E110"/>
    <mergeCell ref="E111:E112"/>
    <mergeCell ref="E118:E123"/>
    <mergeCell ref="E124:E126"/>
    <mergeCell ref="E127:E141"/>
    <mergeCell ref="E143:E146"/>
    <mergeCell ref="E148:E149"/>
    <mergeCell ref="E153:E155"/>
    <mergeCell ref="E159:E165"/>
    <mergeCell ref="E166:E171"/>
    <mergeCell ref="E177:E178"/>
    <mergeCell ref="E179:E181"/>
    <mergeCell ref="E182:E183"/>
    <mergeCell ref="E184:E185"/>
    <mergeCell ref="E194:E195"/>
    <mergeCell ref="E196:E197"/>
    <mergeCell ref="E202:E204"/>
    <mergeCell ref="E205:E206"/>
    <mergeCell ref="E209:E211"/>
    <mergeCell ref="E212:E214"/>
    <mergeCell ref="E221:E222"/>
    <mergeCell ref="E223:E224"/>
    <mergeCell ref="E225:E232"/>
    <mergeCell ref="E233:E240"/>
    <mergeCell ref="E250:E251"/>
    <mergeCell ref="E261:E262"/>
    <mergeCell ref="E263:E264"/>
    <mergeCell ref="E265:E268"/>
    <mergeCell ref="E269:E272"/>
    <mergeCell ref="E273:E274"/>
    <mergeCell ref="E275:E276"/>
    <mergeCell ref="E277:E278"/>
    <mergeCell ref="E279:E282"/>
    <mergeCell ref="E283:E286"/>
    <mergeCell ref="E287:E294"/>
    <mergeCell ref="E295:E302"/>
    <mergeCell ref="E303:E306"/>
    <mergeCell ref="E308:E311"/>
    <mergeCell ref="E316:E317"/>
    <mergeCell ref="E320:E328"/>
    <mergeCell ref="E329:E330"/>
    <mergeCell ref="E331:E332"/>
    <mergeCell ref="E335:E336"/>
    <mergeCell ref="E337:E338"/>
    <mergeCell ref="E339:E340"/>
    <mergeCell ref="E343:E344"/>
    <mergeCell ref="E345:E346"/>
    <mergeCell ref="E351:E352"/>
    <mergeCell ref="E356:E358"/>
    <mergeCell ref="E362:E363"/>
    <mergeCell ref="E373:E374"/>
    <mergeCell ref="E375:E376"/>
    <mergeCell ref="E377:E380"/>
    <mergeCell ref="E381:E382"/>
    <mergeCell ref="E388:E390"/>
    <mergeCell ref="E391:E393"/>
    <mergeCell ref="E394:E395"/>
    <mergeCell ref="E400:E402"/>
    <mergeCell ref="E403:E405"/>
    <mergeCell ref="E409:E413"/>
    <mergeCell ref="E414:E418"/>
    <mergeCell ref="E419:E421"/>
    <mergeCell ref="E422:E424"/>
    <mergeCell ref="E427:E432"/>
    <mergeCell ref="E433:E438"/>
    <mergeCell ref="E443:E447"/>
    <mergeCell ref="E452:E453"/>
    <mergeCell ref="E454:E462"/>
    <mergeCell ref="E463:E471"/>
    <mergeCell ref="E479:E480"/>
    <mergeCell ref="E481:E482"/>
    <mergeCell ref="E484:E485"/>
    <mergeCell ref="F5:F16"/>
    <mergeCell ref="F17:F18"/>
    <mergeCell ref="F22:F26"/>
    <mergeCell ref="F30:F32"/>
    <mergeCell ref="F35:F37"/>
    <mergeCell ref="F39:F42"/>
    <mergeCell ref="F47:F49"/>
    <mergeCell ref="F50:F52"/>
    <mergeCell ref="F56:F59"/>
    <mergeCell ref="F61:F68"/>
    <mergeCell ref="F72:F75"/>
    <mergeCell ref="F78:F83"/>
    <mergeCell ref="F85:F86"/>
    <mergeCell ref="F94:F95"/>
    <mergeCell ref="F97:F98"/>
    <mergeCell ref="F101:F102"/>
    <mergeCell ref="F106:F107"/>
    <mergeCell ref="F109:F110"/>
    <mergeCell ref="F111:F112"/>
    <mergeCell ref="F118:F123"/>
    <mergeCell ref="F124:F126"/>
    <mergeCell ref="F127:F141"/>
    <mergeCell ref="F143:F146"/>
    <mergeCell ref="F148:F149"/>
    <mergeCell ref="F153:F155"/>
    <mergeCell ref="F159:F165"/>
    <mergeCell ref="F166:F171"/>
    <mergeCell ref="F177:F178"/>
    <mergeCell ref="F179:F181"/>
    <mergeCell ref="F182:F183"/>
    <mergeCell ref="F184:F185"/>
    <mergeCell ref="F194:F195"/>
    <mergeCell ref="F196:F197"/>
    <mergeCell ref="F202:F204"/>
    <mergeCell ref="F205:F206"/>
    <mergeCell ref="F209:F211"/>
    <mergeCell ref="F212:F214"/>
    <mergeCell ref="F221:F222"/>
    <mergeCell ref="F223:F224"/>
    <mergeCell ref="F225:F232"/>
    <mergeCell ref="F233:F240"/>
    <mergeCell ref="F250:F251"/>
    <mergeCell ref="F261:F262"/>
    <mergeCell ref="F263:F264"/>
    <mergeCell ref="F265:F268"/>
    <mergeCell ref="F269:F272"/>
    <mergeCell ref="F273:F274"/>
    <mergeCell ref="F275:F276"/>
    <mergeCell ref="F277:F278"/>
    <mergeCell ref="F279:F282"/>
    <mergeCell ref="F283:F286"/>
    <mergeCell ref="F287:F294"/>
    <mergeCell ref="F295:F302"/>
    <mergeCell ref="F303:F306"/>
    <mergeCell ref="F308:F311"/>
    <mergeCell ref="F316:F317"/>
    <mergeCell ref="F320:F328"/>
    <mergeCell ref="F329:F330"/>
    <mergeCell ref="F331:F332"/>
    <mergeCell ref="F335:F336"/>
    <mergeCell ref="F337:F338"/>
    <mergeCell ref="F339:F340"/>
    <mergeCell ref="F343:F344"/>
    <mergeCell ref="F345:F346"/>
    <mergeCell ref="F351:F352"/>
    <mergeCell ref="F356:F358"/>
    <mergeCell ref="F362:F363"/>
    <mergeCell ref="F373:F374"/>
    <mergeCell ref="F375:F376"/>
    <mergeCell ref="F377:F380"/>
    <mergeCell ref="F381:F382"/>
    <mergeCell ref="F388:F390"/>
    <mergeCell ref="F391:F393"/>
    <mergeCell ref="F394:F395"/>
    <mergeCell ref="F400:F402"/>
    <mergeCell ref="F403:F405"/>
    <mergeCell ref="F409:F413"/>
    <mergeCell ref="F414:F418"/>
    <mergeCell ref="F419:F421"/>
    <mergeCell ref="F422:F424"/>
    <mergeCell ref="F427:F432"/>
    <mergeCell ref="F433:F438"/>
    <mergeCell ref="F443:F447"/>
    <mergeCell ref="F452:F453"/>
    <mergeCell ref="F454:F462"/>
    <mergeCell ref="F463:F471"/>
    <mergeCell ref="F479:F480"/>
    <mergeCell ref="F481:F482"/>
    <mergeCell ref="F484:F485"/>
    <mergeCell ref="G5:G16"/>
    <mergeCell ref="G17:G18"/>
    <mergeCell ref="G22:G26"/>
    <mergeCell ref="G30:G32"/>
    <mergeCell ref="G35:G37"/>
    <mergeCell ref="G39:G42"/>
    <mergeCell ref="G47:G49"/>
    <mergeCell ref="G50:G52"/>
    <mergeCell ref="G56:G59"/>
    <mergeCell ref="G61:G68"/>
    <mergeCell ref="G72:G75"/>
    <mergeCell ref="G78:G83"/>
    <mergeCell ref="G85:G86"/>
    <mergeCell ref="G94:G95"/>
    <mergeCell ref="G97:G98"/>
    <mergeCell ref="G101:G102"/>
    <mergeCell ref="G106:G107"/>
    <mergeCell ref="G109:G110"/>
    <mergeCell ref="G111:G112"/>
    <mergeCell ref="G118:G123"/>
    <mergeCell ref="G124:G126"/>
    <mergeCell ref="G127:G141"/>
    <mergeCell ref="G143:G146"/>
    <mergeCell ref="G148:G149"/>
    <mergeCell ref="G153:G155"/>
    <mergeCell ref="G159:G165"/>
    <mergeCell ref="G166:G171"/>
    <mergeCell ref="G177:G178"/>
    <mergeCell ref="G179:G181"/>
    <mergeCell ref="G182:G183"/>
    <mergeCell ref="G184:G185"/>
    <mergeCell ref="G194:G195"/>
    <mergeCell ref="G196:G197"/>
    <mergeCell ref="G202:G204"/>
    <mergeCell ref="G205:G206"/>
    <mergeCell ref="G209:G211"/>
    <mergeCell ref="G212:G214"/>
    <mergeCell ref="G221:G222"/>
    <mergeCell ref="G223:G224"/>
    <mergeCell ref="G225:G232"/>
    <mergeCell ref="G233:G240"/>
    <mergeCell ref="G250:G251"/>
    <mergeCell ref="G261:G262"/>
    <mergeCell ref="G263:G264"/>
    <mergeCell ref="G265:G268"/>
    <mergeCell ref="G269:G272"/>
    <mergeCell ref="G273:G274"/>
    <mergeCell ref="G275:G276"/>
    <mergeCell ref="G277:G278"/>
    <mergeCell ref="G279:G282"/>
    <mergeCell ref="G283:G286"/>
    <mergeCell ref="G287:G294"/>
    <mergeCell ref="G295:G302"/>
    <mergeCell ref="G303:G306"/>
    <mergeCell ref="G308:G311"/>
    <mergeCell ref="G316:G317"/>
    <mergeCell ref="G320:G328"/>
    <mergeCell ref="G329:G330"/>
    <mergeCell ref="G331:G332"/>
    <mergeCell ref="G335:G336"/>
    <mergeCell ref="G337:G338"/>
    <mergeCell ref="G339:G340"/>
    <mergeCell ref="G343:G344"/>
    <mergeCell ref="G345:G346"/>
    <mergeCell ref="G351:G352"/>
    <mergeCell ref="G356:G358"/>
    <mergeCell ref="G362:G363"/>
    <mergeCell ref="G373:G374"/>
    <mergeCell ref="G375:G376"/>
    <mergeCell ref="G377:G380"/>
    <mergeCell ref="G381:G382"/>
    <mergeCell ref="G388:G390"/>
    <mergeCell ref="G391:G393"/>
    <mergeCell ref="G394:G395"/>
    <mergeCell ref="G400:G402"/>
    <mergeCell ref="G403:G405"/>
    <mergeCell ref="G409:G413"/>
    <mergeCell ref="G414:G418"/>
    <mergeCell ref="G419:G421"/>
    <mergeCell ref="G422:G424"/>
    <mergeCell ref="G427:G432"/>
    <mergeCell ref="G433:G438"/>
    <mergeCell ref="G443:G447"/>
    <mergeCell ref="G452:G453"/>
    <mergeCell ref="G454:G462"/>
    <mergeCell ref="G463:G471"/>
    <mergeCell ref="G479:G480"/>
    <mergeCell ref="G481:G482"/>
    <mergeCell ref="G484:G485"/>
    <mergeCell ref="H5:H16"/>
    <mergeCell ref="H17:H18"/>
    <mergeCell ref="H22:H26"/>
    <mergeCell ref="H30:H32"/>
    <mergeCell ref="H35:H37"/>
    <mergeCell ref="H39:H42"/>
    <mergeCell ref="H47:H49"/>
    <mergeCell ref="H50:H52"/>
    <mergeCell ref="H56:H59"/>
    <mergeCell ref="H61:H68"/>
    <mergeCell ref="H72:H75"/>
    <mergeCell ref="H78:H83"/>
    <mergeCell ref="H85:H86"/>
    <mergeCell ref="H94:H95"/>
    <mergeCell ref="H97:H98"/>
    <mergeCell ref="H101:H102"/>
    <mergeCell ref="H106:H107"/>
    <mergeCell ref="H109:H110"/>
    <mergeCell ref="H111:H112"/>
    <mergeCell ref="H118:H123"/>
    <mergeCell ref="H124:H126"/>
    <mergeCell ref="H127:H141"/>
    <mergeCell ref="H143:H146"/>
    <mergeCell ref="H148:H149"/>
    <mergeCell ref="H153:H155"/>
    <mergeCell ref="H159:H165"/>
    <mergeCell ref="H166:H171"/>
    <mergeCell ref="H177:H178"/>
    <mergeCell ref="H179:H181"/>
    <mergeCell ref="H182:H183"/>
    <mergeCell ref="H184:H185"/>
    <mergeCell ref="H194:H195"/>
    <mergeCell ref="H196:H197"/>
    <mergeCell ref="H202:H204"/>
    <mergeCell ref="H205:H206"/>
    <mergeCell ref="H209:H211"/>
    <mergeCell ref="H212:H214"/>
    <mergeCell ref="H221:H222"/>
    <mergeCell ref="H223:H224"/>
    <mergeCell ref="H225:H232"/>
    <mergeCell ref="H233:H240"/>
    <mergeCell ref="H250:H251"/>
    <mergeCell ref="H261:H262"/>
    <mergeCell ref="H263:H264"/>
    <mergeCell ref="H265:H268"/>
    <mergeCell ref="H269:H272"/>
    <mergeCell ref="H273:H274"/>
    <mergeCell ref="H275:H276"/>
    <mergeCell ref="H277:H278"/>
    <mergeCell ref="H279:H282"/>
    <mergeCell ref="H283:H286"/>
    <mergeCell ref="H287:H294"/>
    <mergeCell ref="H295:H302"/>
    <mergeCell ref="H303:H306"/>
    <mergeCell ref="H308:H311"/>
    <mergeCell ref="H316:H317"/>
    <mergeCell ref="H320:H328"/>
    <mergeCell ref="H329:H330"/>
    <mergeCell ref="H331:H332"/>
    <mergeCell ref="H335:H336"/>
    <mergeCell ref="H337:H338"/>
    <mergeCell ref="H339:H340"/>
    <mergeCell ref="H343:H344"/>
    <mergeCell ref="H345:H346"/>
    <mergeCell ref="H351:H352"/>
    <mergeCell ref="H356:H358"/>
    <mergeCell ref="H362:H363"/>
    <mergeCell ref="H373:H374"/>
    <mergeCell ref="H375:H376"/>
    <mergeCell ref="H377:H380"/>
    <mergeCell ref="H381:H382"/>
    <mergeCell ref="H388:H390"/>
    <mergeCell ref="H391:H393"/>
    <mergeCell ref="H394:H395"/>
    <mergeCell ref="H400:H402"/>
    <mergeCell ref="H403:H405"/>
    <mergeCell ref="H409:H413"/>
    <mergeCell ref="H414:H418"/>
    <mergeCell ref="H419:H421"/>
    <mergeCell ref="H422:H424"/>
    <mergeCell ref="H427:H432"/>
    <mergeCell ref="H433:H438"/>
    <mergeCell ref="H443:H447"/>
    <mergeCell ref="H452:H453"/>
    <mergeCell ref="H454:H462"/>
    <mergeCell ref="H463:H471"/>
    <mergeCell ref="H479:H480"/>
    <mergeCell ref="H481:H482"/>
    <mergeCell ref="H484:H485"/>
    <mergeCell ref="I5:I16"/>
    <mergeCell ref="I17:I18"/>
    <mergeCell ref="I22:I26"/>
    <mergeCell ref="I30:I32"/>
    <mergeCell ref="I35:I37"/>
    <mergeCell ref="I39:I42"/>
    <mergeCell ref="I47:I49"/>
    <mergeCell ref="I50:I52"/>
    <mergeCell ref="I56:I59"/>
    <mergeCell ref="I61:I68"/>
    <mergeCell ref="I72:I75"/>
    <mergeCell ref="I78:I83"/>
    <mergeCell ref="I85:I86"/>
    <mergeCell ref="I94:I95"/>
    <mergeCell ref="I97:I98"/>
    <mergeCell ref="I101:I102"/>
    <mergeCell ref="I106:I107"/>
    <mergeCell ref="I109:I110"/>
    <mergeCell ref="I111:I112"/>
    <mergeCell ref="I118:I123"/>
    <mergeCell ref="I124:I126"/>
    <mergeCell ref="I127:I141"/>
    <mergeCell ref="I143:I146"/>
    <mergeCell ref="I148:I149"/>
    <mergeCell ref="I153:I155"/>
    <mergeCell ref="I159:I165"/>
    <mergeCell ref="I166:I171"/>
    <mergeCell ref="I177:I178"/>
    <mergeCell ref="I179:I181"/>
    <mergeCell ref="I182:I183"/>
    <mergeCell ref="I184:I185"/>
    <mergeCell ref="I194:I195"/>
    <mergeCell ref="I196:I197"/>
    <mergeCell ref="I202:I204"/>
    <mergeCell ref="I205:I206"/>
    <mergeCell ref="I209:I211"/>
    <mergeCell ref="I212:I214"/>
    <mergeCell ref="I221:I222"/>
    <mergeCell ref="I223:I224"/>
    <mergeCell ref="I225:I232"/>
    <mergeCell ref="I233:I240"/>
    <mergeCell ref="I250:I251"/>
    <mergeCell ref="I261:I262"/>
    <mergeCell ref="I263:I264"/>
    <mergeCell ref="I265:I268"/>
    <mergeCell ref="I269:I272"/>
    <mergeCell ref="I273:I274"/>
    <mergeCell ref="I275:I276"/>
    <mergeCell ref="I277:I278"/>
    <mergeCell ref="I279:I282"/>
    <mergeCell ref="I283:I286"/>
    <mergeCell ref="I287:I294"/>
    <mergeCell ref="I295:I302"/>
    <mergeCell ref="I303:I306"/>
    <mergeCell ref="I308:I311"/>
    <mergeCell ref="I316:I317"/>
    <mergeCell ref="I320:I328"/>
    <mergeCell ref="I329:I330"/>
    <mergeCell ref="I331:I332"/>
    <mergeCell ref="I335:I336"/>
    <mergeCell ref="I337:I338"/>
    <mergeCell ref="I339:I340"/>
    <mergeCell ref="I343:I344"/>
    <mergeCell ref="I345:I346"/>
    <mergeCell ref="I351:I352"/>
    <mergeCell ref="I356:I358"/>
    <mergeCell ref="I362:I363"/>
    <mergeCell ref="I373:I374"/>
    <mergeCell ref="I375:I376"/>
    <mergeCell ref="I377:I380"/>
    <mergeCell ref="I381:I382"/>
    <mergeCell ref="I388:I390"/>
    <mergeCell ref="I391:I393"/>
    <mergeCell ref="I394:I395"/>
    <mergeCell ref="I400:I402"/>
    <mergeCell ref="I403:I405"/>
    <mergeCell ref="I409:I413"/>
    <mergeCell ref="I414:I418"/>
    <mergeCell ref="I419:I421"/>
    <mergeCell ref="I422:I424"/>
    <mergeCell ref="I427:I432"/>
    <mergeCell ref="I433:I438"/>
    <mergeCell ref="I443:I447"/>
    <mergeCell ref="I452:I453"/>
    <mergeCell ref="I454:I462"/>
    <mergeCell ref="I463:I471"/>
    <mergeCell ref="I479:I480"/>
    <mergeCell ref="I481:I482"/>
    <mergeCell ref="I484:I485"/>
    <mergeCell ref="J5:J16"/>
    <mergeCell ref="J17:J18"/>
    <mergeCell ref="J22:J26"/>
    <mergeCell ref="J30:J32"/>
    <mergeCell ref="J35:J37"/>
    <mergeCell ref="J39:J42"/>
    <mergeCell ref="J47:J49"/>
    <mergeCell ref="J50:J52"/>
    <mergeCell ref="J56:J59"/>
    <mergeCell ref="J61:J68"/>
    <mergeCell ref="J72:J75"/>
    <mergeCell ref="J78:J83"/>
    <mergeCell ref="J85:J86"/>
    <mergeCell ref="J94:J95"/>
    <mergeCell ref="J97:J98"/>
    <mergeCell ref="J101:J102"/>
    <mergeCell ref="J106:J107"/>
    <mergeCell ref="J109:J110"/>
    <mergeCell ref="J111:J112"/>
    <mergeCell ref="J118:J123"/>
    <mergeCell ref="J124:J126"/>
    <mergeCell ref="J127:J141"/>
    <mergeCell ref="J143:J146"/>
    <mergeCell ref="J148:J149"/>
    <mergeCell ref="J153:J155"/>
    <mergeCell ref="J159:J165"/>
    <mergeCell ref="J166:J171"/>
    <mergeCell ref="J177:J178"/>
    <mergeCell ref="J179:J181"/>
    <mergeCell ref="J182:J183"/>
    <mergeCell ref="J184:J185"/>
    <mergeCell ref="J194:J195"/>
    <mergeCell ref="J196:J197"/>
    <mergeCell ref="J202:J204"/>
    <mergeCell ref="J205:J206"/>
    <mergeCell ref="J209:J211"/>
    <mergeCell ref="J212:J214"/>
    <mergeCell ref="J221:J222"/>
    <mergeCell ref="J223:J224"/>
    <mergeCell ref="J225:J232"/>
    <mergeCell ref="J233:J240"/>
    <mergeCell ref="J250:J251"/>
    <mergeCell ref="J261:J262"/>
    <mergeCell ref="J263:J264"/>
    <mergeCell ref="J265:J268"/>
    <mergeCell ref="J269:J272"/>
    <mergeCell ref="J273:J274"/>
    <mergeCell ref="J275:J276"/>
    <mergeCell ref="J277:J278"/>
    <mergeCell ref="J279:J282"/>
    <mergeCell ref="J283:J286"/>
    <mergeCell ref="J287:J294"/>
    <mergeCell ref="J295:J302"/>
    <mergeCell ref="J303:J306"/>
    <mergeCell ref="J308:J311"/>
    <mergeCell ref="J316:J317"/>
    <mergeCell ref="J320:J328"/>
    <mergeCell ref="J329:J330"/>
    <mergeCell ref="J331:J332"/>
    <mergeCell ref="J335:J336"/>
    <mergeCell ref="J337:J338"/>
    <mergeCell ref="J339:J340"/>
    <mergeCell ref="J343:J344"/>
    <mergeCell ref="J345:J346"/>
    <mergeCell ref="J351:J352"/>
    <mergeCell ref="J356:J358"/>
    <mergeCell ref="J362:J363"/>
    <mergeCell ref="J373:J374"/>
    <mergeCell ref="J375:J376"/>
    <mergeCell ref="J377:J380"/>
    <mergeCell ref="J381:J382"/>
    <mergeCell ref="J388:J390"/>
    <mergeCell ref="J391:J393"/>
    <mergeCell ref="J394:J395"/>
    <mergeCell ref="J400:J402"/>
    <mergeCell ref="J403:J405"/>
    <mergeCell ref="J409:J413"/>
    <mergeCell ref="J414:J418"/>
    <mergeCell ref="J419:J421"/>
    <mergeCell ref="J422:J424"/>
    <mergeCell ref="J427:J432"/>
    <mergeCell ref="J433:J438"/>
    <mergeCell ref="J443:J447"/>
    <mergeCell ref="J452:J453"/>
    <mergeCell ref="J454:J462"/>
    <mergeCell ref="J463:J471"/>
    <mergeCell ref="J479:J480"/>
    <mergeCell ref="J481:J482"/>
    <mergeCell ref="J484:J485"/>
    <mergeCell ref="K5:K16"/>
    <mergeCell ref="K17:K18"/>
    <mergeCell ref="K22:K26"/>
    <mergeCell ref="K30:K32"/>
    <mergeCell ref="K35:K37"/>
    <mergeCell ref="K39:K42"/>
    <mergeCell ref="K47:K49"/>
    <mergeCell ref="K50:K52"/>
    <mergeCell ref="K56:K59"/>
    <mergeCell ref="K61:K68"/>
    <mergeCell ref="K72:K75"/>
    <mergeCell ref="K78:K83"/>
    <mergeCell ref="K85:K86"/>
    <mergeCell ref="K94:K95"/>
    <mergeCell ref="K97:K98"/>
    <mergeCell ref="K101:K102"/>
    <mergeCell ref="K106:K107"/>
    <mergeCell ref="K109:K110"/>
    <mergeCell ref="K111:K112"/>
    <mergeCell ref="K118:K123"/>
    <mergeCell ref="K124:K126"/>
    <mergeCell ref="K127:K141"/>
    <mergeCell ref="K143:K146"/>
    <mergeCell ref="K148:K149"/>
    <mergeCell ref="K153:K155"/>
    <mergeCell ref="K159:K165"/>
    <mergeCell ref="K166:K171"/>
    <mergeCell ref="K177:K178"/>
    <mergeCell ref="K179:K181"/>
    <mergeCell ref="K182:K183"/>
    <mergeCell ref="K184:K185"/>
    <mergeCell ref="K194:K195"/>
    <mergeCell ref="K196:K197"/>
    <mergeCell ref="K202:K204"/>
    <mergeCell ref="K205:K206"/>
    <mergeCell ref="K209:K211"/>
    <mergeCell ref="K212:K214"/>
    <mergeCell ref="K221:K222"/>
    <mergeCell ref="K223:K224"/>
    <mergeCell ref="K225:K232"/>
    <mergeCell ref="K233:K240"/>
    <mergeCell ref="K250:K251"/>
    <mergeCell ref="K261:K262"/>
    <mergeCell ref="K263:K264"/>
    <mergeCell ref="K265:K268"/>
    <mergeCell ref="K269:K272"/>
    <mergeCell ref="K273:K274"/>
    <mergeCell ref="K275:K276"/>
    <mergeCell ref="K277:K278"/>
    <mergeCell ref="K279:K282"/>
    <mergeCell ref="K283:K286"/>
    <mergeCell ref="K287:K294"/>
    <mergeCell ref="K295:K302"/>
    <mergeCell ref="K303:K306"/>
    <mergeCell ref="K308:K311"/>
    <mergeCell ref="K316:K317"/>
    <mergeCell ref="K320:K328"/>
    <mergeCell ref="K329:K330"/>
    <mergeCell ref="K331:K332"/>
    <mergeCell ref="K335:K336"/>
    <mergeCell ref="K337:K338"/>
    <mergeCell ref="K339:K340"/>
    <mergeCell ref="K343:K344"/>
    <mergeCell ref="K345:K346"/>
    <mergeCell ref="K351:K352"/>
    <mergeCell ref="K356:K358"/>
    <mergeCell ref="K362:K363"/>
    <mergeCell ref="K373:K374"/>
    <mergeCell ref="K375:K376"/>
    <mergeCell ref="K377:K380"/>
    <mergeCell ref="K381:K382"/>
    <mergeCell ref="K388:K390"/>
    <mergeCell ref="K391:K393"/>
    <mergeCell ref="K394:K395"/>
    <mergeCell ref="K400:K402"/>
    <mergeCell ref="K403:K405"/>
    <mergeCell ref="K409:K413"/>
    <mergeCell ref="K414:K418"/>
    <mergeCell ref="K419:K421"/>
    <mergeCell ref="K422:K424"/>
    <mergeCell ref="K427:K432"/>
    <mergeCell ref="K433:K438"/>
    <mergeCell ref="K443:K447"/>
    <mergeCell ref="K452:K453"/>
    <mergeCell ref="K454:K462"/>
    <mergeCell ref="K463:K471"/>
    <mergeCell ref="K479:K480"/>
    <mergeCell ref="K481:K482"/>
    <mergeCell ref="K484:K485"/>
    <mergeCell ref="L5:L16"/>
    <mergeCell ref="L17:L18"/>
    <mergeCell ref="L22:L26"/>
    <mergeCell ref="L30:L32"/>
    <mergeCell ref="L35:L37"/>
    <mergeCell ref="L39:L42"/>
    <mergeCell ref="L47:L49"/>
    <mergeCell ref="L50:L52"/>
    <mergeCell ref="L56:L59"/>
    <mergeCell ref="L61:L68"/>
    <mergeCell ref="L72:L75"/>
    <mergeCell ref="L78:L83"/>
    <mergeCell ref="L85:L86"/>
    <mergeCell ref="L94:L95"/>
    <mergeCell ref="L97:L98"/>
    <mergeCell ref="L101:L102"/>
    <mergeCell ref="L106:L107"/>
    <mergeCell ref="L109:L110"/>
    <mergeCell ref="L111:L112"/>
    <mergeCell ref="L118:L123"/>
    <mergeCell ref="L124:L126"/>
    <mergeCell ref="L127:L141"/>
    <mergeCell ref="L143:L146"/>
    <mergeCell ref="L148:L149"/>
    <mergeCell ref="L153:L155"/>
    <mergeCell ref="L159:L165"/>
    <mergeCell ref="L166:L171"/>
    <mergeCell ref="L177:L178"/>
    <mergeCell ref="L179:L181"/>
    <mergeCell ref="L182:L183"/>
    <mergeCell ref="L184:L185"/>
    <mergeCell ref="L194:L195"/>
    <mergeCell ref="L196:L197"/>
    <mergeCell ref="L202:L204"/>
    <mergeCell ref="L205:L206"/>
    <mergeCell ref="L209:L211"/>
    <mergeCell ref="L212:L214"/>
    <mergeCell ref="L221:L222"/>
    <mergeCell ref="L223:L224"/>
    <mergeCell ref="L225:L232"/>
    <mergeCell ref="L233:L240"/>
    <mergeCell ref="L250:L251"/>
    <mergeCell ref="L261:L262"/>
    <mergeCell ref="L263:L264"/>
    <mergeCell ref="L265:L268"/>
    <mergeCell ref="L269:L272"/>
    <mergeCell ref="L273:L274"/>
    <mergeCell ref="L275:L276"/>
    <mergeCell ref="L277:L278"/>
    <mergeCell ref="L279:L282"/>
    <mergeCell ref="L283:L286"/>
    <mergeCell ref="L287:L294"/>
    <mergeCell ref="L295:L302"/>
    <mergeCell ref="L303:L306"/>
    <mergeCell ref="L308:L311"/>
    <mergeCell ref="L316:L317"/>
    <mergeCell ref="L320:L328"/>
    <mergeCell ref="L329:L330"/>
    <mergeCell ref="L331:L332"/>
    <mergeCell ref="L335:L336"/>
    <mergeCell ref="L337:L338"/>
    <mergeCell ref="L339:L340"/>
    <mergeCell ref="L343:L344"/>
    <mergeCell ref="L345:L346"/>
    <mergeCell ref="L351:L352"/>
    <mergeCell ref="L356:L358"/>
    <mergeCell ref="L362:L363"/>
    <mergeCell ref="L373:L374"/>
    <mergeCell ref="L375:L376"/>
    <mergeCell ref="L377:L380"/>
    <mergeCell ref="L381:L382"/>
    <mergeCell ref="L388:L390"/>
    <mergeCell ref="L391:L393"/>
    <mergeCell ref="L394:L395"/>
    <mergeCell ref="L400:L402"/>
    <mergeCell ref="L403:L405"/>
    <mergeCell ref="L409:L413"/>
    <mergeCell ref="L414:L418"/>
    <mergeCell ref="L419:L421"/>
    <mergeCell ref="L422:L424"/>
    <mergeCell ref="L427:L432"/>
    <mergeCell ref="L433:L438"/>
    <mergeCell ref="L443:L447"/>
    <mergeCell ref="L452:L453"/>
    <mergeCell ref="L454:L462"/>
    <mergeCell ref="L463:L471"/>
    <mergeCell ref="L479:L480"/>
    <mergeCell ref="L481:L482"/>
    <mergeCell ref="L484:L485"/>
    <mergeCell ref="M5:M16"/>
    <mergeCell ref="M17:M18"/>
    <mergeCell ref="M22:M26"/>
    <mergeCell ref="M30:M32"/>
    <mergeCell ref="M35:M37"/>
    <mergeCell ref="M39:M42"/>
    <mergeCell ref="M47:M49"/>
    <mergeCell ref="M50:M52"/>
    <mergeCell ref="M56:M59"/>
    <mergeCell ref="M61:M68"/>
    <mergeCell ref="M72:M75"/>
    <mergeCell ref="M78:M83"/>
    <mergeCell ref="M85:M86"/>
    <mergeCell ref="M94:M95"/>
    <mergeCell ref="M97:M98"/>
    <mergeCell ref="M101:M102"/>
    <mergeCell ref="M106:M107"/>
    <mergeCell ref="M109:M110"/>
    <mergeCell ref="M111:M112"/>
    <mergeCell ref="M118:M123"/>
    <mergeCell ref="M124:M126"/>
    <mergeCell ref="M127:M141"/>
    <mergeCell ref="M143:M146"/>
    <mergeCell ref="M148:M149"/>
    <mergeCell ref="M153:M155"/>
    <mergeCell ref="M159:M165"/>
    <mergeCell ref="M166:M171"/>
    <mergeCell ref="M177:M178"/>
    <mergeCell ref="M179:M181"/>
    <mergeCell ref="M182:M183"/>
    <mergeCell ref="M184:M185"/>
    <mergeCell ref="M194:M195"/>
    <mergeCell ref="M196:M197"/>
    <mergeCell ref="M202:M204"/>
    <mergeCell ref="M205:M206"/>
    <mergeCell ref="M209:M211"/>
    <mergeCell ref="M212:M214"/>
    <mergeCell ref="M221:M222"/>
    <mergeCell ref="M223:M224"/>
    <mergeCell ref="M225:M232"/>
    <mergeCell ref="M233:M240"/>
    <mergeCell ref="M250:M251"/>
    <mergeCell ref="M261:M262"/>
    <mergeCell ref="M263:M264"/>
    <mergeCell ref="M265:M268"/>
    <mergeCell ref="M269:M272"/>
    <mergeCell ref="M273:M274"/>
    <mergeCell ref="M275:M276"/>
    <mergeCell ref="M277:M278"/>
    <mergeCell ref="M279:M282"/>
    <mergeCell ref="M283:M286"/>
    <mergeCell ref="M287:M294"/>
    <mergeCell ref="M295:M302"/>
    <mergeCell ref="M303:M306"/>
    <mergeCell ref="M308:M311"/>
    <mergeCell ref="M316:M317"/>
    <mergeCell ref="M320:M328"/>
    <mergeCell ref="M329:M330"/>
    <mergeCell ref="M331:M332"/>
    <mergeCell ref="M335:M336"/>
    <mergeCell ref="M337:M338"/>
    <mergeCell ref="M339:M340"/>
    <mergeCell ref="M343:M344"/>
    <mergeCell ref="M345:M346"/>
    <mergeCell ref="M351:M352"/>
    <mergeCell ref="M356:M358"/>
    <mergeCell ref="M362:M363"/>
    <mergeCell ref="M373:M374"/>
    <mergeCell ref="M375:M376"/>
    <mergeCell ref="M377:M380"/>
    <mergeCell ref="M381:M382"/>
    <mergeCell ref="M388:M390"/>
    <mergeCell ref="M391:M393"/>
    <mergeCell ref="M394:M395"/>
    <mergeCell ref="M400:M402"/>
    <mergeCell ref="M403:M405"/>
    <mergeCell ref="M409:M413"/>
    <mergeCell ref="M414:M418"/>
    <mergeCell ref="M419:M421"/>
    <mergeCell ref="M422:M424"/>
    <mergeCell ref="M427:M432"/>
    <mergeCell ref="M433:M438"/>
    <mergeCell ref="M443:M447"/>
    <mergeCell ref="M452:M453"/>
    <mergeCell ref="M454:M462"/>
    <mergeCell ref="M463:M471"/>
    <mergeCell ref="M479:M480"/>
    <mergeCell ref="M481:M482"/>
    <mergeCell ref="M484:M485"/>
    <mergeCell ref="N5:N16"/>
    <mergeCell ref="N17:N18"/>
    <mergeCell ref="N22:N26"/>
    <mergeCell ref="N30:N32"/>
    <mergeCell ref="N35:N37"/>
    <mergeCell ref="N39:N42"/>
    <mergeCell ref="N47:N49"/>
    <mergeCell ref="N50:N52"/>
    <mergeCell ref="N56:N59"/>
    <mergeCell ref="N61:N68"/>
    <mergeCell ref="N72:N75"/>
    <mergeCell ref="N78:N83"/>
    <mergeCell ref="N85:N86"/>
    <mergeCell ref="N94:N95"/>
    <mergeCell ref="N97:N98"/>
    <mergeCell ref="N101:N102"/>
    <mergeCell ref="N106:N107"/>
    <mergeCell ref="N109:N110"/>
    <mergeCell ref="N111:N112"/>
    <mergeCell ref="N118:N123"/>
    <mergeCell ref="N124:N126"/>
    <mergeCell ref="N127:N141"/>
    <mergeCell ref="N143:N146"/>
    <mergeCell ref="N148:N149"/>
    <mergeCell ref="N153:N155"/>
    <mergeCell ref="N159:N165"/>
    <mergeCell ref="N166:N171"/>
    <mergeCell ref="N177:N178"/>
    <mergeCell ref="N179:N181"/>
    <mergeCell ref="N182:N183"/>
    <mergeCell ref="N184:N185"/>
    <mergeCell ref="N194:N195"/>
    <mergeCell ref="N196:N197"/>
    <mergeCell ref="N202:N204"/>
    <mergeCell ref="N205:N206"/>
    <mergeCell ref="N209:N211"/>
    <mergeCell ref="N212:N214"/>
    <mergeCell ref="N221:N222"/>
    <mergeCell ref="N223:N224"/>
    <mergeCell ref="N225:N232"/>
    <mergeCell ref="N233:N240"/>
    <mergeCell ref="N250:N251"/>
    <mergeCell ref="N261:N262"/>
    <mergeCell ref="N263:N264"/>
    <mergeCell ref="N265:N268"/>
    <mergeCell ref="N269:N272"/>
    <mergeCell ref="N273:N274"/>
    <mergeCell ref="N275:N276"/>
    <mergeCell ref="N277:N278"/>
    <mergeCell ref="N279:N282"/>
    <mergeCell ref="N283:N286"/>
    <mergeCell ref="N287:N294"/>
    <mergeCell ref="N295:N302"/>
    <mergeCell ref="N303:N306"/>
    <mergeCell ref="N308:N311"/>
    <mergeCell ref="N316:N317"/>
    <mergeCell ref="N320:N328"/>
    <mergeCell ref="N329:N330"/>
    <mergeCell ref="N331:N332"/>
    <mergeCell ref="N335:N336"/>
    <mergeCell ref="N337:N338"/>
    <mergeCell ref="N339:N340"/>
    <mergeCell ref="N343:N344"/>
    <mergeCell ref="N345:N346"/>
    <mergeCell ref="N351:N352"/>
    <mergeCell ref="N356:N358"/>
    <mergeCell ref="N362:N363"/>
    <mergeCell ref="N373:N374"/>
    <mergeCell ref="N375:N376"/>
    <mergeCell ref="N377:N380"/>
    <mergeCell ref="N381:N382"/>
    <mergeCell ref="N388:N390"/>
    <mergeCell ref="N391:N393"/>
    <mergeCell ref="N394:N395"/>
    <mergeCell ref="N400:N402"/>
    <mergeCell ref="N403:N405"/>
    <mergeCell ref="N409:N413"/>
    <mergeCell ref="N414:N418"/>
    <mergeCell ref="N419:N421"/>
    <mergeCell ref="N422:N424"/>
    <mergeCell ref="N427:N432"/>
    <mergeCell ref="N433:N438"/>
    <mergeCell ref="N443:N447"/>
    <mergeCell ref="N452:N453"/>
    <mergeCell ref="N454:N462"/>
    <mergeCell ref="N463:N471"/>
    <mergeCell ref="N479:N480"/>
    <mergeCell ref="N481:N482"/>
    <mergeCell ref="N484:N485"/>
    <mergeCell ref="O5:O16"/>
    <mergeCell ref="O17:O18"/>
    <mergeCell ref="O22:O26"/>
    <mergeCell ref="O30:O32"/>
    <mergeCell ref="O35:O37"/>
    <mergeCell ref="O39:O42"/>
    <mergeCell ref="O47:O49"/>
    <mergeCell ref="O50:O52"/>
    <mergeCell ref="O56:O59"/>
    <mergeCell ref="O61:O68"/>
    <mergeCell ref="O72:O75"/>
    <mergeCell ref="O78:O83"/>
    <mergeCell ref="O85:O86"/>
    <mergeCell ref="O94:O95"/>
    <mergeCell ref="O97:O98"/>
    <mergeCell ref="O101:O102"/>
    <mergeCell ref="O106:O107"/>
    <mergeCell ref="O109:O110"/>
    <mergeCell ref="O111:O112"/>
    <mergeCell ref="O118:O123"/>
    <mergeCell ref="O124:O126"/>
    <mergeCell ref="O127:O141"/>
    <mergeCell ref="O143:O146"/>
    <mergeCell ref="O148:O149"/>
    <mergeCell ref="O153:O155"/>
    <mergeCell ref="O159:O165"/>
    <mergeCell ref="O166:O171"/>
    <mergeCell ref="O177:O178"/>
    <mergeCell ref="O179:O181"/>
    <mergeCell ref="O182:O183"/>
    <mergeCell ref="O184:O185"/>
    <mergeCell ref="O194:O195"/>
    <mergeCell ref="O196:O197"/>
    <mergeCell ref="O202:O204"/>
    <mergeCell ref="O205:O206"/>
    <mergeCell ref="O209:O211"/>
    <mergeCell ref="O212:O214"/>
    <mergeCell ref="O221:O222"/>
    <mergeCell ref="O223:O224"/>
    <mergeCell ref="O225:O232"/>
    <mergeCell ref="O233:O240"/>
    <mergeCell ref="O250:O251"/>
    <mergeCell ref="O261:O262"/>
    <mergeCell ref="O263:O264"/>
    <mergeCell ref="O265:O268"/>
    <mergeCell ref="O269:O272"/>
    <mergeCell ref="O273:O274"/>
    <mergeCell ref="O275:O276"/>
    <mergeCell ref="O277:O278"/>
    <mergeCell ref="O279:O282"/>
    <mergeCell ref="O283:O286"/>
    <mergeCell ref="O287:O294"/>
    <mergeCell ref="O295:O302"/>
    <mergeCell ref="O303:O306"/>
    <mergeCell ref="O308:O311"/>
    <mergeCell ref="O316:O317"/>
    <mergeCell ref="O320:O328"/>
    <mergeCell ref="O329:O330"/>
    <mergeCell ref="O331:O332"/>
    <mergeCell ref="O335:O336"/>
    <mergeCell ref="O337:O338"/>
    <mergeCell ref="O339:O340"/>
    <mergeCell ref="O343:O344"/>
    <mergeCell ref="O345:O346"/>
    <mergeCell ref="O351:O352"/>
    <mergeCell ref="O356:O358"/>
    <mergeCell ref="O362:O363"/>
    <mergeCell ref="O373:O374"/>
    <mergeCell ref="O375:O376"/>
    <mergeCell ref="O377:O380"/>
    <mergeCell ref="O381:O382"/>
    <mergeCell ref="O388:O390"/>
    <mergeCell ref="O391:O393"/>
    <mergeCell ref="O394:O395"/>
    <mergeCell ref="O400:O402"/>
    <mergeCell ref="O403:O405"/>
    <mergeCell ref="O409:O413"/>
    <mergeCell ref="O414:O418"/>
    <mergeCell ref="O419:O421"/>
    <mergeCell ref="O422:O424"/>
    <mergeCell ref="O427:O432"/>
    <mergeCell ref="O433:O438"/>
    <mergeCell ref="O443:O447"/>
    <mergeCell ref="O452:O453"/>
    <mergeCell ref="O454:O462"/>
    <mergeCell ref="O463:O471"/>
    <mergeCell ref="O479:O480"/>
    <mergeCell ref="O481:O482"/>
    <mergeCell ref="O484:O485"/>
    <mergeCell ref="P5:P16"/>
    <mergeCell ref="P17:P18"/>
    <mergeCell ref="P22:P26"/>
    <mergeCell ref="P30:P32"/>
    <mergeCell ref="P35:P36"/>
    <mergeCell ref="P39:P42"/>
    <mergeCell ref="P47:P49"/>
    <mergeCell ref="P50:P52"/>
    <mergeCell ref="P56:P59"/>
    <mergeCell ref="P61:P68"/>
    <mergeCell ref="P72:P75"/>
    <mergeCell ref="P78:P83"/>
    <mergeCell ref="P85:P86"/>
    <mergeCell ref="P94:P95"/>
    <mergeCell ref="P97:P98"/>
    <mergeCell ref="P101:P102"/>
    <mergeCell ref="P106:P107"/>
    <mergeCell ref="P109:P110"/>
    <mergeCell ref="P111:P112"/>
    <mergeCell ref="P118:P123"/>
    <mergeCell ref="P124:P126"/>
    <mergeCell ref="P127:P141"/>
    <mergeCell ref="P143:P146"/>
    <mergeCell ref="P148:P149"/>
    <mergeCell ref="P153:P155"/>
    <mergeCell ref="P159:P165"/>
    <mergeCell ref="P166:P171"/>
    <mergeCell ref="P177:P178"/>
    <mergeCell ref="P179:P181"/>
    <mergeCell ref="P182:P183"/>
    <mergeCell ref="P184:P185"/>
    <mergeCell ref="P194:P195"/>
    <mergeCell ref="P196:P197"/>
    <mergeCell ref="P202:P204"/>
    <mergeCell ref="P205:P206"/>
    <mergeCell ref="P209:P211"/>
    <mergeCell ref="P212:P214"/>
    <mergeCell ref="P221:P222"/>
    <mergeCell ref="P223:P224"/>
    <mergeCell ref="P225:P232"/>
    <mergeCell ref="P233:P240"/>
    <mergeCell ref="P250:P251"/>
    <mergeCell ref="P261:P262"/>
    <mergeCell ref="P263:P264"/>
    <mergeCell ref="P265:P268"/>
    <mergeCell ref="P269:P272"/>
    <mergeCell ref="P273:P274"/>
    <mergeCell ref="P275:P276"/>
    <mergeCell ref="P277:P278"/>
    <mergeCell ref="P279:P282"/>
    <mergeCell ref="P283:P286"/>
    <mergeCell ref="P287:P294"/>
    <mergeCell ref="P295:P302"/>
    <mergeCell ref="P303:P306"/>
    <mergeCell ref="P308:P311"/>
    <mergeCell ref="P316:P317"/>
    <mergeCell ref="P320:P328"/>
    <mergeCell ref="P329:P330"/>
    <mergeCell ref="P331:P332"/>
    <mergeCell ref="P335:P336"/>
    <mergeCell ref="P337:P338"/>
    <mergeCell ref="P339:P340"/>
    <mergeCell ref="P343:P344"/>
    <mergeCell ref="P345:P346"/>
    <mergeCell ref="P351:P352"/>
    <mergeCell ref="P356:P358"/>
    <mergeCell ref="P362:P363"/>
    <mergeCell ref="P373:P374"/>
    <mergeCell ref="P375:P376"/>
    <mergeCell ref="P377:P380"/>
    <mergeCell ref="P381:P382"/>
    <mergeCell ref="P388:P390"/>
    <mergeCell ref="P391:P393"/>
    <mergeCell ref="P394:P395"/>
    <mergeCell ref="P400:P402"/>
    <mergeCell ref="P403:P405"/>
    <mergeCell ref="P414:P418"/>
    <mergeCell ref="P419:P421"/>
    <mergeCell ref="P422:P424"/>
    <mergeCell ref="P427:P432"/>
    <mergeCell ref="P433:P438"/>
    <mergeCell ref="P443:P447"/>
    <mergeCell ref="P452:P453"/>
    <mergeCell ref="P454:P462"/>
    <mergeCell ref="P463:P471"/>
    <mergeCell ref="P479:P480"/>
    <mergeCell ref="P481:P482"/>
    <mergeCell ref="P484:P485"/>
    <mergeCell ref="Q5:Q16"/>
    <mergeCell ref="Q17:Q18"/>
    <mergeCell ref="Q22:Q26"/>
    <mergeCell ref="Q30:Q32"/>
    <mergeCell ref="Q35:Q36"/>
    <mergeCell ref="Q39:Q42"/>
    <mergeCell ref="Q47:Q49"/>
    <mergeCell ref="Q50:Q52"/>
    <mergeCell ref="Q56:Q59"/>
    <mergeCell ref="Q61:Q68"/>
    <mergeCell ref="Q72:Q75"/>
    <mergeCell ref="Q78:Q83"/>
    <mergeCell ref="Q85:Q86"/>
    <mergeCell ref="Q94:Q95"/>
    <mergeCell ref="Q97:Q98"/>
    <mergeCell ref="Q101:Q102"/>
    <mergeCell ref="Q106:Q107"/>
    <mergeCell ref="Q109:Q110"/>
    <mergeCell ref="Q111:Q112"/>
    <mergeCell ref="Q118:Q123"/>
    <mergeCell ref="Q124:Q126"/>
    <mergeCell ref="Q127:Q141"/>
    <mergeCell ref="Q143:Q146"/>
    <mergeCell ref="Q148:Q149"/>
    <mergeCell ref="Q153:Q155"/>
    <mergeCell ref="Q159:Q165"/>
    <mergeCell ref="Q166:Q171"/>
    <mergeCell ref="Q177:Q178"/>
    <mergeCell ref="Q179:Q181"/>
    <mergeCell ref="Q182:Q183"/>
    <mergeCell ref="Q184:Q185"/>
    <mergeCell ref="Q194:Q195"/>
    <mergeCell ref="Q196:Q197"/>
    <mergeCell ref="Q202:Q204"/>
    <mergeCell ref="Q205:Q206"/>
    <mergeCell ref="Q209:Q211"/>
    <mergeCell ref="Q212:Q214"/>
    <mergeCell ref="Q221:Q222"/>
    <mergeCell ref="Q223:Q224"/>
    <mergeCell ref="Q225:Q232"/>
    <mergeCell ref="Q233:Q240"/>
    <mergeCell ref="Q250:Q251"/>
    <mergeCell ref="Q261:Q262"/>
    <mergeCell ref="Q263:Q264"/>
    <mergeCell ref="Q265:Q268"/>
    <mergeCell ref="Q269:Q272"/>
    <mergeCell ref="Q273:Q274"/>
    <mergeCell ref="Q275:Q276"/>
    <mergeCell ref="Q277:Q278"/>
    <mergeCell ref="Q279:Q282"/>
    <mergeCell ref="Q283:Q286"/>
    <mergeCell ref="Q287:Q294"/>
    <mergeCell ref="Q295:Q302"/>
    <mergeCell ref="Q303:Q306"/>
    <mergeCell ref="Q308:Q311"/>
    <mergeCell ref="Q316:Q317"/>
    <mergeCell ref="Q320:Q328"/>
    <mergeCell ref="Q329:Q330"/>
    <mergeCell ref="Q331:Q332"/>
    <mergeCell ref="Q335:Q336"/>
    <mergeCell ref="Q337:Q338"/>
    <mergeCell ref="Q339:Q340"/>
    <mergeCell ref="Q343:Q344"/>
    <mergeCell ref="Q345:Q346"/>
    <mergeCell ref="Q351:Q352"/>
    <mergeCell ref="Q356:Q358"/>
    <mergeCell ref="Q362:Q363"/>
    <mergeCell ref="Q373:Q374"/>
    <mergeCell ref="Q375:Q376"/>
    <mergeCell ref="Q377:Q380"/>
    <mergeCell ref="Q381:Q382"/>
    <mergeCell ref="Q388:Q390"/>
    <mergeCell ref="Q391:Q393"/>
    <mergeCell ref="Q394:Q395"/>
    <mergeCell ref="Q400:Q402"/>
    <mergeCell ref="Q403:Q405"/>
    <mergeCell ref="Q414:Q418"/>
    <mergeCell ref="Q419:Q421"/>
    <mergeCell ref="Q422:Q424"/>
    <mergeCell ref="Q427:Q432"/>
    <mergeCell ref="Q433:Q438"/>
    <mergeCell ref="Q443:Q447"/>
    <mergeCell ref="Q452:Q453"/>
    <mergeCell ref="Q454:Q462"/>
    <mergeCell ref="Q463:Q471"/>
    <mergeCell ref="Q479:Q480"/>
    <mergeCell ref="Q481:Q482"/>
    <mergeCell ref="Q484:Q485"/>
    <mergeCell ref="R5:R16"/>
    <mergeCell ref="R17:R18"/>
    <mergeCell ref="R22:R26"/>
    <mergeCell ref="R30:R32"/>
    <mergeCell ref="R35:R36"/>
    <mergeCell ref="R39:R42"/>
    <mergeCell ref="R47:R49"/>
    <mergeCell ref="R50:R52"/>
    <mergeCell ref="R56:R59"/>
    <mergeCell ref="R61:R68"/>
    <mergeCell ref="R72:R75"/>
    <mergeCell ref="R78:R83"/>
    <mergeCell ref="R85:R86"/>
    <mergeCell ref="R94:R95"/>
    <mergeCell ref="R97:R98"/>
    <mergeCell ref="R101:R102"/>
    <mergeCell ref="R106:R107"/>
    <mergeCell ref="R109:R110"/>
    <mergeCell ref="R111:R112"/>
    <mergeCell ref="R118:R123"/>
    <mergeCell ref="R124:R126"/>
    <mergeCell ref="R127:R141"/>
    <mergeCell ref="R143:R146"/>
    <mergeCell ref="R148:R149"/>
    <mergeCell ref="R153:R155"/>
    <mergeCell ref="R159:R165"/>
    <mergeCell ref="R166:R171"/>
    <mergeCell ref="R177:R178"/>
    <mergeCell ref="R179:R181"/>
    <mergeCell ref="R182:R183"/>
    <mergeCell ref="R184:R185"/>
    <mergeCell ref="R194:R195"/>
    <mergeCell ref="R196:R197"/>
    <mergeCell ref="R202:R204"/>
    <mergeCell ref="R205:R206"/>
    <mergeCell ref="R209:R211"/>
    <mergeCell ref="R212:R214"/>
    <mergeCell ref="R221:R222"/>
    <mergeCell ref="R223:R224"/>
    <mergeCell ref="R225:R232"/>
    <mergeCell ref="R233:R240"/>
    <mergeCell ref="R250:R251"/>
    <mergeCell ref="R261:R262"/>
    <mergeCell ref="R263:R264"/>
    <mergeCell ref="R265:R268"/>
    <mergeCell ref="R269:R272"/>
    <mergeCell ref="R273:R274"/>
    <mergeCell ref="R275:R276"/>
    <mergeCell ref="R277:R278"/>
    <mergeCell ref="R279:R282"/>
    <mergeCell ref="R283:R286"/>
    <mergeCell ref="R287:R294"/>
    <mergeCell ref="R295:R302"/>
    <mergeCell ref="R303:R306"/>
    <mergeCell ref="R308:R311"/>
    <mergeCell ref="R316:R317"/>
    <mergeCell ref="R320:R328"/>
    <mergeCell ref="R329:R330"/>
    <mergeCell ref="R331:R332"/>
    <mergeCell ref="R335:R336"/>
    <mergeCell ref="R337:R338"/>
    <mergeCell ref="R339:R340"/>
    <mergeCell ref="R343:R344"/>
    <mergeCell ref="R345:R346"/>
    <mergeCell ref="R351:R352"/>
    <mergeCell ref="R356:R358"/>
    <mergeCell ref="R362:R363"/>
    <mergeCell ref="R373:R374"/>
    <mergeCell ref="R375:R376"/>
    <mergeCell ref="R377:R380"/>
    <mergeCell ref="R381:R382"/>
    <mergeCell ref="R388:R390"/>
    <mergeCell ref="R391:R393"/>
    <mergeCell ref="R394:R395"/>
    <mergeCell ref="R400:R402"/>
    <mergeCell ref="R403:R405"/>
    <mergeCell ref="R414:R418"/>
    <mergeCell ref="R419:R421"/>
    <mergeCell ref="R422:R424"/>
    <mergeCell ref="R427:R432"/>
    <mergeCell ref="R433:R438"/>
    <mergeCell ref="R443:R447"/>
    <mergeCell ref="R452:R453"/>
    <mergeCell ref="R454:R462"/>
    <mergeCell ref="R463:R471"/>
    <mergeCell ref="R479:R480"/>
    <mergeCell ref="R481:R482"/>
    <mergeCell ref="R484:R485"/>
    <mergeCell ref="S5:S16"/>
    <mergeCell ref="S17:S18"/>
    <mergeCell ref="S22:S26"/>
    <mergeCell ref="S30:S32"/>
    <mergeCell ref="S35:S37"/>
    <mergeCell ref="S39:S42"/>
    <mergeCell ref="S47:S49"/>
    <mergeCell ref="S50:S52"/>
    <mergeCell ref="S56:S59"/>
    <mergeCell ref="S61:S68"/>
    <mergeCell ref="S72:S75"/>
    <mergeCell ref="S78:S83"/>
    <mergeCell ref="S85:S86"/>
    <mergeCell ref="S94:S95"/>
    <mergeCell ref="S97:S98"/>
    <mergeCell ref="S101:S102"/>
    <mergeCell ref="S106:S107"/>
    <mergeCell ref="S109:S110"/>
    <mergeCell ref="S111:S112"/>
    <mergeCell ref="S118:S123"/>
    <mergeCell ref="S124:S126"/>
    <mergeCell ref="S127:S141"/>
    <mergeCell ref="S143:S146"/>
    <mergeCell ref="S148:S149"/>
    <mergeCell ref="S153:S155"/>
    <mergeCell ref="S159:S165"/>
    <mergeCell ref="S166:S171"/>
    <mergeCell ref="S177:S178"/>
    <mergeCell ref="S179:S181"/>
    <mergeCell ref="S182:S183"/>
    <mergeCell ref="S184:S185"/>
    <mergeCell ref="S194:S195"/>
    <mergeCell ref="S196:S197"/>
    <mergeCell ref="S202:S204"/>
    <mergeCell ref="S205:S206"/>
    <mergeCell ref="S209:S211"/>
    <mergeCell ref="S212:S214"/>
    <mergeCell ref="S221:S222"/>
    <mergeCell ref="S223:S224"/>
    <mergeCell ref="S225:S232"/>
    <mergeCell ref="S233:S240"/>
    <mergeCell ref="S250:S251"/>
    <mergeCell ref="S261:S262"/>
    <mergeCell ref="S263:S264"/>
    <mergeCell ref="S265:S268"/>
    <mergeCell ref="S269:S272"/>
    <mergeCell ref="S273:S274"/>
    <mergeCell ref="S275:S276"/>
    <mergeCell ref="S277:S278"/>
    <mergeCell ref="S279:S282"/>
    <mergeCell ref="S283:S286"/>
    <mergeCell ref="S287:S294"/>
    <mergeCell ref="S295:S302"/>
    <mergeCell ref="S303:S306"/>
    <mergeCell ref="S308:S311"/>
    <mergeCell ref="S316:S317"/>
    <mergeCell ref="S320:S328"/>
    <mergeCell ref="S329:S330"/>
    <mergeCell ref="S331:S332"/>
    <mergeCell ref="S335:S336"/>
    <mergeCell ref="S337:S338"/>
    <mergeCell ref="S339:S340"/>
    <mergeCell ref="S343:S344"/>
    <mergeCell ref="S345:S346"/>
    <mergeCell ref="S351:S352"/>
    <mergeCell ref="S356:S358"/>
    <mergeCell ref="S362:S363"/>
    <mergeCell ref="S373:S374"/>
    <mergeCell ref="S375:S376"/>
    <mergeCell ref="S377:S380"/>
    <mergeCell ref="S381:S382"/>
    <mergeCell ref="S388:S390"/>
    <mergeCell ref="S391:S393"/>
    <mergeCell ref="S394:S395"/>
    <mergeCell ref="S400:S402"/>
    <mergeCell ref="S403:S405"/>
    <mergeCell ref="S409:S413"/>
    <mergeCell ref="S414:S418"/>
    <mergeCell ref="S419:S421"/>
    <mergeCell ref="S422:S424"/>
    <mergeCell ref="S427:S432"/>
    <mergeCell ref="S433:S438"/>
    <mergeCell ref="S443:S447"/>
    <mergeCell ref="S452:S453"/>
    <mergeCell ref="S454:S462"/>
    <mergeCell ref="S463:S471"/>
    <mergeCell ref="S479:S480"/>
    <mergeCell ref="S481:S482"/>
    <mergeCell ref="S484:S485"/>
    <mergeCell ref="T5:T16"/>
    <mergeCell ref="T17:T18"/>
    <mergeCell ref="T22:T26"/>
    <mergeCell ref="T30:T32"/>
    <mergeCell ref="T35:T37"/>
    <mergeCell ref="T39:T42"/>
    <mergeCell ref="T47:T49"/>
    <mergeCell ref="T50:T52"/>
    <mergeCell ref="T56:T59"/>
    <mergeCell ref="T61:T68"/>
    <mergeCell ref="T72:T75"/>
    <mergeCell ref="T78:T83"/>
    <mergeCell ref="T85:T86"/>
    <mergeCell ref="T94:T95"/>
    <mergeCell ref="T97:T98"/>
    <mergeCell ref="T101:T102"/>
    <mergeCell ref="T106:T107"/>
    <mergeCell ref="T109:T110"/>
    <mergeCell ref="T111:T112"/>
    <mergeCell ref="T118:T123"/>
    <mergeCell ref="T124:T126"/>
    <mergeCell ref="T127:T141"/>
    <mergeCell ref="T143:T146"/>
    <mergeCell ref="T148:T149"/>
    <mergeCell ref="T153:T155"/>
    <mergeCell ref="T159:T165"/>
    <mergeCell ref="T166:T171"/>
    <mergeCell ref="T177:T178"/>
    <mergeCell ref="T179:T181"/>
    <mergeCell ref="T182:T183"/>
    <mergeCell ref="T184:T185"/>
    <mergeCell ref="T194:T195"/>
    <mergeCell ref="T196:T197"/>
    <mergeCell ref="T202:T204"/>
    <mergeCell ref="T205:T206"/>
    <mergeCell ref="T209:T211"/>
    <mergeCell ref="T212:T214"/>
    <mergeCell ref="T221:T222"/>
    <mergeCell ref="T223:T224"/>
    <mergeCell ref="T225:T232"/>
    <mergeCell ref="T233:T240"/>
    <mergeCell ref="T250:T251"/>
    <mergeCell ref="T261:T262"/>
    <mergeCell ref="T263:T264"/>
    <mergeCell ref="T265:T268"/>
    <mergeCell ref="T269:T272"/>
    <mergeCell ref="T273:T274"/>
    <mergeCell ref="T275:T276"/>
    <mergeCell ref="T277:T278"/>
    <mergeCell ref="T279:T282"/>
    <mergeCell ref="T283:T286"/>
    <mergeCell ref="T287:T294"/>
    <mergeCell ref="T295:T302"/>
    <mergeCell ref="T303:T306"/>
    <mergeCell ref="T308:T311"/>
    <mergeCell ref="T316:T317"/>
    <mergeCell ref="T320:T328"/>
    <mergeCell ref="T329:T330"/>
    <mergeCell ref="T331:T332"/>
    <mergeCell ref="T335:T336"/>
    <mergeCell ref="T337:T338"/>
    <mergeCell ref="T339:T340"/>
    <mergeCell ref="T343:T344"/>
    <mergeCell ref="T345:T346"/>
    <mergeCell ref="T351:T352"/>
    <mergeCell ref="T356:T358"/>
    <mergeCell ref="T362:T363"/>
    <mergeCell ref="T373:T374"/>
    <mergeCell ref="T375:T376"/>
    <mergeCell ref="T377:T380"/>
    <mergeCell ref="T381:T382"/>
    <mergeCell ref="T388:T390"/>
    <mergeCell ref="T391:T393"/>
    <mergeCell ref="T394:T395"/>
    <mergeCell ref="T400:T402"/>
    <mergeCell ref="T403:T405"/>
    <mergeCell ref="T409:T413"/>
    <mergeCell ref="T414:T418"/>
    <mergeCell ref="T419:T421"/>
    <mergeCell ref="T422:T424"/>
    <mergeCell ref="T427:T432"/>
    <mergeCell ref="T433:T438"/>
    <mergeCell ref="T443:T447"/>
    <mergeCell ref="T452:T453"/>
    <mergeCell ref="T454:T462"/>
    <mergeCell ref="T463:T471"/>
    <mergeCell ref="T479:T480"/>
    <mergeCell ref="T481:T482"/>
    <mergeCell ref="T484:T485"/>
  </mergeCells>
  <pageMargins left="0.275" right="0.314583333333333" top="0.472222222222222" bottom="1" header="0.5" footer="0.5"/>
  <pageSetup paperSize="9" scale="85" orientation="portrait" horizontalDpi="600"/>
  <headerFooter/>
  <ignoredErrors>
    <ignoredError sqref="H123:I123 H183:I183 H6:I16 H18:I18 H23:I26 H31:I32 H36:I36 H40:I42 H48:I49 H51:I52 H57:I59 H62:I68 H73:I75 H79:I83 H86:I86 H95:I95 H98:I98 H102:I102 H107:I107 H119:I121 H128:I141 H144:I146 H149:I149 H154:I155 H158:I158 H160:I165 H195:I195 H203:I204 H210:I211 H222:I222 H226:I232 H262:I262 H266:I268 H274:I274 H280:I282 H288:I294 H304:I306 H321:I328 H330:I330 H336:I336 H356:I359 H374:I374 H378:I380 H389:I390 H415:I416 H423:I424 H428:I432 H444:I447 H453:I453 H455:I462 H363:I364 H362 H360:I361 H418:I418" emptyCellReference="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07"/>
  <sheetViews>
    <sheetView topLeftCell="G1" workbookViewId="0">
      <pane ySplit="3" topLeftCell="A394" activePane="bottomLeft" state="frozen"/>
      <selection/>
      <selection pane="bottomLeft" activeCell="AH4" sqref="AH4:AJ406"/>
    </sheetView>
  </sheetViews>
  <sheetFormatPr defaultColWidth="9" defaultRowHeight="15.75"/>
  <cols>
    <col min="1" max="1" width="6.10833333333333" style="56" customWidth="1"/>
    <col min="2" max="2" width="15.375" style="57" customWidth="1"/>
    <col min="3" max="3" width="21.125" style="58" customWidth="1"/>
    <col min="4" max="4" width="19.625" style="59" customWidth="1"/>
    <col min="5" max="5" width="24.5" style="60" customWidth="1"/>
    <col min="6" max="6" width="23" style="60" customWidth="1"/>
    <col min="7" max="7" width="5.3" style="58" customWidth="1"/>
    <col min="8" max="16" width="8" style="58" customWidth="1"/>
    <col min="17" max="17" width="5.25" style="58" hidden="1" customWidth="1"/>
    <col min="18" max="19" width="8" style="58" hidden="1" customWidth="1"/>
    <col min="20" max="20" width="8" style="58" customWidth="1"/>
    <col min="21" max="21" width="25.875" style="60" customWidth="1"/>
    <col min="22" max="22" width="15.625" style="55" customWidth="1"/>
    <col min="23" max="23" width="13.375" style="55" hidden="1" customWidth="1"/>
    <col min="24" max="24" width="27.125" style="57" customWidth="1"/>
    <col min="25" max="25" width="27" style="58" hidden="1" customWidth="1"/>
    <col min="26" max="26" width="16.75" style="55" hidden="1" customWidth="1"/>
    <col min="27" max="27" width="6.125" style="55" customWidth="1"/>
    <col min="28" max="28" width="23.125" style="60" hidden="1" customWidth="1"/>
    <col min="29" max="30" width="7.875" style="55" customWidth="1"/>
    <col min="31" max="31" width="6.625" style="55" customWidth="1"/>
    <col min="32" max="40" width="9" style="52"/>
  </cols>
  <sheetData>
    <row r="1" s="52" customFormat="1" ht="53" customHeight="1" spans="1:31">
      <c r="A1" s="61" t="s">
        <v>0</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row>
    <row r="2" s="53" customFormat="1" ht="43" customHeight="1" spans="1:31">
      <c r="A2" s="62" t="s">
        <v>1</v>
      </c>
      <c r="B2" s="62"/>
      <c r="C2" s="62"/>
      <c r="D2" s="62"/>
      <c r="E2" s="62"/>
      <c r="F2" s="62"/>
      <c r="G2" s="62"/>
      <c r="H2" s="62"/>
      <c r="I2" s="62"/>
      <c r="J2" s="62"/>
      <c r="K2" s="62"/>
      <c r="L2" s="62"/>
      <c r="M2" s="62"/>
      <c r="N2" s="62"/>
      <c r="O2" s="62"/>
      <c r="P2" s="62"/>
      <c r="Q2" s="62"/>
      <c r="R2" s="62"/>
      <c r="S2" s="62"/>
      <c r="T2" s="62"/>
      <c r="U2" s="62"/>
      <c r="V2" s="103" t="s">
        <v>2</v>
      </c>
      <c r="W2" s="103"/>
      <c r="X2" s="103"/>
      <c r="Y2" s="103"/>
      <c r="Z2" s="103"/>
      <c r="AA2" s="103"/>
      <c r="AB2" s="103"/>
      <c r="AC2" s="103"/>
      <c r="AD2" s="103"/>
      <c r="AE2" s="103"/>
    </row>
    <row r="3" s="54" customFormat="1" ht="53" customHeight="1" spans="1:31">
      <c r="A3" s="40" t="s">
        <v>3</v>
      </c>
      <c r="B3" s="40" t="s">
        <v>4</v>
      </c>
      <c r="C3" s="40" t="s">
        <v>5</v>
      </c>
      <c r="D3" s="63" t="s">
        <v>6</v>
      </c>
      <c r="E3" s="40" t="s">
        <v>7</v>
      </c>
      <c r="F3" s="40" t="s">
        <v>8</v>
      </c>
      <c r="G3" s="40" t="s">
        <v>9</v>
      </c>
      <c r="H3" s="76" t="s">
        <v>10</v>
      </c>
      <c r="I3" s="76" t="s">
        <v>11</v>
      </c>
      <c r="J3" s="82" t="s">
        <v>12</v>
      </c>
      <c r="K3" s="82" t="s">
        <v>13</v>
      </c>
      <c r="L3" s="82" t="s">
        <v>14</v>
      </c>
      <c r="M3" s="82"/>
      <c r="N3" s="88" t="s">
        <v>15</v>
      </c>
      <c r="O3" s="88" t="s">
        <v>16</v>
      </c>
      <c r="P3" s="88" t="s">
        <v>17</v>
      </c>
      <c r="Q3" s="40" t="s">
        <v>18</v>
      </c>
      <c r="R3" s="40" t="s">
        <v>19</v>
      </c>
      <c r="S3" s="40" t="s">
        <v>20</v>
      </c>
      <c r="T3" s="82" t="s">
        <v>21</v>
      </c>
      <c r="U3" s="40" t="s">
        <v>22</v>
      </c>
      <c r="V3" s="14" t="s">
        <v>23</v>
      </c>
      <c r="W3" s="14" t="s">
        <v>4</v>
      </c>
      <c r="X3" s="15" t="s">
        <v>5</v>
      </c>
      <c r="Y3" s="14" t="s">
        <v>24</v>
      </c>
      <c r="Z3" s="14" t="s">
        <v>25</v>
      </c>
      <c r="AA3" s="14" t="s">
        <v>9</v>
      </c>
      <c r="AB3" s="14" t="s">
        <v>26</v>
      </c>
      <c r="AC3" s="88" t="s">
        <v>27</v>
      </c>
      <c r="AD3" s="88" t="s">
        <v>28</v>
      </c>
      <c r="AE3" s="88" t="s">
        <v>29</v>
      </c>
    </row>
    <row r="4" s="52" customFormat="1" ht="51" spans="1:36">
      <c r="A4" s="64">
        <v>1</v>
      </c>
      <c r="B4" s="64" t="s">
        <v>31</v>
      </c>
      <c r="C4" s="64" t="s">
        <v>32</v>
      </c>
      <c r="D4" s="65" t="s">
        <v>33</v>
      </c>
      <c r="E4" s="77" t="s">
        <v>34</v>
      </c>
      <c r="F4" s="77" t="s">
        <v>35</v>
      </c>
      <c r="G4" s="64" t="s">
        <v>36</v>
      </c>
      <c r="H4" s="78">
        <v>1</v>
      </c>
      <c r="I4" s="78">
        <v>1</v>
      </c>
      <c r="J4" s="83">
        <v>1.1</v>
      </c>
      <c r="K4" s="83">
        <v>1</v>
      </c>
      <c r="L4" s="83">
        <v>0.9</v>
      </c>
      <c r="M4" s="83"/>
      <c r="N4" s="89">
        <v>1</v>
      </c>
      <c r="O4" s="41">
        <v>1</v>
      </c>
      <c r="P4" s="90">
        <v>1</v>
      </c>
      <c r="Q4" s="64" t="s">
        <v>37</v>
      </c>
      <c r="R4" s="64" t="s">
        <v>35</v>
      </c>
      <c r="S4" s="64" t="s">
        <v>35</v>
      </c>
      <c r="T4" s="83" t="s">
        <v>38</v>
      </c>
      <c r="U4" s="104" t="s">
        <v>39</v>
      </c>
      <c r="V4" s="105" t="s">
        <v>40</v>
      </c>
      <c r="W4" s="105">
        <v>310300001</v>
      </c>
      <c r="X4" s="106" t="s">
        <v>41</v>
      </c>
      <c r="Y4" s="105" t="s">
        <v>42</v>
      </c>
      <c r="Z4" s="105"/>
      <c r="AA4" s="105" t="s">
        <v>36</v>
      </c>
      <c r="AB4" s="110" t="s">
        <v>35</v>
      </c>
      <c r="AC4" s="50">
        <v>1.1</v>
      </c>
      <c r="AD4" s="50">
        <v>1</v>
      </c>
      <c r="AE4" s="50">
        <v>0.9</v>
      </c>
      <c r="AF4" s="111">
        <f>IFERROR(FIND("-儿童（加收）",C4,1),0)</f>
        <v>0</v>
      </c>
      <c r="AG4" s="111" t="str">
        <f>SUBSTITUTE(C4,"-儿童（加收）","")</f>
        <v>视力检查费（普通）</v>
      </c>
      <c r="AH4" s="111">
        <f>IF(AF4&gt;0,_xlfn.MAXIFS(N:N,C:C,SUBSTITUTE(C4,"-儿童（加收）","")),0)+N4</f>
        <v>1</v>
      </c>
      <c r="AI4" s="111">
        <f>IF(AF4&gt;0,_xlfn.MAXIFS(O:O,C:C,SUBSTITUTE(C4,"-儿童（加收）","")),0)+O4</f>
        <v>1</v>
      </c>
      <c r="AJ4" s="111">
        <f>IF(AF4&gt;0,_xlfn.MAXIFS(P:P,C:C,SUBSTITUTE(C4,"-儿童（加收）","")),0)+P4</f>
        <v>1</v>
      </c>
    </row>
    <row r="5" s="52" customFormat="1" ht="24" customHeight="1" spans="1:36">
      <c r="A5" s="64">
        <v>2</v>
      </c>
      <c r="B5" s="64" t="s">
        <v>43</v>
      </c>
      <c r="C5" s="66" t="s">
        <v>44</v>
      </c>
      <c r="D5" s="65" t="s">
        <v>45</v>
      </c>
      <c r="E5" s="77" t="s">
        <v>46</v>
      </c>
      <c r="F5" s="77" t="s">
        <v>47</v>
      </c>
      <c r="G5" s="64" t="s">
        <v>36</v>
      </c>
      <c r="H5" s="78">
        <v>13</v>
      </c>
      <c r="I5" s="78">
        <v>13</v>
      </c>
      <c r="J5" s="84">
        <v>11.8962808290916</v>
      </c>
      <c r="K5" s="84">
        <v>10.794874487974</v>
      </c>
      <c r="L5" s="84">
        <v>10.7977055449331</v>
      </c>
      <c r="M5" s="84"/>
      <c r="N5" s="91">
        <v>12</v>
      </c>
      <c r="O5" s="92">
        <v>11.5</v>
      </c>
      <c r="P5" s="93">
        <v>11</v>
      </c>
      <c r="Q5" s="64" t="s">
        <v>37</v>
      </c>
      <c r="R5" s="64" t="s">
        <v>35</v>
      </c>
      <c r="S5" s="64" t="s">
        <v>35</v>
      </c>
      <c r="T5" s="84" t="s">
        <v>38</v>
      </c>
      <c r="U5" s="77" t="s">
        <v>48</v>
      </c>
      <c r="V5" s="105" t="s">
        <v>49</v>
      </c>
      <c r="W5" s="105">
        <v>310300002</v>
      </c>
      <c r="X5" s="105" t="s">
        <v>50</v>
      </c>
      <c r="Y5" s="110" t="s">
        <v>51</v>
      </c>
      <c r="Z5" s="105"/>
      <c r="AA5" s="105" t="s">
        <v>52</v>
      </c>
      <c r="AB5" s="110" t="s">
        <v>35</v>
      </c>
      <c r="AC5" s="50">
        <v>2.1</v>
      </c>
      <c r="AD5" s="50">
        <v>2</v>
      </c>
      <c r="AE5" s="50">
        <v>1.7</v>
      </c>
      <c r="AF5" s="111">
        <f t="shared" ref="AF5:AF68" si="0">IFERROR(FIND("-儿童（加收）",C5,1),0)</f>
        <v>0</v>
      </c>
      <c r="AG5" s="111" t="str">
        <f t="shared" ref="AG5:AG68" si="1">SUBSTITUTE(C5,"-儿童（加收）","")</f>
        <v>视力检查费（特殊）</v>
      </c>
      <c r="AH5" s="111">
        <f t="shared" ref="AH5:AH68" si="2">IF(AF5&gt;0,_xlfn.MAXIFS(N:N,C:C,SUBSTITUTE(C5,"-儿童（加收）","")),0)+N5</f>
        <v>12</v>
      </c>
      <c r="AI5" s="111">
        <f t="shared" ref="AI5:AI68" si="3">IF(AF5&gt;0,_xlfn.MAXIFS(O:O,C:C,SUBSTITUTE(C5,"-儿童（加收）","")),0)+O5</f>
        <v>11.5</v>
      </c>
      <c r="AJ5" s="111">
        <f t="shared" ref="AJ5:AJ68" si="4">IF(AF5&gt;0,_xlfn.MAXIFS(P:P,C:C,SUBSTITUTE(C5,"-儿童（加收）","")),0)+P5</f>
        <v>11</v>
      </c>
    </row>
    <row r="6" s="52" customFormat="1" ht="24" customHeight="1" spans="1:36">
      <c r="A6" s="64"/>
      <c r="B6" s="64"/>
      <c r="C6" s="66" t="s">
        <v>44</v>
      </c>
      <c r="D6" s="65"/>
      <c r="E6" s="77"/>
      <c r="F6" s="77"/>
      <c r="G6" s="64"/>
      <c r="H6" s="42"/>
      <c r="I6" s="42"/>
      <c r="J6" s="84"/>
      <c r="K6" s="84"/>
      <c r="L6" s="84"/>
      <c r="M6" s="84"/>
      <c r="N6" s="91">
        <v>12</v>
      </c>
      <c r="O6" s="92">
        <v>11.5</v>
      </c>
      <c r="P6" s="93">
        <v>11</v>
      </c>
      <c r="Q6" s="64"/>
      <c r="R6" s="64"/>
      <c r="S6" s="64"/>
      <c r="T6" s="84"/>
      <c r="U6" s="77"/>
      <c r="V6" s="105" t="s">
        <v>53</v>
      </c>
      <c r="W6" s="105">
        <v>31030000201</v>
      </c>
      <c r="X6" s="106" t="s">
        <v>54</v>
      </c>
      <c r="Y6" s="105"/>
      <c r="Z6" s="105"/>
      <c r="AA6" s="105" t="s">
        <v>52</v>
      </c>
      <c r="AB6" s="110" t="s">
        <v>55</v>
      </c>
      <c r="AC6" s="50">
        <v>2.1</v>
      </c>
      <c r="AD6" s="50">
        <v>2</v>
      </c>
      <c r="AE6" s="50">
        <v>1.7</v>
      </c>
      <c r="AF6" s="111">
        <f t="shared" si="0"/>
        <v>0</v>
      </c>
      <c r="AG6" s="111" t="str">
        <f t="shared" si="1"/>
        <v>视力检查费（特殊）</v>
      </c>
      <c r="AH6" s="111">
        <f t="shared" si="2"/>
        <v>12</v>
      </c>
      <c r="AI6" s="111">
        <f t="shared" si="3"/>
        <v>11.5</v>
      </c>
      <c r="AJ6" s="111">
        <f t="shared" si="4"/>
        <v>11</v>
      </c>
    </row>
    <row r="7" s="52" customFormat="1" ht="24" customHeight="1" spans="1:36">
      <c r="A7" s="64"/>
      <c r="B7" s="64"/>
      <c r="C7" s="66" t="s">
        <v>44</v>
      </c>
      <c r="D7" s="65"/>
      <c r="E7" s="77"/>
      <c r="F7" s="77"/>
      <c r="G7" s="64"/>
      <c r="H7" s="42"/>
      <c r="I7" s="42"/>
      <c r="J7" s="84"/>
      <c r="K7" s="84"/>
      <c r="L7" s="84"/>
      <c r="M7" s="84"/>
      <c r="N7" s="91">
        <v>12</v>
      </c>
      <c r="O7" s="92">
        <v>11.5</v>
      </c>
      <c r="P7" s="93">
        <v>11</v>
      </c>
      <c r="Q7" s="64"/>
      <c r="R7" s="64"/>
      <c r="S7" s="64"/>
      <c r="T7" s="84"/>
      <c r="U7" s="77"/>
      <c r="V7" s="105" t="s">
        <v>56</v>
      </c>
      <c r="W7" s="105">
        <v>31030000202</v>
      </c>
      <c r="X7" s="106" t="s">
        <v>57</v>
      </c>
      <c r="Y7" s="105"/>
      <c r="Z7" s="105"/>
      <c r="AA7" s="105" t="s">
        <v>52</v>
      </c>
      <c r="AB7" s="110" t="s">
        <v>58</v>
      </c>
      <c r="AC7" s="50">
        <v>2.1</v>
      </c>
      <c r="AD7" s="50">
        <v>2</v>
      </c>
      <c r="AE7" s="50">
        <v>1.7</v>
      </c>
      <c r="AF7" s="111">
        <f t="shared" si="0"/>
        <v>0</v>
      </c>
      <c r="AG7" s="111" t="str">
        <f t="shared" si="1"/>
        <v>视力检查费（特殊）</v>
      </c>
      <c r="AH7" s="111">
        <f t="shared" si="2"/>
        <v>12</v>
      </c>
      <c r="AI7" s="111">
        <f t="shared" si="3"/>
        <v>11.5</v>
      </c>
      <c r="AJ7" s="111">
        <f t="shared" si="4"/>
        <v>11</v>
      </c>
    </row>
    <row r="8" s="52" customFormat="1" ht="24" customHeight="1" spans="1:36">
      <c r="A8" s="64"/>
      <c r="B8" s="64"/>
      <c r="C8" s="66" t="s">
        <v>44</v>
      </c>
      <c r="D8" s="65"/>
      <c r="E8" s="77"/>
      <c r="F8" s="77"/>
      <c r="G8" s="64"/>
      <c r="H8" s="42"/>
      <c r="I8" s="42"/>
      <c r="J8" s="84"/>
      <c r="K8" s="84"/>
      <c r="L8" s="84"/>
      <c r="M8" s="84"/>
      <c r="N8" s="91">
        <v>12</v>
      </c>
      <c r="O8" s="92">
        <v>11.5</v>
      </c>
      <c r="P8" s="93">
        <v>11</v>
      </c>
      <c r="Q8" s="64"/>
      <c r="R8" s="64"/>
      <c r="S8" s="64"/>
      <c r="T8" s="84"/>
      <c r="U8" s="77"/>
      <c r="V8" s="105" t="s">
        <v>59</v>
      </c>
      <c r="W8" s="105">
        <v>31030000203</v>
      </c>
      <c r="X8" s="106" t="s">
        <v>60</v>
      </c>
      <c r="Y8" s="105"/>
      <c r="Z8" s="105"/>
      <c r="AA8" s="105" t="s">
        <v>52</v>
      </c>
      <c r="AB8" s="110" t="s">
        <v>61</v>
      </c>
      <c r="AC8" s="50">
        <v>2.1</v>
      </c>
      <c r="AD8" s="50">
        <v>2</v>
      </c>
      <c r="AE8" s="50">
        <v>1.7</v>
      </c>
      <c r="AF8" s="111">
        <f t="shared" si="0"/>
        <v>0</v>
      </c>
      <c r="AG8" s="111" t="str">
        <f t="shared" si="1"/>
        <v>视力检查费（特殊）</v>
      </c>
      <c r="AH8" s="111">
        <f t="shared" si="2"/>
        <v>12</v>
      </c>
      <c r="AI8" s="111">
        <f t="shared" si="3"/>
        <v>11.5</v>
      </c>
      <c r="AJ8" s="111">
        <f t="shared" si="4"/>
        <v>11</v>
      </c>
    </row>
    <row r="9" s="52" customFormat="1" ht="24" customHeight="1" spans="1:36">
      <c r="A9" s="64"/>
      <c r="B9" s="64"/>
      <c r="C9" s="66" t="s">
        <v>44</v>
      </c>
      <c r="D9" s="65"/>
      <c r="E9" s="77"/>
      <c r="F9" s="77"/>
      <c r="G9" s="64"/>
      <c r="H9" s="42"/>
      <c r="I9" s="42"/>
      <c r="J9" s="84"/>
      <c r="K9" s="84"/>
      <c r="L9" s="84"/>
      <c r="M9" s="84"/>
      <c r="N9" s="91">
        <v>12</v>
      </c>
      <c r="O9" s="92">
        <v>11.5</v>
      </c>
      <c r="P9" s="93">
        <v>11</v>
      </c>
      <c r="Q9" s="64"/>
      <c r="R9" s="64"/>
      <c r="S9" s="64"/>
      <c r="T9" s="84"/>
      <c r="U9" s="77"/>
      <c r="V9" s="105" t="s">
        <v>62</v>
      </c>
      <c r="W9" s="105">
        <v>31030000204</v>
      </c>
      <c r="X9" s="106" t="s">
        <v>63</v>
      </c>
      <c r="Y9" s="105"/>
      <c r="Z9" s="105"/>
      <c r="AA9" s="105" t="s">
        <v>52</v>
      </c>
      <c r="AB9" s="110" t="s">
        <v>64</v>
      </c>
      <c r="AC9" s="50">
        <v>2.1</v>
      </c>
      <c r="AD9" s="50">
        <v>2</v>
      </c>
      <c r="AE9" s="50">
        <v>1.7</v>
      </c>
      <c r="AF9" s="111">
        <f t="shared" si="0"/>
        <v>0</v>
      </c>
      <c r="AG9" s="111" t="str">
        <f t="shared" si="1"/>
        <v>视力检查费（特殊）</v>
      </c>
      <c r="AH9" s="111">
        <f t="shared" si="2"/>
        <v>12</v>
      </c>
      <c r="AI9" s="111">
        <f t="shared" si="3"/>
        <v>11.5</v>
      </c>
      <c r="AJ9" s="111">
        <f t="shared" si="4"/>
        <v>11</v>
      </c>
    </row>
    <row r="10" s="52" customFormat="1" ht="24" customHeight="1" spans="1:36">
      <c r="A10" s="64"/>
      <c r="B10" s="64"/>
      <c r="C10" s="66" t="s">
        <v>44</v>
      </c>
      <c r="D10" s="65"/>
      <c r="E10" s="77"/>
      <c r="F10" s="77"/>
      <c r="G10" s="64"/>
      <c r="H10" s="42"/>
      <c r="I10" s="42"/>
      <c r="J10" s="84"/>
      <c r="K10" s="84"/>
      <c r="L10" s="84"/>
      <c r="M10" s="84"/>
      <c r="N10" s="91">
        <v>12</v>
      </c>
      <c r="O10" s="92">
        <v>11.5</v>
      </c>
      <c r="P10" s="93">
        <v>11</v>
      </c>
      <c r="Q10" s="64"/>
      <c r="R10" s="64"/>
      <c r="S10" s="64"/>
      <c r="T10" s="84"/>
      <c r="U10" s="77"/>
      <c r="V10" s="105" t="s">
        <v>65</v>
      </c>
      <c r="W10" s="105">
        <v>310300003</v>
      </c>
      <c r="X10" s="106" t="s">
        <v>66</v>
      </c>
      <c r="Y10" s="105"/>
      <c r="Z10" s="105"/>
      <c r="AA10" s="105" t="s">
        <v>36</v>
      </c>
      <c r="AB10" s="110" t="s">
        <v>35</v>
      </c>
      <c r="AC10" s="50">
        <v>2.1</v>
      </c>
      <c r="AD10" s="50">
        <v>2</v>
      </c>
      <c r="AE10" s="50">
        <v>1.7</v>
      </c>
      <c r="AF10" s="111">
        <f t="shared" si="0"/>
        <v>0</v>
      </c>
      <c r="AG10" s="111" t="str">
        <f t="shared" si="1"/>
        <v>视力检查费（特殊）</v>
      </c>
      <c r="AH10" s="111">
        <f t="shared" si="2"/>
        <v>12</v>
      </c>
      <c r="AI10" s="111">
        <f t="shared" si="3"/>
        <v>11.5</v>
      </c>
      <c r="AJ10" s="111">
        <f t="shared" si="4"/>
        <v>11</v>
      </c>
    </row>
    <row r="11" s="52" customFormat="1" ht="24" customHeight="1" spans="1:36">
      <c r="A11" s="64"/>
      <c r="B11" s="64"/>
      <c r="C11" s="66" t="s">
        <v>44</v>
      </c>
      <c r="D11" s="65"/>
      <c r="E11" s="77"/>
      <c r="F11" s="77"/>
      <c r="G11" s="64"/>
      <c r="H11" s="42"/>
      <c r="I11" s="42"/>
      <c r="J11" s="84"/>
      <c r="K11" s="84"/>
      <c r="L11" s="84"/>
      <c r="M11" s="84"/>
      <c r="N11" s="91">
        <v>12</v>
      </c>
      <c r="O11" s="92">
        <v>11.5</v>
      </c>
      <c r="P11" s="93">
        <v>11</v>
      </c>
      <c r="Q11" s="64"/>
      <c r="R11" s="64"/>
      <c r="S11" s="64"/>
      <c r="T11" s="84"/>
      <c r="U11" s="77"/>
      <c r="V11" s="105" t="s">
        <v>67</v>
      </c>
      <c r="W11" s="105">
        <v>310300004</v>
      </c>
      <c r="X11" s="106" t="s">
        <v>68</v>
      </c>
      <c r="Y11" s="105"/>
      <c r="Z11" s="105"/>
      <c r="AA11" s="105" t="s">
        <v>36</v>
      </c>
      <c r="AB11" s="110" t="s">
        <v>35</v>
      </c>
      <c r="AC11" s="50">
        <v>5.3</v>
      </c>
      <c r="AD11" s="50">
        <v>5</v>
      </c>
      <c r="AE11" s="50">
        <v>4.3</v>
      </c>
      <c r="AF11" s="111">
        <f t="shared" si="0"/>
        <v>0</v>
      </c>
      <c r="AG11" s="111" t="str">
        <f t="shared" si="1"/>
        <v>视力检查费（特殊）</v>
      </c>
      <c r="AH11" s="111">
        <f t="shared" si="2"/>
        <v>12</v>
      </c>
      <c r="AI11" s="111">
        <f t="shared" si="3"/>
        <v>11.5</v>
      </c>
      <c r="AJ11" s="111">
        <f t="shared" si="4"/>
        <v>11</v>
      </c>
    </row>
    <row r="12" s="52" customFormat="1" ht="24" customHeight="1" spans="1:36">
      <c r="A12" s="64"/>
      <c r="B12" s="64"/>
      <c r="C12" s="66" t="s">
        <v>44</v>
      </c>
      <c r="D12" s="65"/>
      <c r="E12" s="77"/>
      <c r="F12" s="77"/>
      <c r="G12" s="64"/>
      <c r="H12" s="42"/>
      <c r="I12" s="42"/>
      <c r="J12" s="84"/>
      <c r="K12" s="84"/>
      <c r="L12" s="84"/>
      <c r="M12" s="84"/>
      <c r="N12" s="91">
        <v>12</v>
      </c>
      <c r="O12" s="92">
        <v>11.5</v>
      </c>
      <c r="P12" s="93">
        <v>11</v>
      </c>
      <c r="Q12" s="64"/>
      <c r="R12" s="64"/>
      <c r="S12" s="64"/>
      <c r="T12" s="84"/>
      <c r="U12" s="77"/>
      <c r="V12" s="105" t="s">
        <v>69</v>
      </c>
      <c r="W12" s="105">
        <v>310300006</v>
      </c>
      <c r="X12" s="106" t="s">
        <v>70</v>
      </c>
      <c r="Y12" s="105"/>
      <c r="Z12" s="105"/>
      <c r="AA12" s="105" t="s">
        <v>71</v>
      </c>
      <c r="AB12" s="110" t="s">
        <v>35</v>
      </c>
      <c r="AC12" s="50">
        <v>2.1</v>
      </c>
      <c r="AD12" s="50">
        <v>2</v>
      </c>
      <c r="AE12" s="50">
        <v>1.7</v>
      </c>
      <c r="AF12" s="111">
        <f t="shared" si="0"/>
        <v>0</v>
      </c>
      <c r="AG12" s="111" t="str">
        <f t="shared" si="1"/>
        <v>视力检查费（特殊）</v>
      </c>
      <c r="AH12" s="111">
        <f t="shared" si="2"/>
        <v>12</v>
      </c>
      <c r="AI12" s="111">
        <f t="shared" si="3"/>
        <v>11.5</v>
      </c>
      <c r="AJ12" s="111">
        <f t="shared" si="4"/>
        <v>11</v>
      </c>
    </row>
    <row r="13" s="52" customFormat="1" ht="24" customHeight="1" spans="1:36">
      <c r="A13" s="64"/>
      <c r="B13" s="64"/>
      <c r="C13" s="66" t="s">
        <v>44</v>
      </c>
      <c r="D13" s="65"/>
      <c r="E13" s="77"/>
      <c r="F13" s="77"/>
      <c r="G13" s="64"/>
      <c r="H13" s="42"/>
      <c r="I13" s="42"/>
      <c r="J13" s="84"/>
      <c r="K13" s="84"/>
      <c r="L13" s="84"/>
      <c r="M13" s="84"/>
      <c r="N13" s="91">
        <v>12</v>
      </c>
      <c r="O13" s="92">
        <v>11.5</v>
      </c>
      <c r="P13" s="93">
        <v>11</v>
      </c>
      <c r="Q13" s="64"/>
      <c r="R13" s="64"/>
      <c r="S13" s="64"/>
      <c r="T13" s="84"/>
      <c r="U13" s="77"/>
      <c r="V13" s="105" t="s">
        <v>72</v>
      </c>
      <c r="W13" s="105">
        <v>310300021</v>
      </c>
      <c r="X13" s="106" t="s">
        <v>73</v>
      </c>
      <c r="Y13" s="105"/>
      <c r="Z13" s="105"/>
      <c r="AA13" s="105" t="s">
        <v>36</v>
      </c>
      <c r="AB13" s="110" t="s">
        <v>74</v>
      </c>
      <c r="AC13" s="50">
        <v>3.2</v>
      </c>
      <c r="AD13" s="50">
        <v>3</v>
      </c>
      <c r="AE13" s="50">
        <v>2.6</v>
      </c>
      <c r="AF13" s="111">
        <f t="shared" si="0"/>
        <v>0</v>
      </c>
      <c r="AG13" s="111" t="str">
        <f t="shared" si="1"/>
        <v>视力检查费（特殊）</v>
      </c>
      <c r="AH13" s="111">
        <f t="shared" si="2"/>
        <v>12</v>
      </c>
      <c r="AI13" s="111">
        <f t="shared" si="3"/>
        <v>11.5</v>
      </c>
      <c r="AJ13" s="111">
        <f t="shared" si="4"/>
        <v>11</v>
      </c>
    </row>
    <row r="14" s="52" customFormat="1" ht="24" customHeight="1" spans="1:36">
      <c r="A14" s="64"/>
      <c r="B14" s="64"/>
      <c r="C14" s="66" t="s">
        <v>44</v>
      </c>
      <c r="D14" s="65"/>
      <c r="E14" s="77"/>
      <c r="F14" s="77"/>
      <c r="G14" s="64"/>
      <c r="H14" s="42"/>
      <c r="I14" s="42"/>
      <c r="J14" s="84"/>
      <c r="K14" s="84"/>
      <c r="L14" s="84"/>
      <c r="M14" s="84"/>
      <c r="N14" s="91">
        <v>12</v>
      </c>
      <c r="O14" s="92">
        <v>11.5</v>
      </c>
      <c r="P14" s="93">
        <v>11</v>
      </c>
      <c r="Q14" s="64"/>
      <c r="R14" s="64"/>
      <c r="S14" s="64"/>
      <c r="T14" s="84"/>
      <c r="U14" s="77"/>
      <c r="V14" s="105" t="s">
        <v>75</v>
      </c>
      <c r="W14" s="105">
        <v>31030002101</v>
      </c>
      <c r="X14" s="106" t="s">
        <v>76</v>
      </c>
      <c r="Y14" s="105"/>
      <c r="Z14" s="105"/>
      <c r="AA14" s="105" t="s">
        <v>36</v>
      </c>
      <c r="AB14" s="110" t="s">
        <v>77</v>
      </c>
      <c r="AC14" s="50">
        <v>15.8</v>
      </c>
      <c r="AD14" s="50">
        <v>15</v>
      </c>
      <c r="AE14" s="50">
        <v>12.8</v>
      </c>
      <c r="AF14" s="111">
        <f t="shared" si="0"/>
        <v>0</v>
      </c>
      <c r="AG14" s="111" t="str">
        <f t="shared" si="1"/>
        <v>视力检查费（特殊）</v>
      </c>
      <c r="AH14" s="111">
        <f t="shared" si="2"/>
        <v>12</v>
      </c>
      <c r="AI14" s="111">
        <f t="shared" si="3"/>
        <v>11.5</v>
      </c>
      <c r="AJ14" s="111">
        <f t="shared" si="4"/>
        <v>11</v>
      </c>
    </row>
    <row r="15" s="52" customFormat="1" ht="24" customHeight="1" spans="1:36">
      <c r="A15" s="64"/>
      <c r="B15" s="64"/>
      <c r="C15" s="66" t="s">
        <v>44</v>
      </c>
      <c r="D15" s="65"/>
      <c r="E15" s="77"/>
      <c r="F15" s="77"/>
      <c r="G15" s="64"/>
      <c r="H15" s="42"/>
      <c r="I15" s="42"/>
      <c r="J15" s="84"/>
      <c r="K15" s="84"/>
      <c r="L15" s="84"/>
      <c r="M15" s="84"/>
      <c r="N15" s="91">
        <v>12</v>
      </c>
      <c r="O15" s="92">
        <v>11.5</v>
      </c>
      <c r="P15" s="93">
        <v>11</v>
      </c>
      <c r="Q15" s="64"/>
      <c r="R15" s="64"/>
      <c r="S15" s="64"/>
      <c r="T15" s="84"/>
      <c r="U15" s="77"/>
      <c r="V15" s="105" t="s">
        <v>78</v>
      </c>
      <c r="W15" s="105">
        <v>310300022</v>
      </c>
      <c r="X15" s="106" t="s">
        <v>79</v>
      </c>
      <c r="Y15" s="105" t="s">
        <v>80</v>
      </c>
      <c r="Z15" s="105"/>
      <c r="AA15" s="105" t="s">
        <v>36</v>
      </c>
      <c r="AB15" s="110" t="s">
        <v>35</v>
      </c>
      <c r="AC15" s="50">
        <v>15.8</v>
      </c>
      <c r="AD15" s="50">
        <v>15</v>
      </c>
      <c r="AE15" s="50">
        <v>12.8</v>
      </c>
      <c r="AF15" s="111">
        <f t="shared" si="0"/>
        <v>0</v>
      </c>
      <c r="AG15" s="111" t="str">
        <f t="shared" si="1"/>
        <v>视力检查费（特殊）</v>
      </c>
      <c r="AH15" s="111">
        <f t="shared" si="2"/>
        <v>12</v>
      </c>
      <c r="AI15" s="111">
        <f t="shared" si="3"/>
        <v>11.5</v>
      </c>
      <c r="AJ15" s="111">
        <f t="shared" si="4"/>
        <v>11</v>
      </c>
    </row>
    <row r="16" s="55" customFormat="1" ht="24" customHeight="1" spans="1:36">
      <c r="A16" s="64"/>
      <c r="B16" s="64"/>
      <c r="C16" s="66" t="s">
        <v>44</v>
      </c>
      <c r="D16" s="65"/>
      <c r="E16" s="77"/>
      <c r="F16" s="77"/>
      <c r="G16" s="64"/>
      <c r="H16" s="42"/>
      <c r="I16" s="42"/>
      <c r="J16" s="84"/>
      <c r="K16" s="84"/>
      <c r="L16" s="84"/>
      <c r="M16" s="84"/>
      <c r="N16" s="91">
        <v>12</v>
      </c>
      <c r="O16" s="92">
        <v>11.5</v>
      </c>
      <c r="P16" s="93">
        <v>11</v>
      </c>
      <c r="Q16" s="64"/>
      <c r="R16" s="64"/>
      <c r="S16" s="64"/>
      <c r="T16" s="84"/>
      <c r="U16" s="77"/>
      <c r="V16" s="105" t="s">
        <v>81</v>
      </c>
      <c r="W16" s="105">
        <v>310300023</v>
      </c>
      <c r="X16" s="106" t="s">
        <v>82</v>
      </c>
      <c r="Y16" s="105"/>
      <c r="Z16" s="105"/>
      <c r="AA16" s="105" t="s">
        <v>36</v>
      </c>
      <c r="AB16" s="110" t="s">
        <v>35</v>
      </c>
      <c r="AC16" s="50">
        <v>15.8</v>
      </c>
      <c r="AD16" s="50">
        <v>15</v>
      </c>
      <c r="AE16" s="50">
        <v>12.8</v>
      </c>
      <c r="AF16" s="111">
        <f t="shared" si="0"/>
        <v>0</v>
      </c>
      <c r="AG16" s="111" t="str">
        <f t="shared" si="1"/>
        <v>视力检查费（特殊）</v>
      </c>
      <c r="AH16" s="111">
        <f t="shared" si="2"/>
        <v>12</v>
      </c>
      <c r="AI16" s="111">
        <f t="shared" si="3"/>
        <v>11.5</v>
      </c>
      <c r="AJ16" s="111">
        <f t="shared" si="4"/>
        <v>11</v>
      </c>
    </row>
    <row r="17" s="52" customFormat="1" ht="58" customHeight="1" spans="1:36">
      <c r="A17" s="64">
        <v>3</v>
      </c>
      <c r="B17" s="64" t="s">
        <v>83</v>
      </c>
      <c r="C17" s="66" t="s">
        <v>84</v>
      </c>
      <c r="D17" s="65" t="s">
        <v>85</v>
      </c>
      <c r="E17" s="77" t="s">
        <v>86</v>
      </c>
      <c r="F17" s="77"/>
      <c r="G17" s="64" t="s">
        <v>36</v>
      </c>
      <c r="H17" s="78">
        <v>8</v>
      </c>
      <c r="I17" s="78">
        <v>8</v>
      </c>
      <c r="J17" s="84">
        <v>7.2693566816128</v>
      </c>
      <c r="K17" s="84">
        <v>6.07445620112714</v>
      </c>
      <c r="L17" s="84">
        <v>5.26667935480801</v>
      </c>
      <c r="M17" s="84"/>
      <c r="N17" s="91">
        <v>7.5</v>
      </c>
      <c r="O17" s="91">
        <v>7</v>
      </c>
      <c r="P17" s="93">
        <v>6.5</v>
      </c>
      <c r="Q17" s="64" t="s">
        <v>37</v>
      </c>
      <c r="R17" s="64" t="s">
        <v>35</v>
      </c>
      <c r="S17" s="64" t="s">
        <v>35</v>
      </c>
      <c r="T17" s="83" t="s">
        <v>38</v>
      </c>
      <c r="U17" s="77" t="s">
        <v>87</v>
      </c>
      <c r="V17" s="105" t="s">
        <v>88</v>
      </c>
      <c r="W17" s="105">
        <v>310300007</v>
      </c>
      <c r="X17" s="106" t="s">
        <v>89</v>
      </c>
      <c r="Y17" s="105" t="s">
        <v>90</v>
      </c>
      <c r="Z17" s="105"/>
      <c r="AA17" s="105" t="s">
        <v>52</v>
      </c>
      <c r="AB17" s="110" t="s">
        <v>91</v>
      </c>
      <c r="AC17" s="50">
        <v>5.3</v>
      </c>
      <c r="AD17" s="50">
        <v>5</v>
      </c>
      <c r="AE17" s="50">
        <v>4.3</v>
      </c>
      <c r="AF17" s="111">
        <f t="shared" si="0"/>
        <v>0</v>
      </c>
      <c r="AG17" s="111" t="str">
        <f t="shared" si="1"/>
        <v>散瞳验光费</v>
      </c>
      <c r="AH17" s="111">
        <f t="shared" si="2"/>
        <v>7.5</v>
      </c>
      <c r="AI17" s="111">
        <f t="shared" si="3"/>
        <v>7</v>
      </c>
      <c r="AJ17" s="111">
        <f t="shared" si="4"/>
        <v>6.5</v>
      </c>
    </row>
    <row r="18" s="52" customFormat="1" ht="25.5" spans="1:36">
      <c r="A18" s="64"/>
      <c r="B18" s="64"/>
      <c r="C18" s="66" t="s">
        <v>84</v>
      </c>
      <c r="D18" s="65"/>
      <c r="E18" s="77"/>
      <c r="F18" s="77"/>
      <c r="G18" s="64"/>
      <c r="H18" s="42"/>
      <c r="I18" s="42"/>
      <c r="J18" s="84"/>
      <c r="K18" s="84"/>
      <c r="L18" s="84"/>
      <c r="M18" s="84"/>
      <c r="N18" s="91">
        <v>7.5</v>
      </c>
      <c r="O18" s="91">
        <v>7</v>
      </c>
      <c r="P18" s="93">
        <v>6.5</v>
      </c>
      <c r="Q18" s="64"/>
      <c r="R18" s="64"/>
      <c r="S18" s="64"/>
      <c r="T18" s="83"/>
      <c r="U18" s="77"/>
      <c r="V18" s="105" t="s">
        <v>92</v>
      </c>
      <c r="W18" s="105">
        <v>31030000701</v>
      </c>
      <c r="X18" s="106" t="s">
        <v>93</v>
      </c>
      <c r="Y18" s="105"/>
      <c r="Z18" s="105"/>
      <c r="AA18" s="105" t="s">
        <v>52</v>
      </c>
      <c r="AB18" s="110" t="s">
        <v>94</v>
      </c>
      <c r="AC18" s="50">
        <v>2.1</v>
      </c>
      <c r="AD18" s="50">
        <v>2</v>
      </c>
      <c r="AE18" s="50">
        <v>1.7</v>
      </c>
      <c r="AF18" s="111">
        <f t="shared" si="0"/>
        <v>0</v>
      </c>
      <c r="AG18" s="111" t="str">
        <f t="shared" si="1"/>
        <v>散瞳验光费</v>
      </c>
      <c r="AH18" s="111">
        <f t="shared" si="2"/>
        <v>7.5</v>
      </c>
      <c r="AI18" s="111">
        <f t="shared" si="3"/>
        <v>7</v>
      </c>
      <c r="AJ18" s="111">
        <f t="shared" si="4"/>
        <v>6.5</v>
      </c>
    </row>
    <row r="19" s="55" customFormat="1" ht="27" customHeight="1" spans="1:36">
      <c r="A19" s="64">
        <v>5</v>
      </c>
      <c r="B19" s="64" t="s">
        <v>105</v>
      </c>
      <c r="C19" s="66" t="s">
        <v>106</v>
      </c>
      <c r="D19" s="65" t="s">
        <v>107</v>
      </c>
      <c r="E19" s="77" t="s">
        <v>108</v>
      </c>
      <c r="F19" s="77" t="s">
        <v>109</v>
      </c>
      <c r="G19" s="64" t="s">
        <v>110</v>
      </c>
      <c r="H19" s="78">
        <v>8</v>
      </c>
      <c r="I19" s="78">
        <v>7</v>
      </c>
      <c r="J19" s="84">
        <v>8.39602734262716</v>
      </c>
      <c r="K19" s="84">
        <v>7.94769722669448</v>
      </c>
      <c r="L19" s="84">
        <v>6.77511482502148</v>
      </c>
      <c r="M19" s="84"/>
      <c r="N19" s="91">
        <v>8</v>
      </c>
      <c r="O19" s="91">
        <v>7</v>
      </c>
      <c r="P19" s="93">
        <v>6.5</v>
      </c>
      <c r="Q19" s="64" t="s">
        <v>37</v>
      </c>
      <c r="R19" s="64" t="s">
        <v>35</v>
      </c>
      <c r="S19" s="64" t="s">
        <v>35</v>
      </c>
      <c r="T19" s="83" t="s">
        <v>38</v>
      </c>
      <c r="U19" s="77" t="s">
        <v>111</v>
      </c>
      <c r="V19" s="105" t="s">
        <v>112</v>
      </c>
      <c r="W19" s="105">
        <v>310300027</v>
      </c>
      <c r="X19" s="105" t="s">
        <v>113</v>
      </c>
      <c r="Y19" s="105" t="s">
        <v>114</v>
      </c>
      <c r="Z19" s="105"/>
      <c r="AA19" s="105" t="s">
        <v>36</v>
      </c>
      <c r="AB19" s="110" t="s">
        <v>115</v>
      </c>
      <c r="AC19" s="50">
        <v>4.2</v>
      </c>
      <c r="AD19" s="50">
        <v>4</v>
      </c>
      <c r="AE19" s="50">
        <v>3.4</v>
      </c>
      <c r="AF19" s="111">
        <f t="shared" si="0"/>
        <v>0</v>
      </c>
      <c r="AG19" s="111" t="str">
        <f t="shared" si="1"/>
        <v>眼压检查费</v>
      </c>
      <c r="AH19" s="111">
        <f t="shared" si="2"/>
        <v>8</v>
      </c>
      <c r="AI19" s="111">
        <f t="shared" si="3"/>
        <v>7</v>
      </c>
      <c r="AJ19" s="111">
        <f t="shared" si="4"/>
        <v>6.5</v>
      </c>
    </row>
    <row r="20" s="55" customFormat="1" ht="27" customHeight="1" spans="1:36">
      <c r="A20" s="64"/>
      <c r="B20" s="64"/>
      <c r="C20" s="66" t="s">
        <v>106</v>
      </c>
      <c r="D20" s="65"/>
      <c r="E20" s="77"/>
      <c r="F20" s="77"/>
      <c r="G20" s="64"/>
      <c r="H20" s="42"/>
      <c r="I20" s="42"/>
      <c r="J20" s="84"/>
      <c r="K20" s="84"/>
      <c r="L20" s="84"/>
      <c r="M20" s="84"/>
      <c r="N20" s="91">
        <v>8</v>
      </c>
      <c r="O20" s="91">
        <v>7</v>
      </c>
      <c r="P20" s="93">
        <v>6.5</v>
      </c>
      <c r="Q20" s="64"/>
      <c r="R20" s="64"/>
      <c r="S20" s="64"/>
      <c r="T20" s="83"/>
      <c r="U20" s="77"/>
      <c r="V20" s="105" t="s">
        <v>116</v>
      </c>
      <c r="W20" s="105">
        <v>31030002701</v>
      </c>
      <c r="X20" s="106" t="s">
        <v>117</v>
      </c>
      <c r="Y20" s="105"/>
      <c r="Z20" s="105"/>
      <c r="AA20" s="105" t="s">
        <v>36</v>
      </c>
      <c r="AB20" s="110" t="s">
        <v>118</v>
      </c>
      <c r="AC20" s="50">
        <v>8.4</v>
      </c>
      <c r="AD20" s="50">
        <v>8</v>
      </c>
      <c r="AE20" s="50">
        <v>6.8</v>
      </c>
      <c r="AF20" s="111">
        <f t="shared" si="0"/>
        <v>0</v>
      </c>
      <c r="AG20" s="111" t="str">
        <f t="shared" si="1"/>
        <v>眼压检查费</v>
      </c>
      <c r="AH20" s="111">
        <f t="shared" si="2"/>
        <v>8</v>
      </c>
      <c r="AI20" s="111">
        <f t="shared" si="3"/>
        <v>7</v>
      </c>
      <c r="AJ20" s="111">
        <f t="shared" si="4"/>
        <v>6.5</v>
      </c>
    </row>
    <row r="21" s="55" customFormat="1" ht="27" customHeight="1" spans="1:36">
      <c r="A21" s="64"/>
      <c r="B21" s="64"/>
      <c r="C21" s="66" t="s">
        <v>106</v>
      </c>
      <c r="D21" s="65"/>
      <c r="E21" s="77"/>
      <c r="F21" s="77"/>
      <c r="G21" s="64"/>
      <c r="H21" s="42"/>
      <c r="I21" s="42"/>
      <c r="J21" s="84"/>
      <c r="K21" s="84"/>
      <c r="L21" s="84"/>
      <c r="M21" s="84"/>
      <c r="N21" s="91">
        <v>8</v>
      </c>
      <c r="O21" s="91">
        <v>7</v>
      </c>
      <c r="P21" s="93">
        <v>6.5</v>
      </c>
      <c r="Q21" s="64"/>
      <c r="R21" s="64"/>
      <c r="S21" s="64"/>
      <c r="T21" s="83"/>
      <c r="U21" s="77"/>
      <c r="V21" s="105" t="s">
        <v>119</v>
      </c>
      <c r="W21" s="105">
        <v>31030002702</v>
      </c>
      <c r="X21" s="106" t="s">
        <v>120</v>
      </c>
      <c r="Y21" s="105"/>
      <c r="Z21" s="105"/>
      <c r="AA21" s="105" t="s">
        <v>36</v>
      </c>
      <c r="AB21" s="110" t="s">
        <v>121</v>
      </c>
      <c r="AC21" s="50">
        <v>8.4</v>
      </c>
      <c r="AD21" s="50">
        <v>8</v>
      </c>
      <c r="AE21" s="50">
        <v>6.8</v>
      </c>
      <c r="AF21" s="111">
        <f t="shared" si="0"/>
        <v>0</v>
      </c>
      <c r="AG21" s="111" t="str">
        <f t="shared" si="1"/>
        <v>眼压检查费</v>
      </c>
      <c r="AH21" s="111">
        <f t="shared" si="2"/>
        <v>8</v>
      </c>
      <c r="AI21" s="111">
        <f t="shared" si="3"/>
        <v>7</v>
      </c>
      <c r="AJ21" s="111">
        <f t="shared" si="4"/>
        <v>6.5</v>
      </c>
    </row>
    <row r="22" s="55" customFormat="1" ht="27" customHeight="1" spans="1:36">
      <c r="A22" s="64"/>
      <c r="B22" s="64"/>
      <c r="C22" s="66" t="s">
        <v>106</v>
      </c>
      <c r="D22" s="65"/>
      <c r="E22" s="77"/>
      <c r="F22" s="77"/>
      <c r="G22" s="64"/>
      <c r="H22" s="42"/>
      <c r="I22" s="42"/>
      <c r="J22" s="84"/>
      <c r="K22" s="84"/>
      <c r="L22" s="84"/>
      <c r="M22" s="84"/>
      <c r="N22" s="91">
        <v>8</v>
      </c>
      <c r="O22" s="91">
        <v>7</v>
      </c>
      <c r="P22" s="93">
        <v>6.5</v>
      </c>
      <c r="Q22" s="64"/>
      <c r="R22" s="64"/>
      <c r="S22" s="64"/>
      <c r="T22" s="83"/>
      <c r="U22" s="77"/>
      <c r="V22" s="105" t="s">
        <v>122</v>
      </c>
      <c r="W22" s="105">
        <v>310300029</v>
      </c>
      <c r="X22" s="106" t="s">
        <v>123</v>
      </c>
      <c r="Y22" s="105"/>
      <c r="Z22" s="105"/>
      <c r="AA22" s="105" t="s">
        <v>36</v>
      </c>
      <c r="AB22" s="110" t="s">
        <v>35</v>
      </c>
      <c r="AC22" s="50">
        <v>10.5</v>
      </c>
      <c r="AD22" s="50">
        <v>10</v>
      </c>
      <c r="AE22" s="50">
        <v>8.5</v>
      </c>
      <c r="AF22" s="111">
        <f t="shared" si="0"/>
        <v>0</v>
      </c>
      <c r="AG22" s="111" t="str">
        <f t="shared" si="1"/>
        <v>眼压检查费</v>
      </c>
      <c r="AH22" s="111">
        <f t="shared" si="2"/>
        <v>8</v>
      </c>
      <c r="AI22" s="111">
        <f t="shared" si="3"/>
        <v>7</v>
      </c>
      <c r="AJ22" s="111">
        <f t="shared" si="4"/>
        <v>6.5</v>
      </c>
    </row>
    <row r="23" s="55" customFormat="1" ht="27" customHeight="1" spans="1:36">
      <c r="A23" s="64"/>
      <c r="B23" s="64"/>
      <c r="C23" s="66" t="s">
        <v>106</v>
      </c>
      <c r="D23" s="65"/>
      <c r="E23" s="77"/>
      <c r="F23" s="77"/>
      <c r="G23" s="64"/>
      <c r="H23" s="42"/>
      <c r="I23" s="42"/>
      <c r="J23" s="84"/>
      <c r="K23" s="84"/>
      <c r="L23" s="84"/>
      <c r="M23" s="84"/>
      <c r="N23" s="91">
        <v>8</v>
      </c>
      <c r="O23" s="91">
        <v>7</v>
      </c>
      <c r="P23" s="93">
        <v>6.5</v>
      </c>
      <c r="Q23" s="64"/>
      <c r="R23" s="64"/>
      <c r="S23" s="64"/>
      <c r="T23" s="83"/>
      <c r="U23" s="77"/>
      <c r="V23" s="105" t="s">
        <v>124</v>
      </c>
      <c r="W23" s="105">
        <v>310300028</v>
      </c>
      <c r="X23" s="106" t="s">
        <v>125</v>
      </c>
      <c r="Y23" s="105"/>
      <c r="Z23" s="105"/>
      <c r="AA23" s="105" t="s">
        <v>36</v>
      </c>
      <c r="AB23" s="110" t="s">
        <v>35</v>
      </c>
      <c r="AC23" s="50">
        <v>15.8</v>
      </c>
      <c r="AD23" s="50">
        <v>15</v>
      </c>
      <c r="AE23" s="50">
        <v>12.8</v>
      </c>
      <c r="AF23" s="111">
        <f t="shared" si="0"/>
        <v>0</v>
      </c>
      <c r="AG23" s="111" t="str">
        <f t="shared" si="1"/>
        <v>眼压检查费</v>
      </c>
      <c r="AH23" s="111">
        <f t="shared" si="2"/>
        <v>8</v>
      </c>
      <c r="AI23" s="111">
        <f t="shared" si="3"/>
        <v>7</v>
      </c>
      <c r="AJ23" s="111">
        <f t="shared" si="4"/>
        <v>6.5</v>
      </c>
    </row>
    <row r="24" s="52" customFormat="1" ht="77" customHeight="1" spans="1:36">
      <c r="A24" s="64">
        <v>6</v>
      </c>
      <c r="B24" s="64" t="s">
        <v>126</v>
      </c>
      <c r="C24" s="64" t="s">
        <v>127</v>
      </c>
      <c r="D24" s="65" t="s">
        <v>128</v>
      </c>
      <c r="E24" s="77" t="s">
        <v>129</v>
      </c>
      <c r="F24" s="77" t="s">
        <v>130</v>
      </c>
      <c r="G24" s="64" t="s">
        <v>36</v>
      </c>
      <c r="H24" s="78">
        <v>15</v>
      </c>
      <c r="I24" s="78">
        <v>13.5</v>
      </c>
      <c r="J24" s="83">
        <v>15.8</v>
      </c>
      <c r="K24" s="83">
        <v>15</v>
      </c>
      <c r="L24" s="83">
        <v>12.8</v>
      </c>
      <c r="M24" s="83"/>
      <c r="N24" s="94">
        <v>15</v>
      </c>
      <c r="O24" s="94">
        <v>13.5</v>
      </c>
      <c r="P24" s="50">
        <v>12</v>
      </c>
      <c r="Q24" s="64" t="s">
        <v>37</v>
      </c>
      <c r="R24" s="64" t="s">
        <v>35</v>
      </c>
      <c r="S24" s="64" t="s">
        <v>35</v>
      </c>
      <c r="T24" s="83" t="s">
        <v>131</v>
      </c>
      <c r="U24" s="77" t="s">
        <v>132</v>
      </c>
      <c r="V24" s="105" t="s">
        <v>133</v>
      </c>
      <c r="W24" s="105">
        <v>310300037</v>
      </c>
      <c r="X24" s="105" t="s">
        <v>134</v>
      </c>
      <c r="Y24" s="110" t="s">
        <v>135</v>
      </c>
      <c r="Z24" s="105"/>
      <c r="AA24" s="105" t="s">
        <v>36</v>
      </c>
      <c r="AB24" s="105" t="s">
        <v>35</v>
      </c>
      <c r="AC24" s="50">
        <v>15.8</v>
      </c>
      <c r="AD24" s="50">
        <v>15</v>
      </c>
      <c r="AE24" s="50">
        <v>12.8</v>
      </c>
      <c r="AF24" s="111">
        <f t="shared" si="0"/>
        <v>0</v>
      </c>
      <c r="AG24" s="111" t="str">
        <f t="shared" si="1"/>
        <v>眼压检查费（青光眼激发）</v>
      </c>
      <c r="AH24" s="111">
        <f t="shared" si="2"/>
        <v>15</v>
      </c>
      <c r="AI24" s="111">
        <f t="shared" si="3"/>
        <v>13.5</v>
      </c>
      <c r="AJ24" s="111">
        <f t="shared" si="4"/>
        <v>12</v>
      </c>
    </row>
    <row r="25" s="52" customFormat="1" ht="63" customHeight="1" spans="1:36">
      <c r="A25" s="64">
        <v>7</v>
      </c>
      <c r="B25" s="64" t="s">
        <v>139</v>
      </c>
      <c r="C25" s="64" t="s">
        <v>140</v>
      </c>
      <c r="D25" s="65" t="s">
        <v>141</v>
      </c>
      <c r="E25" s="77" t="s">
        <v>142</v>
      </c>
      <c r="F25" s="77" t="s">
        <v>35</v>
      </c>
      <c r="G25" s="64" t="s">
        <v>36</v>
      </c>
      <c r="H25" s="78">
        <v>5</v>
      </c>
      <c r="I25" s="78">
        <v>5</v>
      </c>
      <c r="J25" s="83">
        <v>5.3</v>
      </c>
      <c r="K25" s="83">
        <v>5</v>
      </c>
      <c r="L25" s="83">
        <v>4.3</v>
      </c>
      <c r="M25" s="83"/>
      <c r="N25" s="94">
        <v>5</v>
      </c>
      <c r="O25" s="41">
        <v>5</v>
      </c>
      <c r="P25" s="50">
        <v>4.3</v>
      </c>
      <c r="Q25" s="64" t="s">
        <v>37</v>
      </c>
      <c r="R25" s="64" t="s">
        <v>35</v>
      </c>
      <c r="S25" s="64" t="s">
        <v>35</v>
      </c>
      <c r="T25" s="83" t="s">
        <v>131</v>
      </c>
      <c r="U25" s="77" t="s">
        <v>143</v>
      </c>
      <c r="V25" s="105" t="s">
        <v>144</v>
      </c>
      <c r="W25" s="105">
        <v>310300020</v>
      </c>
      <c r="X25" s="105" t="s">
        <v>145</v>
      </c>
      <c r="Y25" s="105" t="s">
        <v>146</v>
      </c>
      <c r="Z25" s="105"/>
      <c r="AA25" s="105" t="s">
        <v>36</v>
      </c>
      <c r="AB25" s="110" t="s">
        <v>35</v>
      </c>
      <c r="AC25" s="50">
        <v>5.3</v>
      </c>
      <c r="AD25" s="50">
        <v>5</v>
      </c>
      <c r="AE25" s="50">
        <v>4.3</v>
      </c>
      <c r="AF25" s="111">
        <f t="shared" si="0"/>
        <v>0</v>
      </c>
      <c r="AG25" s="111" t="str">
        <f t="shared" si="1"/>
        <v>色觉检查费</v>
      </c>
      <c r="AH25" s="111">
        <f t="shared" si="2"/>
        <v>5</v>
      </c>
      <c r="AI25" s="111">
        <f t="shared" si="3"/>
        <v>5</v>
      </c>
      <c r="AJ25" s="111">
        <f t="shared" si="4"/>
        <v>4.3</v>
      </c>
    </row>
    <row r="26" s="52" customFormat="1" ht="25" customHeight="1" spans="1:36">
      <c r="A26" s="64">
        <v>8</v>
      </c>
      <c r="B26" s="64" t="s">
        <v>147</v>
      </c>
      <c r="C26" s="66" t="s">
        <v>148</v>
      </c>
      <c r="D26" s="65" t="s">
        <v>149</v>
      </c>
      <c r="E26" s="77" t="s">
        <v>150</v>
      </c>
      <c r="F26" s="77" t="s">
        <v>35</v>
      </c>
      <c r="G26" s="64" t="s">
        <v>110</v>
      </c>
      <c r="H26" s="78">
        <v>30</v>
      </c>
      <c r="I26" s="78">
        <v>27</v>
      </c>
      <c r="J26" s="84">
        <v>30.8149096791588</v>
      </c>
      <c r="K26" s="84">
        <v>29.8163030998852</v>
      </c>
      <c r="L26" s="84">
        <v>16.4252669039146</v>
      </c>
      <c r="M26" s="84"/>
      <c r="N26" s="92">
        <v>30</v>
      </c>
      <c r="O26" s="92">
        <v>27</v>
      </c>
      <c r="P26" s="95">
        <v>22</v>
      </c>
      <c r="Q26" s="64" t="s">
        <v>37</v>
      </c>
      <c r="R26" s="64" t="s">
        <v>35</v>
      </c>
      <c r="S26" s="64" t="s">
        <v>35</v>
      </c>
      <c r="T26" s="83" t="s">
        <v>38</v>
      </c>
      <c r="U26" s="104" t="s">
        <v>151</v>
      </c>
      <c r="V26" s="105" t="s">
        <v>152</v>
      </c>
      <c r="W26" s="105">
        <v>310300005</v>
      </c>
      <c r="X26" s="106" t="s">
        <v>153</v>
      </c>
      <c r="Y26" s="105" t="s">
        <v>154</v>
      </c>
      <c r="Z26" s="105"/>
      <c r="AA26" s="105" t="s">
        <v>71</v>
      </c>
      <c r="AB26" s="110" t="s">
        <v>155</v>
      </c>
      <c r="AC26" s="50">
        <v>10.5</v>
      </c>
      <c r="AD26" s="50">
        <v>10</v>
      </c>
      <c r="AE26" s="50">
        <v>8.5</v>
      </c>
      <c r="AF26" s="111">
        <f t="shared" si="0"/>
        <v>0</v>
      </c>
      <c r="AG26" s="111" t="str">
        <f t="shared" si="1"/>
        <v>视野检查费</v>
      </c>
      <c r="AH26" s="111">
        <f t="shared" si="2"/>
        <v>30</v>
      </c>
      <c r="AI26" s="111">
        <f t="shared" si="3"/>
        <v>27</v>
      </c>
      <c r="AJ26" s="111">
        <f t="shared" si="4"/>
        <v>22</v>
      </c>
    </row>
    <row r="27" s="52" customFormat="1" ht="25" customHeight="1" spans="1:36">
      <c r="A27" s="64"/>
      <c r="B27" s="64"/>
      <c r="C27" s="66" t="s">
        <v>148</v>
      </c>
      <c r="D27" s="65"/>
      <c r="E27" s="77"/>
      <c r="F27" s="77"/>
      <c r="G27" s="64"/>
      <c r="H27" s="42"/>
      <c r="I27" s="42"/>
      <c r="J27" s="84"/>
      <c r="K27" s="84"/>
      <c r="L27" s="84"/>
      <c r="M27" s="84"/>
      <c r="N27" s="92">
        <v>30</v>
      </c>
      <c r="O27" s="92">
        <v>27</v>
      </c>
      <c r="P27" s="95">
        <v>22</v>
      </c>
      <c r="Q27" s="64"/>
      <c r="R27" s="64"/>
      <c r="S27" s="64"/>
      <c r="T27" s="83"/>
      <c r="U27" s="104"/>
      <c r="V27" s="105" t="s">
        <v>156</v>
      </c>
      <c r="W27" s="105">
        <v>31030000501</v>
      </c>
      <c r="X27" s="106" t="s">
        <v>157</v>
      </c>
      <c r="Y27" s="105"/>
      <c r="Z27" s="105"/>
      <c r="AA27" s="105" t="s">
        <v>71</v>
      </c>
      <c r="AB27" s="110" t="s">
        <v>158</v>
      </c>
      <c r="AC27" s="50">
        <v>31.5</v>
      </c>
      <c r="AD27" s="50">
        <v>30</v>
      </c>
      <c r="AE27" s="50">
        <v>25.5</v>
      </c>
      <c r="AF27" s="111">
        <f t="shared" si="0"/>
        <v>0</v>
      </c>
      <c r="AG27" s="111" t="str">
        <f t="shared" si="1"/>
        <v>视野检查费</v>
      </c>
      <c r="AH27" s="111">
        <f t="shared" si="2"/>
        <v>30</v>
      </c>
      <c r="AI27" s="111">
        <f t="shared" si="3"/>
        <v>27</v>
      </c>
      <c r="AJ27" s="111">
        <f t="shared" si="4"/>
        <v>22</v>
      </c>
    </row>
    <row r="28" s="52" customFormat="1" ht="25" customHeight="1" spans="1:36">
      <c r="A28" s="64"/>
      <c r="B28" s="64"/>
      <c r="C28" s="66" t="s">
        <v>148</v>
      </c>
      <c r="D28" s="65"/>
      <c r="E28" s="77"/>
      <c r="F28" s="77"/>
      <c r="G28" s="64"/>
      <c r="H28" s="42"/>
      <c r="I28" s="42"/>
      <c r="J28" s="84"/>
      <c r="K28" s="84"/>
      <c r="L28" s="84"/>
      <c r="M28" s="84"/>
      <c r="N28" s="92">
        <v>30</v>
      </c>
      <c r="O28" s="92">
        <v>27</v>
      </c>
      <c r="P28" s="95">
        <v>22</v>
      </c>
      <c r="Q28" s="64"/>
      <c r="R28" s="64"/>
      <c r="S28" s="64"/>
      <c r="T28" s="83"/>
      <c r="U28" s="104"/>
      <c r="V28" s="105" t="s">
        <v>159</v>
      </c>
      <c r="W28" s="105">
        <v>31030000502</v>
      </c>
      <c r="X28" s="106" t="s">
        <v>160</v>
      </c>
      <c r="Y28" s="105"/>
      <c r="Z28" s="105"/>
      <c r="AA28" s="105" t="s">
        <v>71</v>
      </c>
      <c r="AB28" s="110" t="s">
        <v>161</v>
      </c>
      <c r="AC28" s="50">
        <v>31.5</v>
      </c>
      <c r="AD28" s="50">
        <v>30</v>
      </c>
      <c r="AE28" s="50">
        <v>25.5</v>
      </c>
      <c r="AF28" s="111">
        <f t="shared" si="0"/>
        <v>0</v>
      </c>
      <c r="AG28" s="111" t="str">
        <f t="shared" si="1"/>
        <v>视野检查费</v>
      </c>
      <c r="AH28" s="111">
        <f t="shared" si="2"/>
        <v>30</v>
      </c>
      <c r="AI28" s="111">
        <f t="shared" si="3"/>
        <v>27</v>
      </c>
      <c r="AJ28" s="111">
        <f t="shared" si="4"/>
        <v>22</v>
      </c>
    </row>
    <row r="29" s="55" customFormat="1" ht="72" customHeight="1" spans="1:36">
      <c r="A29" s="64">
        <v>9</v>
      </c>
      <c r="B29" s="64" t="s">
        <v>162</v>
      </c>
      <c r="C29" s="64" t="s">
        <v>163</v>
      </c>
      <c r="D29" s="65" t="s">
        <v>164</v>
      </c>
      <c r="E29" s="77" t="s">
        <v>165</v>
      </c>
      <c r="F29" s="77" t="s">
        <v>35</v>
      </c>
      <c r="G29" s="64" t="s">
        <v>110</v>
      </c>
      <c r="H29" s="78">
        <v>8</v>
      </c>
      <c r="I29" s="78">
        <v>7</v>
      </c>
      <c r="J29" s="83">
        <v>8.4</v>
      </c>
      <c r="K29" s="83">
        <v>8</v>
      </c>
      <c r="L29" s="83">
        <v>6.8</v>
      </c>
      <c r="M29" s="83"/>
      <c r="N29" s="94">
        <v>8</v>
      </c>
      <c r="O29" s="94">
        <v>7</v>
      </c>
      <c r="P29" s="96">
        <v>6</v>
      </c>
      <c r="Q29" s="64" t="s">
        <v>37</v>
      </c>
      <c r="R29" s="64" t="s">
        <v>35</v>
      </c>
      <c r="S29" s="64" t="s">
        <v>35</v>
      </c>
      <c r="T29" s="83" t="s">
        <v>38</v>
      </c>
      <c r="U29" s="77" t="s">
        <v>132</v>
      </c>
      <c r="V29" s="105" t="s">
        <v>166</v>
      </c>
      <c r="W29" s="105">
        <v>310300035</v>
      </c>
      <c r="X29" s="106" t="s">
        <v>167</v>
      </c>
      <c r="Y29" s="105"/>
      <c r="Z29" s="105"/>
      <c r="AA29" s="105" t="s">
        <v>36</v>
      </c>
      <c r="AB29" s="110" t="s">
        <v>35</v>
      </c>
      <c r="AC29" s="50">
        <v>8.4</v>
      </c>
      <c r="AD29" s="50">
        <v>8</v>
      </c>
      <c r="AE29" s="50">
        <v>6.8</v>
      </c>
      <c r="AF29" s="111">
        <f t="shared" si="0"/>
        <v>0</v>
      </c>
      <c r="AG29" s="111" t="str">
        <f t="shared" si="1"/>
        <v>泪液分泌功能测定费</v>
      </c>
      <c r="AH29" s="111">
        <f t="shared" si="2"/>
        <v>8</v>
      </c>
      <c r="AI29" s="111">
        <f t="shared" si="3"/>
        <v>7</v>
      </c>
      <c r="AJ29" s="111">
        <f t="shared" si="4"/>
        <v>6</v>
      </c>
    </row>
    <row r="30" s="52" customFormat="1" ht="75" customHeight="1" spans="1:36">
      <c r="A30" s="64">
        <v>10</v>
      </c>
      <c r="B30" s="64" t="s">
        <v>168</v>
      </c>
      <c r="C30" s="64" t="s">
        <v>169</v>
      </c>
      <c r="D30" s="65" t="s">
        <v>170</v>
      </c>
      <c r="E30" s="77" t="s">
        <v>171</v>
      </c>
      <c r="F30" s="77" t="s">
        <v>35</v>
      </c>
      <c r="G30" s="64" t="s">
        <v>110</v>
      </c>
      <c r="H30" s="78">
        <v>10</v>
      </c>
      <c r="I30" s="78">
        <v>9</v>
      </c>
      <c r="J30" s="83">
        <v>10.5</v>
      </c>
      <c r="K30" s="83">
        <v>10</v>
      </c>
      <c r="L30" s="83">
        <v>8.5</v>
      </c>
      <c r="M30" s="83"/>
      <c r="N30" s="94">
        <v>10</v>
      </c>
      <c r="O30" s="94">
        <v>9</v>
      </c>
      <c r="P30" s="96">
        <v>8</v>
      </c>
      <c r="Q30" s="64" t="s">
        <v>37</v>
      </c>
      <c r="R30" s="64" t="s">
        <v>35</v>
      </c>
      <c r="S30" s="64" t="s">
        <v>35</v>
      </c>
      <c r="T30" s="83" t="s">
        <v>38</v>
      </c>
      <c r="U30" s="77" t="s">
        <v>132</v>
      </c>
      <c r="V30" s="105" t="s">
        <v>172</v>
      </c>
      <c r="W30" s="105">
        <v>310300034</v>
      </c>
      <c r="X30" s="106" t="s">
        <v>173</v>
      </c>
      <c r="Y30" s="105"/>
      <c r="Z30" s="105"/>
      <c r="AA30" s="105" t="s">
        <v>36</v>
      </c>
      <c r="AB30" s="110" t="s">
        <v>35</v>
      </c>
      <c r="AC30" s="50">
        <v>10.5</v>
      </c>
      <c r="AD30" s="50">
        <v>10</v>
      </c>
      <c r="AE30" s="50">
        <v>8.5</v>
      </c>
      <c r="AF30" s="111">
        <f t="shared" si="0"/>
        <v>0</v>
      </c>
      <c r="AG30" s="111" t="str">
        <f t="shared" si="1"/>
        <v>泪膜分析测定费</v>
      </c>
      <c r="AH30" s="111">
        <f t="shared" si="2"/>
        <v>10</v>
      </c>
      <c r="AI30" s="111">
        <f t="shared" si="3"/>
        <v>9</v>
      </c>
      <c r="AJ30" s="111">
        <f t="shared" si="4"/>
        <v>8</v>
      </c>
    </row>
    <row r="31" s="52" customFormat="1" ht="39" customHeight="1" spans="1:36">
      <c r="A31" s="67">
        <v>11</v>
      </c>
      <c r="B31" s="67" t="s">
        <v>174</v>
      </c>
      <c r="C31" s="68" t="s">
        <v>175</v>
      </c>
      <c r="D31" s="69" t="s">
        <v>176</v>
      </c>
      <c r="E31" s="67" t="s">
        <v>171</v>
      </c>
      <c r="F31" s="67" t="s">
        <v>35</v>
      </c>
      <c r="G31" s="67" t="s">
        <v>36</v>
      </c>
      <c r="H31" s="79">
        <v>8</v>
      </c>
      <c r="I31" s="79">
        <v>7</v>
      </c>
      <c r="J31" s="85">
        <v>7.69687217851155</v>
      </c>
      <c r="K31" s="85">
        <v>7.98832684824903</v>
      </c>
      <c r="L31" s="85">
        <v>6.8</v>
      </c>
      <c r="M31" s="85"/>
      <c r="N31" s="97">
        <v>8</v>
      </c>
      <c r="O31" s="97">
        <v>7</v>
      </c>
      <c r="P31" s="98">
        <v>6</v>
      </c>
      <c r="Q31" s="64" t="s">
        <v>37</v>
      </c>
      <c r="R31" s="64" t="s">
        <v>35</v>
      </c>
      <c r="S31" s="64" t="s">
        <v>35</v>
      </c>
      <c r="T31" s="85" t="s">
        <v>38</v>
      </c>
      <c r="U31" s="107" t="s">
        <v>177</v>
      </c>
      <c r="V31" s="105" t="s">
        <v>178</v>
      </c>
      <c r="W31" s="105">
        <v>310300016</v>
      </c>
      <c r="X31" s="106" t="s">
        <v>179</v>
      </c>
      <c r="Y31" s="105"/>
      <c r="Z31" s="105"/>
      <c r="AA31" s="105" t="s">
        <v>36</v>
      </c>
      <c r="AB31" s="110" t="s">
        <v>35</v>
      </c>
      <c r="AC31" s="50">
        <v>8.4</v>
      </c>
      <c r="AD31" s="50">
        <v>8</v>
      </c>
      <c r="AE31" s="50">
        <v>6.8</v>
      </c>
      <c r="AF31" s="111">
        <f t="shared" si="0"/>
        <v>0</v>
      </c>
      <c r="AG31" s="111" t="str">
        <f t="shared" si="1"/>
        <v>复视检查费</v>
      </c>
      <c r="AH31" s="111">
        <f t="shared" si="2"/>
        <v>8</v>
      </c>
      <c r="AI31" s="111">
        <f t="shared" si="3"/>
        <v>7</v>
      </c>
      <c r="AJ31" s="111">
        <f t="shared" si="4"/>
        <v>6</v>
      </c>
    </row>
    <row r="32" s="52" customFormat="1" ht="39" customHeight="1" spans="1:36">
      <c r="A32" s="70"/>
      <c r="B32" s="70"/>
      <c r="C32" s="71" t="s">
        <v>175</v>
      </c>
      <c r="D32" s="72"/>
      <c r="E32" s="70"/>
      <c r="F32" s="70"/>
      <c r="G32" s="70"/>
      <c r="H32" s="80"/>
      <c r="I32" s="80"/>
      <c r="J32" s="86"/>
      <c r="K32" s="86"/>
      <c r="L32" s="86"/>
      <c r="M32" s="86"/>
      <c r="N32" s="99">
        <v>8</v>
      </c>
      <c r="O32" s="99">
        <v>7</v>
      </c>
      <c r="P32" s="100">
        <v>6</v>
      </c>
      <c r="Q32" s="64"/>
      <c r="R32" s="64"/>
      <c r="S32" s="64"/>
      <c r="T32" s="86"/>
      <c r="U32" s="108"/>
      <c r="V32" s="105" t="s">
        <v>180</v>
      </c>
      <c r="W32" s="105">
        <v>310300012</v>
      </c>
      <c r="X32" s="106" t="s">
        <v>181</v>
      </c>
      <c r="Y32" s="105"/>
      <c r="Z32" s="105"/>
      <c r="AA32" s="105" t="s">
        <v>36</v>
      </c>
      <c r="AB32" s="110" t="s">
        <v>35</v>
      </c>
      <c r="AC32" s="50">
        <v>8.4</v>
      </c>
      <c r="AD32" s="50">
        <v>8</v>
      </c>
      <c r="AE32" s="50">
        <v>6.8</v>
      </c>
      <c r="AF32" s="111">
        <f t="shared" si="0"/>
        <v>0</v>
      </c>
      <c r="AG32" s="111" t="str">
        <f t="shared" si="1"/>
        <v>复视检查费</v>
      </c>
      <c r="AH32" s="111">
        <f t="shared" si="2"/>
        <v>8</v>
      </c>
      <c r="AI32" s="111">
        <f t="shared" si="3"/>
        <v>7</v>
      </c>
      <c r="AJ32" s="111">
        <f t="shared" si="4"/>
        <v>6</v>
      </c>
    </row>
    <row r="33" s="52" customFormat="1" ht="39" customHeight="1" spans="1:36">
      <c r="A33" s="73"/>
      <c r="B33" s="73"/>
      <c r="C33" s="74" t="s">
        <v>175</v>
      </c>
      <c r="D33" s="75"/>
      <c r="E33" s="73"/>
      <c r="F33" s="73"/>
      <c r="G33" s="73"/>
      <c r="H33" s="81"/>
      <c r="I33" s="81"/>
      <c r="J33" s="87"/>
      <c r="K33" s="87"/>
      <c r="L33" s="87"/>
      <c r="M33" s="87"/>
      <c r="N33" s="101">
        <v>8</v>
      </c>
      <c r="O33" s="101">
        <v>7</v>
      </c>
      <c r="P33" s="102">
        <v>6</v>
      </c>
      <c r="Q33" s="64"/>
      <c r="R33" s="64"/>
      <c r="S33" s="64"/>
      <c r="T33" s="87"/>
      <c r="U33" s="109"/>
      <c r="V33" s="105" t="s">
        <v>182</v>
      </c>
      <c r="W33" s="105">
        <v>310300015</v>
      </c>
      <c r="X33" s="106" t="s">
        <v>183</v>
      </c>
      <c r="Y33" s="105"/>
      <c r="Z33" s="105"/>
      <c r="AA33" s="105" t="s">
        <v>36</v>
      </c>
      <c r="AB33" s="110" t="s">
        <v>35</v>
      </c>
      <c r="AC33" s="50">
        <v>5.3</v>
      </c>
      <c r="AD33" s="50">
        <v>5</v>
      </c>
      <c r="AE33" s="50">
        <v>4.3</v>
      </c>
      <c r="AF33" s="111">
        <f t="shared" si="0"/>
        <v>0</v>
      </c>
      <c r="AG33" s="111" t="str">
        <f t="shared" si="1"/>
        <v>复视检查费</v>
      </c>
      <c r="AH33" s="111">
        <f t="shared" si="2"/>
        <v>8</v>
      </c>
      <c r="AI33" s="111">
        <f t="shared" si="3"/>
        <v>7</v>
      </c>
      <c r="AJ33" s="111">
        <f t="shared" si="4"/>
        <v>6</v>
      </c>
    </row>
    <row r="34" s="55" customFormat="1" ht="25.5" spans="1:36">
      <c r="A34" s="64">
        <v>12</v>
      </c>
      <c r="B34" s="64" t="s">
        <v>187</v>
      </c>
      <c r="C34" s="66" t="s">
        <v>188</v>
      </c>
      <c r="D34" s="65" t="s">
        <v>189</v>
      </c>
      <c r="E34" s="77" t="s">
        <v>171</v>
      </c>
      <c r="F34" s="77" t="s">
        <v>190</v>
      </c>
      <c r="G34" s="64" t="s">
        <v>36</v>
      </c>
      <c r="H34" s="78">
        <v>9</v>
      </c>
      <c r="I34" s="78">
        <v>8</v>
      </c>
      <c r="J34" s="84">
        <v>8.92906392147474</v>
      </c>
      <c r="K34" s="84">
        <v>7.65413267115999</v>
      </c>
      <c r="L34" s="84">
        <v>6.79846186712241</v>
      </c>
      <c r="M34" s="84"/>
      <c r="N34" s="91">
        <v>9</v>
      </c>
      <c r="O34" s="91">
        <v>8</v>
      </c>
      <c r="P34" s="93">
        <v>7</v>
      </c>
      <c r="Q34" s="64" t="s">
        <v>37</v>
      </c>
      <c r="R34" s="64" t="s">
        <v>35</v>
      </c>
      <c r="S34" s="64" t="s">
        <v>35</v>
      </c>
      <c r="T34" s="83" t="s">
        <v>191</v>
      </c>
      <c r="U34" s="77" t="s">
        <v>192</v>
      </c>
      <c r="V34" s="105" t="s">
        <v>193</v>
      </c>
      <c r="W34" s="105">
        <v>310300013</v>
      </c>
      <c r="X34" s="106" t="s">
        <v>194</v>
      </c>
      <c r="Y34" s="105" t="s">
        <v>195</v>
      </c>
      <c r="Z34" s="105"/>
      <c r="AA34" s="105" t="s">
        <v>36</v>
      </c>
      <c r="AB34" s="110" t="s">
        <v>35</v>
      </c>
      <c r="AC34" s="50">
        <v>8.4</v>
      </c>
      <c r="AD34" s="50">
        <v>8</v>
      </c>
      <c r="AE34" s="50">
        <v>6.8</v>
      </c>
      <c r="AF34" s="111">
        <f t="shared" si="0"/>
        <v>0</v>
      </c>
      <c r="AG34" s="111" t="str">
        <f t="shared" si="1"/>
        <v>斜视度测定费</v>
      </c>
      <c r="AH34" s="111">
        <f t="shared" si="2"/>
        <v>9</v>
      </c>
      <c r="AI34" s="111">
        <f t="shared" si="3"/>
        <v>8</v>
      </c>
      <c r="AJ34" s="111">
        <f t="shared" si="4"/>
        <v>7</v>
      </c>
    </row>
    <row r="35" s="55" customFormat="1" ht="25.5" spans="1:36">
      <c r="A35" s="64"/>
      <c r="B35" s="64"/>
      <c r="C35" s="66" t="s">
        <v>188</v>
      </c>
      <c r="D35" s="65"/>
      <c r="E35" s="77"/>
      <c r="F35" s="77"/>
      <c r="G35" s="64"/>
      <c r="H35" s="42"/>
      <c r="I35" s="42"/>
      <c r="J35" s="84"/>
      <c r="K35" s="84"/>
      <c r="L35" s="84"/>
      <c r="M35" s="84"/>
      <c r="N35" s="91">
        <v>9</v>
      </c>
      <c r="O35" s="91">
        <v>8</v>
      </c>
      <c r="P35" s="93">
        <v>7</v>
      </c>
      <c r="Q35" s="64"/>
      <c r="R35" s="64"/>
      <c r="S35" s="64"/>
      <c r="T35" s="83"/>
      <c r="U35" s="77"/>
      <c r="V35" s="105" t="s">
        <v>196</v>
      </c>
      <c r="W35" s="105">
        <v>310300014</v>
      </c>
      <c r="X35" s="106" t="s">
        <v>197</v>
      </c>
      <c r="Y35" s="105"/>
      <c r="Z35" s="105"/>
      <c r="AA35" s="105" t="s">
        <v>36</v>
      </c>
      <c r="AB35" s="110" t="s">
        <v>35</v>
      </c>
      <c r="AC35" s="50">
        <v>10.5</v>
      </c>
      <c r="AD35" s="50">
        <v>10</v>
      </c>
      <c r="AE35" s="50">
        <v>8.5</v>
      </c>
      <c r="AF35" s="111">
        <f t="shared" si="0"/>
        <v>0</v>
      </c>
      <c r="AG35" s="111" t="str">
        <f t="shared" si="1"/>
        <v>斜视度测定费</v>
      </c>
      <c r="AH35" s="111">
        <f t="shared" si="2"/>
        <v>9</v>
      </c>
      <c r="AI35" s="111">
        <f t="shared" si="3"/>
        <v>8</v>
      </c>
      <c r="AJ35" s="111">
        <f t="shared" si="4"/>
        <v>7</v>
      </c>
    </row>
    <row r="36" s="55" customFormat="1" ht="25.5" spans="1:36">
      <c r="A36" s="64"/>
      <c r="B36" s="64"/>
      <c r="C36" s="66" t="s">
        <v>188</v>
      </c>
      <c r="D36" s="65"/>
      <c r="E36" s="77"/>
      <c r="F36" s="77"/>
      <c r="G36" s="64"/>
      <c r="H36" s="42"/>
      <c r="I36" s="42"/>
      <c r="J36" s="84"/>
      <c r="K36" s="84"/>
      <c r="L36" s="84"/>
      <c r="M36" s="84"/>
      <c r="N36" s="91">
        <v>9</v>
      </c>
      <c r="O36" s="91">
        <v>8</v>
      </c>
      <c r="P36" s="93">
        <v>7</v>
      </c>
      <c r="Q36" s="64"/>
      <c r="R36" s="64"/>
      <c r="S36" s="64"/>
      <c r="T36" s="83"/>
      <c r="U36" s="77"/>
      <c r="V36" s="105" t="s">
        <v>198</v>
      </c>
      <c r="W36" s="105">
        <v>310300024</v>
      </c>
      <c r="X36" s="106" t="s">
        <v>199</v>
      </c>
      <c r="Y36" s="105"/>
      <c r="Z36" s="105"/>
      <c r="AA36" s="105" t="s">
        <v>36</v>
      </c>
      <c r="AB36" s="110" t="s">
        <v>35</v>
      </c>
      <c r="AC36" s="50">
        <v>3.2</v>
      </c>
      <c r="AD36" s="50">
        <v>3</v>
      </c>
      <c r="AE36" s="50">
        <v>2.6</v>
      </c>
      <c r="AF36" s="111">
        <f t="shared" si="0"/>
        <v>0</v>
      </c>
      <c r="AG36" s="111" t="str">
        <f t="shared" si="1"/>
        <v>斜视度测定费</v>
      </c>
      <c r="AH36" s="111">
        <f t="shared" si="2"/>
        <v>9</v>
      </c>
      <c r="AI36" s="111">
        <f t="shared" si="3"/>
        <v>8</v>
      </c>
      <c r="AJ36" s="111">
        <f t="shared" si="4"/>
        <v>7</v>
      </c>
    </row>
    <row r="37" s="55" customFormat="1" ht="25.5" spans="1:36">
      <c r="A37" s="64"/>
      <c r="B37" s="64"/>
      <c r="C37" s="66" t="s">
        <v>188</v>
      </c>
      <c r="D37" s="65"/>
      <c r="E37" s="77"/>
      <c r="F37" s="77"/>
      <c r="G37" s="64"/>
      <c r="H37" s="42"/>
      <c r="I37" s="42"/>
      <c r="J37" s="84"/>
      <c r="K37" s="84"/>
      <c r="L37" s="84"/>
      <c r="M37" s="84"/>
      <c r="N37" s="91">
        <v>9</v>
      </c>
      <c r="O37" s="91">
        <v>8</v>
      </c>
      <c r="P37" s="93">
        <v>7</v>
      </c>
      <c r="Q37" s="64"/>
      <c r="R37" s="64"/>
      <c r="S37" s="64"/>
      <c r="T37" s="83"/>
      <c r="U37" s="77"/>
      <c r="V37" s="105" t="s">
        <v>200</v>
      </c>
      <c r="W37" s="105">
        <v>310300072</v>
      </c>
      <c r="X37" s="106" t="s">
        <v>201</v>
      </c>
      <c r="Y37" s="105"/>
      <c r="Z37" s="105"/>
      <c r="AA37" s="105" t="s">
        <v>36</v>
      </c>
      <c r="AB37" s="110" t="s">
        <v>35</v>
      </c>
      <c r="AC37" s="50">
        <v>5.3</v>
      </c>
      <c r="AD37" s="50">
        <v>5</v>
      </c>
      <c r="AE37" s="50">
        <v>4.3</v>
      </c>
      <c r="AF37" s="111">
        <f t="shared" si="0"/>
        <v>0</v>
      </c>
      <c r="AG37" s="111" t="str">
        <f t="shared" si="1"/>
        <v>斜视度测定费</v>
      </c>
      <c r="AH37" s="111">
        <f t="shared" si="2"/>
        <v>9</v>
      </c>
      <c r="AI37" s="111">
        <f t="shared" si="3"/>
        <v>8</v>
      </c>
      <c r="AJ37" s="111">
        <f t="shared" si="4"/>
        <v>7</v>
      </c>
    </row>
    <row r="38" s="55" customFormat="1" ht="72" customHeight="1" spans="1:36">
      <c r="A38" s="64">
        <v>13</v>
      </c>
      <c r="B38" s="64" t="s">
        <v>204</v>
      </c>
      <c r="C38" s="64" t="s">
        <v>205</v>
      </c>
      <c r="D38" s="65" t="s">
        <v>206</v>
      </c>
      <c r="E38" s="77" t="s">
        <v>207</v>
      </c>
      <c r="F38" s="77" t="s">
        <v>35</v>
      </c>
      <c r="G38" s="64" t="s">
        <v>110</v>
      </c>
      <c r="H38" s="78">
        <v>77</v>
      </c>
      <c r="I38" s="78">
        <v>69</v>
      </c>
      <c r="J38" s="83">
        <v>73.5</v>
      </c>
      <c r="K38" s="83">
        <v>70</v>
      </c>
      <c r="L38" s="83">
        <v>59.5</v>
      </c>
      <c r="M38" s="83"/>
      <c r="N38" s="94">
        <v>74</v>
      </c>
      <c r="O38" s="94">
        <v>69</v>
      </c>
      <c r="P38" s="96">
        <v>60</v>
      </c>
      <c r="Q38" s="64" t="s">
        <v>37</v>
      </c>
      <c r="R38" s="64" t="s">
        <v>35</v>
      </c>
      <c r="S38" s="64" t="s">
        <v>35</v>
      </c>
      <c r="T38" s="83" t="s">
        <v>38</v>
      </c>
      <c r="U38" s="77" t="s">
        <v>208</v>
      </c>
      <c r="V38" s="105" t="s">
        <v>209</v>
      </c>
      <c r="W38" s="105">
        <v>310300040</v>
      </c>
      <c r="X38" s="106" t="s">
        <v>210</v>
      </c>
      <c r="Y38" s="105"/>
      <c r="Z38" s="105"/>
      <c r="AA38" s="105" t="s">
        <v>71</v>
      </c>
      <c r="AB38" s="110" t="s">
        <v>35</v>
      </c>
      <c r="AC38" s="50">
        <v>73.5</v>
      </c>
      <c r="AD38" s="50">
        <v>70</v>
      </c>
      <c r="AE38" s="50">
        <v>59.5</v>
      </c>
      <c r="AF38" s="111">
        <f t="shared" si="0"/>
        <v>0</v>
      </c>
      <c r="AG38" s="111" t="str">
        <f t="shared" si="1"/>
        <v>角膜地形图检查费</v>
      </c>
      <c r="AH38" s="111">
        <f t="shared" si="2"/>
        <v>74</v>
      </c>
      <c r="AI38" s="111">
        <f t="shared" si="3"/>
        <v>69</v>
      </c>
      <c r="AJ38" s="111">
        <f t="shared" si="4"/>
        <v>60</v>
      </c>
    </row>
    <row r="39" s="55" customFormat="1" ht="60" customHeight="1" spans="1:36">
      <c r="A39" s="64" t="s">
        <v>95</v>
      </c>
      <c r="B39" s="64" t="s">
        <v>204</v>
      </c>
      <c r="C39" s="64" t="s">
        <v>211</v>
      </c>
      <c r="D39" s="65"/>
      <c r="E39" s="77"/>
      <c r="F39" s="77" t="s">
        <v>35</v>
      </c>
      <c r="G39" s="64" t="s">
        <v>110</v>
      </c>
      <c r="H39" s="78">
        <v>16.5</v>
      </c>
      <c r="I39" s="78">
        <v>15</v>
      </c>
      <c r="J39" s="83">
        <v>15.75</v>
      </c>
      <c r="K39" s="83">
        <v>15</v>
      </c>
      <c r="L39" s="83">
        <v>12.75</v>
      </c>
      <c r="M39" s="83"/>
      <c r="N39" s="94">
        <v>16</v>
      </c>
      <c r="O39" s="94">
        <v>15</v>
      </c>
      <c r="P39" s="96">
        <v>13</v>
      </c>
      <c r="Q39" s="64" t="s">
        <v>37</v>
      </c>
      <c r="R39" s="64" t="s">
        <v>35</v>
      </c>
      <c r="S39" s="64" t="s">
        <v>35</v>
      </c>
      <c r="T39" s="83"/>
      <c r="U39" s="77" t="s">
        <v>212</v>
      </c>
      <c r="V39" s="105" t="s">
        <v>213</v>
      </c>
      <c r="W39" s="105">
        <v>310300042</v>
      </c>
      <c r="X39" s="106" t="s">
        <v>214</v>
      </c>
      <c r="Y39" s="105" t="s">
        <v>215</v>
      </c>
      <c r="Z39" s="105"/>
      <c r="AA39" s="105" t="s">
        <v>36</v>
      </c>
      <c r="AB39" s="110" t="s">
        <v>35</v>
      </c>
      <c r="AC39" s="50">
        <v>31.5</v>
      </c>
      <c r="AD39" s="50">
        <v>30</v>
      </c>
      <c r="AE39" s="50">
        <v>25.5</v>
      </c>
      <c r="AF39" s="111">
        <f t="shared" si="0"/>
        <v>0</v>
      </c>
      <c r="AG39" s="111" t="str">
        <f t="shared" si="1"/>
        <v>角膜地形图检查费-单独行角膜厚度检查</v>
      </c>
      <c r="AH39" s="111">
        <f t="shared" si="2"/>
        <v>16</v>
      </c>
      <c r="AI39" s="111">
        <f t="shared" si="3"/>
        <v>15</v>
      </c>
      <c r="AJ39" s="111">
        <f t="shared" si="4"/>
        <v>13</v>
      </c>
    </row>
    <row r="40" s="55" customFormat="1" ht="62" customHeight="1" spans="1:36">
      <c r="A40" s="64">
        <v>14</v>
      </c>
      <c r="B40" s="64" t="s">
        <v>216</v>
      </c>
      <c r="C40" s="64" t="s">
        <v>217</v>
      </c>
      <c r="D40" s="65" t="s">
        <v>218</v>
      </c>
      <c r="E40" s="77" t="s">
        <v>219</v>
      </c>
      <c r="F40" s="77" t="s">
        <v>35</v>
      </c>
      <c r="G40" s="64" t="s">
        <v>110</v>
      </c>
      <c r="H40" s="78">
        <v>3</v>
      </c>
      <c r="I40" s="78">
        <v>2.5</v>
      </c>
      <c r="J40" s="83">
        <v>2.65</v>
      </c>
      <c r="K40" s="83">
        <v>2.5</v>
      </c>
      <c r="L40" s="83">
        <v>2.15</v>
      </c>
      <c r="M40" s="83"/>
      <c r="N40" s="94">
        <v>3</v>
      </c>
      <c r="O40" s="41">
        <v>2.5</v>
      </c>
      <c r="P40" s="96">
        <v>2</v>
      </c>
      <c r="Q40" s="64" t="s">
        <v>37</v>
      </c>
      <c r="R40" s="64" t="s">
        <v>35</v>
      </c>
      <c r="S40" s="64" t="s">
        <v>35</v>
      </c>
      <c r="T40" s="83" t="s">
        <v>191</v>
      </c>
      <c r="U40" s="77" t="s">
        <v>220</v>
      </c>
      <c r="V40" s="105" t="s">
        <v>221</v>
      </c>
      <c r="W40" s="105">
        <v>310300039</v>
      </c>
      <c r="X40" s="106" t="s">
        <v>222</v>
      </c>
      <c r="Y40" s="105"/>
      <c r="Z40" s="105"/>
      <c r="AA40" s="105" t="s">
        <v>36</v>
      </c>
      <c r="AB40" s="110" t="s">
        <v>35</v>
      </c>
      <c r="AC40" s="50">
        <v>5.3</v>
      </c>
      <c r="AD40" s="50">
        <v>5</v>
      </c>
      <c r="AE40" s="50">
        <v>4.3</v>
      </c>
      <c r="AF40" s="111">
        <f t="shared" si="0"/>
        <v>0</v>
      </c>
      <c r="AG40" s="111" t="str">
        <f t="shared" si="1"/>
        <v>角膜曲率测量费</v>
      </c>
      <c r="AH40" s="111">
        <f t="shared" si="2"/>
        <v>3</v>
      </c>
      <c r="AI40" s="111">
        <f t="shared" si="3"/>
        <v>2.5</v>
      </c>
      <c r="AJ40" s="111">
        <f t="shared" si="4"/>
        <v>2</v>
      </c>
    </row>
    <row r="41" s="52" customFormat="1" ht="25.5" spans="1:36">
      <c r="A41" s="64">
        <v>15</v>
      </c>
      <c r="B41" s="64" t="s">
        <v>223</v>
      </c>
      <c r="C41" s="66" t="s">
        <v>224</v>
      </c>
      <c r="D41" s="65" t="s">
        <v>225</v>
      </c>
      <c r="E41" s="77" t="s">
        <v>226</v>
      </c>
      <c r="F41" s="77" t="s">
        <v>227</v>
      </c>
      <c r="G41" s="64" t="s">
        <v>110</v>
      </c>
      <c r="H41" s="78">
        <v>22</v>
      </c>
      <c r="I41" s="78">
        <v>20</v>
      </c>
      <c r="J41" s="84">
        <v>20.4158751696065</v>
      </c>
      <c r="K41" s="84">
        <v>19.9620924943139</v>
      </c>
      <c r="L41" s="83">
        <v>8.5</v>
      </c>
      <c r="M41" s="83"/>
      <c r="N41" s="91">
        <v>21</v>
      </c>
      <c r="O41" s="91">
        <v>20</v>
      </c>
      <c r="P41" s="93">
        <v>16</v>
      </c>
      <c r="Q41" s="64" t="s">
        <v>37</v>
      </c>
      <c r="R41" s="64" t="s">
        <v>35</v>
      </c>
      <c r="S41" s="64" t="s">
        <v>35</v>
      </c>
      <c r="T41" s="83" t="s">
        <v>191</v>
      </c>
      <c r="U41" s="77" t="s">
        <v>228</v>
      </c>
      <c r="V41" s="105" t="s">
        <v>229</v>
      </c>
      <c r="W41" s="105">
        <v>310300071</v>
      </c>
      <c r="X41" s="106" t="s">
        <v>230</v>
      </c>
      <c r="Y41" s="105"/>
      <c r="Z41" s="105"/>
      <c r="AA41" s="105" t="s">
        <v>36</v>
      </c>
      <c r="AB41" s="110" t="s">
        <v>35</v>
      </c>
      <c r="AC41" s="50">
        <v>21</v>
      </c>
      <c r="AD41" s="50">
        <v>20</v>
      </c>
      <c r="AE41" s="50">
        <v>17</v>
      </c>
      <c r="AF41" s="111">
        <f t="shared" si="0"/>
        <v>0</v>
      </c>
      <c r="AG41" s="111" t="str">
        <f t="shared" si="1"/>
        <v>角膜/结膜取样费</v>
      </c>
      <c r="AH41" s="111">
        <f t="shared" si="2"/>
        <v>21</v>
      </c>
      <c r="AI41" s="111">
        <f t="shared" si="3"/>
        <v>20</v>
      </c>
      <c r="AJ41" s="111">
        <f t="shared" si="4"/>
        <v>16</v>
      </c>
    </row>
    <row r="42" s="52" customFormat="1" ht="25.5" spans="1:36">
      <c r="A42" s="64"/>
      <c r="B42" s="64"/>
      <c r="C42" s="66" t="s">
        <v>224</v>
      </c>
      <c r="D42" s="65"/>
      <c r="E42" s="77"/>
      <c r="F42" s="77"/>
      <c r="G42" s="64"/>
      <c r="H42" s="42"/>
      <c r="I42" s="42"/>
      <c r="J42" s="84"/>
      <c r="K42" s="84"/>
      <c r="L42" s="83"/>
      <c r="M42" s="83"/>
      <c r="N42" s="91">
        <v>21</v>
      </c>
      <c r="O42" s="91">
        <v>20</v>
      </c>
      <c r="P42" s="93">
        <v>16</v>
      </c>
      <c r="Q42" s="64"/>
      <c r="R42" s="64"/>
      <c r="S42" s="64"/>
      <c r="T42" s="83"/>
      <c r="U42" s="77"/>
      <c r="V42" s="105" t="s">
        <v>231</v>
      </c>
      <c r="W42" s="105">
        <v>310300076</v>
      </c>
      <c r="X42" s="106" t="s">
        <v>232</v>
      </c>
      <c r="Y42" s="105" t="s">
        <v>233</v>
      </c>
      <c r="Z42" s="105"/>
      <c r="AA42" s="105" t="s">
        <v>36</v>
      </c>
      <c r="AB42" s="110" t="s">
        <v>35</v>
      </c>
      <c r="AC42" s="50">
        <v>10.5</v>
      </c>
      <c r="AD42" s="50">
        <v>10</v>
      </c>
      <c r="AE42" s="50">
        <v>8.5</v>
      </c>
      <c r="AF42" s="111">
        <f t="shared" si="0"/>
        <v>0</v>
      </c>
      <c r="AG42" s="111" t="str">
        <f t="shared" si="1"/>
        <v>角膜/结膜取样费</v>
      </c>
      <c r="AH42" s="111">
        <f t="shared" si="2"/>
        <v>21</v>
      </c>
      <c r="AI42" s="111">
        <f t="shared" si="3"/>
        <v>20</v>
      </c>
      <c r="AJ42" s="111">
        <f t="shared" si="4"/>
        <v>16</v>
      </c>
    </row>
    <row r="43" s="52" customFormat="1" ht="25.5" spans="1:36">
      <c r="A43" s="64"/>
      <c r="B43" s="64"/>
      <c r="C43" s="66" t="s">
        <v>224</v>
      </c>
      <c r="D43" s="65"/>
      <c r="E43" s="77"/>
      <c r="F43" s="77"/>
      <c r="G43" s="64"/>
      <c r="H43" s="42"/>
      <c r="I43" s="42"/>
      <c r="J43" s="84"/>
      <c r="K43" s="84"/>
      <c r="L43" s="83"/>
      <c r="M43" s="83"/>
      <c r="N43" s="91">
        <v>21</v>
      </c>
      <c r="O43" s="91">
        <v>20</v>
      </c>
      <c r="P43" s="93">
        <v>16</v>
      </c>
      <c r="Q43" s="64"/>
      <c r="R43" s="64"/>
      <c r="S43" s="64"/>
      <c r="T43" s="83"/>
      <c r="U43" s="77"/>
      <c r="V43" s="105" t="s">
        <v>234</v>
      </c>
      <c r="W43" s="105">
        <v>310300077</v>
      </c>
      <c r="X43" s="106" t="s">
        <v>235</v>
      </c>
      <c r="Y43" s="105" t="s">
        <v>233</v>
      </c>
      <c r="Z43" s="105"/>
      <c r="AA43" s="105" t="s">
        <v>36</v>
      </c>
      <c r="AB43" s="110" t="s">
        <v>35</v>
      </c>
      <c r="AC43" s="50">
        <v>10.5</v>
      </c>
      <c r="AD43" s="50">
        <v>10</v>
      </c>
      <c r="AE43" s="50">
        <v>8.5</v>
      </c>
      <c r="AF43" s="111">
        <f t="shared" si="0"/>
        <v>0</v>
      </c>
      <c r="AG43" s="111" t="str">
        <f t="shared" si="1"/>
        <v>角膜/结膜取样费</v>
      </c>
      <c r="AH43" s="111">
        <f t="shared" si="2"/>
        <v>21</v>
      </c>
      <c r="AI43" s="111">
        <f t="shared" si="3"/>
        <v>20</v>
      </c>
      <c r="AJ43" s="111">
        <f t="shared" si="4"/>
        <v>16</v>
      </c>
    </row>
    <row r="44" s="55" customFormat="1" ht="25.5" spans="1:36">
      <c r="A44" s="64">
        <v>16</v>
      </c>
      <c r="B44" s="64" t="s">
        <v>236</v>
      </c>
      <c r="C44" s="66" t="s">
        <v>237</v>
      </c>
      <c r="D44" s="65" t="s">
        <v>238</v>
      </c>
      <c r="E44" s="77" t="s">
        <v>207</v>
      </c>
      <c r="F44" s="77" t="s">
        <v>239</v>
      </c>
      <c r="G44" s="64" t="s">
        <v>110</v>
      </c>
      <c r="H44" s="78">
        <v>55</v>
      </c>
      <c r="I44" s="78">
        <v>50</v>
      </c>
      <c r="J44" s="84">
        <v>52.5308949167023</v>
      </c>
      <c r="K44" s="84">
        <v>60.8243967828418</v>
      </c>
      <c r="L44" s="83">
        <v>42.5</v>
      </c>
      <c r="M44" s="83"/>
      <c r="N44" s="91">
        <v>53</v>
      </c>
      <c r="O44" s="91">
        <v>50</v>
      </c>
      <c r="P44" s="93">
        <v>43</v>
      </c>
      <c r="Q44" s="64" t="s">
        <v>37</v>
      </c>
      <c r="R44" s="64" t="s">
        <v>35</v>
      </c>
      <c r="S44" s="64" t="s">
        <v>35</v>
      </c>
      <c r="T44" s="83" t="s">
        <v>38</v>
      </c>
      <c r="U44" s="77" t="s">
        <v>240</v>
      </c>
      <c r="V44" s="105" t="s">
        <v>241</v>
      </c>
      <c r="W44" s="105">
        <v>310300041</v>
      </c>
      <c r="X44" s="106" t="s">
        <v>242</v>
      </c>
      <c r="Y44" s="105"/>
      <c r="Z44" s="105"/>
      <c r="AA44" s="105" t="s">
        <v>71</v>
      </c>
      <c r="AB44" s="110" t="s">
        <v>243</v>
      </c>
      <c r="AC44" s="50">
        <v>52.5</v>
      </c>
      <c r="AD44" s="50">
        <v>50</v>
      </c>
      <c r="AE44" s="50">
        <v>42.5</v>
      </c>
      <c r="AF44" s="111">
        <f t="shared" si="0"/>
        <v>0</v>
      </c>
      <c r="AG44" s="111" t="str">
        <f t="shared" si="1"/>
        <v>眼活体细胞检查费</v>
      </c>
      <c r="AH44" s="111">
        <f t="shared" si="2"/>
        <v>53</v>
      </c>
      <c r="AI44" s="111">
        <f t="shared" si="3"/>
        <v>50</v>
      </c>
      <c r="AJ44" s="111">
        <f t="shared" si="4"/>
        <v>43</v>
      </c>
    </row>
    <row r="45" s="55" customFormat="1" ht="25.5" spans="1:36">
      <c r="A45" s="64"/>
      <c r="B45" s="64"/>
      <c r="C45" s="66" t="s">
        <v>237</v>
      </c>
      <c r="D45" s="65"/>
      <c r="E45" s="77"/>
      <c r="F45" s="77"/>
      <c r="G45" s="64"/>
      <c r="H45" s="42"/>
      <c r="I45" s="42"/>
      <c r="J45" s="84"/>
      <c r="K45" s="84"/>
      <c r="L45" s="83"/>
      <c r="M45" s="83"/>
      <c r="N45" s="91">
        <v>53</v>
      </c>
      <c r="O45" s="91">
        <v>50</v>
      </c>
      <c r="P45" s="93">
        <v>43</v>
      </c>
      <c r="Q45" s="64"/>
      <c r="R45" s="64"/>
      <c r="S45" s="64"/>
      <c r="T45" s="83"/>
      <c r="U45" s="77"/>
      <c r="V45" s="105" t="s">
        <v>244</v>
      </c>
      <c r="W45" s="105">
        <v>31030004101</v>
      </c>
      <c r="X45" s="106" t="s">
        <v>245</v>
      </c>
      <c r="Y45" s="105"/>
      <c r="Z45" s="105"/>
      <c r="AA45" s="105" t="s">
        <v>71</v>
      </c>
      <c r="AB45" s="110" t="s">
        <v>246</v>
      </c>
      <c r="AC45" s="50">
        <v>78.8</v>
      </c>
      <c r="AD45" s="50">
        <v>75</v>
      </c>
      <c r="AE45" s="50">
        <v>63.8</v>
      </c>
      <c r="AF45" s="111">
        <f t="shared" si="0"/>
        <v>0</v>
      </c>
      <c r="AG45" s="111" t="str">
        <f t="shared" si="1"/>
        <v>眼活体细胞检查费</v>
      </c>
      <c r="AH45" s="111">
        <f t="shared" si="2"/>
        <v>53</v>
      </c>
      <c r="AI45" s="111">
        <f t="shared" si="3"/>
        <v>50</v>
      </c>
      <c r="AJ45" s="111">
        <f t="shared" si="4"/>
        <v>43</v>
      </c>
    </row>
    <row r="46" s="55" customFormat="1" ht="25.5" spans="1:36">
      <c r="A46" s="64"/>
      <c r="B46" s="64"/>
      <c r="C46" s="66" t="s">
        <v>237</v>
      </c>
      <c r="D46" s="65"/>
      <c r="E46" s="77"/>
      <c r="F46" s="77"/>
      <c r="G46" s="64"/>
      <c r="H46" s="42"/>
      <c r="I46" s="42"/>
      <c r="J46" s="84"/>
      <c r="K46" s="84"/>
      <c r="L46" s="83"/>
      <c r="M46" s="83"/>
      <c r="N46" s="91">
        <v>53</v>
      </c>
      <c r="O46" s="91">
        <v>50</v>
      </c>
      <c r="P46" s="93">
        <v>43</v>
      </c>
      <c r="Q46" s="64"/>
      <c r="R46" s="64"/>
      <c r="S46" s="64"/>
      <c r="T46" s="83"/>
      <c r="U46" s="77"/>
      <c r="V46" s="105" t="s">
        <v>247</v>
      </c>
      <c r="W46" s="105">
        <v>310300075</v>
      </c>
      <c r="X46" s="106" t="s">
        <v>248</v>
      </c>
      <c r="Y46" s="105"/>
      <c r="Z46" s="105"/>
      <c r="AA46" s="105" t="s">
        <v>36</v>
      </c>
      <c r="AB46" s="110" t="s">
        <v>35</v>
      </c>
      <c r="AC46" s="50">
        <v>52.5</v>
      </c>
      <c r="AD46" s="50">
        <v>50</v>
      </c>
      <c r="AE46" s="50">
        <v>42.5</v>
      </c>
      <c r="AF46" s="111">
        <f t="shared" si="0"/>
        <v>0</v>
      </c>
      <c r="AG46" s="111" t="str">
        <f t="shared" si="1"/>
        <v>眼活体细胞检查费</v>
      </c>
      <c r="AH46" s="111">
        <f t="shared" si="2"/>
        <v>53</v>
      </c>
      <c r="AI46" s="111">
        <f t="shared" si="3"/>
        <v>50</v>
      </c>
      <c r="AJ46" s="111">
        <f t="shared" si="4"/>
        <v>43</v>
      </c>
    </row>
    <row r="47" s="52" customFormat="1" ht="77" customHeight="1" spans="1:36">
      <c r="A47" s="64">
        <v>17</v>
      </c>
      <c r="B47" s="64" t="s">
        <v>249</v>
      </c>
      <c r="C47" s="64" t="s">
        <v>250</v>
      </c>
      <c r="D47" s="65" t="s">
        <v>251</v>
      </c>
      <c r="E47" s="77" t="s">
        <v>252</v>
      </c>
      <c r="F47" s="77" t="s">
        <v>35</v>
      </c>
      <c r="G47" s="64" t="s">
        <v>110</v>
      </c>
      <c r="H47" s="78">
        <v>8</v>
      </c>
      <c r="I47" s="78">
        <v>7</v>
      </c>
      <c r="J47" s="83">
        <v>8.4</v>
      </c>
      <c r="K47" s="83">
        <v>8</v>
      </c>
      <c r="L47" s="83">
        <v>6.8</v>
      </c>
      <c r="M47" s="83"/>
      <c r="N47" s="94">
        <v>8</v>
      </c>
      <c r="O47" s="94">
        <v>7</v>
      </c>
      <c r="P47" s="96">
        <v>6</v>
      </c>
      <c r="Q47" s="64" t="s">
        <v>37</v>
      </c>
      <c r="R47" s="64" t="s">
        <v>35</v>
      </c>
      <c r="S47" s="64" t="s">
        <v>35</v>
      </c>
      <c r="T47" s="83" t="s">
        <v>38</v>
      </c>
      <c r="U47" s="77" t="s">
        <v>132</v>
      </c>
      <c r="V47" s="105" t="s">
        <v>253</v>
      </c>
      <c r="W47" s="105">
        <v>310300018</v>
      </c>
      <c r="X47" s="106" t="s">
        <v>254</v>
      </c>
      <c r="Y47" s="105" t="s">
        <v>255</v>
      </c>
      <c r="Z47" s="105"/>
      <c r="AA47" s="105" t="s">
        <v>36</v>
      </c>
      <c r="AB47" s="110" t="s">
        <v>35</v>
      </c>
      <c r="AC47" s="50">
        <v>8.4</v>
      </c>
      <c r="AD47" s="50">
        <v>8</v>
      </c>
      <c r="AE47" s="50">
        <v>6.8</v>
      </c>
      <c r="AF47" s="111">
        <f t="shared" si="0"/>
        <v>0</v>
      </c>
      <c r="AG47" s="111" t="str">
        <f t="shared" si="1"/>
        <v>牵拉试验费</v>
      </c>
      <c r="AH47" s="111">
        <f t="shared" si="2"/>
        <v>8</v>
      </c>
      <c r="AI47" s="111">
        <f t="shared" si="3"/>
        <v>7</v>
      </c>
      <c r="AJ47" s="111">
        <f t="shared" si="4"/>
        <v>6</v>
      </c>
    </row>
    <row r="48" s="52" customFormat="1" ht="70" customHeight="1" spans="1:36">
      <c r="A48" s="64">
        <v>18</v>
      </c>
      <c r="B48" s="64" t="s">
        <v>258</v>
      </c>
      <c r="C48" s="64" t="s">
        <v>259</v>
      </c>
      <c r="D48" s="65" t="s">
        <v>260</v>
      </c>
      <c r="E48" s="77" t="s">
        <v>261</v>
      </c>
      <c r="F48" s="77" t="s">
        <v>35</v>
      </c>
      <c r="G48" s="64" t="s">
        <v>110</v>
      </c>
      <c r="H48" s="78">
        <v>5</v>
      </c>
      <c r="I48" s="78">
        <v>5</v>
      </c>
      <c r="J48" s="83">
        <v>5.3</v>
      </c>
      <c r="K48" s="83">
        <v>5</v>
      </c>
      <c r="L48" s="83">
        <v>4.3</v>
      </c>
      <c r="M48" s="83"/>
      <c r="N48" s="94">
        <v>5</v>
      </c>
      <c r="O48" s="41">
        <v>5</v>
      </c>
      <c r="P48" s="50">
        <v>4.3</v>
      </c>
      <c r="Q48" s="64" t="s">
        <v>37</v>
      </c>
      <c r="R48" s="64" t="s">
        <v>35</v>
      </c>
      <c r="S48" s="64" t="s">
        <v>35</v>
      </c>
      <c r="T48" s="83" t="s">
        <v>38</v>
      </c>
      <c r="U48" s="77" t="s">
        <v>132</v>
      </c>
      <c r="V48" s="105" t="s">
        <v>262</v>
      </c>
      <c r="W48" s="105">
        <v>310300033</v>
      </c>
      <c r="X48" s="106" t="s">
        <v>263</v>
      </c>
      <c r="Y48" s="105"/>
      <c r="Z48" s="105"/>
      <c r="AA48" s="105" t="s">
        <v>36</v>
      </c>
      <c r="AB48" s="110" t="s">
        <v>35</v>
      </c>
      <c r="AC48" s="50">
        <v>5.3</v>
      </c>
      <c r="AD48" s="50">
        <v>5</v>
      </c>
      <c r="AE48" s="50">
        <v>4.3</v>
      </c>
      <c r="AF48" s="111">
        <f t="shared" si="0"/>
        <v>0</v>
      </c>
      <c r="AG48" s="111" t="str">
        <f t="shared" si="1"/>
        <v>上睑下垂检查费</v>
      </c>
      <c r="AH48" s="111">
        <f t="shared" si="2"/>
        <v>5</v>
      </c>
      <c r="AI48" s="111">
        <f t="shared" si="3"/>
        <v>5</v>
      </c>
      <c r="AJ48" s="111">
        <f t="shared" si="4"/>
        <v>4.3</v>
      </c>
    </row>
    <row r="49" s="55" customFormat="1" ht="30" customHeight="1" spans="1:36">
      <c r="A49" s="64">
        <v>19</v>
      </c>
      <c r="B49" s="163" t="s">
        <v>264</v>
      </c>
      <c r="C49" s="66" t="s">
        <v>265</v>
      </c>
      <c r="D49" s="65" t="s">
        <v>266</v>
      </c>
      <c r="E49" s="77" t="s">
        <v>267</v>
      </c>
      <c r="F49" s="77" t="s">
        <v>35</v>
      </c>
      <c r="G49" s="64" t="s">
        <v>36</v>
      </c>
      <c r="H49" s="78">
        <v>11</v>
      </c>
      <c r="I49" s="78">
        <v>10</v>
      </c>
      <c r="J49" s="84">
        <v>10.6566817160716</v>
      </c>
      <c r="K49" s="84">
        <v>10.1057585755036</v>
      </c>
      <c r="L49" s="84">
        <v>7.62891271056662</v>
      </c>
      <c r="M49" s="84"/>
      <c r="N49" s="91">
        <v>10.5</v>
      </c>
      <c r="O49" s="91">
        <v>10</v>
      </c>
      <c r="P49" s="93">
        <v>8.5</v>
      </c>
      <c r="Q49" s="64" t="s">
        <v>37</v>
      </c>
      <c r="R49" s="64" t="s">
        <v>35</v>
      </c>
      <c r="S49" s="64" t="s">
        <v>35</v>
      </c>
      <c r="T49" s="83" t="s">
        <v>191</v>
      </c>
      <c r="U49" s="77" t="s">
        <v>268</v>
      </c>
      <c r="V49" s="105" t="s">
        <v>269</v>
      </c>
      <c r="W49" s="105">
        <v>310300010</v>
      </c>
      <c r="X49" s="106" t="s">
        <v>270</v>
      </c>
      <c r="Y49" s="105"/>
      <c r="Z49" s="105"/>
      <c r="AA49" s="105" t="s">
        <v>36</v>
      </c>
      <c r="AB49" s="110" t="s">
        <v>35</v>
      </c>
      <c r="AC49" s="50">
        <v>2.1</v>
      </c>
      <c r="AD49" s="50">
        <v>2</v>
      </c>
      <c r="AE49" s="50">
        <v>1.7</v>
      </c>
      <c r="AF49" s="111">
        <f t="shared" si="0"/>
        <v>0</v>
      </c>
      <c r="AG49" s="111" t="str">
        <f t="shared" si="1"/>
        <v>双眼视觉功能检查费</v>
      </c>
      <c r="AH49" s="111">
        <f t="shared" si="2"/>
        <v>10.5</v>
      </c>
      <c r="AI49" s="111">
        <f t="shared" si="3"/>
        <v>10</v>
      </c>
      <c r="AJ49" s="111">
        <f t="shared" si="4"/>
        <v>8.5</v>
      </c>
    </row>
    <row r="50" s="55" customFormat="1" ht="30" customHeight="1" spans="1:36">
      <c r="A50" s="64"/>
      <c r="B50" s="64"/>
      <c r="C50" s="66" t="s">
        <v>265</v>
      </c>
      <c r="D50" s="65"/>
      <c r="E50" s="77"/>
      <c r="F50" s="77"/>
      <c r="G50" s="64"/>
      <c r="H50" s="42"/>
      <c r="I50" s="42"/>
      <c r="J50" s="84"/>
      <c r="K50" s="84"/>
      <c r="L50" s="84"/>
      <c r="M50" s="84"/>
      <c r="N50" s="91">
        <v>10.5</v>
      </c>
      <c r="O50" s="91">
        <v>10</v>
      </c>
      <c r="P50" s="93">
        <v>8.5</v>
      </c>
      <c r="Q50" s="64"/>
      <c r="R50" s="64"/>
      <c r="S50" s="64"/>
      <c r="T50" s="83"/>
      <c r="U50" s="77"/>
      <c r="V50" s="105" t="s">
        <v>272</v>
      </c>
      <c r="W50" s="105">
        <v>310300019</v>
      </c>
      <c r="X50" s="106" t="s">
        <v>273</v>
      </c>
      <c r="Y50" s="105" t="s">
        <v>274</v>
      </c>
      <c r="Z50" s="105"/>
      <c r="AA50" s="105" t="s">
        <v>36</v>
      </c>
      <c r="AB50" s="110" t="s">
        <v>35</v>
      </c>
      <c r="AC50" s="50">
        <v>10.5</v>
      </c>
      <c r="AD50" s="50">
        <v>10</v>
      </c>
      <c r="AE50" s="50">
        <v>8.5</v>
      </c>
      <c r="AF50" s="111">
        <f t="shared" si="0"/>
        <v>0</v>
      </c>
      <c r="AG50" s="111" t="str">
        <f t="shared" si="1"/>
        <v>双眼视觉功能检查费</v>
      </c>
      <c r="AH50" s="111">
        <f t="shared" si="2"/>
        <v>10.5</v>
      </c>
      <c r="AI50" s="111">
        <f t="shared" si="3"/>
        <v>10</v>
      </c>
      <c r="AJ50" s="111">
        <f t="shared" si="4"/>
        <v>8.5</v>
      </c>
    </row>
    <row r="51" s="55" customFormat="1" ht="30" customHeight="1" spans="1:36">
      <c r="A51" s="64"/>
      <c r="B51" s="64"/>
      <c r="C51" s="66" t="s">
        <v>265</v>
      </c>
      <c r="D51" s="65"/>
      <c r="E51" s="77"/>
      <c r="F51" s="77"/>
      <c r="G51" s="64"/>
      <c r="H51" s="42"/>
      <c r="I51" s="42"/>
      <c r="J51" s="84"/>
      <c r="K51" s="84"/>
      <c r="L51" s="84"/>
      <c r="M51" s="84"/>
      <c r="N51" s="91">
        <v>10.5</v>
      </c>
      <c r="O51" s="91">
        <v>10</v>
      </c>
      <c r="P51" s="93">
        <v>8.5</v>
      </c>
      <c r="Q51" s="64"/>
      <c r="R51" s="64"/>
      <c r="S51" s="64"/>
      <c r="T51" s="83"/>
      <c r="U51" s="77"/>
      <c r="V51" s="105" t="s">
        <v>275</v>
      </c>
      <c r="W51" s="105">
        <v>310300017</v>
      </c>
      <c r="X51" s="106" t="s">
        <v>276</v>
      </c>
      <c r="Y51" s="105"/>
      <c r="Z51" s="105"/>
      <c r="AA51" s="105" t="s">
        <v>36</v>
      </c>
      <c r="AB51" s="110" t="s">
        <v>35</v>
      </c>
      <c r="AC51" s="50">
        <v>8.4</v>
      </c>
      <c r="AD51" s="50">
        <v>8</v>
      </c>
      <c r="AE51" s="50">
        <v>6.8</v>
      </c>
      <c r="AF51" s="111">
        <f t="shared" si="0"/>
        <v>0</v>
      </c>
      <c r="AG51" s="111" t="str">
        <f t="shared" si="1"/>
        <v>双眼视觉功能检查费</v>
      </c>
      <c r="AH51" s="111">
        <f t="shared" si="2"/>
        <v>10.5</v>
      </c>
      <c r="AI51" s="111">
        <f t="shared" si="3"/>
        <v>10</v>
      </c>
      <c r="AJ51" s="111">
        <f t="shared" si="4"/>
        <v>8.5</v>
      </c>
    </row>
    <row r="52" s="55" customFormat="1" ht="30" customHeight="1" spans="1:36">
      <c r="A52" s="64"/>
      <c r="B52" s="64"/>
      <c r="C52" s="66" t="s">
        <v>265</v>
      </c>
      <c r="D52" s="65"/>
      <c r="E52" s="77"/>
      <c r="F52" s="77"/>
      <c r="G52" s="64"/>
      <c r="H52" s="42"/>
      <c r="I52" s="42"/>
      <c r="J52" s="84"/>
      <c r="K52" s="84"/>
      <c r="L52" s="84"/>
      <c r="M52" s="84"/>
      <c r="N52" s="91">
        <v>10.5</v>
      </c>
      <c r="O52" s="91">
        <v>10</v>
      </c>
      <c r="P52" s="93">
        <v>8.5</v>
      </c>
      <c r="Q52" s="64"/>
      <c r="R52" s="64"/>
      <c r="S52" s="64"/>
      <c r="T52" s="83"/>
      <c r="U52" s="77"/>
      <c r="V52" s="105" t="s">
        <v>277</v>
      </c>
      <c r="W52" s="105">
        <v>310300062</v>
      </c>
      <c r="X52" s="106" t="s">
        <v>278</v>
      </c>
      <c r="Y52" s="105"/>
      <c r="Z52" s="105"/>
      <c r="AA52" s="105" t="s">
        <v>36</v>
      </c>
      <c r="AB52" s="110" t="s">
        <v>35</v>
      </c>
      <c r="AC52" s="50"/>
      <c r="AD52" s="50"/>
      <c r="AE52" s="50"/>
      <c r="AF52" s="111">
        <f t="shared" si="0"/>
        <v>0</v>
      </c>
      <c r="AG52" s="111" t="str">
        <f t="shared" si="1"/>
        <v>双眼视觉功能检查费</v>
      </c>
      <c r="AH52" s="111">
        <f t="shared" si="2"/>
        <v>10.5</v>
      </c>
      <c r="AI52" s="111">
        <f t="shared" si="3"/>
        <v>10</v>
      </c>
      <c r="AJ52" s="111">
        <f t="shared" si="4"/>
        <v>8.5</v>
      </c>
    </row>
    <row r="53" s="55" customFormat="1" ht="27" customHeight="1" spans="1:36">
      <c r="A53" s="64">
        <v>20</v>
      </c>
      <c r="B53" s="64" t="s">
        <v>281</v>
      </c>
      <c r="C53" s="66" t="s">
        <v>282</v>
      </c>
      <c r="D53" s="65" t="s">
        <v>283</v>
      </c>
      <c r="E53" s="77" t="s">
        <v>284</v>
      </c>
      <c r="F53" s="77" t="s">
        <v>285</v>
      </c>
      <c r="G53" s="64" t="s">
        <v>110</v>
      </c>
      <c r="H53" s="78">
        <v>38</v>
      </c>
      <c r="I53" s="78">
        <v>34</v>
      </c>
      <c r="J53" s="84">
        <v>40.2841093073989</v>
      </c>
      <c r="K53" s="84">
        <v>37.7563484374521</v>
      </c>
      <c r="L53" s="84">
        <v>17.3216700302725</v>
      </c>
      <c r="M53" s="84"/>
      <c r="N53" s="91">
        <v>38</v>
      </c>
      <c r="O53" s="91">
        <v>34</v>
      </c>
      <c r="P53" s="93">
        <v>29</v>
      </c>
      <c r="Q53" s="64" t="s">
        <v>37</v>
      </c>
      <c r="R53" s="64" t="s">
        <v>35</v>
      </c>
      <c r="S53" s="64" t="s">
        <v>35</v>
      </c>
      <c r="T53" s="83" t="s">
        <v>131</v>
      </c>
      <c r="U53" s="77" t="s">
        <v>286</v>
      </c>
      <c r="V53" s="105" t="s">
        <v>287</v>
      </c>
      <c r="W53" s="105">
        <v>310300051</v>
      </c>
      <c r="X53" s="106" t="s">
        <v>288</v>
      </c>
      <c r="Y53" s="105"/>
      <c r="Z53" s="105"/>
      <c r="AA53" s="105" t="s">
        <v>36</v>
      </c>
      <c r="AB53" s="110" t="s">
        <v>35</v>
      </c>
      <c r="AC53" s="50">
        <v>15.8</v>
      </c>
      <c r="AD53" s="50">
        <v>15</v>
      </c>
      <c r="AE53" s="50">
        <v>12.8</v>
      </c>
      <c r="AF53" s="111">
        <f t="shared" si="0"/>
        <v>0</v>
      </c>
      <c r="AG53" s="111" t="str">
        <f t="shared" si="1"/>
        <v>眼部照相费</v>
      </c>
      <c r="AH53" s="111">
        <f t="shared" si="2"/>
        <v>38</v>
      </c>
      <c r="AI53" s="111">
        <f t="shared" si="3"/>
        <v>34</v>
      </c>
      <c r="AJ53" s="111">
        <f t="shared" si="4"/>
        <v>29</v>
      </c>
    </row>
    <row r="54" s="55" customFormat="1" ht="27" customHeight="1" spans="1:36">
      <c r="A54" s="64"/>
      <c r="B54" s="64"/>
      <c r="C54" s="66" t="s">
        <v>282</v>
      </c>
      <c r="D54" s="65"/>
      <c r="E54" s="77"/>
      <c r="F54" s="77"/>
      <c r="G54" s="64"/>
      <c r="H54" s="42"/>
      <c r="I54" s="42"/>
      <c r="J54" s="84"/>
      <c r="K54" s="84"/>
      <c r="L54" s="84"/>
      <c r="M54" s="84"/>
      <c r="N54" s="91">
        <v>38</v>
      </c>
      <c r="O54" s="91">
        <v>34</v>
      </c>
      <c r="P54" s="93">
        <v>29</v>
      </c>
      <c r="Q54" s="64"/>
      <c r="R54" s="64"/>
      <c r="S54" s="64"/>
      <c r="T54" s="83"/>
      <c r="U54" s="77"/>
      <c r="V54" s="105" t="s">
        <v>289</v>
      </c>
      <c r="W54" s="105">
        <v>310300052</v>
      </c>
      <c r="X54" s="106" t="s">
        <v>290</v>
      </c>
      <c r="Y54" s="105"/>
      <c r="Z54" s="105"/>
      <c r="AA54" s="105" t="s">
        <v>36</v>
      </c>
      <c r="AB54" s="110" t="s">
        <v>35</v>
      </c>
      <c r="AC54" s="50">
        <v>15.8</v>
      </c>
      <c r="AD54" s="50">
        <v>15</v>
      </c>
      <c r="AE54" s="50">
        <v>12.8</v>
      </c>
      <c r="AF54" s="111">
        <f t="shared" si="0"/>
        <v>0</v>
      </c>
      <c r="AG54" s="111" t="str">
        <f t="shared" si="1"/>
        <v>眼部照相费</v>
      </c>
      <c r="AH54" s="111">
        <f t="shared" si="2"/>
        <v>38</v>
      </c>
      <c r="AI54" s="111">
        <f t="shared" si="3"/>
        <v>34</v>
      </c>
      <c r="AJ54" s="111">
        <f t="shared" si="4"/>
        <v>29</v>
      </c>
    </row>
    <row r="55" s="55" customFormat="1" ht="27" customHeight="1" spans="1:36">
      <c r="A55" s="64"/>
      <c r="B55" s="64"/>
      <c r="C55" s="66" t="s">
        <v>282</v>
      </c>
      <c r="D55" s="65"/>
      <c r="E55" s="77"/>
      <c r="F55" s="77"/>
      <c r="G55" s="64"/>
      <c r="H55" s="42"/>
      <c r="I55" s="42"/>
      <c r="J55" s="84"/>
      <c r="K55" s="84"/>
      <c r="L55" s="84"/>
      <c r="M55" s="84"/>
      <c r="N55" s="91">
        <v>38</v>
      </c>
      <c r="O55" s="91">
        <v>34</v>
      </c>
      <c r="P55" s="93">
        <v>29</v>
      </c>
      <c r="Q55" s="64"/>
      <c r="R55" s="64"/>
      <c r="S55" s="64"/>
      <c r="T55" s="83"/>
      <c r="U55" s="77"/>
      <c r="V55" s="105" t="s">
        <v>291</v>
      </c>
      <c r="W55" s="105">
        <v>310300053</v>
      </c>
      <c r="X55" s="106" t="s">
        <v>292</v>
      </c>
      <c r="Y55" s="105"/>
      <c r="Z55" s="105"/>
      <c r="AA55" s="105" t="s">
        <v>71</v>
      </c>
      <c r="AB55" s="110" t="s">
        <v>35</v>
      </c>
      <c r="AC55" s="50">
        <v>21</v>
      </c>
      <c r="AD55" s="50">
        <v>20</v>
      </c>
      <c r="AE55" s="50">
        <v>17</v>
      </c>
      <c r="AF55" s="111">
        <f t="shared" si="0"/>
        <v>0</v>
      </c>
      <c r="AG55" s="111" t="str">
        <f t="shared" si="1"/>
        <v>眼部照相费</v>
      </c>
      <c r="AH55" s="111">
        <f t="shared" si="2"/>
        <v>38</v>
      </c>
      <c r="AI55" s="111">
        <f t="shared" si="3"/>
        <v>34</v>
      </c>
      <c r="AJ55" s="111">
        <f t="shared" si="4"/>
        <v>29</v>
      </c>
    </row>
    <row r="56" s="55" customFormat="1" ht="27" customHeight="1" spans="1:36">
      <c r="A56" s="64"/>
      <c r="B56" s="64"/>
      <c r="C56" s="66" t="s">
        <v>282</v>
      </c>
      <c r="D56" s="65"/>
      <c r="E56" s="77"/>
      <c r="F56" s="77"/>
      <c r="G56" s="64"/>
      <c r="H56" s="42"/>
      <c r="I56" s="42"/>
      <c r="J56" s="84"/>
      <c r="K56" s="84"/>
      <c r="L56" s="84"/>
      <c r="M56" s="84"/>
      <c r="N56" s="91">
        <v>38</v>
      </c>
      <c r="O56" s="91">
        <v>34</v>
      </c>
      <c r="P56" s="93">
        <v>29</v>
      </c>
      <c r="Q56" s="64"/>
      <c r="R56" s="64"/>
      <c r="S56" s="64"/>
      <c r="T56" s="83"/>
      <c r="U56" s="77"/>
      <c r="V56" s="105" t="s">
        <v>293</v>
      </c>
      <c r="W56" s="105">
        <v>310300031</v>
      </c>
      <c r="X56" s="106" t="s">
        <v>294</v>
      </c>
      <c r="Y56" s="105" t="s">
        <v>295</v>
      </c>
      <c r="Z56" s="105"/>
      <c r="AA56" s="105" t="s">
        <v>71</v>
      </c>
      <c r="AB56" s="110" t="s">
        <v>296</v>
      </c>
      <c r="AC56" s="50">
        <v>31.5</v>
      </c>
      <c r="AD56" s="50">
        <v>30</v>
      </c>
      <c r="AE56" s="50">
        <v>25.5</v>
      </c>
      <c r="AF56" s="111">
        <f t="shared" si="0"/>
        <v>0</v>
      </c>
      <c r="AG56" s="111" t="str">
        <f t="shared" si="1"/>
        <v>眼部照相费</v>
      </c>
      <c r="AH56" s="111">
        <f t="shared" si="2"/>
        <v>38</v>
      </c>
      <c r="AI56" s="111">
        <f t="shared" si="3"/>
        <v>34</v>
      </c>
      <c r="AJ56" s="111">
        <f t="shared" si="4"/>
        <v>29</v>
      </c>
    </row>
    <row r="57" s="55" customFormat="1" ht="27" customHeight="1" spans="1:36">
      <c r="A57" s="64"/>
      <c r="B57" s="64"/>
      <c r="C57" s="66" t="s">
        <v>282</v>
      </c>
      <c r="D57" s="65"/>
      <c r="E57" s="77"/>
      <c r="F57" s="77"/>
      <c r="G57" s="64"/>
      <c r="H57" s="42"/>
      <c r="I57" s="42"/>
      <c r="J57" s="84"/>
      <c r="K57" s="84"/>
      <c r="L57" s="84"/>
      <c r="M57" s="84"/>
      <c r="N57" s="91">
        <v>38</v>
      </c>
      <c r="O57" s="91">
        <v>34</v>
      </c>
      <c r="P57" s="93">
        <v>29</v>
      </c>
      <c r="Q57" s="64"/>
      <c r="R57" s="64"/>
      <c r="S57" s="64"/>
      <c r="T57" s="83"/>
      <c r="U57" s="77"/>
      <c r="V57" s="105" t="s">
        <v>297</v>
      </c>
      <c r="W57" s="105">
        <v>31030003101</v>
      </c>
      <c r="X57" s="106" t="s">
        <v>298</v>
      </c>
      <c r="Y57" s="105"/>
      <c r="Z57" s="105"/>
      <c r="AA57" s="105" t="s">
        <v>71</v>
      </c>
      <c r="AB57" s="110" t="s">
        <v>299</v>
      </c>
      <c r="AC57" s="50">
        <v>52.5</v>
      </c>
      <c r="AD57" s="50">
        <v>50</v>
      </c>
      <c r="AE57" s="50">
        <v>42.5</v>
      </c>
      <c r="AF57" s="111">
        <f t="shared" si="0"/>
        <v>0</v>
      </c>
      <c r="AG57" s="111" t="str">
        <f t="shared" si="1"/>
        <v>眼部照相费</v>
      </c>
      <c r="AH57" s="111">
        <f t="shared" si="2"/>
        <v>38</v>
      </c>
      <c r="AI57" s="111">
        <f t="shared" si="3"/>
        <v>34</v>
      </c>
      <c r="AJ57" s="111">
        <f t="shared" si="4"/>
        <v>29</v>
      </c>
    </row>
    <row r="58" s="55" customFormat="1" ht="27" customHeight="1" spans="1:36">
      <c r="A58" s="64"/>
      <c r="B58" s="64"/>
      <c r="C58" s="66" t="s">
        <v>282</v>
      </c>
      <c r="D58" s="65"/>
      <c r="E58" s="77"/>
      <c r="F58" s="77"/>
      <c r="G58" s="64"/>
      <c r="H58" s="42"/>
      <c r="I58" s="42"/>
      <c r="J58" s="84"/>
      <c r="K58" s="84"/>
      <c r="L58" s="84"/>
      <c r="M58" s="84"/>
      <c r="N58" s="91">
        <v>38</v>
      </c>
      <c r="O58" s="91">
        <v>34</v>
      </c>
      <c r="P58" s="93">
        <v>29</v>
      </c>
      <c r="Q58" s="64"/>
      <c r="R58" s="64"/>
      <c r="S58" s="64"/>
      <c r="T58" s="83"/>
      <c r="U58" s="77"/>
      <c r="V58" s="105" t="s">
        <v>300</v>
      </c>
      <c r="W58" s="105">
        <v>310300057</v>
      </c>
      <c r="X58" s="106" t="s">
        <v>301</v>
      </c>
      <c r="Y58" s="105"/>
      <c r="Z58" s="105"/>
      <c r="AA58" s="105" t="s">
        <v>71</v>
      </c>
      <c r="AB58" s="110" t="s">
        <v>35</v>
      </c>
      <c r="AC58" s="50">
        <v>84</v>
      </c>
      <c r="AD58" s="50">
        <v>80</v>
      </c>
      <c r="AE58" s="50">
        <v>68</v>
      </c>
      <c r="AF58" s="111">
        <f t="shared" si="0"/>
        <v>0</v>
      </c>
      <c r="AG58" s="111" t="str">
        <f t="shared" si="1"/>
        <v>眼部照相费</v>
      </c>
      <c r="AH58" s="111">
        <f t="shared" si="2"/>
        <v>38</v>
      </c>
      <c r="AI58" s="111">
        <f t="shared" si="3"/>
        <v>34</v>
      </c>
      <c r="AJ58" s="111">
        <f t="shared" si="4"/>
        <v>29</v>
      </c>
    </row>
    <row r="59" s="55" customFormat="1" ht="27" customHeight="1" spans="1:36">
      <c r="A59" s="64"/>
      <c r="B59" s="64"/>
      <c r="C59" s="66" t="s">
        <v>282</v>
      </c>
      <c r="D59" s="65"/>
      <c r="E59" s="77"/>
      <c r="F59" s="77"/>
      <c r="G59" s="64"/>
      <c r="H59" s="42"/>
      <c r="I59" s="42"/>
      <c r="J59" s="84"/>
      <c r="K59" s="84"/>
      <c r="L59" s="84"/>
      <c r="M59" s="84"/>
      <c r="N59" s="91">
        <v>38</v>
      </c>
      <c r="O59" s="91">
        <v>34</v>
      </c>
      <c r="P59" s="93">
        <v>29</v>
      </c>
      <c r="Q59" s="64"/>
      <c r="R59" s="64"/>
      <c r="S59" s="64"/>
      <c r="T59" s="83"/>
      <c r="U59" s="77"/>
      <c r="V59" s="105" t="s">
        <v>302</v>
      </c>
      <c r="W59" s="105">
        <v>310300066</v>
      </c>
      <c r="X59" s="106" t="s">
        <v>303</v>
      </c>
      <c r="Y59" s="105"/>
      <c r="Z59" s="105"/>
      <c r="AA59" s="105" t="s">
        <v>36</v>
      </c>
      <c r="AB59" s="110" t="s">
        <v>35</v>
      </c>
      <c r="AC59" s="50">
        <v>63</v>
      </c>
      <c r="AD59" s="50">
        <v>60</v>
      </c>
      <c r="AE59" s="50">
        <v>51</v>
      </c>
      <c r="AF59" s="111">
        <f t="shared" si="0"/>
        <v>0</v>
      </c>
      <c r="AG59" s="111" t="str">
        <f t="shared" si="1"/>
        <v>眼部照相费</v>
      </c>
      <c r="AH59" s="111">
        <f t="shared" si="2"/>
        <v>38</v>
      </c>
      <c r="AI59" s="111">
        <f t="shared" si="3"/>
        <v>34</v>
      </c>
      <c r="AJ59" s="111">
        <f t="shared" si="4"/>
        <v>29</v>
      </c>
    </row>
    <row r="60" s="55" customFormat="1" ht="27" customHeight="1" spans="1:36">
      <c r="A60" s="64"/>
      <c r="B60" s="64"/>
      <c r="C60" s="66" t="s">
        <v>282</v>
      </c>
      <c r="D60" s="65"/>
      <c r="E60" s="77"/>
      <c r="F60" s="77"/>
      <c r="G60" s="64"/>
      <c r="H60" s="42"/>
      <c r="I60" s="42"/>
      <c r="J60" s="84"/>
      <c r="K60" s="84"/>
      <c r="L60" s="84"/>
      <c r="M60" s="84"/>
      <c r="N60" s="91">
        <v>38</v>
      </c>
      <c r="O60" s="91">
        <v>34</v>
      </c>
      <c r="P60" s="93">
        <v>29</v>
      </c>
      <c r="Q60" s="64"/>
      <c r="R60" s="64"/>
      <c r="S60" s="64"/>
      <c r="T60" s="83"/>
      <c r="U60" s="77"/>
      <c r="V60" s="105" t="s">
        <v>304</v>
      </c>
      <c r="W60" s="105">
        <v>310300055</v>
      </c>
      <c r="X60" s="106" t="s">
        <v>305</v>
      </c>
      <c r="Y60" s="105"/>
      <c r="Z60" s="105"/>
      <c r="AA60" s="105" t="s">
        <v>71</v>
      </c>
      <c r="AB60" s="110" t="s">
        <v>35</v>
      </c>
      <c r="AC60" s="50">
        <v>52.5</v>
      </c>
      <c r="AD60" s="50">
        <v>50</v>
      </c>
      <c r="AE60" s="50">
        <v>42.5</v>
      </c>
      <c r="AF60" s="111">
        <f t="shared" si="0"/>
        <v>0</v>
      </c>
      <c r="AG60" s="111" t="str">
        <f t="shared" si="1"/>
        <v>眼部照相费</v>
      </c>
      <c r="AH60" s="111">
        <f t="shared" si="2"/>
        <v>38</v>
      </c>
      <c r="AI60" s="111">
        <f t="shared" si="3"/>
        <v>34</v>
      </c>
      <c r="AJ60" s="111">
        <f t="shared" si="4"/>
        <v>29</v>
      </c>
    </row>
    <row r="61" s="56" customFormat="1" ht="25.5" spans="1:36">
      <c r="A61" s="64">
        <v>21</v>
      </c>
      <c r="B61" s="64" t="s">
        <v>314</v>
      </c>
      <c r="C61" s="66" t="s">
        <v>315</v>
      </c>
      <c r="D61" s="65" t="s">
        <v>316</v>
      </c>
      <c r="E61" s="77" t="s">
        <v>317</v>
      </c>
      <c r="F61" s="77" t="s">
        <v>35</v>
      </c>
      <c r="G61" s="64" t="s">
        <v>110</v>
      </c>
      <c r="H61" s="78">
        <v>9</v>
      </c>
      <c r="I61" s="78">
        <v>8</v>
      </c>
      <c r="J61" s="84">
        <v>7.42168360376876</v>
      </c>
      <c r="K61" s="84">
        <v>8.13160452376745</v>
      </c>
      <c r="L61" s="84">
        <v>6.86656275342018</v>
      </c>
      <c r="M61" s="84"/>
      <c r="N61" s="91">
        <v>8</v>
      </c>
      <c r="O61" s="91">
        <v>7</v>
      </c>
      <c r="P61" s="93">
        <v>6</v>
      </c>
      <c r="Q61" s="64" t="s">
        <v>37</v>
      </c>
      <c r="R61" s="64" t="s">
        <v>35</v>
      </c>
      <c r="S61" s="64" t="s">
        <v>35</v>
      </c>
      <c r="T61" s="83" t="s">
        <v>131</v>
      </c>
      <c r="U61" s="77" t="s">
        <v>240</v>
      </c>
      <c r="V61" s="105" t="s">
        <v>318</v>
      </c>
      <c r="W61" s="105">
        <v>310300056</v>
      </c>
      <c r="X61" s="105" t="s">
        <v>319</v>
      </c>
      <c r="Y61" s="105" t="s">
        <v>320</v>
      </c>
      <c r="Z61" s="105"/>
      <c r="AA61" s="105" t="s">
        <v>36</v>
      </c>
      <c r="AB61" s="110" t="s">
        <v>35</v>
      </c>
      <c r="AC61" s="50">
        <v>5.3</v>
      </c>
      <c r="AD61" s="50">
        <v>5</v>
      </c>
      <c r="AE61" s="50">
        <v>4.3</v>
      </c>
      <c r="AF61" s="111">
        <f t="shared" si="0"/>
        <v>0</v>
      </c>
      <c r="AG61" s="111" t="str">
        <f t="shared" si="1"/>
        <v>眼底镜检查费</v>
      </c>
      <c r="AH61" s="111">
        <f t="shared" si="2"/>
        <v>8</v>
      </c>
      <c r="AI61" s="111">
        <f t="shared" si="3"/>
        <v>7</v>
      </c>
      <c r="AJ61" s="111">
        <f t="shared" si="4"/>
        <v>6</v>
      </c>
    </row>
    <row r="62" s="56" customFormat="1" ht="25.5" spans="1:36">
      <c r="A62" s="64"/>
      <c r="B62" s="64"/>
      <c r="C62" s="66" t="s">
        <v>315</v>
      </c>
      <c r="D62" s="65"/>
      <c r="E62" s="77"/>
      <c r="F62" s="77"/>
      <c r="G62" s="64"/>
      <c r="H62" s="42"/>
      <c r="I62" s="42"/>
      <c r="J62" s="84"/>
      <c r="K62" s="84"/>
      <c r="L62" s="84"/>
      <c r="M62" s="84"/>
      <c r="N62" s="91">
        <v>8</v>
      </c>
      <c r="O62" s="91">
        <v>7</v>
      </c>
      <c r="P62" s="93">
        <v>6</v>
      </c>
      <c r="Q62" s="64"/>
      <c r="R62" s="64"/>
      <c r="S62" s="64"/>
      <c r="T62" s="83"/>
      <c r="U62" s="77"/>
      <c r="V62" s="105" t="s">
        <v>321</v>
      </c>
      <c r="W62" s="105">
        <v>310300025</v>
      </c>
      <c r="X62" s="106" t="s">
        <v>322</v>
      </c>
      <c r="Y62" s="105"/>
      <c r="Z62" s="105"/>
      <c r="AA62" s="105" t="s">
        <v>36</v>
      </c>
      <c r="AB62" s="110" t="s">
        <v>35</v>
      </c>
      <c r="AC62" s="50">
        <v>8.4</v>
      </c>
      <c r="AD62" s="50">
        <v>8</v>
      </c>
      <c r="AE62" s="50">
        <v>6.8</v>
      </c>
      <c r="AF62" s="111">
        <f t="shared" si="0"/>
        <v>0</v>
      </c>
      <c r="AG62" s="111" t="str">
        <f t="shared" si="1"/>
        <v>眼底镜检查费</v>
      </c>
      <c r="AH62" s="111">
        <f t="shared" si="2"/>
        <v>8</v>
      </c>
      <c r="AI62" s="111">
        <f t="shared" si="3"/>
        <v>7</v>
      </c>
      <c r="AJ62" s="111">
        <f t="shared" si="4"/>
        <v>6</v>
      </c>
    </row>
    <row r="63" s="56" customFormat="1" ht="25.5" spans="1:36">
      <c r="A63" s="64"/>
      <c r="B63" s="64"/>
      <c r="C63" s="66" t="s">
        <v>315</v>
      </c>
      <c r="D63" s="65"/>
      <c r="E63" s="77"/>
      <c r="F63" s="77"/>
      <c r="G63" s="64"/>
      <c r="H63" s="42"/>
      <c r="I63" s="42"/>
      <c r="J63" s="84"/>
      <c r="K63" s="84"/>
      <c r="L63" s="84"/>
      <c r="M63" s="84"/>
      <c r="N63" s="91">
        <v>8</v>
      </c>
      <c r="O63" s="91">
        <v>7</v>
      </c>
      <c r="P63" s="93">
        <v>6</v>
      </c>
      <c r="Q63" s="64"/>
      <c r="R63" s="64"/>
      <c r="S63" s="64"/>
      <c r="T63" s="83"/>
      <c r="U63" s="77"/>
      <c r="V63" s="105" t="s">
        <v>323</v>
      </c>
      <c r="W63" s="105">
        <v>310300058</v>
      </c>
      <c r="X63" s="105" t="s">
        <v>324</v>
      </c>
      <c r="Y63" s="105" t="s">
        <v>325</v>
      </c>
      <c r="Z63" s="105"/>
      <c r="AA63" s="105" t="s">
        <v>36</v>
      </c>
      <c r="AB63" s="110" t="s">
        <v>35</v>
      </c>
      <c r="AC63" s="50">
        <v>10.5</v>
      </c>
      <c r="AD63" s="50">
        <v>10</v>
      </c>
      <c r="AE63" s="50">
        <v>8.5</v>
      </c>
      <c r="AF63" s="111">
        <f t="shared" si="0"/>
        <v>0</v>
      </c>
      <c r="AG63" s="111" t="str">
        <f t="shared" si="1"/>
        <v>眼底镜检查费</v>
      </c>
      <c r="AH63" s="111">
        <f t="shared" si="2"/>
        <v>8</v>
      </c>
      <c r="AI63" s="111">
        <f t="shared" si="3"/>
        <v>7</v>
      </c>
      <c r="AJ63" s="111">
        <f t="shared" si="4"/>
        <v>6</v>
      </c>
    </row>
    <row r="64" s="56" customFormat="1" ht="25.5" spans="1:36">
      <c r="A64" s="64"/>
      <c r="B64" s="64"/>
      <c r="C64" s="66" t="s">
        <v>315</v>
      </c>
      <c r="D64" s="65"/>
      <c r="E64" s="77"/>
      <c r="F64" s="77"/>
      <c r="G64" s="64"/>
      <c r="H64" s="42"/>
      <c r="I64" s="42"/>
      <c r="J64" s="84"/>
      <c r="K64" s="84"/>
      <c r="L64" s="84"/>
      <c r="M64" s="84"/>
      <c r="N64" s="91">
        <v>8</v>
      </c>
      <c r="O64" s="91">
        <v>7</v>
      </c>
      <c r="P64" s="93">
        <v>6</v>
      </c>
      <c r="Q64" s="64"/>
      <c r="R64" s="64"/>
      <c r="S64" s="64"/>
      <c r="T64" s="83"/>
      <c r="U64" s="77"/>
      <c r="V64" s="105" t="s">
        <v>326</v>
      </c>
      <c r="W64" s="105">
        <v>310300049</v>
      </c>
      <c r="X64" s="105" t="s">
        <v>327</v>
      </c>
      <c r="Y64" s="105" t="s">
        <v>328</v>
      </c>
      <c r="Z64" s="105"/>
      <c r="AA64" s="105" t="s">
        <v>36</v>
      </c>
      <c r="AB64" s="110" t="s">
        <v>35</v>
      </c>
      <c r="AC64" s="50">
        <v>10.5</v>
      </c>
      <c r="AD64" s="50">
        <v>10</v>
      </c>
      <c r="AE64" s="50">
        <v>8.5</v>
      </c>
      <c r="AF64" s="111">
        <f t="shared" si="0"/>
        <v>0</v>
      </c>
      <c r="AG64" s="111" t="str">
        <f t="shared" si="1"/>
        <v>眼底镜检查费</v>
      </c>
      <c r="AH64" s="111">
        <f t="shared" si="2"/>
        <v>8</v>
      </c>
      <c r="AI64" s="111">
        <f t="shared" si="3"/>
        <v>7</v>
      </c>
      <c r="AJ64" s="111">
        <f t="shared" si="4"/>
        <v>6</v>
      </c>
    </row>
    <row r="65" s="55" customFormat="1" ht="75" customHeight="1" spans="1:36">
      <c r="A65" s="64">
        <v>22</v>
      </c>
      <c r="B65" s="64" t="s">
        <v>329</v>
      </c>
      <c r="C65" s="64" t="s">
        <v>330</v>
      </c>
      <c r="D65" s="65" t="s">
        <v>331</v>
      </c>
      <c r="E65" s="77" t="s">
        <v>332</v>
      </c>
      <c r="F65" s="77" t="s">
        <v>35</v>
      </c>
      <c r="G65" s="64" t="s">
        <v>36</v>
      </c>
      <c r="H65" s="78">
        <v>114</v>
      </c>
      <c r="I65" s="78">
        <v>103</v>
      </c>
      <c r="J65" s="83">
        <v>84</v>
      </c>
      <c r="K65" s="83">
        <v>80</v>
      </c>
      <c r="L65" s="83">
        <v>68</v>
      </c>
      <c r="M65" s="83"/>
      <c r="N65" s="41">
        <v>105</v>
      </c>
      <c r="O65" s="41">
        <v>95</v>
      </c>
      <c r="P65" s="50">
        <v>81</v>
      </c>
      <c r="Q65" s="64" t="s">
        <v>37</v>
      </c>
      <c r="R65" s="64" t="s">
        <v>35</v>
      </c>
      <c r="S65" s="64" t="s">
        <v>35</v>
      </c>
      <c r="T65" s="83" t="s">
        <v>333</v>
      </c>
      <c r="U65" s="77" t="s">
        <v>334</v>
      </c>
      <c r="V65" s="105" t="s">
        <v>335</v>
      </c>
      <c r="W65" s="105">
        <v>310300054</v>
      </c>
      <c r="X65" s="105" t="s">
        <v>336</v>
      </c>
      <c r="Y65" s="105" t="s">
        <v>337</v>
      </c>
      <c r="Z65" s="105" t="s">
        <v>338</v>
      </c>
      <c r="AA65" s="105" t="s">
        <v>71</v>
      </c>
      <c r="AB65" s="110" t="s">
        <v>35</v>
      </c>
      <c r="AC65" s="50">
        <v>84</v>
      </c>
      <c r="AD65" s="50">
        <v>80</v>
      </c>
      <c r="AE65" s="50">
        <v>68</v>
      </c>
      <c r="AF65" s="111">
        <f t="shared" si="0"/>
        <v>0</v>
      </c>
      <c r="AG65" s="111" t="str">
        <f t="shared" si="1"/>
        <v>眼底血管造影费</v>
      </c>
      <c r="AH65" s="111">
        <f t="shared" si="2"/>
        <v>105</v>
      </c>
      <c r="AI65" s="111">
        <f t="shared" si="3"/>
        <v>95</v>
      </c>
      <c r="AJ65" s="111">
        <f t="shared" si="4"/>
        <v>81</v>
      </c>
    </row>
    <row r="66" s="55" customFormat="1" ht="41" customHeight="1" spans="1:36">
      <c r="A66" s="64" t="s">
        <v>95</v>
      </c>
      <c r="B66" s="64" t="s">
        <v>339</v>
      </c>
      <c r="C66" s="64" t="s">
        <v>340</v>
      </c>
      <c r="D66" s="65"/>
      <c r="E66" s="77"/>
      <c r="F66" s="77" t="s">
        <v>35</v>
      </c>
      <c r="G66" s="64" t="s">
        <v>36</v>
      </c>
      <c r="H66" s="78">
        <v>114</v>
      </c>
      <c r="I66" s="78">
        <v>103</v>
      </c>
      <c r="J66" s="83"/>
      <c r="K66" s="83"/>
      <c r="L66" s="83"/>
      <c r="M66" s="83"/>
      <c r="N66" s="41">
        <v>105</v>
      </c>
      <c r="O66" s="41">
        <v>95</v>
      </c>
      <c r="P66" s="50">
        <v>81</v>
      </c>
      <c r="Q66" s="64" t="s">
        <v>37</v>
      </c>
      <c r="R66" s="64" t="s">
        <v>35</v>
      </c>
      <c r="S66" s="64" t="s">
        <v>35</v>
      </c>
      <c r="T66" s="83"/>
      <c r="U66" s="77"/>
      <c r="V66" s="105" t="s">
        <v>341</v>
      </c>
      <c r="W66" s="105">
        <v>310300061</v>
      </c>
      <c r="X66" s="106" t="s">
        <v>342</v>
      </c>
      <c r="Y66" s="105"/>
      <c r="Z66" s="105"/>
      <c r="AA66" s="105" t="s">
        <v>36</v>
      </c>
      <c r="AB66" s="110" t="s">
        <v>35</v>
      </c>
      <c r="AC66" s="50">
        <v>52.5</v>
      </c>
      <c r="AD66" s="50">
        <v>50</v>
      </c>
      <c r="AE66" s="50">
        <v>42.5</v>
      </c>
      <c r="AF66" s="111">
        <f t="shared" si="0"/>
        <v>0</v>
      </c>
      <c r="AG66" s="111" t="str">
        <f t="shared" si="1"/>
        <v>眼底血管造影费-脉络膜血管造影费（扩展）</v>
      </c>
      <c r="AH66" s="111">
        <f t="shared" si="2"/>
        <v>105</v>
      </c>
      <c r="AI66" s="111">
        <f t="shared" si="3"/>
        <v>95</v>
      </c>
      <c r="AJ66" s="111">
        <f t="shared" si="4"/>
        <v>81</v>
      </c>
    </row>
    <row r="67" s="55" customFormat="1" ht="25.5" spans="1:36">
      <c r="A67" s="64">
        <v>23</v>
      </c>
      <c r="B67" s="64" t="s">
        <v>343</v>
      </c>
      <c r="C67" s="66" t="s">
        <v>344</v>
      </c>
      <c r="D67" s="65" t="s">
        <v>345</v>
      </c>
      <c r="E67" s="77" t="s">
        <v>346</v>
      </c>
      <c r="F67" s="77" t="s">
        <v>347</v>
      </c>
      <c r="G67" s="64" t="s">
        <v>110</v>
      </c>
      <c r="H67" s="78">
        <v>73</v>
      </c>
      <c r="I67" s="78">
        <v>66</v>
      </c>
      <c r="J67" s="84">
        <v>64.4993264481365</v>
      </c>
      <c r="K67" s="84">
        <v>58.3333333333333</v>
      </c>
      <c r="L67" s="83"/>
      <c r="M67" s="83"/>
      <c r="N67" s="91">
        <v>65</v>
      </c>
      <c r="O67" s="91">
        <v>60</v>
      </c>
      <c r="P67" s="93">
        <v>50</v>
      </c>
      <c r="Q67" s="64" t="s">
        <v>37</v>
      </c>
      <c r="R67" s="64" t="s">
        <v>35</v>
      </c>
      <c r="S67" s="64" t="s">
        <v>348</v>
      </c>
      <c r="T67" s="83" t="s">
        <v>191</v>
      </c>
      <c r="U67" s="77" t="s">
        <v>349</v>
      </c>
      <c r="V67" s="105" t="s">
        <v>350</v>
      </c>
      <c r="W67" s="105">
        <v>310300065</v>
      </c>
      <c r="X67" s="106" t="s">
        <v>351</v>
      </c>
      <c r="Y67" s="105" t="s">
        <v>352</v>
      </c>
      <c r="Z67" s="105"/>
      <c r="AA67" s="105" t="s">
        <v>71</v>
      </c>
      <c r="AB67" s="110" t="s">
        <v>35</v>
      </c>
      <c r="AC67" s="50">
        <v>52.5</v>
      </c>
      <c r="AD67" s="50">
        <v>50</v>
      </c>
      <c r="AE67" s="50">
        <v>42.5</v>
      </c>
      <c r="AF67" s="111">
        <f t="shared" si="0"/>
        <v>0</v>
      </c>
      <c r="AG67" s="111" t="str">
        <f t="shared" si="1"/>
        <v>眼部电生理检查费</v>
      </c>
      <c r="AH67" s="111">
        <f t="shared" si="2"/>
        <v>65</v>
      </c>
      <c r="AI67" s="111">
        <f t="shared" si="3"/>
        <v>60</v>
      </c>
      <c r="AJ67" s="111">
        <f t="shared" si="4"/>
        <v>50</v>
      </c>
    </row>
    <row r="68" s="55" customFormat="1" ht="25.5" spans="1:36">
      <c r="A68" s="64"/>
      <c r="B68" s="64"/>
      <c r="C68" s="66" t="s">
        <v>344</v>
      </c>
      <c r="D68" s="65"/>
      <c r="E68" s="77"/>
      <c r="F68" s="77"/>
      <c r="G68" s="64"/>
      <c r="H68" s="42"/>
      <c r="I68" s="42"/>
      <c r="J68" s="84"/>
      <c r="K68" s="84"/>
      <c r="L68" s="83"/>
      <c r="M68" s="83"/>
      <c r="N68" s="91">
        <v>65</v>
      </c>
      <c r="O68" s="91">
        <v>60</v>
      </c>
      <c r="P68" s="93">
        <v>50</v>
      </c>
      <c r="Q68" s="64"/>
      <c r="R68" s="64"/>
      <c r="S68" s="64"/>
      <c r="T68" s="83"/>
      <c r="U68" s="77"/>
      <c r="V68" s="105" t="s">
        <v>353</v>
      </c>
      <c r="W68" s="105">
        <v>31030006501</v>
      </c>
      <c r="X68" s="106" t="s">
        <v>354</v>
      </c>
      <c r="Y68" s="105"/>
      <c r="Z68" s="105"/>
      <c r="AA68" s="105" t="s">
        <v>71</v>
      </c>
      <c r="AB68" s="110" t="s">
        <v>355</v>
      </c>
      <c r="AC68" s="50">
        <v>52.5</v>
      </c>
      <c r="AD68" s="50">
        <v>50</v>
      </c>
      <c r="AE68" s="50">
        <v>42.5</v>
      </c>
      <c r="AF68" s="111">
        <f t="shared" si="0"/>
        <v>0</v>
      </c>
      <c r="AG68" s="111" t="str">
        <f t="shared" si="1"/>
        <v>眼部电生理检查费</v>
      </c>
      <c r="AH68" s="111">
        <f t="shared" si="2"/>
        <v>65</v>
      </c>
      <c r="AI68" s="111">
        <f t="shared" si="3"/>
        <v>60</v>
      </c>
      <c r="AJ68" s="111">
        <f t="shared" si="4"/>
        <v>50</v>
      </c>
    </row>
    <row r="69" s="55" customFormat="1" ht="25.5" spans="1:36">
      <c r="A69" s="64"/>
      <c r="B69" s="64"/>
      <c r="C69" s="66" t="s">
        <v>344</v>
      </c>
      <c r="D69" s="65"/>
      <c r="E69" s="77"/>
      <c r="F69" s="77"/>
      <c r="G69" s="64"/>
      <c r="H69" s="42"/>
      <c r="I69" s="42"/>
      <c r="J69" s="84"/>
      <c r="K69" s="84"/>
      <c r="L69" s="83"/>
      <c r="M69" s="83"/>
      <c r="N69" s="91">
        <v>65</v>
      </c>
      <c r="O69" s="91">
        <v>60</v>
      </c>
      <c r="P69" s="93">
        <v>50</v>
      </c>
      <c r="Q69" s="64"/>
      <c r="R69" s="64"/>
      <c r="S69" s="64"/>
      <c r="T69" s="83"/>
      <c r="U69" s="77"/>
      <c r="V69" s="105" t="s">
        <v>356</v>
      </c>
      <c r="W69" s="105">
        <v>31030006502</v>
      </c>
      <c r="X69" s="106" t="s">
        <v>357</v>
      </c>
      <c r="Y69" s="105"/>
      <c r="Z69" s="105"/>
      <c r="AA69" s="105" t="s">
        <v>71</v>
      </c>
      <c r="AB69" s="110" t="s">
        <v>358</v>
      </c>
      <c r="AC69" s="50">
        <v>52.5</v>
      </c>
      <c r="AD69" s="50">
        <v>50</v>
      </c>
      <c r="AE69" s="50">
        <v>42.5</v>
      </c>
      <c r="AF69" s="111">
        <f t="shared" ref="AF69:AF132" si="5">IFERROR(FIND("-儿童（加收）",C69,1),0)</f>
        <v>0</v>
      </c>
      <c r="AG69" s="111" t="str">
        <f t="shared" ref="AG69:AG132" si="6">SUBSTITUTE(C69,"-儿童（加收）","")</f>
        <v>眼部电生理检查费</v>
      </c>
      <c r="AH69" s="111">
        <f t="shared" ref="AH69:AH132" si="7">IF(AF69&gt;0,_xlfn.MAXIFS(N:N,C:C,SUBSTITUTE(C69,"-儿童（加收）","")),0)+N69</f>
        <v>65</v>
      </c>
      <c r="AI69" s="111">
        <f t="shared" ref="AI69:AI132" si="8">IF(AF69&gt;0,_xlfn.MAXIFS(O:O,C:C,SUBSTITUTE(C69,"-儿童（加收）","")),0)+O69</f>
        <v>60</v>
      </c>
      <c r="AJ69" s="111">
        <f t="shared" ref="AJ69:AJ132" si="9">IF(AF69&gt;0,_xlfn.MAXIFS(P:P,C:C,SUBSTITUTE(C69,"-儿童（加收）","")),0)+P69</f>
        <v>50</v>
      </c>
    </row>
    <row r="70" s="55" customFormat="1" ht="25.5" spans="1:36">
      <c r="A70" s="64"/>
      <c r="B70" s="64"/>
      <c r="C70" s="66" t="s">
        <v>344</v>
      </c>
      <c r="D70" s="65"/>
      <c r="E70" s="77"/>
      <c r="F70" s="77"/>
      <c r="G70" s="64"/>
      <c r="H70" s="42"/>
      <c r="I70" s="42"/>
      <c r="J70" s="84"/>
      <c r="K70" s="84"/>
      <c r="L70" s="83"/>
      <c r="M70" s="83"/>
      <c r="N70" s="91">
        <v>65</v>
      </c>
      <c r="O70" s="91">
        <v>60</v>
      </c>
      <c r="P70" s="93">
        <v>50</v>
      </c>
      <c r="Q70" s="64"/>
      <c r="R70" s="64"/>
      <c r="S70" s="64"/>
      <c r="T70" s="83"/>
      <c r="U70" s="77"/>
      <c r="V70" s="105" t="s">
        <v>359</v>
      </c>
      <c r="W70" s="105">
        <v>310300067</v>
      </c>
      <c r="X70" s="106" t="s">
        <v>360</v>
      </c>
      <c r="Y70" s="105" t="s">
        <v>361</v>
      </c>
      <c r="Z70" s="105"/>
      <c r="AA70" s="105" t="s">
        <v>71</v>
      </c>
      <c r="AB70" s="110" t="s">
        <v>35</v>
      </c>
      <c r="AC70" s="50">
        <v>52.5</v>
      </c>
      <c r="AD70" s="50">
        <v>50</v>
      </c>
      <c r="AE70" s="50">
        <v>42.5</v>
      </c>
      <c r="AF70" s="111">
        <f t="shared" si="5"/>
        <v>0</v>
      </c>
      <c r="AG70" s="111" t="str">
        <f t="shared" si="6"/>
        <v>眼部电生理检查费</v>
      </c>
      <c r="AH70" s="111">
        <f t="shared" si="7"/>
        <v>65</v>
      </c>
      <c r="AI70" s="111">
        <f t="shared" si="8"/>
        <v>60</v>
      </c>
      <c r="AJ70" s="111">
        <f t="shared" si="9"/>
        <v>50</v>
      </c>
    </row>
    <row r="71" s="55" customFormat="1" ht="25.5" spans="1:36">
      <c r="A71" s="64"/>
      <c r="B71" s="64"/>
      <c r="C71" s="66" t="s">
        <v>344</v>
      </c>
      <c r="D71" s="65"/>
      <c r="E71" s="77"/>
      <c r="F71" s="77"/>
      <c r="G71" s="64"/>
      <c r="H71" s="42"/>
      <c r="I71" s="42"/>
      <c r="J71" s="84"/>
      <c r="K71" s="84"/>
      <c r="L71" s="83"/>
      <c r="M71" s="83"/>
      <c r="N71" s="91">
        <v>65</v>
      </c>
      <c r="O71" s="91">
        <v>60</v>
      </c>
      <c r="P71" s="93">
        <v>50</v>
      </c>
      <c r="Q71" s="64"/>
      <c r="R71" s="64"/>
      <c r="S71" s="64"/>
      <c r="T71" s="83"/>
      <c r="U71" s="77"/>
      <c r="V71" s="105" t="s">
        <v>362</v>
      </c>
      <c r="W71" s="105">
        <v>310300068</v>
      </c>
      <c r="X71" s="106" t="s">
        <v>363</v>
      </c>
      <c r="Y71" s="105" t="s">
        <v>364</v>
      </c>
      <c r="Z71" s="105"/>
      <c r="AA71" s="105" t="s">
        <v>71</v>
      </c>
      <c r="AB71" s="110" t="s">
        <v>365</v>
      </c>
      <c r="AC71" s="50">
        <v>52.5</v>
      </c>
      <c r="AD71" s="50">
        <v>50</v>
      </c>
      <c r="AE71" s="50">
        <v>42.5</v>
      </c>
      <c r="AF71" s="111">
        <f t="shared" si="5"/>
        <v>0</v>
      </c>
      <c r="AG71" s="111" t="str">
        <f t="shared" si="6"/>
        <v>眼部电生理检查费</v>
      </c>
      <c r="AH71" s="111">
        <f t="shared" si="7"/>
        <v>65</v>
      </c>
      <c r="AI71" s="111">
        <f t="shared" si="8"/>
        <v>60</v>
      </c>
      <c r="AJ71" s="111">
        <f t="shared" si="9"/>
        <v>50</v>
      </c>
    </row>
    <row r="72" s="55" customFormat="1" ht="25.5" spans="1:36">
      <c r="A72" s="64"/>
      <c r="B72" s="64"/>
      <c r="C72" s="66" t="s">
        <v>344</v>
      </c>
      <c r="D72" s="65"/>
      <c r="E72" s="77"/>
      <c r="F72" s="77"/>
      <c r="G72" s="64"/>
      <c r="H72" s="42"/>
      <c r="I72" s="42"/>
      <c r="J72" s="84"/>
      <c r="K72" s="84"/>
      <c r="L72" s="83"/>
      <c r="M72" s="83"/>
      <c r="N72" s="91">
        <v>65</v>
      </c>
      <c r="O72" s="91">
        <v>60</v>
      </c>
      <c r="P72" s="93">
        <v>50</v>
      </c>
      <c r="Q72" s="64"/>
      <c r="R72" s="64"/>
      <c r="S72" s="64"/>
      <c r="T72" s="83"/>
      <c r="U72" s="77"/>
      <c r="V72" s="105" t="s">
        <v>366</v>
      </c>
      <c r="W72" s="105">
        <v>31030006801</v>
      </c>
      <c r="X72" s="106" t="s">
        <v>367</v>
      </c>
      <c r="Y72" s="105"/>
      <c r="Z72" s="105"/>
      <c r="AA72" s="105" t="s">
        <v>71</v>
      </c>
      <c r="AB72" s="110" t="s">
        <v>368</v>
      </c>
      <c r="AC72" s="50">
        <v>105</v>
      </c>
      <c r="AD72" s="50">
        <v>100</v>
      </c>
      <c r="AE72" s="50">
        <v>85</v>
      </c>
      <c r="AF72" s="111">
        <f t="shared" si="5"/>
        <v>0</v>
      </c>
      <c r="AG72" s="111" t="str">
        <f t="shared" si="6"/>
        <v>眼部电生理检查费</v>
      </c>
      <c r="AH72" s="111">
        <f t="shared" si="7"/>
        <v>65</v>
      </c>
      <c r="AI72" s="111">
        <f t="shared" si="8"/>
        <v>60</v>
      </c>
      <c r="AJ72" s="111">
        <f t="shared" si="9"/>
        <v>50</v>
      </c>
    </row>
    <row r="73" s="55" customFormat="1" ht="51" spans="1:36">
      <c r="A73" s="64">
        <v>24</v>
      </c>
      <c r="B73" s="64" t="s">
        <v>369</v>
      </c>
      <c r="C73" s="64" t="s">
        <v>370</v>
      </c>
      <c r="D73" s="65" t="s">
        <v>371</v>
      </c>
      <c r="E73" s="77" t="s">
        <v>372</v>
      </c>
      <c r="F73" s="77" t="s">
        <v>35</v>
      </c>
      <c r="G73" s="64" t="s">
        <v>36</v>
      </c>
      <c r="H73" s="78">
        <v>5</v>
      </c>
      <c r="I73" s="78">
        <v>5</v>
      </c>
      <c r="J73" s="83">
        <v>5.3</v>
      </c>
      <c r="K73" s="83">
        <v>5</v>
      </c>
      <c r="L73" s="83">
        <v>4.3</v>
      </c>
      <c r="M73" s="83"/>
      <c r="N73" s="94">
        <v>5</v>
      </c>
      <c r="O73" s="41">
        <v>4.8</v>
      </c>
      <c r="P73" s="50">
        <v>4.3</v>
      </c>
      <c r="Q73" s="64" t="s">
        <v>37</v>
      </c>
      <c r="R73" s="64" t="s">
        <v>35</v>
      </c>
      <c r="S73" s="64" t="s">
        <v>35</v>
      </c>
      <c r="T73" s="83" t="s">
        <v>38</v>
      </c>
      <c r="U73" s="77" t="s">
        <v>373</v>
      </c>
      <c r="V73" s="105" t="s">
        <v>374</v>
      </c>
      <c r="W73" s="105">
        <v>310300030</v>
      </c>
      <c r="X73" s="105" t="s">
        <v>375</v>
      </c>
      <c r="Y73" s="105" t="s">
        <v>376</v>
      </c>
      <c r="Z73" s="105"/>
      <c r="AA73" s="105" t="s">
        <v>36</v>
      </c>
      <c r="AB73" s="110" t="s">
        <v>35</v>
      </c>
      <c r="AC73" s="50">
        <v>5.3</v>
      </c>
      <c r="AD73" s="50">
        <v>5</v>
      </c>
      <c r="AE73" s="50">
        <v>4.3</v>
      </c>
      <c r="AF73" s="111">
        <f t="shared" si="5"/>
        <v>0</v>
      </c>
      <c r="AG73" s="111" t="str">
        <f t="shared" si="6"/>
        <v>眼球突出度测量费</v>
      </c>
      <c r="AH73" s="111">
        <f t="shared" si="7"/>
        <v>5</v>
      </c>
      <c r="AI73" s="111">
        <f t="shared" si="8"/>
        <v>4.8</v>
      </c>
      <c r="AJ73" s="111">
        <f t="shared" si="9"/>
        <v>4.3</v>
      </c>
    </row>
    <row r="74" s="55" customFormat="1" ht="31" customHeight="1" spans="1:36">
      <c r="A74" s="64">
        <v>25</v>
      </c>
      <c r="B74" s="64" t="s">
        <v>377</v>
      </c>
      <c r="C74" s="66" t="s">
        <v>378</v>
      </c>
      <c r="D74" s="65" t="s">
        <v>379</v>
      </c>
      <c r="E74" s="77" t="s">
        <v>380</v>
      </c>
      <c r="F74" s="77" t="s">
        <v>35</v>
      </c>
      <c r="G74" s="64" t="s">
        <v>36</v>
      </c>
      <c r="H74" s="78">
        <v>11</v>
      </c>
      <c r="I74" s="78">
        <v>10</v>
      </c>
      <c r="J74" s="83">
        <v>10.5</v>
      </c>
      <c r="K74" s="83">
        <v>10</v>
      </c>
      <c r="L74" s="83">
        <v>8.5</v>
      </c>
      <c r="M74" s="83"/>
      <c r="N74" s="91">
        <v>10.5</v>
      </c>
      <c r="O74" s="91">
        <v>10</v>
      </c>
      <c r="P74" s="93">
        <v>8.5</v>
      </c>
      <c r="Q74" s="64" t="s">
        <v>37</v>
      </c>
      <c r="R74" s="64" t="s">
        <v>35</v>
      </c>
      <c r="S74" s="64" t="s">
        <v>35</v>
      </c>
      <c r="T74" s="83" t="s">
        <v>381</v>
      </c>
      <c r="U74" s="77" t="s">
        <v>381</v>
      </c>
      <c r="V74" s="105" t="s">
        <v>382</v>
      </c>
      <c r="W74" s="105">
        <v>310300069</v>
      </c>
      <c r="X74" s="106" t="s">
        <v>383</v>
      </c>
      <c r="Y74" s="105" t="s">
        <v>384</v>
      </c>
      <c r="Z74" s="105"/>
      <c r="AA74" s="105" t="s">
        <v>36</v>
      </c>
      <c r="AB74" s="110" t="s">
        <v>35</v>
      </c>
      <c r="AC74" s="50">
        <v>10.5</v>
      </c>
      <c r="AD74" s="50">
        <v>10</v>
      </c>
      <c r="AE74" s="50">
        <v>8.5</v>
      </c>
      <c r="AF74" s="111">
        <f t="shared" si="5"/>
        <v>0</v>
      </c>
      <c r="AG74" s="111" t="str">
        <f t="shared" si="6"/>
        <v>眼外肌功能检查费</v>
      </c>
      <c r="AH74" s="111">
        <f t="shared" si="7"/>
        <v>10.5</v>
      </c>
      <c r="AI74" s="111">
        <f t="shared" si="8"/>
        <v>10</v>
      </c>
      <c r="AJ74" s="111">
        <f t="shared" si="9"/>
        <v>8.5</v>
      </c>
    </row>
    <row r="75" s="55" customFormat="1" ht="31" customHeight="1" spans="1:36">
      <c r="A75" s="64"/>
      <c r="B75" s="64"/>
      <c r="C75" s="66" t="s">
        <v>378</v>
      </c>
      <c r="D75" s="65"/>
      <c r="E75" s="77"/>
      <c r="F75" s="77"/>
      <c r="G75" s="64"/>
      <c r="H75" s="42"/>
      <c r="I75" s="42"/>
      <c r="J75" s="83"/>
      <c r="K75" s="83"/>
      <c r="L75" s="83"/>
      <c r="M75" s="83"/>
      <c r="N75" s="91">
        <v>10.5</v>
      </c>
      <c r="O75" s="91">
        <v>10</v>
      </c>
      <c r="P75" s="93">
        <v>8.5</v>
      </c>
      <c r="Q75" s="64"/>
      <c r="R75" s="64"/>
      <c r="S75" s="64"/>
      <c r="T75" s="83"/>
      <c r="U75" s="77"/>
      <c r="V75" s="105" t="s">
        <v>385</v>
      </c>
      <c r="W75" s="105">
        <v>310300070</v>
      </c>
      <c r="X75" s="106" t="s">
        <v>386</v>
      </c>
      <c r="Y75" s="105"/>
      <c r="Z75" s="105"/>
      <c r="AA75" s="105" t="s">
        <v>36</v>
      </c>
      <c r="AB75" s="110" t="s">
        <v>35</v>
      </c>
      <c r="AC75" s="50">
        <v>10.5</v>
      </c>
      <c r="AD75" s="50">
        <v>10</v>
      </c>
      <c r="AE75" s="50">
        <v>8.5</v>
      </c>
      <c r="AF75" s="111">
        <f t="shared" si="5"/>
        <v>0</v>
      </c>
      <c r="AG75" s="111" t="str">
        <f t="shared" si="6"/>
        <v>眼外肌功能检查费</v>
      </c>
      <c r="AH75" s="111">
        <f t="shared" si="7"/>
        <v>10.5</v>
      </c>
      <c r="AI75" s="111">
        <f t="shared" si="8"/>
        <v>10</v>
      </c>
      <c r="AJ75" s="111">
        <f t="shared" si="9"/>
        <v>8.5</v>
      </c>
    </row>
    <row r="76" s="52" customFormat="1" ht="82" customHeight="1" spans="1:36">
      <c r="A76" s="64">
        <v>26</v>
      </c>
      <c r="B76" s="64" t="s">
        <v>389</v>
      </c>
      <c r="C76" s="64" t="s">
        <v>390</v>
      </c>
      <c r="D76" s="65" t="s">
        <v>391</v>
      </c>
      <c r="E76" s="77" t="s">
        <v>392</v>
      </c>
      <c r="F76" s="77" t="s">
        <v>35</v>
      </c>
      <c r="G76" s="64" t="s">
        <v>110</v>
      </c>
      <c r="H76" s="78">
        <v>10</v>
      </c>
      <c r="I76" s="78">
        <v>9</v>
      </c>
      <c r="J76" s="83">
        <v>10.5</v>
      </c>
      <c r="K76" s="83">
        <v>10</v>
      </c>
      <c r="L76" s="83">
        <v>8.5</v>
      </c>
      <c r="M76" s="83"/>
      <c r="N76" s="94">
        <v>10</v>
      </c>
      <c r="O76" s="94">
        <v>9</v>
      </c>
      <c r="P76" s="96">
        <v>8</v>
      </c>
      <c r="Q76" s="64" t="s">
        <v>37</v>
      </c>
      <c r="R76" s="64" t="s">
        <v>35</v>
      </c>
      <c r="S76" s="64" t="s">
        <v>35</v>
      </c>
      <c r="T76" s="83" t="s">
        <v>38</v>
      </c>
      <c r="U76" s="77" t="s">
        <v>393</v>
      </c>
      <c r="V76" s="105" t="s">
        <v>394</v>
      </c>
      <c r="W76" s="105">
        <v>310300026</v>
      </c>
      <c r="X76" s="106" t="s">
        <v>395</v>
      </c>
      <c r="Y76" s="105"/>
      <c r="Z76" s="105"/>
      <c r="AA76" s="105" t="s">
        <v>36</v>
      </c>
      <c r="AB76" s="110" t="s">
        <v>35</v>
      </c>
      <c r="AC76" s="50">
        <v>10.5</v>
      </c>
      <c r="AD76" s="50">
        <v>10</v>
      </c>
      <c r="AE76" s="50">
        <v>8.5</v>
      </c>
      <c r="AF76" s="111">
        <f t="shared" si="5"/>
        <v>0</v>
      </c>
      <c r="AG76" s="111" t="str">
        <f t="shared" si="6"/>
        <v>眼像差检查费</v>
      </c>
      <c r="AH76" s="111">
        <f t="shared" si="7"/>
        <v>10</v>
      </c>
      <c r="AI76" s="111">
        <f t="shared" si="8"/>
        <v>9</v>
      </c>
      <c r="AJ76" s="111">
        <f t="shared" si="9"/>
        <v>8</v>
      </c>
    </row>
    <row r="77" s="52" customFormat="1" ht="83" customHeight="1" spans="1:36">
      <c r="A77" s="64">
        <v>28</v>
      </c>
      <c r="B77" s="64" t="s">
        <v>402</v>
      </c>
      <c r="C77" s="64" t="s">
        <v>403</v>
      </c>
      <c r="D77" s="65" t="s">
        <v>404</v>
      </c>
      <c r="E77" s="77" t="s">
        <v>405</v>
      </c>
      <c r="F77" s="77" t="s">
        <v>35</v>
      </c>
      <c r="G77" s="64" t="s">
        <v>36</v>
      </c>
      <c r="H77" s="78">
        <v>77</v>
      </c>
      <c r="I77" s="78">
        <v>69</v>
      </c>
      <c r="J77" s="83">
        <v>73.5</v>
      </c>
      <c r="K77" s="83">
        <v>70</v>
      </c>
      <c r="L77" s="83">
        <v>59.5</v>
      </c>
      <c r="M77" s="83"/>
      <c r="N77" s="94">
        <v>74</v>
      </c>
      <c r="O77" s="94">
        <v>69</v>
      </c>
      <c r="P77" s="96">
        <v>60</v>
      </c>
      <c r="Q77" s="64" t="s">
        <v>37</v>
      </c>
      <c r="R77" s="64" t="s">
        <v>35</v>
      </c>
      <c r="S77" s="64" t="s">
        <v>35</v>
      </c>
      <c r="T77" s="83" t="s">
        <v>38</v>
      </c>
      <c r="U77" s="77" t="s">
        <v>208</v>
      </c>
      <c r="V77" s="105" t="s">
        <v>406</v>
      </c>
      <c r="W77" s="105">
        <v>310401021</v>
      </c>
      <c r="X77" s="105" t="s">
        <v>407</v>
      </c>
      <c r="Y77" s="105" t="s">
        <v>408</v>
      </c>
      <c r="Z77" s="105"/>
      <c r="AA77" s="105" t="s">
        <v>36</v>
      </c>
      <c r="AB77" s="110" t="s">
        <v>35</v>
      </c>
      <c r="AC77" s="50">
        <v>73.5</v>
      </c>
      <c r="AD77" s="50">
        <v>70</v>
      </c>
      <c r="AE77" s="50">
        <v>59.5</v>
      </c>
      <c r="AF77" s="111">
        <f t="shared" si="5"/>
        <v>0</v>
      </c>
      <c r="AG77" s="111" t="str">
        <f t="shared" si="6"/>
        <v>眼震电图费</v>
      </c>
      <c r="AH77" s="111">
        <f t="shared" si="7"/>
        <v>74</v>
      </c>
      <c r="AI77" s="111">
        <f t="shared" si="8"/>
        <v>69</v>
      </c>
      <c r="AJ77" s="111">
        <f t="shared" si="9"/>
        <v>60</v>
      </c>
    </row>
    <row r="78" s="52" customFormat="1" ht="72" customHeight="1" spans="1:36">
      <c r="A78" s="64">
        <v>29</v>
      </c>
      <c r="B78" s="64" t="s">
        <v>409</v>
      </c>
      <c r="C78" s="64" t="s">
        <v>410</v>
      </c>
      <c r="D78" s="65" t="s">
        <v>411</v>
      </c>
      <c r="E78" s="77" t="s">
        <v>412</v>
      </c>
      <c r="F78" s="77" t="s">
        <v>35</v>
      </c>
      <c r="G78" s="64" t="s">
        <v>36</v>
      </c>
      <c r="H78" s="78">
        <v>8</v>
      </c>
      <c r="I78" s="78">
        <v>7</v>
      </c>
      <c r="J78" s="83">
        <v>8.4</v>
      </c>
      <c r="K78" s="83">
        <v>8</v>
      </c>
      <c r="L78" s="83">
        <v>6.8</v>
      </c>
      <c r="M78" s="83"/>
      <c r="N78" s="94">
        <v>8</v>
      </c>
      <c r="O78" s="94">
        <v>7</v>
      </c>
      <c r="P78" s="96">
        <v>6</v>
      </c>
      <c r="Q78" s="64" t="s">
        <v>37</v>
      </c>
      <c r="R78" s="64" t="s">
        <v>35</v>
      </c>
      <c r="S78" s="64" t="s">
        <v>35</v>
      </c>
      <c r="T78" s="83" t="s">
        <v>38</v>
      </c>
      <c r="U78" s="77" t="s">
        <v>393</v>
      </c>
      <c r="V78" s="105" t="s">
        <v>413</v>
      </c>
      <c r="W78" s="105">
        <v>310300011</v>
      </c>
      <c r="X78" s="106" t="s">
        <v>414</v>
      </c>
      <c r="Y78" s="105" t="s">
        <v>415</v>
      </c>
      <c r="Z78" s="105"/>
      <c r="AA78" s="105" t="s">
        <v>36</v>
      </c>
      <c r="AB78" s="110" t="s">
        <v>35</v>
      </c>
      <c r="AC78" s="50">
        <v>8.4</v>
      </c>
      <c r="AD78" s="50">
        <v>8</v>
      </c>
      <c r="AE78" s="50">
        <v>6.8</v>
      </c>
      <c r="AF78" s="111">
        <f t="shared" si="5"/>
        <v>0</v>
      </c>
      <c r="AG78" s="111" t="str">
        <f t="shared" si="6"/>
        <v>代偿头位测定费</v>
      </c>
      <c r="AH78" s="111">
        <f t="shared" si="7"/>
        <v>8</v>
      </c>
      <c r="AI78" s="111">
        <f t="shared" si="8"/>
        <v>7</v>
      </c>
      <c r="AJ78" s="111">
        <f t="shared" si="9"/>
        <v>6</v>
      </c>
    </row>
    <row r="79" s="52" customFormat="1" ht="79" customHeight="1" spans="1:36">
      <c r="A79" s="64">
        <v>30</v>
      </c>
      <c r="B79" s="64" t="s">
        <v>418</v>
      </c>
      <c r="C79" s="64" t="s">
        <v>419</v>
      </c>
      <c r="D79" s="65" t="s">
        <v>420</v>
      </c>
      <c r="E79" s="77" t="s">
        <v>421</v>
      </c>
      <c r="F79" s="77" t="s">
        <v>35</v>
      </c>
      <c r="G79" s="64" t="s">
        <v>110</v>
      </c>
      <c r="H79" s="78">
        <v>11</v>
      </c>
      <c r="I79" s="78">
        <v>10</v>
      </c>
      <c r="J79" s="83">
        <v>10.5</v>
      </c>
      <c r="K79" s="83">
        <v>10</v>
      </c>
      <c r="L79" s="83">
        <v>8.5</v>
      </c>
      <c r="M79" s="83"/>
      <c r="N79" s="41">
        <v>10.5</v>
      </c>
      <c r="O79" s="41">
        <v>10</v>
      </c>
      <c r="P79" s="50">
        <v>8.5</v>
      </c>
      <c r="Q79" s="64" t="s">
        <v>37</v>
      </c>
      <c r="R79" s="64" t="s">
        <v>35</v>
      </c>
      <c r="S79" s="64" t="s">
        <v>35</v>
      </c>
      <c r="T79" s="83" t="s">
        <v>381</v>
      </c>
      <c r="U79" s="77" t="s">
        <v>381</v>
      </c>
      <c r="V79" s="105" t="s">
        <v>422</v>
      </c>
      <c r="W79" s="105">
        <v>310300050</v>
      </c>
      <c r="X79" s="106" t="s">
        <v>423</v>
      </c>
      <c r="Y79" s="105"/>
      <c r="Z79" s="105"/>
      <c r="AA79" s="105" t="s">
        <v>36</v>
      </c>
      <c r="AB79" s="110" t="s">
        <v>35</v>
      </c>
      <c r="AC79" s="50">
        <v>10.5</v>
      </c>
      <c r="AD79" s="50">
        <v>10</v>
      </c>
      <c r="AE79" s="50">
        <v>8.5</v>
      </c>
      <c r="AF79" s="111">
        <f t="shared" si="5"/>
        <v>0</v>
      </c>
      <c r="AG79" s="111" t="str">
        <f t="shared" si="6"/>
        <v>房角镜检查费</v>
      </c>
      <c r="AH79" s="111">
        <f t="shared" si="7"/>
        <v>10.5</v>
      </c>
      <c r="AI79" s="111">
        <f t="shared" si="8"/>
        <v>10</v>
      </c>
      <c r="AJ79" s="111">
        <f t="shared" si="9"/>
        <v>8.5</v>
      </c>
    </row>
    <row r="80" s="52" customFormat="1" ht="41" customHeight="1" spans="1:36">
      <c r="A80" s="64">
        <v>31</v>
      </c>
      <c r="B80" s="64" t="s">
        <v>424</v>
      </c>
      <c r="C80" s="66" t="s">
        <v>425</v>
      </c>
      <c r="D80" s="65" t="s">
        <v>426</v>
      </c>
      <c r="E80" s="77" t="s">
        <v>427</v>
      </c>
      <c r="F80" s="77" t="s">
        <v>35</v>
      </c>
      <c r="G80" s="64" t="s">
        <v>36</v>
      </c>
      <c r="H80" s="78">
        <v>6</v>
      </c>
      <c r="I80" s="78">
        <v>5</v>
      </c>
      <c r="J80" s="84">
        <v>5.34829361656243</v>
      </c>
      <c r="K80" s="84">
        <v>5.12369389620334</v>
      </c>
      <c r="L80" s="84">
        <v>4.3188782384417</v>
      </c>
      <c r="M80" s="84"/>
      <c r="N80" s="92">
        <v>5.4</v>
      </c>
      <c r="O80" s="91">
        <v>5</v>
      </c>
      <c r="P80" s="93">
        <v>4.3</v>
      </c>
      <c r="Q80" s="64" t="s">
        <v>37</v>
      </c>
      <c r="R80" s="64" t="s">
        <v>35</v>
      </c>
      <c r="S80" s="64" t="s">
        <v>35</v>
      </c>
      <c r="T80" s="83" t="s">
        <v>191</v>
      </c>
      <c r="U80" s="77" t="s">
        <v>191</v>
      </c>
      <c r="V80" s="105" t="s">
        <v>428</v>
      </c>
      <c r="W80" s="105">
        <v>310300048</v>
      </c>
      <c r="X80" s="106" t="s">
        <v>429</v>
      </c>
      <c r="Y80" s="105"/>
      <c r="Z80" s="105"/>
      <c r="AA80" s="105" t="s">
        <v>36</v>
      </c>
      <c r="AB80" s="110" t="s">
        <v>35</v>
      </c>
      <c r="AC80" s="50">
        <v>5.3</v>
      </c>
      <c r="AD80" s="50">
        <v>5</v>
      </c>
      <c r="AE80" s="50">
        <v>4.3</v>
      </c>
      <c r="AF80" s="111">
        <f t="shared" si="5"/>
        <v>0</v>
      </c>
      <c r="AG80" s="111" t="str">
        <f t="shared" si="6"/>
        <v>裂隙灯检查费</v>
      </c>
      <c r="AH80" s="111">
        <f t="shared" si="7"/>
        <v>5.4</v>
      </c>
      <c r="AI80" s="111">
        <f t="shared" si="8"/>
        <v>5</v>
      </c>
      <c r="AJ80" s="111">
        <f t="shared" si="9"/>
        <v>4.3</v>
      </c>
    </row>
    <row r="81" s="52" customFormat="1" ht="41" customHeight="1" spans="1:36">
      <c r="A81" s="64"/>
      <c r="B81" s="64"/>
      <c r="C81" s="66" t="s">
        <v>425</v>
      </c>
      <c r="D81" s="65"/>
      <c r="E81" s="77"/>
      <c r="F81" s="77"/>
      <c r="G81" s="64"/>
      <c r="H81" s="42"/>
      <c r="I81" s="42"/>
      <c r="J81" s="84"/>
      <c r="K81" s="84"/>
      <c r="L81" s="84"/>
      <c r="M81" s="84"/>
      <c r="N81" s="92">
        <v>5.4</v>
      </c>
      <c r="O81" s="91">
        <v>5</v>
      </c>
      <c r="P81" s="93">
        <v>4.3</v>
      </c>
      <c r="Q81" s="64"/>
      <c r="R81" s="64"/>
      <c r="S81" s="64"/>
      <c r="T81" s="83"/>
      <c r="U81" s="77" t="s">
        <v>381</v>
      </c>
      <c r="V81" s="105" t="s">
        <v>430</v>
      </c>
      <c r="W81" s="105">
        <v>310300046</v>
      </c>
      <c r="X81" s="106" t="s">
        <v>431</v>
      </c>
      <c r="Y81" s="105" t="s">
        <v>432</v>
      </c>
      <c r="Z81" s="105"/>
      <c r="AA81" s="105" t="s">
        <v>36</v>
      </c>
      <c r="AB81" s="110" t="s">
        <v>35</v>
      </c>
      <c r="AC81" s="50">
        <v>6.3</v>
      </c>
      <c r="AD81" s="50">
        <v>6</v>
      </c>
      <c r="AE81" s="50">
        <v>5.1</v>
      </c>
      <c r="AF81" s="111">
        <f t="shared" si="5"/>
        <v>0</v>
      </c>
      <c r="AG81" s="111" t="str">
        <f t="shared" si="6"/>
        <v>裂隙灯检查费</v>
      </c>
      <c r="AH81" s="111">
        <f t="shared" si="7"/>
        <v>5.4</v>
      </c>
      <c r="AI81" s="111">
        <f t="shared" si="8"/>
        <v>5</v>
      </c>
      <c r="AJ81" s="111">
        <f t="shared" si="9"/>
        <v>4.3</v>
      </c>
    </row>
    <row r="82" s="52" customFormat="1" ht="73" customHeight="1" spans="1:36">
      <c r="A82" s="64">
        <v>32</v>
      </c>
      <c r="B82" s="64" t="s">
        <v>433</v>
      </c>
      <c r="C82" s="64" t="s">
        <v>434</v>
      </c>
      <c r="D82" s="65" t="s">
        <v>435</v>
      </c>
      <c r="E82" s="77" t="s">
        <v>436</v>
      </c>
      <c r="F82" s="77" t="s">
        <v>35</v>
      </c>
      <c r="G82" s="64" t="s">
        <v>110</v>
      </c>
      <c r="H82" s="78">
        <v>80</v>
      </c>
      <c r="I82" s="78">
        <v>72</v>
      </c>
      <c r="J82" s="83">
        <v>84</v>
      </c>
      <c r="K82" s="83">
        <v>80</v>
      </c>
      <c r="L82" s="83">
        <v>68</v>
      </c>
      <c r="M82" s="83"/>
      <c r="N82" s="94">
        <v>80</v>
      </c>
      <c r="O82" s="94">
        <v>72</v>
      </c>
      <c r="P82" s="96">
        <v>62</v>
      </c>
      <c r="Q82" s="64" t="s">
        <v>37</v>
      </c>
      <c r="R82" s="64" t="s">
        <v>35</v>
      </c>
      <c r="S82" s="64" t="s">
        <v>348</v>
      </c>
      <c r="T82" s="83" t="s">
        <v>38</v>
      </c>
      <c r="U82" s="77" t="s">
        <v>132</v>
      </c>
      <c r="V82" s="105" t="s">
        <v>437</v>
      </c>
      <c r="W82" s="105">
        <v>310300063</v>
      </c>
      <c r="X82" s="106" t="s">
        <v>438</v>
      </c>
      <c r="Y82" s="105"/>
      <c r="Z82" s="105"/>
      <c r="AA82" s="105" t="s">
        <v>71</v>
      </c>
      <c r="AB82" s="110" t="s">
        <v>35</v>
      </c>
      <c r="AC82" s="50">
        <v>84</v>
      </c>
      <c r="AD82" s="50">
        <v>80</v>
      </c>
      <c r="AE82" s="50">
        <v>68</v>
      </c>
      <c r="AF82" s="111">
        <f t="shared" si="5"/>
        <v>0</v>
      </c>
      <c r="AG82" s="111" t="str">
        <f t="shared" si="6"/>
        <v>眼部超声生物显微镜检查费</v>
      </c>
      <c r="AH82" s="111">
        <f t="shared" si="7"/>
        <v>80</v>
      </c>
      <c r="AI82" s="111">
        <f t="shared" si="8"/>
        <v>72</v>
      </c>
      <c r="AJ82" s="111">
        <f t="shared" si="9"/>
        <v>62</v>
      </c>
    </row>
    <row r="83" s="55" customFormat="1" ht="33" customHeight="1" spans="1:36">
      <c r="A83" s="64">
        <v>33</v>
      </c>
      <c r="B83" s="64" t="s">
        <v>439</v>
      </c>
      <c r="C83" s="66" t="s">
        <v>440</v>
      </c>
      <c r="D83" s="65" t="s">
        <v>441</v>
      </c>
      <c r="E83" s="77" t="s">
        <v>207</v>
      </c>
      <c r="F83" s="77" t="s">
        <v>442</v>
      </c>
      <c r="G83" s="64" t="s">
        <v>110</v>
      </c>
      <c r="H83" s="78">
        <v>45</v>
      </c>
      <c r="I83" s="78">
        <v>41</v>
      </c>
      <c r="J83" s="84">
        <v>47.2377552518267</v>
      </c>
      <c r="K83" s="83">
        <v>45</v>
      </c>
      <c r="L83" s="83">
        <v>38.25</v>
      </c>
      <c r="M83" s="83"/>
      <c r="N83" s="91">
        <v>45</v>
      </c>
      <c r="O83" s="91">
        <v>41</v>
      </c>
      <c r="P83" s="93">
        <v>35</v>
      </c>
      <c r="Q83" s="64" t="s">
        <v>37</v>
      </c>
      <c r="R83" s="64" t="s">
        <v>35</v>
      </c>
      <c r="S83" s="64" t="s">
        <v>348</v>
      </c>
      <c r="T83" s="83" t="s">
        <v>38</v>
      </c>
      <c r="U83" s="77" t="s">
        <v>443</v>
      </c>
      <c r="V83" s="105" t="s">
        <v>444</v>
      </c>
      <c r="W83" s="105">
        <v>310300064</v>
      </c>
      <c r="X83" s="106" t="s">
        <v>445</v>
      </c>
      <c r="Y83" s="105" t="s">
        <v>446</v>
      </c>
      <c r="Z83" s="105"/>
      <c r="AA83" s="105" t="s">
        <v>71</v>
      </c>
      <c r="AB83" s="110" t="s">
        <v>35</v>
      </c>
      <c r="AC83" s="50">
        <v>94.5</v>
      </c>
      <c r="AD83" s="50">
        <v>90</v>
      </c>
      <c r="AE83" s="50">
        <v>76.5</v>
      </c>
      <c r="AF83" s="111">
        <f t="shared" si="5"/>
        <v>0</v>
      </c>
      <c r="AG83" s="111" t="str">
        <f t="shared" si="6"/>
        <v>眼部相干光断层扫描费</v>
      </c>
      <c r="AH83" s="111">
        <f t="shared" si="7"/>
        <v>45</v>
      </c>
      <c r="AI83" s="111">
        <f t="shared" si="8"/>
        <v>41</v>
      </c>
      <c r="AJ83" s="111">
        <f t="shared" si="9"/>
        <v>35</v>
      </c>
    </row>
    <row r="84" s="55" customFormat="1" ht="33" customHeight="1" spans="1:36">
      <c r="A84" s="64"/>
      <c r="B84" s="64"/>
      <c r="C84" s="66" t="s">
        <v>440</v>
      </c>
      <c r="D84" s="65"/>
      <c r="E84" s="77"/>
      <c r="F84" s="77"/>
      <c r="G84" s="64"/>
      <c r="H84" s="42"/>
      <c r="I84" s="42"/>
      <c r="J84" s="84"/>
      <c r="K84" s="83"/>
      <c r="L84" s="83"/>
      <c r="M84" s="83"/>
      <c r="N84" s="91">
        <v>45</v>
      </c>
      <c r="O84" s="91">
        <v>41</v>
      </c>
      <c r="P84" s="93">
        <v>35</v>
      </c>
      <c r="Q84" s="64"/>
      <c r="R84" s="64"/>
      <c r="S84" s="64"/>
      <c r="T84" s="83"/>
      <c r="U84" s="77"/>
      <c r="V84" s="115" t="s">
        <v>447</v>
      </c>
      <c r="W84" s="115">
        <v>310300059</v>
      </c>
      <c r="X84" s="116" t="s">
        <v>448</v>
      </c>
      <c r="Y84" s="115"/>
      <c r="Z84" s="115"/>
      <c r="AA84" s="115" t="s">
        <v>71</v>
      </c>
      <c r="AB84" s="119" t="s">
        <v>35</v>
      </c>
      <c r="AC84" s="121">
        <v>84</v>
      </c>
      <c r="AD84" s="121">
        <v>80</v>
      </c>
      <c r="AE84" s="121">
        <v>68</v>
      </c>
      <c r="AF84" s="111">
        <f t="shared" si="5"/>
        <v>0</v>
      </c>
      <c r="AG84" s="111" t="str">
        <f t="shared" si="6"/>
        <v>眼部相干光断层扫描费</v>
      </c>
      <c r="AH84" s="111">
        <f t="shared" si="7"/>
        <v>45</v>
      </c>
      <c r="AI84" s="111">
        <f t="shared" si="8"/>
        <v>41</v>
      </c>
      <c r="AJ84" s="111">
        <f t="shared" si="9"/>
        <v>35</v>
      </c>
    </row>
    <row r="85" s="52" customFormat="1" ht="68" customHeight="1" spans="1:36">
      <c r="A85" s="64">
        <v>34</v>
      </c>
      <c r="B85" s="64" t="s">
        <v>449</v>
      </c>
      <c r="C85" s="64" t="s">
        <v>450</v>
      </c>
      <c r="D85" s="65" t="s">
        <v>451</v>
      </c>
      <c r="E85" s="77" t="s">
        <v>452</v>
      </c>
      <c r="F85" s="77" t="s">
        <v>453</v>
      </c>
      <c r="G85" s="64" t="s">
        <v>110</v>
      </c>
      <c r="H85" s="78">
        <v>11</v>
      </c>
      <c r="I85" s="78">
        <v>10</v>
      </c>
      <c r="J85" s="83">
        <v>10.5</v>
      </c>
      <c r="K85" s="83">
        <v>10</v>
      </c>
      <c r="L85" s="83">
        <v>8.5</v>
      </c>
      <c r="M85" s="83"/>
      <c r="N85" s="41">
        <v>10.5</v>
      </c>
      <c r="O85" s="41">
        <v>10</v>
      </c>
      <c r="P85" s="50">
        <v>8.5</v>
      </c>
      <c r="Q85" s="64" t="s">
        <v>37</v>
      </c>
      <c r="R85" s="64" t="s">
        <v>35</v>
      </c>
      <c r="S85" s="64" t="s">
        <v>35</v>
      </c>
      <c r="T85" s="83" t="s">
        <v>381</v>
      </c>
      <c r="U85" s="77" t="s">
        <v>381</v>
      </c>
      <c r="V85" s="105" t="s">
        <v>454</v>
      </c>
      <c r="W85" s="105">
        <v>310300094</v>
      </c>
      <c r="X85" s="106" t="s">
        <v>455</v>
      </c>
      <c r="Y85" s="105"/>
      <c r="Z85" s="105"/>
      <c r="AA85" s="105" t="s">
        <v>36</v>
      </c>
      <c r="AB85" s="110" t="s">
        <v>35</v>
      </c>
      <c r="AC85" s="50">
        <v>10.5</v>
      </c>
      <c r="AD85" s="50">
        <v>10</v>
      </c>
      <c r="AE85" s="50">
        <v>8.5</v>
      </c>
      <c r="AF85" s="111">
        <f t="shared" si="5"/>
        <v>0</v>
      </c>
      <c r="AG85" s="111" t="str">
        <f t="shared" si="6"/>
        <v>注射费（结膜下）</v>
      </c>
      <c r="AH85" s="111">
        <f t="shared" si="7"/>
        <v>10.5</v>
      </c>
      <c r="AI85" s="111">
        <f t="shared" si="8"/>
        <v>10</v>
      </c>
      <c r="AJ85" s="111">
        <f t="shared" si="9"/>
        <v>8.5</v>
      </c>
    </row>
    <row r="86" s="52" customFormat="1" ht="25.5" spans="1:36">
      <c r="A86" s="64">
        <v>35</v>
      </c>
      <c r="B86" s="64" t="s">
        <v>458</v>
      </c>
      <c r="C86" s="66" t="s">
        <v>459</v>
      </c>
      <c r="D86" s="65" t="s">
        <v>460</v>
      </c>
      <c r="E86" s="77" t="s">
        <v>452</v>
      </c>
      <c r="F86" s="77" t="s">
        <v>453</v>
      </c>
      <c r="G86" s="64" t="s">
        <v>110</v>
      </c>
      <c r="H86" s="78">
        <v>11</v>
      </c>
      <c r="I86" s="78">
        <v>10</v>
      </c>
      <c r="J86" s="83">
        <v>10.5</v>
      </c>
      <c r="K86" s="83">
        <v>10</v>
      </c>
      <c r="L86" s="83">
        <v>8.5</v>
      </c>
      <c r="M86" s="83"/>
      <c r="N86" s="91">
        <v>10.5</v>
      </c>
      <c r="O86" s="91">
        <v>10</v>
      </c>
      <c r="P86" s="93">
        <v>8.5</v>
      </c>
      <c r="Q86" s="64" t="s">
        <v>37</v>
      </c>
      <c r="R86" s="64" t="s">
        <v>35</v>
      </c>
      <c r="S86" s="64" t="s">
        <v>35</v>
      </c>
      <c r="T86" s="83" t="s">
        <v>381</v>
      </c>
      <c r="U86" s="77" t="s">
        <v>381</v>
      </c>
      <c r="V86" s="105" t="s">
        <v>461</v>
      </c>
      <c r="W86" s="105">
        <v>310300095</v>
      </c>
      <c r="X86" s="105" t="s">
        <v>462</v>
      </c>
      <c r="Y86" s="105" t="s">
        <v>463</v>
      </c>
      <c r="Z86" s="105"/>
      <c r="AA86" s="105" t="s">
        <v>36</v>
      </c>
      <c r="AB86" s="110" t="s">
        <v>35</v>
      </c>
      <c r="AC86" s="50">
        <v>10.5</v>
      </c>
      <c r="AD86" s="50">
        <v>10</v>
      </c>
      <c r="AE86" s="50">
        <v>8.5</v>
      </c>
      <c r="AF86" s="111">
        <f t="shared" si="5"/>
        <v>0</v>
      </c>
      <c r="AG86" s="111" t="str">
        <f t="shared" si="6"/>
        <v>注射费（球后/球旁）</v>
      </c>
      <c r="AH86" s="111">
        <f t="shared" si="7"/>
        <v>10.5</v>
      </c>
      <c r="AI86" s="111">
        <f t="shared" si="8"/>
        <v>10</v>
      </c>
      <c r="AJ86" s="111">
        <f t="shared" si="9"/>
        <v>8.5</v>
      </c>
    </row>
    <row r="87" s="52" customFormat="1" ht="25.5" spans="1:36">
      <c r="A87" s="64"/>
      <c r="B87" s="64"/>
      <c r="C87" s="66" t="s">
        <v>459</v>
      </c>
      <c r="D87" s="65"/>
      <c r="E87" s="77"/>
      <c r="F87" s="77"/>
      <c r="G87" s="64"/>
      <c r="H87" s="42"/>
      <c r="I87" s="42"/>
      <c r="J87" s="83"/>
      <c r="K87" s="83"/>
      <c r="L87" s="83"/>
      <c r="M87" s="83"/>
      <c r="N87" s="91">
        <v>10.5</v>
      </c>
      <c r="O87" s="91">
        <v>10</v>
      </c>
      <c r="P87" s="93">
        <v>8.5</v>
      </c>
      <c r="Q87" s="64"/>
      <c r="R87" s="64"/>
      <c r="S87" s="64"/>
      <c r="T87" s="83"/>
      <c r="U87" s="77"/>
      <c r="V87" s="105" t="s">
        <v>464</v>
      </c>
      <c r="W87" s="105">
        <v>310300096</v>
      </c>
      <c r="X87" s="106" t="s">
        <v>465</v>
      </c>
      <c r="Y87" s="105"/>
      <c r="Z87" s="105"/>
      <c r="AA87" s="105" t="s">
        <v>36</v>
      </c>
      <c r="AB87" s="110" t="s">
        <v>35</v>
      </c>
      <c r="AC87" s="50">
        <v>10.5</v>
      </c>
      <c r="AD87" s="50">
        <v>10</v>
      </c>
      <c r="AE87" s="50">
        <v>8.5</v>
      </c>
      <c r="AF87" s="111">
        <f t="shared" si="5"/>
        <v>0</v>
      </c>
      <c r="AG87" s="111" t="str">
        <f t="shared" si="6"/>
        <v>注射费（球后/球旁）</v>
      </c>
      <c r="AH87" s="111">
        <f t="shared" si="7"/>
        <v>10.5</v>
      </c>
      <c r="AI87" s="111">
        <f t="shared" si="8"/>
        <v>10</v>
      </c>
      <c r="AJ87" s="111">
        <f t="shared" si="9"/>
        <v>8.5</v>
      </c>
    </row>
    <row r="88" s="52" customFormat="1" ht="63" customHeight="1" spans="1:36">
      <c r="A88" s="64">
        <v>36</v>
      </c>
      <c r="B88" s="64" t="s">
        <v>468</v>
      </c>
      <c r="C88" s="64" t="s">
        <v>469</v>
      </c>
      <c r="D88" s="65" t="s">
        <v>470</v>
      </c>
      <c r="E88" s="77" t="s">
        <v>471</v>
      </c>
      <c r="F88" s="77" t="s">
        <v>35</v>
      </c>
      <c r="G88" s="64" t="s">
        <v>472</v>
      </c>
      <c r="H88" s="78">
        <v>9</v>
      </c>
      <c r="I88" s="78">
        <v>8</v>
      </c>
      <c r="J88" s="83">
        <v>8.4</v>
      </c>
      <c r="K88" s="83">
        <v>8</v>
      </c>
      <c r="L88" s="83">
        <v>6.8</v>
      </c>
      <c r="M88" s="83"/>
      <c r="N88" s="41">
        <v>8.4</v>
      </c>
      <c r="O88" s="41">
        <v>8</v>
      </c>
      <c r="P88" s="50">
        <v>6.8</v>
      </c>
      <c r="Q88" s="64" t="s">
        <v>37</v>
      </c>
      <c r="R88" s="64" t="s">
        <v>35</v>
      </c>
      <c r="S88" s="64" t="s">
        <v>35</v>
      </c>
      <c r="T88" s="83" t="s">
        <v>381</v>
      </c>
      <c r="U88" s="77" t="s">
        <v>381</v>
      </c>
      <c r="V88" s="105" t="s">
        <v>473</v>
      </c>
      <c r="W88" s="105">
        <v>310300087</v>
      </c>
      <c r="X88" s="106" t="s">
        <v>474</v>
      </c>
      <c r="Y88" s="105"/>
      <c r="Z88" s="105"/>
      <c r="AA88" s="105" t="s">
        <v>36</v>
      </c>
      <c r="AB88" s="110" t="s">
        <v>35</v>
      </c>
      <c r="AC88" s="50">
        <v>8.4</v>
      </c>
      <c r="AD88" s="50">
        <v>8</v>
      </c>
      <c r="AE88" s="50">
        <v>6.8</v>
      </c>
      <c r="AF88" s="111">
        <f t="shared" si="5"/>
        <v>0</v>
      </c>
      <c r="AG88" s="111" t="str">
        <f t="shared" si="6"/>
        <v>睑板腺治疗费</v>
      </c>
      <c r="AH88" s="111">
        <f t="shared" si="7"/>
        <v>8.4</v>
      </c>
      <c r="AI88" s="111">
        <f t="shared" si="8"/>
        <v>8</v>
      </c>
      <c r="AJ88" s="111">
        <f t="shared" si="9"/>
        <v>6.8</v>
      </c>
    </row>
    <row r="89" s="52" customFormat="1" ht="63" customHeight="1" spans="1:36">
      <c r="A89" s="64">
        <v>37</v>
      </c>
      <c r="B89" s="64" t="s">
        <v>475</v>
      </c>
      <c r="C89" s="64" t="s">
        <v>476</v>
      </c>
      <c r="D89" s="65" t="s">
        <v>477</v>
      </c>
      <c r="E89" s="77" t="s">
        <v>478</v>
      </c>
      <c r="F89" s="77" t="s">
        <v>35</v>
      </c>
      <c r="G89" s="64" t="s">
        <v>110</v>
      </c>
      <c r="H89" s="78">
        <v>11</v>
      </c>
      <c r="I89" s="78">
        <v>10</v>
      </c>
      <c r="J89" s="83">
        <v>10.5</v>
      </c>
      <c r="K89" s="83">
        <v>10</v>
      </c>
      <c r="L89" s="83">
        <v>8.5</v>
      </c>
      <c r="M89" s="83"/>
      <c r="N89" s="41">
        <v>10.5</v>
      </c>
      <c r="O89" s="41">
        <v>10</v>
      </c>
      <c r="P89" s="50">
        <v>8.5</v>
      </c>
      <c r="Q89" s="64" t="s">
        <v>37</v>
      </c>
      <c r="R89" s="64" t="s">
        <v>35</v>
      </c>
      <c r="S89" s="64" t="s">
        <v>35</v>
      </c>
      <c r="T89" s="83" t="s">
        <v>381</v>
      </c>
      <c r="U89" s="77" t="s">
        <v>381</v>
      </c>
      <c r="V89" s="105" t="s">
        <v>479</v>
      </c>
      <c r="W89" s="105">
        <v>310300092</v>
      </c>
      <c r="X89" s="106" t="s">
        <v>480</v>
      </c>
      <c r="Y89" s="105"/>
      <c r="Z89" s="105"/>
      <c r="AA89" s="105" t="s">
        <v>36</v>
      </c>
      <c r="AB89" s="110" t="s">
        <v>35</v>
      </c>
      <c r="AC89" s="50">
        <v>10.5</v>
      </c>
      <c r="AD89" s="50">
        <v>10</v>
      </c>
      <c r="AE89" s="50">
        <v>8.5</v>
      </c>
      <c r="AF89" s="111">
        <f t="shared" si="5"/>
        <v>0</v>
      </c>
      <c r="AG89" s="111" t="str">
        <f t="shared" si="6"/>
        <v>结膜磨擦挤压费</v>
      </c>
      <c r="AH89" s="111">
        <f t="shared" si="7"/>
        <v>10.5</v>
      </c>
      <c r="AI89" s="111">
        <f t="shared" si="8"/>
        <v>10</v>
      </c>
      <c r="AJ89" s="111">
        <f t="shared" si="9"/>
        <v>8.5</v>
      </c>
    </row>
    <row r="90" s="55" customFormat="1" ht="37" customHeight="1" spans="1:36">
      <c r="A90" s="112">
        <v>38</v>
      </c>
      <c r="B90" s="112" t="s">
        <v>481</v>
      </c>
      <c r="C90" s="66" t="s">
        <v>482</v>
      </c>
      <c r="D90" s="65" t="s">
        <v>483</v>
      </c>
      <c r="E90" s="77" t="s">
        <v>484</v>
      </c>
      <c r="F90" s="77" t="s">
        <v>35</v>
      </c>
      <c r="G90" s="64" t="s">
        <v>110</v>
      </c>
      <c r="H90" s="78">
        <v>11</v>
      </c>
      <c r="I90" s="78">
        <v>10</v>
      </c>
      <c r="J90" s="83">
        <v>7.35</v>
      </c>
      <c r="K90" s="83">
        <v>7</v>
      </c>
      <c r="L90" s="83">
        <v>5.95</v>
      </c>
      <c r="M90" s="83"/>
      <c r="N90" s="113">
        <v>10.5</v>
      </c>
      <c r="O90" s="113">
        <v>10</v>
      </c>
      <c r="P90" s="114">
        <v>8.5</v>
      </c>
      <c r="Q90" s="64" t="s">
        <v>37</v>
      </c>
      <c r="R90" s="64"/>
      <c r="S90" s="64" t="s">
        <v>35</v>
      </c>
      <c r="T90" s="83" t="s">
        <v>485</v>
      </c>
      <c r="U90" s="77" t="s">
        <v>486</v>
      </c>
      <c r="V90" s="105" t="s">
        <v>487</v>
      </c>
      <c r="W90" s="105">
        <v>310300036</v>
      </c>
      <c r="X90" s="106" t="s">
        <v>488</v>
      </c>
      <c r="Y90" s="105"/>
      <c r="Z90" s="105"/>
      <c r="AA90" s="105" t="s">
        <v>36</v>
      </c>
      <c r="AB90" s="110" t="s">
        <v>35</v>
      </c>
      <c r="AC90" s="50">
        <v>4.2</v>
      </c>
      <c r="AD90" s="50">
        <v>4</v>
      </c>
      <c r="AE90" s="50">
        <v>3.4</v>
      </c>
      <c r="AF90" s="111">
        <f t="shared" si="5"/>
        <v>0</v>
      </c>
      <c r="AG90" s="111" t="str">
        <f t="shared" si="6"/>
        <v>泪道冲洗费</v>
      </c>
      <c r="AH90" s="111">
        <f t="shared" si="7"/>
        <v>10.5</v>
      </c>
      <c r="AI90" s="111">
        <f t="shared" si="8"/>
        <v>10</v>
      </c>
      <c r="AJ90" s="111">
        <f t="shared" si="9"/>
        <v>8.5</v>
      </c>
    </row>
    <row r="91" s="52" customFormat="1" ht="37" customHeight="1" spans="1:36">
      <c r="A91" s="112"/>
      <c r="B91" s="112"/>
      <c r="C91" s="66" t="s">
        <v>482</v>
      </c>
      <c r="D91" s="65"/>
      <c r="E91" s="77"/>
      <c r="F91" s="77"/>
      <c r="G91" s="64"/>
      <c r="H91" s="42"/>
      <c r="I91" s="42"/>
      <c r="J91" s="83"/>
      <c r="K91" s="83"/>
      <c r="L91" s="83"/>
      <c r="M91" s="83"/>
      <c r="N91" s="113">
        <v>10.5</v>
      </c>
      <c r="O91" s="113">
        <v>10</v>
      </c>
      <c r="P91" s="114">
        <v>8.5</v>
      </c>
      <c r="Q91" s="64"/>
      <c r="R91" s="64"/>
      <c r="S91" s="64"/>
      <c r="T91" s="83"/>
      <c r="U91" s="77"/>
      <c r="V91" s="105" t="s">
        <v>489</v>
      </c>
      <c r="W91" s="105">
        <v>310300105</v>
      </c>
      <c r="X91" s="106" t="s">
        <v>490</v>
      </c>
      <c r="Y91" s="105"/>
      <c r="Z91" s="105"/>
      <c r="AA91" s="105" t="s">
        <v>36</v>
      </c>
      <c r="AB91" s="110" t="s">
        <v>35</v>
      </c>
      <c r="AC91" s="50">
        <v>10.5</v>
      </c>
      <c r="AD91" s="50">
        <v>10</v>
      </c>
      <c r="AE91" s="50">
        <v>8.5</v>
      </c>
      <c r="AF91" s="111">
        <f t="shared" si="5"/>
        <v>0</v>
      </c>
      <c r="AG91" s="111" t="str">
        <f t="shared" si="6"/>
        <v>泪道冲洗费</v>
      </c>
      <c r="AH91" s="111">
        <f t="shared" si="7"/>
        <v>10.5</v>
      </c>
      <c r="AI91" s="111">
        <f t="shared" si="8"/>
        <v>10</v>
      </c>
      <c r="AJ91" s="111">
        <f t="shared" si="9"/>
        <v>8.5</v>
      </c>
    </row>
    <row r="92" s="52" customFormat="1" ht="34" customHeight="1" spans="1:36">
      <c r="A92" s="112" t="s">
        <v>95</v>
      </c>
      <c r="B92" s="112" t="s">
        <v>493</v>
      </c>
      <c r="C92" s="66" t="s">
        <v>494</v>
      </c>
      <c r="D92" s="65"/>
      <c r="E92" s="77"/>
      <c r="F92" s="77" t="s">
        <v>35</v>
      </c>
      <c r="G92" s="64" t="s">
        <v>110</v>
      </c>
      <c r="H92" s="78">
        <v>22</v>
      </c>
      <c r="I92" s="78">
        <v>20</v>
      </c>
      <c r="J92" s="83">
        <v>21</v>
      </c>
      <c r="K92" s="84">
        <v>20.0719424460432</v>
      </c>
      <c r="L92" s="83">
        <v>17</v>
      </c>
      <c r="M92" s="83"/>
      <c r="N92" s="91">
        <v>21</v>
      </c>
      <c r="O92" s="91">
        <v>20</v>
      </c>
      <c r="P92" s="93">
        <v>17</v>
      </c>
      <c r="Q92" s="64" t="s">
        <v>37</v>
      </c>
      <c r="R92" s="64" t="s">
        <v>35</v>
      </c>
      <c r="S92" s="64" t="s">
        <v>35</v>
      </c>
      <c r="T92" s="83"/>
      <c r="U92" s="77" t="s">
        <v>381</v>
      </c>
      <c r="V92" s="105" t="s">
        <v>495</v>
      </c>
      <c r="W92" s="105">
        <v>310300106</v>
      </c>
      <c r="X92" s="106" t="s">
        <v>496</v>
      </c>
      <c r="Y92" s="105"/>
      <c r="Z92" s="105"/>
      <c r="AA92" s="105" t="s">
        <v>36</v>
      </c>
      <c r="AB92" s="110" t="s">
        <v>497</v>
      </c>
      <c r="AC92" s="50">
        <v>21</v>
      </c>
      <c r="AD92" s="50">
        <v>20</v>
      </c>
      <c r="AE92" s="50">
        <v>17</v>
      </c>
      <c r="AF92" s="111">
        <f t="shared" si="5"/>
        <v>0</v>
      </c>
      <c r="AG92" s="111" t="str">
        <f t="shared" si="6"/>
        <v>泪道冲洗费-泪管扩张（加收）</v>
      </c>
      <c r="AH92" s="111">
        <f t="shared" si="7"/>
        <v>21</v>
      </c>
      <c r="AI92" s="111">
        <f t="shared" si="8"/>
        <v>20</v>
      </c>
      <c r="AJ92" s="111">
        <f t="shared" si="9"/>
        <v>17</v>
      </c>
    </row>
    <row r="93" s="52" customFormat="1" ht="34" customHeight="1" spans="1:36">
      <c r="A93" s="112"/>
      <c r="B93" s="112"/>
      <c r="C93" s="66" t="s">
        <v>494</v>
      </c>
      <c r="D93" s="65"/>
      <c r="E93" s="77"/>
      <c r="F93" s="77"/>
      <c r="G93" s="64"/>
      <c r="H93" s="42"/>
      <c r="I93" s="42"/>
      <c r="J93" s="83"/>
      <c r="K93" s="84"/>
      <c r="L93" s="83"/>
      <c r="M93" s="83"/>
      <c r="N93" s="91">
        <v>21</v>
      </c>
      <c r="O93" s="91">
        <v>20</v>
      </c>
      <c r="P93" s="93">
        <v>17</v>
      </c>
      <c r="Q93" s="64"/>
      <c r="R93" s="64"/>
      <c r="S93" s="64"/>
      <c r="T93" s="83"/>
      <c r="U93" s="77"/>
      <c r="V93" s="105" t="s">
        <v>498</v>
      </c>
      <c r="W93" s="105">
        <v>31030010601</v>
      </c>
      <c r="X93" s="106" t="s">
        <v>499</v>
      </c>
      <c r="Y93" s="105"/>
      <c r="Z93" s="105"/>
      <c r="AA93" s="105" t="s">
        <v>36</v>
      </c>
      <c r="AB93" s="110" t="s">
        <v>500</v>
      </c>
      <c r="AC93" s="50">
        <v>31.5</v>
      </c>
      <c r="AD93" s="50">
        <v>30</v>
      </c>
      <c r="AE93" s="50">
        <v>25.5</v>
      </c>
      <c r="AF93" s="111">
        <f t="shared" si="5"/>
        <v>0</v>
      </c>
      <c r="AG93" s="111" t="str">
        <f t="shared" si="6"/>
        <v>泪道冲洗费-泪管扩张（加收）</v>
      </c>
      <c r="AH93" s="111">
        <f t="shared" si="7"/>
        <v>21</v>
      </c>
      <c r="AI93" s="111">
        <f t="shared" si="8"/>
        <v>20</v>
      </c>
      <c r="AJ93" s="111">
        <f t="shared" si="9"/>
        <v>17</v>
      </c>
    </row>
    <row r="94" s="52" customFormat="1" ht="44" customHeight="1" spans="1:36">
      <c r="A94" s="64">
        <v>39</v>
      </c>
      <c r="B94" s="64" t="s">
        <v>501</v>
      </c>
      <c r="C94" s="66" t="s">
        <v>502</v>
      </c>
      <c r="D94" s="65" t="s">
        <v>503</v>
      </c>
      <c r="E94" s="77" t="s">
        <v>504</v>
      </c>
      <c r="F94" s="77" t="s">
        <v>35</v>
      </c>
      <c r="G94" s="64" t="s">
        <v>110</v>
      </c>
      <c r="H94" s="78">
        <v>7</v>
      </c>
      <c r="I94" s="78">
        <v>6</v>
      </c>
      <c r="J94" s="83">
        <v>6.3</v>
      </c>
      <c r="K94" s="83">
        <v>6</v>
      </c>
      <c r="L94" s="83">
        <v>5.1</v>
      </c>
      <c r="M94" s="83"/>
      <c r="N94" s="91">
        <v>6.3</v>
      </c>
      <c r="O94" s="91">
        <v>6</v>
      </c>
      <c r="P94" s="93">
        <v>5.1</v>
      </c>
      <c r="Q94" s="64" t="s">
        <v>37</v>
      </c>
      <c r="R94" s="64" t="s">
        <v>35</v>
      </c>
      <c r="S94" s="64" t="s">
        <v>35</v>
      </c>
      <c r="T94" s="83" t="s">
        <v>381</v>
      </c>
      <c r="U94" s="77" t="s">
        <v>381</v>
      </c>
      <c r="V94" s="105" t="s">
        <v>505</v>
      </c>
      <c r="W94" s="105">
        <v>310300088</v>
      </c>
      <c r="X94" s="106" t="s">
        <v>506</v>
      </c>
      <c r="Y94" s="105"/>
      <c r="Z94" s="105"/>
      <c r="AA94" s="105" t="s">
        <v>36</v>
      </c>
      <c r="AB94" s="110" t="s">
        <v>35</v>
      </c>
      <c r="AC94" s="50">
        <v>6.3</v>
      </c>
      <c r="AD94" s="50">
        <v>6</v>
      </c>
      <c r="AE94" s="50">
        <v>5.1</v>
      </c>
      <c r="AF94" s="111">
        <f t="shared" si="5"/>
        <v>0</v>
      </c>
      <c r="AG94" s="111" t="str">
        <f t="shared" si="6"/>
        <v>结膜囊冲洗费</v>
      </c>
      <c r="AH94" s="111">
        <f t="shared" si="7"/>
        <v>6.3</v>
      </c>
      <c r="AI94" s="111">
        <f t="shared" si="8"/>
        <v>6</v>
      </c>
      <c r="AJ94" s="111">
        <f t="shared" si="9"/>
        <v>5.1</v>
      </c>
    </row>
    <row r="95" s="52" customFormat="1" ht="25.5" spans="1:36">
      <c r="A95" s="64"/>
      <c r="B95" s="64"/>
      <c r="C95" s="66" t="s">
        <v>502</v>
      </c>
      <c r="D95" s="65"/>
      <c r="E95" s="77"/>
      <c r="F95" s="77"/>
      <c r="G95" s="64"/>
      <c r="H95" s="42"/>
      <c r="I95" s="42"/>
      <c r="J95" s="83"/>
      <c r="K95" s="83"/>
      <c r="L95" s="83"/>
      <c r="M95" s="83"/>
      <c r="N95" s="91">
        <v>6.3</v>
      </c>
      <c r="O95" s="91">
        <v>6</v>
      </c>
      <c r="P95" s="93">
        <v>5.1</v>
      </c>
      <c r="Q95" s="64"/>
      <c r="R95" s="64"/>
      <c r="S95" s="64"/>
      <c r="T95" s="83"/>
      <c r="U95" s="77"/>
      <c r="V95" s="105" t="s">
        <v>507</v>
      </c>
      <c r="W95" s="105">
        <v>310300089</v>
      </c>
      <c r="X95" s="106" t="s">
        <v>508</v>
      </c>
      <c r="Y95" s="105"/>
      <c r="Z95" s="105"/>
      <c r="AA95" s="105" t="s">
        <v>36</v>
      </c>
      <c r="AB95" s="110" t="s">
        <v>35</v>
      </c>
      <c r="AC95" s="50">
        <v>6.3</v>
      </c>
      <c r="AD95" s="50">
        <v>6</v>
      </c>
      <c r="AE95" s="50">
        <v>5.1</v>
      </c>
      <c r="AF95" s="111">
        <f t="shared" si="5"/>
        <v>0</v>
      </c>
      <c r="AG95" s="111" t="str">
        <f t="shared" si="6"/>
        <v>结膜囊冲洗费</v>
      </c>
      <c r="AH95" s="111">
        <f t="shared" si="7"/>
        <v>6.3</v>
      </c>
      <c r="AI95" s="111">
        <f t="shared" si="8"/>
        <v>6</v>
      </c>
      <c r="AJ95" s="111">
        <f t="shared" si="9"/>
        <v>5.1</v>
      </c>
    </row>
    <row r="96" s="55" customFormat="1" ht="60" customHeight="1" spans="1:36">
      <c r="A96" s="64">
        <v>40</v>
      </c>
      <c r="B96" s="64" t="s">
        <v>511</v>
      </c>
      <c r="C96" s="64" t="s">
        <v>512</v>
      </c>
      <c r="D96" s="65" t="s">
        <v>513</v>
      </c>
      <c r="E96" s="77" t="s">
        <v>514</v>
      </c>
      <c r="F96" s="77" t="s">
        <v>515</v>
      </c>
      <c r="G96" s="64" t="s">
        <v>472</v>
      </c>
      <c r="H96" s="78">
        <v>15</v>
      </c>
      <c r="I96" s="78">
        <v>13.5</v>
      </c>
      <c r="J96" s="83">
        <v>10.5</v>
      </c>
      <c r="K96" s="83">
        <v>10</v>
      </c>
      <c r="L96" s="83">
        <v>8.5</v>
      </c>
      <c r="M96" s="83"/>
      <c r="N96" s="94">
        <v>13.5</v>
      </c>
      <c r="O96" s="94">
        <v>13</v>
      </c>
      <c r="P96" s="96">
        <v>11</v>
      </c>
      <c r="Q96" s="64" t="s">
        <v>37</v>
      </c>
      <c r="R96" s="64" t="s">
        <v>35</v>
      </c>
      <c r="S96" s="64" t="s">
        <v>35</v>
      </c>
      <c r="T96" s="83" t="s">
        <v>485</v>
      </c>
      <c r="U96" s="77" t="s">
        <v>516</v>
      </c>
      <c r="V96" s="105" t="s">
        <v>517</v>
      </c>
      <c r="W96" s="105">
        <v>310300091</v>
      </c>
      <c r="X96" s="106" t="s">
        <v>518</v>
      </c>
      <c r="Y96" s="105"/>
      <c r="Z96" s="105"/>
      <c r="AA96" s="105" t="s">
        <v>36</v>
      </c>
      <c r="AB96" s="110" t="s">
        <v>35</v>
      </c>
      <c r="AC96" s="50">
        <v>10.5</v>
      </c>
      <c r="AD96" s="50">
        <v>10</v>
      </c>
      <c r="AE96" s="50">
        <v>8.5</v>
      </c>
      <c r="AF96" s="111">
        <f t="shared" si="5"/>
        <v>0</v>
      </c>
      <c r="AG96" s="111" t="str">
        <f t="shared" si="6"/>
        <v>角膜/结膜异物取出费</v>
      </c>
      <c r="AH96" s="111">
        <f t="shared" si="7"/>
        <v>13.5</v>
      </c>
      <c r="AI96" s="111">
        <f t="shared" si="8"/>
        <v>13</v>
      </c>
      <c r="AJ96" s="111">
        <f t="shared" si="9"/>
        <v>11</v>
      </c>
    </row>
    <row r="97" s="55" customFormat="1" ht="38.25" spans="1:36">
      <c r="A97" s="64">
        <v>41</v>
      </c>
      <c r="B97" s="64" t="s">
        <v>524</v>
      </c>
      <c r="C97" s="64" t="s">
        <v>525</v>
      </c>
      <c r="D97" s="65" t="s">
        <v>526</v>
      </c>
      <c r="E97" s="77" t="s">
        <v>527</v>
      </c>
      <c r="F97" s="77" t="s">
        <v>35</v>
      </c>
      <c r="G97" s="64" t="s">
        <v>110</v>
      </c>
      <c r="H97" s="78">
        <v>9</v>
      </c>
      <c r="I97" s="78">
        <v>8</v>
      </c>
      <c r="J97" s="83">
        <v>8.4</v>
      </c>
      <c r="K97" s="83">
        <v>8</v>
      </c>
      <c r="L97" s="83">
        <v>6.8</v>
      </c>
      <c r="M97" s="83"/>
      <c r="N97" s="41">
        <v>8.4</v>
      </c>
      <c r="O97" s="41">
        <v>8</v>
      </c>
      <c r="P97" s="50">
        <v>6.8</v>
      </c>
      <c r="Q97" s="64" t="s">
        <v>37</v>
      </c>
      <c r="R97" s="64" t="s">
        <v>35</v>
      </c>
      <c r="S97" s="64" t="s">
        <v>35</v>
      </c>
      <c r="T97" s="83" t="s">
        <v>381</v>
      </c>
      <c r="U97" s="77" t="s">
        <v>381</v>
      </c>
      <c r="V97" s="105" t="s">
        <v>528</v>
      </c>
      <c r="W97" s="105">
        <v>310300085</v>
      </c>
      <c r="X97" s="105" t="s">
        <v>529</v>
      </c>
      <c r="Y97" s="105" t="s">
        <v>530</v>
      </c>
      <c r="Z97" s="105"/>
      <c r="AA97" s="105" t="s">
        <v>36</v>
      </c>
      <c r="AB97" s="110" t="s">
        <v>35</v>
      </c>
      <c r="AC97" s="50">
        <v>8.4</v>
      </c>
      <c r="AD97" s="50">
        <v>8</v>
      </c>
      <c r="AE97" s="50">
        <v>6.8</v>
      </c>
      <c r="AF97" s="111">
        <f t="shared" si="5"/>
        <v>0</v>
      </c>
      <c r="AG97" s="111" t="str">
        <f t="shared" si="6"/>
        <v>电解倒睫费</v>
      </c>
      <c r="AH97" s="111">
        <f t="shared" si="7"/>
        <v>8.4</v>
      </c>
      <c r="AI97" s="111">
        <f t="shared" si="8"/>
        <v>8</v>
      </c>
      <c r="AJ97" s="111">
        <f t="shared" si="9"/>
        <v>6.8</v>
      </c>
    </row>
    <row r="98" s="55" customFormat="1" ht="25.5" spans="1:36">
      <c r="A98" s="64">
        <v>42</v>
      </c>
      <c r="B98" s="64" t="s">
        <v>531</v>
      </c>
      <c r="C98" s="66" t="s">
        <v>532</v>
      </c>
      <c r="D98" s="65" t="s">
        <v>533</v>
      </c>
      <c r="E98" s="77" t="s">
        <v>534</v>
      </c>
      <c r="F98" s="77" t="s">
        <v>535</v>
      </c>
      <c r="G98" s="64" t="s">
        <v>110</v>
      </c>
      <c r="H98" s="78">
        <v>400</v>
      </c>
      <c r="I98" s="78">
        <v>360</v>
      </c>
      <c r="J98" s="84">
        <v>335.6117920541</v>
      </c>
      <c r="K98" s="84">
        <v>343.928282891057</v>
      </c>
      <c r="L98" s="84">
        <v>281.770943796394</v>
      </c>
      <c r="M98" s="84"/>
      <c r="N98" s="91">
        <v>360</v>
      </c>
      <c r="O98" s="91">
        <v>340</v>
      </c>
      <c r="P98" s="93">
        <v>290</v>
      </c>
      <c r="Q98" s="64" t="s">
        <v>37</v>
      </c>
      <c r="R98" s="64" t="s">
        <v>35</v>
      </c>
      <c r="S98" s="64" t="s">
        <v>35</v>
      </c>
      <c r="T98" s="83" t="s">
        <v>38</v>
      </c>
      <c r="U98" s="77" t="s">
        <v>536</v>
      </c>
      <c r="V98" s="105" t="s">
        <v>537</v>
      </c>
      <c r="W98" s="105">
        <v>330409013</v>
      </c>
      <c r="X98" s="106" t="s">
        <v>538</v>
      </c>
      <c r="Y98" s="105"/>
      <c r="Z98" s="105"/>
      <c r="AA98" s="105" t="s">
        <v>110</v>
      </c>
      <c r="AB98" s="110" t="s">
        <v>35</v>
      </c>
      <c r="AC98" s="50">
        <v>500</v>
      </c>
      <c r="AD98" s="50">
        <v>480</v>
      </c>
      <c r="AE98" s="50">
        <v>408</v>
      </c>
      <c r="AF98" s="111">
        <f t="shared" si="5"/>
        <v>0</v>
      </c>
      <c r="AG98" s="111" t="str">
        <f t="shared" si="6"/>
        <v>眼内穿刺费</v>
      </c>
      <c r="AH98" s="111">
        <f t="shared" si="7"/>
        <v>360</v>
      </c>
      <c r="AI98" s="111">
        <f t="shared" si="8"/>
        <v>340</v>
      </c>
      <c r="AJ98" s="111">
        <f t="shared" si="9"/>
        <v>290</v>
      </c>
    </row>
    <row r="99" s="55" customFormat="1" ht="25.5" spans="1:36">
      <c r="A99" s="64"/>
      <c r="B99" s="64"/>
      <c r="C99" s="66" t="s">
        <v>532</v>
      </c>
      <c r="D99" s="65"/>
      <c r="E99" s="77"/>
      <c r="F99" s="77"/>
      <c r="G99" s="64"/>
      <c r="H99" s="42"/>
      <c r="I99" s="42"/>
      <c r="J99" s="84"/>
      <c r="K99" s="84"/>
      <c r="L99" s="84"/>
      <c r="M99" s="84"/>
      <c r="N99" s="91">
        <v>360</v>
      </c>
      <c r="O99" s="91">
        <v>340</v>
      </c>
      <c r="P99" s="93">
        <v>290</v>
      </c>
      <c r="Q99" s="64"/>
      <c r="R99" s="64"/>
      <c r="S99" s="64"/>
      <c r="T99" s="83"/>
      <c r="U99" s="77"/>
      <c r="V99" s="105" t="s">
        <v>539</v>
      </c>
      <c r="W99" s="105">
        <v>310300100</v>
      </c>
      <c r="X99" s="106" t="s">
        <v>540</v>
      </c>
      <c r="Y99" s="105" t="s">
        <v>541</v>
      </c>
      <c r="Z99" s="105"/>
      <c r="AA99" s="105" t="s">
        <v>36</v>
      </c>
      <c r="AB99" s="110" t="s">
        <v>542</v>
      </c>
      <c r="AC99" s="50">
        <v>157.5</v>
      </c>
      <c r="AD99" s="50">
        <v>150</v>
      </c>
      <c r="AE99" s="50">
        <v>127.5</v>
      </c>
      <c r="AF99" s="111">
        <f t="shared" si="5"/>
        <v>0</v>
      </c>
      <c r="AG99" s="111" t="str">
        <f t="shared" si="6"/>
        <v>眼内穿刺费</v>
      </c>
      <c r="AH99" s="111">
        <f t="shared" si="7"/>
        <v>360</v>
      </c>
      <c r="AI99" s="111">
        <f t="shared" si="8"/>
        <v>340</v>
      </c>
      <c r="AJ99" s="111">
        <f t="shared" si="9"/>
        <v>290</v>
      </c>
    </row>
    <row r="100" s="55" customFormat="1" ht="25.5" spans="1:36">
      <c r="A100" s="64"/>
      <c r="B100" s="64"/>
      <c r="C100" s="66" t="s">
        <v>532</v>
      </c>
      <c r="D100" s="65"/>
      <c r="E100" s="77"/>
      <c r="F100" s="77"/>
      <c r="G100" s="64"/>
      <c r="H100" s="42"/>
      <c r="I100" s="42"/>
      <c r="J100" s="84"/>
      <c r="K100" s="84"/>
      <c r="L100" s="84"/>
      <c r="M100" s="84"/>
      <c r="N100" s="91">
        <v>360</v>
      </c>
      <c r="O100" s="91">
        <v>340</v>
      </c>
      <c r="P100" s="93">
        <v>290</v>
      </c>
      <c r="Q100" s="64"/>
      <c r="R100" s="64"/>
      <c r="S100" s="64"/>
      <c r="T100" s="83"/>
      <c r="U100" s="77"/>
      <c r="V100" s="105" t="s">
        <v>543</v>
      </c>
      <c r="W100" s="105">
        <v>31030010001</v>
      </c>
      <c r="X100" s="106" t="s">
        <v>544</v>
      </c>
      <c r="Y100" s="105"/>
      <c r="Z100" s="105"/>
      <c r="AA100" s="105" t="s">
        <v>36</v>
      </c>
      <c r="AB100" s="110" t="s">
        <v>545</v>
      </c>
      <c r="AC100" s="50">
        <v>157.5</v>
      </c>
      <c r="AD100" s="50">
        <v>150</v>
      </c>
      <c r="AE100" s="50">
        <v>127.5</v>
      </c>
      <c r="AF100" s="111">
        <f t="shared" si="5"/>
        <v>0</v>
      </c>
      <c r="AG100" s="111" t="str">
        <f t="shared" si="6"/>
        <v>眼内穿刺费</v>
      </c>
      <c r="AH100" s="111">
        <f t="shared" si="7"/>
        <v>360</v>
      </c>
      <c r="AI100" s="111">
        <f t="shared" si="8"/>
        <v>340</v>
      </c>
      <c r="AJ100" s="111">
        <f t="shared" si="9"/>
        <v>290</v>
      </c>
    </row>
    <row r="101" s="55" customFormat="1" ht="25.5" spans="1:36">
      <c r="A101" s="64"/>
      <c r="B101" s="64"/>
      <c r="C101" s="66" t="s">
        <v>532</v>
      </c>
      <c r="D101" s="65"/>
      <c r="E101" s="77"/>
      <c r="F101" s="77"/>
      <c r="G101" s="64"/>
      <c r="H101" s="42"/>
      <c r="I101" s="42"/>
      <c r="J101" s="84"/>
      <c r="K101" s="84"/>
      <c r="L101" s="84"/>
      <c r="M101" s="84"/>
      <c r="N101" s="91">
        <v>360</v>
      </c>
      <c r="O101" s="91">
        <v>340</v>
      </c>
      <c r="P101" s="93">
        <v>290</v>
      </c>
      <c r="Q101" s="64"/>
      <c r="R101" s="64"/>
      <c r="S101" s="64"/>
      <c r="T101" s="83"/>
      <c r="U101" s="77"/>
      <c r="V101" s="105" t="s">
        <v>546</v>
      </c>
      <c r="W101" s="105">
        <v>310300101</v>
      </c>
      <c r="X101" s="106" t="s">
        <v>547</v>
      </c>
      <c r="Y101" s="105" t="s">
        <v>548</v>
      </c>
      <c r="Z101" s="105"/>
      <c r="AA101" s="105" t="s">
        <v>36</v>
      </c>
      <c r="AB101" s="110" t="s">
        <v>35</v>
      </c>
      <c r="AC101" s="50">
        <v>210</v>
      </c>
      <c r="AD101" s="50">
        <v>200</v>
      </c>
      <c r="AE101" s="50">
        <v>170</v>
      </c>
      <c r="AF101" s="111">
        <f t="shared" si="5"/>
        <v>0</v>
      </c>
      <c r="AG101" s="111" t="str">
        <f t="shared" si="6"/>
        <v>眼内穿刺费</v>
      </c>
      <c r="AH101" s="111">
        <f t="shared" si="7"/>
        <v>360</v>
      </c>
      <c r="AI101" s="111">
        <f t="shared" si="8"/>
        <v>340</v>
      </c>
      <c r="AJ101" s="111">
        <f t="shared" si="9"/>
        <v>290</v>
      </c>
    </row>
    <row r="102" s="55" customFormat="1" ht="25.5" spans="1:36">
      <c r="A102" s="64"/>
      <c r="B102" s="64"/>
      <c r="C102" s="66" t="s">
        <v>532</v>
      </c>
      <c r="D102" s="65"/>
      <c r="E102" s="77"/>
      <c r="F102" s="77"/>
      <c r="G102" s="64"/>
      <c r="H102" s="42"/>
      <c r="I102" s="42"/>
      <c r="J102" s="84"/>
      <c r="K102" s="84"/>
      <c r="L102" s="84"/>
      <c r="M102" s="84"/>
      <c r="N102" s="91">
        <v>360</v>
      </c>
      <c r="O102" s="91">
        <v>340</v>
      </c>
      <c r="P102" s="93">
        <v>290</v>
      </c>
      <c r="Q102" s="64"/>
      <c r="R102" s="64"/>
      <c r="S102" s="64"/>
      <c r="T102" s="83"/>
      <c r="U102" s="77"/>
      <c r="V102" s="105" t="s">
        <v>549</v>
      </c>
      <c r="W102" s="105">
        <v>31030010101</v>
      </c>
      <c r="X102" s="106" t="s">
        <v>550</v>
      </c>
      <c r="Y102" s="105"/>
      <c r="Z102" s="105"/>
      <c r="AA102" s="105" t="s">
        <v>36</v>
      </c>
      <c r="AB102" s="110" t="s">
        <v>551</v>
      </c>
      <c r="AC102" s="50">
        <v>210</v>
      </c>
      <c r="AD102" s="50">
        <v>200</v>
      </c>
      <c r="AE102" s="50">
        <v>170</v>
      </c>
      <c r="AF102" s="111">
        <f t="shared" si="5"/>
        <v>0</v>
      </c>
      <c r="AG102" s="111" t="str">
        <f t="shared" si="6"/>
        <v>眼内穿刺费</v>
      </c>
      <c r="AH102" s="111">
        <f t="shared" si="7"/>
        <v>360</v>
      </c>
      <c r="AI102" s="111">
        <f t="shared" si="8"/>
        <v>340</v>
      </c>
      <c r="AJ102" s="111">
        <f t="shared" si="9"/>
        <v>290</v>
      </c>
    </row>
    <row r="103" s="55" customFormat="1" ht="25.5" spans="1:36">
      <c r="A103" s="64"/>
      <c r="B103" s="64"/>
      <c r="C103" s="66" t="s">
        <v>532</v>
      </c>
      <c r="D103" s="65"/>
      <c r="E103" s="77"/>
      <c r="F103" s="77"/>
      <c r="G103" s="64"/>
      <c r="H103" s="42"/>
      <c r="I103" s="42"/>
      <c r="J103" s="84"/>
      <c r="K103" s="84"/>
      <c r="L103" s="84"/>
      <c r="M103" s="84"/>
      <c r="N103" s="91">
        <v>360</v>
      </c>
      <c r="O103" s="91">
        <v>340</v>
      </c>
      <c r="P103" s="93">
        <v>290</v>
      </c>
      <c r="Q103" s="64"/>
      <c r="R103" s="64"/>
      <c r="S103" s="64"/>
      <c r="T103" s="83"/>
      <c r="U103" s="77"/>
      <c r="V103" s="105" t="s">
        <v>552</v>
      </c>
      <c r="W103" s="105">
        <v>330407001</v>
      </c>
      <c r="X103" s="106" t="s">
        <v>553</v>
      </c>
      <c r="Y103" s="105" t="s">
        <v>554</v>
      </c>
      <c r="Z103" s="105"/>
      <c r="AA103" s="105" t="s">
        <v>36</v>
      </c>
      <c r="AB103" s="110" t="s">
        <v>35</v>
      </c>
      <c r="AC103" s="50">
        <v>375</v>
      </c>
      <c r="AD103" s="50">
        <v>360</v>
      </c>
      <c r="AE103" s="50">
        <v>306</v>
      </c>
      <c r="AF103" s="111">
        <f t="shared" si="5"/>
        <v>0</v>
      </c>
      <c r="AG103" s="111" t="str">
        <f t="shared" si="6"/>
        <v>眼内穿刺费</v>
      </c>
      <c r="AH103" s="111">
        <f t="shared" si="7"/>
        <v>360</v>
      </c>
      <c r="AI103" s="111">
        <f t="shared" si="8"/>
        <v>340</v>
      </c>
      <c r="AJ103" s="111">
        <f t="shared" si="9"/>
        <v>290</v>
      </c>
    </row>
    <row r="104" s="55" customFormat="1" ht="25.5" spans="1:36">
      <c r="A104" s="112" t="s">
        <v>95</v>
      </c>
      <c r="B104" s="112" t="s">
        <v>555</v>
      </c>
      <c r="C104" s="66" t="s">
        <v>556</v>
      </c>
      <c r="D104" s="65"/>
      <c r="E104" s="77"/>
      <c r="F104" s="77" t="s">
        <v>35</v>
      </c>
      <c r="G104" s="64" t="s">
        <v>110</v>
      </c>
      <c r="H104" s="78">
        <v>120</v>
      </c>
      <c r="I104" s="78">
        <v>108</v>
      </c>
      <c r="J104" s="84">
        <v>53.2638888888889</v>
      </c>
      <c r="K104" s="83"/>
      <c r="L104" s="83"/>
      <c r="M104" s="83"/>
      <c r="N104" s="91">
        <v>110</v>
      </c>
      <c r="O104" s="91">
        <v>100</v>
      </c>
      <c r="P104" s="93">
        <v>87</v>
      </c>
      <c r="Q104" s="64" t="s">
        <v>37</v>
      </c>
      <c r="R104" s="64" t="s">
        <v>35</v>
      </c>
      <c r="S104" s="64" t="s">
        <v>35</v>
      </c>
      <c r="T104" s="83"/>
      <c r="U104" s="77" t="s">
        <v>186</v>
      </c>
      <c r="V104" s="105" t="s">
        <v>557</v>
      </c>
      <c r="W104" s="105">
        <v>33040901301</v>
      </c>
      <c r="X104" s="106" t="s">
        <v>558</v>
      </c>
      <c r="Y104" s="105"/>
      <c r="Z104" s="105"/>
      <c r="AA104" s="105" t="s">
        <v>110</v>
      </c>
      <c r="AB104" s="110" t="s">
        <v>35</v>
      </c>
      <c r="AC104" s="50">
        <v>650</v>
      </c>
      <c r="AD104" s="50">
        <v>625</v>
      </c>
      <c r="AE104" s="50">
        <v>530</v>
      </c>
      <c r="AF104" s="111">
        <f t="shared" si="5"/>
        <v>6</v>
      </c>
      <c r="AG104" s="111" t="str">
        <f t="shared" si="6"/>
        <v>眼内穿刺费</v>
      </c>
      <c r="AH104" s="111">
        <f t="shared" si="7"/>
        <v>470</v>
      </c>
      <c r="AI104" s="111">
        <f t="shared" si="8"/>
        <v>440</v>
      </c>
      <c r="AJ104" s="111">
        <f t="shared" si="9"/>
        <v>377</v>
      </c>
    </row>
    <row r="105" customFormat="1" ht="25.5" spans="1:36">
      <c r="A105" s="112"/>
      <c r="B105" s="112"/>
      <c r="C105" s="66" t="s">
        <v>556</v>
      </c>
      <c r="D105" s="65"/>
      <c r="E105" s="77"/>
      <c r="F105" s="77"/>
      <c r="G105" s="64"/>
      <c r="H105" s="42"/>
      <c r="I105" s="42"/>
      <c r="J105" s="84"/>
      <c r="K105" s="83"/>
      <c r="L105" s="83"/>
      <c r="M105" s="83"/>
      <c r="N105" s="91">
        <v>110</v>
      </c>
      <c r="O105" s="91">
        <v>100</v>
      </c>
      <c r="P105" s="93">
        <v>87</v>
      </c>
      <c r="Q105" s="64"/>
      <c r="R105" s="64"/>
      <c r="S105" s="64"/>
      <c r="T105" s="83"/>
      <c r="U105" s="77"/>
      <c r="V105" s="105" t="s">
        <v>559</v>
      </c>
      <c r="W105" s="105">
        <v>31030010002</v>
      </c>
      <c r="X105" s="106" t="s">
        <v>560</v>
      </c>
      <c r="Y105" s="105"/>
      <c r="Z105" s="105"/>
      <c r="AA105" s="105" t="s">
        <v>36</v>
      </c>
      <c r="AB105" s="110" t="s">
        <v>35</v>
      </c>
      <c r="AC105" s="50">
        <v>205</v>
      </c>
      <c r="AD105" s="50">
        <v>195</v>
      </c>
      <c r="AE105" s="50">
        <v>165</v>
      </c>
      <c r="AF105" s="111">
        <f t="shared" si="5"/>
        <v>6</v>
      </c>
      <c r="AG105" s="111" t="str">
        <f t="shared" si="6"/>
        <v>眼内穿刺费</v>
      </c>
      <c r="AH105" s="111">
        <f t="shared" si="7"/>
        <v>470</v>
      </c>
      <c r="AI105" s="111">
        <f t="shared" si="8"/>
        <v>440</v>
      </c>
      <c r="AJ105" s="111">
        <f t="shared" si="9"/>
        <v>377</v>
      </c>
    </row>
    <row r="106" customFormat="1" ht="25.5" spans="1:36">
      <c r="A106" s="112"/>
      <c r="B106" s="112"/>
      <c r="C106" s="66" t="s">
        <v>556</v>
      </c>
      <c r="D106" s="65"/>
      <c r="E106" s="77"/>
      <c r="F106" s="77"/>
      <c r="G106" s="64"/>
      <c r="H106" s="42"/>
      <c r="I106" s="42"/>
      <c r="J106" s="84"/>
      <c r="K106" s="83"/>
      <c r="L106" s="83"/>
      <c r="M106" s="83"/>
      <c r="N106" s="91">
        <v>110</v>
      </c>
      <c r="O106" s="91">
        <v>100</v>
      </c>
      <c r="P106" s="93">
        <v>87</v>
      </c>
      <c r="Q106" s="64"/>
      <c r="R106" s="64"/>
      <c r="S106" s="64"/>
      <c r="T106" s="83"/>
      <c r="U106" s="77"/>
      <c r="V106" s="105" t="s">
        <v>561</v>
      </c>
      <c r="W106" s="105">
        <v>33040700101</v>
      </c>
      <c r="X106" s="106" t="s">
        <v>562</v>
      </c>
      <c r="Y106" s="105"/>
      <c r="Z106" s="105"/>
      <c r="AA106" s="105" t="s">
        <v>36</v>
      </c>
      <c r="AB106" s="110" t="s">
        <v>35</v>
      </c>
      <c r="AC106" s="50">
        <v>490</v>
      </c>
      <c r="AD106" s="50">
        <v>470</v>
      </c>
      <c r="AE106" s="50">
        <v>400</v>
      </c>
      <c r="AF106" s="111">
        <f t="shared" si="5"/>
        <v>6</v>
      </c>
      <c r="AG106" s="111" t="str">
        <f t="shared" si="6"/>
        <v>眼内穿刺费</v>
      </c>
      <c r="AH106" s="111">
        <f t="shared" si="7"/>
        <v>470</v>
      </c>
      <c r="AI106" s="111">
        <f t="shared" si="8"/>
        <v>440</v>
      </c>
      <c r="AJ106" s="111">
        <f t="shared" si="9"/>
        <v>377</v>
      </c>
    </row>
    <row r="107" s="52" customFormat="1" ht="25.5" spans="1:36">
      <c r="A107" s="64">
        <v>43</v>
      </c>
      <c r="B107" s="163" t="s">
        <v>563</v>
      </c>
      <c r="C107" s="66" t="s">
        <v>564</v>
      </c>
      <c r="D107" s="65" t="s">
        <v>565</v>
      </c>
      <c r="E107" s="77" t="s">
        <v>566</v>
      </c>
      <c r="F107" s="77" t="s">
        <v>567</v>
      </c>
      <c r="G107" s="64" t="s">
        <v>110</v>
      </c>
      <c r="H107" s="78">
        <v>355</v>
      </c>
      <c r="I107" s="78">
        <v>320</v>
      </c>
      <c r="J107" s="84">
        <v>316.169903747862</v>
      </c>
      <c r="K107" s="84">
        <v>289.881122729774</v>
      </c>
      <c r="L107" s="84">
        <v>344</v>
      </c>
      <c r="M107" s="84"/>
      <c r="N107" s="91">
        <v>320</v>
      </c>
      <c r="O107" s="91">
        <v>290</v>
      </c>
      <c r="P107" s="95">
        <v>260</v>
      </c>
      <c r="Q107" s="64" t="s">
        <v>37</v>
      </c>
      <c r="R107" s="64" t="s">
        <v>35</v>
      </c>
      <c r="S107" s="64" t="s">
        <v>348</v>
      </c>
      <c r="T107" s="83" t="s">
        <v>191</v>
      </c>
      <c r="U107" s="77" t="s">
        <v>228</v>
      </c>
      <c r="V107" s="105" t="s">
        <v>568</v>
      </c>
      <c r="W107" s="105">
        <v>310300081</v>
      </c>
      <c r="X107" s="106" t="s">
        <v>569</v>
      </c>
      <c r="Y107" s="105" t="s">
        <v>570</v>
      </c>
      <c r="Z107" s="105"/>
      <c r="AA107" s="105" t="s">
        <v>71</v>
      </c>
      <c r="AB107" s="110" t="s">
        <v>571</v>
      </c>
      <c r="AC107" s="50">
        <v>210</v>
      </c>
      <c r="AD107" s="50">
        <v>200</v>
      </c>
      <c r="AE107" s="50">
        <v>170</v>
      </c>
      <c r="AF107" s="111">
        <f t="shared" si="5"/>
        <v>0</v>
      </c>
      <c r="AG107" s="111" t="str">
        <f t="shared" si="6"/>
        <v>眼内能量精密治疗费</v>
      </c>
      <c r="AH107" s="111">
        <f t="shared" si="7"/>
        <v>320</v>
      </c>
      <c r="AI107" s="111">
        <f t="shared" si="8"/>
        <v>290</v>
      </c>
      <c r="AJ107" s="111">
        <f t="shared" si="9"/>
        <v>260</v>
      </c>
    </row>
    <row r="108" s="52" customFormat="1" ht="25.5" spans="1:36">
      <c r="A108" s="64"/>
      <c r="B108" s="64"/>
      <c r="C108" s="66" t="s">
        <v>564</v>
      </c>
      <c r="D108" s="65"/>
      <c r="E108" s="77"/>
      <c r="F108" s="77"/>
      <c r="G108" s="64"/>
      <c r="H108" s="42"/>
      <c r="I108" s="42"/>
      <c r="J108" s="84"/>
      <c r="K108" s="84"/>
      <c r="L108" s="84"/>
      <c r="M108" s="84"/>
      <c r="N108" s="91">
        <v>320</v>
      </c>
      <c r="O108" s="91">
        <v>290</v>
      </c>
      <c r="P108" s="95">
        <v>260</v>
      </c>
      <c r="Q108" s="64"/>
      <c r="R108" s="64"/>
      <c r="S108" s="64"/>
      <c r="T108" s="83"/>
      <c r="U108" s="77"/>
      <c r="V108" s="105" t="s">
        <v>572</v>
      </c>
      <c r="W108" s="105">
        <v>31030008104</v>
      </c>
      <c r="X108" s="106" t="s">
        <v>573</v>
      </c>
      <c r="Y108" s="105"/>
      <c r="Z108" s="105"/>
      <c r="AA108" s="105" t="s">
        <v>71</v>
      </c>
      <c r="AB108" s="110" t="s">
        <v>574</v>
      </c>
      <c r="AC108" s="50">
        <v>105</v>
      </c>
      <c r="AD108" s="50">
        <v>100</v>
      </c>
      <c r="AE108" s="50">
        <v>85</v>
      </c>
      <c r="AF108" s="111">
        <f t="shared" si="5"/>
        <v>0</v>
      </c>
      <c r="AG108" s="111" t="str">
        <f t="shared" si="6"/>
        <v>眼内能量精密治疗费</v>
      </c>
      <c r="AH108" s="111">
        <f t="shared" si="7"/>
        <v>320</v>
      </c>
      <c r="AI108" s="111">
        <f t="shared" si="8"/>
        <v>290</v>
      </c>
      <c r="AJ108" s="111">
        <f t="shared" si="9"/>
        <v>260</v>
      </c>
    </row>
    <row r="109" s="52" customFormat="1" ht="25.5" spans="1:36">
      <c r="A109" s="64"/>
      <c r="B109" s="64"/>
      <c r="C109" s="66" t="s">
        <v>564</v>
      </c>
      <c r="D109" s="65"/>
      <c r="E109" s="77"/>
      <c r="F109" s="77"/>
      <c r="G109" s="64"/>
      <c r="H109" s="42"/>
      <c r="I109" s="42"/>
      <c r="J109" s="84"/>
      <c r="K109" s="84"/>
      <c r="L109" s="84"/>
      <c r="M109" s="84"/>
      <c r="N109" s="91">
        <v>320</v>
      </c>
      <c r="O109" s="91">
        <v>290</v>
      </c>
      <c r="P109" s="95">
        <v>260</v>
      </c>
      <c r="Q109" s="64"/>
      <c r="R109" s="64"/>
      <c r="S109" s="64"/>
      <c r="T109" s="83"/>
      <c r="U109" s="77"/>
      <c r="V109" s="105" t="s">
        <v>575</v>
      </c>
      <c r="W109" s="105">
        <v>31030008101</v>
      </c>
      <c r="X109" s="106" t="s">
        <v>576</v>
      </c>
      <c r="Y109" s="105"/>
      <c r="Z109" s="105"/>
      <c r="AA109" s="105" t="s">
        <v>71</v>
      </c>
      <c r="AB109" s="110" t="s">
        <v>577</v>
      </c>
      <c r="AC109" s="50">
        <v>210</v>
      </c>
      <c r="AD109" s="50">
        <v>200</v>
      </c>
      <c r="AE109" s="50">
        <v>170</v>
      </c>
      <c r="AF109" s="111">
        <f t="shared" si="5"/>
        <v>0</v>
      </c>
      <c r="AG109" s="111" t="str">
        <f t="shared" si="6"/>
        <v>眼内能量精密治疗费</v>
      </c>
      <c r="AH109" s="111">
        <f t="shared" si="7"/>
        <v>320</v>
      </c>
      <c r="AI109" s="111">
        <f t="shared" si="8"/>
        <v>290</v>
      </c>
      <c r="AJ109" s="111">
        <f t="shared" si="9"/>
        <v>260</v>
      </c>
    </row>
    <row r="110" s="52" customFormat="1" ht="25.5" spans="1:36">
      <c r="A110" s="64"/>
      <c r="B110" s="64"/>
      <c r="C110" s="66" t="s">
        <v>564</v>
      </c>
      <c r="D110" s="65"/>
      <c r="E110" s="77"/>
      <c r="F110" s="77"/>
      <c r="G110" s="64"/>
      <c r="H110" s="42"/>
      <c r="I110" s="42"/>
      <c r="J110" s="84"/>
      <c r="K110" s="84"/>
      <c r="L110" s="84"/>
      <c r="M110" s="84"/>
      <c r="N110" s="91">
        <v>320</v>
      </c>
      <c r="O110" s="91">
        <v>290</v>
      </c>
      <c r="P110" s="95">
        <v>260</v>
      </c>
      <c r="Q110" s="64"/>
      <c r="R110" s="64"/>
      <c r="S110" s="64"/>
      <c r="T110" s="83"/>
      <c r="U110" s="77"/>
      <c r="V110" s="105" t="s">
        <v>578</v>
      </c>
      <c r="W110" s="105">
        <v>31030008102</v>
      </c>
      <c r="X110" s="106" t="s">
        <v>579</v>
      </c>
      <c r="Y110" s="105"/>
      <c r="Z110" s="105"/>
      <c r="AA110" s="105" t="s">
        <v>71</v>
      </c>
      <c r="AB110" s="110" t="s">
        <v>580</v>
      </c>
      <c r="AC110" s="50">
        <v>210</v>
      </c>
      <c r="AD110" s="50">
        <v>200</v>
      </c>
      <c r="AE110" s="50">
        <v>170</v>
      </c>
      <c r="AF110" s="111">
        <f t="shared" si="5"/>
        <v>0</v>
      </c>
      <c r="AG110" s="111" t="str">
        <f t="shared" si="6"/>
        <v>眼内能量精密治疗费</v>
      </c>
      <c r="AH110" s="111">
        <f t="shared" si="7"/>
        <v>320</v>
      </c>
      <c r="AI110" s="111">
        <f t="shared" si="8"/>
        <v>290</v>
      </c>
      <c r="AJ110" s="111">
        <f t="shared" si="9"/>
        <v>260</v>
      </c>
    </row>
    <row r="111" s="52" customFormat="1" ht="25.5" spans="1:36">
      <c r="A111" s="64"/>
      <c r="B111" s="64"/>
      <c r="C111" s="66" t="s">
        <v>564</v>
      </c>
      <c r="D111" s="65"/>
      <c r="E111" s="77"/>
      <c r="F111" s="77"/>
      <c r="G111" s="64"/>
      <c r="H111" s="42"/>
      <c r="I111" s="42"/>
      <c r="J111" s="84"/>
      <c r="K111" s="84"/>
      <c r="L111" s="84"/>
      <c r="M111" s="84"/>
      <c r="N111" s="91">
        <v>320</v>
      </c>
      <c r="O111" s="91">
        <v>290</v>
      </c>
      <c r="P111" s="95">
        <v>260</v>
      </c>
      <c r="Q111" s="64"/>
      <c r="R111" s="64"/>
      <c r="S111" s="64"/>
      <c r="T111" s="83"/>
      <c r="U111" s="77"/>
      <c r="V111" s="105" t="s">
        <v>581</v>
      </c>
      <c r="W111" s="105">
        <v>31030008103</v>
      </c>
      <c r="X111" s="106" t="s">
        <v>582</v>
      </c>
      <c r="Y111" s="105"/>
      <c r="Z111" s="105"/>
      <c r="AA111" s="105" t="s">
        <v>71</v>
      </c>
      <c r="AB111" s="110" t="s">
        <v>583</v>
      </c>
      <c r="AC111" s="50">
        <v>210</v>
      </c>
      <c r="AD111" s="50">
        <v>200</v>
      </c>
      <c r="AE111" s="50">
        <v>170</v>
      </c>
      <c r="AF111" s="111">
        <f t="shared" si="5"/>
        <v>0</v>
      </c>
      <c r="AG111" s="111" t="str">
        <f t="shared" si="6"/>
        <v>眼内能量精密治疗费</v>
      </c>
      <c r="AH111" s="111">
        <f t="shared" si="7"/>
        <v>320</v>
      </c>
      <c r="AI111" s="111">
        <f t="shared" si="8"/>
        <v>290</v>
      </c>
      <c r="AJ111" s="111">
        <f t="shared" si="9"/>
        <v>260</v>
      </c>
    </row>
    <row r="112" s="52" customFormat="1" ht="25.5" spans="1:36">
      <c r="A112" s="64"/>
      <c r="B112" s="64"/>
      <c r="C112" s="66" t="s">
        <v>564</v>
      </c>
      <c r="D112" s="65"/>
      <c r="E112" s="77"/>
      <c r="F112" s="77"/>
      <c r="G112" s="64"/>
      <c r="H112" s="42"/>
      <c r="I112" s="42"/>
      <c r="J112" s="84"/>
      <c r="K112" s="84"/>
      <c r="L112" s="84"/>
      <c r="M112" s="84"/>
      <c r="N112" s="91">
        <v>320</v>
      </c>
      <c r="O112" s="91">
        <v>290</v>
      </c>
      <c r="P112" s="95">
        <v>260</v>
      </c>
      <c r="Q112" s="64"/>
      <c r="R112" s="64"/>
      <c r="S112" s="64"/>
      <c r="T112" s="83"/>
      <c r="U112" s="77"/>
      <c r="V112" s="105" t="s">
        <v>584</v>
      </c>
      <c r="W112" s="105">
        <v>310300080</v>
      </c>
      <c r="X112" s="106" t="s">
        <v>585</v>
      </c>
      <c r="Y112" s="105"/>
      <c r="Z112" s="105"/>
      <c r="AA112" s="105" t="s">
        <v>71</v>
      </c>
      <c r="AB112" s="110" t="s">
        <v>571</v>
      </c>
      <c r="AC112" s="50">
        <v>210</v>
      </c>
      <c r="AD112" s="50">
        <v>200</v>
      </c>
      <c r="AE112" s="50">
        <v>170</v>
      </c>
      <c r="AF112" s="111">
        <f t="shared" si="5"/>
        <v>0</v>
      </c>
      <c r="AG112" s="111" t="str">
        <f t="shared" si="6"/>
        <v>眼内能量精密治疗费</v>
      </c>
      <c r="AH112" s="111">
        <f t="shared" si="7"/>
        <v>320</v>
      </c>
      <c r="AI112" s="111">
        <f t="shared" si="8"/>
        <v>290</v>
      </c>
      <c r="AJ112" s="111">
        <f t="shared" si="9"/>
        <v>260</v>
      </c>
    </row>
    <row r="113" s="52" customFormat="1" ht="25.5" spans="1:36">
      <c r="A113" s="64"/>
      <c r="B113" s="64"/>
      <c r="C113" s="66" t="s">
        <v>564</v>
      </c>
      <c r="D113" s="65"/>
      <c r="E113" s="77"/>
      <c r="F113" s="77"/>
      <c r="G113" s="64"/>
      <c r="H113" s="42"/>
      <c r="I113" s="42"/>
      <c r="J113" s="84"/>
      <c r="K113" s="84"/>
      <c r="L113" s="84"/>
      <c r="M113" s="84"/>
      <c r="N113" s="91">
        <v>320</v>
      </c>
      <c r="O113" s="91">
        <v>290</v>
      </c>
      <c r="P113" s="95">
        <v>260</v>
      </c>
      <c r="Q113" s="64"/>
      <c r="R113" s="64"/>
      <c r="S113" s="64"/>
      <c r="T113" s="83"/>
      <c r="U113" s="77"/>
      <c r="V113" s="105" t="s">
        <v>586</v>
      </c>
      <c r="W113" s="105">
        <v>31030008001</v>
      </c>
      <c r="X113" s="106" t="s">
        <v>587</v>
      </c>
      <c r="Y113" s="105"/>
      <c r="Z113" s="105"/>
      <c r="AA113" s="105" t="s">
        <v>71</v>
      </c>
      <c r="AB113" s="110" t="s">
        <v>588</v>
      </c>
      <c r="AC113" s="50">
        <v>315</v>
      </c>
      <c r="AD113" s="50">
        <v>300</v>
      </c>
      <c r="AE113" s="50">
        <v>255</v>
      </c>
      <c r="AF113" s="111">
        <f t="shared" si="5"/>
        <v>0</v>
      </c>
      <c r="AG113" s="111" t="str">
        <f t="shared" si="6"/>
        <v>眼内能量精密治疗费</v>
      </c>
      <c r="AH113" s="111">
        <f t="shared" si="7"/>
        <v>320</v>
      </c>
      <c r="AI113" s="111">
        <f t="shared" si="8"/>
        <v>290</v>
      </c>
      <c r="AJ113" s="111">
        <f t="shared" si="9"/>
        <v>260</v>
      </c>
    </row>
    <row r="114" s="52" customFormat="1" ht="25.5" spans="1:36">
      <c r="A114" s="64"/>
      <c r="B114" s="64"/>
      <c r="C114" s="66" t="s">
        <v>564</v>
      </c>
      <c r="D114" s="65"/>
      <c r="E114" s="77"/>
      <c r="F114" s="77"/>
      <c r="G114" s="64"/>
      <c r="H114" s="42"/>
      <c r="I114" s="42"/>
      <c r="J114" s="84"/>
      <c r="K114" s="84"/>
      <c r="L114" s="84"/>
      <c r="M114" s="84"/>
      <c r="N114" s="91">
        <v>320</v>
      </c>
      <c r="O114" s="91">
        <v>290</v>
      </c>
      <c r="P114" s="95">
        <v>260</v>
      </c>
      <c r="Q114" s="64"/>
      <c r="R114" s="64"/>
      <c r="S114" s="64"/>
      <c r="T114" s="83"/>
      <c r="U114" s="77"/>
      <c r="V114" s="105" t="s">
        <v>589</v>
      </c>
      <c r="W114" s="105">
        <v>330405010</v>
      </c>
      <c r="X114" s="106" t="s">
        <v>590</v>
      </c>
      <c r="Y114" s="105" t="s">
        <v>591</v>
      </c>
      <c r="Z114" s="105"/>
      <c r="AA114" s="105" t="s">
        <v>110</v>
      </c>
      <c r="AB114" s="110" t="s">
        <v>592</v>
      </c>
      <c r="AC114" s="50">
        <v>625</v>
      </c>
      <c r="AD114" s="50">
        <v>600</v>
      </c>
      <c r="AE114" s="50">
        <v>510</v>
      </c>
      <c r="AF114" s="111">
        <f t="shared" si="5"/>
        <v>0</v>
      </c>
      <c r="AG114" s="111" t="str">
        <f t="shared" si="6"/>
        <v>眼内能量精密治疗费</v>
      </c>
      <c r="AH114" s="111">
        <f t="shared" si="7"/>
        <v>320</v>
      </c>
      <c r="AI114" s="111">
        <f t="shared" si="8"/>
        <v>290</v>
      </c>
      <c r="AJ114" s="111">
        <f t="shared" si="9"/>
        <v>260</v>
      </c>
    </row>
    <row r="115" s="52" customFormat="1" ht="25.5" spans="1:36">
      <c r="A115" s="64"/>
      <c r="B115" s="64"/>
      <c r="C115" s="66" t="s">
        <v>564</v>
      </c>
      <c r="D115" s="65"/>
      <c r="E115" s="77"/>
      <c r="F115" s="77"/>
      <c r="G115" s="64"/>
      <c r="H115" s="42"/>
      <c r="I115" s="42"/>
      <c r="J115" s="84"/>
      <c r="K115" s="84"/>
      <c r="L115" s="84"/>
      <c r="M115" s="84"/>
      <c r="N115" s="91">
        <v>320</v>
      </c>
      <c r="O115" s="91">
        <v>290</v>
      </c>
      <c r="P115" s="95">
        <v>260</v>
      </c>
      <c r="Q115" s="64"/>
      <c r="R115" s="64"/>
      <c r="S115" s="64"/>
      <c r="T115" s="83"/>
      <c r="U115" s="77"/>
      <c r="V115" s="105" t="s">
        <v>593</v>
      </c>
      <c r="W115" s="105">
        <v>33040501001</v>
      </c>
      <c r="X115" s="106" t="s">
        <v>594</v>
      </c>
      <c r="Y115" s="105"/>
      <c r="Z115" s="105"/>
      <c r="AA115" s="105" t="s">
        <v>110</v>
      </c>
      <c r="AB115" s="110" t="s">
        <v>595</v>
      </c>
      <c r="AC115" s="50">
        <v>750</v>
      </c>
      <c r="AD115" s="50">
        <v>720</v>
      </c>
      <c r="AE115" s="50">
        <v>612</v>
      </c>
      <c r="AF115" s="111">
        <f t="shared" si="5"/>
        <v>0</v>
      </c>
      <c r="AG115" s="111" t="str">
        <f t="shared" si="6"/>
        <v>眼内能量精密治疗费</v>
      </c>
      <c r="AH115" s="111">
        <f t="shared" si="7"/>
        <v>320</v>
      </c>
      <c r="AI115" s="111">
        <f t="shared" si="8"/>
        <v>290</v>
      </c>
      <c r="AJ115" s="111">
        <f t="shared" si="9"/>
        <v>260</v>
      </c>
    </row>
    <row r="116" s="52" customFormat="1" ht="25.5" spans="1:36">
      <c r="A116" s="64"/>
      <c r="B116" s="64"/>
      <c r="C116" s="66" t="s">
        <v>564</v>
      </c>
      <c r="D116" s="65"/>
      <c r="E116" s="77"/>
      <c r="F116" s="77"/>
      <c r="G116" s="64"/>
      <c r="H116" s="42"/>
      <c r="I116" s="42"/>
      <c r="J116" s="84"/>
      <c r="K116" s="84"/>
      <c r="L116" s="84"/>
      <c r="M116" s="84"/>
      <c r="N116" s="91">
        <v>320</v>
      </c>
      <c r="O116" s="91">
        <v>290</v>
      </c>
      <c r="P116" s="95">
        <v>260</v>
      </c>
      <c r="Q116" s="64"/>
      <c r="R116" s="64"/>
      <c r="S116" s="64"/>
      <c r="T116" s="83"/>
      <c r="U116" s="77"/>
      <c r="V116" s="105" t="s">
        <v>596</v>
      </c>
      <c r="W116" s="105">
        <v>33040501002</v>
      </c>
      <c r="X116" s="106" t="s">
        <v>597</v>
      </c>
      <c r="Y116" s="105"/>
      <c r="Z116" s="105"/>
      <c r="AA116" s="105" t="s">
        <v>110</v>
      </c>
      <c r="AB116" s="110" t="s">
        <v>35</v>
      </c>
      <c r="AC116" s="50">
        <v>815</v>
      </c>
      <c r="AD116" s="50">
        <v>780</v>
      </c>
      <c r="AE116" s="50">
        <v>665</v>
      </c>
      <c r="AF116" s="111">
        <f t="shared" si="5"/>
        <v>0</v>
      </c>
      <c r="AG116" s="111" t="str">
        <f t="shared" si="6"/>
        <v>眼内能量精密治疗费</v>
      </c>
      <c r="AH116" s="111">
        <f t="shared" si="7"/>
        <v>320</v>
      </c>
      <c r="AI116" s="111">
        <f t="shared" si="8"/>
        <v>290</v>
      </c>
      <c r="AJ116" s="111">
        <f t="shared" si="9"/>
        <v>260</v>
      </c>
    </row>
    <row r="117" s="52" customFormat="1" ht="25.5" spans="1:36">
      <c r="A117" s="64"/>
      <c r="B117" s="64"/>
      <c r="C117" s="66" t="s">
        <v>564</v>
      </c>
      <c r="D117" s="65"/>
      <c r="E117" s="77"/>
      <c r="F117" s="77"/>
      <c r="G117" s="64"/>
      <c r="H117" s="42"/>
      <c r="I117" s="42"/>
      <c r="J117" s="84"/>
      <c r="K117" s="84"/>
      <c r="L117" s="84"/>
      <c r="M117" s="84"/>
      <c r="N117" s="91">
        <v>320</v>
      </c>
      <c r="O117" s="91">
        <v>290</v>
      </c>
      <c r="P117" s="95">
        <v>260</v>
      </c>
      <c r="Q117" s="64"/>
      <c r="R117" s="64"/>
      <c r="S117" s="64"/>
      <c r="T117" s="83"/>
      <c r="U117" s="77"/>
      <c r="V117" s="105" t="s">
        <v>598</v>
      </c>
      <c r="W117" s="105">
        <v>33040501003</v>
      </c>
      <c r="X117" s="106" t="s">
        <v>599</v>
      </c>
      <c r="Y117" s="105"/>
      <c r="Z117" s="105"/>
      <c r="AA117" s="105" t="s">
        <v>110</v>
      </c>
      <c r="AB117" s="110" t="s">
        <v>35</v>
      </c>
      <c r="AC117" s="50">
        <v>975</v>
      </c>
      <c r="AD117" s="50">
        <v>935</v>
      </c>
      <c r="AE117" s="50">
        <v>795</v>
      </c>
      <c r="AF117" s="111">
        <f t="shared" si="5"/>
        <v>0</v>
      </c>
      <c r="AG117" s="111" t="str">
        <f t="shared" si="6"/>
        <v>眼内能量精密治疗费</v>
      </c>
      <c r="AH117" s="111">
        <f t="shared" si="7"/>
        <v>320</v>
      </c>
      <c r="AI117" s="111">
        <f t="shared" si="8"/>
        <v>290</v>
      </c>
      <c r="AJ117" s="111">
        <f t="shared" si="9"/>
        <v>260</v>
      </c>
    </row>
    <row r="118" s="52" customFormat="1" ht="25.5" spans="1:36">
      <c r="A118" s="64"/>
      <c r="B118" s="64"/>
      <c r="C118" s="66" t="s">
        <v>564</v>
      </c>
      <c r="D118" s="65"/>
      <c r="E118" s="77"/>
      <c r="F118" s="77"/>
      <c r="G118" s="64"/>
      <c r="H118" s="42"/>
      <c r="I118" s="42"/>
      <c r="J118" s="84"/>
      <c r="K118" s="84"/>
      <c r="L118" s="84"/>
      <c r="M118" s="84"/>
      <c r="N118" s="91">
        <v>320</v>
      </c>
      <c r="O118" s="91">
        <v>290</v>
      </c>
      <c r="P118" s="95">
        <v>260</v>
      </c>
      <c r="Q118" s="64"/>
      <c r="R118" s="64"/>
      <c r="S118" s="64"/>
      <c r="T118" s="83"/>
      <c r="U118" s="77"/>
      <c r="V118" s="105" t="s">
        <v>600</v>
      </c>
      <c r="W118" s="105">
        <v>330407013</v>
      </c>
      <c r="X118" s="106" t="s">
        <v>601</v>
      </c>
      <c r="Y118" s="105"/>
      <c r="Z118" s="105"/>
      <c r="AA118" s="105" t="s">
        <v>36</v>
      </c>
      <c r="AB118" s="110" t="s">
        <v>35</v>
      </c>
      <c r="AC118" s="50">
        <v>1010</v>
      </c>
      <c r="AD118" s="50">
        <v>910</v>
      </c>
      <c r="AE118" s="50">
        <v>775</v>
      </c>
      <c r="AF118" s="111">
        <f t="shared" si="5"/>
        <v>0</v>
      </c>
      <c r="AG118" s="111" t="str">
        <f t="shared" si="6"/>
        <v>眼内能量精密治疗费</v>
      </c>
      <c r="AH118" s="111">
        <f t="shared" si="7"/>
        <v>320</v>
      </c>
      <c r="AI118" s="111">
        <f t="shared" si="8"/>
        <v>290</v>
      </c>
      <c r="AJ118" s="111">
        <f t="shared" si="9"/>
        <v>260</v>
      </c>
    </row>
    <row r="119" s="52" customFormat="1" ht="25.5" spans="1:36">
      <c r="A119" s="64"/>
      <c r="B119" s="64"/>
      <c r="C119" s="66" t="s">
        <v>564</v>
      </c>
      <c r="D119" s="65"/>
      <c r="E119" s="77"/>
      <c r="F119" s="77"/>
      <c r="G119" s="64"/>
      <c r="H119" s="42"/>
      <c r="I119" s="42"/>
      <c r="J119" s="84"/>
      <c r="K119" s="84"/>
      <c r="L119" s="84"/>
      <c r="M119" s="84"/>
      <c r="N119" s="91">
        <v>320</v>
      </c>
      <c r="O119" s="91">
        <v>290</v>
      </c>
      <c r="P119" s="95">
        <v>260</v>
      </c>
      <c r="Q119" s="64"/>
      <c r="R119" s="64"/>
      <c r="S119" s="64"/>
      <c r="T119" s="83"/>
      <c r="U119" s="77"/>
      <c r="V119" s="105" t="s">
        <v>602</v>
      </c>
      <c r="W119" s="105">
        <v>33040701301</v>
      </c>
      <c r="X119" s="106" t="s">
        <v>603</v>
      </c>
      <c r="Y119" s="105"/>
      <c r="Z119" s="105"/>
      <c r="AA119" s="105" t="s">
        <v>36</v>
      </c>
      <c r="AB119" s="110" t="s">
        <v>35</v>
      </c>
      <c r="AC119" s="50">
        <v>1315</v>
      </c>
      <c r="AD119" s="50">
        <v>1185</v>
      </c>
      <c r="AE119" s="50">
        <v>1005</v>
      </c>
      <c r="AF119" s="111">
        <f t="shared" si="5"/>
        <v>0</v>
      </c>
      <c r="AG119" s="111" t="str">
        <f t="shared" si="6"/>
        <v>眼内能量精密治疗费</v>
      </c>
      <c r="AH119" s="111">
        <f t="shared" si="7"/>
        <v>320</v>
      </c>
      <c r="AI119" s="111">
        <f t="shared" si="8"/>
        <v>290</v>
      </c>
      <c r="AJ119" s="111">
        <f t="shared" si="9"/>
        <v>260</v>
      </c>
    </row>
    <row r="120" s="52" customFormat="1" ht="25.5" spans="1:36">
      <c r="A120" s="64"/>
      <c r="B120" s="64"/>
      <c r="C120" s="66" t="s">
        <v>564</v>
      </c>
      <c r="D120" s="65"/>
      <c r="E120" s="77"/>
      <c r="F120" s="77"/>
      <c r="G120" s="64"/>
      <c r="H120" s="42"/>
      <c r="I120" s="42"/>
      <c r="J120" s="84"/>
      <c r="K120" s="84"/>
      <c r="L120" s="84"/>
      <c r="M120" s="84"/>
      <c r="N120" s="91">
        <v>320</v>
      </c>
      <c r="O120" s="91">
        <v>290</v>
      </c>
      <c r="P120" s="95">
        <v>260</v>
      </c>
      <c r="Q120" s="64"/>
      <c r="R120" s="64"/>
      <c r="S120" s="64"/>
      <c r="T120" s="83"/>
      <c r="U120" s="77"/>
      <c r="V120" s="105" t="s">
        <v>604</v>
      </c>
      <c r="W120" s="105">
        <v>31030009001</v>
      </c>
      <c r="X120" s="106" t="s">
        <v>605</v>
      </c>
      <c r="Y120" s="105"/>
      <c r="Z120" s="105"/>
      <c r="AA120" s="105" t="s">
        <v>36</v>
      </c>
      <c r="AB120" s="110" t="s">
        <v>500</v>
      </c>
      <c r="AC120" s="50">
        <v>472.5</v>
      </c>
      <c r="AD120" s="50">
        <v>450</v>
      </c>
      <c r="AE120" s="50">
        <v>382.5</v>
      </c>
      <c r="AF120" s="111">
        <f t="shared" si="5"/>
        <v>0</v>
      </c>
      <c r="AG120" s="111" t="str">
        <f t="shared" si="6"/>
        <v>眼内能量精密治疗费</v>
      </c>
      <c r="AH120" s="111">
        <f t="shared" si="7"/>
        <v>320</v>
      </c>
      <c r="AI120" s="111">
        <f t="shared" si="8"/>
        <v>290</v>
      </c>
      <c r="AJ120" s="111">
        <f t="shared" si="9"/>
        <v>260</v>
      </c>
    </row>
    <row r="121" s="52" customFormat="1" ht="25.5" spans="1:36">
      <c r="A121" s="64"/>
      <c r="B121" s="64"/>
      <c r="C121" s="66" t="s">
        <v>564</v>
      </c>
      <c r="D121" s="65"/>
      <c r="E121" s="77"/>
      <c r="F121" s="77"/>
      <c r="G121" s="64"/>
      <c r="H121" s="42"/>
      <c r="I121" s="42"/>
      <c r="J121" s="84"/>
      <c r="K121" s="84"/>
      <c r="L121" s="84"/>
      <c r="M121" s="84"/>
      <c r="N121" s="91">
        <v>320</v>
      </c>
      <c r="O121" s="91">
        <v>290</v>
      </c>
      <c r="P121" s="95">
        <v>260</v>
      </c>
      <c r="Q121" s="64"/>
      <c r="R121" s="64"/>
      <c r="S121" s="64"/>
      <c r="T121" s="83"/>
      <c r="U121" s="77"/>
      <c r="V121" s="105" t="s">
        <v>606</v>
      </c>
      <c r="W121" s="105">
        <v>310300086</v>
      </c>
      <c r="X121" s="106" t="s">
        <v>607</v>
      </c>
      <c r="Y121" s="105" t="s">
        <v>608</v>
      </c>
      <c r="Z121" s="105" t="s">
        <v>609</v>
      </c>
      <c r="AA121" s="105" t="s">
        <v>36</v>
      </c>
      <c r="AB121" s="110" t="s">
        <v>35</v>
      </c>
      <c r="AC121" s="50">
        <v>450</v>
      </c>
      <c r="AD121" s="50">
        <v>405</v>
      </c>
      <c r="AE121" s="50">
        <v>344</v>
      </c>
      <c r="AF121" s="111">
        <f t="shared" si="5"/>
        <v>0</v>
      </c>
      <c r="AG121" s="111" t="str">
        <f t="shared" si="6"/>
        <v>眼内能量精密治疗费</v>
      </c>
      <c r="AH121" s="111">
        <f t="shared" si="7"/>
        <v>320</v>
      </c>
      <c r="AI121" s="111">
        <f t="shared" si="8"/>
        <v>290</v>
      </c>
      <c r="AJ121" s="111">
        <f t="shared" si="9"/>
        <v>260</v>
      </c>
    </row>
    <row r="122" s="55" customFormat="1" ht="54" customHeight="1" spans="1:36">
      <c r="A122" s="112" t="s">
        <v>95</v>
      </c>
      <c r="B122" s="163" t="s">
        <v>563</v>
      </c>
      <c r="C122" s="64" t="s">
        <v>610</v>
      </c>
      <c r="D122" s="65"/>
      <c r="E122" s="77"/>
      <c r="F122" s="77" t="s">
        <v>611</v>
      </c>
      <c r="G122" s="64"/>
      <c r="H122" s="78">
        <v>53</v>
      </c>
      <c r="I122" s="78">
        <v>48</v>
      </c>
      <c r="J122" s="83">
        <v>52.5</v>
      </c>
      <c r="K122" s="83">
        <v>50</v>
      </c>
      <c r="L122" s="83">
        <v>42.5</v>
      </c>
      <c r="M122" s="83"/>
      <c r="N122" s="41">
        <v>48</v>
      </c>
      <c r="O122" s="41">
        <v>44</v>
      </c>
      <c r="P122" s="50">
        <v>39</v>
      </c>
      <c r="Q122" s="64" t="s">
        <v>37</v>
      </c>
      <c r="R122" s="64" t="s">
        <v>35</v>
      </c>
      <c r="S122" s="64" t="s">
        <v>348</v>
      </c>
      <c r="T122" s="83"/>
      <c r="U122" s="77" t="s">
        <v>612</v>
      </c>
      <c r="V122" s="105" t="s">
        <v>613</v>
      </c>
      <c r="W122" s="105">
        <v>310300104</v>
      </c>
      <c r="X122" s="106" t="s">
        <v>614</v>
      </c>
      <c r="Y122" s="105" t="s">
        <v>615</v>
      </c>
      <c r="Z122" s="105"/>
      <c r="AA122" s="105" t="s">
        <v>36</v>
      </c>
      <c r="AB122" s="110" t="s">
        <v>35</v>
      </c>
      <c r="AC122" s="50">
        <v>52.5</v>
      </c>
      <c r="AD122" s="50">
        <v>50</v>
      </c>
      <c r="AE122" s="50">
        <v>42.5</v>
      </c>
      <c r="AF122" s="111">
        <f t="shared" si="5"/>
        <v>0</v>
      </c>
      <c r="AG122" s="111" t="str">
        <f t="shared" si="6"/>
        <v>眼内能量精密治疗费-眼部冷冻治疗</v>
      </c>
      <c r="AH122" s="111">
        <f t="shared" si="7"/>
        <v>48</v>
      </c>
      <c r="AI122" s="111">
        <f t="shared" si="8"/>
        <v>44</v>
      </c>
      <c r="AJ122" s="111">
        <f t="shared" si="9"/>
        <v>39</v>
      </c>
    </row>
    <row r="123" s="52" customFormat="1" ht="25.5" spans="1:36">
      <c r="A123" s="112">
        <v>44</v>
      </c>
      <c r="B123" s="164" t="s">
        <v>616</v>
      </c>
      <c r="C123" s="66" t="s">
        <v>617</v>
      </c>
      <c r="D123" s="65" t="s">
        <v>618</v>
      </c>
      <c r="E123" s="77" t="s">
        <v>619</v>
      </c>
      <c r="F123" s="77" t="s">
        <v>620</v>
      </c>
      <c r="G123" s="64" t="s">
        <v>36</v>
      </c>
      <c r="H123" s="78">
        <v>16</v>
      </c>
      <c r="I123" s="78">
        <v>14</v>
      </c>
      <c r="J123" s="83">
        <v>10.5</v>
      </c>
      <c r="K123" s="83">
        <v>10</v>
      </c>
      <c r="L123" s="83">
        <v>8.5</v>
      </c>
      <c r="M123" s="83"/>
      <c r="N123" s="92">
        <v>15</v>
      </c>
      <c r="O123" s="92">
        <v>13.5</v>
      </c>
      <c r="P123" s="95">
        <v>11.5</v>
      </c>
      <c r="Q123" s="64" t="s">
        <v>621</v>
      </c>
      <c r="R123" s="64" t="s">
        <v>35</v>
      </c>
      <c r="S123" s="64" t="s">
        <v>35</v>
      </c>
      <c r="T123" s="83" t="s">
        <v>333</v>
      </c>
      <c r="U123" s="77" t="s">
        <v>622</v>
      </c>
      <c r="V123" s="105" t="s">
        <v>623</v>
      </c>
      <c r="W123" s="105">
        <v>310300098</v>
      </c>
      <c r="X123" s="106" t="s">
        <v>624</v>
      </c>
      <c r="Y123" s="105"/>
      <c r="Z123" s="105"/>
      <c r="AA123" s="105" t="s">
        <v>36</v>
      </c>
      <c r="AB123" s="110" t="s">
        <v>35</v>
      </c>
      <c r="AC123" s="50">
        <v>10.5</v>
      </c>
      <c r="AD123" s="50">
        <v>10</v>
      </c>
      <c r="AE123" s="50">
        <v>8.5</v>
      </c>
      <c r="AF123" s="111">
        <f t="shared" si="5"/>
        <v>0</v>
      </c>
      <c r="AG123" s="111" t="str">
        <f t="shared" si="6"/>
        <v>视功能训练费</v>
      </c>
      <c r="AH123" s="111">
        <f t="shared" si="7"/>
        <v>15</v>
      </c>
      <c r="AI123" s="111">
        <f t="shared" si="8"/>
        <v>13.5</v>
      </c>
      <c r="AJ123" s="111">
        <f t="shared" si="9"/>
        <v>11.5</v>
      </c>
    </row>
    <row r="124" s="52" customFormat="1" ht="25.5" spans="1:36">
      <c r="A124" s="112"/>
      <c r="B124" s="112"/>
      <c r="C124" s="66" t="s">
        <v>617</v>
      </c>
      <c r="D124" s="65"/>
      <c r="E124" s="77"/>
      <c r="F124" s="77"/>
      <c r="G124" s="64"/>
      <c r="H124" s="42"/>
      <c r="I124" s="42"/>
      <c r="J124" s="83"/>
      <c r="K124" s="83"/>
      <c r="L124" s="83"/>
      <c r="M124" s="83"/>
      <c r="N124" s="92">
        <v>15</v>
      </c>
      <c r="O124" s="92">
        <v>13.5</v>
      </c>
      <c r="P124" s="95">
        <v>11.5</v>
      </c>
      <c r="Q124" s="64"/>
      <c r="R124" s="64"/>
      <c r="S124" s="64"/>
      <c r="T124" s="83"/>
      <c r="U124" s="77"/>
      <c r="V124" s="105" t="s">
        <v>625</v>
      </c>
      <c r="W124" s="105">
        <v>310300107</v>
      </c>
      <c r="X124" s="106" t="s">
        <v>626</v>
      </c>
      <c r="Y124" s="105" t="s">
        <v>627</v>
      </c>
      <c r="Z124" s="105"/>
      <c r="AA124" s="105" t="s">
        <v>36</v>
      </c>
      <c r="AB124" s="110" t="s">
        <v>35</v>
      </c>
      <c r="AC124" s="50">
        <v>10.5</v>
      </c>
      <c r="AD124" s="50">
        <v>10</v>
      </c>
      <c r="AE124" s="50">
        <v>8.5</v>
      </c>
      <c r="AF124" s="111">
        <f t="shared" si="5"/>
        <v>0</v>
      </c>
      <c r="AG124" s="111" t="str">
        <f t="shared" si="6"/>
        <v>视功能训练费</v>
      </c>
      <c r="AH124" s="111">
        <f t="shared" si="7"/>
        <v>15</v>
      </c>
      <c r="AI124" s="111">
        <f t="shared" si="8"/>
        <v>13.5</v>
      </c>
      <c r="AJ124" s="111">
        <f t="shared" si="9"/>
        <v>11.5</v>
      </c>
    </row>
    <row r="125" s="52" customFormat="1" ht="25.5" spans="1:36">
      <c r="A125" s="112"/>
      <c r="B125" s="112"/>
      <c r="C125" s="66" t="s">
        <v>617</v>
      </c>
      <c r="D125" s="65"/>
      <c r="E125" s="77"/>
      <c r="F125" s="77"/>
      <c r="G125" s="64"/>
      <c r="H125" s="42"/>
      <c r="I125" s="42"/>
      <c r="J125" s="83"/>
      <c r="K125" s="83"/>
      <c r="L125" s="83"/>
      <c r="M125" s="83"/>
      <c r="N125" s="92">
        <v>15</v>
      </c>
      <c r="O125" s="92">
        <v>13.5</v>
      </c>
      <c r="P125" s="95">
        <v>11.5</v>
      </c>
      <c r="Q125" s="64"/>
      <c r="R125" s="64"/>
      <c r="S125" s="64"/>
      <c r="T125" s="83"/>
      <c r="U125" s="77"/>
      <c r="V125" s="105" t="s">
        <v>628</v>
      </c>
      <c r="W125" s="105">
        <v>310300108</v>
      </c>
      <c r="X125" s="106" t="s">
        <v>629</v>
      </c>
      <c r="Y125" s="105"/>
      <c r="Z125" s="105"/>
      <c r="AA125" s="105" t="s">
        <v>36</v>
      </c>
      <c r="AB125" s="110" t="s">
        <v>35</v>
      </c>
      <c r="AC125" s="50">
        <v>10.5</v>
      </c>
      <c r="AD125" s="50">
        <v>10</v>
      </c>
      <c r="AE125" s="50">
        <v>8.5</v>
      </c>
      <c r="AF125" s="111">
        <f t="shared" si="5"/>
        <v>0</v>
      </c>
      <c r="AG125" s="111" t="str">
        <f t="shared" si="6"/>
        <v>视功能训练费</v>
      </c>
      <c r="AH125" s="111">
        <f t="shared" si="7"/>
        <v>15</v>
      </c>
      <c r="AI125" s="111">
        <f t="shared" si="8"/>
        <v>13.5</v>
      </c>
      <c r="AJ125" s="111">
        <f t="shared" si="9"/>
        <v>11.5</v>
      </c>
    </row>
    <row r="126" s="52" customFormat="1" ht="25.5" spans="1:36">
      <c r="A126" s="112"/>
      <c r="B126" s="112"/>
      <c r="C126" s="66" t="s">
        <v>617</v>
      </c>
      <c r="D126" s="65"/>
      <c r="E126" s="77"/>
      <c r="F126" s="77"/>
      <c r="G126" s="64"/>
      <c r="H126" s="42"/>
      <c r="I126" s="42"/>
      <c r="J126" s="83"/>
      <c r="K126" s="83"/>
      <c r="L126" s="83"/>
      <c r="M126" s="83"/>
      <c r="N126" s="92">
        <v>15</v>
      </c>
      <c r="O126" s="92">
        <v>13.5</v>
      </c>
      <c r="P126" s="95">
        <v>11.5</v>
      </c>
      <c r="Q126" s="64"/>
      <c r="R126" s="64"/>
      <c r="S126" s="64"/>
      <c r="T126" s="83"/>
      <c r="U126" s="77"/>
      <c r="V126" s="105" t="s">
        <v>630</v>
      </c>
      <c r="W126" s="105">
        <v>310300099</v>
      </c>
      <c r="X126" s="106" t="s">
        <v>631</v>
      </c>
      <c r="Y126" s="105"/>
      <c r="Z126" s="105"/>
      <c r="AA126" s="105" t="s">
        <v>36</v>
      </c>
      <c r="AB126" s="110" t="s">
        <v>35</v>
      </c>
      <c r="AC126" s="50">
        <v>10.5</v>
      </c>
      <c r="AD126" s="50">
        <v>10</v>
      </c>
      <c r="AE126" s="50">
        <v>8.5</v>
      </c>
      <c r="AF126" s="111">
        <f t="shared" si="5"/>
        <v>0</v>
      </c>
      <c r="AG126" s="111" t="str">
        <f t="shared" si="6"/>
        <v>视功能训练费</v>
      </c>
      <c r="AH126" s="111">
        <f t="shared" si="7"/>
        <v>15</v>
      </c>
      <c r="AI126" s="111">
        <f t="shared" si="8"/>
        <v>13.5</v>
      </c>
      <c r="AJ126" s="111">
        <f t="shared" si="9"/>
        <v>11.5</v>
      </c>
    </row>
    <row r="127" s="55" customFormat="1" ht="36" customHeight="1" spans="1:36">
      <c r="A127" s="112">
        <v>45</v>
      </c>
      <c r="B127" s="112" t="s">
        <v>634</v>
      </c>
      <c r="C127" s="66" t="s">
        <v>635</v>
      </c>
      <c r="D127" s="65" t="s">
        <v>636</v>
      </c>
      <c r="E127" s="77" t="s">
        <v>637</v>
      </c>
      <c r="F127" s="77" t="s">
        <v>35</v>
      </c>
      <c r="G127" s="64" t="s">
        <v>110</v>
      </c>
      <c r="H127" s="78">
        <v>70</v>
      </c>
      <c r="I127" s="78">
        <v>63</v>
      </c>
      <c r="J127" s="83"/>
      <c r="K127" s="83"/>
      <c r="L127" s="83"/>
      <c r="M127" s="83"/>
      <c r="N127" s="91">
        <v>65</v>
      </c>
      <c r="O127" s="91">
        <v>59</v>
      </c>
      <c r="P127" s="93">
        <v>50</v>
      </c>
      <c r="Q127" s="64" t="s">
        <v>37</v>
      </c>
      <c r="R127" s="64" t="s">
        <v>35</v>
      </c>
      <c r="S127" s="64" t="s">
        <v>35</v>
      </c>
      <c r="T127" s="83" t="s">
        <v>38</v>
      </c>
      <c r="U127" s="77" t="s">
        <v>638</v>
      </c>
      <c r="V127" s="117" t="s">
        <v>639</v>
      </c>
      <c r="W127" s="117">
        <v>330409010</v>
      </c>
      <c r="X127" s="118" t="s">
        <v>640</v>
      </c>
      <c r="Y127" s="117"/>
      <c r="Z127" s="117"/>
      <c r="AA127" s="117" t="s">
        <v>36</v>
      </c>
      <c r="AB127" s="120" t="s">
        <v>35</v>
      </c>
      <c r="AC127" s="96">
        <v>845</v>
      </c>
      <c r="AD127" s="96">
        <v>760</v>
      </c>
      <c r="AE127" s="96">
        <v>645</v>
      </c>
      <c r="AF127" s="111">
        <f t="shared" si="5"/>
        <v>0</v>
      </c>
      <c r="AG127" s="111" t="str">
        <f t="shared" si="6"/>
        <v>义眼片安装费</v>
      </c>
      <c r="AH127" s="111">
        <f t="shared" si="7"/>
        <v>65</v>
      </c>
      <c r="AI127" s="111">
        <f t="shared" si="8"/>
        <v>59</v>
      </c>
      <c r="AJ127" s="111">
        <f t="shared" si="9"/>
        <v>50</v>
      </c>
    </row>
    <row r="128" s="52" customFormat="1" ht="36" customHeight="1" spans="1:36">
      <c r="A128" s="112"/>
      <c r="B128" s="112"/>
      <c r="C128" s="66" t="s">
        <v>635</v>
      </c>
      <c r="D128" s="65"/>
      <c r="E128" s="77"/>
      <c r="F128" s="77"/>
      <c r="G128" s="64"/>
      <c r="H128" s="42"/>
      <c r="I128" s="42"/>
      <c r="J128" s="83"/>
      <c r="K128" s="83"/>
      <c r="L128" s="83"/>
      <c r="M128" s="83"/>
      <c r="N128" s="91">
        <v>65</v>
      </c>
      <c r="O128" s="91">
        <v>59</v>
      </c>
      <c r="P128" s="93">
        <v>50</v>
      </c>
      <c r="Q128" s="64"/>
      <c r="R128" s="64"/>
      <c r="S128" s="64"/>
      <c r="T128" s="83"/>
      <c r="U128" s="77"/>
      <c r="V128" s="117" t="s">
        <v>641</v>
      </c>
      <c r="W128" s="117">
        <v>33040901001</v>
      </c>
      <c r="X128" s="118" t="s">
        <v>642</v>
      </c>
      <c r="Y128" s="117"/>
      <c r="Z128" s="117"/>
      <c r="AA128" s="117" t="s">
        <v>36</v>
      </c>
      <c r="AB128" s="120" t="s">
        <v>35</v>
      </c>
      <c r="AC128" s="96">
        <v>1100</v>
      </c>
      <c r="AD128" s="96">
        <v>990</v>
      </c>
      <c r="AE128" s="96">
        <v>840</v>
      </c>
      <c r="AF128" s="111">
        <f t="shared" si="5"/>
        <v>0</v>
      </c>
      <c r="AG128" s="111" t="str">
        <f t="shared" si="6"/>
        <v>义眼片安装费</v>
      </c>
      <c r="AH128" s="111">
        <f t="shared" si="7"/>
        <v>65</v>
      </c>
      <c r="AI128" s="111">
        <f t="shared" si="8"/>
        <v>59</v>
      </c>
      <c r="AJ128" s="111">
        <f t="shared" si="9"/>
        <v>50</v>
      </c>
    </row>
    <row r="129" s="52" customFormat="1" ht="25.5" spans="1:36">
      <c r="A129" s="112">
        <v>48</v>
      </c>
      <c r="B129" s="112" t="s">
        <v>655</v>
      </c>
      <c r="C129" s="66" t="s">
        <v>656</v>
      </c>
      <c r="D129" s="65" t="s">
        <v>657</v>
      </c>
      <c r="E129" s="77" t="s">
        <v>658</v>
      </c>
      <c r="F129" s="77" t="s">
        <v>35</v>
      </c>
      <c r="G129" s="64" t="s">
        <v>110</v>
      </c>
      <c r="H129" s="78">
        <v>565</v>
      </c>
      <c r="I129" s="78">
        <v>510</v>
      </c>
      <c r="J129" s="123">
        <v>562.5</v>
      </c>
      <c r="K129" s="123">
        <v>540</v>
      </c>
      <c r="L129" s="123">
        <v>459</v>
      </c>
      <c r="M129" s="123"/>
      <c r="N129" s="91">
        <v>560</v>
      </c>
      <c r="O129" s="91">
        <v>510</v>
      </c>
      <c r="P129" s="93">
        <v>435</v>
      </c>
      <c r="Q129" s="64" t="s">
        <v>37</v>
      </c>
      <c r="R129" s="64" t="s">
        <v>35</v>
      </c>
      <c r="S129" s="64" t="s">
        <v>35</v>
      </c>
      <c r="T129" s="123" t="s">
        <v>131</v>
      </c>
      <c r="U129" s="77" t="s">
        <v>659</v>
      </c>
      <c r="V129" s="105" t="s">
        <v>660</v>
      </c>
      <c r="W129" s="105">
        <v>330402010</v>
      </c>
      <c r="X129" s="106" t="s">
        <v>661</v>
      </c>
      <c r="Y129" s="105" t="s">
        <v>662</v>
      </c>
      <c r="Z129" s="105" t="s">
        <v>663</v>
      </c>
      <c r="AA129" s="105" t="s">
        <v>664</v>
      </c>
      <c r="AB129" s="110" t="s">
        <v>35</v>
      </c>
      <c r="AC129" s="50">
        <v>562.5</v>
      </c>
      <c r="AD129" s="50">
        <v>540</v>
      </c>
      <c r="AE129" s="50">
        <v>459</v>
      </c>
      <c r="AF129" s="111">
        <f t="shared" si="5"/>
        <v>0</v>
      </c>
      <c r="AG129" s="111" t="str">
        <f t="shared" si="6"/>
        <v>泪小点封闭费</v>
      </c>
      <c r="AH129" s="111">
        <f t="shared" si="7"/>
        <v>560</v>
      </c>
      <c r="AI129" s="111">
        <f t="shared" si="8"/>
        <v>510</v>
      </c>
      <c r="AJ129" s="111">
        <f t="shared" si="9"/>
        <v>435</v>
      </c>
    </row>
    <row r="130" s="52" customFormat="1" ht="25.5" spans="1:36">
      <c r="A130" s="112"/>
      <c r="B130" s="112"/>
      <c r="C130" s="66" t="s">
        <v>656</v>
      </c>
      <c r="D130" s="65"/>
      <c r="E130" s="77"/>
      <c r="F130" s="77"/>
      <c r="G130" s="64"/>
      <c r="H130" s="42"/>
      <c r="I130" s="42"/>
      <c r="J130" s="123"/>
      <c r="K130" s="123"/>
      <c r="L130" s="123"/>
      <c r="M130" s="123"/>
      <c r="N130" s="91">
        <v>560</v>
      </c>
      <c r="O130" s="91">
        <v>510</v>
      </c>
      <c r="P130" s="93">
        <v>435</v>
      </c>
      <c r="Q130" s="64"/>
      <c r="R130" s="64"/>
      <c r="S130" s="64"/>
      <c r="T130" s="123"/>
      <c r="U130" s="77"/>
      <c r="V130" s="105" t="s">
        <v>665</v>
      </c>
      <c r="W130" s="105">
        <v>33040201002</v>
      </c>
      <c r="X130" s="106" t="s">
        <v>666</v>
      </c>
      <c r="Y130" s="105"/>
      <c r="Z130" s="105"/>
      <c r="AA130" s="105" t="s">
        <v>664</v>
      </c>
      <c r="AB130" s="110" t="s">
        <v>35</v>
      </c>
      <c r="AC130" s="50">
        <v>730</v>
      </c>
      <c r="AD130" s="50">
        <v>700</v>
      </c>
      <c r="AE130" s="50">
        <v>595</v>
      </c>
      <c r="AF130" s="111">
        <f t="shared" si="5"/>
        <v>0</v>
      </c>
      <c r="AG130" s="111" t="str">
        <f t="shared" si="6"/>
        <v>泪小点封闭费</v>
      </c>
      <c r="AH130" s="111">
        <f t="shared" si="7"/>
        <v>560</v>
      </c>
      <c r="AI130" s="111">
        <f t="shared" si="8"/>
        <v>510</v>
      </c>
      <c r="AJ130" s="111">
        <f t="shared" si="9"/>
        <v>435</v>
      </c>
    </row>
    <row r="131" s="52" customFormat="1" ht="25.5" spans="1:36">
      <c r="A131" s="112"/>
      <c r="B131" s="112"/>
      <c r="C131" s="66" t="s">
        <v>656</v>
      </c>
      <c r="D131" s="65"/>
      <c r="E131" s="77"/>
      <c r="F131" s="77"/>
      <c r="G131" s="64"/>
      <c r="H131" s="42"/>
      <c r="I131" s="42"/>
      <c r="J131" s="123"/>
      <c r="K131" s="123"/>
      <c r="L131" s="123"/>
      <c r="M131" s="123"/>
      <c r="N131" s="91">
        <v>560</v>
      </c>
      <c r="O131" s="91">
        <v>510</v>
      </c>
      <c r="P131" s="93">
        <v>435</v>
      </c>
      <c r="Q131" s="64"/>
      <c r="R131" s="64"/>
      <c r="S131" s="64"/>
      <c r="T131" s="123"/>
      <c r="U131" s="77"/>
      <c r="V131" s="105" t="s">
        <v>667</v>
      </c>
      <c r="W131" s="105">
        <v>33040201001</v>
      </c>
      <c r="X131" s="106" t="s">
        <v>668</v>
      </c>
      <c r="Y131" s="105"/>
      <c r="Z131" s="105"/>
      <c r="AA131" s="105" t="s">
        <v>664</v>
      </c>
      <c r="AB131" s="110" t="s">
        <v>669</v>
      </c>
      <c r="AC131" s="50">
        <v>562.5</v>
      </c>
      <c r="AD131" s="50">
        <v>540</v>
      </c>
      <c r="AE131" s="50">
        <v>459</v>
      </c>
      <c r="AF131" s="111">
        <f t="shared" si="5"/>
        <v>0</v>
      </c>
      <c r="AG131" s="111" t="str">
        <f t="shared" si="6"/>
        <v>泪小点封闭费</v>
      </c>
      <c r="AH131" s="111">
        <f t="shared" si="7"/>
        <v>560</v>
      </c>
      <c r="AI131" s="111">
        <f t="shared" si="8"/>
        <v>510</v>
      </c>
      <c r="AJ131" s="111">
        <f t="shared" si="9"/>
        <v>435</v>
      </c>
    </row>
    <row r="132" s="52" customFormat="1" ht="47" customHeight="1" spans="1:36">
      <c r="A132" s="112">
        <v>49</v>
      </c>
      <c r="B132" s="112" t="s">
        <v>670</v>
      </c>
      <c r="C132" s="64" t="s">
        <v>671</v>
      </c>
      <c r="D132" s="65" t="s">
        <v>672</v>
      </c>
      <c r="E132" s="77" t="s">
        <v>673</v>
      </c>
      <c r="F132" s="77" t="s">
        <v>674</v>
      </c>
      <c r="G132" s="64" t="s">
        <v>110</v>
      </c>
      <c r="H132" s="78">
        <v>65</v>
      </c>
      <c r="I132" s="78">
        <v>59</v>
      </c>
      <c r="J132" s="83">
        <v>62.5</v>
      </c>
      <c r="K132" s="83">
        <v>60</v>
      </c>
      <c r="L132" s="83">
        <v>51</v>
      </c>
      <c r="M132" s="83"/>
      <c r="N132" s="89">
        <v>63</v>
      </c>
      <c r="O132" s="94">
        <v>59</v>
      </c>
      <c r="P132" s="50">
        <v>51</v>
      </c>
      <c r="Q132" s="64" t="s">
        <v>621</v>
      </c>
      <c r="R132" s="64" t="s">
        <v>35</v>
      </c>
      <c r="S132" s="64" t="s">
        <v>35</v>
      </c>
      <c r="T132" s="83" t="s">
        <v>38</v>
      </c>
      <c r="U132" s="77" t="s">
        <v>208</v>
      </c>
      <c r="V132" s="105" t="s">
        <v>675</v>
      </c>
      <c r="W132" s="105">
        <v>330404004</v>
      </c>
      <c r="X132" s="106" t="s">
        <v>676</v>
      </c>
      <c r="Y132" s="105" t="s">
        <v>677</v>
      </c>
      <c r="Z132" s="105"/>
      <c r="AA132" s="105" t="s">
        <v>36</v>
      </c>
      <c r="AB132" s="110" t="s">
        <v>35</v>
      </c>
      <c r="AC132" s="50">
        <v>62.5</v>
      </c>
      <c r="AD132" s="50">
        <v>60</v>
      </c>
      <c r="AE132" s="50">
        <v>51</v>
      </c>
      <c r="AF132" s="111">
        <f t="shared" si="5"/>
        <v>0</v>
      </c>
      <c r="AG132" s="111" t="str">
        <f t="shared" si="6"/>
        <v>角膜/结膜拆线费</v>
      </c>
      <c r="AH132" s="111">
        <f t="shared" si="7"/>
        <v>63</v>
      </c>
      <c r="AI132" s="111">
        <f t="shared" si="8"/>
        <v>59</v>
      </c>
      <c r="AJ132" s="111">
        <f t="shared" si="9"/>
        <v>51</v>
      </c>
    </row>
    <row r="133" s="52" customFormat="1" ht="36" customHeight="1" spans="1:36">
      <c r="A133" s="112" t="s">
        <v>95</v>
      </c>
      <c r="B133" s="112" t="s">
        <v>678</v>
      </c>
      <c r="C133" s="64" t="s">
        <v>679</v>
      </c>
      <c r="D133" s="65"/>
      <c r="E133" s="77"/>
      <c r="F133" s="77" t="s">
        <v>35</v>
      </c>
      <c r="G133" s="64" t="s">
        <v>110</v>
      </c>
      <c r="H133" s="78">
        <v>19.5</v>
      </c>
      <c r="I133" s="78">
        <v>18</v>
      </c>
      <c r="J133" s="83">
        <v>18.5</v>
      </c>
      <c r="K133" s="83">
        <v>18</v>
      </c>
      <c r="L133" s="83">
        <v>15</v>
      </c>
      <c r="M133" s="83"/>
      <c r="N133" s="41">
        <v>19</v>
      </c>
      <c r="O133" s="41">
        <v>18</v>
      </c>
      <c r="P133" s="50">
        <v>15</v>
      </c>
      <c r="Q133" s="64" t="s">
        <v>621</v>
      </c>
      <c r="R133" s="64" t="s">
        <v>35</v>
      </c>
      <c r="S133" s="64" t="s">
        <v>35</v>
      </c>
      <c r="T133" s="83"/>
      <c r="U133" s="77" t="s">
        <v>186</v>
      </c>
      <c r="V133" s="105" t="s">
        <v>680</v>
      </c>
      <c r="W133" s="105">
        <v>33040400401</v>
      </c>
      <c r="X133" s="106" t="s">
        <v>681</v>
      </c>
      <c r="Y133" s="105"/>
      <c r="Z133" s="105"/>
      <c r="AA133" s="105" t="s">
        <v>36</v>
      </c>
      <c r="AB133" s="110" t="s">
        <v>35</v>
      </c>
      <c r="AC133" s="50">
        <v>81</v>
      </c>
      <c r="AD133" s="50">
        <v>78</v>
      </c>
      <c r="AE133" s="50">
        <v>66</v>
      </c>
      <c r="AF133" s="111">
        <f t="shared" ref="AF133:AF196" si="10">IFERROR(FIND("-儿童（加收）",C133,1),0)</f>
        <v>9</v>
      </c>
      <c r="AG133" s="111" t="str">
        <f t="shared" ref="AG133:AG196" si="11">SUBSTITUTE(C133,"-儿童（加收）","")</f>
        <v>角膜/结膜拆线费</v>
      </c>
      <c r="AH133" s="111">
        <f t="shared" ref="AH133:AH196" si="12">IF(AF133&gt;0,_xlfn.MAXIFS(N:N,C:C,SUBSTITUTE(C133,"-儿童（加收）","")),0)+N133</f>
        <v>82</v>
      </c>
      <c r="AI133" s="111">
        <f t="shared" ref="AI133:AI196" si="13">IF(AF133&gt;0,_xlfn.MAXIFS(O:O,C:C,SUBSTITUTE(C133,"-儿童（加收）","")),0)+O133</f>
        <v>77</v>
      </c>
      <c r="AJ133" s="111">
        <f t="shared" ref="AJ133:AJ196" si="14">IF(AF133&gt;0,_xlfn.MAXIFS(P:P,C:C,SUBSTITUTE(C133,"-儿童（加收）","")),0)+P133</f>
        <v>66</v>
      </c>
    </row>
    <row r="134" s="52" customFormat="1" ht="25.5" spans="1:36">
      <c r="A134" s="64">
        <v>50</v>
      </c>
      <c r="B134" s="64" t="s">
        <v>684</v>
      </c>
      <c r="C134" s="66" t="s">
        <v>685</v>
      </c>
      <c r="D134" s="65" t="s">
        <v>686</v>
      </c>
      <c r="E134" s="77" t="s">
        <v>687</v>
      </c>
      <c r="F134" s="77" t="s">
        <v>688</v>
      </c>
      <c r="G134" s="64" t="s">
        <v>110</v>
      </c>
      <c r="H134" s="78">
        <v>2000</v>
      </c>
      <c r="I134" s="78">
        <v>1800</v>
      </c>
      <c r="J134" s="83">
        <v>1550.9649122807</v>
      </c>
      <c r="K134" s="83">
        <v>1335.2380952381</v>
      </c>
      <c r="L134" s="83">
        <v>1290</v>
      </c>
      <c r="M134" s="83"/>
      <c r="N134" s="92">
        <v>1800</v>
      </c>
      <c r="O134" s="92">
        <v>1650</v>
      </c>
      <c r="P134" s="95">
        <v>1400</v>
      </c>
      <c r="Q134" s="64" t="s">
        <v>37</v>
      </c>
      <c r="R134" s="64" t="s">
        <v>35</v>
      </c>
      <c r="S134" s="64" t="s">
        <v>35</v>
      </c>
      <c r="T134" s="83" t="s">
        <v>333</v>
      </c>
      <c r="U134" s="77" t="s">
        <v>689</v>
      </c>
      <c r="V134" s="105" t="s">
        <v>690</v>
      </c>
      <c r="W134" s="105">
        <v>330406001</v>
      </c>
      <c r="X134" s="106" t="s">
        <v>691</v>
      </c>
      <c r="Y134" s="105"/>
      <c r="Z134" s="105"/>
      <c r="AA134" s="105" t="s">
        <v>36</v>
      </c>
      <c r="AB134" s="110"/>
      <c r="AC134" s="50">
        <v>750</v>
      </c>
      <c r="AD134" s="50">
        <v>720</v>
      </c>
      <c r="AE134" s="50">
        <v>612</v>
      </c>
      <c r="AF134" s="111">
        <f t="shared" si="10"/>
        <v>0</v>
      </c>
      <c r="AG134" s="111" t="str">
        <f t="shared" si="11"/>
        <v>晶状体摘除费</v>
      </c>
      <c r="AH134" s="111">
        <f t="shared" si="12"/>
        <v>1800</v>
      </c>
      <c r="AI134" s="111">
        <f t="shared" si="13"/>
        <v>1650</v>
      </c>
      <c r="AJ134" s="111">
        <f t="shared" si="14"/>
        <v>1400</v>
      </c>
    </row>
    <row r="135" s="52" customFormat="1" ht="25.5" spans="1:36">
      <c r="A135" s="64"/>
      <c r="B135" s="64"/>
      <c r="C135" s="66" t="s">
        <v>685</v>
      </c>
      <c r="D135" s="65"/>
      <c r="E135" s="77"/>
      <c r="F135" s="77"/>
      <c r="G135" s="64"/>
      <c r="H135" s="42"/>
      <c r="I135" s="42"/>
      <c r="J135" s="83"/>
      <c r="K135" s="83"/>
      <c r="L135" s="83"/>
      <c r="M135" s="83"/>
      <c r="N135" s="92">
        <v>1800</v>
      </c>
      <c r="O135" s="92">
        <v>1650</v>
      </c>
      <c r="P135" s="95">
        <v>1400</v>
      </c>
      <c r="Q135" s="64"/>
      <c r="R135" s="64"/>
      <c r="S135" s="64"/>
      <c r="T135" s="83"/>
      <c r="U135" s="77"/>
      <c r="V135" s="105" t="s">
        <v>692</v>
      </c>
      <c r="W135" s="105">
        <v>330406002</v>
      </c>
      <c r="X135" s="106" t="s">
        <v>693</v>
      </c>
      <c r="Y135" s="105"/>
      <c r="Z135" s="105"/>
      <c r="AA135" s="105" t="s">
        <v>36</v>
      </c>
      <c r="AB135" s="110" t="s">
        <v>35</v>
      </c>
      <c r="AC135" s="50">
        <v>750</v>
      </c>
      <c r="AD135" s="50">
        <v>720</v>
      </c>
      <c r="AE135" s="50">
        <v>612</v>
      </c>
      <c r="AF135" s="111">
        <f t="shared" si="10"/>
        <v>0</v>
      </c>
      <c r="AG135" s="111" t="str">
        <f t="shared" si="11"/>
        <v>晶状体摘除费</v>
      </c>
      <c r="AH135" s="111">
        <f t="shared" si="12"/>
        <v>1800</v>
      </c>
      <c r="AI135" s="111">
        <f t="shared" si="13"/>
        <v>1650</v>
      </c>
      <c r="AJ135" s="111">
        <f t="shared" si="14"/>
        <v>1400</v>
      </c>
    </row>
    <row r="136" s="52" customFormat="1" ht="25.5" spans="1:36">
      <c r="A136" s="64"/>
      <c r="B136" s="64"/>
      <c r="C136" s="66" t="s">
        <v>685</v>
      </c>
      <c r="D136" s="65"/>
      <c r="E136" s="77"/>
      <c r="F136" s="77"/>
      <c r="G136" s="64"/>
      <c r="H136" s="42"/>
      <c r="I136" s="42"/>
      <c r="J136" s="83"/>
      <c r="K136" s="83"/>
      <c r="L136" s="83"/>
      <c r="M136" s="83"/>
      <c r="N136" s="92">
        <v>1800</v>
      </c>
      <c r="O136" s="92">
        <v>1650</v>
      </c>
      <c r="P136" s="95">
        <v>1400</v>
      </c>
      <c r="Q136" s="64"/>
      <c r="R136" s="64"/>
      <c r="S136" s="64"/>
      <c r="T136" s="83"/>
      <c r="U136" s="77"/>
      <c r="V136" s="105" t="s">
        <v>694</v>
      </c>
      <c r="W136" s="105">
        <v>330406003</v>
      </c>
      <c r="X136" s="106" t="s">
        <v>695</v>
      </c>
      <c r="Y136" s="105"/>
      <c r="Z136" s="105"/>
      <c r="AA136" s="105" t="s">
        <v>36</v>
      </c>
      <c r="AB136" s="110"/>
      <c r="AC136" s="50">
        <v>1100</v>
      </c>
      <c r="AD136" s="50">
        <v>990</v>
      </c>
      <c r="AE136" s="50">
        <v>840</v>
      </c>
      <c r="AF136" s="111">
        <f t="shared" si="10"/>
        <v>0</v>
      </c>
      <c r="AG136" s="111" t="str">
        <f t="shared" si="11"/>
        <v>晶状体摘除费</v>
      </c>
      <c r="AH136" s="111">
        <f t="shared" si="12"/>
        <v>1800</v>
      </c>
      <c r="AI136" s="111">
        <f t="shared" si="13"/>
        <v>1650</v>
      </c>
      <c r="AJ136" s="111">
        <f t="shared" si="14"/>
        <v>1400</v>
      </c>
    </row>
    <row r="137" s="52" customFormat="1" ht="25.5" spans="1:36">
      <c r="A137" s="64"/>
      <c r="B137" s="64"/>
      <c r="C137" s="66" t="s">
        <v>685</v>
      </c>
      <c r="D137" s="65"/>
      <c r="E137" s="77"/>
      <c r="F137" s="77"/>
      <c r="G137" s="64"/>
      <c r="H137" s="42"/>
      <c r="I137" s="42"/>
      <c r="J137" s="83"/>
      <c r="K137" s="83"/>
      <c r="L137" s="83"/>
      <c r="M137" s="83"/>
      <c r="N137" s="92">
        <v>1800</v>
      </c>
      <c r="O137" s="92">
        <v>1650</v>
      </c>
      <c r="P137" s="95">
        <v>1400</v>
      </c>
      <c r="Q137" s="64"/>
      <c r="R137" s="64"/>
      <c r="S137" s="64"/>
      <c r="T137" s="83"/>
      <c r="U137" s="77"/>
      <c r="V137" s="105" t="s">
        <v>696</v>
      </c>
      <c r="W137" s="105">
        <v>330406004</v>
      </c>
      <c r="X137" s="106" t="s">
        <v>697</v>
      </c>
      <c r="Y137" s="105"/>
      <c r="Z137" s="105"/>
      <c r="AA137" s="105" t="s">
        <v>36</v>
      </c>
      <c r="AB137" s="110"/>
      <c r="AC137" s="50">
        <v>1010</v>
      </c>
      <c r="AD137" s="50">
        <v>910</v>
      </c>
      <c r="AE137" s="50">
        <v>775</v>
      </c>
      <c r="AF137" s="111">
        <f t="shared" si="10"/>
        <v>0</v>
      </c>
      <c r="AG137" s="111" t="str">
        <f t="shared" si="11"/>
        <v>晶状体摘除费</v>
      </c>
      <c r="AH137" s="111">
        <f t="shared" si="12"/>
        <v>1800</v>
      </c>
      <c r="AI137" s="111">
        <f t="shared" si="13"/>
        <v>1650</v>
      </c>
      <c r="AJ137" s="111">
        <f t="shared" si="14"/>
        <v>1400</v>
      </c>
    </row>
    <row r="138" s="52" customFormat="1" ht="26" customHeight="1" spans="1:36">
      <c r="A138" s="64"/>
      <c r="B138" s="64"/>
      <c r="C138" s="66" t="s">
        <v>685</v>
      </c>
      <c r="D138" s="65"/>
      <c r="E138" s="77"/>
      <c r="F138" s="77"/>
      <c r="G138" s="64"/>
      <c r="H138" s="42"/>
      <c r="I138" s="42"/>
      <c r="J138" s="83"/>
      <c r="K138" s="83"/>
      <c r="L138" s="83"/>
      <c r="M138" s="83"/>
      <c r="N138" s="92">
        <v>1800</v>
      </c>
      <c r="O138" s="92">
        <v>1650</v>
      </c>
      <c r="P138" s="95">
        <v>1400</v>
      </c>
      <c r="Q138" s="64"/>
      <c r="R138" s="64"/>
      <c r="S138" s="64"/>
      <c r="T138" s="83"/>
      <c r="U138" s="77"/>
      <c r="V138" s="105" t="s">
        <v>698</v>
      </c>
      <c r="W138" s="105">
        <v>330406005</v>
      </c>
      <c r="X138" s="106" t="s">
        <v>699</v>
      </c>
      <c r="Y138" s="105" t="s">
        <v>700</v>
      </c>
      <c r="Z138" s="105" t="s">
        <v>701</v>
      </c>
      <c r="AA138" s="105" t="s">
        <v>36</v>
      </c>
      <c r="AB138" s="110"/>
      <c r="AC138" s="50">
        <v>1690</v>
      </c>
      <c r="AD138" s="50">
        <v>1520</v>
      </c>
      <c r="AE138" s="50">
        <v>1290</v>
      </c>
      <c r="AF138" s="111">
        <f t="shared" si="10"/>
        <v>0</v>
      </c>
      <c r="AG138" s="111" t="str">
        <f t="shared" si="11"/>
        <v>晶状体摘除费</v>
      </c>
      <c r="AH138" s="111">
        <f t="shared" si="12"/>
        <v>1800</v>
      </c>
      <c r="AI138" s="111">
        <f t="shared" si="13"/>
        <v>1650</v>
      </c>
      <c r="AJ138" s="111">
        <f t="shared" si="14"/>
        <v>1400</v>
      </c>
    </row>
    <row r="139" s="52" customFormat="1" ht="25.5" spans="1:36">
      <c r="A139" s="64"/>
      <c r="B139" s="64"/>
      <c r="C139" s="66" t="s">
        <v>685</v>
      </c>
      <c r="D139" s="65"/>
      <c r="E139" s="77"/>
      <c r="F139" s="77"/>
      <c r="G139" s="64"/>
      <c r="H139" s="42"/>
      <c r="I139" s="42"/>
      <c r="J139" s="83"/>
      <c r="K139" s="83"/>
      <c r="L139" s="83"/>
      <c r="M139" s="83"/>
      <c r="N139" s="92">
        <v>1800</v>
      </c>
      <c r="O139" s="92">
        <v>1650</v>
      </c>
      <c r="P139" s="95">
        <v>1400</v>
      </c>
      <c r="Q139" s="64"/>
      <c r="R139" s="64"/>
      <c r="S139" s="64"/>
      <c r="T139" s="83"/>
      <c r="U139" s="77"/>
      <c r="V139" s="105" t="s">
        <v>702</v>
      </c>
      <c r="W139" s="105">
        <v>33040600502</v>
      </c>
      <c r="X139" s="106" t="s">
        <v>703</v>
      </c>
      <c r="Y139" s="124"/>
      <c r="Z139" s="124"/>
      <c r="AA139" s="124" t="s">
        <v>36</v>
      </c>
      <c r="AB139" s="110"/>
      <c r="AC139" s="50">
        <v>1690</v>
      </c>
      <c r="AD139" s="50">
        <v>1520</v>
      </c>
      <c r="AE139" s="50">
        <v>1290</v>
      </c>
      <c r="AF139" s="111">
        <f t="shared" si="10"/>
        <v>0</v>
      </c>
      <c r="AG139" s="111" t="str">
        <f t="shared" si="11"/>
        <v>晶状体摘除费</v>
      </c>
      <c r="AH139" s="111">
        <f t="shared" si="12"/>
        <v>1800</v>
      </c>
      <c r="AI139" s="111">
        <f t="shared" si="13"/>
        <v>1650</v>
      </c>
      <c r="AJ139" s="111">
        <f t="shared" si="14"/>
        <v>1400</v>
      </c>
    </row>
    <row r="140" s="52" customFormat="1" ht="25.5" spans="1:36">
      <c r="A140" s="64"/>
      <c r="B140" s="64"/>
      <c r="C140" s="66" t="s">
        <v>685</v>
      </c>
      <c r="D140" s="65"/>
      <c r="E140" s="77"/>
      <c r="F140" s="77"/>
      <c r="G140" s="64"/>
      <c r="H140" s="42"/>
      <c r="I140" s="42"/>
      <c r="J140" s="83"/>
      <c r="K140" s="83"/>
      <c r="L140" s="83"/>
      <c r="M140" s="83"/>
      <c r="N140" s="92">
        <v>1800</v>
      </c>
      <c r="O140" s="92">
        <v>1650</v>
      </c>
      <c r="P140" s="95">
        <v>1400</v>
      </c>
      <c r="Q140" s="64"/>
      <c r="R140" s="64"/>
      <c r="S140" s="64"/>
      <c r="T140" s="83"/>
      <c r="U140" s="77"/>
      <c r="V140" s="105" t="s">
        <v>704</v>
      </c>
      <c r="W140" s="105">
        <v>310300082</v>
      </c>
      <c r="X140" s="105" t="s">
        <v>705</v>
      </c>
      <c r="Y140" s="105" t="s">
        <v>706</v>
      </c>
      <c r="Z140" s="105"/>
      <c r="AA140" s="105" t="s">
        <v>36</v>
      </c>
      <c r="AB140" s="110" t="s">
        <v>35</v>
      </c>
      <c r="AC140" s="50"/>
      <c r="AD140" s="50"/>
      <c r="AE140" s="50"/>
      <c r="AF140" s="111">
        <f t="shared" si="10"/>
        <v>0</v>
      </c>
      <c r="AG140" s="111" t="str">
        <f t="shared" si="11"/>
        <v>晶状体摘除费</v>
      </c>
      <c r="AH140" s="111">
        <f t="shared" si="12"/>
        <v>1800</v>
      </c>
      <c r="AI140" s="111">
        <f t="shared" si="13"/>
        <v>1650</v>
      </c>
      <c r="AJ140" s="111">
        <f t="shared" si="14"/>
        <v>1400</v>
      </c>
    </row>
    <row r="141" s="55" customFormat="1" ht="24" customHeight="1" spans="1:36">
      <c r="A141" s="64" t="s">
        <v>95</v>
      </c>
      <c r="B141" s="163" t="s">
        <v>707</v>
      </c>
      <c r="C141" s="66" t="s">
        <v>708</v>
      </c>
      <c r="D141" s="122"/>
      <c r="E141" s="64"/>
      <c r="F141" s="64" t="s">
        <v>35</v>
      </c>
      <c r="G141" s="64" t="s">
        <v>110</v>
      </c>
      <c r="H141" s="78">
        <v>600</v>
      </c>
      <c r="I141" s="78">
        <v>540</v>
      </c>
      <c r="J141" s="83"/>
      <c r="K141" s="83"/>
      <c r="L141" s="83"/>
      <c r="M141" s="83"/>
      <c r="N141" s="91">
        <v>540</v>
      </c>
      <c r="O141" s="91">
        <v>495</v>
      </c>
      <c r="P141" s="93">
        <v>420</v>
      </c>
      <c r="Q141" s="64" t="s">
        <v>37</v>
      </c>
      <c r="R141" s="64" t="s">
        <v>35</v>
      </c>
      <c r="S141" s="64" t="s">
        <v>35</v>
      </c>
      <c r="T141" s="83"/>
      <c r="U141" s="77"/>
      <c r="V141" s="105" t="s">
        <v>709</v>
      </c>
      <c r="W141" s="105">
        <v>33040600101</v>
      </c>
      <c r="X141" s="106" t="s">
        <v>710</v>
      </c>
      <c r="Y141" s="105"/>
      <c r="Z141" s="105"/>
      <c r="AA141" s="105" t="s">
        <v>36</v>
      </c>
      <c r="AB141" s="110" t="s">
        <v>35</v>
      </c>
      <c r="AC141" s="50">
        <v>975</v>
      </c>
      <c r="AD141" s="50">
        <v>935</v>
      </c>
      <c r="AE141" s="50">
        <v>795</v>
      </c>
      <c r="AF141" s="111">
        <f t="shared" si="10"/>
        <v>7</v>
      </c>
      <c r="AG141" s="111" t="str">
        <f t="shared" si="11"/>
        <v>晶状体摘除费</v>
      </c>
      <c r="AH141" s="111">
        <f t="shared" si="12"/>
        <v>2340</v>
      </c>
      <c r="AI141" s="111">
        <f t="shared" si="13"/>
        <v>2145</v>
      </c>
      <c r="AJ141" s="111">
        <f t="shared" si="14"/>
        <v>1820</v>
      </c>
    </row>
    <row r="142" s="55" customFormat="1" ht="24" customHeight="1" spans="1:36">
      <c r="A142" s="64"/>
      <c r="B142" s="64"/>
      <c r="C142" s="66" t="s">
        <v>708</v>
      </c>
      <c r="D142" s="122"/>
      <c r="E142" s="64"/>
      <c r="F142" s="64"/>
      <c r="G142" s="64"/>
      <c r="H142" s="42"/>
      <c r="I142" s="42"/>
      <c r="J142" s="83"/>
      <c r="K142" s="83"/>
      <c r="L142" s="83"/>
      <c r="M142" s="83"/>
      <c r="N142" s="91">
        <v>540</v>
      </c>
      <c r="O142" s="91">
        <v>495</v>
      </c>
      <c r="P142" s="93">
        <v>420</v>
      </c>
      <c r="Q142" s="64"/>
      <c r="R142" s="64"/>
      <c r="S142" s="64"/>
      <c r="T142" s="83"/>
      <c r="U142" s="77"/>
      <c r="V142" s="105" t="s">
        <v>711</v>
      </c>
      <c r="W142" s="105">
        <v>33040600201</v>
      </c>
      <c r="X142" s="106" t="s">
        <v>712</v>
      </c>
      <c r="Y142" s="105"/>
      <c r="Z142" s="105"/>
      <c r="AA142" s="105" t="s">
        <v>36</v>
      </c>
      <c r="AB142" s="110" t="s">
        <v>35</v>
      </c>
      <c r="AC142" s="50">
        <v>975</v>
      </c>
      <c r="AD142" s="50">
        <v>935</v>
      </c>
      <c r="AE142" s="50">
        <v>795</v>
      </c>
      <c r="AF142" s="111">
        <f t="shared" si="10"/>
        <v>7</v>
      </c>
      <c r="AG142" s="111" t="str">
        <f t="shared" si="11"/>
        <v>晶状体摘除费</v>
      </c>
      <c r="AH142" s="111">
        <f t="shared" si="12"/>
        <v>2340</v>
      </c>
      <c r="AI142" s="111">
        <f t="shared" si="13"/>
        <v>2145</v>
      </c>
      <c r="AJ142" s="111">
        <f t="shared" si="14"/>
        <v>1820</v>
      </c>
    </row>
    <row r="143" s="55" customFormat="1" ht="24" customHeight="1" spans="1:36">
      <c r="A143" s="64"/>
      <c r="B143" s="64"/>
      <c r="C143" s="66" t="s">
        <v>708</v>
      </c>
      <c r="D143" s="122"/>
      <c r="E143" s="64"/>
      <c r="F143" s="64"/>
      <c r="G143" s="64"/>
      <c r="H143" s="42"/>
      <c r="I143" s="42"/>
      <c r="J143" s="83"/>
      <c r="K143" s="83"/>
      <c r="L143" s="83"/>
      <c r="M143" s="83"/>
      <c r="N143" s="91">
        <v>540</v>
      </c>
      <c r="O143" s="91">
        <v>495</v>
      </c>
      <c r="P143" s="93">
        <v>420</v>
      </c>
      <c r="Q143" s="64"/>
      <c r="R143" s="64"/>
      <c r="S143" s="64"/>
      <c r="T143" s="83"/>
      <c r="U143" s="77"/>
      <c r="V143" s="105" t="s">
        <v>713</v>
      </c>
      <c r="W143" s="105">
        <v>33040600301</v>
      </c>
      <c r="X143" s="106" t="s">
        <v>714</v>
      </c>
      <c r="Y143" s="105"/>
      <c r="Z143" s="105"/>
      <c r="AA143" s="105" t="s">
        <v>36</v>
      </c>
      <c r="AB143" s="110" t="s">
        <v>35</v>
      </c>
      <c r="AC143" s="50">
        <v>1430</v>
      </c>
      <c r="AD143" s="50">
        <v>1285</v>
      </c>
      <c r="AE143" s="50">
        <v>1090</v>
      </c>
      <c r="AF143" s="111">
        <f t="shared" si="10"/>
        <v>7</v>
      </c>
      <c r="AG143" s="111" t="str">
        <f t="shared" si="11"/>
        <v>晶状体摘除费</v>
      </c>
      <c r="AH143" s="111">
        <f t="shared" si="12"/>
        <v>2340</v>
      </c>
      <c r="AI143" s="111">
        <f t="shared" si="13"/>
        <v>2145</v>
      </c>
      <c r="AJ143" s="111">
        <f t="shared" si="14"/>
        <v>1820</v>
      </c>
    </row>
    <row r="144" s="55" customFormat="1" ht="24" customHeight="1" spans="1:36">
      <c r="A144" s="64"/>
      <c r="B144" s="64"/>
      <c r="C144" s="66" t="s">
        <v>708</v>
      </c>
      <c r="D144" s="122"/>
      <c r="E144" s="64"/>
      <c r="F144" s="64"/>
      <c r="G144" s="64"/>
      <c r="H144" s="42"/>
      <c r="I144" s="42"/>
      <c r="J144" s="83"/>
      <c r="K144" s="83"/>
      <c r="L144" s="83"/>
      <c r="M144" s="83"/>
      <c r="N144" s="91">
        <v>540</v>
      </c>
      <c r="O144" s="91">
        <v>495</v>
      </c>
      <c r="P144" s="93">
        <v>420</v>
      </c>
      <c r="Q144" s="64"/>
      <c r="R144" s="64"/>
      <c r="S144" s="64"/>
      <c r="T144" s="83"/>
      <c r="U144" s="77"/>
      <c r="V144" s="105" t="s">
        <v>715</v>
      </c>
      <c r="W144" s="105">
        <v>33040600401</v>
      </c>
      <c r="X144" s="106" t="s">
        <v>716</v>
      </c>
      <c r="Y144" s="105"/>
      <c r="Z144" s="105"/>
      <c r="AA144" s="105" t="s">
        <v>36</v>
      </c>
      <c r="AB144" s="110" t="s">
        <v>35</v>
      </c>
      <c r="AC144" s="50">
        <v>1315</v>
      </c>
      <c r="AD144" s="50">
        <v>1185</v>
      </c>
      <c r="AE144" s="50">
        <v>1005</v>
      </c>
      <c r="AF144" s="111">
        <f t="shared" si="10"/>
        <v>7</v>
      </c>
      <c r="AG144" s="111" t="str">
        <f t="shared" si="11"/>
        <v>晶状体摘除费</v>
      </c>
      <c r="AH144" s="111">
        <f t="shared" si="12"/>
        <v>2340</v>
      </c>
      <c r="AI144" s="111">
        <f t="shared" si="13"/>
        <v>2145</v>
      </c>
      <c r="AJ144" s="111">
        <f t="shared" si="14"/>
        <v>1820</v>
      </c>
    </row>
    <row r="145" s="55" customFormat="1" ht="24" customHeight="1" spans="1:36">
      <c r="A145" s="64"/>
      <c r="B145" s="64"/>
      <c r="C145" s="66" t="s">
        <v>708</v>
      </c>
      <c r="D145" s="122"/>
      <c r="E145" s="64"/>
      <c r="F145" s="64"/>
      <c r="G145" s="64"/>
      <c r="H145" s="42"/>
      <c r="I145" s="42"/>
      <c r="J145" s="83"/>
      <c r="K145" s="83"/>
      <c r="L145" s="83"/>
      <c r="M145" s="83"/>
      <c r="N145" s="91">
        <v>540</v>
      </c>
      <c r="O145" s="91">
        <v>495</v>
      </c>
      <c r="P145" s="93">
        <v>420</v>
      </c>
      <c r="Q145" s="64"/>
      <c r="R145" s="64"/>
      <c r="S145" s="64"/>
      <c r="T145" s="83"/>
      <c r="U145" s="77"/>
      <c r="V145" s="105" t="s">
        <v>717</v>
      </c>
      <c r="W145" s="105">
        <v>33040600501</v>
      </c>
      <c r="X145" s="106" t="s">
        <v>718</v>
      </c>
      <c r="Y145" s="105"/>
      <c r="Z145" s="105"/>
      <c r="AA145" s="105" t="s">
        <v>36</v>
      </c>
      <c r="AB145" s="110" t="s">
        <v>35</v>
      </c>
      <c r="AC145" s="50">
        <v>2195</v>
      </c>
      <c r="AD145" s="50">
        <v>1975</v>
      </c>
      <c r="AE145" s="50">
        <v>1680</v>
      </c>
      <c r="AF145" s="111">
        <f t="shared" si="10"/>
        <v>7</v>
      </c>
      <c r="AG145" s="111" t="str">
        <f t="shared" si="11"/>
        <v>晶状体摘除费</v>
      </c>
      <c r="AH145" s="111">
        <f t="shared" si="12"/>
        <v>2340</v>
      </c>
      <c r="AI145" s="111">
        <f t="shared" si="13"/>
        <v>2145</v>
      </c>
      <c r="AJ145" s="111">
        <f t="shared" si="14"/>
        <v>1820</v>
      </c>
    </row>
    <row r="146" s="55" customFormat="1" ht="24" customHeight="1" spans="1:36">
      <c r="A146" s="64"/>
      <c r="B146" s="64"/>
      <c r="C146" s="66" t="s">
        <v>708</v>
      </c>
      <c r="D146" s="122"/>
      <c r="E146" s="64"/>
      <c r="F146" s="64"/>
      <c r="G146" s="64"/>
      <c r="H146" s="42"/>
      <c r="I146" s="42"/>
      <c r="J146" s="83"/>
      <c r="K146" s="83"/>
      <c r="L146" s="83"/>
      <c r="M146" s="83"/>
      <c r="N146" s="91">
        <v>540</v>
      </c>
      <c r="O146" s="91">
        <v>495</v>
      </c>
      <c r="P146" s="93">
        <v>420</v>
      </c>
      <c r="Q146" s="64"/>
      <c r="R146" s="64"/>
      <c r="S146" s="64"/>
      <c r="T146" s="83"/>
      <c r="U146" s="77"/>
      <c r="V146" s="105" t="s">
        <v>719</v>
      </c>
      <c r="W146" s="105">
        <v>33040600503</v>
      </c>
      <c r="X146" s="106" t="s">
        <v>720</v>
      </c>
      <c r="Y146" s="124"/>
      <c r="Z146" s="124"/>
      <c r="AA146" s="124" t="s">
        <v>36</v>
      </c>
      <c r="AB146" s="110" t="s">
        <v>35</v>
      </c>
      <c r="AC146" s="50">
        <v>2195</v>
      </c>
      <c r="AD146" s="50">
        <v>1975</v>
      </c>
      <c r="AE146" s="50">
        <v>1680</v>
      </c>
      <c r="AF146" s="111">
        <f t="shared" si="10"/>
        <v>7</v>
      </c>
      <c r="AG146" s="111" t="str">
        <f t="shared" si="11"/>
        <v>晶状体摘除费</v>
      </c>
      <c r="AH146" s="111">
        <f t="shared" si="12"/>
        <v>2340</v>
      </c>
      <c r="AI146" s="111">
        <f t="shared" si="13"/>
        <v>2145</v>
      </c>
      <c r="AJ146" s="111">
        <f t="shared" si="14"/>
        <v>1820</v>
      </c>
    </row>
    <row r="147" s="55" customFormat="1" ht="42" customHeight="1" spans="1:36">
      <c r="A147" s="64" t="s">
        <v>95</v>
      </c>
      <c r="B147" s="163" t="s">
        <v>707</v>
      </c>
      <c r="C147" s="64" t="s">
        <v>721</v>
      </c>
      <c r="D147" s="65"/>
      <c r="E147" s="77"/>
      <c r="F147" s="77"/>
      <c r="G147" s="64" t="s">
        <v>110</v>
      </c>
      <c r="H147" s="42">
        <v>330</v>
      </c>
      <c r="I147" s="42">
        <v>297</v>
      </c>
      <c r="J147" s="83">
        <v>315</v>
      </c>
      <c r="K147" s="83">
        <v>300</v>
      </c>
      <c r="L147" s="83">
        <v>255</v>
      </c>
      <c r="M147" s="83"/>
      <c r="N147" s="41">
        <v>315</v>
      </c>
      <c r="O147" s="41">
        <v>295</v>
      </c>
      <c r="P147" s="50">
        <v>255</v>
      </c>
      <c r="Q147" s="64"/>
      <c r="R147" s="64"/>
      <c r="S147" s="64"/>
      <c r="T147" s="83"/>
      <c r="U147" s="77" t="s">
        <v>381</v>
      </c>
      <c r="V147" s="105" t="s">
        <v>722</v>
      </c>
      <c r="W147" s="105">
        <v>310300090</v>
      </c>
      <c r="X147" s="106" t="s">
        <v>723</v>
      </c>
      <c r="Y147" s="105"/>
      <c r="Z147" s="105"/>
      <c r="AA147" s="105" t="s">
        <v>36</v>
      </c>
      <c r="AB147" s="110" t="s">
        <v>497</v>
      </c>
      <c r="AC147" s="50">
        <v>315</v>
      </c>
      <c r="AD147" s="50">
        <v>300</v>
      </c>
      <c r="AE147" s="50">
        <v>255</v>
      </c>
      <c r="AF147" s="111">
        <f t="shared" si="10"/>
        <v>0</v>
      </c>
      <c r="AG147" s="111" t="str">
        <f t="shared" si="11"/>
        <v>晶状体摘除费-晶体囊截开术</v>
      </c>
      <c r="AH147" s="111">
        <f t="shared" si="12"/>
        <v>315</v>
      </c>
      <c r="AI147" s="111">
        <f t="shared" si="13"/>
        <v>295</v>
      </c>
      <c r="AJ147" s="111">
        <f t="shared" si="14"/>
        <v>255</v>
      </c>
    </row>
    <row r="148" s="52" customFormat="1" ht="75" customHeight="1" spans="1:36">
      <c r="A148" s="112">
        <v>51</v>
      </c>
      <c r="B148" s="112" t="s">
        <v>724</v>
      </c>
      <c r="C148" s="64" t="s">
        <v>725</v>
      </c>
      <c r="D148" s="65" t="s">
        <v>726</v>
      </c>
      <c r="E148" s="77" t="s">
        <v>687</v>
      </c>
      <c r="F148" s="77" t="s">
        <v>35</v>
      </c>
      <c r="G148" s="64" t="s">
        <v>110</v>
      </c>
      <c r="H148" s="78">
        <v>1340</v>
      </c>
      <c r="I148" s="78">
        <v>1206</v>
      </c>
      <c r="J148" s="83">
        <v>1180</v>
      </c>
      <c r="K148" s="83">
        <v>1060</v>
      </c>
      <c r="L148" s="83">
        <v>900</v>
      </c>
      <c r="M148" s="83"/>
      <c r="N148" s="41">
        <v>1180</v>
      </c>
      <c r="O148" s="41">
        <v>1060</v>
      </c>
      <c r="P148" s="50">
        <v>900</v>
      </c>
      <c r="Q148" s="64" t="s">
        <v>37</v>
      </c>
      <c r="R148" s="64" t="s">
        <v>35</v>
      </c>
      <c r="S148" s="64" t="s">
        <v>35</v>
      </c>
      <c r="T148" s="83" t="s">
        <v>381</v>
      </c>
      <c r="U148" s="77" t="s">
        <v>381</v>
      </c>
      <c r="V148" s="105" t="s">
        <v>727</v>
      </c>
      <c r="W148" s="105">
        <v>330406012</v>
      </c>
      <c r="X148" s="106" t="s">
        <v>728</v>
      </c>
      <c r="Y148" s="105"/>
      <c r="Z148" s="105"/>
      <c r="AA148" s="105" t="s">
        <v>36</v>
      </c>
      <c r="AB148" s="110" t="s">
        <v>35</v>
      </c>
      <c r="AC148" s="50">
        <v>1180</v>
      </c>
      <c r="AD148" s="50">
        <v>1060</v>
      </c>
      <c r="AE148" s="50">
        <v>900</v>
      </c>
      <c r="AF148" s="111">
        <f t="shared" si="10"/>
        <v>0</v>
      </c>
      <c r="AG148" s="111" t="str">
        <f t="shared" si="11"/>
        <v>人工晶状体取出费</v>
      </c>
      <c r="AH148" s="111">
        <f t="shared" si="12"/>
        <v>1180</v>
      </c>
      <c r="AI148" s="111">
        <f t="shared" si="13"/>
        <v>1060</v>
      </c>
      <c r="AJ148" s="111">
        <f t="shared" si="14"/>
        <v>900</v>
      </c>
    </row>
    <row r="149" s="52" customFormat="1" ht="44" customHeight="1" spans="1:36">
      <c r="A149" s="112" t="s">
        <v>95</v>
      </c>
      <c r="B149" s="112" t="s">
        <v>729</v>
      </c>
      <c r="C149" s="64" t="s">
        <v>730</v>
      </c>
      <c r="D149" s="65"/>
      <c r="E149" s="77"/>
      <c r="F149" s="77" t="s">
        <v>35</v>
      </c>
      <c r="G149" s="64" t="s">
        <v>110</v>
      </c>
      <c r="H149" s="78">
        <v>402</v>
      </c>
      <c r="I149" s="78">
        <v>362</v>
      </c>
      <c r="J149" s="83"/>
      <c r="K149" s="83"/>
      <c r="L149" s="83"/>
      <c r="M149" s="83"/>
      <c r="N149" s="41">
        <v>355</v>
      </c>
      <c r="O149" s="41">
        <v>320</v>
      </c>
      <c r="P149" s="96">
        <v>270</v>
      </c>
      <c r="Q149" s="64" t="s">
        <v>37</v>
      </c>
      <c r="R149" s="64" t="s">
        <v>35</v>
      </c>
      <c r="S149" s="64" t="s">
        <v>35</v>
      </c>
      <c r="T149" s="83"/>
      <c r="U149" s="77" t="s">
        <v>186</v>
      </c>
      <c r="V149" s="105" t="s">
        <v>731</v>
      </c>
      <c r="W149" s="105">
        <v>33040601201</v>
      </c>
      <c r="X149" s="106" t="s">
        <v>732</v>
      </c>
      <c r="Y149" s="105"/>
      <c r="Z149" s="105"/>
      <c r="AA149" s="105" t="s">
        <v>36</v>
      </c>
      <c r="AB149" s="110" t="s">
        <v>35</v>
      </c>
      <c r="AC149" s="50">
        <v>1535</v>
      </c>
      <c r="AD149" s="50">
        <v>1380</v>
      </c>
      <c r="AE149" s="50">
        <v>1175</v>
      </c>
      <c r="AF149" s="111">
        <f t="shared" si="10"/>
        <v>9</v>
      </c>
      <c r="AG149" s="111" t="str">
        <f t="shared" si="11"/>
        <v>人工晶状体取出费</v>
      </c>
      <c r="AH149" s="111">
        <f t="shared" si="12"/>
        <v>1535</v>
      </c>
      <c r="AI149" s="111">
        <f t="shared" si="13"/>
        <v>1380</v>
      </c>
      <c r="AJ149" s="111">
        <f t="shared" si="14"/>
        <v>1170</v>
      </c>
    </row>
    <row r="150" s="52" customFormat="1" ht="69" customHeight="1" spans="1:36">
      <c r="A150" s="112">
        <v>52</v>
      </c>
      <c r="B150" s="112" t="s">
        <v>733</v>
      </c>
      <c r="C150" s="64" t="s">
        <v>734</v>
      </c>
      <c r="D150" s="65" t="s">
        <v>735</v>
      </c>
      <c r="E150" s="77" t="s">
        <v>736</v>
      </c>
      <c r="F150" s="77" t="s">
        <v>737</v>
      </c>
      <c r="G150" s="64" t="s">
        <v>110</v>
      </c>
      <c r="H150" s="78">
        <v>1600</v>
      </c>
      <c r="I150" s="78">
        <v>1440</v>
      </c>
      <c r="J150" s="83">
        <v>1180</v>
      </c>
      <c r="K150" s="83">
        <v>1060</v>
      </c>
      <c r="L150" s="83">
        <v>900</v>
      </c>
      <c r="M150" s="83"/>
      <c r="N150" s="94">
        <v>1420</v>
      </c>
      <c r="O150" s="94">
        <v>1280</v>
      </c>
      <c r="P150" s="96">
        <v>1090</v>
      </c>
      <c r="Q150" s="64" t="s">
        <v>37</v>
      </c>
      <c r="R150" s="64" t="s">
        <v>35</v>
      </c>
      <c r="S150" s="64" t="s">
        <v>35</v>
      </c>
      <c r="T150" s="83"/>
      <c r="U150" s="77" t="s">
        <v>738</v>
      </c>
      <c r="V150" s="105" t="s">
        <v>739</v>
      </c>
      <c r="W150" s="105">
        <v>330406009</v>
      </c>
      <c r="X150" s="106" t="s">
        <v>740</v>
      </c>
      <c r="Y150" s="105"/>
      <c r="Z150" s="105"/>
      <c r="AA150" s="105" t="s">
        <v>36</v>
      </c>
      <c r="AB150" s="110" t="s">
        <v>35</v>
      </c>
      <c r="AC150" s="50">
        <v>1180</v>
      </c>
      <c r="AD150" s="50">
        <v>1060</v>
      </c>
      <c r="AE150" s="50">
        <v>900</v>
      </c>
      <c r="AF150" s="111">
        <f t="shared" si="10"/>
        <v>0</v>
      </c>
      <c r="AG150" s="111" t="str">
        <f t="shared" si="11"/>
        <v>人工晶状体植入费（常规）</v>
      </c>
      <c r="AH150" s="111">
        <f t="shared" si="12"/>
        <v>1420</v>
      </c>
      <c r="AI150" s="111">
        <f t="shared" si="13"/>
        <v>1280</v>
      </c>
      <c r="AJ150" s="111">
        <f t="shared" si="14"/>
        <v>1090</v>
      </c>
    </row>
    <row r="151" s="52" customFormat="1" ht="30" customHeight="1" spans="1:36">
      <c r="A151" s="112" t="s">
        <v>95</v>
      </c>
      <c r="B151" s="112" t="s">
        <v>741</v>
      </c>
      <c r="C151" s="64" t="s">
        <v>742</v>
      </c>
      <c r="D151" s="65"/>
      <c r="E151" s="77"/>
      <c r="F151" s="77" t="s">
        <v>35</v>
      </c>
      <c r="G151" s="64" t="s">
        <v>110</v>
      </c>
      <c r="H151" s="78">
        <v>480</v>
      </c>
      <c r="I151" s="78">
        <v>432</v>
      </c>
      <c r="J151" s="83">
        <v>355</v>
      </c>
      <c r="K151" s="83">
        <v>320</v>
      </c>
      <c r="L151" s="83">
        <v>275</v>
      </c>
      <c r="M151" s="83"/>
      <c r="N151" s="94">
        <v>425</v>
      </c>
      <c r="O151" s="94">
        <v>385</v>
      </c>
      <c r="P151" s="96">
        <v>325</v>
      </c>
      <c r="Q151" s="64" t="s">
        <v>37</v>
      </c>
      <c r="R151" s="64" t="s">
        <v>35</v>
      </c>
      <c r="S151" s="64" t="s">
        <v>35</v>
      </c>
      <c r="T151" s="83"/>
      <c r="U151" s="77" t="s">
        <v>186</v>
      </c>
      <c r="V151" s="105" t="s">
        <v>743</v>
      </c>
      <c r="W151" s="105">
        <v>33040600901</v>
      </c>
      <c r="X151" s="106" t="s">
        <v>744</v>
      </c>
      <c r="Y151" s="105"/>
      <c r="Z151" s="105"/>
      <c r="AA151" s="105" t="s">
        <v>36</v>
      </c>
      <c r="AB151" s="110" t="s">
        <v>35</v>
      </c>
      <c r="AC151" s="50">
        <v>1535</v>
      </c>
      <c r="AD151" s="50">
        <v>1380</v>
      </c>
      <c r="AE151" s="50">
        <v>1175</v>
      </c>
      <c r="AF151" s="111">
        <f t="shared" si="10"/>
        <v>13</v>
      </c>
      <c r="AG151" s="111" t="str">
        <f t="shared" si="11"/>
        <v>人工晶状体植入费（常规）</v>
      </c>
      <c r="AH151" s="111">
        <f t="shared" si="12"/>
        <v>1845</v>
      </c>
      <c r="AI151" s="111">
        <f t="shared" si="13"/>
        <v>1665</v>
      </c>
      <c r="AJ151" s="111">
        <f t="shared" si="14"/>
        <v>1415</v>
      </c>
    </row>
    <row r="152" s="55" customFormat="1" ht="29" customHeight="1" spans="1:36">
      <c r="A152" s="64">
        <v>53</v>
      </c>
      <c r="B152" s="64" t="s">
        <v>745</v>
      </c>
      <c r="C152" s="66" t="s">
        <v>746</v>
      </c>
      <c r="D152" s="65" t="s">
        <v>747</v>
      </c>
      <c r="E152" s="77" t="s">
        <v>748</v>
      </c>
      <c r="F152" s="77" t="s">
        <v>749</v>
      </c>
      <c r="G152" s="64" t="s">
        <v>110</v>
      </c>
      <c r="H152" s="78">
        <v>2400</v>
      </c>
      <c r="I152" s="78">
        <v>2160</v>
      </c>
      <c r="J152" s="83">
        <v>2311.83673469388</v>
      </c>
      <c r="K152" s="83">
        <v>2120</v>
      </c>
      <c r="L152" s="83" t="e">
        <v>#DIV/0!</v>
      </c>
      <c r="M152" s="83"/>
      <c r="N152" s="113">
        <v>2130</v>
      </c>
      <c r="O152" s="113">
        <v>1920</v>
      </c>
      <c r="P152" s="114">
        <v>1635</v>
      </c>
      <c r="Q152" s="64" t="s">
        <v>37</v>
      </c>
      <c r="R152" s="64" t="s">
        <v>35</v>
      </c>
      <c r="S152" s="64" t="s">
        <v>35</v>
      </c>
      <c r="T152" s="83"/>
      <c r="U152" s="77" t="s">
        <v>750</v>
      </c>
      <c r="V152" s="105" t="s">
        <v>751</v>
      </c>
      <c r="W152" s="105">
        <v>330406021</v>
      </c>
      <c r="X152" s="106" t="s">
        <v>752</v>
      </c>
      <c r="Y152" s="105"/>
      <c r="Z152" s="105"/>
      <c r="AA152" s="105" t="s">
        <v>110</v>
      </c>
      <c r="AB152" s="110" t="s">
        <v>35</v>
      </c>
      <c r="AC152" s="50">
        <v>2360</v>
      </c>
      <c r="AD152" s="50">
        <v>2120</v>
      </c>
      <c r="AE152" s="50">
        <v>1800</v>
      </c>
      <c r="AF152" s="111">
        <f t="shared" si="10"/>
        <v>0</v>
      </c>
      <c r="AG152" s="111" t="str">
        <f t="shared" si="11"/>
        <v>人工晶状体植入费（复杂）</v>
      </c>
      <c r="AH152" s="111">
        <f t="shared" si="12"/>
        <v>2130</v>
      </c>
      <c r="AI152" s="111">
        <f t="shared" si="13"/>
        <v>1920</v>
      </c>
      <c r="AJ152" s="111">
        <f t="shared" si="14"/>
        <v>1635</v>
      </c>
    </row>
    <row r="153" s="55" customFormat="1" ht="29" customHeight="1" spans="1:36">
      <c r="A153" s="64"/>
      <c r="B153" s="64"/>
      <c r="C153" s="66" t="s">
        <v>746</v>
      </c>
      <c r="D153" s="65"/>
      <c r="E153" s="77"/>
      <c r="F153" s="77"/>
      <c r="G153" s="64"/>
      <c r="H153" s="42"/>
      <c r="I153" s="42"/>
      <c r="J153" s="83"/>
      <c r="K153" s="83"/>
      <c r="L153" s="83"/>
      <c r="M153" s="83"/>
      <c r="N153" s="113">
        <v>2130</v>
      </c>
      <c r="O153" s="113">
        <v>1920</v>
      </c>
      <c r="P153" s="114">
        <v>1635</v>
      </c>
      <c r="Q153" s="64"/>
      <c r="R153" s="64"/>
      <c r="S153" s="64"/>
      <c r="T153" s="83"/>
      <c r="U153" s="77"/>
      <c r="V153" s="105" t="s">
        <v>753</v>
      </c>
      <c r="W153" s="105">
        <v>330406011</v>
      </c>
      <c r="X153" s="106" t="s">
        <v>754</v>
      </c>
      <c r="Y153" s="105"/>
      <c r="Z153" s="105"/>
      <c r="AA153" s="105" t="s">
        <v>36</v>
      </c>
      <c r="AB153" s="110" t="s">
        <v>35</v>
      </c>
      <c r="AC153" s="50">
        <v>1180</v>
      </c>
      <c r="AD153" s="50">
        <v>1060</v>
      </c>
      <c r="AE153" s="50">
        <v>900</v>
      </c>
      <c r="AF153" s="111">
        <f t="shared" si="10"/>
        <v>0</v>
      </c>
      <c r="AG153" s="111" t="str">
        <f t="shared" si="11"/>
        <v>人工晶状体植入费（复杂）</v>
      </c>
      <c r="AH153" s="111">
        <f t="shared" si="12"/>
        <v>2130</v>
      </c>
      <c r="AI153" s="111">
        <f t="shared" si="13"/>
        <v>1920</v>
      </c>
      <c r="AJ153" s="111">
        <f t="shared" si="14"/>
        <v>1635</v>
      </c>
    </row>
    <row r="154" s="55" customFormat="1" ht="25.5" spans="1:36">
      <c r="A154" s="64" t="s">
        <v>95</v>
      </c>
      <c r="B154" s="64" t="s">
        <v>755</v>
      </c>
      <c r="C154" s="66" t="s">
        <v>756</v>
      </c>
      <c r="D154" s="65"/>
      <c r="E154" s="77"/>
      <c r="F154" s="77" t="s">
        <v>35</v>
      </c>
      <c r="G154" s="64" t="s">
        <v>110</v>
      </c>
      <c r="H154" s="78">
        <v>720</v>
      </c>
      <c r="I154" s="78">
        <v>648</v>
      </c>
      <c r="J154" s="83">
        <v>940</v>
      </c>
      <c r="K154" s="83"/>
      <c r="L154" s="83"/>
      <c r="M154" s="83"/>
      <c r="N154" s="91">
        <v>640</v>
      </c>
      <c r="O154" s="91">
        <v>575</v>
      </c>
      <c r="P154" s="93">
        <v>490</v>
      </c>
      <c r="Q154" s="64" t="s">
        <v>37</v>
      </c>
      <c r="R154" s="64" t="s">
        <v>35</v>
      </c>
      <c r="S154" s="64" t="s">
        <v>35</v>
      </c>
      <c r="T154" s="83"/>
      <c r="U154" s="77" t="s">
        <v>186</v>
      </c>
      <c r="V154" s="105" t="s">
        <v>757</v>
      </c>
      <c r="W154" s="105">
        <v>33040602001</v>
      </c>
      <c r="X154" s="106" t="s">
        <v>758</v>
      </c>
      <c r="Y154" s="105"/>
      <c r="Z154" s="105"/>
      <c r="AA154" s="105" t="s">
        <v>110</v>
      </c>
      <c r="AB154" s="110" t="s">
        <v>35</v>
      </c>
      <c r="AC154" s="50">
        <v>975</v>
      </c>
      <c r="AD154" s="50">
        <v>935</v>
      </c>
      <c r="AE154" s="50">
        <v>795</v>
      </c>
      <c r="AF154" s="111">
        <f t="shared" si="10"/>
        <v>13</v>
      </c>
      <c r="AG154" s="111" t="str">
        <f t="shared" si="11"/>
        <v>人工晶状体植入费（复杂）</v>
      </c>
      <c r="AH154" s="111">
        <f t="shared" si="12"/>
        <v>2770</v>
      </c>
      <c r="AI154" s="111">
        <f t="shared" si="13"/>
        <v>2495</v>
      </c>
      <c r="AJ154" s="111">
        <f t="shared" si="14"/>
        <v>2125</v>
      </c>
    </row>
    <row r="155" s="55" customFormat="1" ht="25.5" spans="1:36">
      <c r="A155" s="64"/>
      <c r="B155" s="64"/>
      <c r="C155" s="66" t="s">
        <v>756</v>
      </c>
      <c r="D155" s="65"/>
      <c r="E155" s="77"/>
      <c r="F155" s="77"/>
      <c r="G155" s="64"/>
      <c r="H155" s="42"/>
      <c r="I155" s="42"/>
      <c r="J155" s="83"/>
      <c r="K155" s="83"/>
      <c r="L155" s="83"/>
      <c r="M155" s="83"/>
      <c r="N155" s="91">
        <v>640</v>
      </c>
      <c r="O155" s="91">
        <v>575</v>
      </c>
      <c r="P155" s="93">
        <v>490</v>
      </c>
      <c r="Q155" s="64"/>
      <c r="R155" s="64"/>
      <c r="S155" s="64"/>
      <c r="T155" s="83"/>
      <c r="U155" s="77"/>
      <c r="V155" s="105" t="s">
        <v>759</v>
      </c>
      <c r="W155" s="105">
        <v>33040602101</v>
      </c>
      <c r="X155" s="106" t="s">
        <v>760</v>
      </c>
      <c r="Y155" s="105"/>
      <c r="Z155" s="105"/>
      <c r="AA155" s="105" t="s">
        <v>110</v>
      </c>
      <c r="AB155" s="110" t="s">
        <v>35</v>
      </c>
      <c r="AC155" s="50">
        <v>3070</v>
      </c>
      <c r="AD155" s="50">
        <v>2755</v>
      </c>
      <c r="AE155" s="50">
        <v>2340</v>
      </c>
      <c r="AF155" s="111">
        <f t="shared" si="10"/>
        <v>13</v>
      </c>
      <c r="AG155" s="111" t="str">
        <f t="shared" si="11"/>
        <v>人工晶状体植入费（复杂）</v>
      </c>
      <c r="AH155" s="111">
        <f t="shared" si="12"/>
        <v>2770</v>
      </c>
      <c r="AI155" s="111">
        <f t="shared" si="13"/>
        <v>2495</v>
      </c>
      <c r="AJ155" s="111">
        <f t="shared" si="14"/>
        <v>2125</v>
      </c>
    </row>
    <row r="156" s="55" customFormat="1" ht="25.5" spans="1:36">
      <c r="A156" s="64"/>
      <c r="B156" s="64"/>
      <c r="C156" s="66" t="s">
        <v>756</v>
      </c>
      <c r="D156" s="65"/>
      <c r="E156" s="77"/>
      <c r="F156" s="77"/>
      <c r="G156" s="64"/>
      <c r="H156" s="42"/>
      <c r="I156" s="42"/>
      <c r="J156" s="83"/>
      <c r="K156" s="83"/>
      <c r="L156" s="83"/>
      <c r="M156" s="83"/>
      <c r="N156" s="91">
        <v>640</v>
      </c>
      <c r="O156" s="91">
        <v>575</v>
      </c>
      <c r="P156" s="93">
        <v>490</v>
      </c>
      <c r="Q156" s="64"/>
      <c r="R156" s="64"/>
      <c r="S156" s="64"/>
      <c r="T156" s="83"/>
      <c r="U156" s="77"/>
      <c r="V156" s="105" t="s">
        <v>761</v>
      </c>
      <c r="W156" s="105">
        <v>33040601101</v>
      </c>
      <c r="X156" s="106" t="s">
        <v>762</v>
      </c>
      <c r="Y156" s="105"/>
      <c r="Z156" s="105"/>
      <c r="AA156" s="105" t="s">
        <v>36</v>
      </c>
      <c r="AB156" s="110" t="s">
        <v>35</v>
      </c>
      <c r="AC156" s="50">
        <v>1535</v>
      </c>
      <c r="AD156" s="50">
        <v>1380</v>
      </c>
      <c r="AE156" s="50">
        <v>1175</v>
      </c>
      <c r="AF156" s="111">
        <f t="shared" si="10"/>
        <v>13</v>
      </c>
      <c r="AG156" s="111" t="str">
        <f t="shared" si="11"/>
        <v>人工晶状体植入费（复杂）</v>
      </c>
      <c r="AH156" s="111">
        <f t="shared" si="12"/>
        <v>2770</v>
      </c>
      <c r="AI156" s="111">
        <f t="shared" si="13"/>
        <v>2495</v>
      </c>
      <c r="AJ156" s="111">
        <f t="shared" si="14"/>
        <v>2125</v>
      </c>
    </row>
    <row r="157" s="55" customFormat="1" ht="25.5" spans="1:36">
      <c r="A157" s="64">
        <v>54</v>
      </c>
      <c r="B157" s="64" t="s">
        <v>763</v>
      </c>
      <c r="C157" s="66" t="s">
        <v>764</v>
      </c>
      <c r="D157" s="65" t="s">
        <v>765</v>
      </c>
      <c r="E157" s="77" t="s">
        <v>766</v>
      </c>
      <c r="F157" s="77" t="s">
        <v>35</v>
      </c>
      <c r="G157" s="64" t="s">
        <v>110</v>
      </c>
      <c r="H157" s="78">
        <v>1150</v>
      </c>
      <c r="I157" s="78">
        <v>1035</v>
      </c>
      <c r="J157" s="83">
        <v>1330</v>
      </c>
      <c r="K157" s="83">
        <v>1133.07692307692</v>
      </c>
      <c r="L157" s="83" t="e">
        <v>#DIV/0!</v>
      </c>
      <c r="M157" s="83"/>
      <c r="N157" s="92">
        <v>1100</v>
      </c>
      <c r="O157" s="92">
        <v>1035</v>
      </c>
      <c r="P157" s="95">
        <v>880</v>
      </c>
      <c r="Q157" s="64" t="s">
        <v>37</v>
      </c>
      <c r="R157" s="64" t="s">
        <v>35</v>
      </c>
      <c r="S157" s="64" t="s">
        <v>35</v>
      </c>
      <c r="T157" s="83" t="s">
        <v>131</v>
      </c>
      <c r="U157" s="104" t="s">
        <v>767</v>
      </c>
      <c r="V157" s="105" t="s">
        <v>768</v>
      </c>
      <c r="W157" s="105">
        <v>330406007</v>
      </c>
      <c r="X157" s="106" t="s">
        <v>769</v>
      </c>
      <c r="Y157" s="105"/>
      <c r="Z157" s="105"/>
      <c r="AA157" s="105" t="s">
        <v>36</v>
      </c>
      <c r="AB157" s="110" t="s">
        <v>35</v>
      </c>
      <c r="AC157" s="50">
        <v>1010</v>
      </c>
      <c r="AD157" s="50">
        <v>910</v>
      </c>
      <c r="AE157" s="50">
        <v>775</v>
      </c>
      <c r="AF157" s="111">
        <f t="shared" si="10"/>
        <v>0</v>
      </c>
      <c r="AG157" s="111" t="str">
        <f t="shared" si="11"/>
        <v>人工晶状体调位费（常规）</v>
      </c>
      <c r="AH157" s="111">
        <f t="shared" si="12"/>
        <v>1100</v>
      </c>
      <c r="AI157" s="111">
        <f t="shared" si="13"/>
        <v>1035</v>
      </c>
      <c r="AJ157" s="111">
        <f t="shared" si="14"/>
        <v>880</v>
      </c>
    </row>
    <row r="158" s="55" customFormat="1" ht="51" spans="1:36">
      <c r="A158" s="64"/>
      <c r="B158" s="64"/>
      <c r="C158" s="66" t="s">
        <v>764</v>
      </c>
      <c r="D158" s="65"/>
      <c r="E158" s="77"/>
      <c r="F158" s="77"/>
      <c r="G158" s="64"/>
      <c r="H158" s="42"/>
      <c r="I158" s="42"/>
      <c r="J158" s="83"/>
      <c r="K158" s="83"/>
      <c r="L158" s="83"/>
      <c r="M158" s="83"/>
      <c r="N158" s="92">
        <v>1100</v>
      </c>
      <c r="O158" s="92">
        <v>1035</v>
      </c>
      <c r="P158" s="95">
        <v>880</v>
      </c>
      <c r="Q158" s="64"/>
      <c r="R158" s="64"/>
      <c r="S158" s="64"/>
      <c r="T158" s="83"/>
      <c r="U158" s="104"/>
      <c r="V158" s="105" t="s">
        <v>770</v>
      </c>
      <c r="W158" s="105">
        <v>330406019</v>
      </c>
      <c r="X158" s="106" t="s">
        <v>771</v>
      </c>
      <c r="Y158" s="105" t="s">
        <v>772</v>
      </c>
      <c r="Z158" s="105" t="s">
        <v>773</v>
      </c>
      <c r="AA158" s="105" t="s">
        <v>36</v>
      </c>
      <c r="AB158" s="110" t="s">
        <v>35</v>
      </c>
      <c r="AC158" s="50">
        <v>1650</v>
      </c>
      <c r="AD158" s="50">
        <v>1490</v>
      </c>
      <c r="AE158" s="50">
        <v>1270</v>
      </c>
      <c r="AF158" s="111">
        <f t="shared" si="10"/>
        <v>0</v>
      </c>
      <c r="AG158" s="111" t="str">
        <f t="shared" si="11"/>
        <v>人工晶状体调位费（常规）</v>
      </c>
      <c r="AH158" s="111">
        <f t="shared" si="12"/>
        <v>1100</v>
      </c>
      <c r="AI158" s="111">
        <f t="shared" si="13"/>
        <v>1035</v>
      </c>
      <c r="AJ158" s="111">
        <f t="shared" si="14"/>
        <v>880</v>
      </c>
    </row>
    <row r="159" s="55" customFormat="1" ht="25.5" spans="1:36">
      <c r="A159" s="64" t="s">
        <v>95</v>
      </c>
      <c r="B159" s="64" t="s">
        <v>774</v>
      </c>
      <c r="C159" s="66" t="s">
        <v>775</v>
      </c>
      <c r="D159" s="65"/>
      <c r="E159" s="77"/>
      <c r="F159" s="77" t="s">
        <v>35</v>
      </c>
      <c r="G159" s="64" t="s">
        <v>110</v>
      </c>
      <c r="H159" s="78">
        <v>345</v>
      </c>
      <c r="I159" s="78">
        <v>311</v>
      </c>
      <c r="J159" s="83">
        <v>1045</v>
      </c>
      <c r="K159" s="83"/>
      <c r="L159" s="83"/>
      <c r="M159" s="83"/>
      <c r="N159" s="91">
        <v>330</v>
      </c>
      <c r="O159" s="91">
        <v>310</v>
      </c>
      <c r="P159" s="93">
        <v>265</v>
      </c>
      <c r="Q159" s="64" t="s">
        <v>37</v>
      </c>
      <c r="R159" s="64" t="s">
        <v>35</v>
      </c>
      <c r="S159" s="64" t="s">
        <v>35</v>
      </c>
      <c r="T159" s="83"/>
      <c r="U159" s="77" t="s">
        <v>186</v>
      </c>
      <c r="V159" s="105" t="s">
        <v>776</v>
      </c>
      <c r="W159" s="105">
        <v>33040600701</v>
      </c>
      <c r="X159" s="106" t="s">
        <v>777</v>
      </c>
      <c r="Y159" s="105"/>
      <c r="Z159" s="105"/>
      <c r="AA159" s="105" t="s">
        <v>36</v>
      </c>
      <c r="AB159" s="110" t="s">
        <v>35</v>
      </c>
      <c r="AC159" s="50">
        <v>1315</v>
      </c>
      <c r="AD159" s="50">
        <v>1185</v>
      </c>
      <c r="AE159" s="50">
        <v>1005</v>
      </c>
      <c r="AF159" s="111">
        <f t="shared" si="10"/>
        <v>13</v>
      </c>
      <c r="AG159" s="111" t="str">
        <f t="shared" si="11"/>
        <v>人工晶状体调位费（常规）</v>
      </c>
      <c r="AH159" s="111">
        <f t="shared" si="12"/>
        <v>1430</v>
      </c>
      <c r="AI159" s="111">
        <f t="shared" si="13"/>
        <v>1345</v>
      </c>
      <c r="AJ159" s="111">
        <f t="shared" si="14"/>
        <v>1145</v>
      </c>
    </row>
    <row r="160" customFormat="1" ht="25.5" spans="1:36">
      <c r="A160" s="64"/>
      <c r="B160" s="64"/>
      <c r="C160" s="66" t="s">
        <v>775</v>
      </c>
      <c r="D160" s="65"/>
      <c r="E160" s="77"/>
      <c r="F160" s="77"/>
      <c r="G160" s="64"/>
      <c r="H160" s="42"/>
      <c r="I160" s="42"/>
      <c r="J160" s="83"/>
      <c r="K160" s="83"/>
      <c r="L160" s="83"/>
      <c r="M160" s="83"/>
      <c r="N160" s="91">
        <v>330</v>
      </c>
      <c r="O160" s="91">
        <v>310</v>
      </c>
      <c r="P160" s="93">
        <v>265</v>
      </c>
      <c r="Q160" s="64"/>
      <c r="R160" s="64"/>
      <c r="S160" s="64"/>
      <c r="T160" s="83"/>
      <c r="U160" s="77"/>
      <c r="V160" s="105" t="s">
        <v>778</v>
      </c>
      <c r="W160" s="105">
        <v>33040601901</v>
      </c>
      <c r="X160" s="106" t="s">
        <v>779</v>
      </c>
      <c r="Y160" s="105"/>
      <c r="Z160" s="105"/>
      <c r="AA160" s="105" t="s">
        <v>36</v>
      </c>
      <c r="AB160" s="110" t="s">
        <v>35</v>
      </c>
      <c r="AC160" s="50">
        <v>2145</v>
      </c>
      <c r="AD160" s="50">
        <v>1935</v>
      </c>
      <c r="AE160" s="50">
        <v>1645</v>
      </c>
      <c r="AF160" s="111">
        <f t="shared" si="10"/>
        <v>13</v>
      </c>
      <c r="AG160" s="111" t="str">
        <f t="shared" si="11"/>
        <v>人工晶状体调位费（常规）</v>
      </c>
      <c r="AH160" s="111">
        <f t="shared" si="12"/>
        <v>1430</v>
      </c>
      <c r="AI160" s="111">
        <f t="shared" si="13"/>
        <v>1345</v>
      </c>
      <c r="AJ160" s="111">
        <f t="shared" si="14"/>
        <v>1145</v>
      </c>
    </row>
    <row r="161" s="52" customFormat="1" ht="72" customHeight="1" spans="1:36">
      <c r="A161" s="64">
        <v>56</v>
      </c>
      <c r="B161" s="64" t="s">
        <v>787</v>
      </c>
      <c r="C161" s="64" t="s">
        <v>788</v>
      </c>
      <c r="D161" s="65" t="s">
        <v>789</v>
      </c>
      <c r="E161" s="77" t="s">
        <v>790</v>
      </c>
      <c r="F161" s="77" t="s">
        <v>35</v>
      </c>
      <c r="G161" s="64" t="s">
        <v>110</v>
      </c>
      <c r="H161" s="78">
        <v>2880</v>
      </c>
      <c r="I161" s="78">
        <v>2592</v>
      </c>
      <c r="J161" s="83">
        <v>2530</v>
      </c>
      <c r="K161" s="83">
        <v>2280</v>
      </c>
      <c r="L161" s="83">
        <v>1940</v>
      </c>
      <c r="M161" s="83"/>
      <c r="N161" s="41">
        <v>2530</v>
      </c>
      <c r="O161" s="41">
        <v>2280</v>
      </c>
      <c r="P161" s="50">
        <v>1940</v>
      </c>
      <c r="Q161" s="64" t="s">
        <v>37</v>
      </c>
      <c r="R161" s="64" t="s">
        <v>35</v>
      </c>
      <c r="S161" s="64" t="s">
        <v>35</v>
      </c>
      <c r="T161" s="83" t="s">
        <v>381</v>
      </c>
      <c r="U161" s="77" t="s">
        <v>381</v>
      </c>
      <c r="V161" s="105" t="s">
        <v>791</v>
      </c>
      <c r="W161" s="105">
        <v>330407002</v>
      </c>
      <c r="X161" s="106" t="s">
        <v>792</v>
      </c>
      <c r="Y161" s="105"/>
      <c r="Z161" s="105" t="s">
        <v>793</v>
      </c>
      <c r="AA161" s="105" t="s">
        <v>36</v>
      </c>
      <c r="AB161" s="110" t="s">
        <v>35</v>
      </c>
      <c r="AC161" s="50">
        <v>2530</v>
      </c>
      <c r="AD161" s="50">
        <v>2280</v>
      </c>
      <c r="AE161" s="50">
        <v>1940</v>
      </c>
      <c r="AF161" s="111">
        <f t="shared" si="10"/>
        <v>0</v>
      </c>
      <c r="AG161" s="111" t="str">
        <f t="shared" si="11"/>
        <v>玻璃体切除费</v>
      </c>
      <c r="AH161" s="111">
        <f t="shared" si="12"/>
        <v>2530</v>
      </c>
      <c r="AI161" s="111">
        <f t="shared" si="13"/>
        <v>2280</v>
      </c>
      <c r="AJ161" s="111">
        <f t="shared" si="14"/>
        <v>1940</v>
      </c>
    </row>
    <row r="162" s="55" customFormat="1" ht="32" customHeight="1" spans="1:36">
      <c r="A162" s="112" t="s">
        <v>95</v>
      </c>
      <c r="B162" s="112" t="s">
        <v>794</v>
      </c>
      <c r="C162" s="64" t="s">
        <v>795</v>
      </c>
      <c r="D162" s="65"/>
      <c r="E162" s="77"/>
      <c r="F162" s="77" t="s">
        <v>35</v>
      </c>
      <c r="G162" s="64" t="s">
        <v>110</v>
      </c>
      <c r="H162" s="78">
        <v>864</v>
      </c>
      <c r="I162" s="78">
        <v>778</v>
      </c>
      <c r="J162" s="83">
        <v>760</v>
      </c>
      <c r="K162" s="83">
        <v>685</v>
      </c>
      <c r="L162" s="83">
        <v>580</v>
      </c>
      <c r="M162" s="83"/>
      <c r="N162" s="41">
        <v>760</v>
      </c>
      <c r="O162" s="41">
        <v>685</v>
      </c>
      <c r="P162" s="50">
        <v>580</v>
      </c>
      <c r="Q162" s="64" t="s">
        <v>37</v>
      </c>
      <c r="R162" s="64" t="s">
        <v>35</v>
      </c>
      <c r="S162" s="64" t="s">
        <v>35</v>
      </c>
      <c r="T162" s="83"/>
      <c r="U162" s="77" t="s">
        <v>186</v>
      </c>
      <c r="V162" s="105" t="s">
        <v>796</v>
      </c>
      <c r="W162" s="105">
        <v>33040700201</v>
      </c>
      <c r="X162" s="106" t="s">
        <v>797</v>
      </c>
      <c r="Y162" s="105"/>
      <c r="Z162" s="105"/>
      <c r="AA162" s="105" t="s">
        <v>36</v>
      </c>
      <c r="AB162" s="110" t="s">
        <v>35</v>
      </c>
      <c r="AC162" s="50">
        <v>3290</v>
      </c>
      <c r="AD162" s="50">
        <v>2965</v>
      </c>
      <c r="AE162" s="50">
        <v>2520</v>
      </c>
      <c r="AF162" s="111">
        <f t="shared" si="10"/>
        <v>7</v>
      </c>
      <c r="AG162" s="111" t="str">
        <f t="shared" si="11"/>
        <v>玻璃体切除费</v>
      </c>
      <c r="AH162" s="111">
        <f t="shared" si="12"/>
        <v>3290</v>
      </c>
      <c r="AI162" s="111">
        <f t="shared" si="13"/>
        <v>2965</v>
      </c>
      <c r="AJ162" s="111">
        <f t="shared" si="14"/>
        <v>2520</v>
      </c>
    </row>
    <row r="163" s="55" customFormat="1" ht="46" customHeight="1" spans="1:36">
      <c r="A163" s="112">
        <v>58</v>
      </c>
      <c r="B163" s="112" t="s">
        <v>805</v>
      </c>
      <c r="C163" s="64" t="s">
        <v>806</v>
      </c>
      <c r="D163" s="65" t="s">
        <v>807</v>
      </c>
      <c r="E163" s="77" t="s">
        <v>808</v>
      </c>
      <c r="F163" s="77" t="s">
        <v>35</v>
      </c>
      <c r="G163" s="64" t="s">
        <v>110</v>
      </c>
      <c r="H163" s="78">
        <v>1150</v>
      </c>
      <c r="I163" s="78">
        <v>1035</v>
      </c>
      <c r="J163" s="83">
        <v>1010</v>
      </c>
      <c r="K163" s="83">
        <v>910</v>
      </c>
      <c r="L163" s="83">
        <v>775</v>
      </c>
      <c r="M163" s="83"/>
      <c r="N163" s="41">
        <v>1010</v>
      </c>
      <c r="O163" s="41">
        <v>910</v>
      </c>
      <c r="P163" s="50">
        <v>775</v>
      </c>
      <c r="Q163" s="64" t="s">
        <v>37</v>
      </c>
      <c r="R163" s="64" t="s">
        <v>35</v>
      </c>
      <c r="S163" s="64" t="s">
        <v>35</v>
      </c>
      <c r="T163" s="83" t="s">
        <v>381</v>
      </c>
      <c r="U163" s="77" t="s">
        <v>381</v>
      </c>
      <c r="V163" s="105" t="s">
        <v>809</v>
      </c>
      <c r="W163" s="105">
        <v>330407014</v>
      </c>
      <c r="X163" s="106" t="s">
        <v>810</v>
      </c>
      <c r="Y163" s="105"/>
      <c r="Z163" s="105"/>
      <c r="AA163" s="105" t="s">
        <v>110</v>
      </c>
      <c r="AB163" s="110" t="s">
        <v>35</v>
      </c>
      <c r="AC163" s="50">
        <v>1010</v>
      </c>
      <c r="AD163" s="50">
        <v>910</v>
      </c>
      <c r="AE163" s="50">
        <v>775</v>
      </c>
      <c r="AF163" s="111">
        <f t="shared" si="10"/>
        <v>0</v>
      </c>
      <c r="AG163" s="111" t="str">
        <f t="shared" si="11"/>
        <v>玻璃体腔填充物取出费</v>
      </c>
      <c r="AH163" s="111">
        <f t="shared" si="12"/>
        <v>1010</v>
      </c>
      <c r="AI163" s="111">
        <f t="shared" si="13"/>
        <v>910</v>
      </c>
      <c r="AJ163" s="111">
        <f t="shared" si="14"/>
        <v>775</v>
      </c>
    </row>
    <row r="164" s="52" customFormat="1" ht="38" customHeight="1" spans="1:36">
      <c r="A164" s="112" t="s">
        <v>95</v>
      </c>
      <c r="B164" s="112" t="s">
        <v>811</v>
      </c>
      <c r="C164" s="64" t="s">
        <v>812</v>
      </c>
      <c r="D164" s="65"/>
      <c r="E164" s="77"/>
      <c r="F164" s="77" t="s">
        <v>35</v>
      </c>
      <c r="G164" s="64" t="s">
        <v>110</v>
      </c>
      <c r="H164" s="78">
        <v>345</v>
      </c>
      <c r="I164" s="78">
        <v>311</v>
      </c>
      <c r="J164" s="83">
        <v>305</v>
      </c>
      <c r="K164" s="83">
        <v>275</v>
      </c>
      <c r="L164" s="83">
        <v>230</v>
      </c>
      <c r="M164" s="83"/>
      <c r="N164" s="41">
        <v>305</v>
      </c>
      <c r="O164" s="41">
        <v>275</v>
      </c>
      <c r="P164" s="50">
        <v>230</v>
      </c>
      <c r="Q164" s="64" t="s">
        <v>37</v>
      </c>
      <c r="R164" s="64" t="s">
        <v>35</v>
      </c>
      <c r="S164" s="64" t="s">
        <v>35</v>
      </c>
      <c r="T164" s="83"/>
      <c r="U164" s="77" t="s">
        <v>186</v>
      </c>
      <c r="V164" s="105" t="s">
        <v>813</v>
      </c>
      <c r="W164" s="105">
        <v>33040701401</v>
      </c>
      <c r="X164" s="106" t="s">
        <v>814</v>
      </c>
      <c r="Y164" s="105"/>
      <c r="Z164" s="105"/>
      <c r="AA164" s="105" t="s">
        <v>110</v>
      </c>
      <c r="AB164" s="110" t="s">
        <v>35</v>
      </c>
      <c r="AC164" s="50">
        <v>1315</v>
      </c>
      <c r="AD164" s="50">
        <v>1185</v>
      </c>
      <c r="AE164" s="50">
        <v>1005</v>
      </c>
      <c r="AF164" s="111">
        <f t="shared" si="10"/>
        <v>11</v>
      </c>
      <c r="AG164" s="111" t="str">
        <f t="shared" si="11"/>
        <v>玻璃体腔填充物取出费</v>
      </c>
      <c r="AH164" s="111">
        <f t="shared" si="12"/>
        <v>1315</v>
      </c>
      <c r="AI164" s="111">
        <f t="shared" si="13"/>
        <v>1185</v>
      </c>
      <c r="AJ164" s="111">
        <f t="shared" si="14"/>
        <v>1005</v>
      </c>
    </row>
    <row r="165" s="55" customFormat="1" ht="36" customHeight="1" spans="1:36">
      <c r="A165" s="112">
        <v>59</v>
      </c>
      <c r="B165" s="112" t="s">
        <v>815</v>
      </c>
      <c r="C165" s="66" t="s">
        <v>816</v>
      </c>
      <c r="D165" s="65" t="s">
        <v>817</v>
      </c>
      <c r="E165" s="77" t="s">
        <v>818</v>
      </c>
      <c r="F165" s="77" t="s">
        <v>819</v>
      </c>
      <c r="G165" s="64" t="s">
        <v>110</v>
      </c>
      <c r="H165" s="78">
        <v>945</v>
      </c>
      <c r="I165" s="78">
        <v>851</v>
      </c>
      <c r="J165" s="84">
        <v>851.176470588235</v>
      </c>
      <c r="K165" s="84">
        <v>1045.69424964937</v>
      </c>
      <c r="L165" s="84" t="e">
        <v>#DIV/0!</v>
      </c>
      <c r="M165" s="84"/>
      <c r="N165" s="91">
        <v>850</v>
      </c>
      <c r="O165" s="92">
        <v>800</v>
      </c>
      <c r="P165" s="93">
        <v>700</v>
      </c>
      <c r="Q165" s="64" t="s">
        <v>37</v>
      </c>
      <c r="R165" s="64" t="s">
        <v>35</v>
      </c>
      <c r="S165" s="64" t="s">
        <v>35</v>
      </c>
      <c r="T165" s="83" t="s">
        <v>38</v>
      </c>
      <c r="U165" s="77" t="s">
        <v>820</v>
      </c>
      <c r="V165" s="105" t="s">
        <v>821</v>
      </c>
      <c r="W165" s="105">
        <v>330405013</v>
      </c>
      <c r="X165" s="106" t="s">
        <v>822</v>
      </c>
      <c r="Y165" s="105" t="s">
        <v>823</v>
      </c>
      <c r="Z165" s="105"/>
      <c r="AA165" s="105" t="s">
        <v>36</v>
      </c>
      <c r="AB165" s="110" t="s">
        <v>35</v>
      </c>
      <c r="AC165" s="50">
        <v>750</v>
      </c>
      <c r="AD165" s="50">
        <v>720</v>
      </c>
      <c r="AE165" s="50">
        <v>612</v>
      </c>
      <c r="AF165" s="111">
        <f t="shared" si="10"/>
        <v>0</v>
      </c>
      <c r="AG165" s="111" t="str">
        <f t="shared" si="11"/>
        <v>小梁切除费（常规）</v>
      </c>
      <c r="AH165" s="111">
        <f t="shared" si="12"/>
        <v>850</v>
      </c>
      <c r="AI165" s="111">
        <f t="shared" si="13"/>
        <v>800</v>
      </c>
      <c r="AJ165" s="111">
        <f t="shared" si="14"/>
        <v>700</v>
      </c>
    </row>
    <row r="166" s="55" customFormat="1" ht="36" customHeight="1" spans="1:36">
      <c r="A166" s="112"/>
      <c r="B166" s="112"/>
      <c r="C166" s="66" t="s">
        <v>816</v>
      </c>
      <c r="D166" s="65"/>
      <c r="E166" s="77"/>
      <c r="F166" s="77"/>
      <c r="G166" s="64"/>
      <c r="H166" s="42"/>
      <c r="I166" s="42"/>
      <c r="J166" s="84"/>
      <c r="K166" s="84"/>
      <c r="L166" s="84"/>
      <c r="M166" s="84"/>
      <c r="N166" s="91">
        <v>850</v>
      </c>
      <c r="O166" s="92">
        <v>800</v>
      </c>
      <c r="P166" s="93">
        <v>700</v>
      </c>
      <c r="Q166" s="64"/>
      <c r="R166" s="64"/>
      <c r="S166" s="64"/>
      <c r="T166" s="83"/>
      <c r="U166" s="77"/>
      <c r="V166" s="117" t="s">
        <v>824</v>
      </c>
      <c r="W166" s="117">
        <v>330405016</v>
      </c>
      <c r="X166" s="118" t="s">
        <v>825</v>
      </c>
      <c r="Y166" s="117"/>
      <c r="Z166" s="117"/>
      <c r="AA166" s="117" t="s">
        <v>36</v>
      </c>
      <c r="AB166" s="120" t="s">
        <v>35</v>
      </c>
      <c r="AC166" s="96">
        <v>1180</v>
      </c>
      <c r="AD166" s="96">
        <v>1060</v>
      </c>
      <c r="AE166" s="96">
        <v>900</v>
      </c>
      <c r="AF166" s="111">
        <f t="shared" si="10"/>
        <v>0</v>
      </c>
      <c r="AG166" s="111" t="str">
        <f t="shared" si="11"/>
        <v>小梁切除费（常规）</v>
      </c>
      <c r="AH166" s="111">
        <f t="shared" si="12"/>
        <v>850</v>
      </c>
      <c r="AI166" s="111">
        <f t="shared" si="13"/>
        <v>800</v>
      </c>
      <c r="AJ166" s="111">
        <f t="shared" si="14"/>
        <v>700</v>
      </c>
    </row>
    <row r="167" s="55" customFormat="1" ht="26" customHeight="1" spans="1:36">
      <c r="A167" s="112" t="s">
        <v>95</v>
      </c>
      <c r="B167" s="112" t="s">
        <v>826</v>
      </c>
      <c r="C167" s="66" t="s">
        <v>827</v>
      </c>
      <c r="D167" s="65"/>
      <c r="E167" s="77"/>
      <c r="F167" s="77" t="s">
        <v>35</v>
      </c>
      <c r="G167" s="64" t="s">
        <v>110</v>
      </c>
      <c r="H167" s="78">
        <v>284</v>
      </c>
      <c r="I167" s="78">
        <v>255</v>
      </c>
      <c r="J167" s="83"/>
      <c r="K167" s="83"/>
      <c r="L167" s="83"/>
      <c r="M167" s="83"/>
      <c r="N167" s="91">
        <v>255</v>
      </c>
      <c r="O167" s="91">
        <v>240</v>
      </c>
      <c r="P167" s="93">
        <v>210</v>
      </c>
      <c r="Q167" s="64" t="s">
        <v>37</v>
      </c>
      <c r="R167" s="64" t="s">
        <v>35</v>
      </c>
      <c r="S167" s="64" t="s">
        <v>35</v>
      </c>
      <c r="T167" s="83"/>
      <c r="U167" s="77"/>
      <c r="V167" s="105" t="s">
        <v>828</v>
      </c>
      <c r="W167" s="105">
        <v>33040501301</v>
      </c>
      <c r="X167" s="106" t="s">
        <v>829</v>
      </c>
      <c r="Y167" s="105"/>
      <c r="Z167" s="105"/>
      <c r="AA167" s="105" t="s">
        <v>36</v>
      </c>
      <c r="AB167" s="110" t="s">
        <v>35</v>
      </c>
      <c r="AC167" s="50">
        <v>975</v>
      </c>
      <c r="AD167" s="50">
        <v>935</v>
      </c>
      <c r="AE167" s="50">
        <v>795</v>
      </c>
      <c r="AF167" s="111">
        <f t="shared" si="10"/>
        <v>10</v>
      </c>
      <c r="AG167" s="111" t="str">
        <f t="shared" si="11"/>
        <v>小梁切除费（常规）</v>
      </c>
      <c r="AH167" s="111">
        <f t="shared" si="12"/>
        <v>1105</v>
      </c>
      <c r="AI167" s="111">
        <f t="shared" si="13"/>
        <v>1040</v>
      </c>
      <c r="AJ167" s="111">
        <f t="shared" si="14"/>
        <v>910</v>
      </c>
    </row>
    <row r="168" customFormat="1" ht="26" customHeight="1" spans="1:36">
      <c r="A168" s="112"/>
      <c r="B168" s="112"/>
      <c r="C168" s="66" t="s">
        <v>827</v>
      </c>
      <c r="D168" s="65"/>
      <c r="E168" s="77"/>
      <c r="F168" s="77"/>
      <c r="G168" s="64"/>
      <c r="H168" s="42"/>
      <c r="I168" s="42"/>
      <c r="J168" s="83"/>
      <c r="K168" s="83"/>
      <c r="L168" s="83"/>
      <c r="M168" s="83"/>
      <c r="N168" s="91">
        <v>255</v>
      </c>
      <c r="O168" s="91">
        <v>240</v>
      </c>
      <c r="P168" s="93">
        <v>210</v>
      </c>
      <c r="Q168" s="64"/>
      <c r="R168" s="64"/>
      <c r="S168" s="64"/>
      <c r="T168" s="83"/>
      <c r="U168" s="77"/>
      <c r="V168" s="117" t="s">
        <v>830</v>
      </c>
      <c r="W168" s="117">
        <v>33040501601</v>
      </c>
      <c r="X168" s="118" t="s">
        <v>831</v>
      </c>
      <c r="Y168" s="117"/>
      <c r="Z168" s="117"/>
      <c r="AA168" s="117" t="s">
        <v>36</v>
      </c>
      <c r="AB168" s="120" t="s">
        <v>35</v>
      </c>
      <c r="AC168" s="96">
        <v>1535</v>
      </c>
      <c r="AD168" s="96">
        <v>1380</v>
      </c>
      <c r="AE168" s="96">
        <v>1175</v>
      </c>
      <c r="AF168" s="111">
        <f t="shared" si="10"/>
        <v>10</v>
      </c>
      <c r="AG168" s="111" t="str">
        <f t="shared" si="11"/>
        <v>小梁切除费（常规）</v>
      </c>
      <c r="AH168" s="111">
        <f t="shared" si="12"/>
        <v>1105</v>
      </c>
      <c r="AI168" s="111">
        <f t="shared" si="13"/>
        <v>1040</v>
      </c>
      <c r="AJ168" s="111">
        <f t="shared" si="14"/>
        <v>910</v>
      </c>
    </row>
    <row r="169" s="52" customFormat="1" ht="71" customHeight="1" spans="1:36">
      <c r="A169" s="112">
        <v>61</v>
      </c>
      <c r="B169" s="112" t="s">
        <v>839</v>
      </c>
      <c r="C169" s="64" t="s">
        <v>840</v>
      </c>
      <c r="D169" s="65" t="s">
        <v>841</v>
      </c>
      <c r="E169" s="77" t="s">
        <v>842</v>
      </c>
      <c r="F169" s="77" t="s">
        <v>35</v>
      </c>
      <c r="G169" s="64" t="s">
        <v>110</v>
      </c>
      <c r="H169" s="78">
        <v>1150</v>
      </c>
      <c r="I169" s="78">
        <v>1035</v>
      </c>
      <c r="J169" s="83">
        <v>1010</v>
      </c>
      <c r="K169" s="83">
        <v>910</v>
      </c>
      <c r="L169" s="83">
        <v>775</v>
      </c>
      <c r="M169" s="83"/>
      <c r="N169" s="41">
        <v>1010</v>
      </c>
      <c r="O169" s="41">
        <v>910</v>
      </c>
      <c r="P169" s="50">
        <v>775</v>
      </c>
      <c r="Q169" s="64" t="s">
        <v>37</v>
      </c>
      <c r="R169" s="64" t="s">
        <v>35</v>
      </c>
      <c r="S169" s="64" t="s">
        <v>35</v>
      </c>
      <c r="T169" s="83" t="s">
        <v>381</v>
      </c>
      <c r="U169" s="77" t="s">
        <v>381</v>
      </c>
      <c r="V169" s="105" t="s">
        <v>843</v>
      </c>
      <c r="W169" s="105">
        <v>330405015</v>
      </c>
      <c r="X169" s="106" t="s">
        <v>844</v>
      </c>
      <c r="Y169" s="105"/>
      <c r="Z169" s="105" t="s">
        <v>845</v>
      </c>
      <c r="AA169" s="105" t="s">
        <v>36</v>
      </c>
      <c r="AB169" s="110" t="s">
        <v>35</v>
      </c>
      <c r="AC169" s="50">
        <v>1010</v>
      </c>
      <c r="AD169" s="50">
        <v>910</v>
      </c>
      <c r="AE169" s="50">
        <v>775</v>
      </c>
      <c r="AF169" s="111">
        <f t="shared" si="10"/>
        <v>0</v>
      </c>
      <c r="AG169" s="111" t="str">
        <f t="shared" si="11"/>
        <v>小梁切开费</v>
      </c>
      <c r="AH169" s="111">
        <f t="shared" si="12"/>
        <v>1010</v>
      </c>
      <c r="AI169" s="111">
        <f t="shared" si="13"/>
        <v>910</v>
      </c>
      <c r="AJ169" s="111">
        <f t="shared" si="14"/>
        <v>775</v>
      </c>
    </row>
    <row r="170" s="52" customFormat="1" ht="32" customHeight="1" spans="1:36">
      <c r="A170" s="112" t="s">
        <v>95</v>
      </c>
      <c r="B170" s="112" t="s">
        <v>846</v>
      </c>
      <c r="C170" s="64" t="s">
        <v>847</v>
      </c>
      <c r="D170" s="65"/>
      <c r="E170" s="77"/>
      <c r="F170" s="77" t="s">
        <v>35</v>
      </c>
      <c r="G170" s="64" t="s">
        <v>110</v>
      </c>
      <c r="H170" s="78">
        <v>345</v>
      </c>
      <c r="I170" s="78">
        <v>311</v>
      </c>
      <c r="J170" s="83">
        <v>305</v>
      </c>
      <c r="K170" s="83">
        <v>275</v>
      </c>
      <c r="L170" s="83">
        <v>230</v>
      </c>
      <c r="M170" s="83"/>
      <c r="N170" s="41">
        <v>305</v>
      </c>
      <c r="O170" s="41">
        <v>275</v>
      </c>
      <c r="P170" s="50">
        <v>230</v>
      </c>
      <c r="Q170" s="64" t="s">
        <v>37</v>
      </c>
      <c r="R170" s="64" t="s">
        <v>35</v>
      </c>
      <c r="S170" s="64" t="s">
        <v>35</v>
      </c>
      <c r="T170" s="83"/>
      <c r="U170" s="77" t="s">
        <v>186</v>
      </c>
      <c r="V170" s="105" t="s">
        <v>848</v>
      </c>
      <c r="W170" s="105">
        <v>33040501501</v>
      </c>
      <c r="X170" s="106" t="s">
        <v>849</v>
      </c>
      <c r="Y170" s="105"/>
      <c r="Z170" s="105"/>
      <c r="AA170" s="105" t="s">
        <v>36</v>
      </c>
      <c r="AB170" s="110" t="s">
        <v>35</v>
      </c>
      <c r="AC170" s="50">
        <v>1315</v>
      </c>
      <c r="AD170" s="50">
        <v>1185</v>
      </c>
      <c r="AE170" s="50">
        <v>1005</v>
      </c>
      <c r="AF170" s="111">
        <f t="shared" si="10"/>
        <v>6</v>
      </c>
      <c r="AG170" s="111" t="str">
        <f t="shared" si="11"/>
        <v>小梁切开费</v>
      </c>
      <c r="AH170" s="111">
        <f t="shared" si="12"/>
        <v>1315</v>
      </c>
      <c r="AI170" s="111">
        <f t="shared" si="13"/>
        <v>1185</v>
      </c>
      <c r="AJ170" s="111">
        <f t="shared" si="14"/>
        <v>1005</v>
      </c>
    </row>
    <row r="171" s="52" customFormat="1" ht="24" customHeight="1" spans="1:36">
      <c r="A171" s="112">
        <v>62</v>
      </c>
      <c r="B171" s="112" t="s">
        <v>850</v>
      </c>
      <c r="C171" s="66" t="s">
        <v>851</v>
      </c>
      <c r="D171" s="65" t="s">
        <v>852</v>
      </c>
      <c r="E171" s="77" t="s">
        <v>853</v>
      </c>
      <c r="F171" s="77"/>
      <c r="G171" s="64" t="s">
        <v>110</v>
      </c>
      <c r="H171" s="78">
        <v>1323</v>
      </c>
      <c r="I171" s="78">
        <v>1190</v>
      </c>
      <c r="J171" s="83">
        <v>845</v>
      </c>
      <c r="K171" s="83">
        <v>760</v>
      </c>
      <c r="L171" s="83">
        <v>645</v>
      </c>
      <c r="M171" s="83"/>
      <c r="N171" s="92">
        <v>1160</v>
      </c>
      <c r="O171" s="92">
        <v>1045</v>
      </c>
      <c r="P171" s="95">
        <v>890</v>
      </c>
      <c r="Q171" s="64" t="s">
        <v>37</v>
      </c>
      <c r="R171" s="64" t="s">
        <v>35</v>
      </c>
      <c r="S171" s="64" t="s">
        <v>35</v>
      </c>
      <c r="T171" s="83" t="s">
        <v>485</v>
      </c>
      <c r="U171" s="104" t="s">
        <v>854</v>
      </c>
      <c r="V171" s="105" t="s">
        <v>855</v>
      </c>
      <c r="W171" s="105">
        <v>330405014</v>
      </c>
      <c r="X171" s="106" t="s">
        <v>856</v>
      </c>
      <c r="Y171" s="105"/>
      <c r="Z171" s="105" t="s">
        <v>857</v>
      </c>
      <c r="AA171" s="105" t="s">
        <v>36</v>
      </c>
      <c r="AB171" s="110" t="s">
        <v>35</v>
      </c>
      <c r="AC171" s="50">
        <v>1350</v>
      </c>
      <c r="AD171" s="50">
        <v>1220</v>
      </c>
      <c r="AE171" s="50">
        <v>1040</v>
      </c>
      <c r="AF171" s="111">
        <f t="shared" si="10"/>
        <v>0</v>
      </c>
      <c r="AG171" s="111" t="str">
        <f t="shared" si="11"/>
        <v>非穿透小梁手术费</v>
      </c>
      <c r="AH171" s="111">
        <f t="shared" si="12"/>
        <v>1160</v>
      </c>
      <c r="AI171" s="111">
        <f t="shared" si="13"/>
        <v>1045</v>
      </c>
      <c r="AJ171" s="111">
        <f t="shared" si="14"/>
        <v>890</v>
      </c>
    </row>
    <row r="172" s="52" customFormat="1" ht="24" customHeight="1" spans="1:36">
      <c r="A172" s="112"/>
      <c r="B172" s="112"/>
      <c r="C172" s="66" t="s">
        <v>851</v>
      </c>
      <c r="D172" s="65"/>
      <c r="E172" s="77"/>
      <c r="F172" s="77"/>
      <c r="G172" s="64"/>
      <c r="H172" s="42"/>
      <c r="I172" s="42"/>
      <c r="J172" s="83"/>
      <c r="K172" s="83"/>
      <c r="L172" s="83"/>
      <c r="M172" s="83"/>
      <c r="N172" s="92">
        <v>1160</v>
      </c>
      <c r="O172" s="92">
        <v>1045</v>
      </c>
      <c r="P172" s="95">
        <v>890</v>
      </c>
      <c r="Q172" s="64"/>
      <c r="R172" s="64"/>
      <c r="S172" s="64"/>
      <c r="T172" s="83"/>
      <c r="U172" s="104"/>
      <c r="V172" s="105" t="s">
        <v>858</v>
      </c>
      <c r="W172" s="105">
        <v>330405011</v>
      </c>
      <c r="X172" s="106" t="s">
        <v>859</v>
      </c>
      <c r="Y172" s="105" t="s">
        <v>860</v>
      </c>
      <c r="Z172" s="105"/>
      <c r="AA172" s="105" t="s">
        <v>36</v>
      </c>
      <c r="AB172" s="110" t="s">
        <v>861</v>
      </c>
      <c r="AC172" s="50">
        <v>845</v>
      </c>
      <c r="AD172" s="50">
        <v>760</v>
      </c>
      <c r="AE172" s="50">
        <v>645</v>
      </c>
      <c r="AF172" s="111">
        <f t="shared" si="10"/>
        <v>0</v>
      </c>
      <c r="AG172" s="111" t="str">
        <f t="shared" si="11"/>
        <v>非穿透小梁手术费</v>
      </c>
      <c r="AH172" s="111">
        <f t="shared" si="12"/>
        <v>1160</v>
      </c>
      <c r="AI172" s="111">
        <f t="shared" si="13"/>
        <v>1045</v>
      </c>
      <c r="AJ172" s="111">
        <f t="shared" si="14"/>
        <v>890</v>
      </c>
    </row>
    <row r="173" s="52" customFormat="1" ht="24" customHeight="1" spans="1:36">
      <c r="A173" s="112"/>
      <c r="B173" s="112"/>
      <c r="C173" s="66" t="s">
        <v>851</v>
      </c>
      <c r="D173" s="65"/>
      <c r="E173" s="77"/>
      <c r="F173" s="77"/>
      <c r="G173" s="64"/>
      <c r="H173" s="42"/>
      <c r="I173" s="42"/>
      <c r="J173" s="83"/>
      <c r="K173" s="83"/>
      <c r="L173" s="83"/>
      <c r="M173" s="83"/>
      <c r="N173" s="92">
        <v>1160</v>
      </c>
      <c r="O173" s="92">
        <v>1045</v>
      </c>
      <c r="P173" s="95">
        <v>890</v>
      </c>
      <c r="Q173" s="64"/>
      <c r="R173" s="64"/>
      <c r="S173" s="64"/>
      <c r="T173" s="83"/>
      <c r="U173" s="104"/>
      <c r="V173" s="105" t="s">
        <v>862</v>
      </c>
      <c r="W173" s="105">
        <v>33040501102</v>
      </c>
      <c r="X173" s="106" t="s">
        <v>863</v>
      </c>
      <c r="Y173" s="105"/>
      <c r="Z173" s="105"/>
      <c r="AA173" s="105" t="s">
        <v>36</v>
      </c>
      <c r="AB173" s="110" t="s">
        <v>35</v>
      </c>
      <c r="AC173" s="50">
        <v>845</v>
      </c>
      <c r="AD173" s="50">
        <v>760</v>
      </c>
      <c r="AE173" s="50">
        <v>645</v>
      </c>
      <c r="AF173" s="111">
        <f t="shared" si="10"/>
        <v>0</v>
      </c>
      <c r="AG173" s="111" t="str">
        <f t="shared" si="11"/>
        <v>非穿透小梁手术费</v>
      </c>
      <c r="AH173" s="111">
        <f t="shared" si="12"/>
        <v>1160</v>
      </c>
      <c r="AI173" s="111">
        <f t="shared" si="13"/>
        <v>1045</v>
      </c>
      <c r="AJ173" s="111">
        <f t="shared" si="14"/>
        <v>890</v>
      </c>
    </row>
    <row r="174" s="52" customFormat="1" ht="27" customHeight="1" spans="1:36">
      <c r="A174" s="112" t="s">
        <v>95</v>
      </c>
      <c r="B174" s="112" t="s">
        <v>864</v>
      </c>
      <c r="C174" s="66" t="s">
        <v>865</v>
      </c>
      <c r="D174" s="65"/>
      <c r="E174" s="77"/>
      <c r="F174" s="77" t="s">
        <v>35</v>
      </c>
      <c r="G174" s="64" t="s">
        <v>110</v>
      </c>
      <c r="H174" s="78">
        <v>397</v>
      </c>
      <c r="I174" s="78">
        <v>357</v>
      </c>
      <c r="J174" s="83"/>
      <c r="K174" s="83"/>
      <c r="L174" s="83"/>
      <c r="M174" s="83"/>
      <c r="N174" s="91">
        <v>350</v>
      </c>
      <c r="O174" s="91">
        <v>315</v>
      </c>
      <c r="P174" s="93">
        <v>265</v>
      </c>
      <c r="Q174" s="64" t="s">
        <v>37</v>
      </c>
      <c r="R174" s="64" t="s">
        <v>35</v>
      </c>
      <c r="S174" s="64" t="s">
        <v>35</v>
      </c>
      <c r="T174" s="83"/>
      <c r="U174" s="77" t="s">
        <v>186</v>
      </c>
      <c r="V174" s="105" t="s">
        <v>866</v>
      </c>
      <c r="W174" s="105">
        <v>33040501401</v>
      </c>
      <c r="X174" s="106" t="s">
        <v>867</v>
      </c>
      <c r="Y174" s="105"/>
      <c r="Z174" s="105"/>
      <c r="AA174" s="105" t="s">
        <v>36</v>
      </c>
      <c r="AB174" s="110" t="s">
        <v>35</v>
      </c>
      <c r="AC174" s="50">
        <v>1755</v>
      </c>
      <c r="AD174" s="50">
        <v>1585</v>
      </c>
      <c r="AE174" s="50">
        <v>1345</v>
      </c>
      <c r="AF174" s="111">
        <f t="shared" si="10"/>
        <v>9</v>
      </c>
      <c r="AG174" s="111" t="str">
        <f t="shared" si="11"/>
        <v>非穿透小梁手术费</v>
      </c>
      <c r="AH174" s="111">
        <f t="shared" si="12"/>
        <v>1510</v>
      </c>
      <c r="AI174" s="111">
        <f t="shared" si="13"/>
        <v>1360</v>
      </c>
      <c r="AJ174" s="111">
        <f t="shared" si="14"/>
        <v>1155</v>
      </c>
    </row>
    <row r="175" s="52" customFormat="1" ht="27" customHeight="1" spans="1:36">
      <c r="A175" s="112"/>
      <c r="B175" s="112"/>
      <c r="C175" s="66" t="s">
        <v>865</v>
      </c>
      <c r="D175" s="65"/>
      <c r="E175" s="77"/>
      <c r="F175" s="77"/>
      <c r="G175" s="64"/>
      <c r="H175" s="42"/>
      <c r="I175" s="42"/>
      <c r="J175" s="83"/>
      <c r="K175" s="83"/>
      <c r="L175" s="83"/>
      <c r="M175" s="83"/>
      <c r="N175" s="91">
        <v>350</v>
      </c>
      <c r="O175" s="91">
        <v>315</v>
      </c>
      <c r="P175" s="93">
        <v>265</v>
      </c>
      <c r="Q175" s="64"/>
      <c r="R175" s="64"/>
      <c r="S175" s="64"/>
      <c r="T175" s="83"/>
      <c r="U175" s="77"/>
      <c r="V175" s="105" t="s">
        <v>868</v>
      </c>
      <c r="W175" s="105">
        <v>33040501103</v>
      </c>
      <c r="X175" s="106" t="s">
        <v>869</v>
      </c>
      <c r="Y175" s="105"/>
      <c r="Z175" s="105"/>
      <c r="AA175" s="105" t="s">
        <v>36</v>
      </c>
      <c r="AB175" s="110" t="s">
        <v>35</v>
      </c>
      <c r="AC175" s="50">
        <v>1100</v>
      </c>
      <c r="AD175" s="50">
        <v>990</v>
      </c>
      <c r="AE175" s="50">
        <v>840</v>
      </c>
      <c r="AF175" s="111">
        <f t="shared" si="10"/>
        <v>9</v>
      </c>
      <c r="AG175" s="111" t="str">
        <f t="shared" si="11"/>
        <v>非穿透小梁手术费</v>
      </c>
      <c r="AH175" s="111">
        <f t="shared" si="12"/>
        <v>1510</v>
      </c>
      <c r="AI175" s="111">
        <f t="shared" si="13"/>
        <v>1360</v>
      </c>
      <c r="AJ175" s="111">
        <f t="shared" si="14"/>
        <v>1155</v>
      </c>
    </row>
    <row r="176" s="52" customFormat="1" ht="25.5" spans="1:36">
      <c r="A176" s="112">
        <v>64</v>
      </c>
      <c r="B176" s="112" t="s">
        <v>877</v>
      </c>
      <c r="C176" s="66" t="s">
        <v>878</v>
      </c>
      <c r="D176" s="65" t="s">
        <v>879</v>
      </c>
      <c r="E176" s="77" t="s">
        <v>880</v>
      </c>
      <c r="F176" s="77" t="s">
        <v>35</v>
      </c>
      <c r="G176" s="64" t="s">
        <v>110</v>
      </c>
      <c r="H176" s="78">
        <v>770</v>
      </c>
      <c r="I176" s="78">
        <v>690</v>
      </c>
      <c r="J176" s="83">
        <v>675</v>
      </c>
      <c r="K176" s="83"/>
      <c r="L176" s="83"/>
      <c r="M176" s="83"/>
      <c r="N176" s="91">
        <v>675</v>
      </c>
      <c r="O176" s="91">
        <v>610</v>
      </c>
      <c r="P176" s="93">
        <v>520</v>
      </c>
      <c r="Q176" s="64" t="s">
        <v>37</v>
      </c>
      <c r="R176" s="64" t="s">
        <v>35</v>
      </c>
      <c r="S176" s="64" t="s">
        <v>35</v>
      </c>
      <c r="T176" s="83" t="s">
        <v>381</v>
      </c>
      <c r="U176" s="77" t="s">
        <v>881</v>
      </c>
      <c r="V176" s="105" t="s">
        <v>882</v>
      </c>
      <c r="W176" s="105">
        <v>330405020</v>
      </c>
      <c r="X176" s="106" t="s">
        <v>883</v>
      </c>
      <c r="Y176" s="105"/>
      <c r="Z176" s="105" t="s">
        <v>884</v>
      </c>
      <c r="AA176" s="105" t="s">
        <v>36</v>
      </c>
      <c r="AB176" s="110" t="s">
        <v>35</v>
      </c>
      <c r="AC176" s="50">
        <v>675</v>
      </c>
      <c r="AD176" s="50">
        <v>610</v>
      </c>
      <c r="AE176" s="50">
        <v>520</v>
      </c>
      <c r="AF176" s="111">
        <f t="shared" si="10"/>
        <v>0</v>
      </c>
      <c r="AG176" s="111" t="str">
        <f t="shared" si="11"/>
        <v>结膜滤过泡修补费</v>
      </c>
      <c r="AH176" s="111">
        <f t="shared" si="12"/>
        <v>675</v>
      </c>
      <c r="AI176" s="111">
        <f t="shared" si="13"/>
        <v>610</v>
      </c>
      <c r="AJ176" s="111">
        <f t="shared" si="14"/>
        <v>520</v>
      </c>
    </row>
    <row r="177" s="52" customFormat="1" ht="25.5" spans="1:36">
      <c r="A177" s="112"/>
      <c r="B177" s="112"/>
      <c r="C177" s="66" t="s">
        <v>878</v>
      </c>
      <c r="D177" s="65"/>
      <c r="E177" s="77"/>
      <c r="F177" s="77"/>
      <c r="G177" s="64"/>
      <c r="H177" s="42"/>
      <c r="I177" s="42"/>
      <c r="J177" s="83"/>
      <c r="K177" s="83"/>
      <c r="L177" s="83"/>
      <c r="M177" s="83"/>
      <c r="N177" s="91">
        <v>675</v>
      </c>
      <c r="O177" s="91">
        <v>610</v>
      </c>
      <c r="P177" s="93">
        <v>520</v>
      </c>
      <c r="Q177" s="64"/>
      <c r="R177" s="64"/>
      <c r="S177" s="64"/>
      <c r="T177" s="83"/>
      <c r="U177" s="77"/>
      <c r="V177" s="117" t="s">
        <v>885</v>
      </c>
      <c r="W177" s="117">
        <v>330405018</v>
      </c>
      <c r="X177" s="118" t="s">
        <v>886</v>
      </c>
      <c r="Y177" s="117"/>
      <c r="Z177" s="117"/>
      <c r="AA177" s="117" t="s">
        <v>36</v>
      </c>
      <c r="AB177" s="120" t="s">
        <v>35</v>
      </c>
      <c r="AC177" s="96">
        <v>625</v>
      </c>
      <c r="AD177" s="96">
        <v>600</v>
      </c>
      <c r="AE177" s="96">
        <v>510</v>
      </c>
      <c r="AF177" s="111">
        <f t="shared" si="10"/>
        <v>0</v>
      </c>
      <c r="AG177" s="111" t="str">
        <f t="shared" si="11"/>
        <v>结膜滤过泡修补费</v>
      </c>
      <c r="AH177" s="111">
        <f t="shared" si="12"/>
        <v>675</v>
      </c>
      <c r="AI177" s="111">
        <f t="shared" si="13"/>
        <v>610</v>
      </c>
      <c r="AJ177" s="111">
        <f t="shared" si="14"/>
        <v>520</v>
      </c>
    </row>
    <row r="178" s="52" customFormat="1" ht="25.5" spans="1:36">
      <c r="A178" s="112"/>
      <c r="B178" s="112"/>
      <c r="C178" s="66" t="s">
        <v>878</v>
      </c>
      <c r="D178" s="65"/>
      <c r="E178" s="77"/>
      <c r="F178" s="77"/>
      <c r="G178" s="64"/>
      <c r="H178" s="42"/>
      <c r="I178" s="42"/>
      <c r="J178" s="83"/>
      <c r="K178" s="83"/>
      <c r="L178" s="83"/>
      <c r="M178" s="83"/>
      <c r="N178" s="91">
        <v>675</v>
      </c>
      <c r="O178" s="91">
        <v>610</v>
      </c>
      <c r="P178" s="93">
        <v>520</v>
      </c>
      <c r="Q178" s="64"/>
      <c r="R178" s="64"/>
      <c r="S178" s="64"/>
      <c r="T178" s="83"/>
      <c r="U178" s="77"/>
      <c r="V178" s="105" t="s">
        <v>888</v>
      </c>
      <c r="W178" s="105">
        <v>330405019</v>
      </c>
      <c r="X178" s="106" t="s">
        <v>889</v>
      </c>
      <c r="Y178" s="105"/>
      <c r="Z178" s="105"/>
      <c r="AA178" s="105" t="s">
        <v>36</v>
      </c>
      <c r="AB178" s="110" t="s">
        <v>35</v>
      </c>
      <c r="AC178" s="50">
        <v>500</v>
      </c>
      <c r="AD178" s="50">
        <v>480</v>
      </c>
      <c r="AE178" s="50">
        <v>408</v>
      </c>
      <c r="AF178" s="111">
        <f t="shared" si="10"/>
        <v>0</v>
      </c>
      <c r="AG178" s="111" t="str">
        <f t="shared" si="11"/>
        <v>结膜滤过泡修补费</v>
      </c>
      <c r="AH178" s="111">
        <f t="shared" si="12"/>
        <v>675</v>
      </c>
      <c r="AI178" s="111">
        <f t="shared" si="13"/>
        <v>610</v>
      </c>
      <c r="AJ178" s="111">
        <f t="shared" si="14"/>
        <v>520</v>
      </c>
    </row>
    <row r="179" s="52" customFormat="1" ht="25.5" spans="1:36">
      <c r="A179" s="112" t="s">
        <v>95</v>
      </c>
      <c r="B179" s="112" t="s">
        <v>890</v>
      </c>
      <c r="C179" s="66" t="s">
        <v>891</v>
      </c>
      <c r="D179" s="65"/>
      <c r="E179" s="77"/>
      <c r="F179" s="77" t="s">
        <v>35</v>
      </c>
      <c r="G179" s="64" t="s">
        <v>110</v>
      </c>
      <c r="H179" s="78">
        <v>231</v>
      </c>
      <c r="I179" s="78">
        <v>207</v>
      </c>
      <c r="J179" s="83"/>
      <c r="K179" s="83"/>
      <c r="L179" s="83"/>
      <c r="M179" s="83"/>
      <c r="N179" s="91">
        <v>205</v>
      </c>
      <c r="O179" s="91">
        <v>185</v>
      </c>
      <c r="P179" s="93">
        <v>155</v>
      </c>
      <c r="Q179" s="64" t="s">
        <v>37</v>
      </c>
      <c r="R179" s="64" t="s">
        <v>35</v>
      </c>
      <c r="S179" s="64" t="s">
        <v>35</v>
      </c>
      <c r="T179" s="83"/>
      <c r="U179" s="77"/>
      <c r="V179" s="105" t="s">
        <v>892</v>
      </c>
      <c r="W179" s="105">
        <v>33040502001</v>
      </c>
      <c r="X179" s="106" t="s">
        <v>893</v>
      </c>
      <c r="Y179" s="105"/>
      <c r="Z179" s="105"/>
      <c r="AA179" s="105" t="s">
        <v>36</v>
      </c>
      <c r="AB179" s="110" t="s">
        <v>35</v>
      </c>
      <c r="AC179" s="50">
        <v>880</v>
      </c>
      <c r="AD179" s="50">
        <v>795</v>
      </c>
      <c r="AE179" s="50">
        <v>675</v>
      </c>
      <c r="AF179" s="111">
        <f t="shared" si="10"/>
        <v>9</v>
      </c>
      <c r="AG179" s="111" t="str">
        <f t="shared" si="11"/>
        <v>结膜滤过泡修补费</v>
      </c>
      <c r="AH179" s="111">
        <f t="shared" si="12"/>
        <v>880</v>
      </c>
      <c r="AI179" s="111">
        <f t="shared" si="13"/>
        <v>795</v>
      </c>
      <c r="AJ179" s="111">
        <f t="shared" si="14"/>
        <v>675</v>
      </c>
    </row>
    <row r="180" s="52" customFormat="1" ht="25.5" spans="1:36">
      <c r="A180" s="112"/>
      <c r="B180" s="112"/>
      <c r="C180" s="66" t="s">
        <v>891</v>
      </c>
      <c r="D180" s="65"/>
      <c r="E180" s="77"/>
      <c r="F180" s="77"/>
      <c r="G180" s="64"/>
      <c r="H180" s="42"/>
      <c r="I180" s="42"/>
      <c r="J180" s="83"/>
      <c r="K180" s="83"/>
      <c r="L180" s="83"/>
      <c r="M180" s="83"/>
      <c r="N180" s="91">
        <v>205</v>
      </c>
      <c r="O180" s="91">
        <v>185</v>
      </c>
      <c r="P180" s="93">
        <v>155</v>
      </c>
      <c r="Q180" s="64"/>
      <c r="R180" s="64"/>
      <c r="S180" s="64"/>
      <c r="T180" s="83"/>
      <c r="U180" s="77"/>
      <c r="V180" s="117" t="s">
        <v>894</v>
      </c>
      <c r="W180" s="117">
        <v>33040501801</v>
      </c>
      <c r="X180" s="118" t="s">
        <v>895</v>
      </c>
      <c r="Y180" s="117"/>
      <c r="Z180" s="117"/>
      <c r="AA180" s="117" t="s">
        <v>36</v>
      </c>
      <c r="AB180" s="120" t="s">
        <v>35</v>
      </c>
      <c r="AC180" s="96">
        <v>815</v>
      </c>
      <c r="AD180" s="96">
        <v>780</v>
      </c>
      <c r="AE180" s="96">
        <v>665</v>
      </c>
      <c r="AF180" s="111">
        <f t="shared" si="10"/>
        <v>9</v>
      </c>
      <c r="AG180" s="111" t="str">
        <f t="shared" si="11"/>
        <v>结膜滤过泡修补费</v>
      </c>
      <c r="AH180" s="111">
        <f t="shared" si="12"/>
        <v>880</v>
      </c>
      <c r="AI180" s="111">
        <f t="shared" si="13"/>
        <v>795</v>
      </c>
      <c r="AJ180" s="111">
        <f t="shared" si="14"/>
        <v>675</v>
      </c>
    </row>
    <row r="181" s="52" customFormat="1" ht="25.5" spans="1:36">
      <c r="A181" s="112"/>
      <c r="B181" s="112"/>
      <c r="C181" s="66" t="s">
        <v>891</v>
      </c>
      <c r="D181" s="65"/>
      <c r="E181" s="77"/>
      <c r="F181" s="77"/>
      <c r="G181" s="64"/>
      <c r="H181" s="42"/>
      <c r="I181" s="42"/>
      <c r="J181" s="83"/>
      <c r="K181" s="83"/>
      <c r="L181" s="83"/>
      <c r="M181" s="83"/>
      <c r="N181" s="91">
        <v>205</v>
      </c>
      <c r="O181" s="91">
        <v>185</v>
      </c>
      <c r="P181" s="93">
        <v>155</v>
      </c>
      <c r="Q181" s="64"/>
      <c r="R181" s="64"/>
      <c r="S181" s="64"/>
      <c r="T181" s="83"/>
      <c r="U181" s="77"/>
      <c r="V181" s="105" t="s">
        <v>896</v>
      </c>
      <c r="W181" s="105">
        <v>33040501901</v>
      </c>
      <c r="X181" s="106" t="s">
        <v>897</v>
      </c>
      <c r="Y181" s="105"/>
      <c r="Z181" s="105"/>
      <c r="AA181" s="105" t="s">
        <v>36</v>
      </c>
      <c r="AB181" s="110" t="s">
        <v>35</v>
      </c>
      <c r="AC181" s="50">
        <v>650</v>
      </c>
      <c r="AD181" s="50">
        <v>625</v>
      </c>
      <c r="AE181" s="50">
        <v>530</v>
      </c>
      <c r="AF181" s="111">
        <f t="shared" si="10"/>
        <v>9</v>
      </c>
      <c r="AG181" s="111" t="str">
        <f t="shared" si="11"/>
        <v>结膜滤过泡修补费</v>
      </c>
      <c r="AH181" s="111">
        <f t="shared" si="12"/>
        <v>880</v>
      </c>
      <c r="AI181" s="111">
        <f t="shared" si="13"/>
        <v>795</v>
      </c>
      <c r="AJ181" s="111">
        <f t="shared" si="14"/>
        <v>675</v>
      </c>
    </row>
    <row r="182" s="52" customFormat="1" ht="76" customHeight="1" spans="1:36">
      <c r="A182" s="64">
        <v>65</v>
      </c>
      <c r="B182" s="64" t="s">
        <v>898</v>
      </c>
      <c r="C182" s="64" t="s">
        <v>899</v>
      </c>
      <c r="D182" s="65" t="s">
        <v>900</v>
      </c>
      <c r="E182" s="77" t="s">
        <v>901</v>
      </c>
      <c r="F182" s="77" t="s">
        <v>35</v>
      </c>
      <c r="G182" s="64" t="s">
        <v>110</v>
      </c>
      <c r="H182" s="78">
        <v>1540</v>
      </c>
      <c r="I182" s="78">
        <v>1386</v>
      </c>
      <c r="J182" s="83">
        <v>1350</v>
      </c>
      <c r="K182" s="83">
        <v>1220</v>
      </c>
      <c r="L182" s="83">
        <v>1040</v>
      </c>
      <c r="M182" s="83"/>
      <c r="N182" s="41">
        <v>1350</v>
      </c>
      <c r="O182" s="41">
        <v>1220</v>
      </c>
      <c r="P182" s="50">
        <v>1040</v>
      </c>
      <c r="Q182" s="64" t="s">
        <v>37</v>
      </c>
      <c r="R182" s="64" t="s">
        <v>35</v>
      </c>
      <c r="S182" s="64" t="s">
        <v>35</v>
      </c>
      <c r="T182" s="83" t="s">
        <v>381</v>
      </c>
      <c r="U182" s="77" t="s">
        <v>381</v>
      </c>
      <c r="V182" s="105" t="s">
        <v>902</v>
      </c>
      <c r="W182" s="105">
        <v>330405017</v>
      </c>
      <c r="X182" s="106" t="s">
        <v>903</v>
      </c>
      <c r="Y182" s="105"/>
      <c r="Z182" s="105" t="s">
        <v>904</v>
      </c>
      <c r="AA182" s="105" t="s">
        <v>36</v>
      </c>
      <c r="AB182" s="110" t="s">
        <v>35</v>
      </c>
      <c r="AC182" s="50">
        <v>1350</v>
      </c>
      <c r="AD182" s="50">
        <v>1220</v>
      </c>
      <c r="AE182" s="50">
        <v>1040</v>
      </c>
      <c r="AF182" s="111">
        <f t="shared" si="10"/>
        <v>0</v>
      </c>
      <c r="AG182" s="111" t="str">
        <f t="shared" si="11"/>
        <v>房水引流物植入费</v>
      </c>
      <c r="AH182" s="111">
        <f t="shared" si="12"/>
        <v>1350</v>
      </c>
      <c r="AI182" s="111">
        <f t="shared" si="13"/>
        <v>1220</v>
      </c>
      <c r="AJ182" s="111">
        <f t="shared" si="14"/>
        <v>1040</v>
      </c>
    </row>
    <row r="183" s="52" customFormat="1" ht="34" customHeight="1" spans="1:36">
      <c r="A183" s="112" t="s">
        <v>95</v>
      </c>
      <c r="B183" s="112" t="s">
        <v>905</v>
      </c>
      <c r="C183" s="64" t="s">
        <v>906</v>
      </c>
      <c r="D183" s="65"/>
      <c r="E183" s="77"/>
      <c r="F183" s="77" t="s">
        <v>35</v>
      </c>
      <c r="G183" s="64" t="s">
        <v>110</v>
      </c>
      <c r="H183" s="78">
        <v>462</v>
      </c>
      <c r="I183" s="78">
        <v>416</v>
      </c>
      <c r="J183" s="83">
        <v>405</v>
      </c>
      <c r="K183" s="83">
        <v>365</v>
      </c>
      <c r="L183" s="83">
        <v>305</v>
      </c>
      <c r="M183" s="83"/>
      <c r="N183" s="41">
        <v>405</v>
      </c>
      <c r="O183" s="41">
        <v>365</v>
      </c>
      <c r="P183" s="50">
        <v>310</v>
      </c>
      <c r="Q183" s="64" t="s">
        <v>37</v>
      </c>
      <c r="R183" s="64" t="s">
        <v>35</v>
      </c>
      <c r="S183" s="64" t="s">
        <v>35</v>
      </c>
      <c r="T183" s="83"/>
      <c r="U183" s="77" t="s">
        <v>186</v>
      </c>
      <c r="V183" s="105" t="s">
        <v>907</v>
      </c>
      <c r="W183" s="105">
        <v>33040501701</v>
      </c>
      <c r="X183" s="106" t="s">
        <v>908</v>
      </c>
      <c r="Y183" s="105"/>
      <c r="Z183" s="105"/>
      <c r="AA183" s="105" t="s">
        <v>36</v>
      </c>
      <c r="AB183" s="110" t="s">
        <v>35</v>
      </c>
      <c r="AC183" s="50">
        <v>1755</v>
      </c>
      <c r="AD183" s="50">
        <v>1585</v>
      </c>
      <c r="AE183" s="50">
        <v>1345</v>
      </c>
      <c r="AF183" s="111">
        <f t="shared" si="10"/>
        <v>9</v>
      </c>
      <c r="AG183" s="111" t="str">
        <f t="shared" si="11"/>
        <v>房水引流物植入费</v>
      </c>
      <c r="AH183" s="111">
        <f t="shared" si="12"/>
        <v>1755</v>
      </c>
      <c r="AI183" s="111">
        <f t="shared" si="13"/>
        <v>1585</v>
      </c>
      <c r="AJ183" s="111">
        <f t="shared" si="14"/>
        <v>1350</v>
      </c>
    </row>
    <row r="184" s="52" customFormat="1" ht="42" customHeight="1" spans="1:36">
      <c r="A184" s="64">
        <v>68</v>
      </c>
      <c r="B184" s="64" t="s">
        <v>922</v>
      </c>
      <c r="C184" s="66" t="s">
        <v>923</v>
      </c>
      <c r="D184" s="65" t="s">
        <v>924</v>
      </c>
      <c r="E184" s="77" t="s">
        <v>925</v>
      </c>
      <c r="F184" s="77" t="s">
        <v>926</v>
      </c>
      <c r="G184" s="64" t="s">
        <v>110</v>
      </c>
      <c r="H184" s="78">
        <v>1540</v>
      </c>
      <c r="I184" s="78">
        <v>1386</v>
      </c>
      <c r="J184" s="83">
        <v>1350</v>
      </c>
      <c r="K184" s="83">
        <v>1220</v>
      </c>
      <c r="L184" s="83"/>
      <c r="M184" s="83"/>
      <c r="N184" s="91">
        <v>1350</v>
      </c>
      <c r="O184" s="91">
        <v>1220</v>
      </c>
      <c r="P184" s="93">
        <v>1040</v>
      </c>
      <c r="Q184" s="64" t="s">
        <v>37</v>
      </c>
      <c r="R184" s="64" t="s">
        <v>35</v>
      </c>
      <c r="S184" s="64" t="s">
        <v>35</v>
      </c>
      <c r="T184" s="83" t="s">
        <v>381</v>
      </c>
      <c r="U184" s="77" t="s">
        <v>381</v>
      </c>
      <c r="V184" s="105" t="s">
        <v>927</v>
      </c>
      <c r="W184" s="105">
        <v>330407004</v>
      </c>
      <c r="X184" s="106" t="s">
        <v>928</v>
      </c>
      <c r="Y184" s="105" t="s">
        <v>929</v>
      </c>
      <c r="Z184" s="105" t="s">
        <v>930</v>
      </c>
      <c r="AA184" s="105" t="s">
        <v>36</v>
      </c>
      <c r="AB184" s="110" t="s">
        <v>931</v>
      </c>
      <c r="AC184" s="50">
        <v>1350</v>
      </c>
      <c r="AD184" s="50">
        <v>1220</v>
      </c>
      <c r="AE184" s="50">
        <v>1040</v>
      </c>
      <c r="AF184" s="111">
        <f t="shared" si="10"/>
        <v>0</v>
      </c>
      <c r="AG184" s="111" t="str">
        <f t="shared" si="11"/>
        <v>视网膜脱离修复费（常规）</v>
      </c>
      <c r="AH184" s="111">
        <f t="shared" si="12"/>
        <v>1350</v>
      </c>
      <c r="AI184" s="111">
        <f t="shared" si="13"/>
        <v>1220</v>
      </c>
      <c r="AJ184" s="111">
        <f t="shared" si="14"/>
        <v>1040</v>
      </c>
    </row>
    <row r="185" s="52" customFormat="1" ht="42" customHeight="1" spans="1:36">
      <c r="A185" s="64"/>
      <c r="B185" s="64"/>
      <c r="C185" s="66" t="s">
        <v>923</v>
      </c>
      <c r="D185" s="65"/>
      <c r="E185" s="77"/>
      <c r="F185" s="77"/>
      <c r="G185" s="64"/>
      <c r="H185" s="42"/>
      <c r="I185" s="42"/>
      <c r="J185" s="83"/>
      <c r="K185" s="83"/>
      <c r="L185" s="83"/>
      <c r="M185" s="83"/>
      <c r="N185" s="91">
        <v>1350</v>
      </c>
      <c r="O185" s="91">
        <v>1220</v>
      </c>
      <c r="P185" s="93">
        <v>1040</v>
      </c>
      <c r="Q185" s="64"/>
      <c r="R185" s="64"/>
      <c r="S185" s="64"/>
      <c r="T185" s="83"/>
      <c r="U185" s="77"/>
      <c r="V185" s="105" t="s">
        <v>932</v>
      </c>
      <c r="W185" s="105">
        <v>33040700401</v>
      </c>
      <c r="X185" s="106" t="s">
        <v>933</v>
      </c>
      <c r="Y185" s="105" t="s">
        <v>35</v>
      </c>
      <c r="Z185" s="105"/>
      <c r="AA185" s="105" t="s">
        <v>36</v>
      </c>
      <c r="AB185" s="110" t="s">
        <v>934</v>
      </c>
      <c r="AC185" s="50">
        <v>1300</v>
      </c>
      <c r="AD185" s="50">
        <v>1170</v>
      </c>
      <c r="AE185" s="50">
        <v>995</v>
      </c>
      <c r="AF185" s="111">
        <f t="shared" si="10"/>
        <v>0</v>
      </c>
      <c r="AG185" s="111" t="str">
        <f t="shared" si="11"/>
        <v>视网膜脱离修复费（常规）</v>
      </c>
      <c r="AH185" s="111">
        <f t="shared" si="12"/>
        <v>1350</v>
      </c>
      <c r="AI185" s="111">
        <f t="shared" si="13"/>
        <v>1220</v>
      </c>
      <c r="AJ185" s="111">
        <f t="shared" si="14"/>
        <v>1040</v>
      </c>
    </row>
    <row r="186" s="52" customFormat="1" ht="30" customHeight="1" spans="1:36">
      <c r="A186" s="64" t="s">
        <v>95</v>
      </c>
      <c r="B186" s="64" t="s">
        <v>935</v>
      </c>
      <c r="C186" s="66" t="s">
        <v>936</v>
      </c>
      <c r="D186" s="65"/>
      <c r="E186" s="77"/>
      <c r="F186" s="77" t="s">
        <v>35</v>
      </c>
      <c r="G186" s="64" t="s">
        <v>110</v>
      </c>
      <c r="H186" s="78">
        <v>462</v>
      </c>
      <c r="I186" s="78">
        <v>416</v>
      </c>
      <c r="J186" s="83"/>
      <c r="K186" s="83"/>
      <c r="L186" s="83"/>
      <c r="M186" s="83"/>
      <c r="N186" s="91">
        <v>405</v>
      </c>
      <c r="O186" s="91">
        <v>365</v>
      </c>
      <c r="P186" s="93">
        <v>310</v>
      </c>
      <c r="Q186" s="64" t="s">
        <v>37</v>
      </c>
      <c r="R186" s="64" t="s">
        <v>35</v>
      </c>
      <c r="S186" s="64" t="s">
        <v>35</v>
      </c>
      <c r="T186" s="83"/>
      <c r="U186" s="77" t="s">
        <v>186</v>
      </c>
      <c r="V186" s="105" t="s">
        <v>937</v>
      </c>
      <c r="W186" s="105">
        <v>33040700402</v>
      </c>
      <c r="X186" s="106" t="s">
        <v>938</v>
      </c>
      <c r="Y186" s="105"/>
      <c r="Z186" s="105"/>
      <c r="AA186" s="105" t="s">
        <v>36</v>
      </c>
      <c r="AB186" s="110" t="s">
        <v>35</v>
      </c>
      <c r="AC186" s="50">
        <v>1755</v>
      </c>
      <c r="AD186" s="50">
        <v>1585</v>
      </c>
      <c r="AE186" s="50">
        <v>1345</v>
      </c>
      <c r="AF186" s="111">
        <f t="shared" si="10"/>
        <v>13</v>
      </c>
      <c r="AG186" s="111" t="str">
        <f t="shared" si="11"/>
        <v>视网膜脱离修复费（常规）</v>
      </c>
      <c r="AH186" s="111">
        <f t="shared" si="12"/>
        <v>1755</v>
      </c>
      <c r="AI186" s="111">
        <f t="shared" si="13"/>
        <v>1585</v>
      </c>
      <c r="AJ186" s="111">
        <f t="shared" si="14"/>
        <v>1350</v>
      </c>
    </row>
    <row r="187" s="52" customFormat="1" ht="30" customHeight="1" spans="1:36">
      <c r="A187" s="64"/>
      <c r="B187" s="64"/>
      <c r="C187" s="66" t="s">
        <v>936</v>
      </c>
      <c r="D187" s="65"/>
      <c r="E187" s="77"/>
      <c r="F187" s="77"/>
      <c r="G187" s="64"/>
      <c r="H187" s="42"/>
      <c r="I187" s="42"/>
      <c r="J187" s="83"/>
      <c r="K187" s="83"/>
      <c r="L187" s="83"/>
      <c r="M187" s="83"/>
      <c r="N187" s="91">
        <v>405</v>
      </c>
      <c r="O187" s="91">
        <v>365</v>
      </c>
      <c r="P187" s="93">
        <v>310</v>
      </c>
      <c r="Q187" s="64"/>
      <c r="R187" s="64"/>
      <c r="S187" s="64"/>
      <c r="T187" s="83"/>
      <c r="U187" s="77"/>
      <c r="V187" s="105" t="s">
        <v>939</v>
      </c>
      <c r="W187" s="105">
        <v>33040700403</v>
      </c>
      <c r="X187" s="106" t="s">
        <v>940</v>
      </c>
      <c r="Y187" s="105" t="s">
        <v>35</v>
      </c>
      <c r="Z187" s="105"/>
      <c r="AA187" s="105" t="s">
        <v>36</v>
      </c>
      <c r="AB187" s="110" t="s">
        <v>934</v>
      </c>
      <c r="AC187" s="50">
        <v>1690</v>
      </c>
      <c r="AD187" s="50">
        <v>1520</v>
      </c>
      <c r="AE187" s="50">
        <v>1290</v>
      </c>
      <c r="AF187" s="111">
        <f t="shared" si="10"/>
        <v>13</v>
      </c>
      <c r="AG187" s="111" t="str">
        <f t="shared" si="11"/>
        <v>视网膜脱离修复费（常规）</v>
      </c>
      <c r="AH187" s="111">
        <f t="shared" si="12"/>
        <v>1755</v>
      </c>
      <c r="AI187" s="111">
        <f t="shared" si="13"/>
        <v>1585</v>
      </c>
      <c r="AJ187" s="111">
        <f t="shared" si="14"/>
        <v>1350</v>
      </c>
    </row>
    <row r="188" s="52" customFormat="1" ht="25" customHeight="1" spans="1:36">
      <c r="A188" s="64">
        <v>69</v>
      </c>
      <c r="B188" s="64" t="s">
        <v>941</v>
      </c>
      <c r="C188" s="66" t="s">
        <v>942</v>
      </c>
      <c r="D188" s="65" t="s">
        <v>943</v>
      </c>
      <c r="E188" s="77" t="s">
        <v>925</v>
      </c>
      <c r="F188" s="77" t="s">
        <v>944</v>
      </c>
      <c r="G188" s="64" t="s">
        <v>110</v>
      </c>
      <c r="H188" s="78">
        <v>4500</v>
      </c>
      <c r="I188" s="78">
        <v>4050</v>
      </c>
      <c r="J188" s="84">
        <v>4324.41220238095</v>
      </c>
      <c r="K188" s="84">
        <v>4203.62453531598</v>
      </c>
      <c r="L188" s="84" t="e">
        <v>#DIV/0!</v>
      </c>
      <c r="M188" s="84"/>
      <c r="N188" s="91">
        <v>4325</v>
      </c>
      <c r="O188" s="91">
        <v>4050</v>
      </c>
      <c r="P188" s="93">
        <v>3450</v>
      </c>
      <c r="Q188" s="64" t="s">
        <v>37</v>
      </c>
      <c r="R188" s="64" t="s">
        <v>35</v>
      </c>
      <c r="S188" s="64" t="s">
        <v>35</v>
      </c>
      <c r="T188" s="83" t="s">
        <v>191</v>
      </c>
      <c r="U188" s="77" t="s">
        <v>945</v>
      </c>
      <c r="V188" s="105" t="s">
        <v>946</v>
      </c>
      <c r="W188" s="105">
        <v>330407005</v>
      </c>
      <c r="X188" s="106" t="s">
        <v>947</v>
      </c>
      <c r="Y188" s="105" t="s">
        <v>948</v>
      </c>
      <c r="Z188" s="105" t="s">
        <v>949</v>
      </c>
      <c r="AA188" s="105" t="s">
        <v>36</v>
      </c>
      <c r="AB188" s="110" t="s">
        <v>950</v>
      </c>
      <c r="AC188" s="50">
        <v>4275</v>
      </c>
      <c r="AD188" s="50">
        <v>4050</v>
      </c>
      <c r="AE188" s="50">
        <v>3450</v>
      </c>
      <c r="AF188" s="111">
        <f t="shared" si="10"/>
        <v>0</v>
      </c>
      <c r="AG188" s="111" t="str">
        <f t="shared" si="11"/>
        <v>视网膜脱离修复费（复杂）</v>
      </c>
      <c r="AH188" s="111">
        <f t="shared" si="12"/>
        <v>4325</v>
      </c>
      <c r="AI188" s="111">
        <f t="shared" si="13"/>
        <v>4050</v>
      </c>
      <c r="AJ188" s="111">
        <f t="shared" si="14"/>
        <v>3450</v>
      </c>
    </row>
    <row r="189" s="52" customFormat="1" ht="25" customHeight="1" spans="1:36">
      <c r="A189" s="64"/>
      <c r="B189" s="64"/>
      <c r="C189" s="66" t="s">
        <v>942</v>
      </c>
      <c r="D189" s="65"/>
      <c r="E189" s="77"/>
      <c r="F189" s="77"/>
      <c r="G189" s="64"/>
      <c r="H189" s="42"/>
      <c r="I189" s="42"/>
      <c r="J189" s="84"/>
      <c r="K189" s="84"/>
      <c r="L189" s="84"/>
      <c r="M189" s="84"/>
      <c r="N189" s="91">
        <v>4325</v>
      </c>
      <c r="O189" s="91">
        <v>4050</v>
      </c>
      <c r="P189" s="93">
        <v>3450</v>
      </c>
      <c r="Q189" s="64"/>
      <c r="R189" s="64"/>
      <c r="S189" s="64"/>
      <c r="T189" s="83"/>
      <c r="U189" s="77"/>
      <c r="V189" s="105" t="s">
        <v>951</v>
      </c>
      <c r="W189" s="105">
        <v>33040700501</v>
      </c>
      <c r="X189" s="106" t="s">
        <v>952</v>
      </c>
      <c r="Y189" s="105"/>
      <c r="Z189" s="105"/>
      <c r="AA189" s="105" t="s">
        <v>36</v>
      </c>
      <c r="AB189" s="110" t="s">
        <v>35</v>
      </c>
      <c r="AC189" s="50">
        <v>4500</v>
      </c>
      <c r="AD189" s="50">
        <v>4275</v>
      </c>
      <c r="AE189" s="50">
        <v>3650</v>
      </c>
      <c r="AF189" s="111">
        <f t="shared" si="10"/>
        <v>0</v>
      </c>
      <c r="AG189" s="111" t="str">
        <f t="shared" si="11"/>
        <v>视网膜脱离修复费（复杂）</v>
      </c>
      <c r="AH189" s="111">
        <f t="shared" si="12"/>
        <v>4325</v>
      </c>
      <c r="AI189" s="111">
        <f t="shared" si="13"/>
        <v>4050</v>
      </c>
      <c r="AJ189" s="111">
        <f t="shared" si="14"/>
        <v>3450</v>
      </c>
    </row>
    <row r="190" s="52" customFormat="1" ht="25" customHeight="1" spans="1:36">
      <c r="A190" s="64"/>
      <c r="B190" s="64"/>
      <c r="C190" s="66" t="s">
        <v>942</v>
      </c>
      <c r="D190" s="65"/>
      <c r="E190" s="77"/>
      <c r="F190" s="77"/>
      <c r="G190" s="64"/>
      <c r="H190" s="42"/>
      <c r="I190" s="42"/>
      <c r="J190" s="84"/>
      <c r="K190" s="84"/>
      <c r="L190" s="84"/>
      <c r="M190" s="84"/>
      <c r="N190" s="91">
        <v>4325</v>
      </c>
      <c r="O190" s="91">
        <v>4050</v>
      </c>
      <c r="P190" s="93">
        <v>3450</v>
      </c>
      <c r="Q190" s="64"/>
      <c r="R190" s="64"/>
      <c r="S190" s="64"/>
      <c r="T190" s="83"/>
      <c r="U190" s="77"/>
      <c r="V190" s="117" t="s">
        <v>953</v>
      </c>
      <c r="W190" s="117">
        <v>33040700504</v>
      </c>
      <c r="X190" s="118" t="s">
        <v>954</v>
      </c>
      <c r="Y190" s="117" t="s">
        <v>955</v>
      </c>
      <c r="Z190" s="117" t="s">
        <v>956</v>
      </c>
      <c r="AA190" s="117" t="s">
        <v>36</v>
      </c>
      <c r="AB190" s="120" t="s">
        <v>35</v>
      </c>
      <c r="AC190" s="96">
        <v>4275</v>
      </c>
      <c r="AD190" s="96">
        <v>4050</v>
      </c>
      <c r="AE190" s="96">
        <v>3450</v>
      </c>
      <c r="AF190" s="111">
        <f t="shared" si="10"/>
        <v>0</v>
      </c>
      <c r="AG190" s="111" t="str">
        <f t="shared" si="11"/>
        <v>视网膜脱离修复费（复杂）</v>
      </c>
      <c r="AH190" s="111">
        <f t="shared" si="12"/>
        <v>4325</v>
      </c>
      <c r="AI190" s="111">
        <f t="shared" si="13"/>
        <v>4050</v>
      </c>
      <c r="AJ190" s="111">
        <f t="shared" si="14"/>
        <v>3450</v>
      </c>
    </row>
    <row r="191" s="52" customFormat="1" ht="25" customHeight="1" spans="1:36">
      <c r="A191" s="64"/>
      <c r="B191" s="64"/>
      <c r="C191" s="66" t="s">
        <v>942</v>
      </c>
      <c r="D191" s="65"/>
      <c r="E191" s="77"/>
      <c r="F191" s="77"/>
      <c r="G191" s="64"/>
      <c r="H191" s="42"/>
      <c r="I191" s="42"/>
      <c r="J191" s="84"/>
      <c r="K191" s="84"/>
      <c r="L191" s="84"/>
      <c r="M191" s="84"/>
      <c r="N191" s="91">
        <v>4325</v>
      </c>
      <c r="O191" s="91">
        <v>4050</v>
      </c>
      <c r="P191" s="93">
        <v>3450</v>
      </c>
      <c r="Q191" s="64"/>
      <c r="R191" s="64"/>
      <c r="S191" s="64"/>
      <c r="T191" s="83"/>
      <c r="U191" s="77"/>
      <c r="V191" s="105" t="s">
        <v>958</v>
      </c>
      <c r="W191" s="105">
        <v>330407006</v>
      </c>
      <c r="X191" s="106" t="s">
        <v>959</v>
      </c>
      <c r="Y191" s="105"/>
      <c r="Z191" s="105" t="s">
        <v>960</v>
      </c>
      <c r="AA191" s="105" t="s">
        <v>36</v>
      </c>
      <c r="AB191" s="110" t="s">
        <v>35</v>
      </c>
      <c r="AC191" s="50">
        <v>1010</v>
      </c>
      <c r="AD191" s="50">
        <v>910</v>
      </c>
      <c r="AE191" s="50">
        <v>775</v>
      </c>
      <c r="AF191" s="111">
        <f t="shared" si="10"/>
        <v>0</v>
      </c>
      <c r="AG191" s="111" t="str">
        <f t="shared" si="11"/>
        <v>视网膜脱离修复费（复杂）</v>
      </c>
      <c r="AH191" s="111">
        <f t="shared" si="12"/>
        <v>4325</v>
      </c>
      <c r="AI191" s="111">
        <f t="shared" si="13"/>
        <v>4050</v>
      </c>
      <c r="AJ191" s="111">
        <f t="shared" si="14"/>
        <v>3450</v>
      </c>
    </row>
    <row r="192" s="52" customFormat="1" ht="25" customHeight="1" spans="1:36">
      <c r="A192" s="64"/>
      <c r="B192" s="64"/>
      <c r="C192" s="66" t="s">
        <v>942</v>
      </c>
      <c r="D192" s="65"/>
      <c r="E192" s="77"/>
      <c r="F192" s="77"/>
      <c r="G192" s="64"/>
      <c r="H192" s="42"/>
      <c r="I192" s="42"/>
      <c r="J192" s="84"/>
      <c r="K192" s="84"/>
      <c r="L192" s="84"/>
      <c r="M192" s="84"/>
      <c r="N192" s="91">
        <v>4325</v>
      </c>
      <c r="O192" s="91">
        <v>4050</v>
      </c>
      <c r="P192" s="93">
        <v>3450</v>
      </c>
      <c r="Q192" s="64"/>
      <c r="R192" s="64"/>
      <c r="S192" s="64"/>
      <c r="T192" s="83"/>
      <c r="U192" s="77"/>
      <c r="V192" s="105" t="s">
        <v>961</v>
      </c>
      <c r="W192" s="105">
        <v>330407007</v>
      </c>
      <c r="X192" s="106" t="s">
        <v>962</v>
      </c>
      <c r="Y192" s="105"/>
      <c r="Z192" s="105"/>
      <c r="AA192" s="105" t="s">
        <v>36</v>
      </c>
      <c r="AB192" s="110" t="s">
        <v>35</v>
      </c>
      <c r="AC192" s="50">
        <v>1010</v>
      </c>
      <c r="AD192" s="50">
        <v>910</v>
      </c>
      <c r="AE192" s="50">
        <v>775</v>
      </c>
      <c r="AF192" s="111">
        <f t="shared" si="10"/>
        <v>0</v>
      </c>
      <c r="AG192" s="111" t="str">
        <f t="shared" si="11"/>
        <v>视网膜脱离修复费（复杂）</v>
      </c>
      <c r="AH192" s="111">
        <f t="shared" si="12"/>
        <v>4325</v>
      </c>
      <c r="AI192" s="111">
        <f t="shared" si="13"/>
        <v>4050</v>
      </c>
      <c r="AJ192" s="111">
        <f t="shared" si="14"/>
        <v>3450</v>
      </c>
    </row>
    <row r="193" s="52" customFormat="1" ht="25" customHeight="1" spans="1:36">
      <c r="A193" s="64"/>
      <c r="B193" s="64"/>
      <c r="C193" s="66" t="s">
        <v>942</v>
      </c>
      <c r="D193" s="65"/>
      <c r="E193" s="77"/>
      <c r="F193" s="77"/>
      <c r="G193" s="64"/>
      <c r="H193" s="42"/>
      <c r="I193" s="42"/>
      <c r="J193" s="84"/>
      <c r="K193" s="84"/>
      <c r="L193" s="84"/>
      <c r="M193" s="84"/>
      <c r="N193" s="91">
        <v>4325</v>
      </c>
      <c r="O193" s="91">
        <v>4050</v>
      </c>
      <c r="P193" s="93">
        <v>3450</v>
      </c>
      <c r="Q193" s="64"/>
      <c r="R193" s="64"/>
      <c r="S193" s="64"/>
      <c r="T193" s="83"/>
      <c r="U193" s="77"/>
      <c r="V193" s="105" t="s">
        <v>963</v>
      </c>
      <c r="W193" s="105">
        <v>330407008</v>
      </c>
      <c r="X193" s="106" t="s">
        <v>964</v>
      </c>
      <c r="Y193" s="105"/>
      <c r="Z193" s="105"/>
      <c r="AA193" s="105" t="s">
        <v>36</v>
      </c>
      <c r="AB193" s="110" t="s">
        <v>35</v>
      </c>
      <c r="AC193" s="50">
        <v>2780</v>
      </c>
      <c r="AD193" s="50">
        <v>2500</v>
      </c>
      <c r="AE193" s="50">
        <v>2130</v>
      </c>
      <c r="AF193" s="111">
        <f t="shared" si="10"/>
        <v>0</v>
      </c>
      <c r="AG193" s="111" t="str">
        <f t="shared" si="11"/>
        <v>视网膜脱离修复费（复杂）</v>
      </c>
      <c r="AH193" s="111">
        <f t="shared" si="12"/>
        <v>4325</v>
      </c>
      <c r="AI193" s="111">
        <f t="shared" si="13"/>
        <v>4050</v>
      </c>
      <c r="AJ193" s="111">
        <f t="shared" si="14"/>
        <v>3450</v>
      </c>
    </row>
    <row r="194" s="52" customFormat="1" ht="25" customHeight="1" spans="1:36">
      <c r="A194" s="64"/>
      <c r="B194" s="64"/>
      <c r="C194" s="66" t="s">
        <v>942</v>
      </c>
      <c r="D194" s="65"/>
      <c r="E194" s="77"/>
      <c r="F194" s="77"/>
      <c r="G194" s="64"/>
      <c r="H194" s="42"/>
      <c r="I194" s="42"/>
      <c r="J194" s="84"/>
      <c r="K194" s="84"/>
      <c r="L194" s="84"/>
      <c r="M194" s="84"/>
      <c r="N194" s="91">
        <v>4325</v>
      </c>
      <c r="O194" s="91">
        <v>4050</v>
      </c>
      <c r="P194" s="93">
        <v>3450</v>
      </c>
      <c r="Q194" s="64"/>
      <c r="R194" s="64"/>
      <c r="S194" s="64"/>
      <c r="T194" s="83"/>
      <c r="U194" s="77"/>
      <c r="V194" s="105" t="s">
        <v>965</v>
      </c>
      <c r="W194" s="105">
        <v>330407009</v>
      </c>
      <c r="X194" s="106" t="s">
        <v>966</v>
      </c>
      <c r="Y194" s="105"/>
      <c r="Z194" s="105"/>
      <c r="AA194" s="105" t="s">
        <v>36</v>
      </c>
      <c r="AB194" s="110" t="s">
        <v>35</v>
      </c>
      <c r="AC194" s="50">
        <v>2780</v>
      </c>
      <c r="AD194" s="50">
        <v>2500</v>
      </c>
      <c r="AE194" s="50">
        <v>2130</v>
      </c>
      <c r="AF194" s="111">
        <f t="shared" si="10"/>
        <v>0</v>
      </c>
      <c r="AG194" s="111" t="str">
        <f t="shared" si="11"/>
        <v>视网膜脱离修复费（复杂）</v>
      </c>
      <c r="AH194" s="111">
        <f t="shared" si="12"/>
        <v>4325</v>
      </c>
      <c r="AI194" s="111">
        <f t="shared" si="13"/>
        <v>4050</v>
      </c>
      <c r="AJ194" s="111">
        <f t="shared" si="14"/>
        <v>3450</v>
      </c>
    </row>
    <row r="195" s="52" customFormat="1" ht="25" customHeight="1" spans="1:36">
      <c r="A195" s="64"/>
      <c r="B195" s="64"/>
      <c r="C195" s="66" t="s">
        <v>942</v>
      </c>
      <c r="D195" s="65"/>
      <c r="E195" s="77"/>
      <c r="F195" s="77"/>
      <c r="G195" s="64"/>
      <c r="H195" s="42"/>
      <c r="I195" s="42"/>
      <c r="J195" s="84"/>
      <c r="K195" s="84"/>
      <c r="L195" s="84"/>
      <c r="M195" s="84"/>
      <c r="N195" s="91">
        <v>4325</v>
      </c>
      <c r="O195" s="91">
        <v>4050</v>
      </c>
      <c r="P195" s="93">
        <v>3450</v>
      </c>
      <c r="Q195" s="64"/>
      <c r="R195" s="64"/>
      <c r="S195" s="64"/>
      <c r="T195" s="83"/>
      <c r="U195" s="77"/>
      <c r="V195" s="105" t="s">
        <v>967</v>
      </c>
      <c r="W195" s="105">
        <v>330407010</v>
      </c>
      <c r="X195" s="106" t="s">
        <v>968</v>
      </c>
      <c r="Y195" s="105"/>
      <c r="Z195" s="105"/>
      <c r="AA195" s="105" t="s">
        <v>36</v>
      </c>
      <c r="AB195" s="110" t="s">
        <v>35</v>
      </c>
      <c r="AC195" s="50">
        <v>2780</v>
      </c>
      <c r="AD195" s="50">
        <v>2500</v>
      </c>
      <c r="AE195" s="50">
        <v>2130</v>
      </c>
      <c r="AF195" s="111">
        <f t="shared" si="10"/>
        <v>0</v>
      </c>
      <c r="AG195" s="111" t="str">
        <f t="shared" si="11"/>
        <v>视网膜脱离修复费（复杂）</v>
      </c>
      <c r="AH195" s="111">
        <f t="shared" si="12"/>
        <v>4325</v>
      </c>
      <c r="AI195" s="111">
        <f t="shared" si="13"/>
        <v>4050</v>
      </c>
      <c r="AJ195" s="111">
        <f t="shared" si="14"/>
        <v>3450</v>
      </c>
    </row>
    <row r="196" s="52" customFormat="1" ht="30" customHeight="1" spans="1:36">
      <c r="A196" s="64" t="s">
        <v>95</v>
      </c>
      <c r="B196" s="64" t="s">
        <v>969</v>
      </c>
      <c r="C196" s="66" t="s">
        <v>970</v>
      </c>
      <c r="D196" s="65"/>
      <c r="E196" s="77"/>
      <c r="F196" s="77" t="s">
        <v>35</v>
      </c>
      <c r="G196" s="64" t="s">
        <v>110</v>
      </c>
      <c r="H196" s="78">
        <v>1350</v>
      </c>
      <c r="I196" s="78">
        <v>1215</v>
      </c>
      <c r="J196" s="83"/>
      <c r="K196" s="83"/>
      <c r="L196" s="83"/>
      <c r="M196" s="83"/>
      <c r="N196" s="91">
        <v>1300</v>
      </c>
      <c r="O196" s="91">
        <v>1215</v>
      </c>
      <c r="P196" s="93">
        <v>1035</v>
      </c>
      <c r="Q196" s="64" t="s">
        <v>37</v>
      </c>
      <c r="R196" s="64" t="s">
        <v>35</v>
      </c>
      <c r="S196" s="64" t="s">
        <v>35</v>
      </c>
      <c r="T196" s="83"/>
      <c r="U196" s="77" t="s">
        <v>186</v>
      </c>
      <c r="V196" s="105" t="s">
        <v>971</v>
      </c>
      <c r="W196" s="105">
        <v>33040700502</v>
      </c>
      <c r="X196" s="106" t="s">
        <v>972</v>
      </c>
      <c r="Y196" s="105"/>
      <c r="Z196" s="105"/>
      <c r="AA196" s="105" t="s">
        <v>36</v>
      </c>
      <c r="AB196" s="110" t="s">
        <v>35</v>
      </c>
      <c r="AC196" s="50">
        <v>5560</v>
      </c>
      <c r="AD196" s="50">
        <v>5265</v>
      </c>
      <c r="AE196" s="50">
        <v>4485</v>
      </c>
      <c r="AF196" s="111">
        <f t="shared" si="10"/>
        <v>13</v>
      </c>
      <c r="AG196" s="111" t="str">
        <f t="shared" si="11"/>
        <v>视网膜脱离修复费（复杂）</v>
      </c>
      <c r="AH196" s="111">
        <f t="shared" si="12"/>
        <v>5625</v>
      </c>
      <c r="AI196" s="111">
        <f t="shared" si="13"/>
        <v>5265</v>
      </c>
      <c r="AJ196" s="111">
        <f t="shared" si="14"/>
        <v>4485</v>
      </c>
    </row>
    <row r="197" s="52" customFormat="1" ht="30" customHeight="1" spans="1:36">
      <c r="A197" s="64"/>
      <c r="B197" s="64"/>
      <c r="C197" s="66" t="s">
        <v>970</v>
      </c>
      <c r="D197" s="65"/>
      <c r="E197" s="77"/>
      <c r="F197" s="77"/>
      <c r="G197" s="64"/>
      <c r="H197" s="42"/>
      <c r="I197" s="42"/>
      <c r="J197" s="83"/>
      <c r="K197" s="83"/>
      <c r="L197" s="83"/>
      <c r="M197" s="83"/>
      <c r="N197" s="91">
        <v>1300</v>
      </c>
      <c r="O197" s="91">
        <v>1215</v>
      </c>
      <c r="P197" s="93">
        <v>1035</v>
      </c>
      <c r="Q197" s="64"/>
      <c r="R197" s="64"/>
      <c r="S197" s="64"/>
      <c r="T197" s="83"/>
      <c r="U197" s="77"/>
      <c r="V197" s="105" t="s">
        <v>973</v>
      </c>
      <c r="W197" s="105">
        <v>33040700503</v>
      </c>
      <c r="X197" s="106" t="s">
        <v>974</v>
      </c>
      <c r="Y197" s="105"/>
      <c r="Z197" s="105"/>
      <c r="AA197" s="105" t="s">
        <v>36</v>
      </c>
      <c r="AB197" s="110" t="s">
        <v>35</v>
      </c>
      <c r="AC197" s="50">
        <v>5850</v>
      </c>
      <c r="AD197" s="50">
        <v>5560</v>
      </c>
      <c r="AE197" s="50">
        <v>4745</v>
      </c>
      <c r="AF197" s="111">
        <f t="shared" ref="AF197:AF260" si="15">IFERROR(FIND("-儿童（加收）",C197,1),0)</f>
        <v>13</v>
      </c>
      <c r="AG197" s="111" t="str">
        <f t="shared" ref="AG197:AG260" si="16">SUBSTITUTE(C197,"-儿童（加收）","")</f>
        <v>视网膜脱离修复费（复杂）</v>
      </c>
      <c r="AH197" s="111">
        <f t="shared" ref="AH197:AH260" si="17">IF(AF197&gt;0,_xlfn.MAXIFS(N:N,C:C,SUBSTITUTE(C197,"-儿童（加收）","")),0)+N197</f>
        <v>5625</v>
      </c>
      <c r="AI197" s="111">
        <f t="shared" ref="AI197:AI260" si="18">IF(AF197&gt;0,_xlfn.MAXIFS(O:O,C:C,SUBSTITUTE(C197,"-儿童（加收）","")),0)+O197</f>
        <v>5265</v>
      </c>
      <c r="AJ197" s="111">
        <f t="shared" ref="AJ197:AJ260" si="19">IF(AF197&gt;0,_xlfn.MAXIFS(P:P,C:C,SUBSTITUTE(C197,"-儿童（加收）","")),0)+P197</f>
        <v>4485</v>
      </c>
    </row>
    <row r="198" s="52" customFormat="1" ht="30" customHeight="1" spans="1:36">
      <c r="A198" s="64"/>
      <c r="B198" s="64"/>
      <c r="C198" s="66" t="s">
        <v>970</v>
      </c>
      <c r="D198" s="65"/>
      <c r="E198" s="77"/>
      <c r="F198" s="77"/>
      <c r="G198" s="64"/>
      <c r="H198" s="42"/>
      <c r="I198" s="42"/>
      <c r="J198" s="83"/>
      <c r="K198" s="83"/>
      <c r="L198" s="83"/>
      <c r="M198" s="83"/>
      <c r="N198" s="91">
        <v>1300</v>
      </c>
      <c r="O198" s="91">
        <v>1215</v>
      </c>
      <c r="P198" s="93">
        <v>1035</v>
      </c>
      <c r="Q198" s="64"/>
      <c r="R198" s="64"/>
      <c r="S198" s="64"/>
      <c r="T198" s="83"/>
      <c r="U198" s="77"/>
      <c r="V198" s="117" t="s">
        <v>975</v>
      </c>
      <c r="W198" s="117">
        <v>33040700505</v>
      </c>
      <c r="X198" s="118" t="s">
        <v>976</v>
      </c>
      <c r="Y198" s="117"/>
      <c r="Z198" s="117" t="s">
        <v>956</v>
      </c>
      <c r="AA198" s="117" t="s">
        <v>36</v>
      </c>
      <c r="AB198" s="120" t="s">
        <v>35</v>
      </c>
      <c r="AC198" s="96">
        <v>5560</v>
      </c>
      <c r="AD198" s="96">
        <v>5265</v>
      </c>
      <c r="AE198" s="96">
        <v>4485</v>
      </c>
      <c r="AF198" s="111">
        <f t="shared" si="15"/>
        <v>13</v>
      </c>
      <c r="AG198" s="111" t="str">
        <f t="shared" si="16"/>
        <v>视网膜脱离修复费（复杂）</v>
      </c>
      <c r="AH198" s="111">
        <f t="shared" si="17"/>
        <v>5625</v>
      </c>
      <c r="AI198" s="111">
        <f t="shared" si="18"/>
        <v>5265</v>
      </c>
      <c r="AJ198" s="111">
        <f t="shared" si="19"/>
        <v>4485</v>
      </c>
    </row>
    <row r="199" s="52" customFormat="1" ht="30" customHeight="1" spans="1:36">
      <c r="A199" s="64"/>
      <c r="B199" s="64"/>
      <c r="C199" s="66" t="s">
        <v>970</v>
      </c>
      <c r="D199" s="65"/>
      <c r="E199" s="77"/>
      <c r="F199" s="77"/>
      <c r="G199" s="64"/>
      <c r="H199" s="42"/>
      <c r="I199" s="42"/>
      <c r="J199" s="83"/>
      <c r="K199" s="83"/>
      <c r="L199" s="83"/>
      <c r="M199" s="83"/>
      <c r="N199" s="91">
        <v>1300</v>
      </c>
      <c r="O199" s="91">
        <v>1215</v>
      </c>
      <c r="P199" s="93">
        <v>1035</v>
      </c>
      <c r="Q199" s="64"/>
      <c r="R199" s="64"/>
      <c r="S199" s="64"/>
      <c r="T199" s="83"/>
      <c r="U199" s="77"/>
      <c r="V199" s="105" t="s">
        <v>977</v>
      </c>
      <c r="W199" s="105">
        <v>33040700601</v>
      </c>
      <c r="X199" s="106" t="s">
        <v>978</v>
      </c>
      <c r="Y199" s="105"/>
      <c r="Z199" s="105"/>
      <c r="AA199" s="105" t="s">
        <v>36</v>
      </c>
      <c r="AB199" s="110" t="s">
        <v>35</v>
      </c>
      <c r="AC199" s="50">
        <v>1315</v>
      </c>
      <c r="AD199" s="50">
        <v>1185</v>
      </c>
      <c r="AE199" s="50">
        <v>1005</v>
      </c>
      <c r="AF199" s="111">
        <f t="shared" si="15"/>
        <v>13</v>
      </c>
      <c r="AG199" s="111" t="str">
        <f t="shared" si="16"/>
        <v>视网膜脱离修复费（复杂）</v>
      </c>
      <c r="AH199" s="111">
        <f t="shared" si="17"/>
        <v>5625</v>
      </c>
      <c r="AI199" s="111">
        <f t="shared" si="18"/>
        <v>5265</v>
      </c>
      <c r="AJ199" s="111">
        <f t="shared" si="19"/>
        <v>4485</v>
      </c>
    </row>
    <row r="200" s="52" customFormat="1" ht="30" customHeight="1" spans="1:36">
      <c r="A200" s="64"/>
      <c r="B200" s="64"/>
      <c r="C200" s="66" t="s">
        <v>970</v>
      </c>
      <c r="D200" s="65"/>
      <c r="E200" s="77"/>
      <c r="F200" s="77"/>
      <c r="G200" s="64"/>
      <c r="H200" s="42"/>
      <c r="I200" s="42"/>
      <c r="J200" s="83"/>
      <c r="K200" s="83"/>
      <c r="L200" s="83"/>
      <c r="M200" s="83"/>
      <c r="N200" s="91">
        <v>1300</v>
      </c>
      <c r="O200" s="91">
        <v>1215</v>
      </c>
      <c r="P200" s="93">
        <v>1035</v>
      </c>
      <c r="Q200" s="64"/>
      <c r="R200" s="64"/>
      <c r="S200" s="64"/>
      <c r="T200" s="83"/>
      <c r="U200" s="77"/>
      <c r="V200" s="105" t="s">
        <v>979</v>
      </c>
      <c r="W200" s="105">
        <v>33040700701</v>
      </c>
      <c r="X200" s="106" t="s">
        <v>980</v>
      </c>
      <c r="Y200" s="105"/>
      <c r="Z200" s="105"/>
      <c r="AA200" s="105" t="s">
        <v>36</v>
      </c>
      <c r="AB200" s="110" t="s">
        <v>35</v>
      </c>
      <c r="AC200" s="50">
        <v>1315</v>
      </c>
      <c r="AD200" s="50">
        <v>1185</v>
      </c>
      <c r="AE200" s="50">
        <v>1005</v>
      </c>
      <c r="AF200" s="111">
        <f t="shared" si="15"/>
        <v>13</v>
      </c>
      <c r="AG200" s="111" t="str">
        <f t="shared" si="16"/>
        <v>视网膜脱离修复费（复杂）</v>
      </c>
      <c r="AH200" s="111">
        <f t="shared" si="17"/>
        <v>5625</v>
      </c>
      <c r="AI200" s="111">
        <f t="shared" si="18"/>
        <v>5265</v>
      </c>
      <c r="AJ200" s="111">
        <f t="shared" si="19"/>
        <v>4485</v>
      </c>
    </row>
    <row r="201" s="52" customFormat="1" ht="30" customHeight="1" spans="1:36">
      <c r="A201" s="64"/>
      <c r="B201" s="64"/>
      <c r="C201" s="66" t="s">
        <v>970</v>
      </c>
      <c r="D201" s="65"/>
      <c r="E201" s="77"/>
      <c r="F201" s="77"/>
      <c r="G201" s="64"/>
      <c r="H201" s="42"/>
      <c r="I201" s="42"/>
      <c r="J201" s="83"/>
      <c r="K201" s="83"/>
      <c r="L201" s="83"/>
      <c r="M201" s="83"/>
      <c r="N201" s="91">
        <v>1300</v>
      </c>
      <c r="O201" s="91">
        <v>1215</v>
      </c>
      <c r="P201" s="93">
        <v>1035</v>
      </c>
      <c r="Q201" s="64"/>
      <c r="R201" s="64"/>
      <c r="S201" s="64"/>
      <c r="T201" s="83"/>
      <c r="U201" s="77"/>
      <c r="V201" s="105" t="s">
        <v>981</v>
      </c>
      <c r="W201" s="105">
        <v>33040700801</v>
      </c>
      <c r="X201" s="106" t="s">
        <v>982</v>
      </c>
      <c r="Y201" s="105"/>
      <c r="Z201" s="105"/>
      <c r="AA201" s="105" t="s">
        <v>36</v>
      </c>
      <c r="AB201" s="110" t="s">
        <v>35</v>
      </c>
      <c r="AC201" s="50">
        <v>3615</v>
      </c>
      <c r="AD201" s="50">
        <v>3250</v>
      </c>
      <c r="AE201" s="50">
        <v>2765</v>
      </c>
      <c r="AF201" s="111">
        <f t="shared" si="15"/>
        <v>13</v>
      </c>
      <c r="AG201" s="111" t="str">
        <f t="shared" si="16"/>
        <v>视网膜脱离修复费（复杂）</v>
      </c>
      <c r="AH201" s="111">
        <f t="shared" si="17"/>
        <v>5625</v>
      </c>
      <c r="AI201" s="111">
        <f t="shared" si="18"/>
        <v>5265</v>
      </c>
      <c r="AJ201" s="111">
        <f t="shared" si="19"/>
        <v>4485</v>
      </c>
    </row>
    <row r="202" s="52" customFormat="1" ht="30" customHeight="1" spans="1:36">
      <c r="A202" s="64"/>
      <c r="B202" s="64"/>
      <c r="C202" s="66" t="s">
        <v>970</v>
      </c>
      <c r="D202" s="65"/>
      <c r="E202" s="77"/>
      <c r="F202" s="77"/>
      <c r="G202" s="64"/>
      <c r="H202" s="42"/>
      <c r="I202" s="42"/>
      <c r="J202" s="83"/>
      <c r="K202" s="83"/>
      <c r="L202" s="83"/>
      <c r="M202" s="83"/>
      <c r="N202" s="91">
        <v>1300</v>
      </c>
      <c r="O202" s="91">
        <v>1215</v>
      </c>
      <c r="P202" s="93">
        <v>1035</v>
      </c>
      <c r="Q202" s="64"/>
      <c r="R202" s="64"/>
      <c r="S202" s="64"/>
      <c r="T202" s="83"/>
      <c r="U202" s="77"/>
      <c r="V202" s="105" t="s">
        <v>983</v>
      </c>
      <c r="W202" s="105">
        <v>33040700901</v>
      </c>
      <c r="X202" s="106" t="s">
        <v>984</v>
      </c>
      <c r="Y202" s="105"/>
      <c r="Z202" s="105"/>
      <c r="AA202" s="105" t="s">
        <v>36</v>
      </c>
      <c r="AB202" s="110" t="s">
        <v>35</v>
      </c>
      <c r="AC202" s="50">
        <v>3615</v>
      </c>
      <c r="AD202" s="50">
        <v>3250</v>
      </c>
      <c r="AE202" s="50">
        <v>2765</v>
      </c>
      <c r="AF202" s="111">
        <f t="shared" si="15"/>
        <v>13</v>
      </c>
      <c r="AG202" s="111" t="str">
        <f t="shared" si="16"/>
        <v>视网膜脱离修复费（复杂）</v>
      </c>
      <c r="AH202" s="111">
        <f t="shared" si="17"/>
        <v>5625</v>
      </c>
      <c r="AI202" s="111">
        <f t="shared" si="18"/>
        <v>5265</v>
      </c>
      <c r="AJ202" s="111">
        <f t="shared" si="19"/>
        <v>4485</v>
      </c>
    </row>
    <row r="203" s="52" customFormat="1" ht="30" customHeight="1" spans="1:36">
      <c r="A203" s="64"/>
      <c r="B203" s="64"/>
      <c r="C203" s="66" t="s">
        <v>970</v>
      </c>
      <c r="D203" s="65"/>
      <c r="E203" s="77"/>
      <c r="F203" s="77"/>
      <c r="G203" s="64"/>
      <c r="H203" s="42"/>
      <c r="I203" s="42"/>
      <c r="J203" s="83"/>
      <c r="K203" s="83"/>
      <c r="L203" s="83"/>
      <c r="M203" s="83"/>
      <c r="N203" s="91">
        <v>1300</v>
      </c>
      <c r="O203" s="91">
        <v>1215</v>
      </c>
      <c r="P203" s="93">
        <v>1035</v>
      </c>
      <c r="Q203" s="64"/>
      <c r="R203" s="64"/>
      <c r="S203" s="64"/>
      <c r="T203" s="83"/>
      <c r="U203" s="77"/>
      <c r="V203" s="105" t="s">
        <v>985</v>
      </c>
      <c r="W203" s="105">
        <v>33040701001</v>
      </c>
      <c r="X203" s="106" t="s">
        <v>986</v>
      </c>
      <c r="Y203" s="105"/>
      <c r="Z203" s="105"/>
      <c r="AA203" s="105" t="s">
        <v>36</v>
      </c>
      <c r="AB203" s="110" t="s">
        <v>35</v>
      </c>
      <c r="AC203" s="50">
        <v>3615</v>
      </c>
      <c r="AD203" s="50">
        <v>3250</v>
      </c>
      <c r="AE203" s="50">
        <v>2765</v>
      </c>
      <c r="AF203" s="111">
        <f t="shared" si="15"/>
        <v>13</v>
      </c>
      <c r="AG203" s="111" t="str">
        <f t="shared" si="16"/>
        <v>视网膜脱离修复费（复杂）</v>
      </c>
      <c r="AH203" s="111">
        <f t="shared" si="17"/>
        <v>5625</v>
      </c>
      <c r="AI203" s="111">
        <f t="shared" si="18"/>
        <v>5265</v>
      </c>
      <c r="AJ203" s="111">
        <f t="shared" si="19"/>
        <v>4485</v>
      </c>
    </row>
    <row r="204" s="52" customFormat="1" ht="75" customHeight="1" spans="1:36">
      <c r="A204" s="112">
        <v>72</v>
      </c>
      <c r="B204" s="112" t="s">
        <v>1001</v>
      </c>
      <c r="C204" s="64" t="s">
        <v>1002</v>
      </c>
      <c r="D204" s="65" t="s">
        <v>1003</v>
      </c>
      <c r="E204" s="77" t="s">
        <v>1004</v>
      </c>
      <c r="F204" s="77" t="s">
        <v>35</v>
      </c>
      <c r="G204" s="64" t="s">
        <v>110</v>
      </c>
      <c r="H204" s="78">
        <v>1150</v>
      </c>
      <c r="I204" s="78">
        <v>1035</v>
      </c>
      <c r="J204" s="83">
        <v>1010</v>
      </c>
      <c r="K204" s="83">
        <v>910</v>
      </c>
      <c r="L204" s="83">
        <v>775</v>
      </c>
      <c r="M204" s="83"/>
      <c r="N204" s="41">
        <v>1010</v>
      </c>
      <c r="O204" s="41">
        <v>910</v>
      </c>
      <c r="P204" s="50">
        <v>775</v>
      </c>
      <c r="Q204" s="64" t="s">
        <v>37</v>
      </c>
      <c r="R204" s="64" t="s">
        <v>35</v>
      </c>
      <c r="S204" s="64" t="s">
        <v>35</v>
      </c>
      <c r="T204" s="83" t="s">
        <v>381</v>
      </c>
      <c r="U204" s="77" t="s">
        <v>381</v>
      </c>
      <c r="V204" s="105" t="s">
        <v>1005</v>
      </c>
      <c r="W204" s="105">
        <v>330405009</v>
      </c>
      <c r="X204" s="106" t="s">
        <v>1006</v>
      </c>
      <c r="Y204" s="105"/>
      <c r="Z204" s="105"/>
      <c r="AA204" s="105" t="s">
        <v>36</v>
      </c>
      <c r="AB204" s="110" t="s">
        <v>35</v>
      </c>
      <c r="AC204" s="50">
        <v>1010</v>
      </c>
      <c r="AD204" s="50">
        <v>910</v>
      </c>
      <c r="AE204" s="50">
        <v>775</v>
      </c>
      <c r="AF204" s="111">
        <f t="shared" si="15"/>
        <v>0</v>
      </c>
      <c r="AG204" s="111" t="str">
        <f t="shared" si="16"/>
        <v>睫状体脉络膜上腔穿刺费</v>
      </c>
      <c r="AH204" s="111">
        <f t="shared" si="17"/>
        <v>1010</v>
      </c>
      <c r="AI204" s="111">
        <f t="shared" si="18"/>
        <v>910</v>
      </c>
      <c r="AJ204" s="111">
        <f t="shared" si="19"/>
        <v>775</v>
      </c>
    </row>
    <row r="205" s="52" customFormat="1" ht="40" customHeight="1" spans="1:36">
      <c r="A205" s="112" t="s">
        <v>95</v>
      </c>
      <c r="B205" s="112" t="s">
        <v>1007</v>
      </c>
      <c r="C205" s="64" t="s">
        <v>1008</v>
      </c>
      <c r="D205" s="65"/>
      <c r="E205" s="77"/>
      <c r="F205" s="77" t="s">
        <v>35</v>
      </c>
      <c r="G205" s="64" t="s">
        <v>110</v>
      </c>
      <c r="H205" s="78">
        <v>345</v>
      </c>
      <c r="I205" s="78">
        <v>311</v>
      </c>
      <c r="J205" s="83">
        <v>305</v>
      </c>
      <c r="K205" s="83">
        <v>275</v>
      </c>
      <c r="L205" s="83">
        <v>230</v>
      </c>
      <c r="M205" s="83"/>
      <c r="N205" s="41">
        <v>305</v>
      </c>
      <c r="O205" s="41">
        <v>275</v>
      </c>
      <c r="P205" s="50">
        <v>230</v>
      </c>
      <c r="Q205" s="64" t="s">
        <v>37</v>
      </c>
      <c r="R205" s="64" t="s">
        <v>35</v>
      </c>
      <c r="S205" s="64" t="s">
        <v>35</v>
      </c>
      <c r="T205" s="83"/>
      <c r="U205" s="77" t="s">
        <v>186</v>
      </c>
      <c r="V205" s="105" t="s">
        <v>1009</v>
      </c>
      <c r="W205" s="105">
        <v>33040500901</v>
      </c>
      <c r="X205" s="106" t="s">
        <v>1010</v>
      </c>
      <c r="Y205" s="105"/>
      <c r="Z205" s="105"/>
      <c r="AA205" s="105" t="s">
        <v>36</v>
      </c>
      <c r="AB205" s="110" t="s">
        <v>35</v>
      </c>
      <c r="AC205" s="50">
        <v>1315</v>
      </c>
      <c r="AD205" s="50">
        <v>1185</v>
      </c>
      <c r="AE205" s="50">
        <v>1005</v>
      </c>
      <c r="AF205" s="111">
        <f t="shared" si="15"/>
        <v>12</v>
      </c>
      <c r="AG205" s="111" t="str">
        <f t="shared" si="16"/>
        <v>睫状体脉络膜上腔穿刺费</v>
      </c>
      <c r="AH205" s="111">
        <f t="shared" si="17"/>
        <v>1315</v>
      </c>
      <c r="AI205" s="111">
        <f t="shared" si="18"/>
        <v>1185</v>
      </c>
      <c r="AJ205" s="111">
        <f t="shared" si="19"/>
        <v>1005</v>
      </c>
    </row>
    <row r="206" s="52" customFormat="1" ht="63.75" spans="1:36">
      <c r="A206" s="112">
        <v>73</v>
      </c>
      <c r="B206" s="112" t="s">
        <v>1013</v>
      </c>
      <c r="C206" s="64" t="s">
        <v>1014</v>
      </c>
      <c r="D206" s="65" t="s">
        <v>1015</v>
      </c>
      <c r="E206" s="77" t="s">
        <v>1016</v>
      </c>
      <c r="F206" s="77" t="s">
        <v>35</v>
      </c>
      <c r="G206" s="64" t="s">
        <v>110</v>
      </c>
      <c r="H206" s="78">
        <v>3000</v>
      </c>
      <c r="I206" s="78">
        <v>2700</v>
      </c>
      <c r="J206" s="83">
        <v>2310</v>
      </c>
      <c r="K206" s="83">
        <v>2080</v>
      </c>
      <c r="L206" s="83">
        <v>1770</v>
      </c>
      <c r="M206" s="83"/>
      <c r="N206" s="89">
        <v>2700</v>
      </c>
      <c r="O206" s="89">
        <v>2430</v>
      </c>
      <c r="P206" s="90">
        <v>2065</v>
      </c>
      <c r="Q206" s="64" t="s">
        <v>37</v>
      </c>
      <c r="R206" s="64" t="s">
        <v>35</v>
      </c>
      <c r="S206" s="64" t="s">
        <v>35</v>
      </c>
      <c r="T206" s="83" t="s">
        <v>485</v>
      </c>
      <c r="U206" s="104" t="s">
        <v>1017</v>
      </c>
      <c r="V206" s="105" t="s">
        <v>1018</v>
      </c>
      <c r="W206" s="105">
        <v>330407011</v>
      </c>
      <c r="X206" s="106" t="s">
        <v>1019</v>
      </c>
      <c r="Y206" s="105"/>
      <c r="Z206" s="105"/>
      <c r="AA206" s="105" t="s">
        <v>36</v>
      </c>
      <c r="AB206" s="110" t="s">
        <v>35</v>
      </c>
      <c r="AC206" s="50">
        <v>2310</v>
      </c>
      <c r="AD206" s="50">
        <v>2080</v>
      </c>
      <c r="AE206" s="50">
        <v>1770</v>
      </c>
      <c r="AF206" s="111">
        <f t="shared" si="15"/>
        <v>0</v>
      </c>
      <c r="AG206" s="111" t="str">
        <f t="shared" si="16"/>
        <v>脉络膜病损切除费</v>
      </c>
      <c r="AH206" s="111">
        <f t="shared" si="17"/>
        <v>2700</v>
      </c>
      <c r="AI206" s="111">
        <f t="shared" si="18"/>
        <v>2430</v>
      </c>
      <c r="AJ206" s="111">
        <f t="shared" si="19"/>
        <v>2065</v>
      </c>
    </row>
    <row r="207" s="52" customFormat="1" ht="25.5" spans="1:36">
      <c r="A207" s="112" t="s">
        <v>95</v>
      </c>
      <c r="B207" s="112" t="s">
        <v>1020</v>
      </c>
      <c r="C207" s="64" t="s">
        <v>1021</v>
      </c>
      <c r="D207" s="65"/>
      <c r="E207" s="77"/>
      <c r="F207" s="77" t="s">
        <v>35</v>
      </c>
      <c r="G207" s="64" t="s">
        <v>110</v>
      </c>
      <c r="H207" s="78">
        <v>900</v>
      </c>
      <c r="I207" s="78">
        <v>810</v>
      </c>
      <c r="J207" s="83">
        <v>695</v>
      </c>
      <c r="K207" s="83">
        <v>625</v>
      </c>
      <c r="L207" s="83">
        <v>530</v>
      </c>
      <c r="M207" s="83"/>
      <c r="N207" s="41">
        <v>810</v>
      </c>
      <c r="O207" s="41">
        <v>730</v>
      </c>
      <c r="P207" s="50">
        <v>620</v>
      </c>
      <c r="Q207" s="64" t="s">
        <v>37</v>
      </c>
      <c r="R207" s="64" t="s">
        <v>35</v>
      </c>
      <c r="S207" s="64" t="s">
        <v>35</v>
      </c>
      <c r="T207" s="83"/>
      <c r="U207" s="77" t="s">
        <v>186</v>
      </c>
      <c r="V207" s="105" t="s">
        <v>1022</v>
      </c>
      <c r="W207" s="105">
        <v>33040701101</v>
      </c>
      <c r="X207" s="106" t="s">
        <v>1023</v>
      </c>
      <c r="Y207" s="105"/>
      <c r="Z207" s="105"/>
      <c r="AA207" s="105" t="s">
        <v>36</v>
      </c>
      <c r="AB207" s="110" t="s">
        <v>35</v>
      </c>
      <c r="AC207" s="50">
        <v>3005</v>
      </c>
      <c r="AD207" s="50">
        <v>2705</v>
      </c>
      <c r="AE207" s="50">
        <v>2300</v>
      </c>
      <c r="AF207" s="111">
        <f t="shared" si="15"/>
        <v>9</v>
      </c>
      <c r="AG207" s="111" t="str">
        <f t="shared" si="16"/>
        <v>脉络膜病损切除费</v>
      </c>
      <c r="AH207" s="111">
        <f t="shared" si="17"/>
        <v>3510</v>
      </c>
      <c r="AI207" s="111">
        <f t="shared" si="18"/>
        <v>3160</v>
      </c>
      <c r="AJ207" s="111">
        <f t="shared" si="19"/>
        <v>2685</v>
      </c>
    </row>
    <row r="208" s="52" customFormat="1" ht="36" customHeight="1" spans="1:36">
      <c r="A208" s="64">
        <v>74</v>
      </c>
      <c r="B208" s="64" t="s">
        <v>1024</v>
      </c>
      <c r="C208" s="66" t="s">
        <v>1025</v>
      </c>
      <c r="D208" s="65" t="s">
        <v>1026</v>
      </c>
      <c r="E208" s="77" t="s">
        <v>1027</v>
      </c>
      <c r="F208" s="77" t="s">
        <v>35</v>
      </c>
      <c r="G208" s="64" t="s">
        <v>110</v>
      </c>
      <c r="H208" s="78">
        <v>540</v>
      </c>
      <c r="I208" s="78">
        <v>486</v>
      </c>
      <c r="J208" s="83">
        <v>500</v>
      </c>
      <c r="K208" s="83">
        <v>480</v>
      </c>
      <c r="L208" s="83">
        <v>408</v>
      </c>
      <c r="M208" s="83"/>
      <c r="N208" s="91">
        <v>500</v>
      </c>
      <c r="O208" s="91">
        <v>480</v>
      </c>
      <c r="P208" s="93">
        <v>408</v>
      </c>
      <c r="Q208" s="64" t="s">
        <v>37</v>
      </c>
      <c r="R208" s="64" t="s">
        <v>35</v>
      </c>
      <c r="S208" s="64" t="s">
        <v>348</v>
      </c>
      <c r="T208" s="83" t="s">
        <v>381</v>
      </c>
      <c r="U208" s="77" t="s">
        <v>1028</v>
      </c>
      <c r="V208" s="105" t="s">
        <v>1029</v>
      </c>
      <c r="W208" s="105">
        <v>330405021</v>
      </c>
      <c r="X208" s="106" t="s">
        <v>1030</v>
      </c>
      <c r="Y208" s="105"/>
      <c r="Z208" s="105"/>
      <c r="AA208" s="105" t="s">
        <v>36</v>
      </c>
      <c r="AB208" s="110" t="s">
        <v>35</v>
      </c>
      <c r="AC208" s="50">
        <v>500</v>
      </c>
      <c r="AD208" s="50">
        <v>480</v>
      </c>
      <c r="AE208" s="50">
        <v>408</v>
      </c>
      <c r="AF208" s="111">
        <f t="shared" si="15"/>
        <v>0</v>
      </c>
      <c r="AG208" s="111" t="str">
        <f t="shared" si="16"/>
        <v>巩膜部分切除费</v>
      </c>
      <c r="AH208" s="111">
        <f t="shared" si="17"/>
        <v>500</v>
      </c>
      <c r="AI208" s="111">
        <f t="shared" si="18"/>
        <v>480</v>
      </c>
      <c r="AJ208" s="111">
        <f t="shared" si="19"/>
        <v>408</v>
      </c>
    </row>
    <row r="209" s="52" customFormat="1" ht="36" customHeight="1" spans="1:36">
      <c r="A209" s="64"/>
      <c r="B209" s="64"/>
      <c r="C209" s="66" t="s">
        <v>1025</v>
      </c>
      <c r="D209" s="65"/>
      <c r="E209" s="77"/>
      <c r="F209" s="77"/>
      <c r="G209" s="64"/>
      <c r="H209" s="42"/>
      <c r="I209" s="42"/>
      <c r="J209" s="83"/>
      <c r="K209" s="83"/>
      <c r="L209" s="83"/>
      <c r="M209" s="83"/>
      <c r="N209" s="91">
        <v>500</v>
      </c>
      <c r="O209" s="91">
        <v>480</v>
      </c>
      <c r="P209" s="93">
        <v>408</v>
      </c>
      <c r="Q209" s="64"/>
      <c r="R209" s="64"/>
      <c r="S209" s="64"/>
      <c r="T209" s="83"/>
      <c r="U209" s="77"/>
      <c r="V209" s="105" t="s">
        <v>1031</v>
      </c>
      <c r="W209" s="105">
        <v>310300083</v>
      </c>
      <c r="X209" s="106" t="s">
        <v>1032</v>
      </c>
      <c r="Y209" s="105"/>
      <c r="Z209" s="105"/>
      <c r="AA209" s="105" t="s">
        <v>36</v>
      </c>
      <c r="AB209" s="110" t="s">
        <v>35</v>
      </c>
      <c r="AC209" s="50"/>
      <c r="AD209" s="50"/>
      <c r="AE209" s="50"/>
      <c r="AF209" s="111">
        <f t="shared" si="15"/>
        <v>0</v>
      </c>
      <c r="AG209" s="111" t="str">
        <f t="shared" si="16"/>
        <v>巩膜部分切除费</v>
      </c>
      <c r="AH209" s="111">
        <f t="shared" si="17"/>
        <v>500</v>
      </c>
      <c r="AI209" s="111">
        <f t="shared" si="18"/>
        <v>480</v>
      </c>
      <c r="AJ209" s="111">
        <f t="shared" si="19"/>
        <v>408</v>
      </c>
    </row>
    <row r="210" s="52" customFormat="1" ht="32" customHeight="1" spans="1:36">
      <c r="A210" s="112" t="s">
        <v>95</v>
      </c>
      <c r="B210" s="112" t="s">
        <v>1033</v>
      </c>
      <c r="C210" s="64" t="s">
        <v>1034</v>
      </c>
      <c r="D210" s="65"/>
      <c r="E210" s="77"/>
      <c r="F210" s="77" t="s">
        <v>35</v>
      </c>
      <c r="G210" s="64" t="s">
        <v>110</v>
      </c>
      <c r="H210" s="78">
        <v>162</v>
      </c>
      <c r="I210" s="78">
        <v>146</v>
      </c>
      <c r="J210" s="83">
        <v>150</v>
      </c>
      <c r="K210" s="83">
        <v>145</v>
      </c>
      <c r="L210" s="83">
        <v>122</v>
      </c>
      <c r="M210" s="83"/>
      <c r="N210" s="41">
        <v>150</v>
      </c>
      <c r="O210" s="41">
        <v>145</v>
      </c>
      <c r="P210" s="50">
        <v>120</v>
      </c>
      <c r="Q210" s="64" t="s">
        <v>37</v>
      </c>
      <c r="R210" s="64" t="s">
        <v>35</v>
      </c>
      <c r="S210" s="64" t="s">
        <v>348</v>
      </c>
      <c r="T210" s="83"/>
      <c r="U210" s="77" t="s">
        <v>186</v>
      </c>
      <c r="V210" s="105" t="s">
        <v>1035</v>
      </c>
      <c r="W210" s="105">
        <v>33040502101</v>
      </c>
      <c r="X210" s="106" t="s">
        <v>1036</v>
      </c>
      <c r="Y210" s="105"/>
      <c r="Z210" s="105"/>
      <c r="AA210" s="105" t="s">
        <v>36</v>
      </c>
      <c r="AB210" s="110" t="s">
        <v>35</v>
      </c>
      <c r="AC210" s="50">
        <v>650</v>
      </c>
      <c r="AD210" s="50">
        <v>625</v>
      </c>
      <c r="AE210" s="50">
        <v>530</v>
      </c>
      <c r="AF210" s="111">
        <f t="shared" si="15"/>
        <v>8</v>
      </c>
      <c r="AG210" s="111" t="str">
        <f t="shared" si="16"/>
        <v>巩膜部分切除费</v>
      </c>
      <c r="AH210" s="111">
        <f t="shared" si="17"/>
        <v>650</v>
      </c>
      <c r="AI210" s="111">
        <f t="shared" si="18"/>
        <v>625</v>
      </c>
      <c r="AJ210" s="111">
        <f t="shared" si="19"/>
        <v>528</v>
      </c>
    </row>
    <row r="211" s="55" customFormat="1" ht="62" customHeight="1" spans="1:36">
      <c r="A211" s="112">
        <v>75</v>
      </c>
      <c r="B211" s="112" t="s">
        <v>1039</v>
      </c>
      <c r="C211" s="64" t="s">
        <v>1040</v>
      </c>
      <c r="D211" s="65" t="s">
        <v>1041</v>
      </c>
      <c r="E211" s="77" t="s">
        <v>1042</v>
      </c>
      <c r="F211" s="77" t="s">
        <v>35</v>
      </c>
      <c r="G211" s="64" t="s">
        <v>110</v>
      </c>
      <c r="H211" s="78">
        <v>1540</v>
      </c>
      <c r="I211" s="78">
        <v>1386</v>
      </c>
      <c r="J211" s="83">
        <v>1350</v>
      </c>
      <c r="K211" s="83">
        <v>1220</v>
      </c>
      <c r="L211" s="83">
        <v>1040</v>
      </c>
      <c r="M211" s="83"/>
      <c r="N211" s="41">
        <v>1350</v>
      </c>
      <c r="O211" s="41">
        <v>1220</v>
      </c>
      <c r="P211" s="50">
        <v>1040</v>
      </c>
      <c r="Q211" s="64" t="s">
        <v>37</v>
      </c>
      <c r="R211" s="64" t="s">
        <v>35</v>
      </c>
      <c r="S211" s="64" t="s">
        <v>35</v>
      </c>
      <c r="T211" s="83" t="s">
        <v>381</v>
      </c>
      <c r="U211" s="77" t="s">
        <v>381</v>
      </c>
      <c r="V211" s="105" t="s">
        <v>1043</v>
      </c>
      <c r="W211" s="105">
        <v>330407012</v>
      </c>
      <c r="X211" s="106" t="s">
        <v>1044</v>
      </c>
      <c r="Y211" s="105" t="s">
        <v>1045</v>
      </c>
      <c r="Z211" s="105" t="s">
        <v>930</v>
      </c>
      <c r="AA211" s="105" t="s">
        <v>36</v>
      </c>
      <c r="AB211" s="110" t="s">
        <v>35</v>
      </c>
      <c r="AC211" s="50">
        <v>1350</v>
      </c>
      <c r="AD211" s="50">
        <v>1220</v>
      </c>
      <c r="AE211" s="50">
        <v>1040</v>
      </c>
      <c r="AF211" s="111">
        <f t="shared" si="15"/>
        <v>0</v>
      </c>
      <c r="AG211" s="111" t="str">
        <f t="shared" si="16"/>
        <v>巩膜加压费</v>
      </c>
      <c r="AH211" s="111">
        <f t="shared" si="17"/>
        <v>1350</v>
      </c>
      <c r="AI211" s="111">
        <f t="shared" si="18"/>
        <v>1220</v>
      </c>
      <c r="AJ211" s="111">
        <f t="shared" si="19"/>
        <v>1040</v>
      </c>
    </row>
    <row r="212" s="55" customFormat="1" ht="38" customHeight="1" spans="1:36">
      <c r="A212" s="112" t="s">
        <v>95</v>
      </c>
      <c r="B212" s="112" t="s">
        <v>1046</v>
      </c>
      <c r="C212" s="64" t="s">
        <v>1047</v>
      </c>
      <c r="D212" s="65"/>
      <c r="E212" s="77"/>
      <c r="F212" s="77" t="s">
        <v>35</v>
      </c>
      <c r="G212" s="64" t="s">
        <v>110</v>
      </c>
      <c r="H212" s="78">
        <v>462</v>
      </c>
      <c r="I212" s="78">
        <v>416</v>
      </c>
      <c r="J212" s="83">
        <v>405</v>
      </c>
      <c r="K212" s="83">
        <v>365</v>
      </c>
      <c r="L212" s="83">
        <v>305</v>
      </c>
      <c r="M212" s="83"/>
      <c r="N212" s="41">
        <v>405</v>
      </c>
      <c r="O212" s="41">
        <v>365</v>
      </c>
      <c r="P212" s="96">
        <v>310</v>
      </c>
      <c r="Q212" s="64" t="s">
        <v>37</v>
      </c>
      <c r="R212" s="64" t="s">
        <v>35</v>
      </c>
      <c r="S212" s="64" t="s">
        <v>35</v>
      </c>
      <c r="T212" s="83"/>
      <c r="U212" s="77" t="s">
        <v>186</v>
      </c>
      <c r="V212" s="105" t="s">
        <v>1048</v>
      </c>
      <c r="W212" s="105">
        <v>33040701201</v>
      </c>
      <c r="X212" s="106" t="s">
        <v>1049</v>
      </c>
      <c r="Y212" s="105"/>
      <c r="Z212" s="105"/>
      <c r="AA212" s="105" t="s">
        <v>36</v>
      </c>
      <c r="AB212" s="110" t="s">
        <v>35</v>
      </c>
      <c r="AC212" s="50">
        <v>1755</v>
      </c>
      <c r="AD212" s="50">
        <v>1585</v>
      </c>
      <c r="AE212" s="50">
        <v>1345</v>
      </c>
      <c r="AF212" s="111">
        <f t="shared" si="15"/>
        <v>6</v>
      </c>
      <c r="AG212" s="111" t="str">
        <f t="shared" si="16"/>
        <v>巩膜加压费</v>
      </c>
      <c r="AH212" s="111">
        <f t="shared" si="17"/>
        <v>1755</v>
      </c>
      <c r="AI212" s="111">
        <f t="shared" si="18"/>
        <v>1585</v>
      </c>
      <c r="AJ212" s="111">
        <f t="shared" si="19"/>
        <v>1350</v>
      </c>
    </row>
    <row r="213" s="52" customFormat="1" ht="42" customHeight="1" spans="1:36">
      <c r="A213" s="112">
        <v>78</v>
      </c>
      <c r="B213" s="112" t="s">
        <v>1065</v>
      </c>
      <c r="C213" s="66" t="s">
        <v>1066</v>
      </c>
      <c r="D213" s="65" t="s">
        <v>1067</v>
      </c>
      <c r="E213" s="77" t="s">
        <v>1068</v>
      </c>
      <c r="F213" s="77" t="s">
        <v>1069</v>
      </c>
      <c r="G213" s="64" t="s">
        <v>110</v>
      </c>
      <c r="H213" s="78">
        <v>945</v>
      </c>
      <c r="I213" s="78">
        <v>851</v>
      </c>
      <c r="J213" s="83">
        <v>875</v>
      </c>
      <c r="K213" s="83">
        <v>840</v>
      </c>
      <c r="L213" s="83"/>
      <c r="M213" s="83"/>
      <c r="N213" s="91">
        <v>875</v>
      </c>
      <c r="O213" s="91">
        <v>840</v>
      </c>
      <c r="P213" s="93">
        <v>714</v>
      </c>
      <c r="Q213" s="64" t="s">
        <v>37</v>
      </c>
      <c r="R213" s="64" t="s">
        <v>35</v>
      </c>
      <c r="S213" s="64" t="s">
        <v>35</v>
      </c>
      <c r="T213" s="83" t="s">
        <v>381</v>
      </c>
      <c r="U213" s="77" t="s">
        <v>1070</v>
      </c>
      <c r="V213" s="105" t="s">
        <v>1071</v>
      </c>
      <c r="W213" s="105">
        <v>330405003</v>
      </c>
      <c r="X213" s="106" t="s">
        <v>1072</v>
      </c>
      <c r="Y213" s="105"/>
      <c r="Z213" s="105"/>
      <c r="AA213" s="105" t="s">
        <v>36</v>
      </c>
      <c r="AB213" s="110" t="s">
        <v>35</v>
      </c>
      <c r="AC213" s="50">
        <v>875</v>
      </c>
      <c r="AD213" s="50">
        <v>840</v>
      </c>
      <c r="AE213" s="50">
        <v>714</v>
      </c>
      <c r="AF213" s="111">
        <f t="shared" si="15"/>
        <v>0</v>
      </c>
      <c r="AG213" s="111" t="str">
        <f t="shared" si="16"/>
        <v>虹膜修复费</v>
      </c>
      <c r="AH213" s="111">
        <f t="shared" si="17"/>
        <v>875</v>
      </c>
      <c r="AI213" s="111">
        <f t="shared" si="18"/>
        <v>840</v>
      </c>
      <c r="AJ213" s="111">
        <f t="shared" si="19"/>
        <v>714</v>
      </c>
    </row>
    <row r="214" s="52" customFormat="1" ht="42" customHeight="1" spans="1:36">
      <c r="A214" s="112"/>
      <c r="B214" s="112"/>
      <c r="C214" s="66" t="s">
        <v>1066</v>
      </c>
      <c r="D214" s="65"/>
      <c r="E214" s="77"/>
      <c r="F214" s="77"/>
      <c r="G214" s="64"/>
      <c r="H214" s="42"/>
      <c r="I214" s="42"/>
      <c r="J214" s="83"/>
      <c r="K214" s="83"/>
      <c r="L214" s="83"/>
      <c r="M214" s="83"/>
      <c r="N214" s="91">
        <v>875</v>
      </c>
      <c r="O214" s="91">
        <v>840</v>
      </c>
      <c r="P214" s="93">
        <v>714</v>
      </c>
      <c r="Q214" s="64"/>
      <c r="R214" s="64"/>
      <c r="S214" s="64"/>
      <c r="T214" s="83"/>
      <c r="U214" s="77"/>
      <c r="V214" s="105" t="s">
        <v>1073</v>
      </c>
      <c r="W214" s="105">
        <v>330405006</v>
      </c>
      <c r="X214" s="106" t="s">
        <v>1074</v>
      </c>
      <c r="Y214" s="105"/>
      <c r="Z214" s="105" t="s">
        <v>1075</v>
      </c>
      <c r="AA214" s="105" t="s">
        <v>36</v>
      </c>
      <c r="AB214" s="110" t="s">
        <v>35</v>
      </c>
      <c r="AC214" s="50">
        <v>1125</v>
      </c>
      <c r="AD214" s="50">
        <v>1080</v>
      </c>
      <c r="AE214" s="50">
        <v>918</v>
      </c>
      <c r="AF214" s="111">
        <f t="shared" si="15"/>
        <v>0</v>
      </c>
      <c r="AG214" s="111" t="str">
        <f t="shared" si="16"/>
        <v>虹膜修复费</v>
      </c>
      <c r="AH214" s="111">
        <f t="shared" si="17"/>
        <v>875</v>
      </c>
      <c r="AI214" s="111">
        <f t="shared" si="18"/>
        <v>840</v>
      </c>
      <c r="AJ214" s="111">
        <f t="shared" si="19"/>
        <v>714</v>
      </c>
    </row>
    <row r="215" s="52" customFormat="1" ht="25.5" spans="1:36">
      <c r="A215" s="112" t="s">
        <v>95</v>
      </c>
      <c r="B215" s="112" t="s">
        <v>1076</v>
      </c>
      <c r="C215" s="66" t="s">
        <v>1077</v>
      </c>
      <c r="D215" s="65"/>
      <c r="E215" s="77"/>
      <c r="F215" s="77" t="s">
        <v>35</v>
      </c>
      <c r="G215" s="64" t="s">
        <v>110</v>
      </c>
      <c r="H215" s="78">
        <v>284</v>
      </c>
      <c r="I215" s="78">
        <v>255</v>
      </c>
      <c r="J215" s="83"/>
      <c r="K215" s="83"/>
      <c r="L215" s="83"/>
      <c r="M215" s="83"/>
      <c r="N215" s="91">
        <v>265</v>
      </c>
      <c r="O215" s="91">
        <v>250</v>
      </c>
      <c r="P215" s="93">
        <v>215</v>
      </c>
      <c r="Q215" s="64" t="s">
        <v>37</v>
      </c>
      <c r="R215" s="64" t="s">
        <v>35</v>
      </c>
      <c r="S215" s="64" t="s">
        <v>35</v>
      </c>
      <c r="T215" s="83"/>
      <c r="U215" s="77" t="s">
        <v>186</v>
      </c>
      <c r="V215" s="105" t="s">
        <v>1078</v>
      </c>
      <c r="W215" s="105">
        <v>33040500301</v>
      </c>
      <c r="X215" s="106" t="s">
        <v>1079</v>
      </c>
      <c r="Y215" s="105"/>
      <c r="Z215" s="105"/>
      <c r="AA215" s="105" t="s">
        <v>36</v>
      </c>
      <c r="AB215" s="110" t="s">
        <v>35</v>
      </c>
      <c r="AC215" s="50">
        <v>1140</v>
      </c>
      <c r="AD215" s="50">
        <v>1090</v>
      </c>
      <c r="AE215" s="50">
        <v>925</v>
      </c>
      <c r="AF215" s="111">
        <f t="shared" si="15"/>
        <v>6</v>
      </c>
      <c r="AG215" s="111" t="str">
        <f t="shared" si="16"/>
        <v>虹膜修复费</v>
      </c>
      <c r="AH215" s="111">
        <f t="shared" si="17"/>
        <v>1140</v>
      </c>
      <c r="AI215" s="111">
        <f t="shared" si="18"/>
        <v>1090</v>
      </c>
      <c r="AJ215" s="111">
        <f t="shared" si="19"/>
        <v>929</v>
      </c>
    </row>
    <row r="216" s="52" customFormat="1" ht="25.5" spans="1:36">
      <c r="A216" s="112"/>
      <c r="B216" s="112"/>
      <c r="C216" s="66" t="s">
        <v>1077</v>
      </c>
      <c r="D216" s="65"/>
      <c r="E216" s="77"/>
      <c r="F216" s="77"/>
      <c r="G216" s="64"/>
      <c r="H216" s="42"/>
      <c r="I216" s="42"/>
      <c r="J216" s="83"/>
      <c r="K216" s="83"/>
      <c r="L216" s="83"/>
      <c r="M216" s="83"/>
      <c r="N216" s="91">
        <v>265</v>
      </c>
      <c r="O216" s="91">
        <v>250</v>
      </c>
      <c r="P216" s="93">
        <v>215</v>
      </c>
      <c r="Q216" s="64"/>
      <c r="R216" s="64"/>
      <c r="S216" s="64"/>
      <c r="T216" s="83"/>
      <c r="U216" s="77"/>
      <c r="V216" s="105" t="s">
        <v>1080</v>
      </c>
      <c r="W216" s="105">
        <v>33040500601</v>
      </c>
      <c r="X216" s="106" t="s">
        <v>1081</v>
      </c>
      <c r="Y216" s="105"/>
      <c r="Z216" s="105"/>
      <c r="AA216" s="105" t="s">
        <v>36</v>
      </c>
      <c r="AB216" s="110" t="s">
        <v>35</v>
      </c>
      <c r="AC216" s="50">
        <v>1465</v>
      </c>
      <c r="AD216" s="50">
        <v>1405</v>
      </c>
      <c r="AE216" s="50">
        <v>1195</v>
      </c>
      <c r="AF216" s="111">
        <f t="shared" si="15"/>
        <v>6</v>
      </c>
      <c r="AG216" s="111" t="str">
        <f t="shared" si="16"/>
        <v>虹膜修复费</v>
      </c>
      <c r="AH216" s="111">
        <f t="shared" si="17"/>
        <v>1140</v>
      </c>
      <c r="AI216" s="111">
        <f t="shared" si="18"/>
        <v>1090</v>
      </c>
      <c r="AJ216" s="111">
        <f t="shared" si="19"/>
        <v>929</v>
      </c>
    </row>
    <row r="217" s="52" customFormat="1" ht="25.5" spans="1:36">
      <c r="A217" s="64">
        <v>79</v>
      </c>
      <c r="B217" s="64" t="s">
        <v>1082</v>
      </c>
      <c r="C217" s="66" t="s">
        <v>1083</v>
      </c>
      <c r="D217" s="65" t="s">
        <v>1084</v>
      </c>
      <c r="E217" s="77" t="s">
        <v>1085</v>
      </c>
      <c r="F217" s="77" t="s">
        <v>35</v>
      </c>
      <c r="G217" s="64" t="s">
        <v>110</v>
      </c>
      <c r="H217" s="78">
        <v>475</v>
      </c>
      <c r="I217" s="78">
        <v>430</v>
      </c>
      <c r="J217" s="84">
        <v>499.533582089552</v>
      </c>
      <c r="K217" s="84">
        <v>484.615384615385</v>
      </c>
      <c r="L217" s="84">
        <v>408</v>
      </c>
      <c r="M217" s="84"/>
      <c r="N217" s="92">
        <v>470</v>
      </c>
      <c r="O217" s="92">
        <v>430</v>
      </c>
      <c r="P217" s="95">
        <v>380</v>
      </c>
      <c r="Q217" s="64" t="s">
        <v>37</v>
      </c>
      <c r="R217" s="64" t="s">
        <v>35</v>
      </c>
      <c r="S217" s="64" t="s">
        <v>35</v>
      </c>
      <c r="T217" s="83" t="s">
        <v>131</v>
      </c>
      <c r="U217" s="104" t="s">
        <v>767</v>
      </c>
      <c r="V217" s="105" t="s">
        <v>1086</v>
      </c>
      <c r="W217" s="105">
        <v>330405001</v>
      </c>
      <c r="X217" s="106" t="s">
        <v>1087</v>
      </c>
      <c r="Y217" s="105"/>
      <c r="Z217" s="105"/>
      <c r="AA217" s="105" t="s">
        <v>36</v>
      </c>
      <c r="AB217" s="110" t="s">
        <v>35</v>
      </c>
      <c r="AC217" s="50">
        <v>437.5</v>
      </c>
      <c r="AD217" s="50">
        <v>420</v>
      </c>
      <c r="AE217" s="50">
        <v>357</v>
      </c>
      <c r="AF217" s="111">
        <f t="shared" si="15"/>
        <v>0</v>
      </c>
      <c r="AG217" s="111" t="str">
        <f t="shared" si="16"/>
        <v>虹膜切除费</v>
      </c>
      <c r="AH217" s="111">
        <f t="shared" si="17"/>
        <v>470</v>
      </c>
      <c r="AI217" s="111">
        <f t="shared" si="18"/>
        <v>430</v>
      </c>
      <c r="AJ217" s="111">
        <f t="shared" si="19"/>
        <v>380</v>
      </c>
    </row>
    <row r="218" s="52" customFormat="1" ht="25.5" spans="1:36">
      <c r="A218" s="64"/>
      <c r="B218" s="64"/>
      <c r="C218" s="66" t="s">
        <v>1083</v>
      </c>
      <c r="D218" s="65"/>
      <c r="E218" s="77"/>
      <c r="F218" s="77"/>
      <c r="G218" s="64"/>
      <c r="H218" s="42"/>
      <c r="I218" s="42"/>
      <c r="J218" s="84"/>
      <c r="K218" s="84"/>
      <c r="L218" s="84"/>
      <c r="M218" s="84"/>
      <c r="N218" s="92">
        <v>470</v>
      </c>
      <c r="O218" s="92">
        <v>430</v>
      </c>
      <c r="P218" s="95">
        <v>380</v>
      </c>
      <c r="Q218" s="64"/>
      <c r="R218" s="64"/>
      <c r="S218" s="64"/>
      <c r="T218" s="83"/>
      <c r="U218" s="104"/>
      <c r="V218" s="105" t="s">
        <v>1088</v>
      </c>
      <c r="W218" s="105">
        <v>330405005</v>
      </c>
      <c r="X218" s="106" t="s">
        <v>1089</v>
      </c>
      <c r="Y218" s="105"/>
      <c r="Z218" s="105" t="s">
        <v>1090</v>
      </c>
      <c r="AA218" s="105" t="s">
        <v>36</v>
      </c>
      <c r="AB218" s="110" t="s">
        <v>35</v>
      </c>
      <c r="AC218" s="50">
        <v>625</v>
      </c>
      <c r="AD218" s="50">
        <v>600</v>
      </c>
      <c r="AE218" s="50">
        <v>510</v>
      </c>
      <c r="AF218" s="111">
        <f t="shared" si="15"/>
        <v>0</v>
      </c>
      <c r="AG218" s="111" t="str">
        <f t="shared" si="16"/>
        <v>虹膜切除费</v>
      </c>
      <c r="AH218" s="111">
        <f t="shared" si="17"/>
        <v>470</v>
      </c>
      <c r="AI218" s="111">
        <f t="shared" si="18"/>
        <v>430</v>
      </c>
      <c r="AJ218" s="111">
        <f t="shared" si="19"/>
        <v>380</v>
      </c>
    </row>
    <row r="219" s="52" customFormat="1" ht="25.5" spans="1:36">
      <c r="A219" s="64"/>
      <c r="B219" s="64"/>
      <c r="C219" s="66" t="s">
        <v>1083</v>
      </c>
      <c r="D219" s="65"/>
      <c r="E219" s="77"/>
      <c r="F219" s="77"/>
      <c r="G219" s="64"/>
      <c r="H219" s="42"/>
      <c r="I219" s="42"/>
      <c r="J219" s="84"/>
      <c r="K219" s="84"/>
      <c r="L219" s="84"/>
      <c r="M219" s="84"/>
      <c r="N219" s="92">
        <v>470</v>
      </c>
      <c r="O219" s="92">
        <v>430</v>
      </c>
      <c r="P219" s="95">
        <v>380</v>
      </c>
      <c r="Q219" s="64"/>
      <c r="R219" s="64"/>
      <c r="S219" s="64"/>
      <c r="T219" s="83"/>
      <c r="U219" s="104"/>
      <c r="V219" s="105" t="s">
        <v>1091</v>
      </c>
      <c r="W219" s="105">
        <v>330405002</v>
      </c>
      <c r="X219" s="106" t="s">
        <v>1092</v>
      </c>
      <c r="Y219" s="105"/>
      <c r="Z219" s="105"/>
      <c r="AA219" s="105" t="s">
        <v>36</v>
      </c>
      <c r="AB219" s="110" t="s">
        <v>35</v>
      </c>
      <c r="AC219" s="50">
        <v>500</v>
      </c>
      <c r="AD219" s="50">
        <v>480</v>
      </c>
      <c r="AE219" s="50">
        <v>408</v>
      </c>
      <c r="AF219" s="111">
        <f t="shared" si="15"/>
        <v>0</v>
      </c>
      <c r="AG219" s="111" t="str">
        <f t="shared" si="16"/>
        <v>虹膜切除费</v>
      </c>
      <c r="AH219" s="111">
        <f t="shared" si="17"/>
        <v>470</v>
      </c>
      <c r="AI219" s="111">
        <f t="shared" si="18"/>
        <v>430</v>
      </c>
      <c r="AJ219" s="111">
        <f t="shared" si="19"/>
        <v>380</v>
      </c>
    </row>
    <row r="220" s="52" customFormat="1" ht="25.5" spans="1:36">
      <c r="A220" s="64"/>
      <c r="B220" s="64"/>
      <c r="C220" s="66" t="s">
        <v>1083</v>
      </c>
      <c r="D220" s="65"/>
      <c r="E220" s="77"/>
      <c r="F220" s="77"/>
      <c r="G220" s="64"/>
      <c r="H220" s="42"/>
      <c r="I220" s="42"/>
      <c r="J220" s="84"/>
      <c r="K220" s="84"/>
      <c r="L220" s="84"/>
      <c r="M220" s="84"/>
      <c r="N220" s="92">
        <v>470</v>
      </c>
      <c r="O220" s="92">
        <v>430</v>
      </c>
      <c r="P220" s="95">
        <v>380</v>
      </c>
      <c r="Q220" s="64"/>
      <c r="R220" s="64"/>
      <c r="S220" s="64"/>
      <c r="T220" s="83"/>
      <c r="U220" s="104"/>
      <c r="V220" s="105" t="s">
        <v>1093</v>
      </c>
      <c r="W220" s="105">
        <v>330405004</v>
      </c>
      <c r="X220" s="106" t="s">
        <v>1094</v>
      </c>
      <c r="Y220" s="105"/>
      <c r="Z220" s="105"/>
      <c r="AA220" s="105" t="s">
        <v>36</v>
      </c>
      <c r="AB220" s="110" t="s">
        <v>35</v>
      </c>
      <c r="AC220" s="50">
        <v>500</v>
      </c>
      <c r="AD220" s="50">
        <v>480</v>
      </c>
      <c r="AE220" s="50">
        <v>408</v>
      </c>
      <c r="AF220" s="111">
        <f t="shared" si="15"/>
        <v>0</v>
      </c>
      <c r="AG220" s="111" t="str">
        <f t="shared" si="16"/>
        <v>虹膜切除费</v>
      </c>
      <c r="AH220" s="111">
        <f t="shared" si="17"/>
        <v>470</v>
      </c>
      <c r="AI220" s="111">
        <f t="shared" si="18"/>
        <v>430</v>
      </c>
      <c r="AJ220" s="111">
        <f t="shared" si="19"/>
        <v>380</v>
      </c>
    </row>
    <row r="221" s="52" customFormat="1" ht="25.5" spans="1:36">
      <c r="A221" s="64" t="s">
        <v>95</v>
      </c>
      <c r="B221" s="64" t="s">
        <v>1095</v>
      </c>
      <c r="C221" s="66" t="s">
        <v>1096</v>
      </c>
      <c r="D221" s="65"/>
      <c r="E221" s="77"/>
      <c r="F221" s="77" t="s">
        <v>35</v>
      </c>
      <c r="G221" s="64" t="s">
        <v>110</v>
      </c>
      <c r="H221" s="78">
        <v>143</v>
      </c>
      <c r="I221" s="78">
        <v>129</v>
      </c>
      <c r="J221" s="83"/>
      <c r="K221" s="83"/>
      <c r="L221" s="83"/>
      <c r="M221" s="83"/>
      <c r="N221" s="91">
        <v>140</v>
      </c>
      <c r="O221" s="92">
        <v>125</v>
      </c>
      <c r="P221" s="93">
        <v>115</v>
      </c>
      <c r="Q221" s="64" t="s">
        <v>37</v>
      </c>
      <c r="R221" s="64" t="s">
        <v>35</v>
      </c>
      <c r="S221" s="64" t="s">
        <v>35</v>
      </c>
      <c r="T221" s="83"/>
      <c r="U221" s="77" t="s">
        <v>186</v>
      </c>
      <c r="V221" s="105" t="s">
        <v>1097</v>
      </c>
      <c r="W221" s="105">
        <v>33040500101</v>
      </c>
      <c r="X221" s="106" t="s">
        <v>1098</v>
      </c>
      <c r="Y221" s="105"/>
      <c r="Z221" s="105"/>
      <c r="AA221" s="105" t="s">
        <v>36</v>
      </c>
      <c r="AB221" s="110" t="s">
        <v>35</v>
      </c>
      <c r="AC221" s="50">
        <v>570</v>
      </c>
      <c r="AD221" s="50">
        <v>545</v>
      </c>
      <c r="AE221" s="50">
        <v>465</v>
      </c>
      <c r="AF221" s="111">
        <f t="shared" si="15"/>
        <v>6</v>
      </c>
      <c r="AG221" s="111" t="str">
        <f t="shared" si="16"/>
        <v>虹膜切除费</v>
      </c>
      <c r="AH221" s="111">
        <f t="shared" si="17"/>
        <v>610</v>
      </c>
      <c r="AI221" s="111">
        <f t="shared" si="18"/>
        <v>555</v>
      </c>
      <c r="AJ221" s="111">
        <f t="shared" si="19"/>
        <v>495</v>
      </c>
    </row>
    <row r="222" s="52" customFormat="1" ht="25.5" spans="1:36">
      <c r="A222" s="64"/>
      <c r="B222" s="64"/>
      <c r="C222" s="66" t="s">
        <v>1096</v>
      </c>
      <c r="D222" s="65"/>
      <c r="E222" s="77"/>
      <c r="F222" s="77"/>
      <c r="G222" s="64"/>
      <c r="H222" s="42"/>
      <c r="I222" s="42"/>
      <c r="J222" s="83"/>
      <c r="K222" s="83"/>
      <c r="L222" s="83"/>
      <c r="M222" s="83"/>
      <c r="N222" s="91">
        <v>140</v>
      </c>
      <c r="O222" s="92">
        <v>125</v>
      </c>
      <c r="P222" s="93">
        <v>115</v>
      </c>
      <c r="Q222" s="64"/>
      <c r="R222" s="64"/>
      <c r="S222" s="64"/>
      <c r="T222" s="83"/>
      <c r="U222" s="77"/>
      <c r="V222" s="105" t="s">
        <v>1099</v>
      </c>
      <c r="W222" s="105">
        <v>33040500501</v>
      </c>
      <c r="X222" s="106" t="s">
        <v>1100</v>
      </c>
      <c r="Y222" s="105"/>
      <c r="Z222" s="105"/>
      <c r="AA222" s="105" t="s">
        <v>36</v>
      </c>
      <c r="AB222" s="110" t="s">
        <v>35</v>
      </c>
      <c r="AC222" s="50">
        <v>815</v>
      </c>
      <c r="AD222" s="50">
        <v>780</v>
      </c>
      <c r="AE222" s="50">
        <v>665</v>
      </c>
      <c r="AF222" s="111">
        <f t="shared" si="15"/>
        <v>6</v>
      </c>
      <c r="AG222" s="111" t="str">
        <f t="shared" si="16"/>
        <v>虹膜切除费</v>
      </c>
      <c r="AH222" s="111">
        <f t="shared" si="17"/>
        <v>610</v>
      </c>
      <c r="AI222" s="111">
        <f t="shared" si="18"/>
        <v>555</v>
      </c>
      <c r="AJ222" s="111">
        <f t="shared" si="19"/>
        <v>495</v>
      </c>
    </row>
    <row r="223" s="52" customFormat="1" ht="25.5" spans="1:36">
      <c r="A223" s="64"/>
      <c r="B223" s="64"/>
      <c r="C223" s="66" t="s">
        <v>1096</v>
      </c>
      <c r="D223" s="65"/>
      <c r="E223" s="77"/>
      <c r="F223" s="77"/>
      <c r="G223" s="64"/>
      <c r="H223" s="42"/>
      <c r="I223" s="42"/>
      <c r="J223" s="83"/>
      <c r="K223" s="83"/>
      <c r="L223" s="83"/>
      <c r="M223" s="83"/>
      <c r="N223" s="91">
        <v>140</v>
      </c>
      <c r="O223" s="92">
        <v>125</v>
      </c>
      <c r="P223" s="93">
        <v>115</v>
      </c>
      <c r="Q223" s="64"/>
      <c r="R223" s="64"/>
      <c r="S223" s="64"/>
      <c r="T223" s="83"/>
      <c r="U223" s="77"/>
      <c r="V223" s="105" t="s">
        <v>1101</v>
      </c>
      <c r="W223" s="105">
        <v>33040500201</v>
      </c>
      <c r="X223" s="106" t="s">
        <v>1102</v>
      </c>
      <c r="Y223" s="105"/>
      <c r="Z223" s="105"/>
      <c r="AA223" s="105" t="s">
        <v>36</v>
      </c>
      <c r="AB223" s="110" t="s">
        <v>35</v>
      </c>
      <c r="AC223" s="50">
        <v>650</v>
      </c>
      <c r="AD223" s="50">
        <v>625</v>
      </c>
      <c r="AE223" s="50">
        <v>530</v>
      </c>
      <c r="AF223" s="111">
        <f t="shared" si="15"/>
        <v>6</v>
      </c>
      <c r="AG223" s="111" t="str">
        <f t="shared" si="16"/>
        <v>虹膜切除费</v>
      </c>
      <c r="AH223" s="111">
        <f t="shared" si="17"/>
        <v>610</v>
      </c>
      <c r="AI223" s="111">
        <f t="shared" si="18"/>
        <v>555</v>
      </c>
      <c r="AJ223" s="111">
        <f t="shared" si="19"/>
        <v>495</v>
      </c>
    </row>
    <row r="224" s="52" customFormat="1" ht="25.5" spans="1:36">
      <c r="A224" s="64"/>
      <c r="B224" s="64"/>
      <c r="C224" s="66" t="s">
        <v>1096</v>
      </c>
      <c r="D224" s="65"/>
      <c r="E224" s="77"/>
      <c r="F224" s="77"/>
      <c r="G224" s="64"/>
      <c r="H224" s="42"/>
      <c r="I224" s="42"/>
      <c r="J224" s="83"/>
      <c r="K224" s="83"/>
      <c r="L224" s="83"/>
      <c r="M224" s="83"/>
      <c r="N224" s="91">
        <v>140</v>
      </c>
      <c r="O224" s="92">
        <v>125</v>
      </c>
      <c r="P224" s="93">
        <v>115</v>
      </c>
      <c r="Q224" s="64"/>
      <c r="R224" s="64"/>
      <c r="S224" s="64"/>
      <c r="T224" s="83"/>
      <c r="U224" s="77"/>
      <c r="V224" s="105" t="s">
        <v>1103</v>
      </c>
      <c r="W224" s="105">
        <v>33040500401</v>
      </c>
      <c r="X224" s="106" t="s">
        <v>1104</v>
      </c>
      <c r="Y224" s="105"/>
      <c r="Z224" s="105"/>
      <c r="AA224" s="105" t="s">
        <v>36</v>
      </c>
      <c r="AB224" s="110" t="s">
        <v>35</v>
      </c>
      <c r="AC224" s="50">
        <v>650</v>
      </c>
      <c r="AD224" s="50">
        <v>625</v>
      </c>
      <c r="AE224" s="50">
        <v>530</v>
      </c>
      <c r="AF224" s="111">
        <f t="shared" si="15"/>
        <v>6</v>
      </c>
      <c r="AG224" s="111" t="str">
        <f t="shared" si="16"/>
        <v>虹膜切除费</v>
      </c>
      <c r="AH224" s="111">
        <f t="shared" si="17"/>
        <v>610</v>
      </c>
      <c r="AI224" s="111">
        <f t="shared" si="18"/>
        <v>555</v>
      </c>
      <c r="AJ224" s="111">
        <f t="shared" si="19"/>
        <v>495</v>
      </c>
    </row>
    <row r="225" s="52" customFormat="1" ht="30" customHeight="1" spans="1:36">
      <c r="A225" s="64">
        <v>80</v>
      </c>
      <c r="B225" s="64" t="s">
        <v>1105</v>
      </c>
      <c r="C225" s="66" t="s">
        <v>1106</v>
      </c>
      <c r="D225" s="65" t="s">
        <v>1107</v>
      </c>
      <c r="E225" s="77" t="s">
        <v>1108</v>
      </c>
      <c r="F225" s="77" t="s">
        <v>1109</v>
      </c>
      <c r="G225" s="64" t="s">
        <v>110</v>
      </c>
      <c r="H225" s="78">
        <v>1080</v>
      </c>
      <c r="I225" s="78">
        <v>972</v>
      </c>
      <c r="J225" s="83">
        <v>1000</v>
      </c>
      <c r="K225" s="83">
        <v>960</v>
      </c>
      <c r="L225" s="83">
        <v>816</v>
      </c>
      <c r="M225" s="83"/>
      <c r="N225" s="91">
        <v>1000</v>
      </c>
      <c r="O225" s="91">
        <v>960</v>
      </c>
      <c r="P225" s="93">
        <v>816</v>
      </c>
      <c r="Q225" s="64" t="s">
        <v>37</v>
      </c>
      <c r="R225" s="64" t="s">
        <v>35</v>
      </c>
      <c r="S225" s="64" t="s">
        <v>35</v>
      </c>
      <c r="T225" s="83" t="s">
        <v>381</v>
      </c>
      <c r="U225" s="77" t="s">
        <v>381</v>
      </c>
      <c r="V225" s="105" t="s">
        <v>1110</v>
      </c>
      <c r="W225" s="105">
        <v>330404013</v>
      </c>
      <c r="X225" s="106" t="s">
        <v>1111</v>
      </c>
      <c r="Y225" s="105" t="s">
        <v>1112</v>
      </c>
      <c r="Z225" s="105" t="s">
        <v>1090</v>
      </c>
      <c r="AA225" s="105" t="s">
        <v>36</v>
      </c>
      <c r="AB225" s="110" t="s">
        <v>35</v>
      </c>
      <c r="AC225" s="50">
        <v>1000</v>
      </c>
      <c r="AD225" s="50">
        <v>960</v>
      </c>
      <c r="AE225" s="50">
        <v>816</v>
      </c>
      <c r="AF225" s="111">
        <f t="shared" si="15"/>
        <v>0</v>
      </c>
      <c r="AG225" s="111" t="str">
        <f t="shared" si="16"/>
        <v>瞳孔成形费</v>
      </c>
      <c r="AH225" s="111">
        <f t="shared" si="17"/>
        <v>1000</v>
      </c>
      <c r="AI225" s="111">
        <f t="shared" si="18"/>
        <v>960</v>
      </c>
      <c r="AJ225" s="111">
        <f t="shared" si="19"/>
        <v>816</v>
      </c>
    </row>
    <row r="226" s="52" customFormat="1" ht="30" customHeight="1" spans="1:36">
      <c r="A226" s="64"/>
      <c r="B226" s="64"/>
      <c r="C226" s="66" t="s">
        <v>1106</v>
      </c>
      <c r="D226" s="65"/>
      <c r="E226" s="77"/>
      <c r="F226" s="77"/>
      <c r="G226" s="64"/>
      <c r="H226" s="42"/>
      <c r="I226" s="42"/>
      <c r="J226" s="83"/>
      <c r="K226" s="83"/>
      <c r="L226" s="83"/>
      <c r="M226" s="83"/>
      <c r="N226" s="91">
        <v>1000</v>
      </c>
      <c r="O226" s="91">
        <v>960</v>
      </c>
      <c r="P226" s="93">
        <v>816</v>
      </c>
      <c r="Q226" s="64"/>
      <c r="R226" s="64"/>
      <c r="S226" s="64"/>
      <c r="T226" s="83"/>
      <c r="U226" s="77"/>
      <c r="V226" s="105" t="s">
        <v>1113</v>
      </c>
      <c r="W226" s="105">
        <v>33040401302</v>
      </c>
      <c r="X226" s="106" t="s">
        <v>1114</v>
      </c>
      <c r="Y226" s="105"/>
      <c r="Z226" s="105"/>
      <c r="AA226" s="105" t="s">
        <v>36</v>
      </c>
      <c r="AB226" s="110" t="s">
        <v>35</v>
      </c>
      <c r="AC226" s="50">
        <v>1000</v>
      </c>
      <c r="AD226" s="50">
        <v>960</v>
      </c>
      <c r="AE226" s="50">
        <v>816</v>
      </c>
      <c r="AF226" s="111">
        <f t="shared" si="15"/>
        <v>0</v>
      </c>
      <c r="AG226" s="111" t="str">
        <f t="shared" si="16"/>
        <v>瞳孔成形费</v>
      </c>
      <c r="AH226" s="111">
        <f t="shared" si="17"/>
        <v>1000</v>
      </c>
      <c r="AI226" s="111">
        <f t="shared" si="18"/>
        <v>960</v>
      </c>
      <c r="AJ226" s="111">
        <f t="shared" si="19"/>
        <v>816</v>
      </c>
    </row>
    <row r="227" s="52" customFormat="1" ht="27" customHeight="1" spans="1:36">
      <c r="A227" s="64" t="s">
        <v>95</v>
      </c>
      <c r="B227" s="64" t="s">
        <v>1115</v>
      </c>
      <c r="C227" s="66" t="s">
        <v>1116</v>
      </c>
      <c r="D227" s="65"/>
      <c r="E227" s="77"/>
      <c r="F227" s="77" t="s">
        <v>35</v>
      </c>
      <c r="G227" s="64" t="s">
        <v>110</v>
      </c>
      <c r="H227" s="78">
        <v>324</v>
      </c>
      <c r="I227" s="78">
        <v>292</v>
      </c>
      <c r="J227" s="83">
        <v>300</v>
      </c>
      <c r="K227" s="83">
        <v>290</v>
      </c>
      <c r="L227" s="83">
        <v>249</v>
      </c>
      <c r="M227" s="83"/>
      <c r="N227" s="91">
        <v>300</v>
      </c>
      <c r="O227" s="91">
        <v>290</v>
      </c>
      <c r="P227" s="93">
        <v>245</v>
      </c>
      <c r="Q227" s="64" t="s">
        <v>37</v>
      </c>
      <c r="R227" s="64" t="s">
        <v>35</v>
      </c>
      <c r="S227" s="64" t="s">
        <v>35</v>
      </c>
      <c r="T227" s="83"/>
      <c r="U227" s="77" t="s">
        <v>186</v>
      </c>
      <c r="V227" s="105" t="s">
        <v>1117</v>
      </c>
      <c r="W227" s="105">
        <v>33040401301</v>
      </c>
      <c r="X227" s="106" t="s">
        <v>1118</v>
      </c>
      <c r="Y227" s="105"/>
      <c r="Z227" s="105"/>
      <c r="AA227" s="105" t="s">
        <v>36</v>
      </c>
      <c r="AB227" s="110" t="s">
        <v>35</v>
      </c>
      <c r="AC227" s="50">
        <v>1300</v>
      </c>
      <c r="AD227" s="50">
        <v>1250</v>
      </c>
      <c r="AE227" s="50">
        <v>1065</v>
      </c>
      <c r="AF227" s="111">
        <f t="shared" si="15"/>
        <v>6</v>
      </c>
      <c r="AG227" s="111" t="str">
        <f t="shared" si="16"/>
        <v>瞳孔成形费</v>
      </c>
      <c r="AH227" s="111">
        <f t="shared" si="17"/>
        <v>1300</v>
      </c>
      <c r="AI227" s="111">
        <f t="shared" si="18"/>
        <v>1250</v>
      </c>
      <c r="AJ227" s="111">
        <f t="shared" si="19"/>
        <v>1061</v>
      </c>
    </row>
    <row r="228" s="52" customFormat="1" ht="27" customHeight="1" spans="1:36">
      <c r="A228" s="64"/>
      <c r="B228" s="64"/>
      <c r="C228" s="66" t="s">
        <v>1116</v>
      </c>
      <c r="D228" s="65"/>
      <c r="E228" s="77"/>
      <c r="F228" s="77"/>
      <c r="G228" s="64"/>
      <c r="H228" s="42"/>
      <c r="I228" s="42"/>
      <c r="J228" s="83"/>
      <c r="K228" s="83"/>
      <c r="L228" s="83"/>
      <c r="M228" s="83"/>
      <c r="N228" s="91">
        <v>300</v>
      </c>
      <c r="O228" s="91">
        <v>290</v>
      </c>
      <c r="P228" s="93">
        <v>245</v>
      </c>
      <c r="Q228" s="64"/>
      <c r="R228" s="64"/>
      <c r="S228" s="64"/>
      <c r="T228" s="83"/>
      <c r="U228" s="77"/>
      <c r="V228" s="105" t="s">
        <v>1119</v>
      </c>
      <c r="W228" s="105">
        <v>33040401303</v>
      </c>
      <c r="X228" s="106" t="s">
        <v>1120</v>
      </c>
      <c r="Y228" s="105"/>
      <c r="Z228" s="105"/>
      <c r="AA228" s="105" t="s">
        <v>36</v>
      </c>
      <c r="AB228" s="110" t="s">
        <v>35</v>
      </c>
      <c r="AC228" s="50">
        <v>1300</v>
      </c>
      <c r="AD228" s="50">
        <v>1250</v>
      </c>
      <c r="AE228" s="50">
        <v>1065</v>
      </c>
      <c r="AF228" s="111">
        <f t="shared" si="15"/>
        <v>6</v>
      </c>
      <c r="AG228" s="111" t="str">
        <f t="shared" si="16"/>
        <v>瞳孔成形费</v>
      </c>
      <c r="AH228" s="111">
        <f t="shared" si="17"/>
        <v>1300</v>
      </c>
      <c r="AI228" s="111">
        <f t="shared" si="18"/>
        <v>1250</v>
      </c>
      <c r="AJ228" s="111">
        <f t="shared" si="19"/>
        <v>1061</v>
      </c>
    </row>
    <row r="229" s="52" customFormat="1" ht="30" customHeight="1" spans="1:36">
      <c r="A229" s="64" t="s">
        <v>95</v>
      </c>
      <c r="B229" s="64" t="s">
        <v>1121</v>
      </c>
      <c r="C229" s="66" t="s">
        <v>1122</v>
      </c>
      <c r="D229" s="65"/>
      <c r="E229" s="77"/>
      <c r="F229" s="77" t="s">
        <v>35</v>
      </c>
      <c r="G229" s="64" t="s">
        <v>110</v>
      </c>
      <c r="H229" s="78">
        <v>1080</v>
      </c>
      <c r="I229" s="78">
        <v>972</v>
      </c>
      <c r="J229" s="125">
        <v>625</v>
      </c>
      <c r="K229" s="125">
        <v>600</v>
      </c>
      <c r="L229" s="125">
        <v>510</v>
      </c>
      <c r="M229" s="125"/>
      <c r="N229" s="92">
        <v>1000</v>
      </c>
      <c r="O229" s="92">
        <v>960</v>
      </c>
      <c r="P229" s="95">
        <v>816</v>
      </c>
      <c r="Q229" s="64" t="s">
        <v>37</v>
      </c>
      <c r="R229" s="64" t="s">
        <v>35</v>
      </c>
      <c r="S229" s="64" t="s">
        <v>35</v>
      </c>
      <c r="T229" s="83"/>
      <c r="U229" s="77" t="s">
        <v>523</v>
      </c>
      <c r="V229" s="105" t="s">
        <v>1123</v>
      </c>
      <c r="W229" s="105">
        <v>330405012</v>
      </c>
      <c r="X229" s="106" t="s">
        <v>1124</v>
      </c>
      <c r="Y229" s="105"/>
      <c r="Z229" s="105" t="s">
        <v>1090</v>
      </c>
      <c r="AA229" s="105" t="s">
        <v>36</v>
      </c>
      <c r="AB229" s="110" t="s">
        <v>35</v>
      </c>
      <c r="AC229" s="50">
        <v>625</v>
      </c>
      <c r="AD229" s="50">
        <v>600</v>
      </c>
      <c r="AE229" s="50">
        <v>510</v>
      </c>
      <c r="AF229" s="111">
        <f t="shared" si="15"/>
        <v>0</v>
      </c>
      <c r="AG229" s="111" t="str">
        <f t="shared" si="16"/>
        <v>瞳孔成形费-前房成形费（扩展）</v>
      </c>
      <c r="AH229" s="111">
        <f t="shared" si="17"/>
        <v>1000</v>
      </c>
      <c r="AI229" s="111">
        <f t="shared" si="18"/>
        <v>960</v>
      </c>
      <c r="AJ229" s="111">
        <f t="shared" si="19"/>
        <v>816</v>
      </c>
    </row>
    <row r="230" s="52" customFormat="1" ht="30" customHeight="1" spans="1:36">
      <c r="A230" s="64"/>
      <c r="B230" s="64"/>
      <c r="C230" s="66" t="s">
        <v>1122</v>
      </c>
      <c r="D230" s="65"/>
      <c r="E230" s="77"/>
      <c r="F230" s="77"/>
      <c r="G230" s="64"/>
      <c r="H230" s="42"/>
      <c r="I230" s="42"/>
      <c r="J230" s="125"/>
      <c r="K230" s="125"/>
      <c r="L230" s="125"/>
      <c r="M230" s="125"/>
      <c r="N230" s="92">
        <v>1000</v>
      </c>
      <c r="O230" s="92">
        <v>960</v>
      </c>
      <c r="P230" s="95">
        <v>816</v>
      </c>
      <c r="Q230" s="64"/>
      <c r="R230" s="64"/>
      <c r="S230" s="64"/>
      <c r="T230" s="83"/>
      <c r="U230" s="77"/>
      <c r="V230" s="105" t="s">
        <v>1125</v>
      </c>
      <c r="W230" s="105">
        <v>33040501201</v>
      </c>
      <c r="X230" s="106" t="s">
        <v>1126</v>
      </c>
      <c r="Y230" s="105"/>
      <c r="Z230" s="105"/>
      <c r="AA230" s="105" t="s">
        <v>36</v>
      </c>
      <c r="AB230" s="110" t="s">
        <v>35</v>
      </c>
      <c r="AC230" s="50">
        <v>815</v>
      </c>
      <c r="AD230" s="50">
        <v>780</v>
      </c>
      <c r="AE230" s="50">
        <v>665</v>
      </c>
      <c r="AF230" s="111">
        <f t="shared" si="15"/>
        <v>0</v>
      </c>
      <c r="AG230" s="111" t="str">
        <f t="shared" si="16"/>
        <v>瞳孔成形费-前房成形费（扩展）</v>
      </c>
      <c r="AH230" s="111">
        <f t="shared" si="17"/>
        <v>1000</v>
      </c>
      <c r="AI230" s="111">
        <f t="shared" si="18"/>
        <v>960</v>
      </c>
      <c r="AJ230" s="111">
        <f t="shared" si="19"/>
        <v>816</v>
      </c>
    </row>
    <row r="231" s="52" customFormat="1" ht="25.5" spans="1:36">
      <c r="A231" s="112">
        <v>81</v>
      </c>
      <c r="B231" s="112" t="s">
        <v>1127</v>
      </c>
      <c r="C231" s="66" t="s">
        <v>1128</v>
      </c>
      <c r="D231" s="65" t="s">
        <v>1129</v>
      </c>
      <c r="E231" s="77" t="s">
        <v>1130</v>
      </c>
      <c r="F231" s="77" t="s">
        <v>35</v>
      </c>
      <c r="G231" s="64" t="s">
        <v>110</v>
      </c>
      <c r="H231" s="78">
        <v>500</v>
      </c>
      <c r="I231" s="78">
        <v>450</v>
      </c>
      <c r="J231" s="84">
        <v>416.666666666667</v>
      </c>
      <c r="K231" s="84">
        <v>667.741935483871</v>
      </c>
      <c r="L231" s="84"/>
      <c r="M231" s="84"/>
      <c r="N231" s="92">
        <v>470</v>
      </c>
      <c r="O231" s="92">
        <v>450</v>
      </c>
      <c r="P231" s="95">
        <v>385</v>
      </c>
      <c r="Q231" s="64" t="s">
        <v>37</v>
      </c>
      <c r="R231" s="64" t="s">
        <v>1131</v>
      </c>
      <c r="S231" s="64" t="s">
        <v>348</v>
      </c>
      <c r="T231" s="83" t="s">
        <v>131</v>
      </c>
      <c r="U231" s="104" t="s">
        <v>1132</v>
      </c>
      <c r="V231" s="105" t="s">
        <v>1133</v>
      </c>
      <c r="W231" s="105">
        <v>330401005</v>
      </c>
      <c r="X231" s="106" t="s">
        <v>1134</v>
      </c>
      <c r="Y231" s="105"/>
      <c r="Z231" s="105"/>
      <c r="AA231" s="105" t="s">
        <v>36</v>
      </c>
      <c r="AB231" s="110" t="s">
        <v>35</v>
      </c>
      <c r="AC231" s="50">
        <v>1010</v>
      </c>
      <c r="AD231" s="50">
        <v>910</v>
      </c>
      <c r="AE231" s="50">
        <v>775</v>
      </c>
      <c r="AF231" s="111">
        <f t="shared" si="15"/>
        <v>0</v>
      </c>
      <c r="AG231" s="111" t="str">
        <f t="shared" si="16"/>
        <v>睑成形费（常规）</v>
      </c>
      <c r="AH231" s="111">
        <f t="shared" si="17"/>
        <v>470</v>
      </c>
      <c r="AI231" s="111">
        <f t="shared" si="18"/>
        <v>450</v>
      </c>
      <c r="AJ231" s="111">
        <f t="shared" si="19"/>
        <v>385</v>
      </c>
    </row>
    <row r="232" s="52" customFormat="1" ht="25.5" spans="1:36">
      <c r="A232" s="112"/>
      <c r="B232" s="112"/>
      <c r="C232" s="66" t="s">
        <v>1128</v>
      </c>
      <c r="D232" s="65"/>
      <c r="E232" s="77"/>
      <c r="F232" s="77"/>
      <c r="G232" s="64"/>
      <c r="H232" s="42"/>
      <c r="I232" s="42"/>
      <c r="J232" s="84"/>
      <c r="K232" s="84"/>
      <c r="L232" s="84"/>
      <c r="M232" s="84"/>
      <c r="N232" s="92">
        <v>470</v>
      </c>
      <c r="O232" s="92">
        <v>450</v>
      </c>
      <c r="P232" s="95">
        <v>385</v>
      </c>
      <c r="Q232" s="64"/>
      <c r="R232" s="64"/>
      <c r="S232" s="64"/>
      <c r="T232" s="83"/>
      <c r="U232" s="104"/>
      <c r="V232" s="105" t="s">
        <v>1135</v>
      </c>
      <c r="W232" s="105">
        <v>330401010</v>
      </c>
      <c r="X232" s="106" t="s">
        <v>1136</v>
      </c>
      <c r="Y232" s="105"/>
      <c r="Z232" s="105"/>
      <c r="AA232" s="105" t="s">
        <v>36</v>
      </c>
      <c r="AB232" s="110" t="s">
        <v>35</v>
      </c>
      <c r="AC232" s="50">
        <v>750</v>
      </c>
      <c r="AD232" s="50">
        <v>720</v>
      </c>
      <c r="AE232" s="50">
        <v>612</v>
      </c>
      <c r="AF232" s="111">
        <f t="shared" si="15"/>
        <v>0</v>
      </c>
      <c r="AG232" s="111" t="str">
        <f t="shared" si="16"/>
        <v>睑成形费（常规）</v>
      </c>
      <c r="AH232" s="111">
        <f t="shared" si="17"/>
        <v>470</v>
      </c>
      <c r="AI232" s="111">
        <f t="shared" si="18"/>
        <v>450</v>
      </c>
      <c r="AJ232" s="111">
        <f t="shared" si="19"/>
        <v>385</v>
      </c>
    </row>
    <row r="233" s="52" customFormat="1" ht="25.5" spans="1:36">
      <c r="A233" s="112"/>
      <c r="B233" s="112"/>
      <c r="C233" s="66" t="s">
        <v>1128</v>
      </c>
      <c r="D233" s="65"/>
      <c r="E233" s="77"/>
      <c r="F233" s="77"/>
      <c r="G233" s="64"/>
      <c r="H233" s="42"/>
      <c r="I233" s="42"/>
      <c r="J233" s="84"/>
      <c r="K233" s="84"/>
      <c r="L233" s="84"/>
      <c r="M233" s="84"/>
      <c r="N233" s="92">
        <v>470</v>
      </c>
      <c r="O233" s="92">
        <v>450</v>
      </c>
      <c r="P233" s="95">
        <v>385</v>
      </c>
      <c r="Q233" s="64"/>
      <c r="R233" s="64"/>
      <c r="S233" s="64"/>
      <c r="T233" s="83"/>
      <c r="U233" s="104"/>
      <c r="V233" s="105" t="s">
        <v>1137</v>
      </c>
      <c r="W233" s="105">
        <v>330401017</v>
      </c>
      <c r="X233" s="106" t="s">
        <v>1138</v>
      </c>
      <c r="Y233" s="105" t="s">
        <v>1139</v>
      </c>
      <c r="Z233" s="105" t="s">
        <v>1140</v>
      </c>
      <c r="AA233" s="105" t="s">
        <v>1141</v>
      </c>
      <c r="AB233" s="110" t="s">
        <v>35</v>
      </c>
      <c r="AC233" s="50">
        <v>625</v>
      </c>
      <c r="AD233" s="50">
        <v>600</v>
      </c>
      <c r="AE233" s="50">
        <v>510</v>
      </c>
      <c r="AF233" s="111">
        <f t="shared" si="15"/>
        <v>0</v>
      </c>
      <c r="AG233" s="111" t="str">
        <f t="shared" si="16"/>
        <v>睑成形费（常规）</v>
      </c>
      <c r="AH233" s="111">
        <f t="shared" si="17"/>
        <v>470</v>
      </c>
      <c r="AI233" s="111">
        <f t="shared" si="18"/>
        <v>450</v>
      </c>
      <c r="AJ233" s="111">
        <f t="shared" si="19"/>
        <v>385</v>
      </c>
    </row>
    <row r="234" s="52" customFormat="1" ht="25.5" spans="1:36">
      <c r="A234" s="112"/>
      <c r="B234" s="112"/>
      <c r="C234" s="66" t="s">
        <v>1128</v>
      </c>
      <c r="D234" s="65"/>
      <c r="E234" s="77"/>
      <c r="F234" s="77"/>
      <c r="G234" s="64"/>
      <c r="H234" s="42"/>
      <c r="I234" s="42"/>
      <c r="J234" s="84"/>
      <c r="K234" s="84"/>
      <c r="L234" s="84"/>
      <c r="M234" s="84"/>
      <c r="N234" s="92">
        <v>470</v>
      </c>
      <c r="O234" s="92">
        <v>450</v>
      </c>
      <c r="P234" s="95">
        <v>385</v>
      </c>
      <c r="Q234" s="64"/>
      <c r="R234" s="64"/>
      <c r="S234" s="64"/>
      <c r="T234" s="83"/>
      <c r="U234" s="104"/>
      <c r="V234" s="105" t="s">
        <v>1142</v>
      </c>
      <c r="W234" s="105">
        <v>330401014</v>
      </c>
      <c r="X234" s="106" t="s">
        <v>1143</v>
      </c>
      <c r="Y234" s="105"/>
      <c r="Z234" s="105"/>
      <c r="AA234" s="105" t="s">
        <v>110</v>
      </c>
      <c r="AB234" s="110" t="s">
        <v>35</v>
      </c>
      <c r="AC234" s="50">
        <v>250</v>
      </c>
      <c r="AD234" s="50">
        <v>240</v>
      </c>
      <c r="AE234" s="50">
        <v>204</v>
      </c>
      <c r="AF234" s="111">
        <f t="shared" si="15"/>
        <v>0</v>
      </c>
      <c r="AG234" s="111" t="str">
        <f t="shared" si="16"/>
        <v>睑成形费（常规）</v>
      </c>
      <c r="AH234" s="111">
        <f t="shared" si="17"/>
        <v>470</v>
      </c>
      <c r="AI234" s="111">
        <f t="shared" si="18"/>
        <v>450</v>
      </c>
      <c r="AJ234" s="111">
        <f t="shared" si="19"/>
        <v>385</v>
      </c>
    </row>
    <row r="235" s="52" customFormat="1" ht="25.5" spans="1:36">
      <c r="A235" s="112" t="s">
        <v>95</v>
      </c>
      <c r="B235" s="112" t="s">
        <v>1144</v>
      </c>
      <c r="C235" s="66" t="s">
        <v>1145</v>
      </c>
      <c r="D235" s="65"/>
      <c r="E235" s="77"/>
      <c r="F235" s="77" t="s">
        <v>35</v>
      </c>
      <c r="G235" s="64" t="s">
        <v>110</v>
      </c>
      <c r="H235" s="78">
        <v>150</v>
      </c>
      <c r="I235" s="78">
        <v>135</v>
      </c>
      <c r="J235" s="83">
        <v>345</v>
      </c>
      <c r="K235" s="83"/>
      <c r="L235" s="83"/>
      <c r="M235" s="83"/>
      <c r="N235" s="91">
        <v>140</v>
      </c>
      <c r="O235" s="91">
        <v>135</v>
      </c>
      <c r="P235" s="93">
        <v>115</v>
      </c>
      <c r="Q235" s="64" t="s">
        <v>37</v>
      </c>
      <c r="R235" s="64" t="s">
        <v>1146</v>
      </c>
      <c r="S235" s="64" t="s">
        <v>348</v>
      </c>
      <c r="T235" s="83"/>
      <c r="U235" s="77" t="s">
        <v>186</v>
      </c>
      <c r="V235" s="105" t="s">
        <v>1147</v>
      </c>
      <c r="W235" s="105">
        <v>33040100501</v>
      </c>
      <c r="X235" s="106" t="s">
        <v>1148</v>
      </c>
      <c r="Y235" s="105"/>
      <c r="Z235" s="105"/>
      <c r="AA235" s="105" t="s">
        <v>36</v>
      </c>
      <c r="AB235" s="110" t="s">
        <v>35</v>
      </c>
      <c r="AC235" s="50">
        <v>1315</v>
      </c>
      <c r="AD235" s="50">
        <v>1185</v>
      </c>
      <c r="AE235" s="50">
        <v>1005</v>
      </c>
      <c r="AF235" s="111">
        <f t="shared" si="15"/>
        <v>9</v>
      </c>
      <c r="AG235" s="111" t="str">
        <f t="shared" si="16"/>
        <v>睑成形费（常规）</v>
      </c>
      <c r="AH235" s="111">
        <f t="shared" si="17"/>
        <v>610</v>
      </c>
      <c r="AI235" s="111">
        <f t="shared" si="18"/>
        <v>585</v>
      </c>
      <c r="AJ235" s="111">
        <f t="shared" si="19"/>
        <v>500</v>
      </c>
    </row>
    <row r="236" s="52" customFormat="1" ht="25.5" spans="1:36">
      <c r="A236" s="112"/>
      <c r="B236" s="112"/>
      <c r="C236" s="66" t="s">
        <v>1145</v>
      </c>
      <c r="D236" s="65"/>
      <c r="E236" s="77"/>
      <c r="F236" s="77"/>
      <c r="G236" s="64"/>
      <c r="H236" s="42"/>
      <c r="I236" s="42"/>
      <c r="J236" s="83"/>
      <c r="K236" s="83"/>
      <c r="L236" s="83"/>
      <c r="M236" s="83"/>
      <c r="N236" s="91">
        <v>140</v>
      </c>
      <c r="O236" s="91">
        <v>135</v>
      </c>
      <c r="P236" s="93">
        <v>115</v>
      </c>
      <c r="Q236" s="64"/>
      <c r="R236" s="64"/>
      <c r="S236" s="64"/>
      <c r="T236" s="83"/>
      <c r="U236" s="77"/>
      <c r="V236" s="105" t="s">
        <v>1149</v>
      </c>
      <c r="W236" s="105">
        <v>33040101001</v>
      </c>
      <c r="X236" s="106" t="s">
        <v>1150</v>
      </c>
      <c r="Y236" s="105"/>
      <c r="Z236" s="105"/>
      <c r="AA236" s="105" t="s">
        <v>36</v>
      </c>
      <c r="AB236" s="110" t="s">
        <v>35</v>
      </c>
      <c r="AC236" s="50">
        <v>975</v>
      </c>
      <c r="AD236" s="50">
        <v>935</v>
      </c>
      <c r="AE236" s="50">
        <v>795</v>
      </c>
      <c r="AF236" s="111">
        <f t="shared" si="15"/>
        <v>9</v>
      </c>
      <c r="AG236" s="111" t="str">
        <f t="shared" si="16"/>
        <v>睑成形费（常规）</v>
      </c>
      <c r="AH236" s="111">
        <f t="shared" si="17"/>
        <v>610</v>
      </c>
      <c r="AI236" s="111">
        <f t="shared" si="18"/>
        <v>585</v>
      </c>
      <c r="AJ236" s="111">
        <f t="shared" si="19"/>
        <v>500</v>
      </c>
    </row>
    <row r="237" s="52" customFormat="1" ht="25.5" spans="1:36">
      <c r="A237" s="112"/>
      <c r="B237" s="112"/>
      <c r="C237" s="66" t="s">
        <v>1145</v>
      </c>
      <c r="D237" s="65"/>
      <c r="E237" s="77"/>
      <c r="F237" s="77"/>
      <c r="G237" s="64"/>
      <c r="H237" s="42"/>
      <c r="I237" s="42"/>
      <c r="J237" s="83"/>
      <c r="K237" s="83"/>
      <c r="L237" s="83"/>
      <c r="M237" s="83"/>
      <c r="N237" s="91">
        <v>140</v>
      </c>
      <c r="O237" s="91">
        <v>135</v>
      </c>
      <c r="P237" s="93">
        <v>115</v>
      </c>
      <c r="Q237" s="64"/>
      <c r="R237" s="64"/>
      <c r="S237" s="64"/>
      <c r="T237" s="83"/>
      <c r="U237" s="77"/>
      <c r="V237" s="105" t="s">
        <v>1151</v>
      </c>
      <c r="W237" s="105">
        <v>33040101701</v>
      </c>
      <c r="X237" s="106" t="s">
        <v>1152</v>
      </c>
      <c r="Y237" s="105"/>
      <c r="Z237" s="105"/>
      <c r="AA237" s="105" t="s">
        <v>1141</v>
      </c>
      <c r="AB237" s="110" t="s">
        <v>35</v>
      </c>
      <c r="AC237" s="50">
        <v>815</v>
      </c>
      <c r="AD237" s="50">
        <v>780</v>
      </c>
      <c r="AE237" s="50">
        <v>665</v>
      </c>
      <c r="AF237" s="111">
        <f t="shared" si="15"/>
        <v>9</v>
      </c>
      <c r="AG237" s="111" t="str">
        <f t="shared" si="16"/>
        <v>睑成形费（常规）</v>
      </c>
      <c r="AH237" s="111">
        <f t="shared" si="17"/>
        <v>610</v>
      </c>
      <c r="AI237" s="111">
        <f t="shared" si="18"/>
        <v>585</v>
      </c>
      <c r="AJ237" s="111">
        <f t="shared" si="19"/>
        <v>500</v>
      </c>
    </row>
    <row r="238" s="52" customFormat="1" ht="25.5" spans="1:36">
      <c r="A238" s="112"/>
      <c r="B238" s="112"/>
      <c r="C238" s="66" t="s">
        <v>1145</v>
      </c>
      <c r="D238" s="65"/>
      <c r="E238" s="77"/>
      <c r="F238" s="77"/>
      <c r="G238" s="64"/>
      <c r="H238" s="42"/>
      <c r="I238" s="42"/>
      <c r="J238" s="83"/>
      <c r="K238" s="83"/>
      <c r="L238" s="83"/>
      <c r="M238" s="83"/>
      <c r="N238" s="91">
        <v>140</v>
      </c>
      <c r="O238" s="91">
        <v>135</v>
      </c>
      <c r="P238" s="93">
        <v>115</v>
      </c>
      <c r="Q238" s="64"/>
      <c r="R238" s="64"/>
      <c r="S238" s="64"/>
      <c r="T238" s="83"/>
      <c r="U238" s="77"/>
      <c r="V238" s="105" t="s">
        <v>1153</v>
      </c>
      <c r="W238" s="105">
        <v>33040101401</v>
      </c>
      <c r="X238" s="106" t="s">
        <v>1154</v>
      </c>
      <c r="Y238" s="105"/>
      <c r="Z238" s="105"/>
      <c r="AA238" s="105" t="s">
        <v>110</v>
      </c>
      <c r="AB238" s="110" t="s">
        <v>35</v>
      </c>
      <c r="AC238" s="50">
        <v>325</v>
      </c>
      <c r="AD238" s="50">
        <v>310</v>
      </c>
      <c r="AE238" s="50">
        <v>265</v>
      </c>
      <c r="AF238" s="111">
        <f t="shared" si="15"/>
        <v>9</v>
      </c>
      <c r="AG238" s="111" t="str">
        <f t="shared" si="16"/>
        <v>睑成形费（常规）</v>
      </c>
      <c r="AH238" s="111">
        <f t="shared" si="17"/>
        <v>610</v>
      </c>
      <c r="AI238" s="111">
        <f t="shared" si="18"/>
        <v>585</v>
      </c>
      <c r="AJ238" s="111">
        <f t="shared" si="19"/>
        <v>500</v>
      </c>
    </row>
    <row r="239" s="52" customFormat="1" ht="23" customHeight="1" spans="1:36">
      <c r="A239" s="112">
        <v>82</v>
      </c>
      <c r="B239" s="112" t="s">
        <v>1155</v>
      </c>
      <c r="C239" s="66" t="s">
        <v>1156</v>
      </c>
      <c r="D239" s="65" t="s">
        <v>1157</v>
      </c>
      <c r="E239" s="77" t="s">
        <v>1130</v>
      </c>
      <c r="F239" s="77" t="s">
        <v>1158</v>
      </c>
      <c r="G239" s="64" t="s">
        <v>110</v>
      </c>
      <c r="H239" s="78">
        <v>750</v>
      </c>
      <c r="I239" s="78">
        <v>675</v>
      </c>
      <c r="J239" s="84">
        <v>468.68486869529</v>
      </c>
      <c r="K239" s="84">
        <v>452.156505914468</v>
      </c>
      <c r="L239" s="84">
        <v>380.8</v>
      </c>
      <c r="M239" s="84"/>
      <c r="N239" s="92">
        <v>680</v>
      </c>
      <c r="O239" s="92">
        <v>610</v>
      </c>
      <c r="P239" s="95">
        <v>520</v>
      </c>
      <c r="Q239" s="64" t="s">
        <v>37</v>
      </c>
      <c r="R239" s="64" t="s">
        <v>1131</v>
      </c>
      <c r="S239" s="64" t="s">
        <v>348</v>
      </c>
      <c r="T239" s="83" t="s">
        <v>485</v>
      </c>
      <c r="U239" s="104" t="s">
        <v>1159</v>
      </c>
      <c r="V239" s="105" t="s">
        <v>1160</v>
      </c>
      <c r="W239" s="105">
        <v>330401004</v>
      </c>
      <c r="X239" s="106" t="s">
        <v>1161</v>
      </c>
      <c r="Y239" s="105" t="s">
        <v>1162</v>
      </c>
      <c r="Z239" s="105" t="s">
        <v>1163</v>
      </c>
      <c r="AA239" s="105" t="s">
        <v>36</v>
      </c>
      <c r="AB239" s="110" t="s">
        <v>1164</v>
      </c>
      <c r="AC239" s="50">
        <v>500</v>
      </c>
      <c r="AD239" s="50">
        <v>480</v>
      </c>
      <c r="AE239" s="50">
        <v>408</v>
      </c>
      <c r="AF239" s="111">
        <f t="shared" si="15"/>
        <v>0</v>
      </c>
      <c r="AG239" s="111" t="str">
        <f t="shared" si="16"/>
        <v>睑成形费（复杂）</v>
      </c>
      <c r="AH239" s="111">
        <f t="shared" si="17"/>
        <v>680</v>
      </c>
      <c r="AI239" s="111">
        <f t="shared" si="18"/>
        <v>610</v>
      </c>
      <c r="AJ239" s="111">
        <f t="shared" si="19"/>
        <v>520</v>
      </c>
    </row>
    <row r="240" s="52" customFormat="1" ht="23" customHeight="1" spans="1:36">
      <c r="A240" s="112"/>
      <c r="B240" s="112"/>
      <c r="C240" s="66" t="s">
        <v>1156</v>
      </c>
      <c r="D240" s="65"/>
      <c r="E240" s="77"/>
      <c r="F240" s="77"/>
      <c r="G240" s="64"/>
      <c r="H240" s="42"/>
      <c r="I240" s="42"/>
      <c r="J240" s="84"/>
      <c r="K240" s="84"/>
      <c r="L240" s="84"/>
      <c r="M240" s="84"/>
      <c r="N240" s="92">
        <v>680</v>
      </c>
      <c r="O240" s="92">
        <v>610</v>
      </c>
      <c r="P240" s="95">
        <v>520</v>
      </c>
      <c r="Q240" s="64"/>
      <c r="R240" s="64"/>
      <c r="S240" s="64"/>
      <c r="T240" s="83"/>
      <c r="U240" s="104"/>
      <c r="V240" s="105" t="s">
        <v>1165</v>
      </c>
      <c r="W240" s="105">
        <v>33040100401</v>
      </c>
      <c r="X240" s="106" t="s">
        <v>1166</v>
      </c>
      <c r="Y240" s="105"/>
      <c r="Z240" s="105"/>
      <c r="AA240" s="105" t="s">
        <v>36</v>
      </c>
      <c r="AB240" s="110" t="s">
        <v>1167</v>
      </c>
      <c r="AC240" s="50">
        <v>600</v>
      </c>
      <c r="AD240" s="50">
        <v>576</v>
      </c>
      <c r="AE240" s="50">
        <v>489.6</v>
      </c>
      <c r="AF240" s="111">
        <f t="shared" si="15"/>
        <v>0</v>
      </c>
      <c r="AG240" s="111" t="str">
        <f t="shared" si="16"/>
        <v>睑成形费（复杂）</v>
      </c>
      <c r="AH240" s="111">
        <f t="shared" si="17"/>
        <v>680</v>
      </c>
      <c r="AI240" s="111">
        <f t="shared" si="18"/>
        <v>610</v>
      </c>
      <c r="AJ240" s="111">
        <f t="shared" si="19"/>
        <v>520</v>
      </c>
    </row>
    <row r="241" s="52" customFormat="1" ht="23" customHeight="1" spans="1:36">
      <c r="A241" s="112"/>
      <c r="B241" s="112"/>
      <c r="C241" s="66" t="s">
        <v>1156</v>
      </c>
      <c r="D241" s="65"/>
      <c r="E241" s="77"/>
      <c r="F241" s="77"/>
      <c r="G241" s="64"/>
      <c r="H241" s="42"/>
      <c r="I241" s="42"/>
      <c r="J241" s="84"/>
      <c r="K241" s="84"/>
      <c r="L241" s="84"/>
      <c r="M241" s="84"/>
      <c r="N241" s="92">
        <v>680</v>
      </c>
      <c r="O241" s="92">
        <v>610</v>
      </c>
      <c r="P241" s="95">
        <v>520</v>
      </c>
      <c r="Q241" s="64"/>
      <c r="R241" s="64"/>
      <c r="S241" s="64"/>
      <c r="T241" s="83"/>
      <c r="U241" s="104"/>
      <c r="V241" s="105" t="s">
        <v>1168</v>
      </c>
      <c r="W241" s="105">
        <v>330401006</v>
      </c>
      <c r="X241" s="106" t="s">
        <v>1169</v>
      </c>
      <c r="Y241" s="105" t="s">
        <v>1170</v>
      </c>
      <c r="Z241" s="105" t="s">
        <v>884</v>
      </c>
      <c r="AA241" s="105" t="s">
        <v>36</v>
      </c>
      <c r="AB241" s="110" t="s">
        <v>1171</v>
      </c>
      <c r="AC241" s="50">
        <v>625</v>
      </c>
      <c r="AD241" s="50">
        <v>600</v>
      </c>
      <c r="AE241" s="50">
        <v>510</v>
      </c>
      <c r="AF241" s="111">
        <f t="shared" si="15"/>
        <v>0</v>
      </c>
      <c r="AG241" s="111" t="str">
        <f t="shared" si="16"/>
        <v>睑成形费（复杂）</v>
      </c>
      <c r="AH241" s="111">
        <f t="shared" si="17"/>
        <v>680</v>
      </c>
      <c r="AI241" s="111">
        <f t="shared" si="18"/>
        <v>610</v>
      </c>
      <c r="AJ241" s="111">
        <f t="shared" si="19"/>
        <v>520</v>
      </c>
    </row>
    <row r="242" s="52" customFormat="1" ht="23" customHeight="1" spans="1:36">
      <c r="A242" s="112"/>
      <c r="B242" s="112"/>
      <c r="C242" s="66" t="s">
        <v>1156</v>
      </c>
      <c r="D242" s="65"/>
      <c r="E242" s="77"/>
      <c r="F242" s="77"/>
      <c r="G242" s="64"/>
      <c r="H242" s="42"/>
      <c r="I242" s="42"/>
      <c r="J242" s="84"/>
      <c r="K242" s="84"/>
      <c r="L242" s="84"/>
      <c r="M242" s="84"/>
      <c r="N242" s="92">
        <v>680</v>
      </c>
      <c r="O242" s="92">
        <v>610</v>
      </c>
      <c r="P242" s="95">
        <v>520</v>
      </c>
      <c r="Q242" s="64"/>
      <c r="R242" s="64"/>
      <c r="S242" s="64"/>
      <c r="T242" s="83"/>
      <c r="U242" s="104"/>
      <c r="V242" s="105" t="s">
        <v>1172</v>
      </c>
      <c r="W242" s="105">
        <v>33040100601</v>
      </c>
      <c r="X242" s="106" t="s">
        <v>1173</v>
      </c>
      <c r="Y242" s="105"/>
      <c r="Z242" s="105"/>
      <c r="AA242" s="105" t="s">
        <v>36</v>
      </c>
      <c r="AB242" s="110" t="s">
        <v>1174</v>
      </c>
      <c r="AC242" s="50">
        <v>750</v>
      </c>
      <c r="AD242" s="50">
        <v>720</v>
      </c>
      <c r="AE242" s="50">
        <v>612</v>
      </c>
      <c r="AF242" s="111">
        <f t="shared" si="15"/>
        <v>0</v>
      </c>
      <c r="AG242" s="111" t="str">
        <f t="shared" si="16"/>
        <v>睑成形费（复杂）</v>
      </c>
      <c r="AH242" s="111">
        <f t="shared" si="17"/>
        <v>680</v>
      </c>
      <c r="AI242" s="111">
        <f t="shared" si="18"/>
        <v>610</v>
      </c>
      <c r="AJ242" s="111">
        <f t="shared" si="19"/>
        <v>520</v>
      </c>
    </row>
    <row r="243" s="52" customFormat="1" ht="23" customHeight="1" spans="1:36">
      <c r="A243" s="112"/>
      <c r="B243" s="112"/>
      <c r="C243" s="66" t="s">
        <v>1156</v>
      </c>
      <c r="D243" s="65"/>
      <c r="E243" s="77"/>
      <c r="F243" s="77"/>
      <c r="G243" s="64"/>
      <c r="H243" s="42"/>
      <c r="I243" s="42"/>
      <c r="J243" s="84"/>
      <c r="K243" s="84"/>
      <c r="L243" s="84"/>
      <c r="M243" s="84"/>
      <c r="N243" s="92">
        <v>680</v>
      </c>
      <c r="O243" s="92">
        <v>610</v>
      </c>
      <c r="P243" s="95">
        <v>520</v>
      </c>
      <c r="Q243" s="64"/>
      <c r="R243" s="64"/>
      <c r="S243" s="64"/>
      <c r="T243" s="83"/>
      <c r="U243" s="104"/>
      <c r="V243" s="105" t="s">
        <v>1175</v>
      </c>
      <c r="W243" s="105">
        <v>330401007</v>
      </c>
      <c r="X243" s="106" t="s">
        <v>1176</v>
      </c>
      <c r="Y243" s="105" t="s">
        <v>1177</v>
      </c>
      <c r="Z243" s="105"/>
      <c r="AA243" s="105" t="s">
        <v>36</v>
      </c>
      <c r="AB243" s="110" t="s">
        <v>1178</v>
      </c>
      <c r="AC243" s="50">
        <v>250</v>
      </c>
      <c r="AD243" s="50">
        <v>240</v>
      </c>
      <c r="AE243" s="50">
        <v>204</v>
      </c>
      <c r="AF243" s="111">
        <f t="shared" si="15"/>
        <v>0</v>
      </c>
      <c r="AG243" s="111" t="str">
        <f t="shared" si="16"/>
        <v>睑成形费（复杂）</v>
      </c>
      <c r="AH243" s="111">
        <f t="shared" si="17"/>
        <v>680</v>
      </c>
      <c r="AI243" s="111">
        <f t="shared" si="18"/>
        <v>610</v>
      </c>
      <c r="AJ243" s="111">
        <f t="shared" si="19"/>
        <v>520</v>
      </c>
    </row>
    <row r="244" s="52" customFormat="1" ht="23" customHeight="1" spans="1:36">
      <c r="A244" s="112"/>
      <c r="B244" s="112"/>
      <c r="C244" s="66" t="s">
        <v>1156</v>
      </c>
      <c r="D244" s="65"/>
      <c r="E244" s="77"/>
      <c r="F244" s="77"/>
      <c r="G244" s="64"/>
      <c r="H244" s="42"/>
      <c r="I244" s="42"/>
      <c r="J244" s="84"/>
      <c r="K244" s="84"/>
      <c r="L244" s="84"/>
      <c r="M244" s="84"/>
      <c r="N244" s="92">
        <v>680</v>
      </c>
      <c r="O244" s="92">
        <v>610</v>
      </c>
      <c r="P244" s="95">
        <v>520</v>
      </c>
      <c r="Q244" s="64"/>
      <c r="R244" s="64"/>
      <c r="S244" s="64"/>
      <c r="T244" s="83"/>
      <c r="U244" s="104"/>
      <c r="V244" s="105" t="s">
        <v>1179</v>
      </c>
      <c r="W244" s="105">
        <v>33040100701</v>
      </c>
      <c r="X244" s="106" t="s">
        <v>1180</v>
      </c>
      <c r="Y244" s="105"/>
      <c r="Z244" s="105"/>
      <c r="AA244" s="105" t="s">
        <v>36</v>
      </c>
      <c r="AB244" s="110" t="s">
        <v>1181</v>
      </c>
      <c r="AC244" s="50">
        <v>500</v>
      </c>
      <c r="AD244" s="50">
        <v>480</v>
      </c>
      <c r="AE244" s="50">
        <v>408</v>
      </c>
      <c r="AF244" s="111">
        <f t="shared" si="15"/>
        <v>0</v>
      </c>
      <c r="AG244" s="111" t="str">
        <f t="shared" si="16"/>
        <v>睑成形费（复杂）</v>
      </c>
      <c r="AH244" s="111">
        <f t="shared" si="17"/>
        <v>680</v>
      </c>
      <c r="AI244" s="111">
        <f t="shared" si="18"/>
        <v>610</v>
      </c>
      <c r="AJ244" s="111">
        <f t="shared" si="19"/>
        <v>520</v>
      </c>
    </row>
    <row r="245" s="52" customFormat="1" ht="23" customHeight="1" spans="1:36">
      <c r="A245" s="112"/>
      <c r="B245" s="112"/>
      <c r="C245" s="66" t="s">
        <v>1156</v>
      </c>
      <c r="D245" s="65"/>
      <c r="E245" s="77"/>
      <c r="F245" s="77"/>
      <c r="G245" s="64"/>
      <c r="H245" s="42"/>
      <c r="I245" s="42"/>
      <c r="J245" s="84"/>
      <c r="K245" s="84"/>
      <c r="L245" s="84"/>
      <c r="M245" s="84"/>
      <c r="N245" s="92">
        <v>680</v>
      </c>
      <c r="O245" s="92">
        <v>610</v>
      </c>
      <c r="P245" s="95">
        <v>520</v>
      </c>
      <c r="Q245" s="64"/>
      <c r="R245" s="64"/>
      <c r="S245" s="64"/>
      <c r="T245" s="83"/>
      <c r="U245" s="104"/>
      <c r="V245" s="105" t="s">
        <v>1182</v>
      </c>
      <c r="W245" s="105">
        <v>330401008</v>
      </c>
      <c r="X245" s="106" t="s">
        <v>1183</v>
      </c>
      <c r="Y245" s="105"/>
      <c r="Z245" s="105"/>
      <c r="AA245" s="105" t="s">
        <v>36</v>
      </c>
      <c r="AB245" s="110" t="s">
        <v>1184</v>
      </c>
      <c r="AC245" s="50">
        <v>250</v>
      </c>
      <c r="AD245" s="50">
        <v>240</v>
      </c>
      <c r="AE245" s="50">
        <v>204</v>
      </c>
      <c r="AF245" s="111">
        <f t="shared" si="15"/>
        <v>0</v>
      </c>
      <c r="AG245" s="111" t="str">
        <f t="shared" si="16"/>
        <v>睑成形费（复杂）</v>
      </c>
      <c r="AH245" s="111">
        <f t="shared" si="17"/>
        <v>680</v>
      </c>
      <c r="AI245" s="111">
        <f t="shared" si="18"/>
        <v>610</v>
      </c>
      <c r="AJ245" s="111">
        <f t="shared" si="19"/>
        <v>520</v>
      </c>
    </row>
    <row r="246" s="52" customFormat="1" ht="23" customHeight="1" spans="1:36">
      <c r="A246" s="112"/>
      <c r="B246" s="112"/>
      <c r="C246" s="66" t="s">
        <v>1156</v>
      </c>
      <c r="D246" s="65"/>
      <c r="E246" s="77"/>
      <c r="F246" s="77"/>
      <c r="G246" s="64"/>
      <c r="H246" s="42"/>
      <c r="I246" s="42"/>
      <c r="J246" s="84"/>
      <c r="K246" s="84"/>
      <c r="L246" s="84"/>
      <c r="M246" s="84"/>
      <c r="N246" s="92">
        <v>680</v>
      </c>
      <c r="O246" s="92">
        <v>610</v>
      </c>
      <c r="P246" s="95">
        <v>520</v>
      </c>
      <c r="Q246" s="64"/>
      <c r="R246" s="64"/>
      <c r="S246" s="64"/>
      <c r="T246" s="83"/>
      <c r="U246" s="104"/>
      <c r="V246" s="105" t="s">
        <v>1185</v>
      </c>
      <c r="W246" s="105">
        <v>33040100801</v>
      </c>
      <c r="X246" s="106" t="s">
        <v>1186</v>
      </c>
      <c r="Y246" s="105"/>
      <c r="Z246" s="105"/>
      <c r="AA246" s="105" t="s">
        <v>36</v>
      </c>
      <c r="AB246" s="110" t="s">
        <v>1187</v>
      </c>
      <c r="AC246" s="50">
        <v>300</v>
      </c>
      <c r="AD246" s="50">
        <v>288</v>
      </c>
      <c r="AE246" s="50">
        <v>244.8</v>
      </c>
      <c r="AF246" s="111">
        <f t="shared" si="15"/>
        <v>0</v>
      </c>
      <c r="AG246" s="111" t="str">
        <f t="shared" si="16"/>
        <v>睑成形费（复杂）</v>
      </c>
      <c r="AH246" s="111">
        <f t="shared" si="17"/>
        <v>680</v>
      </c>
      <c r="AI246" s="111">
        <f t="shared" si="18"/>
        <v>610</v>
      </c>
      <c r="AJ246" s="111">
        <f t="shared" si="19"/>
        <v>520</v>
      </c>
    </row>
    <row r="247" customFormat="1" ht="25.5" spans="1:36">
      <c r="A247" s="112" t="s">
        <v>95</v>
      </c>
      <c r="B247" s="112" t="s">
        <v>1188</v>
      </c>
      <c r="C247" s="66" t="s">
        <v>1189</v>
      </c>
      <c r="D247" s="65"/>
      <c r="E247" s="77"/>
      <c r="F247" s="77" t="s">
        <v>35</v>
      </c>
      <c r="G247" s="64" t="s">
        <v>110</v>
      </c>
      <c r="H247" s="78">
        <v>225</v>
      </c>
      <c r="I247" s="78">
        <v>203</v>
      </c>
      <c r="J247" s="84">
        <v>-45.1666666666666</v>
      </c>
      <c r="K247" s="84">
        <v>-5</v>
      </c>
      <c r="L247" s="84"/>
      <c r="M247" s="84"/>
      <c r="N247" s="91">
        <v>205</v>
      </c>
      <c r="O247" s="91">
        <v>185</v>
      </c>
      <c r="P247" s="93">
        <v>155</v>
      </c>
      <c r="Q247" s="64" t="s">
        <v>37</v>
      </c>
      <c r="R247" s="64" t="s">
        <v>1146</v>
      </c>
      <c r="S247" s="64" t="s">
        <v>348</v>
      </c>
      <c r="T247" s="83"/>
      <c r="U247" s="77" t="s">
        <v>186</v>
      </c>
      <c r="V247" s="105" t="s">
        <v>1190</v>
      </c>
      <c r="W247" s="105">
        <v>33040100402</v>
      </c>
      <c r="X247" s="106" t="s">
        <v>1191</v>
      </c>
      <c r="Y247" s="105"/>
      <c r="Z247" s="105"/>
      <c r="AA247" s="105" t="s">
        <v>36</v>
      </c>
      <c r="AB247" s="110" t="s">
        <v>35</v>
      </c>
      <c r="AC247" s="50">
        <v>650</v>
      </c>
      <c r="AD247" s="50">
        <v>625</v>
      </c>
      <c r="AE247" s="50">
        <v>530</v>
      </c>
      <c r="AF247" s="111">
        <f t="shared" si="15"/>
        <v>9</v>
      </c>
      <c r="AG247" s="111" t="str">
        <f t="shared" si="16"/>
        <v>睑成形费（复杂）</v>
      </c>
      <c r="AH247" s="111">
        <f t="shared" si="17"/>
        <v>885</v>
      </c>
      <c r="AI247" s="111">
        <f t="shared" si="18"/>
        <v>795</v>
      </c>
      <c r="AJ247" s="111">
        <f t="shared" si="19"/>
        <v>675</v>
      </c>
    </row>
    <row r="248" customFormat="1" ht="25.5" spans="1:36">
      <c r="A248" s="112"/>
      <c r="B248" s="112"/>
      <c r="C248" s="66" t="s">
        <v>1189</v>
      </c>
      <c r="D248" s="65"/>
      <c r="E248" s="77"/>
      <c r="F248" s="77"/>
      <c r="G248" s="64"/>
      <c r="H248" s="42"/>
      <c r="I248" s="42"/>
      <c r="J248" s="84"/>
      <c r="K248" s="84"/>
      <c r="L248" s="84"/>
      <c r="M248" s="84"/>
      <c r="N248" s="91">
        <v>205</v>
      </c>
      <c r="O248" s="91">
        <v>185</v>
      </c>
      <c r="P248" s="93">
        <v>155</v>
      </c>
      <c r="Q248" s="64"/>
      <c r="R248" s="64"/>
      <c r="S248" s="64"/>
      <c r="T248" s="83"/>
      <c r="U248" s="77"/>
      <c r="V248" s="105" t="s">
        <v>1192</v>
      </c>
      <c r="W248" s="105">
        <v>33040100403</v>
      </c>
      <c r="X248" s="106" t="s">
        <v>1193</v>
      </c>
      <c r="Y248" s="105"/>
      <c r="Z248" s="105"/>
      <c r="AA248" s="105" t="s">
        <v>36</v>
      </c>
      <c r="AB248" s="110" t="s">
        <v>1167</v>
      </c>
      <c r="AC248" s="50">
        <v>780</v>
      </c>
      <c r="AD248" s="50">
        <v>750</v>
      </c>
      <c r="AE248" s="50">
        <v>640</v>
      </c>
      <c r="AF248" s="111">
        <f t="shared" si="15"/>
        <v>9</v>
      </c>
      <c r="AG248" s="111" t="str">
        <f t="shared" si="16"/>
        <v>睑成形费（复杂）</v>
      </c>
      <c r="AH248" s="111">
        <f t="shared" si="17"/>
        <v>885</v>
      </c>
      <c r="AI248" s="111">
        <f t="shared" si="18"/>
        <v>795</v>
      </c>
      <c r="AJ248" s="111">
        <f t="shared" si="19"/>
        <v>675</v>
      </c>
    </row>
    <row r="249" customFormat="1" ht="25.5" spans="1:36">
      <c r="A249" s="112"/>
      <c r="B249" s="112"/>
      <c r="C249" s="66" t="s">
        <v>1189</v>
      </c>
      <c r="D249" s="65"/>
      <c r="E249" s="77"/>
      <c r="F249" s="77"/>
      <c r="G249" s="64"/>
      <c r="H249" s="42"/>
      <c r="I249" s="42"/>
      <c r="J249" s="84"/>
      <c r="K249" s="84"/>
      <c r="L249" s="84"/>
      <c r="M249" s="84"/>
      <c r="N249" s="91">
        <v>205</v>
      </c>
      <c r="O249" s="91">
        <v>185</v>
      </c>
      <c r="P249" s="93">
        <v>155</v>
      </c>
      <c r="Q249" s="64"/>
      <c r="R249" s="64"/>
      <c r="S249" s="64"/>
      <c r="T249" s="83"/>
      <c r="U249" s="77"/>
      <c r="V249" s="105" t="s">
        <v>1194</v>
      </c>
      <c r="W249" s="105">
        <v>33040100602</v>
      </c>
      <c r="X249" s="106" t="s">
        <v>1195</v>
      </c>
      <c r="Y249" s="105"/>
      <c r="Z249" s="105"/>
      <c r="AA249" s="105" t="s">
        <v>36</v>
      </c>
      <c r="AB249" s="110" t="s">
        <v>35</v>
      </c>
      <c r="AC249" s="50">
        <v>815</v>
      </c>
      <c r="AD249" s="50">
        <v>780</v>
      </c>
      <c r="AE249" s="50">
        <v>665</v>
      </c>
      <c r="AF249" s="111">
        <f t="shared" si="15"/>
        <v>9</v>
      </c>
      <c r="AG249" s="111" t="str">
        <f t="shared" si="16"/>
        <v>睑成形费（复杂）</v>
      </c>
      <c r="AH249" s="111">
        <f t="shared" si="17"/>
        <v>885</v>
      </c>
      <c r="AI249" s="111">
        <f t="shared" si="18"/>
        <v>795</v>
      </c>
      <c r="AJ249" s="111">
        <f t="shared" si="19"/>
        <v>675</v>
      </c>
    </row>
    <row r="250" customFormat="1" ht="25.5" spans="1:36">
      <c r="A250" s="112"/>
      <c r="B250" s="112"/>
      <c r="C250" s="66" t="s">
        <v>1189</v>
      </c>
      <c r="D250" s="65"/>
      <c r="E250" s="77"/>
      <c r="F250" s="77"/>
      <c r="G250" s="64"/>
      <c r="H250" s="42"/>
      <c r="I250" s="42"/>
      <c r="J250" s="84"/>
      <c r="K250" s="84"/>
      <c r="L250" s="84"/>
      <c r="M250" s="84"/>
      <c r="N250" s="91">
        <v>205</v>
      </c>
      <c r="O250" s="91">
        <v>185</v>
      </c>
      <c r="P250" s="93">
        <v>155</v>
      </c>
      <c r="Q250" s="64"/>
      <c r="R250" s="64"/>
      <c r="S250" s="64"/>
      <c r="T250" s="83"/>
      <c r="U250" s="77"/>
      <c r="V250" s="105" t="s">
        <v>1196</v>
      </c>
      <c r="W250" s="105">
        <v>33040100603</v>
      </c>
      <c r="X250" s="106" t="s">
        <v>1197</v>
      </c>
      <c r="Y250" s="105"/>
      <c r="Z250" s="105"/>
      <c r="AA250" s="105" t="s">
        <v>36</v>
      </c>
      <c r="AB250" s="110" t="s">
        <v>1174</v>
      </c>
      <c r="AC250" s="50">
        <v>975</v>
      </c>
      <c r="AD250" s="50">
        <v>935</v>
      </c>
      <c r="AE250" s="50">
        <v>795</v>
      </c>
      <c r="AF250" s="111">
        <f t="shared" si="15"/>
        <v>9</v>
      </c>
      <c r="AG250" s="111" t="str">
        <f t="shared" si="16"/>
        <v>睑成形费（复杂）</v>
      </c>
      <c r="AH250" s="111">
        <f t="shared" si="17"/>
        <v>885</v>
      </c>
      <c r="AI250" s="111">
        <f t="shared" si="18"/>
        <v>795</v>
      </c>
      <c r="AJ250" s="111">
        <f t="shared" si="19"/>
        <v>675</v>
      </c>
    </row>
    <row r="251" customFormat="1" ht="25.5" spans="1:36">
      <c r="A251" s="112"/>
      <c r="B251" s="112"/>
      <c r="C251" s="66" t="s">
        <v>1189</v>
      </c>
      <c r="D251" s="65"/>
      <c r="E251" s="77"/>
      <c r="F251" s="77"/>
      <c r="G251" s="64"/>
      <c r="H251" s="42"/>
      <c r="I251" s="42"/>
      <c r="J251" s="84"/>
      <c r="K251" s="84"/>
      <c r="L251" s="84"/>
      <c r="M251" s="84"/>
      <c r="N251" s="91">
        <v>205</v>
      </c>
      <c r="O251" s="91">
        <v>185</v>
      </c>
      <c r="P251" s="93">
        <v>155</v>
      </c>
      <c r="Q251" s="64"/>
      <c r="R251" s="64"/>
      <c r="S251" s="64"/>
      <c r="T251" s="83"/>
      <c r="U251" s="77"/>
      <c r="V251" s="105" t="s">
        <v>1198</v>
      </c>
      <c r="W251" s="105">
        <v>33040100702</v>
      </c>
      <c r="X251" s="106" t="s">
        <v>1199</v>
      </c>
      <c r="Y251" s="105"/>
      <c r="Z251" s="105"/>
      <c r="AA251" s="105" t="s">
        <v>36</v>
      </c>
      <c r="AB251" s="110" t="s">
        <v>35</v>
      </c>
      <c r="AC251" s="50">
        <v>325</v>
      </c>
      <c r="AD251" s="50">
        <v>310</v>
      </c>
      <c r="AE251" s="50">
        <v>265</v>
      </c>
      <c r="AF251" s="111">
        <f t="shared" si="15"/>
        <v>9</v>
      </c>
      <c r="AG251" s="111" t="str">
        <f t="shared" si="16"/>
        <v>睑成形费（复杂）</v>
      </c>
      <c r="AH251" s="111">
        <f t="shared" si="17"/>
        <v>885</v>
      </c>
      <c r="AI251" s="111">
        <f t="shared" si="18"/>
        <v>795</v>
      </c>
      <c r="AJ251" s="111">
        <f t="shared" si="19"/>
        <v>675</v>
      </c>
    </row>
    <row r="252" customFormat="1" ht="25.5" spans="1:36">
      <c r="A252" s="112"/>
      <c r="B252" s="112"/>
      <c r="C252" s="66" t="s">
        <v>1189</v>
      </c>
      <c r="D252" s="65"/>
      <c r="E252" s="77"/>
      <c r="F252" s="77"/>
      <c r="G252" s="64"/>
      <c r="H252" s="42"/>
      <c r="I252" s="42"/>
      <c r="J252" s="84"/>
      <c r="K252" s="84"/>
      <c r="L252" s="84"/>
      <c r="M252" s="84"/>
      <c r="N252" s="91">
        <v>205</v>
      </c>
      <c r="O252" s="91">
        <v>185</v>
      </c>
      <c r="P252" s="93">
        <v>155</v>
      </c>
      <c r="Q252" s="64"/>
      <c r="R252" s="64"/>
      <c r="S252" s="64"/>
      <c r="T252" s="83"/>
      <c r="U252" s="77"/>
      <c r="V252" s="105" t="s">
        <v>1200</v>
      </c>
      <c r="W252" s="105">
        <v>33040100703</v>
      </c>
      <c r="X252" s="106" t="s">
        <v>1201</v>
      </c>
      <c r="Y252" s="105"/>
      <c r="Z252" s="105"/>
      <c r="AA252" s="105" t="s">
        <v>36</v>
      </c>
      <c r="AB252" s="110" t="s">
        <v>1181</v>
      </c>
      <c r="AC252" s="50">
        <v>650</v>
      </c>
      <c r="AD252" s="50">
        <v>625</v>
      </c>
      <c r="AE252" s="50">
        <v>530</v>
      </c>
      <c r="AF252" s="111">
        <f t="shared" si="15"/>
        <v>9</v>
      </c>
      <c r="AG252" s="111" t="str">
        <f t="shared" si="16"/>
        <v>睑成形费（复杂）</v>
      </c>
      <c r="AH252" s="111">
        <f t="shared" si="17"/>
        <v>885</v>
      </c>
      <c r="AI252" s="111">
        <f t="shared" si="18"/>
        <v>795</v>
      </c>
      <c r="AJ252" s="111">
        <f t="shared" si="19"/>
        <v>675</v>
      </c>
    </row>
    <row r="253" customFormat="1" ht="25.5" spans="1:36">
      <c r="A253" s="112"/>
      <c r="B253" s="112"/>
      <c r="C253" s="66" t="s">
        <v>1189</v>
      </c>
      <c r="D253" s="65"/>
      <c r="E253" s="77"/>
      <c r="F253" s="77"/>
      <c r="G253" s="64"/>
      <c r="H253" s="42"/>
      <c r="I253" s="42"/>
      <c r="J253" s="84"/>
      <c r="K253" s="84"/>
      <c r="L253" s="84"/>
      <c r="M253" s="84"/>
      <c r="N253" s="91">
        <v>205</v>
      </c>
      <c r="O253" s="91">
        <v>185</v>
      </c>
      <c r="P253" s="93">
        <v>155</v>
      </c>
      <c r="Q253" s="64"/>
      <c r="R253" s="64"/>
      <c r="S253" s="64"/>
      <c r="T253" s="83"/>
      <c r="U253" s="77"/>
      <c r="V253" s="105" t="s">
        <v>1202</v>
      </c>
      <c r="W253" s="105">
        <v>33040100802</v>
      </c>
      <c r="X253" s="106" t="s">
        <v>1203</v>
      </c>
      <c r="Y253" s="105"/>
      <c r="Z253" s="105"/>
      <c r="AA253" s="105" t="s">
        <v>36</v>
      </c>
      <c r="AB253" s="110" t="s">
        <v>35</v>
      </c>
      <c r="AC253" s="50">
        <v>325</v>
      </c>
      <c r="AD253" s="50">
        <v>310</v>
      </c>
      <c r="AE253" s="50">
        <v>265</v>
      </c>
      <c r="AF253" s="111">
        <f t="shared" si="15"/>
        <v>9</v>
      </c>
      <c r="AG253" s="111" t="str">
        <f t="shared" si="16"/>
        <v>睑成形费（复杂）</v>
      </c>
      <c r="AH253" s="111">
        <f t="shared" si="17"/>
        <v>885</v>
      </c>
      <c r="AI253" s="111">
        <f t="shared" si="18"/>
        <v>795</v>
      </c>
      <c r="AJ253" s="111">
        <f t="shared" si="19"/>
        <v>675</v>
      </c>
    </row>
    <row r="254" s="55" customFormat="1" ht="25.5" spans="1:36">
      <c r="A254" s="112"/>
      <c r="B254" s="112"/>
      <c r="C254" s="66" t="s">
        <v>1189</v>
      </c>
      <c r="D254" s="65"/>
      <c r="E254" s="77"/>
      <c r="F254" s="77"/>
      <c r="G254" s="64"/>
      <c r="H254" s="42"/>
      <c r="I254" s="42"/>
      <c r="J254" s="84"/>
      <c r="K254" s="84"/>
      <c r="L254" s="84"/>
      <c r="M254" s="84"/>
      <c r="N254" s="91">
        <v>205</v>
      </c>
      <c r="O254" s="91">
        <v>185</v>
      </c>
      <c r="P254" s="93">
        <v>155</v>
      </c>
      <c r="Q254" s="64"/>
      <c r="R254" s="64"/>
      <c r="S254" s="64"/>
      <c r="T254" s="83"/>
      <c r="U254" s="77"/>
      <c r="V254" s="105" t="s">
        <v>1204</v>
      </c>
      <c r="W254" s="105">
        <v>33040100803</v>
      </c>
      <c r="X254" s="106" t="s">
        <v>1205</v>
      </c>
      <c r="Y254" s="105"/>
      <c r="Z254" s="105"/>
      <c r="AA254" s="105" t="s">
        <v>36</v>
      </c>
      <c r="AB254" s="110" t="s">
        <v>1187</v>
      </c>
      <c r="AC254" s="50">
        <v>390</v>
      </c>
      <c r="AD254" s="50">
        <v>375</v>
      </c>
      <c r="AE254" s="50">
        <v>320</v>
      </c>
      <c r="AF254" s="111">
        <f t="shared" si="15"/>
        <v>9</v>
      </c>
      <c r="AG254" s="111" t="str">
        <f t="shared" si="16"/>
        <v>睑成形费（复杂）</v>
      </c>
      <c r="AH254" s="111">
        <f t="shared" si="17"/>
        <v>885</v>
      </c>
      <c r="AI254" s="111">
        <f t="shared" si="18"/>
        <v>795</v>
      </c>
      <c r="AJ254" s="111">
        <f t="shared" si="19"/>
        <v>675</v>
      </c>
    </row>
    <row r="255" s="52" customFormat="1" ht="25.5" spans="1:36">
      <c r="A255" s="112">
        <v>83</v>
      </c>
      <c r="B255" s="164" t="s">
        <v>1206</v>
      </c>
      <c r="C255" s="66" t="s">
        <v>1207</v>
      </c>
      <c r="D255" s="65" t="s">
        <v>1208</v>
      </c>
      <c r="E255" s="77" t="s">
        <v>1209</v>
      </c>
      <c r="F255" s="77" t="s">
        <v>1210</v>
      </c>
      <c r="G255" s="64" t="s">
        <v>110</v>
      </c>
      <c r="H255" s="78">
        <v>400</v>
      </c>
      <c r="I255" s="78">
        <v>360</v>
      </c>
      <c r="J255" s="84">
        <v>375.48828125</v>
      </c>
      <c r="K255" s="84">
        <v>408</v>
      </c>
      <c r="L255" s="84"/>
      <c r="M255" s="84"/>
      <c r="N255" s="91">
        <v>375</v>
      </c>
      <c r="O255" s="92">
        <v>360</v>
      </c>
      <c r="P255" s="93">
        <v>306</v>
      </c>
      <c r="Q255" s="64" t="s">
        <v>621</v>
      </c>
      <c r="R255" s="64" t="s">
        <v>35</v>
      </c>
      <c r="S255" s="64" t="s">
        <v>35</v>
      </c>
      <c r="T255" s="83" t="s">
        <v>38</v>
      </c>
      <c r="U255" s="77" t="s">
        <v>1211</v>
      </c>
      <c r="V255" s="105" t="s">
        <v>1212</v>
      </c>
      <c r="W255" s="105">
        <v>330401016</v>
      </c>
      <c r="X255" s="106" t="s">
        <v>1213</v>
      </c>
      <c r="Y255" s="105"/>
      <c r="Z255" s="105"/>
      <c r="AA255" s="105" t="s">
        <v>36</v>
      </c>
      <c r="AB255" s="110" t="s">
        <v>35</v>
      </c>
      <c r="AC255" s="50">
        <v>437.5</v>
      </c>
      <c r="AD255" s="50">
        <v>420</v>
      </c>
      <c r="AE255" s="50">
        <v>357</v>
      </c>
      <c r="AF255" s="111">
        <f t="shared" si="15"/>
        <v>0</v>
      </c>
      <c r="AG255" s="111" t="str">
        <f t="shared" si="16"/>
        <v>内外眦成形费</v>
      </c>
      <c r="AH255" s="111">
        <f t="shared" si="17"/>
        <v>375</v>
      </c>
      <c r="AI255" s="111">
        <f t="shared" si="18"/>
        <v>360</v>
      </c>
      <c r="AJ255" s="111">
        <f t="shared" si="19"/>
        <v>306</v>
      </c>
    </row>
    <row r="256" s="52" customFormat="1" ht="25.5" spans="1:36">
      <c r="A256" s="112"/>
      <c r="B256" s="112"/>
      <c r="C256" s="66" t="s">
        <v>1207</v>
      </c>
      <c r="D256" s="65"/>
      <c r="E256" s="77"/>
      <c r="F256" s="77"/>
      <c r="G256" s="64"/>
      <c r="H256" s="42"/>
      <c r="I256" s="42"/>
      <c r="J256" s="84"/>
      <c r="K256" s="84"/>
      <c r="L256" s="84"/>
      <c r="M256" s="84"/>
      <c r="N256" s="91">
        <v>375</v>
      </c>
      <c r="O256" s="92">
        <v>360</v>
      </c>
      <c r="P256" s="93">
        <v>306</v>
      </c>
      <c r="Q256" s="64"/>
      <c r="R256" s="64"/>
      <c r="S256" s="64"/>
      <c r="T256" s="83"/>
      <c r="U256" s="77"/>
      <c r="V256" s="105" t="s">
        <v>1214</v>
      </c>
      <c r="W256" s="105">
        <v>330401011</v>
      </c>
      <c r="X256" s="106" t="s">
        <v>1215</v>
      </c>
      <c r="Y256" s="105"/>
      <c r="Z256" s="105"/>
      <c r="AA256" s="105" t="s">
        <v>36</v>
      </c>
      <c r="AB256" s="110" t="s">
        <v>35</v>
      </c>
      <c r="AC256" s="50">
        <v>312.5</v>
      </c>
      <c r="AD256" s="50">
        <v>300</v>
      </c>
      <c r="AE256" s="50">
        <v>255</v>
      </c>
      <c r="AF256" s="111">
        <f t="shared" si="15"/>
        <v>0</v>
      </c>
      <c r="AG256" s="111" t="str">
        <f t="shared" si="16"/>
        <v>内外眦成形费</v>
      </c>
      <c r="AH256" s="111">
        <f t="shared" si="17"/>
        <v>375</v>
      </c>
      <c r="AI256" s="111">
        <f t="shared" si="18"/>
        <v>360</v>
      </c>
      <c r="AJ256" s="111">
        <f t="shared" si="19"/>
        <v>306</v>
      </c>
    </row>
    <row r="257" s="52" customFormat="1" ht="25.5" spans="1:36">
      <c r="A257" s="112"/>
      <c r="B257" s="112"/>
      <c r="C257" s="66" t="s">
        <v>1207</v>
      </c>
      <c r="D257" s="65"/>
      <c r="E257" s="77"/>
      <c r="F257" s="77"/>
      <c r="G257" s="64"/>
      <c r="H257" s="42"/>
      <c r="I257" s="42"/>
      <c r="J257" s="84"/>
      <c r="K257" s="84"/>
      <c r="L257" s="84"/>
      <c r="M257" s="84"/>
      <c r="N257" s="91">
        <v>375</v>
      </c>
      <c r="O257" s="92">
        <v>360</v>
      </c>
      <c r="P257" s="93">
        <v>306</v>
      </c>
      <c r="Q257" s="64"/>
      <c r="R257" s="64"/>
      <c r="S257" s="64"/>
      <c r="T257" s="83"/>
      <c r="U257" s="77"/>
      <c r="V257" s="105" t="s">
        <v>1216</v>
      </c>
      <c r="W257" s="105">
        <v>330401003</v>
      </c>
      <c r="X257" s="106" t="s">
        <v>1217</v>
      </c>
      <c r="Y257" s="105"/>
      <c r="Z257" s="105" t="s">
        <v>1218</v>
      </c>
      <c r="AA257" s="105" t="s">
        <v>36</v>
      </c>
      <c r="AB257" s="110" t="s">
        <v>35</v>
      </c>
      <c r="AC257" s="50">
        <v>500</v>
      </c>
      <c r="AD257" s="50">
        <v>480</v>
      </c>
      <c r="AE257" s="50">
        <v>408</v>
      </c>
      <c r="AF257" s="111">
        <f t="shared" si="15"/>
        <v>0</v>
      </c>
      <c r="AG257" s="111" t="str">
        <f t="shared" si="16"/>
        <v>内外眦成形费</v>
      </c>
      <c r="AH257" s="111">
        <f t="shared" si="17"/>
        <v>375</v>
      </c>
      <c r="AI257" s="111">
        <f t="shared" si="18"/>
        <v>360</v>
      </c>
      <c r="AJ257" s="111">
        <f t="shared" si="19"/>
        <v>306</v>
      </c>
    </row>
    <row r="258" s="52" customFormat="1" ht="25.5" spans="1:36">
      <c r="A258" s="112"/>
      <c r="B258" s="112"/>
      <c r="C258" s="66" t="s">
        <v>1207</v>
      </c>
      <c r="D258" s="65"/>
      <c r="E258" s="77"/>
      <c r="F258" s="77"/>
      <c r="G258" s="64"/>
      <c r="H258" s="42"/>
      <c r="I258" s="42"/>
      <c r="J258" s="84"/>
      <c r="K258" s="84"/>
      <c r="L258" s="84"/>
      <c r="M258" s="84"/>
      <c r="N258" s="91">
        <v>375</v>
      </c>
      <c r="O258" s="92">
        <v>360</v>
      </c>
      <c r="P258" s="93">
        <v>306</v>
      </c>
      <c r="Q258" s="64"/>
      <c r="R258" s="64"/>
      <c r="S258" s="64"/>
      <c r="T258" s="83"/>
      <c r="U258" s="77"/>
      <c r="V258" s="105" t="s">
        <v>1219</v>
      </c>
      <c r="W258" s="105">
        <v>330402001</v>
      </c>
      <c r="X258" s="106" t="s">
        <v>1220</v>
      </c>
      <c r="Y258" s="105"/>
      <c r="Z258" s="105"/>
      <c r="AA258" s="105" t="s">
        <v>36</v>
      </c>
      <c r="AB258" s="110" t="s">
        <v>35</v>
      </c>
      <c r="AC258" s="50">
        <v>375</v>
      </c>
      <c r="AD258" s="50">
        <v>360</v>
      </c>
      <c r="AE258" s="50">
        <v>306</v>
      </c>
      <c r="AF258" s="111">
        <f t="shared" si="15"/>
        <v>0</v>
      </c>
      <c r="AG258" s="111" t="str">
        <f t="shared" si="16"/>
        <v>内外眦成形费</v>
      </c>
      <c r="AH258" s="111">
        <f t="shared" si="17"/>
        <v>375</v>
      </c>
      <c r="AI258" s="111">
        <f t="shared" si="18"/>
        <v>360</v>
      </c>
      <c r="AJ258" s="111">
        <f t="shared" si="19"/>
        <v>306</v>
      </c>
    </row>
    <row r="259" s="55" customFormat="1" ht="25.5" spans="1:36">
      <c r="A259" s="112" t="s">
        <v>95</v>
      </c>
      <c r="B259" s="112" t="s">
        <v>1223</v>
      </c>
      <c r="C259" s="66" t="s">
        <v>1224</v>
      </c>
      <c r="D259" s="65"/>
      <c r="E259" s="77"/>
      <c r="F259" s="77" t="s">
        <v>35</v>
      </c>
      <c r="G259" s="64" t="s">
        <v>110</v>
      </c>
      <c r="H259" s="78">
        <v>120</v>
      </c>
      <c r="I259" s="78">
        <v>108</v>
      </c>
      <c r="J259" s="84">
        <v>33.1730769230769</v>
      </c>
      <c r="K259" s="84">
        <v>185</v>
      </c>
      <c r="L259" s="84"/>
      <c r="M259" s="84"/>
      <c r="N259" s="91">
        <v>115</v>
      </c>
      <c r="O259" s="91">
        <v>105</v>
      </c>
      <c r="P259" s="93">
        <v>92</v>
      </c>
      <c r="Q259" s="64" t="s">
        <v>621</v>
      </c>
      <c r="R259" s="64" t="s">
        <v>35</v>
      </c>
      <c r="S259" s="64" t="s">
        <v>35</v>
      </c>
      <c r="T259" s="83"/>
      <c r="U259" s="77" t="s">
        <v>186</v>
      </c>
      <c r="V259" s="105" t="s">
        <v>1225</v>
      </c>
      <c r="W259" s="105">
        <v>33040101601</v>
      </c>
      <c r="X259" s="106" t="s">
        <v>1226</v>
      </c>
      <c r="Y259" s="105"/>
      <c r="Z259" s="105"/>
      <c r="AA259" s="105" t="s">
        <v>36</v>
      </c>
      <c r="AB259" s="110" t="s">
        <v>35</v>
      </c>
      <c r="AC259" s="50">
        <v>570</v>
      </c>
      <c r="AD259" s="50">
        <v>545</v>
      </c>
      <c r="AE259" s="50">
        <v>465</v>
      </c>
      <c r="AF259" s="111">
        <f t="shared" si="15"/>
        <v>7</v>
      </c>
      <c r="AG259" s="111" t="str">
        <f t="shared" si="16"/>
        <v>内外眦成形费</v>
      </c>
      <c r="AH259" s="111">
        <f t="shared" si="17"/>
        <v>490</v>
      </c>
      <c r="AI259" s="111">
        <f t="shared" si="18"/>
        <v>465</v>
      </c>
      <c r="AJ259" s="111">
        <f t="shared" si="19"/>
        <v>398</v>
      </c>
    </row>
    <row r="260" s="55" customFormat="1" ht="25.5" spans="1:36">
      <c r="A260" s="112"/>
      <c r="B260" s="112"/>
      <c r="C260" s="66" t="s">
        <v>1224</v>
      </c>
      <c r="D260" s="65"/>
      <c r="E260" s="77"/>
      <c r="F260" s="77"/>
      <c r="G260" s="64"/>
      <c r="H260" s="42"/>
      <c r="I260" s="42"/>
      <c r="J260" s="84"/>
      <c r="K260" s="84"/>
      <c r="L260" s="84"/>
      <c r="M260" s="84"/>
      <c r="N260" s="91">
        <v>115</v>
      </c>
      <c r="O260" s="91">
        <v>105</v>
      </c>
      <c r="P260" s="93">
        <v>92</v>
      </c>
      <c r="Q260" s="64"/>
      <c r="R260" s="64"/>
      <c r="S260" s="64"/>
      <c r="T260" s="83"/>
      <c r="U260" s="77"/>
      <c r="V260" s="105" t="s">
        <v>1227</v>
      </c>
      <c r="W260" s="105">
        <v>33040101101</v>
      </c>
      <c r="X260" s="106" t="s">
        <v>1228</v>
      </c>
      <c r="Y260" s="105"/>
      <c r="Z260" s="105"/>
      <c r="AA260" s="105" t="s">
        <v>36</v>
      </c>
      <c r="AB260" s="110" t="s">
        <v>35</v>
      </c>
      <c r="AC260" s="50">
        <v>405</v>
      </c>
      <c r="AD260" s="50">
        <v>390</v>
      </c>
      <c r="AE260" s="50">
        <v>330</v>
      </c>
      <c r="AF260" s="111">
        <f t="shared" si="15"/>
        <v>7</v>
      </c>
      <c r="AG260" s="111" t="str">
        <f t="shared" si="16"/>
        <v>内外眦成形费</v>
      </c>
      <c r="AH260" s="111">
        <f t="shared" si="17"/>
        <v>490</v>
      </c>
      <c r="AI260" s="111">
        <f t="shared" si="18"/>
        <v>465</v>
      </c>
      <c r="AJ260" s="111">
        <f t="shared" si="19"/>
        <v>398</v>
      </c>
    </row>
    <row r="261" s="55" customFormat="1" ht="25.5" spans="1:36">
      <c r="A261" s="112"/>
      <c r="B261" s="112"/>
      <c r="C261" s="66" t="s">
        <v>1224</v>
      </c>
      <c r="D261" s="65"/>
      <c r="E261" s="77"/>
      <c r="F261" s="77"/>
      <c r="G261" s="64"/>
      <c r="H261" s="42"/>
      <c r="I261" s="42"/>
      <c r="J261" s="84"/>
      <c r="K261" s="84"/>
      <c r="L261" s="84"/>
      <c r="M261" s="84"/>
      <c r="N261" s="91">
        <v>115</v>
      </c>
      <c r="O261" s="91">
        <v>105</v>
      </c>
      <c r="P261" s="93">
        <v>92</v>
      </c>
      <c r="Q261" s="64"/>
      <c r="R261" s="64"/>
      <c r="S261" s="64"/>
      <c r="T261" s="83"/>
      <c r="U261" s="77"/>
      <c r="V261" s="105" t="s">
        <v>1229</v>
      </c>
      <c r="W261" s="105">
        <v>33040100301</v>
      </c>
      <c r="X261" s="106" t="s">
        <v>1230</v>
      </c>
      <c r="Y261" s="105"/>
      <c r="Z261" s="105"/>
      <c r="AA261" s="105" t="s">
        <v>36</v>
      </c>
      <c r="AB261" s="110" t="s">
        <v>35</v>
      </c>
      <c r="AC261" s="50">
        <v>650</v>
      </c>
      <c r="AD261" s="50">
        <v>625</v>
      </c>
      <c r="AE261" s="50">
        <v>530</v>
      </c>
      <c r="AF261" s="111">
        <f t="shared" ref="AF261:AF324" si="20">IFERROR(FIND("-儿童（加收）",C261,1),0)</f>
        <v>7</v>
      </c>
      <c r="AG261" s="111" t="str">
        <f t="shared" ref="AG261:AG324" si="21">SUBSTITUTE(C261,"-儿童（加收）","")</f>
        <v>内外眦成形费</v>
      </c>
      <c r="AH261" s="111">
        <f t="shared" ref="AH261:AH324" si="22">IF(AF261&gt;0,_xlfn.MAXIFS(N:N,C:C,SUBSTITUTE(C261,"-儿童（加收）","")),0)+N261</f>
        <v>490</v>
      </c>
      <c r="AI261" s="111">
        <f t="shared" ref="AI261:AI324" si="23">IF(AF261&gt;0,_xlfn.MAXIFS(O:O,C:C,SUBSTITUTE(C261,"-儿童（加收）","")),0)+O261</f>
        <v>465</v>
      </c>
      <c r="AJ261" s="111">
        <f t="shared" ref="AJ261:AJ324" si="24">IF(AF261&gt;0,_xlfn.MAXIFS(P:P,C:C,SUBSTITUTE(C261,"-儿童（加收）","")),0)+P261</f>
        <v>398</v>
      </c>
    </row>
    <row r="262" s="55" customFormat="1" ht="25.5" spans="1:36">
      <c r="A262" s="112"/>
      <c r="B262" s="112"/>
      <c r="C262" s="66" t="s">
        <v>1224</v>
      </c>
      <c r="D262" s="65"/>
      <c r="E262" s="77"/>
      <c r="F262" s="77"/>
      <c r="G262" s="64"/>
      <c r="H262" s="42"/>
      <c r="I262" s="42"/>
      <c r="J262" s="84"/>
      <c r="K262" s="84"/>
      <c r="L262" s="84"/>
      <c r="M262" s="84"/>
      <c r="N262" s="91">
        <v>115</v>
      </c>
      <c r="O262" s="91">
        <v>105</v>
      </c>
      <c r="P262" s="93">
        <v>92</v>
      </c>
      <c r="Q262" s="64"/>
      <c r="R262" s="64"/>
      <c r="S262" s="64"/>
      <c r="T262" s="83"/>
      <c r="U262" s="77"/>
      <c r="V262" s="105" t="s">
        <v>1231</v>
      </c>
      <c r="W262" s="105">
        <v>33040200101</v>
      </c>
      <c r="X262" s="106" t="s">
        <v>1232</v>
      </c>
      <c r="Y262" s="105"/>
      <c r="Z262" s="105"/>
      <c r="AA262" s="105" t="s">
        <v>36</v>
      </c>
      <c r="AB262" s="110" t="s">
        <v>35</v>
      </c>
      <c r="AC262" s="50">
        <v>490</v>
      </c>
      <c r="AD262" s="50">
        <v>470</v>
      </c>
      <c r="AE262" s="50">
        <v>400</v>
      </c>
      <c r="AF262" s="111">
        <f t="shared" si="20"/>
        <v>7</v>
      </c>
      <c r="AG262" s="111" t="str">
        <f t="shared" si="21"/>
        <v>内外眦成形费</v>
      </c>
      <c r="AH262" s="111">
        <f t="shared" si="22"/>
        <v>490</v>
      </c>
      <c r="AI262" s="111">
        <f t="shared" si="23"/>
        <v>465</v>
      </c>
      <c r="AJ262" s="111">
        <f t="shared" si="24"/>
        <v>398</v>
      </c>
    </row>
    <row r="263" s="52" customFormat="1" ht="57" customHeight="1" spans="1:36">
      <c r="A263" s="112">
        <v>84</v>
      </c>
      <c r="B263" s="112" t="s">
        <v>1237</v>
      </c>
      <c r="C263" s="64" t="s">
        <v>1238</v>
      </c>
      <c r="D263" s="65" t="s">
        <v>1239</v>
      </c>
      <c r="E263" s="77" t="s">
        <v>1240</v>
      </c>
      <c r="F263" s="77"/>
      <c r="G263" s="64" t="s">
        <v>110</v>
      </c>
      <c r="H263" s="78">
        <v>960</v>
      </c>
      <c r="I263" s="78">
        <v>865</v>
      </c>
      <c r="J263" s="83">
        <v>845</v>
      </c>
      <c r="K263" s="83">
        <v>760</v>
      </c>
      <c r="L263" s="83">
        <v>645</v>
      </c>
      <c r="M263" s="83"/>
      <c r="N263" s="41">
        <v>845</v>
      </c>
      <c r="O263" s="41">
        <v>760</v>
      </c>
      <c r="P263" s="50">
        <v>645</v>
      </c>
      <c r="Q263" s="64" t="s">
        <v>37</v>
      </c>
      <c r="R263" s="64" t="s">
        <v>35</v>
      </c>
      <c r="S263" s="64" t="s">
        <v>35</v>
      </c>
      <c r="T263" s="83" t="s">
        <v>381</v>
      </c>
      <c r="U263" s="77" t="s">
        <v>381</v>
      </c>
      <c r="V263" s="105" t="s">
        <v>1241</v>
      </c>
      <c r="W263" s="105">
        <v>330403001</v>
      </c>
      <c r="X263" s="106" t="s">
        <v>1242</v>
      </c>
      <c r="Y263" s="105" t="s">
        <v>1243</v>
      </c>
      <c r="Z263" s="105" t="s">
        <v>1244</v>
      </c>
      <c r="AA263" s="105" t="s">
        <v>36</v>
      </c>
      <c r="AB263" s="110" t="s">
        <v>35</v>
      </c>
      <c r="AC263" s="50">
        <v>845</v>
      </c>
      <c r="AD263" s="50">
        <v>760</v>
      </c>
      <c r="AE263" s="50">
        <v>645</v>
      </c>
      <c r="AF263" s="111">
        <f t="shared" si="20"/>
        <v>0</v>
      </c>
      <c r="AG263" s="111" t="str">
        <f t="shared" si="21"/>
        <v>睑球粘连分离费</v>
      </c>
      <c r="AH263" s="111">
        <f t="shared" si="22"/>
        <v>845</v>
      </c>
      <c r="AI263" s="111">
        <f t="shared" si="23"/>
        <v>760</v>
      </c>
      <c r="AJ263" s="111">
        <f t="shared" si="24"/>
        <v>645</v>
      </c>
    </row>
    <row r="264" s="52" customFormat="1" ht="41" customHeight="1" spans="1:36">
      <c r="A264" s="112" t="s">
        <v>95</v>
      </c>
      <c r="B264" s="112" t="s">
        <v>1245</v>
      </c>
      <c r="C264" s="64" t="s">
        <v>1246</v>
      </c>
      <c r="D264" s="65"/>
      <c r="E264" s="77"/>
      <c r="F264" s="77" t="s">
        <v>35</v>
      </c>
      <c r="G264" s="64" t="s">
        <v>110</v>
      </c>
      <c r="H264" s="78">
        <v>288</v>
      </c>
      <c r="I264" s="78">
        <v>260</v>
      </c>
      <c r="J264" s="83">
        <v>255</v>
      </c>
      <c r="K264" s="83">
        <v>230</v>
      </c>
      <c r="L264" s="83">
        <v>195</v>
      </c>
      <c r="M264" s="83"/>
      <c r="N264" s="41">
        <v>255</v>
      </c>
      <c r="O264" s="41">
        <v>230</v>
      </c>
      <c r="P264" s="50">
        <v>195</v>
      </c>
      <c r="Q264" s="64" t="s">
        <v>37</v>
      </c>
      <c r="R264" s="64" t="s">
        <v>35</v>
      </c>
      <c r="S264" s="64" t="s">
        <v>35</v>
      </c>
      <c r="T264" s="83"/>
      <c r="U264" s="77" t="s">
        <v>186</v>
      </c>
      <c r="V264" s="105" t="s">
        <v>1247</v>
      </c>
      <c r="W264" s="105">
        <v>33040300101</v>
      </c>
      <c r="X264" s="106" t="s">
        <v>1248</v>
      </c>
      <c r="Y264" s="105"/>
      <c r="Z264" s="105"/>
      <c r="AA264" s="105" t="s">
        <v>36</v>
      </c>
      <c r="AB264" s="110" t="s">
        <v>35</v>
      </c>
      <c r="AC264" s="50">
        <v>1100</v>
      </c>
      <c r="AD264" s="50">
        <v>990</v>
      </c>
      <c r="AE264" s="50">
        <v>840</v>
      </c>
      <c r="AF264" s="111">
        <f t="shared" si="20"/>
        <v>8</v>
      </c>
      <c r="AG264" s="111" t="str">
        <f t="shared" si="21"/>
        <v>睑球粘连分离费</v>
      </c>
      <c r="AH264" s="111">
        <f t="shared" si="22"/>
        <v>1100</v>
      </c>
      <c r="AI264" s="111">
        <f t="shared" si="23"/>
        <v>990</v>
      </c>
      <c r="AJ264" s="111">
        <f t="shared" si="24"/>
        <v>840</v>
      </c>
    </row>
    <row r="265" s="52" customFormat="1" ht="36" customHeight="1" spans="1:36">
      <c r="A265" s="112" t="s">
        <v>95</v>
      </c>
      <c r="B265" s="112" t="s">
        <v>1249</v>
      </c>
      <c r="C265" s="66" t="s">
        <v>1250</v>
      </c>
      <c r="D265" s="65"/>
      <c r="E265" s="77" t="s">
        <v>1251</v>
      </c>
      <c r="F265" s="77"/>
      <c r="G265" s="64" t="s">
        <v>110</v>
      </c>
      <c r="H265" s="78">
        <v>480</v>
      </c>
      <c r="I265" s="78">
        <v>433</v>
      </c>
      <c r="J265" s="83"/>
      <c r="K265" s="83"/>
      <c r="L265" s="83"/>
      <c r="M265" s="83"/>
      <c r="N265" s="91">
        <v>422</v>
      </c>
      <c r="O265" s="91">
        <v>380</v>
      </c>
      <c r="P265" s="93">
        <v>322</v>
      </c>
      <c r="Q265" s="64" t="s">
        <v>37</v>
      </c>
      <c r="R265" s="64" t="s">
        <v>35</v>
      </c>
      <c r="S265" s="64" t="s">
        <v>35</v>
      </c>
      <c r="T265" s="83"/>
      <c r="U265" s="77"/>
      <c r="V265" s="105" t="s">
        <v>1252</v>
      </c>
      <c r="W265" s="105">
        <v>330401018</v>
      </c>
      <c r="X265" s="106" t="s">
        <v>1253</v>
      </c>
      <c r="Y265" s="105" t="s">
        <v>1254</v>
      </c>
      <c r="Z265" s="105"/>
      <c r="AA265" s="105" t="s">
        <v>36</v>
      </c>
      <c r="AB265" s="110" t="s">
        <v>35</v>
      </c>
      <c r="AC265" s="50">
        <v>375</v>
      </c>
      <c r="AD265" s="50">
        <v>360</v>
      </c>
      <c r="AE265" s="50">
        <v>306</v>
      </c>
      <c r="AF265" s="111">
        <f t="shared" si="20"/>
        <v>0</v>
      </c>
      <c r="AG265" s="111" t="str">
        <f t="shared" si="21"/>
        <v>睑球粘连分离费-睑缘粘连分离费（减收）</v>
      </c>
      <c r="AH265" s="111">
        <f t="shared" si="22"/>
        <v>422</v>
      </c>
      <c r="AI265" s="111">
        <f t="shared" si="23"/>
        <v>380</v>
      </c>
      <c r="AJ265" s="111">
        <f t="shared" si="24"/>
        <v>322</v>
      </c>
    </row>
    <row r="266" s="52" customFormat="1" ht="36" customHeight="1" spans="1:36">
      <c r="A266" s="112"/>
      <c r="B266" s="112"/>
      <c r="C266" s="66" t="s">
        <v>1250</v>
      </c>
      <c r="D266" s="65"/>
      <c r="E266" s="77"/>
      <c r="F266" s="77"/>
      <c r="G266" s="64"/>
      <c r="H266" s="42"/>
      <c r="I266" s="42"/>
      <c r="J266" s="83"/>
      <c r="K266" s="83"/>
      <c r="L266" s="83"/>
      <c r="M266" s="83"/>
      <c r="N266" s="91">
        <v>422</v>
      </c>
      <c r="O266" s="91">
        <v>380</v>
      </c>
      <c r="P266" s="93">
        <v>322</v>
      </c>
      <c r="Q266" s="64"/>
      <c r="R266" s="64"/>
      <c r="S266" s="64"/>
      <c r="T266" s="83"/>
      <c r="U266" s="77"/>
      <c r="V266" s="105" t="s">
        <v>1255</v>
      </c>
      <c r="W266" s="105">
        <v>33040101801</v>
      </c>
      <c r="X266" s="106" t="s">
        <v>1256</v>
      </c>
      <c r="Y266" s="105"/>
      <c r="Z266" s="105"/>
      <c r="AA266" s="105" t="s">
        <v>36</v>
      </c>
      <c r="AB266" s="110" t="s">
        <v>35</v>
      </c>
      <c r="AC266" s="50">
        <v>490</v>
      </c>
      <c r="AD266" s="50">
        <v>470</v>
      </c>
      <c r="AE266" s="50">
        <v>400</v>
      </c>
      <c r="AF266" s="111">
        <f t="shared" si="20"/>
        <v>0</v>
      </c>
      <c r="AG266" s="111" t="str">
        <f t="shared" si="21"/>
        <v>睑球粘连分离费-睑缘粘连分离费（减收）</v>
      </c>
      <c r="AH266" s="111">
        <f t="shared" si="22"/>
        <v>422</v>
      </c>
      <c r="AI266" s="111">
        <f t="shared" si="23"/>
        <v>380</v>
      </c>
      <c r="AJ266" s="111">
        <f t="shared" si="24"/>
        <v>322</v>
      </c>
    </row>
    <row r="267" s="52" customFormat="1" ht="35" customHeight="1" spans="1:36">
      <c r="A267" s="112">
        <v>85</v>
      </c>
      <c r="B267" s="112" t="s">
        <v>1257</v>
      </c>
      <c r="C267" s="64" t="s">
        <v>1258</v>
      </c>
      <c r="D267" s="65" t="s">
        <v>1259</v>
      </c>
      <c r="E267" s="77" t="s">
        <v>1260</v>
      </c>
      <c r="F267" s="77" t="s">
        <v>1261</v>
      </c>
      <c r="G267" s="64" t="s">
        <v>110</v>
      </c>
      <c r="H267" s="78">
        <v>1150</v>
      </c>
      <c r="I267" s="78">
        <v>1035</v>
      </c>
      <c r="J267" s="83">
        <v>1010</v>
      </c>
      <c r="K267" s="83">
        <v>910</v>
      </c>
      <c r="L267" s="83">
        <v>775</v>
      </c>
      <c r="M267" s="83"/>
      <c r="N267" s="41">
        <v>1010</v>
      </c>
      <c r="O267" s="41">
        <v>910</v>
      </c>
      <c r="P267" s="50">
        <v>775</v>
      </c>
      <c r="Q267" s="64" t="s">
        <v>37</v>
      </c>
      <c r="R267" s="64" t="s">
        <v>35</v>
      </c>
      <c r="S267" s="64" t="s">
        <v>35</v>
      </c>
      <c r="T267" s="83" t="s">
        <v>381</v>
      </c>
      <c r="U267" s="77" t="s">
        <v>381</v>
      </c>
      <c r="V267" s="105" t="s">
        <v>1262</v>
      </c>
      <c r="W267" s="105">
        <v>330403004</v>
      </c>
      <c r="X267" s="106" t="s">
        <v>1263</v>
      </c>
      <c r="Y267" s="105"/>
      <c r="Z267" s="105" t="s">
        <v>1264</v>
      </c>
      <c r="AA267" s="105" t="s">
        <v>36</v>
      </c>
      <c r="AB267" s="110" t="s">
        <v>35</v>
      </c>
      <c r="AC267" s="50">
        <v>1010</v>
      </c>
      <c r="AD267" s="50">
        <v>910</v>
      </c>
      <c r="AE267" s="50">
        <v>775</v>
      </c>
      <c r="AF267" s="111">
        <f t="shared" si="20"/>
        <v>0</v>
      </c>
      <c r="AG267" s="111" t="str">
        <f t="shared" si="21"/>
        <v>结膜囊成形费</v>
      </c>
      <c r="AH267" s="111">
        <f t="shared" si="22"/>
        <v>1010</v>
      </c>
      <c r="AI267" s="111">
        <f t="shared" si="23"/>
        <v>910</v>
      </c>
      <c r="AJ267" s="111">
        <f t="shared" si="24"/>
        <v>775</v>
      </c>
    </row>
    <row r="268" s="52" customFormat="1" ht="25.5" spans="1:36">
      <c r="A268" s="112" t="s">
        <v>95</v>
      </c>
      <c r="B268" s="112" t="s">
        <v>1265</v>
      </c>
      <c r="C268" s="64" t="s">
        <v>1266</v>
      </c>
      <c r="D268" s="65"/>
      <c r="E268" s="77"/>
      <c r="F268" s="77" t="s">
        <v>35</v>
      </c>
      <c r="G268" s="64" t="s">
        <v>110</v>
      </c>
      <c r="H268" s="78">
        <v>345</v>
      </c>
      <c r="I268" s="78">
        <v>311</v>
      </c>
      <c r="J268" s="83">
        <v>305</v>
      </c>
      <c r="K268" s="83">
        <v>275</v>
      </c>
      <c r="L268" s="83">
        <v>230</v>
      </c>
      <c r="M268" s="83"/>
      <c r="N268" s="41">
        <v>305</v>
      </c>
      <c r="O268" s="41">
        <v>275</v>
      </c>
      <c r="P268" s="50">
        <v>230</v>
      </c>
      <c r="Q268" s="64" t="s">
        <v>37</v>
      </c>
      <c r="R268" s="64" t="s">
        <v>35</v>
      </c>
      <c r="S268" s="64" t="s">
        <v>35</v>
      </c>
      <c r="T268" s="83"/>
      <c r="U268" s="77" t="s">
        <v>186</v>
      </c>
      <c r="V268" s="105" t="s">
        <v>1267</v>
      </c>
      <c r="W268" s="105">
        <v>33040300401</v>
      </c>
      <c r="X268" s="106" t="s">
        <v>1268</v>
      </c>
      <c r="Y268" s="105"/>
      <c r="Z268" s="105"/>
      <c r="AA268" s="105" t="s">
        <v>36</v>
      </c>
      <c r="AB268" s="110" t="s">
        <v>35</v>
      </c>
      <c r="AC268" s="50">
        <v>1315</v>
      </c>
      <c r="AD268" s="50">
        <v>1185</v>
      </c>
      <c r="AE268" s="50">
        <v>1005</v>
      </c>
      <c r="AF268" s="111">
        <f t="shared" si="20"/>
        <v>7</v>
      </c>
      <c r="AG268" s="111" t="str">
        <f t="shared" si="21"/>
        <v>结膜囊成形费</v>
      </c>
      <c r="AH268" s="111">
        <f t="shared" si="22"/>
        <v>1315</v>
      </c>
      <c r="AI268" s="111">
        <f t="shared" si="23"/>
        <v>1185</v>
      </c>
      <c r="AJ268" s="111">
        <f t="shared" si="24"/>
        <v>1005</v>
      </c>
    </row>
    <row r="269" s="52" customFormat="1" ht="25.5" spans="1:36">
      <c r="A269" s="112" t="s">
        <v>95</v>
      </c>
      <c r="B269" s="112" t="s">
        <v>1269</v>
      </c>
      <c r="C269" s="66" t="s">
        <v>1270</v>
      </c>
      <c r="D269" s="65"/>
      <c r="E269" s="77" t="s">
        <v>1271</v>
      </c>
      <c r="F269" s="77"/>
      <c r="G269" s="64" t="s">
        <v>110</v>
      </c>
      <c r="H269" s="78">
        <v>805</v>
      </c>
      <c r="I269" s="78">
        <v>725</v>
      </c>
      <c r="J269" s="84">
        <v>658.705821205821</v>
      </c>
      <c r="K269" s="84">
        <v>606.038732394366</v>
      </c>
      <c r="L269" s="84">
        <v>516</v>
      </c>
      <c r="M269" s="84"/>
      <c r="N269" s="91">
        <v>660</v>
      </c>
      <c r="O269" s="91">
        <v>606</v>
      </c>
      <c r="P269" s="93">
        <v>516</v>
      </c>
      <c r="Q269" s="64" t="s">
        <v>37</v>
      </c>
      <c r="R269" s="64" t="s">
        <v>35</v>
      </c>
      <c r="S269" s="64" t="s">
        <v>35</v>
      </c>
      <c r="T269" s="83"/>
      <c r="U269" s="77" t="s">
        <v>1272</v>
      </c>
      <c r="V269" s="105" t="s">
        <v>1273</v>
      </c>
      <c r="W269" s="105">
        <v>330403002</v>
      </c>
      <c r="X269" s="106" t="s">
        <v>1274</v>
      </c>
      <c r="Y269" s="105" t="s">
        <v>1275</v>
      </c>
      <c r="Z269" s="105" t="s">
        <v>1244</v>
      </c>
      <c r="AA269" s="105" t="s">
        <v>36</v>
      </c>
      <c r="AB269" s="110" t="s">
        <v>1276</v>
      </c>
      <c r="AC269" s="50">
        <v>312.5</v>
      </c>
      <c r="AD269" s="50">
        <v>300</v>
      </c>
      <c r="AE269" s="50">
        <v>255</v>
      </c>
      <c r="AF269" s="111">
        <f t="shared" si="20"/>
        <v>0</v>
      </c>
      <c r="AG269" s="111" t="str">
        <f t="shared" si="21"/>
        <v>结膜囊成形费-结膜部分切除费（减收）</v>
      </c>
      <c r="AH269" s="111">
        <f t="shared" si="22"/>
        <v>660</v>
      </c>
      <c r="AI269" s="111">
        <f t="shared" si="23"/>
        <v>606</v>
      </c>
      <c r="AJ269" s="111">
        <f t="shared" si="24"/>
        <v>516</v>
      </c>
    </row>
    <row r="270" s="52" customFormat="1" ht="25.5" spans="1:36">
      <c r="A270" s="112"/>
      <c r="B270" s="112"/>
      <c r="C270" s="66" t="s">
        <v>1270</v>
      </c>
      <c r="D270" s="65"/>
      <c r="E270" s="77"/>
      <c r="F270" s="77"/>
      <c r="G270" s="64"/>
      <c r="H270" s="42"/>
      <c r="I270" s="42"/>
      <c r="J270" s="84"/>
      <c r="K270" s="84"/>
      <c r="L270" s="84"/>
      <c r="M270" s="84"/>
      <c r="N270" s="91">
        <v>660</v>
      </c>
      <c r="O270" s="91">
        <v>606</v>
      </c>
      <c r="P270" s="93">
        <v>516</v>
      </c>
      <c r="Q270" s="64"/>
      <c r="R270" s="64"/>
      <c r="S270" s="64"/>
      <c r="T270" s="83"/>
      <c r="U270" s="77"/>
      <c r="V270" s="105" t="s">
        <v>1277</v>
      </c>
      <c r="W270" s="105">
        <v>33040300201</v>
      </c>
      <c r="X270" s="106" t="s">
        <v>1278</v>
      </c>
      <c r="Y270" s="105"/>
      <c r="Z270" s="105"/>
      <c r="AA270" s="105" t="s">
        <v>36</v>
      </c>
      <c r="AB270" s="110" t="s">
        <v>1279</v>
      </c>
      <c r="AC270" s="50">
        <v>500</v>
      </c>
      <c r="AD270" s="50">
        <v>480</v>
      </c>
      <c r="AE270" s="50">
        <v>408</v>
      </c>
      <c r="AF270" s="111">
        <f t="shared" si="20"/>
        <v>0</v>
      </c>
      <c r="AG270" s="111" t="str">
        <f t="shared" si="21"/>
        <v>结膜囊成形费-结膜部分切除费（减收）</v>
      </c>
      <c r="AH270" s="111">
        <f t="shared" si="22"/>
        <v>660</v>
      </c>
      <c r="AI270" s="111">
        <f t="shared" si="23"/>
        <v>606</v>
      </c>
      <c r="AJ270" s="111">
        <f t="shared" si="24"/>
        <v>516</v>
      </c>
    </row>
    <row r="271" s="55" customFormat="1" ht="25.5" spans="1:36">
      <c r="A271" s="112"/>
      <c r="B271" s="112"/>
      <c r="C271" s="66" t="s">
        <v>1270</v>
      </c>
      <c r="D271" s="65"/>
      <c r="E271" s="77"/>
      <c r="F271" s="77"/>
      <c r="G271" s="64"/>
      <c r="H271" s="42"/>
      <c r="I271" s="42"/>
      <c r="J271" s="84"/>
      <c r="K271" s="84"/>
      <c r="L271" s="84"/>
      <c r="M271" s="84"/>
      <c r="N271" s="91">
        <v>660</v>
      </c>
      <c r="O271" s="91">
        <v>606</v>
      </c>
      <c r="P271" s="93">
        <v>516</v>
      </c>
      <c r="Q271" s="64"/>
      <c r="R271" s="64"/>
      <c r="S271" s="64"/>
      <c r="T271" s="83"/>
      <c r="U271" s="77"/>
      <c r="V271" s="105" t="s">
        <v>1280</v>
      </c>
      <c r="W271" s="105">
        <v>33040300202</v>
      </c>
      <c r="X271" s="106" t="s">
        <v>1281</v>
      </c>
      <c r="Y271" s="105"/>
      <c r="Z271" s="105"/>
      <c r="AA271" s="105" t="s">
        <v>36</v>
      </c>
      <c r="AB271" s="110" t="s">
        <v>1282</v>
      </c>
      <c r="AC271" s="50">
        <v>312.5</v>
      </c>
      <c r="AD271" s="50">
        <v>300</v>
      </c>
      <c r="AE271" s="50">
        <v>255</v>
      </c>
      <c r="AF271" s="111">
        <f t="shared" si="20"/>
        <v>0</v>
      </c>
      <c r="AG271" s="111" t="str">
        <f t="shared" si="21"/>
        <v>结膜囊成形费-结膜部分切除费（减收）</v>
      </c>
      <c r="AH271" s="111">
        <f t="shared" si="22"/>
        <v>660</v>
      </c>
      <c r="AI271" s="111">
        <f t="shared" si="23"/>
        <v>606</v>
      </c>
      <c r="AJ271" s="111">
        <f t="shared" si="24"/>
        <v>516</v>
      </c>
    </row>
    <row r="272" s="52" customFormat="1" ht="25.5" spans="1:36">
      <c r="A272" s="112"/>
      <c r="B272" s="112"/>
      <c r="C272" s="66" t="s">
        <v>1270</v>
      </c>
      <c r="D272" s="65"/>
      <c r="E272" s="77"/>
      <c r="F272" s="77"/>
      <c r="G272" s="64"/>
      <c r="H272" s="42"/>
      <c r="I272" s="42"/>
      <c r="J272" s="84"/>
      <c r="K272" s="84"/>
      <c r="L272" s="84"/>
      <c r="M272" s="84"/>
      <c r="N272" s="91">
        <v>660</v>
      </c>
      <c r="O272" s="91">
        <v>606</v>
      </c>
      <c r="P272" s="93">
        <v>516</v>
      </c>
      <c r="Q272" s="64"/>
      <c r="R272" s="64"/>
      <c r="S272" s="64"/>
      <c r="T272" s="83"/>
      <c r="U272" s="77"/>
      <c r="V272" s="105" t="s">
        <v>1283</v>
      </c>
      <c r="W272" s="105">
        <v>33040300203</v>
      </c>
      <c r="X272" s="106" t="s">
        <v>1284</v>
      </c>
      <c r="Y272" s="105"/>
      <c r="Z272" s="105"/>
      <c r="AA272" s="105" t="s">
        <v>36</v>
      </c>
      <c r="AB272" s="110" t="s">
        <v>35</v>
      </c>
      <c r="AC272" s="50">
        <v>405</v>
      </c>
      <c r="AD272" s="50">
        <v>390</v>
      </c>
      <c r="AE272" s="50">
        <v>330</v>
      </c>
      <c r="AF272" s="111">
        <f t="shared" si="20"/>
        <v>0</v>
      </c>
      <c r="AG272" s="111" t="str">
        <f t="shared" si="21"/>
        <v>结膜囊成形费-结膜部分切除费（减收）</v>
      </c>
      <c r="AH272" s="111">
        <f t="shared" si="22"/>
        <v>660</v>
      </c>
      <c r="AI272" s="111">
        <f t="shared" si="23"/>
        <v>606</v>
      </c>
      <c r="AJ272" s="111">
        <f t="shared" si="24"/>
        <v>516</v>
      </c>
    </row>
    <row r="273" s="52" customFormat="1" ht="25.5" spans="1:36">
      <c r="A273" s="112"/>
      <c r="B273" s="112"/>
      <c r="C273" s="66" t="s">
        <v>1270</v>
      </c>
      <c r="D273" s="65"/>
      <c r="E273" s="77"/>
      <c r="F273" s="77"/>
      <c r="G273" s="64"/>
      <c r="H273" s="42"/>
      <c r="I273" s="42"/>
      <c r="J273" s="84"/>
      <c r="K273" s="84"/>
      <c r="L273" s="84"/>
      <c r="M273" s="84"/>
      <c r="N273" s="91">
        <v>660</v>
      </c>
      <c r="O273" s="91">
        <v>606</v>
      </c>
      <c r="P273" s="93">
        <v>516</v>
      </c>
      <c r="Q273" s="64"/>
      <c r="R273" s="64"/>
      <c r="S273" s="64"/>
      <c r="T273" s="83"/>
      <c r="U273" s="77"/>
      <c r="V273" s="105" t="s">
        <v>1285</v>
      </c>
      <c r="W273" s="105">
        <v>33040300204</v>
      </c>
      <c r="X273" s="106" t="s">
        <v>1286</v>
      </c>
      <c r="Y273" s="105"/>
      <c r="Z273" s="105"/>
      <c r="AA273" s="105" t="s">
        <v>36</v>
      </c>
      <c r="AB273" s="110" t="s">
        <v>1279</v>
      </c>
      <c r="AC273" s="50">
        <v>650</v>
      </c>
      <c r="AD273" s="50">
        <v>625</v>
      </c>
      <c r="AE273" s="50">
        <v>530</v>
      </c>
      <c r="AF273" s="111">
        <f t="shared" si="20"/>
        <v>0</v>
      </c>
      <c r="AG273" s="111" t="str">
        <f t="shared" si="21"/>
        <v>结膜囊成形费-结膜部分切除费（减收）</v>
      </c>
      <c r="AH273" s="111">
        <f t="shared" si="22"/>
        <v>660</v>
      </c>
      <c r="AI273" s="111">
        <f t="shared" si="23"/>
        <v>606</v>
      </c>
      <c r="AJ273" s="111">
        <f t="shared" si="24"/>
        <v>516</v>
      </c>
    </row>
    <row r="274" s="52" customFormat="1" ht="25.5" spans="1:36">
      <c r="A274" s="112"/>
      <c r="B274" s="112"/>
      <c r="C274" s="66" t="s">
        <v>1270</v>
      </c>
      <c r="D274" s="65"/>
      <c r="E274" s="77"/>
      <c r="F274" s="77"/>
      <c r="G274" s="64"/>
      <c r="H274" s="42"/>
      <c r="I274" s="42"/>
      <c r="J274" s="84"/>
      <c r="K274" s="84"/>
      <c r="L274" s="84"/>
      <c r="M274" s="84"/>
      <c r="N274" s="91">
        <v>660</v>
      </c>
      <c r="O274" s="91">
        <v>606</v>
      </c>
      <c r="P274" s="93">
        <v>516</v>
      </c>
      <c r="Q274" s="64"/>
      <c r="R274" s="64"/>
      <c r="S274" s="64"/>
      <c r="T274" s="83"/>
      <c r="U274" s="77"/>
      <c r="V274" s="105" t="s">
        <v>1287</v>
      </c>
      <c r="W274" s="105">
        <v>330403003</v>
      </c>
      <c r="X274" s="106" t="s">
        <v>1288</v>
      </c>
      <c r="Y274" s="105"/>
      <c r="Z274" s="105"/>
      <c r="AA274" s="105" t="s">
        <v>36</v>
      </c>
      <c r="AB274" s="110" t="s">
        <v>35</v>
      </c>
      <c r="AC274" s="50">
        <v>375</v>
      </c>
      <c r="AD274" s="50">
        <v>360</v>
      </c>
      <c r="AE274" s="50">
        <v>306</v>
      </c>
      <c r="AF274" s="111">
        <f t="shared" si="20"/>
        <v>0</v>
      </c>
      <c r="AG274" s="111" t="str">
        <f t="shared" si="21"/>
        <v>结膜囊成形费-结膜部分切除费（减收）</v>
      </c>
      <c r="AH274" s="111">
        <f t="shared" si="22"/>
        <v>660</v>
      </c>
      <c r="AI274" s="111">
        <f t="shared" si="23"/>
        <v>606</v>
      </c>
      <c r="AJ274" s="111">
        <f t="shared" si="24"/>
        <v>516</v>
      </c>
    </row>
    <row r="275" s="52" customFormat="1" ht="25.5" spans="1:36">
      <c r="A275" s="112"/>
      <c r="B275" s="112"/>
      <c r="C275" s="66" t="s">
        <v>1270</v>
      </c>
      <c r="D275" s="65"/>
      <c r="E275" s="77"/>
      <c r="F275" s="77"/>
      <c r="G275" s="64"/>
      <c r="H275" s="42"/>
      <c r="I275" s="42"/>
      <c r="J275" s="84"/>
      <c r="K275" s="84"/>
      <c r="L275" s="84"/>
      <c r="M275" s="84"/>
      <c r="N275" s="91">
        <v>660</v>
      </c>
      <c r="O275" s="91">
        <v>606</v>
      </c>
      <c r="P275" s="93">
        <v>516</v>
      </c>
      <c r="Q275" s="64"/>
      <c r="R275" s="64"/>
      <c r="S275" s="64"/>
      <c r="T275" s="83"/>
      <c r="U275" s="77"/>
      <c r="V275" s="105" t="s">
        <v>1289</v>
      </c>
      <c r="W275" s="105">
        <v>33040300301</v>
      </c>
      <c r="X275" s="106" t="s">
        <v>1290</v>
      </c>
      <c r="Y275" s="105"/>
      <c r="Z275" s="105"/>
      <c r="AA275" s="105" t="s">
        <v>36</v>
      </c>
      <c r="AB275" s="110" t="s">
        <v>35</v>
      </c>
      <c r="AC275" s="50">
        <v>490</v>
      </c>
      <c r="AD275" s="50">
        <v>470</v>
      </c>
      <c r="AE275" s="50">
        <v>400</v>
      </c>
      <c r="AF275" s="111">
        <f t="shared" si="20"/>
        <v>0</v>
      </c>
      <c r="AG275" s="111" t="str">
        <f t="shared" si="21"/>
        <v>结膜囊成形费-结膜部分切除费（减收）</v>
      </c>
      <c r="AH275" s="111">
        <f t="shared" si="22"/>
        <v>660</v>
      </c>
      <c r="AI275" s="111">
        <f t="shared" si="23"/>
        <v>606</v>
      </c>
      <c r="AJ275" s="111">
        <f t="shared" si="24"/>
        <v>516</v>
      </c>
    </row>
    <row r="276" s="52" customFormat="1" ht="25.5" spans="1:36">
      <c r="A276" s="112"/>
      <c r="B276" s="112"/>
      <c r="C276" s="66" t="s">
        <v>1270</v>
      </c>
      <c r="D276" s="65"/>
      <c r="E276" s="77"/>
      <c r="F276" s="77"/>
      <c r="G276" s="64"/>
      <c r="H276" s="42"/>
      <c r="I276" s="42"/>
      <c r="J276" s="84"/>
      <c r="K276" s="84"/>
      <c r="L276" s="84"/>
      <c r="M276" s="84"/>
      <c r="N276" s="91">
        <v>660</v>
      </c>
      <c r="O276" s="91">
        <v>606</v>
      </c>
      <c r="P276" s="93">
        <v>516</v>
      </c>
      <c r="Q276" s="64"/>
      <c r="R276" s="64"/>
      <c r="S276" s="64"/>
      <c r="T276" s="83"/>
      <c r="U276" s="77"/>
      <c r="V276" s="105" t="s">
        <v>1291</v>
      </c>
      <c r="W276" s="105">
        <v>330403005</v>
      </c>
      <c r="X276" s="106" t="s">
        <v>1292</v>
      </c>
      <c r="Y276" s="105"/>
      <c r="Z276" s="105" t="s">
        <v>1244</v>
      </c>
      <c r="AA276" s="105" t="s">
        <v>36</v>
      </c>
      <c r="AB276" s="110" t="s">
        <v>35</v>
      </c>
      <c r="AC276" s="50">
        <v>375</v>
      </c>
      <c r="AD276" s="50">
        <v>360</v>
      </c>
      <c r="AE276" s="50">
        <v>306</v>
      </c>
      <c r="AF276" s="111">
        <f t="shared" si="20"/>
        <v>0</v>
      </c>
      <c r="AG276" s="111" t="str">
        <f t="shared" si="21"/>
        <v>结膜囊成形费-结膜部分切除费（减收）</v>
      </c>
      <c r="AH276" s="111">
        <f t="shared" si="22"/>
        <v>660</v>
      </c>
      <c r="AI276" s="111">
        <f t="shared" si="23"/>
        <v>606</v>
      </c>
      <c r="AJ276" s="111">
        <f t="shared" si="24"/>
        <v>516</v>
      </c>
    </row>
    <row r="277" s="52" customFormat="1" ht="25.5" spans="1:36">
      <c r="A277" s="112"/>
      <c r="B277" s="112"/>
      <c r="C277" s="66" t="s">
        <v>1270</v>
      </c>
      <c r="D277" s="65"/>
      <c r="E277" s="77"/>
      <c r="F277" s="77"/>
      <c r="G277" s="64"/>
      <c r="H277" s="42"/>
      <c r="I277" s="42"/>
      <c r="J277" s="84"/>
      <c r="K277" s="84"/>
      <c r="L277" s="84"/>
      <c r="M277" s="84"/>
      <c r="N277" s="91">
        <v>660</v>
      </c>
      <c r="O277" s="91">
        <v>606</v>
      </c>
      <c r="P277" s="93">
        <v>516</v>
      </c>
      <c r="Q277" s="64"/>
      <c r="R277" s="64"/>
      <c r="S277" s="64"/>
      <c r="T277" s="83"/>
      <c r="U277" s="77"/>
      <c r="V277" s="105" t="s">
        <v>1293</v>
      </c>
      <c r="W277" s="105">
        <v>33040300501</v>
      </c>
      <c r="X277" s="106" t="s">
        <v>1294</v>
      </c>
      <c r="Y277" s="105"/>
      <c r="Z277" s="105"/>
      <c r="AA277" s="105" t="s">
        <v>36</v>
      </c>
      <c r="AB277" s="110" t="s">
        <v>35</v>
      </c>
      <c r="AC277" s="50">
        <v>490</v>
      </c>
      <c r="AD277" s="50">
        <v>470</v>
      </c>
      <c r="AE277" s="50">
        <v>400</v>
      </c>
      <c r="AF277" s="111">
        <f t="shared" si="20"/>
        <v>0</v>
      </c>
      <c r="AG277" s="111" t="str">
        <f t="shared" si="21"/>
        <v>结膜囊成形费-结膜部分切除费（减收）</v>
      </c>
      <c r="AH277" s="111">
        <f t="shared" si="22"/>
        <v>660</v>
      </c>
      <c r="AI277" s="111">
        <f t="shared" si="23"/>
        <v>606</v>
      </c>
      <c r="AJ277" s="111">
        <f t="shared" si="24"/>
        <v>516</v>
      </c>
    </row>
    <row r="278" s="52" customFormat="1" ht="39" customHeight="1" spans="1:36">
      <c r="A278" s="112">
        <v>86</v>
      </c>
      <c r="B278" s="112" t="s">
        <v>1295</v>
      </c>
      <c r="C278" s="66" t="s">
        <v>1296</v>
      </c>
      <c r="D278" s="65" t="s">
        <v>1297</v>
      </c>
      <c r="E278" s="77" t="s">
        <v>1298</v>
      </c>
      <c r="F278" s="77" t="s">
        <v>35</v>
      </c>
      <c r="G278" s="64" t="s">
        <v>472</v>
      </c>
      <c r="H278" s="78">
        <v>270</v>
      </c>
      <c r="I278" s="78">
        <v>245</v>
      </c>
      <c r="J278" s="83">
        <v>250</v>
      </c>
      <c r="K278" s="83">
        <v>240</v>
      </c>
      <c r="L278" s="83">
        <v>204</v>
      </c>
      <c r="M278" s="83"/>
      <c r="N278" s="91">
        <v>250</v>
      </c>
      <c r="O278" s="91">
        <v>240</v>
      </c>
      <c r="P278" s="93">
        <v>204</v>
      </c>
      <c r="Q278" s="64" t="s">
        <v>37</v>
      </c>
      <c r="R278" s="64" t="s">
        <v>35</v>
      </c>
      <c r="S278" s="64" t="s">
        <v>35</v>
      </c>
      <c r="T278" s="83" t="s">
        <v>381</v>
      </c>
      <c r="U278" s="77" t="s">
        <v>381</v>
      </c>
      <c r="V278" s="105" t="s">
        <v>1299</v>
      </c>
      <c r="W278" s="105">
        <v>330401002</v>
      </c>
      <c r="X278" s="106" t="s">
        <v>1300</v>
      </c>
      <c r="Y278" s="105"/>
      <c r="Z278" s="105"/>
      <c r="AA278" s="105" t="s">
        <v>36</v>
      </c>
      <c r="AB278" s="110" t="s">
        <v>35</v>
      </c>
      <c r="AC278" s="50">
        <v>250</v>
      </c>
      <c r="AD278" s="50">
        <v>240</v>
      </c>
      <c r="AE278" s="50">
        <v>204</v>
      </c>
      <c r="AF278" s="111">
        <f t="shared" si="20"/>
        <v>0</v>
      </c>
      <c r="AG278" s="111" t="str">
        <f t="shared" si="21"/>
        <v>眼睑裂伤缝合费（常规）</v>
      </c>
      <c r="AH278" s="111">
        <f t="shared" si="22"/>
        <v>250</v>
      </c>
      <c r="AI278" s="111">
        <f t="shared" si="23"/>
        <v>240</v>
      </c>
      <c r="AJ278" s="111">
        <f t="shared" si="24"/>
        <v>204</v>
      </c>
    </row>
    <row r="279" s="52" customFormat="1" ht="39" customHeight="1" spans="1:36">
      <c r="A279" s="112"/>
      <c r="B279" s="112"/>
      <c r="C279" s="66" t="s">
        <v>1296</v>
      </c>
      <c r="D279" s="65"/>
      <c r="E279" s="77"/>
      <c r="F279" s="77"/>
      <c r="G279" s="64"/>
      <c r="H279" s="42"/>
      <c r="I279" s="42"/>
      <c r="J279" s="83"/>
      <c r="K279" s="83"/>
      <c r="L279" s="83"/>
      <c r="M279" s="83"/>
      <c r="N279" s="91">
        <v>250</v>
      </c>
      <c r="O279" s="91">
        <v>240</v>
      </c>
      <c r="P279" s="93">
        <v>204</v>
      </c>
      <c r="Q279" s="64"/>
      <c r="R279" s="64"/>
      <c r="S279" s="64"/>
      <c r="T279" s="83"/>
      <c r="U279" s="77"/>
      <c r="V279" s="105" t="s">
        <v>1301</v>
      </c>
      <c r="W279" s="105">
        <v>330401009</v>
      </c>
      <c r="X279" s="106" t="s">
        <v>1302</v>
      </c>
      <c r="Y279" s="105"/>
      <c r="Z279" s="105"/>
      <c r="AA279" s="105" t="s">
        <v>36</v>
      </c>
      <c r="AB279" s="110" t="s">
        <v>35</v>
      </c>
      <c r="AC279" s="50">
        <v>250</v>
      </c>
      <c r="AD279" s="50">
        <v>240</v>
      </c>
      <c r="AE279" s="50">
        <v>204</v>
      </c>
      <c r="AF279" s="111">
        <f t="shared" si="20"/>
        <v>0</v>
      </c>
      <c r="AG279" s="111" t="str">
        <f t="shared" si="21"/>
        <v>眼睑裂伤缝合费（常规）</v>
      </c>
      <c r="AH279" s="111">
        <f t="shared" si="22"/>
        <v>250</v>
      </c>
      <c r="AI279" s="111">
        <f t="shared" si="23"/>
        <v>240</v>
      </c>
      <c r="AJ279" s="111">
        <f t="shared" si="24"/>
        <v>204</v>
      </c>
    </row>
    <row r="280" s="52" customFormat="1" ht="25.5" spans="1:36">
      <c r="A280" s="112" t="s">
        <v>95</v>
      </c>
      <c r="B280" s="112" t="s">
        <v>1303</v>
      </c>
      <c r="C280" s="66" t="s">
        <v>1304</v>
      </c>
      <c r="D280" s="65"/>
      <c r="E280" s="77"/>
      <c r="F280" s="77" t="s">
        <v>35</v>
      </c>
      <c r="G280" s="64" t="s">
        <v>472</v>
      </c>
      <c r="H280" s="78">
        <v>81</v>
      </c>
      <c r="I280" s="78">
        <v>74</v>
      </c>
      <c r="J280" s="83">
        <v>75</v>
      </c>
      <c r="K280" s="83">
        <v>70</v>
      </c>
      <c r="L280" s="83">
        <v>61</v>
      </c>
      <c r="M280" s="83"/>
      <c r="N280" s="91">
        <v>75</v>
      </c>
      <c r="O280" s="91">
        <v>72</v>
      </c>
      <c r="P280" s="93">
        <v>61</v>
      </c>
      <c r="Q280" s="64" t="s">
        <v>37</v>
      </c>
      <c r="R280" s="64" t="s">
        <v>35</v>
      </c>
      <c r="S280" s="64" t="s">
        <v>35</v>
      </c>
      <c r="T280" s="83"/>
      <c r="U280" s="77" t="s">
        <v>186</v>
      </c>
      <c r="V280" s="105" t="s">
        <v>1305</v>
      </c>
      <c r="W280" s="105">
        <v>33040100201</v>
      </c>
      <c r="X280" s="106" t="s">
        <v>1306</v>
      </c>
      <c r="Y280" s="105"/>
      <c r="Z280" s="105"/>
      <c r="AA280" s="105" t="s">
        <v>36</v>
      </c>
      <c r="AB280" s="110" t="s">
        <v>35</v>
      </c>
      <c r="AC280" s="50">
        <v>325</v>
      </c>
      <c r="AD280" s="50">
        <v>310</v>
      </c>
      <c r="AE280" s="50">
        <v>265</v>
      </c>
      <c r="AF280" s="111">
        <f t="shared" si="20"/>
        <v>12</v>
      </c>
      <c r="AG280" s="111" t="str">
        <f t="shared" si="21"/>
        <v>眼睑裂伤缝合费（常规）</v>
      </c>
      <c r="AH280" s="111">
        <f t="shared" si="22"/>
        <v>325</v>
      </c>
      <c r="AI280" s="111">
        <f t="shared" si="23"/>
        <v>312</v>
      </c>
      <c r="AJ280" s="111">
        <f t="shared" si="24"/>
        <v>265</v>
      </c>
    </row>
    <row r="281" s="52" customFormat="1" ht="25.5" spans="1:36">
      <c r="A281" s="112"/>
      <c r="B281" s="112"/>
      <c r="C281" s="66" t="s">
        <v>1304</v>
      </c>
      <c r="D281" s="65"/>
      <c r="E281" s="77"/>
      <c r="F281" s="77"/>
      <c r="G281" s="64"/>
      <c r="H281" s="42"/>
      <c r="I281" s="42"/>
      <c r="J281" s="83"/>
      <c r="K281" s="83"/>
      <c r="L281" s="83"/>
      <c r="M281" s="83"/>
      <c r="N281" s="91">
        <v>75</v>
      </c>
      <c r="O281" s="91">
        <v>72</v>
      </c>
      <c r="P281" s="93">
        <v>61</v>
      </c>
      <c r="Q281" s="64"/>
      <c r="R281" s="64"/>
      <c r="S281" s="64"/>
      <c r="T281" s="83"/>
      <c r="U281" s="77"/>
      <c r="V281" s="105" t="s">
        <v>1307</v>
      </c>
      <c r="W281" s="105">
        <v>33040100901</v>
      </c>
      <c r="X281" s="106" t="s">
        <v>1308</v>
      </c>
      <c r="Y281" s="105"/>
      <c r="Z281" s="105"/>
      <c r="AA281" s="105" t="s">
        <v>36</v>
      </c>
      <c r="AB281" s="110" t="s">
        <v>35</v>
      </c>
      <c r="AC281" s="50">
        <v>325</v>
      </c>
      <c r="AD281" s="50">
        <v>310</v>
      </c>
      <c r="AE281" s="50">
        <v>265</v>
      </c>
      <c r="AF281" s="111">
        <f t="shared" si="20"/>
        <v>12</v>
      </c>
      <c r="AG281" s="111" t="str">
        <f t="shared" si="21"/>
        <v>眼睑裂伤缝合费（常规）</v>
      </c>
      <c r="AH281" s="111">
        <f t="shared" si="22"/>
        <v>325</v>
      </c>
      <c r="AI281" s="111">
        <f t="shared" si="23"/>
        <v>312</v>
      </c>
      <c r="AJ281" s="111">
        <f t="shared" si="24"/>
        <v>265</v>
      </c>
    </row>
    <row r="282" s="52" customFormat="1" ht="29" customHeight="1" spans="1:36">
      <c r="A282" s="112">
        <v>88</v>
      </c>
      <c r="B282" s="112" t="s">
        <v>1316</v>
      </c>
      <c r="C282" s="66" t="s">
        <v>1317</v>
      </c>
      <c r="D282" s="65" t="s">
        <v>1318</v>
      </c>
      <c r="E282" s="77" t="s">
        <v>1319</v>
      </c>
      <c r="F282" s="77" t="s">
        <v>1320</v>
      </c>
      <c r="G282" s="112" t="s">
        <v>472</v>
      </c>
      <c r="H282" s="128">
        <v>405</v>
      </c>
      <c r="I282" s="128">
        <v>365</v>
      </c>
      <c r="J282" s="130">
        <v>375.760777683855</v>
      </c>
      <c r="K282" s="130">
        <v>360.183367077969</v>
      </c>
      <c r="L282" s="130">
        <v>306</v>
      </c>
      <c r="M282" s="130"/>
      <c r="N282" s="93">
        <v>375</v>
      </c>
      <c r="O282" s="93">
        <v>360</v>
      </c>
      <c r="P282" s="93">
        <v>306</v>
      </c>
      <c r="Q282" s="112" t="s">
        <v>37</v>
      </c>
      <c r="R282" s="112" t="s">
        <v>35</v>
      </c>
      <c r="S282" s="112" t="s">
        <v>35</v>
      </c>
      <c r="T282" s="131" t="s">
        <v>191</v>
      </c>
      <c r="U282" s="129" t="s">
        <v>191</v>
      </c>
      <c r="V282" s="105" t="s">
        <v>1321</v>
      </c>
      <c r="W282" s="105">
        <v>330401001</v>
      </c>
      <c r="X282" s="106" t="s">
        <v>1322</v>
      </c>
      <c r="Y282" s="105"/>
      <c r="Z282" s="105"/>
      <c r="AA282" s="105" t="s">
        <v>36</v>
      </c>
      <c r="AB282" s="110" t="s">
        <v>1323</v>
      </c>
      <c r="AC282" s="50">
        <v>375</v>
      </c>
      <c r="AD282" s="50">
        <v>360</v>
      </c>
      <c r="AE282" s="50">
        <v>306</v>
      </c>
      <c r="AF282" s="111">
        <f t="shared" si="20"/>
        <v>0</v>
      </c>
      <c r="AG282" s="111" t="str">
        <f t="shared" si="21"/>
        <v>眼睑病变切除费</v>
      </c>
      <c r="AH282" s="111">
        <f t="shared" si="22"/>
        <v>375</v>
      </c>
      <c r="AI282" s="111">
        <f t="shared" si="23"/>
        <v>360</v>
      </c>
      <c r="AJ282" s="111">
        <f t="shared" si="24"/>
        <v>306</v>
      </c>
    </row>
    <row r="283" s="52" customFormat="1" ht="29" customHeight="1" spans="1:36">
      <c r="A283" s="112"/>
      <c r="B283" s="112"/>
      <c r="C283" s="66" t="s">
        <v>1317</v>
      </c>
      <c r="D283" s="65"/>
      <c r="E283" s="77"/>
      <c r="F283" s="77"/>
      <c r="G283" s="112"/>
      <c r="H283" s="48"/>
      <c r="I283" s="48"/>
      <c r="J283" s="130"/>
      <c r="K283" s="130"/>
      <c r="L283" s="130"/>
      <c r="M283" s="130"/>
      <c r="N283" s="93">
        <v>375</v>
      </c>
      <c r="O283" s="93">
        <v>360</v>
      </c>
      <c r="P283" s="93">
        <v>306</v>
      </c>
      <c r="Q283" s="112"/>
      <c r="R283" s="112"/>
      <c r="S283" s="112"/>
      <c r="T283" s="131"/>
      <c r="U283" s="129"/>
      <c r="V283" s="105" t="s">
        <v>1324</v>
      </c>
      <c r="W283" s="105">
        <v>33040100101</v>
      </c>
      <c r="X283" s="106" t="s">
        <v>1325</v>
      </c>
      <c r="Y283" s="105"/>
      <c r="Z283" s="105"/>
      <c r="AA283" s="105" t="s">
        <v>36</v>
      </c>
      <c r="AB283" s="110" t="s">
        <v>1326</v>
      </c>
      <c r="AC283" s="50">
        <v>450</v>
      </c>
      <c r="AD283" s="50">
        <v>432</v>
      </c>
      <c r="AE283" s="50">
        <v>367.2</v>
      </c>
      <c r="AF283" s="111">
        <f t="shared" si="20"/>
        <v>0</v>
      </c>
      <c r="AG283" s="111" t="str">
        <f t="shared" si="21"/>
        <v>眼睑病变切除费</v>
      </c>
      <c r="AH283" s="111">
        <f t="shared" si="22"/>
        <v>375</v>
      </c>
      <c r="AI283" s="111">
        <f t="shared" si="23"/>
        <v>360</v>
      </c>
      <c r="AJ283" s="111">
        <f t="shared" si="24"/>
        <v>306</v>
      </c>
    </row>
    <row r="284" s="52" customFormat="1" ht="27" customHeight="1" spans="1:36">
      <c r="A284" s="112" t="s">
        <v>95</v>
      </c>
      <c r="B284" s="112" t="s">
        <v>1316</v>
      </c>
      <c r="C284" s="66" t="s">
        <v>1327</v>
      </c>
      <c r="D284" s="126"/>
      <c r="E284" s="129"/>
      <c r="F284" s="129"/>
      <c r="G284" s="112" t="s">
        <v>36</v>
      </c>
      <c r="H284" s="128">
        <v>100</v>
      </c>
      <c r="I284" s="128">
        <v>90</v>
      </c>
      <c r="J284" s="131">
        <v>100</v>
      </c>
      <c r="K284" s="131">
        <v>96</v>
      </c>
      <c r="L284" s="131">
        <v>81.6</v>
      </c>
      <c r="M284" s="131"/>
      <c r="N284" s="93">
        <v>100</v>
      </c>
      <c r="O284" s="95">
        <v>90</v>
      </c>
      <c r="P284" s="95">
        <v>77</v>
      </c>
      <c r="Q284" s="112" t="s">
        <v>37</v>
      </c>
      <c r="R284" s="112"/>
      <c r="S284" s="112"/>
      <c r="T284" s="131"/>
      <c r="U284" s="77" t="s">
        <v>1328</v>
      </c>
      <c r="V284" s="105" t="s">
        <v>1329</v>
      </c>
      <c r="W284" s="105">
        <v>330403006</v>
      </c>
      <c r="X284" s="106" t="s">
        <v>1330</v>
      </c>
      <c r="Y284" s="105" t="s">
        <v>1331</v>
      </c>
      <c r="Z284" s="105"/>
      <c r="AA284" s="105" t="s">
        <v>36</v>
      </c>
      <c r="AB284" s="110" t="s">
        <v>35</v>
      </c>
      <c r="AC284" s="50">
        <v>100</v>
      </c>
      <c r="AD284" s="50">
        <v>96</v>
      </c>
      <c r="AE284" s="50">
        <v>81.6</v>
      </c>
      <c r="AF284" s="111">
        <f t="shared" si="20"/>
        <v>0</v>
      </c>
      <c r="AG284" s="111" t="str">
        <f t="shared" si="21"/>
        <v>眼睑病变切除费（麦粒肿切除术）</v>
      </c>
      <c r="AH284" s="111">
        <f t="shared" si="22"/>
        <v>100</v>
      </c>
      <c r="AI284" s="111">
        <f t="shared" si="23"/>
        <v>90</v>
      </c>
      <c r="AJ284" s="111">
        <f t="shared" si="24"/>
        <v>77</v>
      </c>
    </row>
    <row r="285" s="52" customFormat="1" ht="27" customHeight="1" spans="1:36">
      <c r="A285" s="112"/>
      <c r="B285" s="112"/>
      <c r="C285" s="66" t="s">
        <v>1327</v>
      </c>
      <c r="D285" s="126"/>
      <c r="E285" s="129"/>
      <c r="F285" s="129"/>
      <c r="G285" s="112"/>
      <c r="H285" s="48"/>
      <c r="I285" s="48"/>
      <c r="J285" s="131"/>
      <c r="K285" s="131"/>
      <c r="L285" s="131"/>
      <c r="M285" s="131"/>
      <c r="N285" s="93">
        <v>100</v>
      </c>
      <c r="O285" s="95">
        <v>90</v>
      </c>
      <c r="P285" s="95">
        <v>77</v>
      </c>
      <c r="Q285" s="112"/>
      <c r="R285" s="112"/>
      <c r="S285" s="112"/>
      <c r="T285" s="131"/>
      <c r="U285" s="77"/>
      <c r="V285" s="105" t="s">
        <v>1332</v>
      </c>
      <c r="W285" s="105">
        <v>33040300601</v>
      </c>
      <c r="X285" s="106" t="s">
        <v>1333</v>
      </c>
      <c r="Y285" s="105"/>
      <c r="Z285" s="105"/>
      <c r="AA285" s="105" t="s">
        <v>36</v>
      </c>
      <c r="AB285" s="110" t="s">
        <v>35</v>
      </c>
      <c r="AC285" s="50">
        <v>130</v>
      </c>
      <c r="AD285" s="50">
        <v>125</v>
      </c>
      <c r="AE285" s="50">
        <v>105</v>
      </c>
      <c r="AF285" s="111">
        <f t="shared" si="20"/>
        <v>0</v>
      </c>
      <c r="AG285" s="111" t="str">
        <f t="shared" si="21"/>
        <v>眼睑病变切除费（麦粒肿切除术）</v>
      </c>
      <c r="AH285" s="111">
        <f t="shared" si="22"/>
        <v>100</v>
      </c>
      <c r="AI285" s="111">
        <f t="shared" si="23"/>
        <v>90</v>
      </c>
      <c r="AJ285" s="111">
        <f t="shared" si="24"/>
        <v>77</v>
      </c>
    </row>
    <row r="286" s="52" customFormat="1" ht="27" customHeight="1" spans="1:36">
      <c r="A286" s="112" t="s">
        <v>95</v>
      </c>
      <c r="B286" s="112" t="s">
        <v>1334</v>
      </c>
      <c r="C286" s="66" t="s">
        <v>1335</v>
      </c>
      <c r="D286" s="126"/>
      <c r="E286" s="129"/>
      <c r="F286" s="129" t="s">
        <v>35</v>
      </c>
      <c r="G286" s="112" t="s">
        <v>472</v>
      </c>
      <c r="H286" s="128">
        <v>122</v>
      </c>
      <c r="I286" s="128">
        <v>110</v>
      </c>
      <c r="J286" s="131">
        <v>115</v>
      </c>
      <c r="K286" s="131">
        <v>110</v>
      </c>
      <c r="L286" s="131">
        <v>94</v>
      </c>
      <c r="M286" s="131"/>
      <c r="N286" s="93">
        <v>115</v>
      </c>
      <c r="O286" s="93">
        <v>110</v>
      </c>
      <c r="P286" s="93">
        <v>92</v>
      </c>
      <c r="Q286" s="112" t="s">
        <v>37</v>
      </c>
      <c r="R286" s="112" t="s">
        <v>35</v>
      </c>
      <c r="S286" s="112" t="s">
        <v>35</v>
      </c>
      <c r="T286" s="131"/>
      <c r="U286" s="129" t="s">
        <v>186</v>
      </c>
      <c r="V286" s="105" t="s">
        <v>1336</v>
      </c>
      <c r="W286" s="105">
        <v>33040100102</v>
      </c>
      <c r="X286" s="106" t="s">
        <v>1337</v>
      </c>
      <c r="Y286" s="105"/>
      <c r="Z286" s="105"/>
      <c r="AA286" s="105" t="s">
        <v>36</v>
      </c>
      <c r="AB286" s="110" t="s">
        <v>35</v>
      </c>
      <c r="AC286" s="50">
        <v>490</v>
      </c>
      <c r="AD286" s="50">
        <v>470</v>
      </c>
      <c r="AE286" s="50">
        <v>400</v>
      </c>
      <c r="AF286" s="111">
        <f t="shared" si="20"/>
        <v>8</v>
      </c>
      <c r="AG286" s="111" t="str">
        <f t="shared" si="21"/>
        <v>眼睑病变切除费</v>
      </c>
      <c r="AH286" s="111">
        <f t="shared" si="22"/>
        <v>490</v>
      </c>
      <c r="AI286" s="111">
        <f t="shared" si="23"/>
        <v>470</v>
      </c>
      <c r="AJ286" s="111">
        <f t="shared" si="24"/>
        <v>398</v>
      </c>
    </row>
    <row r="287" s="52" customFormat="1" ht="25.5" spans="1:36">
      <c r="A287" s="112"/>
      <c r="B287" s="112"/>
      <c r="C287" s="66" t="s">
        <v>1335</v>
      </c>
      <c r="D287" s="126"/>
      <c r="E287" s="129"/>
      <c r="F287" s="129"/>
      <c r="G287" s="112"/>
      <c r="H287" s="48"/>
      <c r="I287" s="48"/>
      <c r="J287" s="131"/>
      <c r="K287" s="131"/>
      <c r="L287" s="131"/>
      <c r="M287" s="131"/>
      <c r="N287" s="93">
        <v>115</v>
      </c>
      <c r="O287" s="93">
        <v>110</v>
      </c>
      <c r="P287" s="93">
        <v>92</v>
      </c>
      <c r="Q287" s="112"/>
      <c r="R287" s="112"/>
      <c r="S287" s="112"/>
      <c r="T287" s="131"/>
      <c r="U287" s="129"/>
      <c r="V287" s="105" t="s">
        <v>1338</v>
      </c>
      <c r="W287" s="105">
        <v>33040100103</v>
      </c>
      <c r="X287" s="106" t="s">
        <v>1339</v>
      </c>
      <c r="Y287" s="105"/>
      <c r="Z287" s="105"/>
      <c r="AA287" s="105" t="s">
        <v>36</v>
      </c>
      <c r="AB287" s="110" t="s">
        <v>1326</v>
      </c>
      <c r="AC287" s="50">
        <v>585</v>
      </c>
      <c r="AD287" s="50">
        <v>560</v>
      </c>
      <c r="AE287" s="50">
        <v>475</v>
      </c>
      <c r="AF287" s="111">
        <f t="shared" si="20"/>
        <v>8</v>
      </c>
      <c r="AG287" s="111" t="str">
        <f t="shared" si="21"/>
        <v>眼睑病变切除费</v>
      </c>
      <c r="AH287" s="111">
        <f t="shared" si="22"/>
        <v>490</v>
      </c>
      <c r="AI287" s="111">
        <f t="shared" si="23"/>
        <v>470</v>
      </c>
      <c r="AJ287" s="111">
        <f t="shared" si="24"/>
        <v>398</v>
      </c>
    </row>
    <row r="288" s="52" customFormat="1" ht="51" spans="1:36">
      <c r="A288" s="112">
        <v>89</v>
      </c>
      <c r="B288" s="112" t="s">
        <v>1340</v>
      </c>
      <c r="C288" s="64" t="s">
        <v>1341</v>
      </c>
      <c r="D288" s="65" t="s">
        <v>1342</v>
      </c>
      <c r="E288" s="77" t="s">
        <v>1319</v>
      </c>
      <c r="F288" s="77" t="s">
        <v>35</v>
      </c>
      <c r="G288" s="64" t="s">
        <v>110</v>
      </c>
      <c r="H288" s="78">
        <v>2880</v>
      </c>
      <c r="I288" s="78">
        <v>2592</v>
      </c>
      <c r="J288" s="83">
        <v>2480</v>
      </c>
      <c r="K288" s="83">
        <v>2230</v>
      </c>
      <c r="L288" s="83">
        <v>1900</v>
      </c>
      <c r="M288" s="83"/>
      <c r="N288" s="89">
        <v>2600</v>
      </c>
      <c r="O288" s="89">
        <v>2350</v>
      </c>
      <c r="P288" s="90">
        <v>2000</v>
      </c>
      <c r="Q288" s="64" t="s">
        <v>37</v>
      </c>
      <c r="R288" s="64" t="s">
        <v>35</v>
      </c>
      <c r="S288" s="64" t="s">
        <v>35</v>
      </c>
      <c r="T288" s="83" t="s">
        <v>333</v>
      </c>
      <c r="U288" s="104" t="s">
        <v>1343</v>
      </c>
      <c r="V288" s="105" t="s">
        <v>1344</v>
      </c>
      <c r="W288" s="105">
        <v>330409023</v>
      </c>
      <c r="X288" s="106" t="s">
        <v>1345</v>
      </c>
      <c r="Y288" s="105"/>
      <c r="Z288" s="105" t="s">
        <v>884</v>
      </c>
      <c r="AA288" s="105" t="s">
        <v>110</v>
      </c>
      <c r="AB288" s="110" t="s">
        <v>35</v>
      </c>
      <c r="AC288" s="50">
        <v>2480</v>
      </c>
      <c r="AD288" s="50">
        <v>2230</v>
      </c>
      <c r="AE288" s="50">
        <v>1900</v>
      </c>
      <c r="AF288" s="111">
        <f t="shared" si="20"/>
        <v>0</v>
      </c>
      <c r="AG288" s="111" t="str">
        <f t="shared" si="21"/>
        <v>眼表重建费</v>
      </c>
      <c r="AH288" s="111">
        <f t="shared" si="22"/>
        <v>2600</v>
      </c>
      <c r="AI288" s="111">
        <f t="shared" si="23"/>
        <v>2350</v>
      </c>
      <c r="AJ288" s="111">
        <f t="shared" si="24"/>
        <v>2000</v>
      </c>
    </row>
    <row r="289" s="52" customFormat="1" ht="27" customHeight="1" spans="1:36">
      <c r="A289" s="112" t="s">
        <v>95</v>
      </c>
      <c r="B289" s="112" t="s">
        <v>1346</v>
      </c>
      <c r="C289" s="64" t="s">
        <v>1347</v>
      </c>
      <c r="D289" s="126"/>
      <c r="E289" s="129"/>
      <c r="F289" s="129" t="s">
        <v>35</v>
      </c>
      <c r="G289" s="112" t="s">
        <v>110</v>
      </c>
      <c r="H289" s="128">
        <v>864</v>
      </c>
      <c r="I289" s="128">
        <v>778</v>
      </c>
      <c r="J289" s="131">
        <v>745</v>
      </c>
      <c r="K289" s="131"/>
      <c r="L289" s="131"/>
      <c r="M289" s="131"/>
      <c r="N289" s="50">
        <v>780</v>
      </c>
      <c r="O289" s="50">
        <v>705</v>
      </c>
      <c r="P289" s="50">
        <v>600</v>
      </c>
      <c r="Q289" s="112" t="s">
        <v>37</v>
      </c>
      <c r="R289" s="112" t="s">
        <v>35</v>
      </c>
      <c r="S289" s="112" t="s">
        <v>35</v>
      </c>
      <c r="T289" s="131"/>
      <c r="U289" s="129" t="s">
        <v>186</v>
      </c>
      <c r="V289" s="105" t="s">
        <v>1348</v>
      </c>
      <c r="W289" s="105">
        <v>33040902301</v>
      </c>
      <c r="X289" s="106" t="s">
        <v>1349</v>
      </c>
      <c r="Y289" s="105"/>
      <c r="Z289" s="105"/>
      <c r="AA289" s="105" t="s">
        <v>110</v>
      </c>
      <c r="AB289" s="110" t="s">
        <v>35</v>
      </c>
      <c r="AC289" s="50">
        <v>3225</v>
      </c>
      <c r="AD289" s="50">
        <v>2900</v>
      </c>
      <c r="AE289" s="50">
        <v>2465</v>
      </c>
      <c r="AF289" s="111">
        <f t="shared" si="20"/>
        <v>6</v>
      </c>
      <c r="AG289" s="111" t="str">
        <f t="shared" si="21"/>
        <v>眼表重建费</v>
      </c>
      <c r="AH289" s="111">
        <f t="shared" si="22"/>
        <v>3380</v>
      </c>
      <c r="AI289" s="111">
        <f t="shared" si="23"/>
        <v>3055</v>
      </c>
      <c r="AJ289" s="111">
        <f t="shared" si="24"/>
        <v>2600</v>
      </c>
    </row>
    <row r="290" s="57" customFormat="1" ht="27" customHeight="1" spans="1:36">
      <c r="A290" s="112" t="s">
        <v>95</v>
      </c>
      <c r="B290" s="112" t="s">
        <v>1340</v>
      </c>
      <c r="C290" s="127" t="s">
        <v>1350</v>
      </c>
      <c r="D290" s="119"/>
      <c r="E290" s="110"/>
      <c r="F290" s="110"/>
      <c r="G290" s="105" t="s">
        <v>36</v>
      </c>
      <c r="H290" s="17">
        <v>480</v>
      </c>
      <c r="I290" s="17">
        <v>432</v>
      </c>
      <c r="J290" s="132">
        <v>420</v>
      </c>
      <c r="K290" s="132">
        <v>380</v>
      </c>
      <c r="L290" s="132">
        <v>325</v>
      </c>
      <c r="M290" s="132"/>
      <c r="N290" s="133">
        <v>420</v>
      </c>
      <c r="O290" s="133">
        <v>380</v>
      </c>
      <c r="P290" s="134">
        <v>325</v>
      </c>
      <c r="Q290" s="105" t="s">
        <v>37</v>
      </c>
      <c r="R290" s="105"/>
      <c r="S290" s="105"/>
      <c r="T290" s="132"/>
      <c r="U290" s="110" t="s">
        <v>381</v>
      </c>
      <c r="V290" s="105" t="s">
        <v>1351</v>
      </c>
      <c r="W290" s="105">
        <v>330404007</v>
      </c>
      <c r="X290" s="106" t="s">
        <v>1352</v>
      </c>
      <c r="Y290" s="105" t="s">
        <v>1353</v>
      </c>
      <c r="Z290" s="105"/>
      <c r="AA290" s="105" t="s">
        <v>36</v>
      </c>
      <c r="AB290" s="110" t="s">
        <v>1354</v>
      </c>
      <c r="AC290" s="50">
        <v>420</v>
      </c>
      <c r="AD290" s="50">
        <v>380</v>
      </c>
      <c r="AE290" s="50">
        <v>325</v>
      </c>
      <c r="AF290" s="111">
        <f t="shared" si="20"/>
        <v>0</v>
      </c>
      <c r="AG290" s="111" t="str">
        <f t="shared" si="21"/>
        <v>眼表重建费-翼状胬肉切除术</v>
      </c>
      <c r="AH290" s="111">
        <f t="shared" si="22"/>
        <v>420</v>
      </c>
      <c r="AI290" s="111">
        <f t="shared" si="23"/>
        <v>380</v>
      </c>
      <c r="AJ290" s="111">
        <f t="shared" si="24"/>
        <v>325</v>
      </c>
    </row>
    <row r="291" s="57" customFormat="1" ht="25.5" spans="1:36">
      <c r="A291" s="112"/>
      <c r="B291" s="112"/>
      <c r="C291" s="127" t="s">
        <v>1350</v>
      </c>
      <c r="D291" s="119"/>
      <c r="E291" s="110"/>
      <c r="F291" s="110"/>
      <c r="G291" s="105"/>
      <c r="H291" s="17"/>
      <c r="I291" s="17"/>
      <c r="J291" s="132"/>
      <c r="K291" s="132"/>
      <c r="L291" s="132"/>
      <c r="M291" s="132"/>
      <c r="N291" s="133">
        <v>420</v>
      </c>
      <c r="O291" s="133">
        <v>380</v>
      </c>
      <c r="P291" s="134">
        <v>325</v>
      </c>
      <c r="Q291" s="105"/>
      <c r="R291" s="105"/>
      <c r="S291" s="105"/>
      <c r="T291" s="132"/>
      <c r="U291" s="110"/>
      <c r="V291" s="105" t="s">
        <v>1355</v>
      </c>
      <c r="W291" s="105">
        <v>33040400702</v>
      </c>
      <c r="X291" s="106" t="s">
        <v>1356</v>
      </c>
      <c r="Y291" s="105"/>
      <c r="Z291" s="105"/>
      <c r="AA291" s="105" t="s">
        <v>36</v>
      </c>
      <c r="AB291" s="110" t="s">
        <v>35</v>
      </c>
      <c r="AC291" s="50">
        <v>545</v>
      </c>
      <c r="AD291" s="50">
        <v>495</v>
      </c>
      <c r="AE291" s="50">
        <v>420</v>
      </c>
      <c r="AF291" s="111">
        <f t="shared" si="20"/>
        <v>0</v>
      </c>
      <c r="AG291" s="111" t="str">
        <f t="shared" si="21"/>
        <v>眼表重建费-翼状胬肉切除术</v>
      </c>
      <c r="AH291" s="111">
        <f t="shared" si="22"/>
        <v>420</v>
      </c>
      <c r="AI291" s="111">
        <f t="shared" si="23"/>
        <v>380</v>
      </c>
      <c r="AJ291" s="111">
        <f t="shared" si="24"/>
        <v>325</v>
      </c>
    </row>
    <row r="292" s="57" customFormat="1" ht="25.5" spans="1:36">
      <c r="A292" s="112" t="s">
        <v>95</v>
      </c>
      <c r="B292" s="112" t="s">
        <v>1340</v>
      </c>
      <c r="C292" s="127" t="s">
        <v>1357</v>
      </c>
      <c r="D292" s="119"/>
      <c r="E292" s="110"/>
      <c r="F292" s="110"/>
      <c r="G292" s="105" t="s">
        <v>36</v>
      </c>
      <c r="H292" s="17">
        <v>800</v>
      </c>
      <c r="I292" s="17">
        <v>720</v>
      </c>
      <c r="J292" s="132">
        <v>650</v>
      </c>
      <c r="K292" s="132">
        <v>585</v>
      </c>
      <c r="L292" s="132">
        <v>500</v>
      </c>
      <c r="M292" s="132"/>
      <c r="N292" s="135">
        <v>720</v>
      </c>
      <c r="O292" s="135">
        <v>650</v>
      </c>
      <c r="P292" s="136">
        <v>550</v>
      </c>
      <c r="Q292" s="105" t="s">
        <v>37</v>
      </c>
      <c r="R292" s="105"/>
      <c r="S292" s="105"/>
      <c r="T292" s="132"/>
      <c r="U292" s="137" t="s">
        <v>1343</v>
      </c>
      <c r="V292" s="105" t="s">
        <v>1358</v>
      </c>
      <c r="W292" s="105">
        <v>33040400701</v>
      </c>
      <c r="X292" s="106" t="s">
        <v>1359</v>
      </c>
      <c r="Y292" s="105"/>
      <c r="Z292" s="105"/>
      <c r="AA292" s="105" t="s">
        <v>36</v>
      </c>
      <c r="AB292" s="110" t="s">
        <v>1360</v>
      </c>
      <c r="AC292" s="50">
        <v>650</v>
      </c>
      <c r="AD292" s="50">
        <v>585</v>
      </c>
      <c r="AE292" s="50">
        <v>500</v>
      </c>
      <c r="AF292" s="111">
        <f t="shared" si="20"/>
        <v>0</v>
      </c>
      <c r="AG292" s="111" t="str">
        <f t="shared" si="21"/>
        <v>眼表重建费-翼状胬肉切除术（干细胞移植）</v>
      </c>
      <c r="AH292" s="111">
        <f t="shared" si="22"/>
        <v>720</v>
      </c>
      <c r="AI292" s="111">
        <f t="shared" si="23"/>
        <v>650</v>
      </c>
      <c r="AJ292" s="111">
        <f t="shared" si="24"/>
        <v>550</v>
      </c>
    </row>
    <row r="293" s="57" customFormat="1" ht="25" customHeight="1" spans="1:36">
      <c r="A293" s="112"/>
      <c r="B293" s="112"/>
      <c r="C293" s="127" t="s">
        <v>1357</v>
      </c>
      <c r="D293" s="119"/>
      <c r="E293" s="110"/>
      <c r="F293" s="110"/>
      <c r="G293" s="105"/>
      <c r="H293" s="17"/>
      <c r="I293" s="17"/>
      <c r="J293" s="132"/>
      <c r="K293" s="132"/>
      <c r="L293" s="132"/>
      <c r="M293" s="132"/>
      <c r="N293" s="135">
        <v>720</v>
      </c>
      <c r="O293" s="135">
        <v>650</v>
      </c>
      <c r="P293" s="136">
        <v>550</v>
      </c>
      <c r="Q293" s="105"/>
      <c r="R293" s="105"/>
      <c r="S293" s="105"/>
      <c r="T293" s="132"/>
      <c r="U293" s="137"/>
      <c r="V293" s="105" t="s">
        <v>1361</v>
      </c>
      <c r="W293" s="105">
        <v>33040400703</v>
      </c>
      <c r="X293" s="106" t="s">
        <v>1362</v>
      </c>
      <c r="Y293" s="105"/>
      <c r="Z293" s="105"/>
      <c r="AA293" s="105" t="s">
        <v>36</v>
      </c>
      <c r="AB293" s="110" t="s">
        <v>35</v>
      </c>
      <c r="AC293" s="50">
        <v>845</v>
      </c>
      <c r="AD293" s="50">
        <v>760</v>
      </c>
      <c r="AE293" s="50">
        <v>645</v>
      </c>
      <c r="AF293" s="111">
        <f t="shared" si="20"/>
        <v>0</v>
      </c>
      <c r="AG293" s="111" t="str">
        <f t="shared" si="21"/>
        <v>眼表重建费-翼状胬肉切除术（干细胞移植）</v>
      </c>
      <c r="AH293" s="111">
        <f t="shared" si="22"/>
        <v>720</v>
      </c>
      <c r="AI293" s="111">
        <f t="shared" si="23"/>
        <v>650</v>
      </c>
      <c r="AJ293" s="111">
        <f t="shared" si="24"/>
        <v>550</v>
      </c>
    </row>
    <row r="294" s="52" customFormat="1" ht="51" spans="1:36">
      <c r="A294" s="112">
        <v>90</v>
      </c>
      <c r="B294" s="112" t="s">
        <v>1363</v>
      </c>
      <c r="C294" s="64" t="s">
        <v>1364</v>
      </c>
      <c r="D294" s="65" t="s">
        <v>1365</v>
      </c>
      <c r="E294" s="77" t="s">
        <v>1366</v>
      </c>
      <c r="F294" s="77"/>
      <c r="G294" s="64" t="s">
        <v>110</v>
      </c>
      <c r="H294" s="78">
        <v>1150</v>
      </c>
      <c r="I294" s="78">
        <v>1035</v>
      </c>
      <c r="J294" s="83">
        <v>1010</v>
      </c>
      <c r="K294" s="83">
        <v>910</v>
      </c>
      <c r="L294" s="83">
        <v>775</v>
      </c>
      <c r="M294" s="83"/>
      <c r="N294" s="41">
        <v>1010</v>
      </c>
      <c r="O294" s="41">
        <v>910</v>
      </c>
      <c r="P294" s="50">
        <v>775</v>
      </c>
      <c r="Q294" s="64" t="s">
        <v>37</v>
      </c>
      <c r="R294" s="64" t="s">
        <v>35</v>
      </c>
      <c r="S294" s="64" t="s">
        <v>35</v>
      </c>
      <c r="T294" s="83" t="s">
        <v>381</v>
      </c>
      <c r="U294" s="77" t="s">
        <v>381</v>
      </c>
      <c r="V294" s="105" t="s">
        <v>1367</v>
      </c>
      <c r="W294" s="105">
        <v>330404011</v>
      </c>
      <c r="X294" s="106" t="s">
        <v>1368</v>
      </c>
      <c r="Y294" s="105"/>
      <c r="Z294" s="105" t="s">
        <v>884</v>
      </c>
      <c r="AA294" s="105" t="s">
        <v>36</v>
      </c>
      <c r="AB294" s="110" t="s">
        <v>35</v>
      </c>
      <c r="AC294" s="50">
        <v>1010</v>
      </c>
      <c r="AD294" s="50">
        <v>910</v>
      </c>
      <c r="AE294" s="50">
        <v>775</v>
      </c>
      <c r="AF294" s="111">
        <f t="shared" si="20"/>
        <v>0</v>
      </c>
      <c r="AG294" s="111" t="str">
        <f t="shared" si="21"/>
        <v>羊膜置入费</v>
      </c>
      <c r="AH294" s="111">
        <f t="shared" si="22"/>
        <v>1010</v>
      </c>
      <c r="AI294" s="111">
        <f t="shared" si="23"/>
        <v>910</v>
      </c>
      <c r="AJ294" s="111">
        <f t="shared" si="24"/>
        <v>775</v>
      </c>
    </row>
    <row r="295" s="55" customFormat="1" ht="25.5" spans="1:36">
      <c r="A295" s="112" t="s">
        <v>95</v>
      </c>
      <c r="B295" s="112" t="s">
        <v>1369</v>
      </c>
      <c r="C295" s="64" t="s">
        <v>1370</v>
      </c>
      <c r="D295" s="65"/>
      <c r="E295" s="77"/>
      <c r="F295" s="77" t="s">
        <v>35</v>
      </c>
      <c r="G295" s="64" t="s">
        <v>110</v>
      </c>
      <c r="H295" s="78">
        <v>345</v>
      </c>
      <c r="I295" s="78">
        <v>311</v>
      </c>
      <c r="J295" s="83">
        <v>305</v>
      </c>
      <c r="K295" s="83">
        <v>275</v>
      </c>
      <c r="L295" s="83">
        <v>230</v>
      </c>
      <c r="M295" s="83"/>
      <c r="N295" s="41">
        <v>305</v>
      </c>
      <c r="O295" s="41">
        <v>275</v>
      </c>
      <c r="P295" s="50">
        <v>230</v>
      </c>
      <c r="Q295" s="64" t="s">
        <v>37</v>
      </c>
      <c r="R295" s="64" t="s">
        <v>35</v>
      </c>
      <c r="S295" s="64" t="s">
        <v>35</v>
      </c>
      <c r="T295" s="83"/>
      <c r="U295" s="77" t="s">
        <v>186</v>
      </c>
      <c r="V295" s="105" t="s">
        <v>1371</v>
      </c>
      <c r="W295" s="105">
        <v>33040401101</v>
      </c>
      <c r="X295" s="106" t="s">
        <v>1372</v>
      </c>
      <c r="Y295" s="105"/>
      <c r="Z295" s="105"/>
      <c r="AA295" s="105" t="s">
        <v>36</v>
      </c>
      <c r="AB295" s="110" t="s">
        <v>35</v>
      </c>
      <c r="AC295" s="50">
        <v>1315</v>
      </c>
      <c r="AD295" s="50">
        <v>1185</v>
      </c>
      <c r="AE295" s="50">
        <v>1005</v>
      </c>
      <c r="AF295" s="111">
        <f t="shared" si="20"/>
        <v>6</v>
      </c>
      <c r="AG295" s="111" t="str">
        <f t="shared" si="21"/>
        <v>羊膜置入费</v>
      </c>
      <c r="AH295" s="111">
        <f t="shared" si="22"/>
        <v>1315</v>
      </c>
      <c r="AI295" s="111">
        <f t="shared" si="23"/>
        <v>1185</v>
      </c>
      <c r="AJ295" s="111">
        <f t="shared" si="24"/>
        <v>1005</v>
      </c>
    </row>
    <row r="296" s="52" customFormat="1" ht="25.5" spans="1:36">
      <c r="A296" s="112">
        <v>92</v>
      </c>
      <c r="B296" s="112" t="s">
        <v>1379</v>
      </c>
      <c r="C296" s="127" t="s">
        <v>1380</v>
      </c>
      <c r="D296" s="119" t="s">
        <v>1381</v>
      </c>
      <c r="E296" s="110" t="s">
        <v>1382</v>
      </c>
      <c r="F296" s="110" t="s">
        <v>35</v>
      </c>
      <c r="G296" s="105" t="s">
        <v>110</v>
      </c>
      <c r="H296" s="17">
        <v>22</v>
      </c>
      <c r="I296" s="17">
        <v>20</v>
      </c>
      <c r="J296" s="132">
        <v>21</v>
      </c>
      <c r="K296" s="132">
        <v>20</v>
      </c>
      <c r="L296" s="132">
        <v>17</v>
      </c>
      <c r="M296" s="132"/>
      <c r="N296" s="133">
        <v>21</v>
      </c>
      <c r="O296" s="133">
        <v>20</v>
      </c>
      <c r="P296" s="134">
        <v>17</v>
      </c>
      <c r="Q296" s="105" t="s">
        <v>37</v>
      </c>
      <c r="R296" s="105" t="s">
        <v>35</v>
      </c>
      <c r="S296" s="105" t="s">
        <v>35</v>
      </c>
      <c r="T296" s="132" t="s">
        <v>381</v>
      </c>
      <c r="U296" s="110" t="s">
        <v>381</v>
      </c>
      <c r="V296" s="105" t="s">
        <v>1383</v>
      </c>
      <c r="W296" s="105">
        <v>310300102</v>
      </c>
      <c r="X296" s="106" t="s">
        <v>1384</v>
      </c>
      <c r="Y296" s="105"/>
      <c r="Z296" s="105"/>
      <c r="AA296" s="105" t="s">
        <v>36</v>
      </c>
      <c r="AB296" s="110" t="s">
        <v>35</v>
      </c>
      <c r="AC296" s="50">
        <v>21</v>
      </c>
      <c r="AD296" s="50">
        <v>20</v>
      </c>
      <c r="AE296" s="50">
        <v>17</v>
      </c>
      <c r="AF296" s="111">
        <f t="shared" si="20"/>
        <v>0</v>
      </c>
      <c r="AG296" s="111" t="str">
        <f t="shared" si="21"/>
        <v>浅层角膜损伤修复费</v>
      </c>
      <c r="AH296" s="111">
        <f t="shared" si="22"/>
        <v>21</v>
      </c>
      <c r="AI296" s="111">
        <f t="shared" si="23"/>
        <v>20</v>
      </c>
      <c r="AJ296" s="111">
        <f t="shared" si="24"/>
        <v>17</v>
      </c>
    </row>
    <row r="297" s="52" customFormat="1" ht="25.5" spans="1:36">
      <c r="A297" s="112"/>
      <c r="B297" s="112"/>
      <c r="C297" s="127" t="s">
        <v>1380</v>
      </c>
      <c r="D297" s="119"/>
      <c r="E297" s="110"/>
      <c r="F297" s="110"/>
      <c r="G297" s="105"/>
      <c r="H297" s="17"/>
      <c r="I297" s="17"/>
      <c r="J297" s="132"/>
      <c r="K297" s="132"/>
      <c r="L297" s="132"/>
      <c r="M297" s="132"/>
      <c r="N297" s="133">
        <v>21</v>
      </c>
      <c r="O297" s="133">
        <v>20</v>
      </c>
      <c r="P297" s="134">
        <v>17</v>
      </c>
      <c r="Q297" s="105"/>
      <c r="R297" s="105"/>
      <c r="S297" s="105"/>
      <c r="T297" s="132"/>
      <c r="U297" s="110"/>
      <c r="V297" s="105" t="s">
        <v>1385</v>
      </c>
      <c r="W297" s="105">
        <v>310300103</v>
      </c>
      <c r="X297" s="106" t="s">
        <v>1386</v>
      </c>
      <c r="Y297" s="105"/>
      <c r="Z297" s="105"/>
      <c r="AA297" s="105" t="s">
        <v>36</v>
      </c>
      <c r="AB297" s="110" t="s">
        <v>35</v>
      </c>
      <c r="AC297" s="50">
        <v>21</v>
      </c>
      <c r="AD297" s="50">
        <v>20</v>
      </c>
      <c r="AE297" s="50">
        <v>17</v>
      </c>
      <c r="AF297" s="111">
        <f t="shared" si="20"/>
        <v>0</v>
      </c>
      <c r="AG297" s="111" t="str">
        <f t="shared" si="21"/>
        <v>浅层角膜损伤修复费</v>
      </c>
      <c r="AH297" s="111">
        <f t="shared" si="22"/>
        <v>21</v>
      </c>
      <c r="AI297" s="111">
        <f t="shared" si="23"/>
        <v>20</v>
      </c>
      <c r="AJ297" s="111">
        <f t="shared" si="24"/>
        <v>17</v>
      </c>
    </row>
    <row r="298" s="52" customFormat="1" ht="25.5" spans="1:36">
      <c r="A298" s="112"/>
      <c r="B298" s="112"/>
      <c r="C298" s="64"/>
      <c r="D298" s="65"/>
      <c r="E298" s="77"/>
      <c r="F298" s="77"/>
      <c r="G298" s="64"/>
      <c r="H298" s="42"/>
      <c r="I298" s="42"/>
      <c r="J298" s="83"/>
      <c r="K298" s="83"/>
      <c r="L298" s="83"/>
      <c r="M298" s="83"/>
      <c r="N298" s="41"/>
      <c r="O298" s="41"/>
      <c r="P298" s="50"/>
      <c r="Q298" s="64"/>
      <c r="R298" s="64"/>
      <c r="S298" s="64"/>
      <c r="T298" s="83"/>
      <c r="U298" s="77"/>
      <c r="V298" s="105" t="s">
        <v>1404</v>
      </c>
      <c r="W298" s="105">
        <v>330404002</v>
      </c>
      <c r="X298" s="106" t="s">
        <v>1405</v>
      </c>
      <c r="Y298" s="105"/>
      <c r="Z298" s="105"/>
      <c r="AA298" s="105" t="s">
        <v>36</v>
      </c>
      <c r="AB298" s="110" t="s">
        <v>35</v>
      </c>
      <c r="AC298" s="50">
        <v>0</v>
      </c>
      <c r="AD298" s="50">
        <v>0</v>
      </c>
      <c r="AE298" s="50">
        <v>0</v>
      </c>
      <c r="AF298" s="111">
        <f t="shared" si="20"/>
        <v>0</v>
      </c>
      <c r="AG298" s="111" t="str">
        <f t="shared" si="21"/>
        <v/>
      </c>
      <c r="AH298" s="111">
        <f t="shared" si="22"/>
        <v>0</v>
      </c>
      <c r="AI298" s="111">
        <f t="shared" si="23"/>
        <v>0</v>
      </c>
      <c r="AJ298" s="111">
        <f t="shared" si="24"/>
        <v>0</v>
      </c>
    </row>
    <row r="299" s="52" customFormat="1" ht="35" customHeight="1" spans="1:36">
      <c r="A299" s="112"/>
      <c r="B299" s="112"/>
      <c r="C299" s="64"/>
      <c r="D299" s="65"/>
      <c r="E299" s="77"/>
      <c r="F299" s="77"/>
      <c r="G299" s="64"/>
      <c r="H299" s="42"/>
      <c r="I299" s="42"/>
      <c r="J299" s="83"/>
      <c r="K299" s="83"/>
      <c r="L299" s="83"/>
      <c r="M299" s="83"/>
      <c r="N299" s="41"/>
      <c r="O299" s="41"/>
      <c r="P299" s="50"/>
      <c r="Q299" s="64"/>
      <c r="R299" s="64"/>
      <c r="S299" s="64"/>
      <c r="T299" s="83"/>
      <c r="U299" s="77"/>
      <c r="V299" s="105" t="s">
        <v>1406</v>
      </c>
      <c r="W299" s="105">
        <v>310300078</v>
      </c>
      <c r="X299" s="105" t="s">
        <v>1407</v>
      </c>
      <c r="Y299" s="105" t="s">
        <v>1408</v>
      </c>
      <c r="Z299" s="105"/>
      <c r="AA299" s="105" t="s">
        <v>36</v>
      </c>
      <c r="AB299" s="110" t="s">
        <v>1400</v>
      </c>
      <c r="AC299" s="50">
        <v>0</v>
      </c>
      <c r="AD299" s="50">
        <v>0</v>
      </c>
      <c r="AE299" s="50">
        <v>0</v>
      </c>
      <c r="AF299" s="111">
        <f t="shared" si="20"/>
        <v>0</v>
      </c>
      <c r="AG299" s="111" t="str">
        <f t="shared" si="21"/>
        <v/>
      </c>
      <c r="AH299" s="111">
        <f t="shared" si="22"/>
        <v>0</v>
      </c>
      <c r="AI299" s="111">
        <f t="shared" si="23"/>
        <v>0</v>
      </c>
      <c r="AJ299" s="111">
        <f t="shared" si="24"/>
        <v>0</v>
      </c>
    </row>
    <row r="300" s="52" customFormat="1" ht="76.5" spans="1:36">
      <c r="A300" s="112"/>
      <c r="B300" s="112"/>
      <c r="C300" s="64"/>
      <c r="D300" s="65"/>
      <c r="E300" s="77"/>
      <c r="F300" s="77"/>
      <c r="G300" s="64"/>
      <c r="H300" s="42"/>
      <c r="I300" s="42"/>
      <c r="J300" s="83"/>
      <c r="K300" s="83"/>
      <c r="L300" s="83"/>
      <c r="M300" s="83"/>
      <c r="N300" s="41"/>
      <c r="O300" s="41"/>
      <c r="P300" s="50"/>
      <c r="Q300" s="64"/>
      <c r="R300" s="64"/>
      <c r="S300" s="64"/>
      <c r="T300" s="83"/>
      <c r="U300" s="77"/>
      <c r="V300" s="105" t="s">
        <v>1426</v>
      </c>
      <c r="W300" s="105">
        <v>330404014</v>
      </c>
      <c r="X300" s="106" t="s">
        <v>1427</v>
      </c>
      <c r="Y300" s="105" t="s">
        <v>1428</v>
      </c>
      <c r="Z300" s="105"/>
      <c r="AA300" s="105" t="s">
        <v>110</v>
      </c>
      <c r="AB300" s="110" t="s">
        <v>1429</v>
      </c>
      <c r="AC300" s="50">
        <v>0</v>
      </c>
      <c r="AD300" s="50">
        <v>0</v>
      </c>
      <c r="AE300" s="50">
        <v>0</v>
      </c>
      <c r="AF300" s="111">
        <f t="shared" si="20"/>
        <v>0</v>
      </c>
      <c r="AG300" s="111" t="str">
        <f t="shared" si="21"/>
        <v/>
      </c>
      <c r="AH300" s="111">
        <f t="shared" si="22"/>
        <v>0</v>
      </c>
      <c r="AI300" s="111">
        <f t="shared" si="23"/>
        <v>0</v>
      </c>
      <c r="AJ300" s="111">
        <f t="shared" si="24"/>
        <v>0</v>
      </c>
    </row>
    <row r="301" s="52" customFormat="1" ht="51" spans="1:36">
      <c r="A301" s="112">
        <v>98</v>
      </c>
      <c r="B301" s="112" t="s">
        <v>1440</v>
      </c>
      <c r="C301" s="64" t="s">
        <v>1441</v>
      </c>
      <c r="D301" s="65" t="s">
        <v>1442</v>
      </c>
      <c r="E301" s="77" t="s">
        <v>1443</v>
      </c>
      <c r="F301" s="77" t="s">
        <v>35</v>
      </c>
      <c r="G301" s="64" t="s">
        <v>110</v>
      </c>
      <c r="H301" s="78">
        <v>190</v>
      </c>
      <c r="I301" s="78">
        <v>170</v>
      </c>
      <c r="J301" s="83">
        <v>187.5</v>
      </c>
      <c r="K301" s="83">
        <v>180</v>
      </c>
      <c r="L301" s="83">
        <v>153</v>
      </c>
      <c r="M301" s="83"/>
      <c r="N301" s="89">
        <v>185</v>
      </c>
      <c r="O301" s="89">
        <v>168</v>
      </c>
      <c r="P301" s="90">
        <v>150</v>
      </c>
      <c r="Q301" s="64" t="s">
        <v>621</v>
      </c>
      <c r="R301" s="64" t="s">
        <v>35</v>
      </c>
      <c r="S301" s="64" t="s">
        <v>35</v>
      </c>
      <c r="T301" s="83" t="s">
        <v>131</v>
      </c>
      <c r="U301" s="77" t="s">
        <v>111</v>
      </c>
      <c r="V301" s="105" t="s">
        <v>1444</v>
      </c>
      <c r="W301" s="105">
        <v>330404003</v>
      </c>
      <c r="X301" s="106" t="s">
        <v>1445</v>
      </c>
      <c r="Y301" s="105"/>
      <c r="Z301" s="105"/>
      <c r="AA301" s="105" t="s">
        <v>110</v>
      </c>
      <c r="AB301" s="110" t="s">
        <v>35</v>
      </c>
      <c r="AC301" s="50">
        <v>187.5</v>
      </c>
      <c r="AD301" s="50">
        <v>180</v>
      </c>
      <c r="AE301" s="50">
        <v>153</v>
      </c>
      <c r="AF301" s="111">
        <f t="shared" si="20"/>
        <v>0</v>
      </c>
      <c r="AG301" s="111" t="str">
        <f t="shared" si="21"/>
        <v>角膜加固费</v>
      </c>
      <c r="AH301" s="111">
        <f t="shared" si="22"/>
        <v>185</v>
      </c>
      <c r="AI301" s="111">
        <f t="shared" si="23"/>
        <v>168</v>
      </c>
      <c r="AJ301" s="111">
        <f t="shared" si="24"/>
        <v>150</v>
      </c>
    </row>
    <row r="302" s="52" customFormat="1" ht="25.5" spans="1:36">
      <c r="A302" s="112" t="s">
        <v>95</v>
      </c>
      <c r="B302" s="112" t="s">
        <v>1446</v>
      </c>
      <c r="C302" s="64" t="s">
        <v>1447</v>
      </c>
      <c r="D302" s="65"/>
      <c r="E302" s="77"/>
      <c r="F302" s="77" t="s">
        <v>35</v>
      </c>
      <c r="G302" s="64" t="s">
        <v>110</v>
      </c>
      <c r="H302" s="78">
        <v>57</v>
      </c>
      <c r="I302" s="78">
        <v>51</v>
      </c>
      <c r="J302" s="83">
        <v>57.5</v>
      </c>
      <c r="K302" s="83">
        <v>55</v>
      </c>
      <c r="L302" s="83">
        <v>47</v>
      </c>
      <c r="M302" s="83"/>
      <c r="N302" s="94">
        <v>56</v>
      </c>
      <c r="O302" s="94">
        <v>50</v>
      </c>
      <c r="P302" s="96">
        <v>45</v>
      </c>
      <c r="Q302" s="64" t="s">
        <v>621</v>
      </c>
      <c r="R302" s="64" t="s">
        <v>35</v>
      </c>
      <c r="S302" s="64" t="s">
        <v>35</v>
      </c>
      <c r="T302" s="83"/>
      <c r="U302" s="77" t="s">
        <v>186</v>
      </c>
      <c r="V302" s="105" t="s">
        <v>1448</v>
      </c>
      <c r="W302" s="105">
        <v>33040400301</v>
      </c>
      <c r="X302" s="106" t="s">
        <v>1449</v>
      </c>
      <c r="Y302" s="105"/>
      <c r="Z302" s="105"/>
      <c r="AA302" s="105" t="s">
        <v>110</v>
      </c>
      <c r="AB302" s="110" t="s">
        <v>35</v>
      </c>
      <c r="AC302" s="50">
        <v>245</v>
      </c>
      <c r="AD302" s="50">
        <v>235</v>
      </c>
      <c r="AE302" s="50">
        <v>200</v>
      </c>
      <c r="AF302" s="111">
        <f t="shared" si="20"/>
        <v>6</v>
      </c>
      <c r="AG302" s="111" t="str">
        <f t="shared" si="21"/>
        <v>角膜加固费</v>
      </c>
      <c r="AH302" s="111">
        <f t="shared" si="22"/>
        <v>241</v>
      </c>
      <c r="AI302" s="111">
        <f t="shared" si="23"/>
        <v>218</v>
      </c>
      <c r="AJ302" s="111">
        <f t="shared" si="24"/>
        <v>195</v>
      </c>
    </row>
    <row r="303" s="52" customFormat="1" ht="51" spans="1:36">
      <c r="A303" s="112">
        <v>99</v>
      </c>
      <c r="B303" s="112" t="s">
        <v>1450</v>
      </c>
      <c r="C303" s="64" t="s">
        <v>1451</v>
      </c>
      <c r="D303" s="65" t="s">
        <v>1452</v>
      </c>
      <c r="E303" s="77" t="s">
        <v>1453</v>
      </c>
      <c r="F303" s="77" t="s">
        <v>35</v>
      </c>
      <c r="G303" s="64" t="s">
        <v>110</v>
      </c>
      <c r="H303" s="78">
        <v>405</v>
      </c>
      <c r="I303" s="78">
        <v>365</v>
      </c>
      <c r="J303" s="83">
        <v>375</v>
      </c>
      <c r="K303" s="83">
        <v>360</v>
      </c>
      <c r="L303" s="83">
        <v>306</v>
      </c>
      <c r="M303" s="83"/>
      <c r="N303" s="41">
        <v>375</v>
      </c>
      <c r="O303" s="41">
        <v>360</v>
      </c>
      <c r="P303" s="50">
        <v>306</v>
      </c>
      <c r="Q303" s="64" t="s">
        <v>37</v>
      </c>
      <c r="R303" s="64" t="s">
        <v>35</v>
      </c>
      <c r="S303" s="64" t="s">
        <v>35</v>
      </c>
      <c r="T303" s="83" t="s">
        <v>381</v>
      </c>
      <c r="U303" s="77" t="s">
        <v>381</v>
      </c>
      <c r="V303" s="105" t="s">
        <v>1454</v>
      </c>
      <c r="W303" s="105">
        <v>330404006</v>
      </c>
      <c r="X303" s="106" t="s">
        <v>1455</v>
      </c>
      <c r="Y303" s="105"/>
      <c r="Z303" s="105"/>
      <c r="AA303" s="105" t="s">
        <v>36</v>
      </c>
      <c r="AB303" s="110" t="s">
        <v>35</v>
      </c>
      <c r="AC303" s="50">
        <v>375</v>
      </c>
      <c r="AD303" s="50">
        <v>360</v>
      </c>
      <c r="AE303" s="50">
        <v>306</v>
      </c>
      <c r="AF303" s="111">
        <f t="shared" si="20"/>
        <v>0</v>
      </c>
      <c r="AG303" s="111" t="str">
        <f t="shared" si="21"/>
        <v>角膜深层异物取出费</v>
      </c>
      <c r="AH303" s="111">
        <f t="shared" si="22"/>
        <v>375</v>
      </c>
      <c r="AI303" s="111">
        <f t="shared" si="23"/>
        <v>360</v>
      </c>
      <c r="AJ303" s="111">
        <f t="shared" si="24"/>
        <v>306</v>
      </c>
    </row>
    <row r="304" s="52" customFormat="1" ht="33" customHeight="1" spans="1:36">
      <c r="A304" s="112" t="s">
        <v>95</v>
      </c>
      <c r="B304" s="112" t="s">
        <v>1456</v>
      </c>
      <c r="C304" s="64" t="s">
        <v>1457</v>
      </c>
      <c r="D304" s="65"/>
      <c r="E304" s="77"/>
      <c r="F304" s="77" t="s">
        <v>35</v>
      </c>
      <c r="G304" s="64" t="s">
        <v>110</v>
      </c>
      <c r="H304" s="78">
        <v>122</v>
      </c>
      <c r="I304" s="78">
        <v>110</v>
      </c>
      <c r="J304" s="83">
        <v>115</v>
      </c>
      <c r="K304" s="83">
        <v>110</v>
      </c>
      <c r="L304" s="83">
        <v>94</v>
      </c>
      <c r="M304" s="83"/>
      <c r="N304" s="41">
        <v>115</v>
      </c>
      <c r="O304" s="41">
        <v>110</v>
      </c>
      <c r="P304" s="96">
        <v>90</v>
      </c>
      <c r="Q304" s="64" t="s">
        <v>37</v>
      </c>
      <c r="R304" s="64" t="s">
        <v>35</v>
      </c>
      <c r="S304" s="64" t="s">
        <v>35</v>
      </c>
      <c r="T304" s="83"/>
      <c r="U304" s="77" t="s">
        <v>186</v>
      </c>
      <c r="V304" s="105" t="s">
        <v>1458</v>
      </c>
      <c r="W304" s="105">
        <v>33040400601</v>
      </c>
      <c r="X304" s="106" t="s">
        <v>1459</v>
      </c>
      <c r="Y304" s="105"/>
      <c r="Z304" s="105"/>
      <c r="AA304" s="105" t="s">
        <v>36</v>
      </c>
      <c r="AB304" s="110" t="s">
        <v>35</v>
      </c>
      <c r="AC304" s="50">
        <v>490</v>
      </c>
      <c r="AD304" s="50">
        <v>470</v>
      </c>
      <c r="AE304" s="50">
        <v>400</v>
      </c>
      <c r="AF304" s="111">
        <f t="shared" si="20"/>
        <v>10</v>
      </c>
      <c r="AG304" s="111" t="str">
        <f t="shared" si="21"/>
        <v>角膜深层异物取出费</v>
      </c>
      <c r="AH304" s="111">
        <f t="shared" si="22"/>
        <v>490</v>
      </c>
      <c r="AI304" s="111">
        <f t="shared" si="23"/>
        <v>470</v>
      </c>
      <c r="AJ304" s="111">
        <f t="shared" si="24"/>
        <v>396</v>
      </c>
    </row>
    <row r="305" s="52" customFormat="1" ht="63" customHeight="1" spans="1:36">
      <c r="A305" s="112">
        <v>100</v>
      </c>
      <c r="B305" s="112" t="s">
        <v>1460</v>
      </c>
      <c r="C305" s="64" t="s">
        <v>1461</v>
      </c>
      <c r="D305" s="65" t="s">
        <v>1462</v>
      </c>
      <c r="E305" s="77" t="s">
        <v>1463</v>
      </c>
      <c r="F305" s="77" t="s">
        <v>35</v>
      </c>
      <c r="G305" s="64" t="s">
        <v>110</v>
      </c>
      <c r="H305" s="78">
        <v>1150</v>
      </c>
      <c r="I305" s="78">
        <v>1035</v>
      </c>
      <c r="J305" s="83">
        <v>1062.5</v>
      </c>
      <c r="K305" s="83">
        <v>1020</v>
      </c>
      <c r="L305" s="83">
        <v>867</v>
      </c>
      <c r="M305" s="83"/>
      <c r="N305" s="89">
        <v>1065</v>
      </c>
      <c r="O305" s="41">
        <v>1020</v>
      </c>
      <c r="P305" s="50">
        <v>867</v>
      </c>
      <c r="Q305" s="64" t="s">
        <v>37</v>
      </c>
      <c r="R305" s="64" t="s">
        <v>35</v>
      </c>
      <c r="S305" s="64" t="s">
        <v>35</v>
      </c>
      <c r="T305" s="83" t="s">
        <v>191</v>
      </c>
      <c r="U305" s="77" t="s">
        <v>191</v>
      </c>
      <c r="V305" s="105" t="s">
        <v>1464</v>
      </c>
      <c r="W305" s="105">
        <v>330405008</v>
      </c>
      <c r="X305" s="106" t="s">
        <v>1465</v>
      </c>
      <c r="Y305" s="105" t="s">
        <v>1466</v>
      </c>
      <c r="Z305" s="105"/>
      <c r="AA305" s="105" t="s">
        <v>36</v>
      </c>
      <c r="AB305" s="110" t="s">
        <v>35</v>
      </c>
      <c r="AC305" s="50">
        <v>1062.5</v>
      </c>
      <c r="AD305" s="50">
        <v>1020</v>
      </c>
      <c r="AE305" s="50">
        <v>867</v>
      </c>
      <c r="AF305" s="111">
        <f t="shared" si="20"/>
        <v>0</v>
      </c>
      <c r="AG305" s="111" t="str">
        <f t="shared" si="21"/>
        <v>睫状体断离复位费</v>
      </c>
      <c r="AH305" s="111">
        <f t="shared" si="22"/>
        <v>1065</v>
      </c>
      <c r="AI305" s="111">
        <f t="shared" si="23"/>
        <v>1020</v>
      </c>
      <c r="AJ305" s="111">
        <f t="shared" si="24"/>
        <v>867</v>
      </c>
    </row>
    <row r="306" s="52" customFormat="1" ht="33" customHeight="1" spans="1:36">
      <c r="A306" s="112" t="s">
        <v>95</v>
      </c>
      <c r="B306" s="112" t="s">
        <v>1467</v>
      </c>
      <c r="C306" s="64" t="s">
        <v>1468</v>
      </c>
      <c r="D306" s="65"/>
      <c r="E306" s="77"/>
      <c r="F306" s="77" t="s">
        <v>35</v>
      </c>
      <c r="G306" s="64" t="s">
        <v>110</v>
      </c>
      <c r="H306" s="78">
        <v>345</v>
      </c>
      <c r="I306" s="78">
        <v>311</v>
      </c>
      <c r="J306" s="83">
        <v>317.5</v>
      </c>
      <c r="K306" s="83">
        <v>305</v>
      </c>
      <c r="L306" s="83">
        <v>258</v>
      </c>
      <c r="M306" s="83"/>
      <c r="N306" s="41">
        <v>320</v>
      </c>
      <c r="O306" s="41">
        <v>305</v>
      </c>
      <c r="P306" s="50">
        <v>260</v>
      </c>
      <c r="Q306" s="64" t="s">
        <v>37</v>
      </c>
      <c r="R306" s="64" t="s">
        <v>35</v>
      </c>
      <c r="S306" s="64" t="s">
        <v>35</v>
      </c>
      <c r="T306" s="83"/>
      <c r="U306" s="77" t="s">
        <v>186</v>
      </c>
      <c r="V306" s="105" t="s">
        <v>1469</v>
      </c>
      <c r="W306" s="105">
        <v>33040500801</v>
      </c>
      <c r="X306" s="106" t="s">
        <v>1470</v>
      </c>
      <c r="Y306" s="105"/>
      <c r="Z306" s="105"/>
      <c r="AA306" s="105" t="s">
        <v>36</v>
      </c>
      <c r="AB306" s="110" t="s">
        <v>35</v>
      </c>
      <c r="AC306" s="50">
        <v>1380</v>
      </c>
      <c r="AD306" s="50">
        <v>1325</v>
      </c>
      <c r="AE306" s="50">
        <v>1125</v>
      </c>
      <c r="AF306" s="111">
        <f t="shared" si="20"/>
        <v>9</v>
      </c>
      <c r="AG306" s="111" t="str">
        <f t="shared" si="21"/>
        <v>睫状体断离复位费</v>
      </c>
      <c r="AH306" s="111">
        <f t="shared" si="22"/>
        <v>1385</v>
      </c>
      <c r="AI306" s="111">
        <f t="shared" si="23"/>
        <v>1325</v>
      </c>
      <c r="AJ306" s="111">
        <f t="shared" si="24"/>
        <v>1127</v>
      </c>
    </row>
    <row r="307" s="52" customFormat="1" ht="37" customHeight="1" spans="1:36">
      <c r="A307" s="112">
        <v>101</v>
      </c>
      <c r="B307" s="112" t="s">
        <v>1471</v>
      </c>
      <c r="C307" s="66" t="s">
        <v>1472</v>
      </c>
      <c r="D307" s="65" t="s">
        <v>1473</v>
      </c>
      <c r="E307" s="77" t="s">
        <v>1474</v>
      </c>
      <c r="F307" s="77" t="s">
        <v>35</v>
      </c>
      <c r="G307" s="64" t="s">
        <v>110</v>
      </c>
      <c r="H307" s="78">
        <v>2075</v>
      </c>
      <c r="I307" s="78">
        <v>1868</v>
      </c>
      <c r="J307" s="83"/>
      <c r="K307" s="83"/>
      <c r="L307" s="83"/>
      <c r="M307" s="83"/>
      <c r="N307" s="91">
        <v>1870</v>
      </c>
      <c r="O307" s="91">
        <v>1680</v>
      </c>
      <c r="P307" s="93">
        <v>1430</v>
      </c>
      <c r="Q307" s="64" t="s">
        <v>37</v>
      </c>
      <c r="R307" s="64" t="s">
        <v>35</v>
      </c>
      <c r="S307" s="64" t="s">
        <v>35</v>
      </c>
      <c r="T307" s="83" t="s">
        <v>38</v>
      </c>
      <c r="U307" s="77" t="s">
        <v>638</v>
      </c>
      <c r="V307" s="105" t="s">
        <v>1475</v>
      </c>
      <c r="W307" s="105">
        <v>330405007</v>
      </c>
      <c r="X307" s="106" t="s">
        <v>1476</v>
      </c>
      <c r="Y307" s="105"/>
      <c r="Z307" s="105"/>
      <c r="AA307" s="105" t="s">
        <v>36</v>
      </c>
      <c r="AB307" s="110" t="s">
        <v>35</v>
      </c>
      <c r="AC307" s="50">
        <v>1010</v>
      </c>
      <c r="AD307" s="50">
        <v>910</v>
      </c>
      <c r="AE307" s="50">
        <v>775</v>
      </c>
      <c r="AF307" s="111">
        <f t="shared" si="20"/>
        <v>0</v>
      </c>
      <c r="AG307" s="111" t="str">
        <f t="shared" si="21"/>
        <v>睫状体部分切除费</v>
      </c>
      <c r="AH307" s="111">
        <f t="shared" si="22"/>
        <v>1870</v>
      </c>
      <c r="AI307" s="111">
        <f t="shared" si="23"/>
        <v>1680</v>
      </c>
      <c r="AJ307" s="111">
        <f t="shared" si="24"/>
        <v>1430</v>
      </c>
    </row>
    <row r="308" s="52" customFormat="1" ht="37" customHeight="1" spans="1:36">
      <c r="A308" s="112"/>
      <c r="B308" s="112"/>
      <c r="C308" s="66" t="s">
        <v>1472</v>
      </c>
      <c r="D308" s="65"/>
      <c r="E308" s="77"/>
      <c r="F308" s="77"/>
      <c r="G308" s="64"/>
      <c r="H308" s="42"/>
      <c r="I308" s="42"/>
      <c r="J308" s="83"/>
      <c r="K308" s="83"/>
      <c r="L308" s="83"/>
      <c r="M308" s="83"/>
      <c r="N308" s="91">
        <v>1870</v>
      </c>
      <c r="O308" s="91">
        <v>1680</v>
      </c>
      <c r="P308" s="93">
        <v>1430</v>
      </c>
      <c r="Q308" s="64"/>
      <c r="R308" s="64"/>
      <c r="S308" s="64"/>
      <c r="T308" s="83"/>
      <c r="U308" s="77"/>
      <c r="V308" s="105" t="s">
        <v>1018</v>
      </c>
      <c r="W308" s="105">
        <v>330407011</v>
      </c>
      <c r="X308" s="106" t="s">
        <v>1019</v>
      </c>
      <c r="Y308" s="105"/>
      <c r="Z308" s="105"/>
      <c r="AA308" s="105" t="s">
        <v>36</v>
      </c>
      <c r="AB308" s="110" t="s">
        <v>35</v>
      </c>
      <c r="AC308" s="50">
        <v>2310</v>
      </c>
      <c r="AD308" s="50">
        <v>2080</v>
      </c>
      <c r="AE308" s="50">
        <v>1770</v>
      </c>
      <c r="AF308" s="111">
        <f t="shared" si="20"/>
        <v>0</v>
      </c>
      <c r="AG308" s="111" t="str">
        <f t="shared" si="21"/>
        <v>睫状体部分切除费</v>
      </c>
      <c r="AH308" s="111">
        <f t="shared" si="22"/>
        <v>1870</v>
      </c>
      <c r="AI308" s="111">
        <f t="shared" si="23"/>
        <v>1680</v>
      </c>
      <c r="AJ308" s="111">
        <f t="shared" si="24"/>
        <v>1430</v>
      </c>
    </row>
    <row r="309" s="52" customFormat="1" ht="38" customHeight="1" spans="1:36">
      <c r="A309" s="112" t="s">
        <v>95</v>
      </c>
      <c r="B309" s="112" t="s">
        <v>1477</v>
      </c>
      <c r="C309" s="66" t="s">
        <v>1478</v>
      </c>
      <c r="D309" s="65"/>
      <c r="E309" s="77"/>
      <c r="F309" s="77" t="s">
        <v>35</v>
      </c>
      <c r="G309" s="64" t="s">
        <v>110</v>
      </c>
      <c r="H309" s="78">
        <v>622.5</v>
      </c>
      <c r="I309" s="78">
        <v>560</v>
      </c>
      <c r="J309" s="83"/>
      <c r="K309" s="83"/>
      <c r="L309" s="83"/>
      <c r="M309" s="83"/>
      <c r="N309" s="91">
        <v>560</v>
      </c>
      <c r="O309" s="91">
        <v>505</v>
      </c>
      <c r="P309" s="93">
        <v>430</v>
      </c>
      <c r="Q309" s="64" t="s">
        <v>37</v>
      </c>
      <c r="R309" s="64" t="s">
        <v>35</v>
      </c>
      <c r="S309" s="64" t="s">
        <v>35</v>
      </c>
      <c r="T309" s="83"/>
      <c r="U309" s="77" t="s">
        <v>186</v>
      </c>
      <c r="V309" s="105" t="s">
        <v>1479</v>
      </c>
      <c r="W309" s="105">
        <v>33040500701</v>
      </c>
      <c r="X309" s="106" t="s">
        <v>1480</v>
      </c>
      <c r="Y309" s="105"/>
      <c r="Z309" s="105"/>
      <c r="AA309" s="105" t="s">
        <v>36</v>
      </c>
      <c r="AB309" s="110" t="s">
        <v>35</v>
      </c>
      <c r="AC309" s="50">
        <v>1315</v>
      </c>
      <c r="AD309" s="50">
        <v>1185</v>
      </c>
      <c r="AE309" s="50">
        <v>1005</v>
      </c>
      <c r="AF309" s="111">
        <f t="shared" si="20"/>
        <v>9</v>
      </c>
      <c r="AG309" s="111" t="str">
        <f t="shared" si="21"/>
        <v>睫状体部分切除费</v>
      </c>
      <c r="AH309" s="111">
        <f t="shared" si="22"/>
        <v>2430</v>
      </c>
      <c r="AI309" s="111">
        <f t="shared" si="23"/>
        <v>2185</v>
      </c>
      <c r="AJ309" s="111">
        <f t="shared" si="24"/>
        <v>1860</v>
      </c>
    </row>
    <row r="310" s="52" customFormat="1" ht="25.5" spans="1:36">
      <c r="A310" s="112"/>
      <c r="B310" s="112"/>
      <c r="C310" s="66" t="s">
        <v>1478</v>
      </c>
      <c r="D310" s="65"/>
      <c r="E310" s="77"/>
      <c r="F310" s="77"/>
      <c r="G310" s="64"/>
      <c r="H310" s="42"/>
      <c r="I310" s="42"/>
      <c r="J310" s="83"/>
      <c r="K310" s="83"/>
      <c r="L310" s="83"/>
      <c r="M310" s="83"/>
      <c r="N310" s="91">
        <v>560</v>
      </c>
      <c r="O310" s="91">
        <v>505</v>
      </c>
      <c r="P310" s="93">
        <v>430</v>
      </c>
      <c r="Q310" s="64"/>
      <c r="R310" s="64"/>
      <c r="S310" s="64"/>
      <c r="T310" s="83"/>
      <c r="U310" s="77"/>
      <c r="V310" s="105" t="s">
        <v>1022</v>
      </c>
      <c r="W310" s="105">
        <v>33040701101</v>
      </c>
      <c r="X310" s="106" t="s">
        <v>1023</v>
      </c>
      <c r="Y310" s="105"/>
      <c r="Z310" s="105"/>
      <c r="AA310" s="105" t="s">
        <v>36</v>
      </c>
      <c r="AB310" s="110" t="s">
        <v>35</v>
      </c>
      <c r="AC310" s="50">
        <v>3005</v>
      </c>
      <c r="AD310" s="50">
        <v>2705</v>
      </c>
      <c r="AE310" s="50">
        <v>2300</v>
      </c>
      <c r="AF310" s="111">
        <f t="shared" si="20"/>
        <v>9</v>
      </c>
      <c r="AG310" s="111" t="str">
        <f t="shared" si="21"/>
        <v>睫状体部分切除费</v>
      </c>
      <c r="AH310" s="111">
        <f t="shared" si="22"/>
        <v>2430</v>
      </c>
      <c r="AI310" s="111">
        <f t="shared" si="23"/>
        <v>2185</v>
      </c>
      <c r="AJ310" s="111">
        <f t="shared" si="24"/>
        <v>1860</v>
      </c>
    </row>
    <row r="311" s="52" customFormat="1" ht="25.5" spans="1:36">
      <c r="A311" s="112">
        <v>102</v>
      </c>
      <c r="B311" s="112" t="s">
        <v>1481</v>
      </c>
      <c r="C311" s="66" t="s">
        <v>1482</v>
      </c>
      <c r="D311" s="65" t="s">
        <v>1483</v>
      </c>
      <c r="E311" s="77" t="s">
        <v>1484</v>
      </c>
      <c r="F311" s="77" t="s">
        <v>1485</v>
      </c>
      <c r="G311" s="64" t="s">
        <v>110</v>
      </c>
      <c r="H311" s="78">
        <v>1370</v>
      </c>
      <c r="I311" s="78">
        <v>1233</v>
      </c>
      <c r="J311" s="83">
        <v>1281.23076923077</v>
      </c>
      <c r="K311" s="83">
        <v>1149.58333333333</v>
      </c>
      <c r="L311" s="83"/>
      <c r="M311" s="83"/>
      <c r="N311" s="91">
        <v>1280</v>
      </c>
      <c r="O311" s="91">
        <v>1150</v>
      </c>
      <c r="P311" s="93">
        <v>980</v>
      </c>
      <c r="Q311" s="64" t="s">
        <v>37</v>
      </c>
      <c r="R311" s="64" t="s">
        <v>35</v>
      </c>
      <c r="S311" s="64" t="s">
        <v>35</v>
      </c>
      <c r="T311" s="83" t="s">
        <v>191</v>
      </c>
      <c r="U311" s="77" t="s">
        <v>268</v>
      </c>
      <c r="V311" s="105" t="s">
        <v>1486</v>
      </c>
      <c r="W311" s="105">
        <v>330409019</v>
      </c>
      <c r="X311" s="106" t="s">
        <v>1487</v>
      </c>
      <c r="Y311" s="105" t="s">
        <v>1488</v>
      </c>
      <c r="Z311" s="105" t="s">
        <v>1489</v>
      </c>
      <c r="AA311" s="105" t="s">
        <v>36</v>
      </c>
      <c r="AB311" s="110" t="s">
        <v>35</v>
      </c>
      <c r="AC311" s="50">
        <v>1180</v>
      </c>
      <c r="AD311" s="50">
        <v>1060</v>
      </c>
      <c r="AE311" s="50">
        <v>900</v>
      </c>
      <c r="AF311" s="111">
        <f t="shared" si="20"/>
        <v>0</v>
      </c>
      <c r="AG311" s="111" t="str">
        <f t="shared" si="21"/>
        <v>眶壁修复费</v>
      </c>
      <c r="AH311" s="111">
        <f t="shared" si="22"/>
        <v>1280</v>
      </c>
      <c r="AI311" s="111">
        <f t="shared" si="23"/>
        <v>1150</v>
      </c>
      <c r="AJ311" s="111">
        <f t="shared" si="24"/>
        <v>980</v>
      </c>
    </row>
    <row r="312" s="52" customFormat="1" ht="25.5" spans="1:36">
      <c r="A312" s="112"/>
      <c r="B312" s="112"/>
      <c r="C312" s="66" t="s">
        <v>1482</v>
      </c>
      <c r="D312" s="65"/>
      <c r="E312" s="77"/>
      <c r="F312" s="77"/>
      <c r="G312" s="64"/>
      <c r="H312" s="42"/>
      <c r="I312" s="42"/>
      <c r="J312" s="83"/>
      <c r="K312" s="83"/>
      <c r="L312" s="83"/>
      <c r="M312" s="83"/>
      <c r="N312" s="91">
        <v>1280</v>
      </c>
      <c r="O312" s="91">
        <v>1150</v>
      </c>
      <c r="P312" s="93">
        <v>980</v>
      </c>
      <c r="Q312" s="64"/>
      <c r="R312" s="64"/>
      <c r="S312" s="64"/>
      <c r="T312" s="83"/>
      <c r="U312" s="77"/>
      <c r="V312" s="105" t="s">
        <v>1490</v>
      </c>
      <c r="W312" s="105">
        <v>33040901901</v>
      </c>
      <c r="X312" s="106" t="s">
        <v>1491</v>
      </c>
      <c r="Y312" s="105"/>
      <c r="Z312" s="105"/>
      <c r="AA312" s="105" t="s">
        <v>36</v>
      </c>
      <c r="AB312" s="110" t="s">
        <v>1492</v>
      </c>
      <c r="AC312" s="50">
        <v>1180</v>
      </c>
      <c r="AD312" s="50">
        <v>1060</v>
      </c>
      <c r="AE312" s="50">
        <v>900</v>
      </c>
      <c r="AF312" s="111">
        <f t="shared" si="20"/>
        <v>0</v>
      </c>
      <c r="AG312" s="111" t="str">
        <f t="shared" si="21"/>
        <v>眶壁修复费</v>
      </c>
      <c r="AH312" s="111">
        <f t="shared" si="22"/>
        <v>1280</v>
      </c>
      <c r="AI312" s="111">
        <f t="shared" si="23"/>
        <v>1150</v>
      </c>
      <c r="AJ312" s="111">
        <f t="shared" si="24"/>
        <v>980</v>
      </c>
    </row>
    <row r="313" s="52" customFormat="1" ht="25.5" spans="1:36">
      <c r="A313" s="112"/>
      <c r="B313" s="112"/>
      <c r="C313" s="66" t="s">
        <v>1482</v>
      </c>
      <c r="D313" s="65"/>
      <c r="E313" s="77"/>
      <c r="F313" s="77"/>
      <c r="G313" s="64"/>
      <c r="H313" s="42"/>
      <c r="I313" s="42"/>
      <c r="J313" s="83"/>
      <c r="K313" s="83"/>
      <c r="L313" s="83"/>
      <c r="M313" s="83"/>
      <c r="N313" s="91">
        <v>1280</v>
      </c>
      <c r="O313" s="91">
        <v>1150</v>
      </c>
      <c r="P313" s="93">
        <v>980</v>
      </c>
      <c r="Q313" s="64"/>
      <c r="R313" s="64"/>
      <c r="S313" s="64"/>
      <c r="T313" s="83"/>
      <c r="U313" s="77"/>
      <c r="V313" s="105" t="s">
        <v>1493</v>
      </c>
      <c r="W313" s="105">
        <v>33040901902</v>
      </c>
      <c r="X313" s="106" t="s">
        <v>1494</v>
      </c>
      <c r="Y313" s="105"/>
      <c r="Z313" s="105"/>
      <c r="AA313" s="105" t="s">
        <v>36</v>
      </c>
      <c r="AB313" s="110" t="s">
        <v>1495</v>
      </c>
      <c r="AC313" s="50">
        <v>1180</v>
      </c>
      <c r="AD313" s="50">
        <v>1060</v>
      </c>
      <c r="AE313" s="50">
        <v>900</v>
      </c>
      <c r="AF313" s="111">
        <f t="shared" si="20"/>
        <v>0</v>
      </c>
      <c r="AG313" s="111" t="str">
        <f t="shared" si="21"/>
        <v>眶壁修复费</v>
      </c>
      <c r="AH313" s="111">
        <f t="shared" si="22"/>
        <v>1280</v>
      </c>
      <c r="AI313" s="111">
        <f t="shared" si="23"/>
        <v>1150</v>
      </c>
      <c r="AJ313" s="111">
        <f t="shared" si="24"/>
        <v>980</v>
      </c>
    </row>
    <row r="314" s="52" customFormat="1" ht="25.5" spans="1:36">
      <c r="A314" s="112"/>
      <c r="B314" s="112"/>
      <c r="C314" s="66" t="s">
        <v>1482</v>
      </c>
      <c r="D314" s="65"/>
      <c r="E314" s="77"/>
      <c r="F314" s="77"/>
      <c r="G314" s="64"/>
      <c r="H314" s="42"/>
      <c r="I314" s="42"/>
      <c r="J314" s="83"/>
      <c r="K314" s="83"/>
      <c r="L314" s="83"/>
      <c r="M314" s="83"/>
      <c r="N314" s="91">
        <v>1280</v>
      </c>
      <c r="O314" s="91">
        <v>1150</v>
      </c>
      <c r="P314" s="93">
        <v>980</v>
      </c>
      <c r="Q314" s="64"/>
      <c r="R314" s="64"/>
      <c r="S314" s="64"/>
      <c r="T314" s="83"/>
      <c r="U314" s="77"/>
      <c r="V314" s="105" t="s">
        <v>1496</v>
      </c>
      <c r="W314" s="105">
        <v>330409020</v>
      </c>
      <c r="X314" s="106" t="s">
        <v>1497</v>
      </c>
      <c r="Y314" s="105"/>
      <c r="Z314" s="105" t="s">
        <v>1498</v>
      </c>
      <c r="AA314" s="105" t="s">
        <v>36</v>
      </c>
      <c r="AB314" s="110" t="s">
        <v>35</v>
      </c>
      <c r="AC314" s="50">
        <v>1650</v>
      </c>
      <c r="AD314" s="50">
        <v>1490</v>
      </c>
      <c r="AE314" s="50">
        <v>1270</v>
      </c>
      <c r="AF314" s="111">
        <f t="shared" si="20"/>
        <v>0</v>
      </c>
      <c r="AG314" s="111" t="str">
        <f t="shared" si="21"/>
        <v>眶壁修复费</v>
      </c>
      <c r="AH314" s="111">
        <f t="shared" si="22"/>
        <v>1280</v>
      </c>
      <c r="AI314" s="111">
        <f t="shared" si="23"/>
        <v>1150</v>
      </c>
      <c r="AJ314" s="111">
        <f t="shared" si="24"/>
        <v>980</v>
      </c>
    </row>
    <row r="315" s="52" customFormat="1" ht="25.5" spans="1:36">
      <c r="A315" s="112" t="s">
        <v>95</v>
      </c>
      <c r="B315" s="112" t="s">
        <v>1499</v>
      </c>
      <c r="C315" s="66" t="s">
        <v>1500</v>
      </c>
      <c r="D315" s="65"/>
      <c r="E315" s="77"/>
      <c r="F315" s="77" t="s">
        <v>35</v>
      </c>
      <c r="G315" s="64" t="s">
        <v>110</v>
      </c>
      <c r="H315" s="42">
        <v>411</v>
      </c>
      <c r="I315" s="42">
        <v>370</v>
      </c>
      <c r="J315" s="83"/>
      <c r="K315" s="83"/>
      <c r="L315" s="83"/>
      <c r="M315" s="83"/>
      <c r="N315" s="91">
        <v>385</v>
      </c>
      <c r="O315" s="91">
        <v>345</v>
      </c>
      <c r="P315" s="93">
        <v>295</v>
      </c>
      <c r="Q315" s="64" t="s">
        <v>37</v>
      </c>
      <c r="R315" s="64" t="s">
        <v>35</v>
      </c>
      <c r="S315" s="64" t="s">
        <v>35</v>
      </c>
      <c r="T315" s="83"/>
      <c r="U315" s="77"/>
      <c r="V315" s="105" t="s">
        <v>1501</v>
      </c>
      <c r="W315" s="105">
        <v>33040901903</v>
      </c>
      <c r="X315" s="106" t="s">
        <v>1502</v>
      </c>
      <c r="Y315" s="105"/>
      <c r="Z315" s="105"/>
      <c r="AA315" s="105" t="s">
        <v>36</v>
      </c>
      <c r="AB315" s="110" t="s">
        <v>35</v>
      </c>
      <c r="AC315" s="50">
        <v>1535</v>
      </c>
      <c r="AD315" s="50">
        <v>1380</v>
      </c>
      <c r="AE315" s="50">
        <v>1175</v>
      </c>
      <c r="AF315" s="111">
        <f t="shared" si="20"/>
        <v>6</v>
      </c>
      <c r="AG315" s="111" t="str">
        <f t="shared" si="21"/>
        <v>眶壁修复费</v>
      </c>
      <c r="AH315" s="111">
        <f t="shared" si="22"/>
        <v>1665</v>
      </c>
      <c r="AI315" s="111">
        <f t="shared" si="23"/>
        <v>1495</v>
      </c>
      <c r="AJ315" s="111">
        <f t="shared" si="24"/>
        <v>1275</v>
      </c>
    </row>
    <row r="316" s="52" customFormat="1" ht="25.5" spans="1:36">
      <c r="A316" s="112"/>
      <c r="B316" s="112"/>
      <c r="C316" s="66" t="s">
        <v>1500</v>
      </c>
      <c r="D316" s="65"/>
      <c r="E316" s="77"/>
      <c r="F316" s="77"/>
      <c r="G316" s="64"/>
      <c r="H316" s="42"/>
      <c r="I316" s="42"/>
      <c r="J316" s="83"/>
      <c r="K316" s="83"/>
      <c r="L316" s="83"/>
      <c r="M316" s="83"/>
      <c r="N316" s="91">
        <v>385</v>
      </c>
      <c r="O316" s="91">
        <v>345</v>
      </c>
      <c r="P316" s="93">
        <v>295</v>
      </c>
      <c r="Q316" s="64"/>
      <c r="R316" s="64"/>
      <c r="S316" s="64"/>
      <c r="T316" s="83"/>
      <c r="U316" s="77"/>
      <c r="V316" s="105" t="s">
        <v>1503</v>
      </c>
      <c r="W316" s="105">
        <v>33040902001</v>
      </c>
      <c r="X316" s="106" t="s">
        <v>1504</v>
      </c>
      <c r="Y316" s="105"/>
      <c r="Z316" s="105"/>
      <c r="AA316" s="105" t="s">
        <v>36</v>
      </c>
      <c r="AB316" s="110" t="s">
        <v>35</v>
      </c>
      <c r="AC316" s="50">
        <v>2145</v>
      </c>
      <c r="AD316" s="50">
        <v>1935</v>
      </c>
      <c r="AE316" s="50">
        <v>1645</v>
      </c>
      <c r="AF316" s="111">
        <f t="shared" si="20"/>
        <v>6</v>
      </c>
      <c r="AG316" s="111" t="str">
        <f t="shared" si="21"/>
        <v>眶壁修复费</v>
      </c>
      <c r="AH316" s="111">
        <f t="shared" si="22"/>
        <v>1665</v>
      </c>
      <c r="AI316" s="111">
        <f t="shared" si="23"/>
        <v>1495</v>
      </c>
      <c r="AJ316" s="111">
        <f t="shared" si="24"/>
        <v>1275</v>
      </c>
    </row>
    <row r="317" s="52" customFormat="1" ht="60" customHeight="1" spans="1:36">
      <c r="A317" s="112">
        <v>103</v>
      </c>
      <c r="B317" s="112" t="s">
        <v>1508</v>
      </c>
      <c r="C317" s="64" t="s">
        <v>1509</v>
      </c>
      <c r="D317" s="65" t="s">
        <v>1510</v>
      </c>
      <c r="E317" s="77" t="s">
        <v>1511</v>
      </c>
      <c r="F317" s="77" t="s">
        <v>35</v>
      </c>
      <c r="G317" s="64" t="s">
        <v>110</v>
      </c>
      <c r="H317" s="78">
        <v>1080</v>
      </c>
      <c r="I317" s="78">
        <v>972</v>
      </c>
      <c r="J317" s="83">
        <v>1000</v>
      </c>
      <c r="K317" s="83">
        <v>960</v>
      </c>
      <c r="L317" s="83">
        <v>816</v>
      </c>
      <c r="M317" s="83"/>
      <c r="N317" s="41">
        <v>1000</v>
      </c>
      <c r="O317" s="41">
        <v>960</v>
      </c>
      <c r="P317" s="50">
        <v>816</v>
      </c>
      <c r="Q317" s="64" t="s">
        <v>37</v>
      </c>
      <c r="R317" s="64" t="s">
        <v>35</v>
      </c>
      <c r="S317" s="64" t="s">
        <v>35</v>
      </c>
      <c r="T317" s="83" t="s">
        <v>381</v>
      </c>
      <c r="U317" s="77" t="s">
        <v>381</v>
      </c>
      <c r="V317" s="105" t="s">
        <v>1512</v>
      </c>
      <c r="W317" s="105">
        <v>330409021</v>
      </c>
      <c r="X317" s="106" t="s">
        <v>1513</v>
      </c>
      <c r="Y317" s="105"/>
      <c r="Z317" s="105"/>
      <c r="AA317" s="105" t="s">
        <v>36</v>
      </c>
      <c r="AB317" s="110" t="s">
        <v>35</v>
      </c>
      <c r="AC317" s="50">
        <v>1000</v>
      </c>
      <c r="AD317" s="50">
        <v>960</v>
      </c>
      <c r="AE317" s="50">
        <v>816</v>
      </c>
      <c r="AF317" s="111">
        <f t="shared" si="20"/>
        <v>0</v>
      </c>
      <c r="AG317" s="111" t="str">
        <f t="shared" si="21"/>
        <v>眶隔修复费</v>
      </c>
      <c r="AH317" s="111">
        <f t="shared" si="22"/>
        <v>1000</v>
      </c>
      <c r="AI317" s="111">
        <f t="shared" si="23"/>
        <v>960</v>
      </c>
      <c r="AJ317" s="111">
        <f t="shared" si="24"/>
        <v>816</v>
      </c>
    </row>
    <row r="318" s="52" customFormat="1" ht="25.5" spans="1:36">
      <c r="A318" s="112" t="s">
        <v>95</v>
      </c>
      <c r="B318" s="112" t="s">
        <v>1514</v>
      </c>
      <c r="C318" s="64" t="s">
        <v>1515</v>
      </c>
      <c r="D318" s="65"/>
      <c r="E318" s="77"/>
      <c r="F318" s="77" t="s">
        <v>35</v>
      </c>
      <c r="G318" s="64" t="s">
        <v>110</v>
      </c>
      <c r="H318" s="78">
        <v>324</v>
      </c>
      <c r="I318" s="78">
        <v>292</v>
      </c>
      <c r="J318" s="83">
        <v>300</v>
      </c>
      <c r="K318" s="83">
        <v>290</v>
      </c>
      <c r="L318" s="83">
        <v>249</v>
      </c>
      <c r="M318" s="83"/>
      <c r="N318" s="41">
        <v>300</v>
      </c>
      <c r="O318" s="41">
        <v>292</v>
      </c>
      <c r="P318" s="50">
        <v>245</v>
      </c>
      <c r="Q318" s="64" t="s">
        <v>37</v>
      </c>
      <c r="R318" s="64" t="s">
        <v>35</v>
      </c>
      <c r="S318" s="64" t="s">
        <v>35</v>
      </c>
      <c r="T318" s="83"/>
      <c r="U318" s="77" t="s">
        <v>186</v>
      </c>
      <c r="V318" s="105" t="s">
        <v>1516</v>
      </c>
      <c r="W318" s="105">
        <v>33040902101</v>
      </c>
      <c r="X318" s="106" t="s">
        <v>1517</v>
      </c>
      <c r="Y318" s="105"/>
      <c r="Z318" s="105"/>
      <c r="AA318" s="105" t="s">
        <v>36</v>
      </c>
      <c r="AB318" s="110" t="s">
        <v>35</v>
      </c>
      <c r="AC318" s="50">
        <v>1300</v>
      </c>
      <c r="AD318" s="50">
        <v>1250</v>
      </c>
      <c r="AE318" s="50">
        <v>1065</v>
      </c>
      <c r="AF318" s="111">
        <f t="shared" si="20"/>
        <v>6</v>
      </c>
      <c r="AG318" s="111" t="str">
        <f t="shared" si="21"/>
        <v>眶隔修复费</v>
      </c>
      <c r="AH318" s="111">
        <f t="shared" si="22"/>
        <v>1300</v>
      </c>
      <c r="AI318" s="111">
        <f t="shared" si="23"/>
        <v>1252</v>
      </c>
      <c r="AJ318" s="111">
        <f t="shared" si="24"/>
        <v>1061</v>
      </c>
    </row>
    <row r="319" s="55" customFormat="1" ht="63.75" spans="1:36">
      <c r="A319" s="112">
        <v>104</v>
      </c>
      <c r="B319" s="112" t="s">
        <v>1518</v>
      </c>
      <c r="C319" s="64" t="s">
        <v>1519</v>
      </c>
      <c r="D319" s="65" t="s">
        <v>1520</v>
      </c>
      <c r="E319" s="77" t="s">
        <v>1521</v>
      </c>
      <c r="F319" s="77" t="s">
        <v>1522</v>
      </c>
      <c r="G319" s="64" t="s">
        <v>110</v>
      </c>
      <c r="H319" s="78">
        <v>625</v>
      </c>
      <c r="I319" s="78">
        <v>565</v>
      </c>
      <c r="J319" s="83">
        <v>625</v>
      </c>
      <c r="K319" s="83">
        <v>600</v>
      </c>
      <c r="L319" s="83">
        <v>510</v>
      </c>
      <c r="M319" s="83"/>
      <c r="N319" s="89">
        <v>600</v>
      </c>
      <c r="O319" s="94">
        <v>565</v>
      </c>
      <c r="P319" s="96">
        <v>500</v>
      </c>
      <c r="Q319" s="64" t="s">
        <v>37</v>
      </c>
      <c r="R319" s="64" t="s">
        <v>35</v>
      </c>
      <c r="S319" s="64" t="s">
        <v>35</v>
      </c>
      <c r="T319" s="83" t="s">
        <v>131</v>
      </c>
      <c r="U319" s="77" t="s">
        <v>111</v>
      </c>
      <c r="V319" s="105" t="s">
        <v>1523</v>
      </c>
      <c r="W319" s="105">
        <v>330409007</v>
      </c>
      <c r="X319" s="106" t="s">
        <v>1524</v>
      </c>
      <c r="Y319" s="105"/>
      <c r="Z319" s="105" t="s">
        <v>1525</v>
      </c>
      <c r="AA319" s="105" t="s">
        <v>36</v>
      </c>
      <c r="AB319" s="110" t="s">
        <v>35</v>
      </c>
      <c r="AC319" s="50">
        <v>625</v>
      </c>
      <c r="AD319" s="50">
        <v>600</v>
      </c>
      <c r="AE319" s="50">
        <v>510</v>
      </c>
      <c r="AF319" s="111">
        <f t="shared" si="20"/>
        <v>0</v>
      </c>
      <c r="AG319" s="111" t="str">
        <f t="shared" si="21"/>
        <v>眼内容物摘除费</v>
      </c>
      <c r="AH319" s="111">
        <f t="shared" si="22"/>
        <v>600</v>
      </c>
      <c r="AI319" s="111">
        <f t="shared" si="23"/>
        <v>565</v>
      </c>
      <c r="AJ319" s="111">
        <f t="shared" si="24"/>
        <v>500</v>
      </c>
    </row>
    <row r="320" s="55" customFormat="1" ht="25.5" spans="1:36">
      <c r="A320" s="112" t="s">
        <v>95</v>
      </c>
      <c r="B320" s="112" t="s">
        <v>1526</v>
      </c>
      <c r="C320" s="64" t="s">
        <v>1527</v>
      </c>
      <c r="D320" s="65"/>
      <c r="E320" s="77"/>
      <c r="F320" s="77" t="s">
        <v>35</v>
      </c>
      <c r="G320" s="64" t="s">
        <v>110</v>
      </c>
      <c r="H320" s="78">
        <v>188</v>
      </c>
      <c r="I320" s="78">
        <v>170</v>
      </c>
      <c r="J320" s="83">
        <v>190</v>
      </c>
      <c r="K320" s="83">
        <v>180</v>
      </c>
      <c r="L320" s="83">
        <v>155</v>
      </c>
      <c r="M320" s="83"/>
      <c r="N320" s="41">
        <v>190</v>
      </c>
      <c r="O320" s="94">
        <v>170</v>
      </c>
      <c r="P320" s="96">
        <v>150</v>
      </c>
      <c r="Q320" s="64" t="s">
        <v>37</v>
      </c>
      <c r="R320" s="64" t="s">
        <v>35</v>
      </c>
      <c r="S320" s="64" t="s">
        <v>35</v>
      </c>
      <c r="T320" s="83"/>
      <c r="U320" s="77" t="s">
        <v>186</v>
      </c>
      <c r="V320" s="105" t="s">
        <v>1528</v>
      </c>
      <c r="W320" s="105">
        <v>33040900701</v>
      </c>
      <c r="X320" s="106" t="s">
        <v>1529</v>
      </c>
      <c r="Y320" s="105"/>
      <c r="Z320" s="105"/>
      <c r="AA320" s="105" t="s">
        <v>36</v>
      </c>
      <c r="AB320" s="110" t="s">
        <v>35</v>
      </c>
      <c r="AC320" s="50">
        <v>815</v>
      </c>
      <c r="AD320" s="50">
        <v>780</v>
      </c>
      <c r="AE320" s="50">
        <v>665</v>
      </c>
      <c r="AF320" s="111">
        <f t="shared" si="20"/>
        <v>8</v>
      </c>
      <c r="AG320" s="111" t="str">
        <f t="shared" si="21"/>
        <v>眼内容物摘除费</v>
      </c>
      <c r="AH320" s="111">
        <f t="shared" si="22"/>
        <v>790</v>
      </c>
      <c r="AI320" s="111">
        <f t="shared" si="23"/>
        <v>735</v>
      </c>
      <c r="AJ320" s="111">
        <f t="shared" si="24"/>
        <v>650</v>
      </c>
    </row>
    <row r="321" s="52" customFormat="1" ht="32" customHeight="1" spans="1:36">
      <c r="A321" s="64">
        <v>105</v>
      </c>
      <c r="B321" s="64" t="s">
        <v>1530</v>
      </c>
      <c r="C321" s="66" t="s">
        <v>1531</v>
      </c>
      <c r="D321" s="65" t="s">
        <v>1532</v>
      </c>
      <c r="E321" s="77" t="s">
        <v>1533</v>
      </c>
      <c r="F321" s="77" t="s">
        <v>1534</v>
      </c>
      <c r="G321" s="64" t="s">
        <v>110</v>
      </c>
      <c r="H321" s="78">
        <v>1100</v>
      </c>
      <c r="I321" s="78">
        <v>990</v>
      </c>
      <c r="J321" s="83">
        <v>1177.38095238095</v>
      </c>
      <c r="K321" s="83">
        <v>600</v>
      </c>
      <c r="L321" s="83"/>
      <c r="M321" s="83"/>
      <c r="N321" s="92">
        <v>1050</v>
      </c>
      <c r="O321" s="92">
        <v>950</v>
      </c>
      <c r="P321" s="95">
        <v>810</v>
      </c>
      <c r="Q321" s="64" t="s">
        <v>37</v>
      </c>
      <c r="R321" s="64" t="s">
        <v>35</v>
      </c>
      <c r="S321" s="64" t="s">
        <v>35</v>
      </c>
      <c r="T321" s="83" t="s">
        <v>38</v>
      </c>
      <c r="U321" s="104" t="s">
        <v>1535</v>
      </c>
      <c r="V321" s="105" t="s">
        <v>1536</v>
      </c>
      <c r="W321" s="105">
        <v>330409008</v>
      </c>
      <c r="X321" s="106" t="s">
        <v>1537</v>
      </c>
      <c r="Y321" s="105"/>
      <c r="Z321" s="105"/>
      <c r="AA321" s="105" t="s">
        <v>36</v>
      </c>
      <c r="AB321" s="110" t="s">
        <v>35</v>
      </c>
      <c r="AC321" s="50">
        <v>625</v>
      </c>
      <c r="AD321" s="50">
        <v>600</v>
      </c>
      <c r="AE321" s="50">
        <v>510</v>
      </c>
      <c r="AF321" s="111">
        <f t="shared" si="20"/>
        <v>0</v>
      </c>
      <c r="AG321" s="111" t="str">
        <f t="shared" si="21"/>
        <v>眼球摘除费</v>
      </c>
      <c r="AH321" s="111">
        <f t="shared" si="22"/>
        <v>1050</v>
      </c>
      <c r="AI321" s="111">
        <f t="shared" si="23"/>
        <v>950</v>
      </c>
      <c r="AJ321" s="111">
        <f t="shared" si="24"/>
        <v>810</v>
      </c>
    </row>
    <row r="322" s="52" customFormat="1" ht="32" customHeight="1" spans="1:36">
      <c r="A322" s="64"/>
      <c r="B322" s="64"/>
      <c r="C322" s="66" t="s">
        <v>1531</v>
      </c>
      <c r="D322" s="65"/>
      <c r="E322" s="77"/>
      <c r="F322" s="77"/>
      <c r="G322" s="64"/>
      <c r="H322" s="42"/>
      <c r="I322" s="42"/>
      <c r="J322" s="83"/>
      <c r="K322" s="83"/>
      <c r="L322" s="83"/>
      <c r="M322" s="83"/>
      <c r="N322" s="92">
        <v>1050</v>
      </c>
      <c r="O322" s="92">
        <v>950</v>
      </c>
      <c r="P322" s="95">
        <v>810</v>
      </c>
      <c r="Q322" s="64"/>
      <c r="R322" s="64"/>
      <c r="S322" s="64"/>
      <c r="T322" s="83"/>
      <c r="U322" s="104"/>
      <c r="V322" s="105" t="s">
        <v>1538</v>
      </c>
      <c r="W322" s="105">
        <v>330409009</v>
      </c>
      <c r="X322" s="106" t="s">
        <v>1539</v>
      </c>
      <c r="Y322" s="105" t="s">
        <v>1540</v>
      </c>
      <c r="Z322" s="105" t="s">
        <v>1525</v>
      </c>
      <c r="AA322" s="105" t="s">
        <v>36</v>
      </c>
      <c r="AB322" s="110" t="s">
        <v>35</v>
      </c>
      <c r="AC322" s="50">
        <v>1350</v>
      </c>
      <c r="AD322" s="50">
        <v>1220</v>
      </c>
      <c r="AE322" s="50">
        <v>1040</v>
      </c>
      <c r="AF322" s="111">
        <f t="shared" si="20"/>
        <v>0</v>
      </c>
      <c r="AG322" s="111" t="str">
        <f t="shared" si="21"/>
        <v>眼球摘除费</v>
      </c>
      <c r="AH322" s="111">
        <f t="shared" si="22"/>
        <v>1050</v>
      </c>
      <c r="AI322" s="111">
        <f t="shared" si="23"/>
        <v>950</v>
      </c>
      <c r="AJ322" s="111">
        <f t="shared" si="24"/>
        <v>810</v>
      </c>
    </row>
    <row r="323" s="52" customFormat="1" ht="32" customHeight="1" spans="1:36">
      <c r="A323" s="64"/>
      <c r="B323" s="64"/>
      <c r="C323" s="66" t="s">
        <v>1531</v>
      </c>
      <c r="D323" s="65"/>
      <c r="E323" s="77"/>
      <c r="F323" s="77"/>
      <c r="G323" s="64"/>
      <c r="H323" s="42"/>
      <c r="I323" s="42"/>
      <c r="J323" s="83"/>
      <c r="K323" s="83"/>
      <c r="L323" s="83"/>
      <c r="M323" s="83"/>
      <c r="N323" s="92">
        <v>1050</v>
      </c>
      <c r="O323" s="92">
        <v>950</v>
      </c>
      <c r="P323" s="95">
        <v>810</v>
      </c>
      <c r="Q323" s="64"/>
      <c r="R323" s="64"/>
      <c r="S323" s="64"/>
      <c r="T323" s="83"/>
      <c r="U323" s="104"/>
      <c r="V323" s="105" t="s">
        <v>1541</v>
      </c>
      <c r="W323" s="105">
        <v>330409016</v>
      </c>
      <c r="X323" s="106" t="s">
        <v>1542</v>
      </c>
      <c r="Y323" s="105"/>
      <c r="Z323" s="105"/>
      <c r="AA323" s="105" t="s">
        <v>36</v>
      </c>
      <c r="AB323" s="110" t="s">
        <v>35</v>
      </c>
      <c r="AC323" s="50">
        <v>2060</v>
      </c>
      <c r="AD323" s="50">
        <v>1850</v>
      </c>
      <c r="AE323" s="50">
        <v>1570</v>
      </c>
      <c r="AF323" s="111">
        <f t="shared" si="20"/>
        <v>0</v>
      </c>
      <c r="AG323" s="111" t="str">
        <f t="shared" si="21"/>
        <v>眼球摘除费</v>
      </c>
      <c r="AH323" s="111">
        <f t="shared" si="22"/>
        <v>1050</v>
      </c>
      <c r="AI323" s="111">
        <f t="shared" si="23"/>
        <v>950</v>
      </c>
      <c r="AJ323" s="111">
        <f t="shared" si="24"/>
        <v>810</v>
      </c>
    </row>
    <row r="324" s="52" customFormat="1" ht="26" customHeight="1" spans="1:36">
      <c r="A324" s="64" t="s">
        <v>95</v>
      </c>
      <c r="B324" s="64" t="s">
        <v>1543</v>
      </c>
      <c r="C324" s="66" t="s">
        <v>1544</v>
      </c>
      <c r="D324" s="65"/>
      <c r="E324" s="77"/>
      <c r="F324" s="77" t="s">
        <v>35</v>
      </c>
      <c r="G324" s="64" t="s">
        <v>110</v>
      </c>
      <c r="H324" s="78">
        <v>330</v>
      </c>
      <c r="I324" s="78">
        <v>297</v>
      </c>
      <c r="J324" s="83"/>
      <c r="K324" s="83"/>
      <c r="L324" s="83"/>
      <c r="M324" s="83"/>
      <c r="N324" s="91">
        <v>315</v>
      </c>
      <c r="O324" s="91">
        <v>285</v>
      </c>
      <c r="P324" s="93">
        <v>245</v>
      </c>
      <c r="Q324" s="64" t="s">
        <v>37</v>
      </c>
      <c r="R324" s="64" t="s">
        <v>35</v>
      </c>
      <c r="S324" s="64" t="s">
        <v>35</v>
      </c>
      <c r="T324" s="83"/>
      <c r="U324" s="77" t="s">
        <v>186</v>
      </c>
      <c r="V324" s="105" t="s">
        <v>1545</v>
      </c>
      <c r="W324" s="105">
        <v>33040900801</v>
      </c>
      <c r="X324" s="106" t="s">
        <v>1546</v>
      </c>
      <c r="Y324" s="105"/>
      <c r="Z324" s="105"/>
      <c r="AA324" s="105" t="s">
        <v>36</v>
      </c>
      <c r="AB324" s="110" t="s">
        <v>35</v>
      </c>
      <c r="AC324" s="50">
        <v>815</v>
      </c>
      <c r="AD324" s="50">
        <v>780</v>
      </c>
      <c r="AE324" s="50">
        <v>665</v>
      </c>
      <c r="AF324" s="111">
        <f t="shared" si="20"/>
        <v>6</v>
      </c>
      <c r="AG324" s="111" t="str">
        <f t="shared" si="21"/>
        <v>眼球摘除费</v>
      </c>
      <c r="AH324" s="111">
        <f t="shared" si="22"/>
        <v>1365</v>
      </c>
      <c r="AI324" s="111">
        <f t="shared" si="23"/>
        <v>1235</v>
      </c>
      <c r="AJ324" s="111">
        <f t="shared" si="24"/>
        <v>1055</v>
      </c>
    </row>
    <row r="325" s="52" customFormat="1" ht="26" customHeight="1" spans="1:36">
      <c r="A325" s="64"/>
      <c r="B325" s="64"/>
      <c r="C325" s="66" t="s">
        <v>1544</v>
      </c>
      <c r="D325" s="65"/>
      <c r="E325" s="77"/>
      <c r="F325" s="77"/>
      <c r="G325" s="64"/>
      <c r="H325" s="42"/>
      <c r="I325" s="42"/>
      <c r="J325" s="83"/>
      <c r="K325" s="83"/>
      <c r="L325" s="83"/>
      <c r="M325" s="83"/>
      <c r="N325" s="91">
        <v>315</v>
      </c>
      <c r="O325" s="91">
        <v>285</v>
      </c>
      <c r="P325" s="93">
        <v>245</v>
      </c>
      <c r="Q325" s="64"/>
      <c r="R325" s="64"/>
      <c r="S325" s="64"/>
      <c r="T325" s="83"/>
      <c r="U325" s="77"/>
      <c r="V325" s="105" t="s">
        <v>1547</v>
      </c>
      <c r="W325" s="105">
        <v>33040900901</v>
      </c>
      <c r="X325" s="106" t="s">
        <v>1548</v>
      </c>
      <c r="Y325" s="105"/>
      <c r="Z325" s="105"/>
      <c r="AA325" s="105" t="s">
        <v>36</v>
      </c>
      <c r="AB325" s="110" t="s">
        <v>35</v>
      </c>
      <c r="AC325" s="50">
        <v>1755</v>
      </c>
      <c r="AD325" s="50">
        <v>1585</v>
      </c>
      <c r="AE325" s="50">
        <v>1345</v>
      </c>
      <c r="AF325" s="111">
        <f t="shared" ref="AF325:AF388" si="25">IFERROR(FIND("-儿童（加收）",C325,1),0)</f>
        <v>6</v>
      </c>
      <c r="AG325" s="111" t="str">
        <f t="shared" ref="AG325:AG388" si="26">SUBSTITUTE(C325,"-儿童（加收）","")</f>
        <v>眼球摘除费</v>
      </c>
      <c r="AH325" s="111">
        <f t="shared" ref="AH325:AH388" si="27">IF(AF325&gt;0,_xlfn.MAXIFS(N:N,C:C,SUBSTITUTE(C325,"-儿童（加收）","")),0)+N325</f>
        <v>1365</v>
      </c>
      <c r="AI325" s="111">
        <f t="shared" ref="AI325:AI388" si="28">IF(AF325&gt;0,_xlfn.MAXIFS(O:O,C:C,SUBSTITUTE(C325,"-儿童（加收）","")),0)+O325</f>
        <v>1235</v>
      </c>
      <c r="AJ325" s="111">
        <f t="shared" ref="AJ325:AJ388" si="29">IF(AF325&gt;0,_xlfn.MAXIFS(P:P,C:C,SUBSTITUTE(C325,"-儿童（加收）","")),0)+P325</f>
        <v>1055</v>
      </c>
    </row>
    <row r="326" s="52" customFormat="1" ht="26" customHeight="1" spans="1:36">
      <c r="A326" s="64"/>
      <c r="B326" s="64"/>
      <c r="C326" s="66" t="s">
        <v>1544</v>
      </c>
      <c r="D326" s="65"/>
      <c r="E326" s="77"/>
      <c r="F326" s="77"/>
      <c r="G326" s="64"/>
      <c r="H326" s="42"/>
      <c r="I326" s="42"/>
      <c r="J326" s="83"/>
      <c r="K326" s="83"/>
      <c r="L326" s="83"/>
      <c r="M326" s="83"/>
      <c r="N326" s="91">
        <v>315</v>
      </c>
      <c r="O326" s="91">
        <v>285</v>
      </c>
      <c r="P326" s="93">
        <v>245</v>
      </c>
      <c r="Q326" s="64"/>
      <c r="R326" s="64"/>
      <c r="S326" s="64"/>
      <c r="T326" s="83"/>
      <c r="U326" s="77"/>
      <c r="V326" s="105" t="s">
        <v>1549</v>
      </c>
      <c r="W326" s="105">
        <v>33040901601</v>
      </c>
      <c r="X326" s="106" t="s">
        <v>1550</v>
      </c>
      <c r="Y326" s="105"/>
      <c r="Z326" s="105"/>
      <c r="AA326" s="105" t="s">
        <v>36</v>
      </c>
      <c r="AB326" s="110" t="s">
        <v>35</v>
      </c>
      <c r="AC326" s="50">
        <v>2680</v>
      </c>
      <c r="AD326" s="50">
        <v>2405</v>
      </c>
      <c r="AE326" s="50">
        <v>2045</v>
      </c>
      <c r="AF326" s="111">
        <f t="shared" si="25"/>
        <v>6</v>
      </c>
      <c r="AG326" s="111" t="str">
        <f t="shared" si="26"/>
        <v>眼球摘除费</v>
      </c>
      <c r="AH326" s="111">
        <f t="shared" si="27"/>
        <v>1365</v>
      </c>
      <c r="AI326" s="111">
        <f t="shared" si="28"/>
        <v>1235</v>
      </c>
      <c r="AJ326" s="111">
        <f t="shared" si="29"/>
        <v>1055</v>
      </c>
    </row>
    <row r="327" s="52" customFormat="1" ht="38" customHeight="1" spans="1:36">
      <c r="A327" s="112" t="s">
        <v>95</v>
      </c>
      <c r="B327" s="112" t="s">
        <v>1551</v>
      </c>
      <c r="C327" s="66" t="s">
        <v>1552</v>
      </c>
      <c r="D327" s="65"/>
      <c r="E327" s="77"/>
      <c r="F327" s="77" t="s">
        <v>35</v>
      </c>
      <c r="G327" s="64" t="s">
        <v>110</v>
      </c>
      <c r="H327" s="42">
        <v>550</v>
      </c>
      <c r="I327" s="42">
        <v>495</v>
      </c>
      <c r="J327" s="83"/>
      <c r="K327" s="83"/>
      <c r="L327" s="83"/>
      <c r="M327" s="83"/>
      <c r="N327" s="91">
        <v>525</v>
      </c>
      <c r="O327" s="91">
        <v>475</v>
      </c>
      <c r="P327" s="93">
        <v>405</v>
      </c>
      <c r="Q327" s="64" t="s">
        <v>37</v>
      </c>
      <c r="R327" s="64" t="s">
        <v>35</v>
      </c>
      <c r="S327" s="64" t="s">
        <v>35</v>
      </c>
      <c r="T327" s="83"/>
      <c r="U327" s="77" t="s">
        <v>1553</v>
      </c>
      <c r="V327" s="105" t="s">
        <v>1554</v>
      </c>
      <c r="W327" s="105">
        <v>330409015</v>
      </c>
      <c r="X327" s="106" t="s">
        <v>1555</v>
      </c>
      <c r="Y327" s="105" t="s">
        <v>1556</v>
      </c>
      <c r="Z327" s="105"/>
      <c r="AA327" s="105" t="s">
        <v>36</v>
      </c>
      <c r="AB327" s="110" t="s">
        <v>35</v>
      </c>
      <c r="AC327" s="50">
        <v>1440</v>
      </c>
      <c r="AD327" s="50">
        <v>1300</v>
      </c>
      <c r="AE327" s="50">
        <v>1110</v>
      </c>
      <c r="AF327" s="111">
        <f t="shared" si="25"/>
        <v>0</v>
      </c>
      <c r="AG327" s="111" t="str">
        <f t="shared" si="26"/>
        <v>眼球摘除费-眶内容物摘除（加收）</v>
      </c>
      <c r="AH327" s="111">
        <f t="shared" si="27"/>
        <v>525</v>
      </c>
      <c r="AI327" s="111">
        <f t="shared" si="28"/>
        <v>475</v>
      </c>
      <c r="AJ327" s="111">
        <f t="shared" si="29"/>
        <v>405</v>
      </c>
    </row>
    <row r="328" s="52" customFormat="1" ht="36" customHeight="1" spans="1:36">
      <c r="A328" s="112"/>
      <c r="B328" s="112"/>
      <c r="C328" s="66" t="s">
        <v>1552</v>
      </c>
      <c r="D328" s="65"/>
      <c r="E328" s="77"/>
      <c r="F328" s="77"/>
      <c r="G328" s="64"/>
      <c r="H328" s="42"/>
      <c r="I328" s="42"/>
      <c r="J328" s="83"/>
      <c r="K328" s="83"/>
      <c r="L328" s="83"/>
      <c r="M328" s="83"/>
      <c r="N328" s="91">
        <v>525</v>
      </c>
      <c r="O328" s="91">
        <v>475</v>
      </c>
      <c r="P328" s="93">
        <v>405</v>
      </c>
      <c r="Q328" s="64"/>
      <c r="R328" s="64"/>
      <c r="S328" s="64"/>
      <c r="T328" s="83"/>
      <c r="U328" s="77"/>
      <c r="V328" s="105" t="s">
        <v>1557</v>
      </c>
      <c r="W328" s="105">
        <v>33040901501</v>
      </c>
      <c r="X328" s="106" t="s">
        <v>1558</v>
      </c>
      <c r="Y328" s="105"/>
      <c r="Z328" s="105"/>
      <c r="AA328" s="105" t="s">
        <v>36</v>
      </c>
      <c r="AB328" s="110" t="s">
        <v>35</v>
      </c>
      <c r="AC328" s="50">
        <v>1870</v>
      </c>
      <c r="AD328" s="50">
        <v>1690</v>
      </c>
      <c r="AE328" s="50">
        <v>1435</v>
      </c>
      <c r="AF328" s="111">
        <f t="shared" si="25"/>
        <v>0</v>
      </c>
      <c r="AG328" s="111" t="str">
        <f t="shared" si="26"/>
        <v>眼球摘除费-眶内容物摘除（加收）</v>
      </c>
      <c r="AH328" s="111">
        <f t="shared" si="27"/>
        <v>525</v>
      </c>
      <c r="AI328" s="111">
        <f t="shared" si="28"/>
        <v>475</v>
      </c>
      <c r="AJ328" s="111">
        <f t="shared" si="29"/>
        <v>405</v>
      </c>
    </row>
    <row r="329" s="52" customFormat="1" ht="57" customHeight="1" spans="1:36">
      <c r="A329" s="112">
        <v>106</v>
      </c>
      <c r="B329" s="112" t="s">
        <v>1559</v>
      </c>
      <c r="C329" s="64" t="s">
        <v>1560</v>
      </c>
      <c r="D329" s="65" t="s">
        <v>1561</v>
      </c>
      <c r="E329" s="77" t="s">
        <v>1562</v>
      </c>
      <c r="F329" s="77" t="s">
        <v>35</v>
      </c>
      <c r="G329" s="64" t="s">
        <v>110</v>
      </c>
      <c r="H329" s="78">
        <v>1920</v>
      </c>
      <c r="I329" s="78">
        <v>1730</v>
      </c>
      <c r="J329" s="83">
        <v>1650</v>
      </c>
      <c r="K329" s="83">
        <v>1490</v>
      </c>
      <c r="L329" s="83">
        <v>1270</v>
      </c>
      <c r="M329" s="83"/>
      <c r="N329" s="89">
        <v>1730</v>
      </c>
      <c r="O329" s="89">
        <v>1550</v>
      </c>
      <c r="P329" s="90">
        <v>1320</v>
      </c>
      <c r="Q329" s="64" t="s">
        <v>37</v>
      </c>
      <c r="R329" s="64" t="s">
        <v>35</v>
      </c>
      <c r="S329" s="64" t="s">
        <v>35</v>
      </c>
      <c r="T329" s="83" t="s">
        <v>333</v>
      </c>
      <c r="U329" s="104" t="s">
        <v>1343</v>
      </c>
      <c r="V329" s="105" t="s">
        <v>1563</v>
      </c>
      <c r="W329" s="105">
        <v>330409014</v>
      </c>
      <c r="X329" s="106" t="s">
        <v>1564</v>
      </c>
      <c r="Y329" s="105" t="s">
        <v>1565</v>
      </c>
      <c r="Z329" s="105"/>
      <c r="AA329" s="105" t="s">
        <v>36</v>
      </c>
      <c r="AB329" s="110" t="s">
        <v>1566</v>
      </c>
      <c r="AC329" s="50">
        <v>1650</v>
      </c>
      <c r="AD329" s="50">
        <v>1490</v>
      </c>
      <c r="AE329" s="50">
        <v>1270</v>
      </c>
      <c r="AF329" s="111">
        <f t="shared" si="25"/>
        <v>0</v>
      </c>
      <c r="AG329" s="111" t="str">
        <f t="shared" si="26"/>
        <v>眶内病变摘除费（常规）</v>
      </c>
      <c r="AH329" s="111">
        <f t="shared" si="27"/>
        <v>1730</v>
      </c>
      <c r="AI329" s="111">
        <f t="shared" si="28"/>
        <v>1550</v>
      </c>
      <c r="AJ329" s="111">
        <f t="shared" si="29"/>
        <v>1320</v>
      </c>
    </row>
    <row r="330" s="52" customFormat="1" ht="39" customHeight="1" spans="1:36">
      <c r="A330" s="112" t="s">
        <v>95</v>
      </c>
      <c r="B330" s="112" t="s">
        <v>1567</v>
      </c>
      <c r="C330" s="64" t="s">
        <v>1568</v>
      </c>
      <c r="D330" s="65"/>
      <c r="E330" s="77"/>
      <c r="F330" s="77" t="s">
        <v>35</v>
      </c>
      <c r="G330" s="64" t="s">
        <v>110</v>
      </c>
      <c r="H330" s="78">
        <v>576</v>
      </c>
      <c r="I330" s="78">
        <v>519</v>
      </c>
      <c r="J330" s="83">
        <v>495</v>
      </c>
      <c r="K330" s="83">
        <v>445</v>
      </c>
      <c r="L330" s="83">
        <v>375</v>
      </c>
      <c r="M330" s="83"/>
      <c r="N330" s="89">
        <v>520</v>
      </c>
      <c r="O330" s="89">
        <v>465</v>
      </c>
      <c r="P330" s="90">
        <v>395</v>
      </c>
      <c r="Q330" s="64" t="s">
        <v>37</v>
      </c>
      <c r="R330" s="64" t="s">
        <v>35</v>
      </c>
      <c r="S330" s="64" t="s">
        <v>35</v>
      </c>
      <c r="T330" s="83"/>
      <c r="U330" s="77" t="s">
        <v>186</v>
      </c>
      <c r="V330" s="105" t="s">
        <v>1569</v>
      </c>
      <c r="W330" s="105">
        <v>33040901402</v>
      </c>
      <c r="X330" s="106" t="s">
        <v>1570</v>
      </c>
      <c r="Y330" s="105"/>
      <c r="Z330" s="105"/>
      <c r="AA330" s="105" t="s">
        <v>36</v>
      </c>
      <c r="AB330" s="110" t="s">
        <v>35</v>
      </c>
      <c r="AC330" s="50">
        <v>2145</v>
      </c>
      <c r="AD330" s="50">
        <v>1935</v>
      </c>
      <c r="AE330" s="50">
        <v>1645</v>
      </c>
      <c r="AF330" s="111">
        <f t="shared" si="25"/>
        <v>12</v>
      </c>
      <c r="AG330" s="111" t="str">
        <f t="shared" si="26"/>
        <v>眶内病变摘除费（常规）</v>
      </c>
      <c r="AH330" s="111">
        <f t="shared" si="27"/>
        <v>2250</v>
      </c>
      <c r="AI330" s="111">
        <f t="shared" si="28"/>
        <v>2015</v>
      </c>
      <c r="AJ330" s="111">
        <f t="shared" si="29"/>
        <v>1715</v>
      </c>
    </row>
    <row r="331" s="52" customFormat="1" ht="63.75" spans="1:36">
      <c r="A331" s="112">
        <v>107</v>
      </c>
      <c r="B331" s="112" t="s">
        <v>1571</v>
      </c>
      <c r="C331" s="64" t="s">
        <v>1572</v>
      </c>
      <c r="D331" s="65" t="s">
        <v>1573</v>
      </c>
      <c r="E331" s="77" t="s">
        <v>1574</v>
      </c>
      <c r="F331" s="77" t="s">
        <v>1575</v>
      </c>
      <c r="G331" s="64" t="s">
        <v>110</v>
      </c>
      <c r="H331" s="78">
        <v>2160</v>
      </c>
      <c r="I331" s="78">
        <v>1945</v>
      </c>
      <c r="J331" s="83">
        <v>1620</v>
      </c>
      <c r="K331" s="83">
        <v>1460</v>
      </c>
      <c r="L331" s="83">
        <v>1240</v>
      </c>
      <c r="M331" s="83"/>
      <c r="N331" s="89">
        <v>1945</v>
      </c>
      <c r="O331" s="89">
        <v>1750</v>
      </c>
      <c r="P331" s="96">
        <v>1490</v>
      </c>
      <c r="Q331" s="64" t="s">
        <v>37</v>
      </c>
      <c r="R331" s="64" t="s">
        <v>35</v>
      </c>
      <c r="S331" s="64" t="s">
        <v>35</v>
      </c>
      <c r="T331" s="83" t="s">
        <v>333</v>
      </c>
      <c r="U331" s="104" t="s">
        <v>1017</v>
      </c>
      <c r="V331" s="105" t="s">
        <v>1576</v>
      </c>
      <c r="W331" s="105">
        <v>33040901401</v>
      </c>
      <c r="X331" s="106" t="s">
        <v>1577</v>
      </c>
      <c r="Y331" s="105" t="s">
        <v>35</v>
      </c>
      <c r="Z331" s="105"/>
      <c r="AA331" s="105" t="s">
        <v>36</v>
      </c>
      <c r="AB331" s="110" t="s">
        <v>1578</v>
      </c>
      <c r="AC331" s="50">
        <v>1620</v>
      </c>
      <c r="AD331" s="50">
        <v>1460</v>
      </c>
      <c r="AE331" s="50">
        <v>1240</v>
      </c>
      <c r="AF331" s="111">
        <f t="shared" si="25"/>
        <v>0</v>
      </c>
      <c r="AG331" s="111" t="str">
        <f t="shared" si="26"/>
        <v>眶内病变摘除费（复杂）</v>
      </c>
      <c r="AH331" s="111">
        <f t="shared" si="27"/>
        <v>1945</v>
      </c>
      <c r="AI331" s="111">
        <f t="shared" si="28"/>
        <v>1750</v>
      </c>
      <c r="AJ331" s="111">
        <f t="shared" si="29"/>
        <v>1490</v>
      </c>
    </row>
    <row r="332" s="52" customFormat="1" ht="31" customHeight="1" spans="1:36">
      <c r="A332" s="112" t="s">
        <v>95</v>
      </c>
      <c r="B332" s="112" t="s">
        <v>1579</v>
      </c>
      <c r="C332" s="64" t="s">
        <v>1580</v>
      </c>
      <c r="D332" s="65"/>
      <c r="E332" s="77"/>
      <c r="F332" s="77" t="s">
        <v>35</v>
      </c>
      <c r="G332" s="64" t="s">
        <v>110</v>
      </c>
      <c r="H332" s="78">
        <v>648</v>
      </c>
      <c r="I332" s="78">
        <v>584</v>
      </c>
      <c r="J332" s="83">
        <v>485</v>
      </c>
      <c r="K332" s="83">
        <v>440</v>
      </c>
      <c r="L332" s="83">
        <v>375</v>
      </c>
      <c r="M332" s="83"/>
      <c r="N332" s="94">
        <v>585</v>
      </c>
      <c r="O332" s="94">
        <v>525</v>
      </c>
      <c r="P332" s="96">
        <v>445</v>
      </c>
      <c r="Q332" s="64" t="s">
        <v>37</v>
      </c>
      <c r="R332" s="64" t="s">
        <v>35</v>
      </c>
      <c r="S332" s="64" t="s">
        <v>35</v>
      </c>
      <c r="T332" s="83"/>
      <c r="U332" s="77" t="s">
        <v>186</v>
      </c>
      <c r="V332" s="105" t="s">
        <v>1581</v>
      </c>
      <c r="W332" s="105">
        <v>33040901403</v>
      </c>
      <c r="X332" s="106" t="s">
        <v>1582</v>
      </c>
      <c r="Y332" s="105" t="s">
        <v>35</v>
      </c>
      <c r="Z332" s="105"/>
      <c r="AA332" s="105" t="s">
        <v>36</v>
      </c>
      <c r="AB332" s="110" t="s">
        <v>1578</v>
      </c>
      <c r="AC332" s="50">
        <v>2105</v>
      </c>
      <c r="AD332" s="50">
        <v>1900</v>
      </c>
      <c r="AE332" s="50">
        <v>1615</v>
      </c>
      <c r="AF332" s="111">
        <f t="shared" si="25"/>
        <v>12</v>
      </c>
      <c r="AG332" s="111" t="str">
        <f t="shared" si="26"/>
        <v>眶内病变摘除费（复杂）</v>
      </c>
      <c r="AH332" s="111">
        <f t="shared" si="27"/>
        <v>2530</v>
      </c>
      <c r="AI332" s="111">
        <f t="shared" si="28"/>
        <v>2275</v>
      </c>
      <c r="AJ332" s="111">
        <f t="shared" si="29"/>
        <v>1935</v>
      </c>
    </row>
    <row r="333" s="52" customFormat="1" ht="25.5" spans="1:36">
      <c r="A333" s="64">
        <v>108</v>
      </c>
      <c r="B333" s="64" t="s">
        <v>1583</v>
      </c>
      <c r="C333" s="66" t="s">
        <v>1584</v>
      </c>
      <c r="D333" s="65" t="s">
        <v>1585</v>
      </c>
      <c r="E333" s="77" t="s">
        <v>1586</v>
      </c>
      <c r="F333" s="77" t="s">
        <v>35</v>
      </c>
      <c r="G333" s="64" t="s">
        <v>110</v>
      </c>
      <c r="H333" s="78">
        <v>1900</v>
      </c>
      <c r="I333" s="78">
        <v>1710</v>
      </c>
      <c r="J333" s="84">
        <v>1431.05263157895</v>
      </c>
      <c r="K333" s="83">
        <v>1220</v>
      </c>
      <c r="L333" s="83"/>
      <c r="M333" s="83"/>
      <c r="N333" s="91">
        <v>1700</v>
      </c>
      <c r="O333" s="91">
        <v>1530</v>
      </c>
      <c r="P333" s="93">
        <v>1300</v>
      </c>
      <c r="Q333" s="64" t="s">
        <v>37</v>
      </c>
      <c r="R333" s="64" t="s">
        <v>35</v>
      </c>
      <c r="S333" s="64" t="s">
        <v>35</v>
      </c>
      <c r="T333" s="83" t="s">
        <v>333</v>
      </c>
      <c r="U333" s="77" t="s">
        <v>1587</v>
      </c>
      <c r="V333" s="105" t="s">
        <v>1588</v>
      </c>
      <c r="W333" s="105">
        <v>330409006</v>
      </c>
      <c r="X333" s="106" t="s">
        <v>1589</v>
      </c>
      <c r="Y333" s="105"/>
      <c r="Z333" s="105"/>
      <c r="AA333" s="105" t="s">
        <v>36</v>
      </c>
      <c r="AB333" s="110"/>
      <c r="AC333" s="50">
        <v>1440</v>
      </c>
      <c r="AD333" s="50">
        <v>1300</v>
      </c>
      <c r="AE333" s="50">
        <v>1110</v>
      </c>
      <c r="AF333" s="111">
        <f t="shared" si="25"/>
        <v>0</v>
      </c>
      <c r="AG333" s="111" t="str">
        <f t="shared" si="26"/>
        <v>眼眶减压费</v>
      </c>
      <c r="AH333" s="111">
        <f t="shared" si="27"/>
        <v>1700</v>
      </c>
      <c r="AI333" s="111">
        <f t="shared" si="28"/>
        <v>1530</v>
      </c>
      <c r="AJ333" s="111">
        <f t="shared" si="29"/>
        <v>1300</v>
      </c>
    </row>
    <row r="334" s="55" customFormat="1" ht="25.5" spans="1:36">
      <c r="A334" s="64"/>
      <c r="B334" s="64"/>
      <c r="C334" s="66" t="s">
        <v>1584</v>
      </c>
      <c r="D334" s="65"/>
      <c r="E334" s="77"/>
      <c r="F334" s="77"/>
      <c r="G334" s="64"/>
      <c r="H334" s="42"/>
      <c r="I334" s="42"/>
      <c r="J334" s="84"/>
      <c r="K334" s="83"/>
      <c r="L334" s="83"/>
      <c r="M334" s="83"/>
      <c r="N334" s="91">
        <v>1700</v>
      </c>
      <c r="O334" s="91">
        <v>1530</v>
      </c>
      <c r="P334" s="93">
        <v>1300</v>
      </c>
      <c r="Q334" s="64"/>
      <c r="R334" s="64"/>
      <c r="S334" s="64"/>
      <c r="T334" s="83"/>
      <c r="U334" s="77"/>
      <c r="V334" s="105" t="s">
        <v>1590</v>
      </c>
      <c r="W334" s="105">
        <v>330409022</v>
      </c>
      <c r="X334" s="106" t="s">
        <v>1591</v>
      </c>
      <c r="Y334" s="105"/>
      <c r="Z334" s="105"/>
      <c r="AA334" s="105" t="s">
        <v>664</v>
      </c>
      <c r="AB334" s="110"/>
      <c r="AC334" s="50">
        <v>1350</v>
      </c>
      <c r="AD334" s="50">
        <v>1220</v>
      </c>
      <c r="AE334" s="50">
        <v>1040</v>
      </c>
      <c r="AF334" s="111">
        <f t="shared" si="25"/>
        <v>0</v>
      </c>
      <c r="AG334" s="111" t="str">
        <f t="shared" si="26"/>
        <v>眼眶减压费</v>
      </c>
      <c r="AH334" s="111">
        <f t="shared" si="27"/>
        <v>1700</v>
      </c>
      <c r="AI334" s="111">
        <f t="shared" si="28"/>
        <v>1530</v>
      </c>
      <c r="AJ334" s="111">
        <f t="shared" si="29"/>
        <v>1300</v>
      </c>
    </row>
    <row r="335" s="55" customFormat="1" ht="25.5" spans="1:36">
      <c r="A335" s="64"/>
      <c r="B335" s="64"/>
      <c r="C335" s="66" t="s">
        <v>1584</v>
      </c>
      <c r="D335" s="65"/>
      <c r="E335" s="77"/>
      <c r="F335" s="77"/>
      <c r="G335" s="64"/>
      <c r="H335" s="42"/>
      <c r="I335" s="42"/>
      <c r="J335" s="84"/>
      <c r="K335" s="83"/>
      <c r="L335" s="83"/>
      <c r="M335" s="83"/>
      <c r="N335" s="91">
        <v>1700</v>
      </c>
      <c r="O335" s="91">
        <v>1530</v>
      </c>
      <c r="P335" s="93">
        <v>1300</v>
      </c>
      <c r="Q335" s="64"/>
      <c r="R335" s="64"/>
      <c r="S335" s="64"/>
      <c r="T335" s="83"/>
      <c r="U335" s="77"/>
      <c r="V335" s="105" t="s">
        <v>1592</v>
      </c>
      <c r="W335" s="105">
        <v>330409024</v>
      </c>
      <c r="X335" s="106" t="s">
        <v>1593</v>
      </c>
      <c r="Y335" s="105"/>
      <c r="Z335" s="105" t="s">
        <v>1594</v>
      </c>
      <c r="AA335" s="105" t="s">
        <v>36</v>
      </c>
      <c r="AB335" s="110"/>
      <c r="AC335" s="50">
        <v>2890</v>
      </c>
      <c r="AD335" s="50">
        <v>2600</v>
      </c>
      <c r="AE335" s="50">
        <v>2210</v>
      </c>
      <c r="AF335" s="111">
        <f t="shared" si="25"/>
        <v>0</v>
      </c>
      <c r="AG335" s="111" t="str">
        <f t="shared" si="26"/>
        <v>眼眶减压费</v>
      </c>
      <c r="AH335" s="111">
        <f t="shared" si="27"/>
        <v>1700</v>
      </c>
      <c r="AI335" s="111">
        <f t="shared" si="28"/>
        <v>1530</v>
      </c>
      <c r="AJ335" s="111">
        <f t="shared" si="29"/>
        <v>1300</v>
      </c>
    </row>
    <row r="336" s="55" customFormat="1" ht="25.5" spans="1:36">
      <c r="A336" s="64" t="s">
        <v>95</v>
      </c>
      <c r="B336" s="64" t="s">
        <v>1595</v>
      </c>
      <c r="C336" s="66" t="s">
        <v>1596</v>
      </c>
      <c r="D336" s="65"/>
      <c r="E336" s="77"/>
      <c r="F336" s="77" t="s">
        <v>35</v>
      </c>
      <c r="G336" s="64" t="s">
        <v>110</v>
      </c>
      <c r="H336" s="78">
        <v>570</v>
      </c>
      <c r="I336" s="78">
        <v>513</v>
      </c>
      <c r="J336" s="83"/>
      <c r="K336" s="83"/>
      <c r="L336" s="83"/>
      <c r="M336" s="83"/>
      <c r="N336" s="91">
        <v>510</v>
      </c>
      <c r="O336" s="91">
        <v>459</v>
      </c>
      <c r="P336" s="93">
        <v>390</v>
      </c>
      <c r="Q336" s="64" t="s">
        <v>37</v>
      </c>
      <c r="R336" s="64" t="s">
        <v>35</v>
      </c>
      <c r="S336" s="64" t="s">
        <v>35</v>
      </c>
      <c r="T336" s="83"/>
      <c r="U336" s="77" t="s">
        <v>186</v>
      </c>
      <c r="V336" s="105" t="s">
        <v>1597</v>
      </c>
      <c r="W336" s="105">
        <v>33040900601</v>
      </c>
      <c r="X336" s="106" t="s">
        <v>1598</v>
      </c>
      <c r="Y336" s="105"/>
      <c r="Z336" s="105"/>
      <c r="AA336" s="105" t="s">
        <v>36</v>
      </c>
      <c r="AB336" s="110" t="s">
        <v>35</v>
      </c>
      <c r="AC336" s="50">
        <v>1870</v>
      </c>
      <c r="AD336" s="50">
        <v>1690</v>
      </c>
      <c r="AE336" s="50">
        <v>1435</v>
      </c>
      <c r="AF336" s="111">
        <f t="shared" si="25"/>
        <v>6</v>
      </c>
      <c r="AG336" s="111" t="str">
        <f t="shared" si="26"/>
        <v>眼眶减压费</v>
      </c>
      <c r="AH336" s="111">
        <f t="shared" si="27"/>
        <v>2210</v>
      </c>
      <c r="AI336" s="111">
        <f t="shared" si="28"/>
        <v>1989</v>
      </c>
      <c r="AJ336" s="111">
        <f t="shared" si="29"/>
        <v>1690</v>
      </c>
    </row>
    <row r="337" customFormat="1" ht="25.5" spans="1:36">
      <c r="A337" s="64"/>
      <c r="B337" s="64"/>
      <c r="C337" s="66" t="s">
        <v>1596</v>
      </c>
      <c r="D337" s="65"/>
      <c r="E337" s="77"/>
      <c r="F337" s="77"/>
      <c r="G337" s="64"/>
      <c r="H337" s="42"/>
      <c r="I337" s="42"/>
      <c r="J337" s="83"/>
      <c r="K337" s="83"/>
      <c r="L337" s="83"/>
      <c r="M337" s="83"/>
      <c r="N337" s="91">
        <v>510</v>
      </c>
      <c r="O337" s="91">
        <v>459</v>
      </c>
      <c r="P337" s="93">
        <v>390</v>
      </c>
      <c r="Q337" s="64"/>
      <c r="R337" s="64"/>
      <c r="S337" s="64"/>
      <c r="T337" s="83"/>
      <c r="U337" s="77"/>
      <c r="V337" s="105" t="s">
        <v>1599</v>
      </c>
      <c r="W337" s="105">
        <v>33040902201</v>
      </c>
      <c r="X337" s="106" t="s">
        <v>1600</v>
      </c>
      <c r="Y337" s="105"/>
      <c r="Z337" s="105"/>
      <c r="AA337" s="105" t="s">
        <v>664</v>
      </c>
      <c r="AB337" s="110" t="s">
        <v>35</v>
      </c>
      <c r="AC337" s="50">
        <v>1755</v>
      </c>
      <c r="AD337" s="50">
        <v>1585</v>
      </c>
      <c r="AE337" s="50">
        <v>1345</v>
      </c>
      <c r="AF337" s="111">
        <f t="shared" si="25"/>
        <v>6</v>
      </c>
      <c r="AG337" s="111" t="str">
        <f t="shared" si="26"/>
        <v>眼眶减压费</v>
      </c>
      <c r="AH337" s="111">
        <f t="shared" si="27"/>
        <v>2210</v>
      </c>
      <c r="AI337" s="111">
        <f t="shared" si="28"/>
        <v>1989</v>
      </c>
      <c r="AJ337" s="111">
        <f t="shared" si="29"/>
        <v>1690</v>
      </c>
    </row>
    <row r="338" customFormat="1" ht="25.5" spans="1:36">
      <c r="A338" s="64"/>
      <c r="B338" s="64"/>
      <c r="C338" s="66" t="s">
        <v>1596</v>
      </c>
      <c r="D338" s="65"/>
      <c r="E338" s="77"/>
      <c r="F338" s="77"/>
      <c r="G338" s="64"/>
      <c r="H338" s="42"/>
      <c r="I338" s="42"/>
      <c r="J338" s="83"/>
      <c r="K338" s="83"/>
      <c r="L338" s="83"/>
      <c r="M338" s="83"/>
      <c r="N338" s="91">
        <v>510</v>
      </c>
      <c r="O338" s="91">
        <v>459</v>
      </c>
      <c r="P338" s="93">
        <v>390</v>
      </c>
      <c r="Q338" s="64"/>
      <c r="R338" s="64"/>
      <c r="S338" s="64"/>
      <c r="T338" s="83"/>
      <c r="U338" s="77"/>
      <c r="V338" s="105" t="s">
        <v>1601</v>
      </c>
      <c r="W338" s="105">
        <v>33040902401</v>
      </c>
      <c r="X338" s="106" t="s">
        <v>1602</v>
      </c>
      <c r="Y338" s="105"/>
      <c r="Z338" s="105"/>
      <c r="AA338" s="105" t="s">
        <v>36</v>
      </c>
      <c r="AB338" s="110" t="s">
        <v>35</v>
      </c>
      <c r="AC338" s="50">
        <v>3755</v>
      </c>
      <c r="AD338" s="50">
        <v>3380</v>
      </c>
      <c r="AE338" s="50">
        <v>2875</v>
      </c>
      <c r="AF338" s="111">
        <f t="shared" si="25"/>
        <v>6</v>
      </c>
      <c r="AG338" s="111" t="str">
        <f t="shared" si="26"/>
        <v>眼眶减压费</v>
      </c>
      <c r="AH338" s="111">
        <f t="shared" si="27"/>
        <v>2210</v>
      </c>
      <c r="AI338" s="111">
        <f t="shared" si="28"/>
        <v>1989</v>
      </c>
      <c r="AJ338" s="111">
        <f t="shared" si="29"/>
        <v>1690</v>
      </c>
    </row>
    <row r="339" s="52" customFormat="1" ht="51" spans="1:36">
      <c r="A339" s="112">
        <v>109</v>
      </c>
      <c r="B339" s="112" t="s">
        <v>1606</v>
      </c>
      <c r="C339" s="64" t="s">
        <v>1607</v>
      </c>
      <c r="D339" s="65" t="s">
        <v>1608</v>
      </c>
      <c r="E339" s="77" t="s">
        <v>1609</v>
      </c>
      <c r="F339" s="77" t="s">
        <v>35</v>
      </c>
      <c r="G339" s="64" t="s">
        <v>110</v>
      </c>
      <c r="H339" s="78">
        <v>1150</v>
      </c>
      <c r="I339" s="78">
        <v>1035</v>
      </c>
      <c r="J339" s="83">
        <v>1010</v>
      </c>
      <c r="K339" s="83">
        <v>910</v>
      </c>
      <c r="L339" s="83">
        <v>775</v>
      </c>
      <c r="M339" s="83"/>
      <c r="N339" s="41">
        <v>1010</v>
      </c>
      <c r="O339" s="41">
        <v>910</v>
      </c>
      <c r="P339" s="50">
        <v>775</v>
      </c>
      <c r="Q339" s="64" t="s">
        <v>37</v>
      </c>
      <c r="R339" s="64" t="s">
        <v>35</v>
      </c>
      <c r="S339" s="64" t="s">
        <v>35</v>
      </c>
      <c r="T339" s="83"/>
      <c r="U339" s="77" t="s">
        <v>381</v>
      </c>
      <c r="V339" s="105" t="s">
        <v>1610</v>
      </c>
      <c r="W339" s="105">
        <v>330409004</v>
      </c>
      <c r="X339" s="106" t="s">
        <v>1611</v>
      </c>
      <c r="Y339" s="105"/>
      <c r="Z339" s="105"/>
      <c r="AA339" s="105" t="s">
        <v>36</v>
      </c>
      <c r="AB339" s="110" t="s">
        <v>35</v>
      </c>
      <c r="AC339" s="50">
        <v>1010</v>
      </c>
      <c r="AD339" s="50">
        <v>910</v>
      </c>
      <c r="AE339" s="50">
        <v>775</v>
      </c>
      <c r="AF339" s="111">
        <f t="shared" si="25"/>
        <v>0</v>
      </c>
      <c r="AG339" s="111" t="str">
        <f t="shared" si="26"/>
        <v>眶内异物取出费</v>
      </c>
      <c r="AH339" s="111">
        <f t="shared" si="27"/>
        <v>1010</v>
      </c>
      <c r="AI339" s="111">
        <f t="shared" si="28"/>
        <v>910</v>
      </c>
      <c r="AJ339" s="111">
        <f t="shared" si="29"/>
        <v>775</v>
      </c>
    </row>
    <row r="340" s="52" customFormat="1" ht="25.5" spans="1:36">
      <c r="A340" s="112" t="s">
        <v>95</v>
      </c>
      <c r="B340" s="112" t="s">
        <v>1612</v>
      </c>
      <c r="C340" s="64" t="s">
        <v>1613</v>
      </c>
      <c r="D340" s="65"/>
      <c r="E340" s="77"/>
      <c r="F340" s="77" t="s">
        <v>35</v>
      </c>
      <c r="G340" s="64" t="s">
        <v>110</v>
      </c>
      <c r="H340" s="78">
        <v>345</v>
      </c>
      <c r="I340" s="78">
        <v>311</v>
      </c>
      <c r="J340" s="83">
        <v>305</v>
      </c>
      <c r="K340" s="83">
        <v>275</v>
      </c>
      <c r="L340" s="83">
        <v>230</v>
      </c>
      <c r="M340" s="83"/>
      <c r="N340" s="41">
        <v>305</v>
      </c>
      <c r="O340" s="41">
        <v>275</v>
      </c>
      <c r="P340" s="50">
        <v>230</v>
      </c>
      <c r="Q340" s="64" t="s">
        <v>37</v>
      </c>
      <c r="R340" s="64" t="s">
        <v>35</v>
      </c>
      <c r="S340" s="64" t="s">
        <v>35</v>
      </c>
      <c r="T340" s="83"/>
      <c r="U340" s="77" t="s">
        <v>186</v>
      </c>
      <c r="V340" s="105" t="s">
        <v>1614</v>
      </c>
      <c r="W340" s="105">
        <v>33040900401</v>
      </c>
      <c r="X340" s="106" t="s">
        <v>1615</v>
      </c>
      <c r="Y340" s="105"/>
      <c r="Z340" s="105"/>
      <c r="AA340" s="105" t="s">
        <v>36</v>
      </c>
      <c r="AB340" s="110" t="s">
        <v>35</v>
      </c>
      <c r="AC340" s="50">
        <v>1315</v>
      </c>
      <c r="AD340" s="50">
        <v>1185</v>
      </c>
      <c r="AE340" s="50">
        <v>1005</v>
      </c>
      <c r="AF340" s="111">
        <f t="shared" si="25"/>
        <v>8</v>
      </c>
      <c r="AG340" s="111" t="str">
        <f t="shared" si="26"/>
        <v>眶内异物取出费</v>
      </c>
      <c r="AH340" s="111">
        <f t="shared" si="27"/>
        <v>1315</v>
      </c>
      <c r="AI340" s="111">
        <f t="shared" si="28"/>
        <v>1185</v>
      </c>
      <c r="AJ340" s="111">
        <f t="shared" si="29"/>
        <v>1005</v>
      </c>
    </row>
    <row r="341" s="52" customFormat="1" ht="26" customHeight="1" spans="1:36">
      <c r="A341" s="64">
        <v>110</v>
      </c>
      <c r="B341" s="64" t="s">
        <v>1616</v>
      </c>
      <c r="C341" s="66" t="s">
        <v>1617</v>
      </c>
      <c r="D341" s="122" t="s">
        <v>1618</v>
      </c>
      <c r="E341" s="64" t="s">
        <v>1619</v>
      </c>
      <c r="F341" s="64" t="s">
        <v>35</v>
      </c>
      <c r="G341" s="64" t="s">
        <v>110</v>
      </c>
      <c r="H341" s="78">
        <v>1200</v>
      </c>
      <c r="I341" s="78">
        <v>1080</v>
      </c>
      <c r="J341" s="83">
        <v>1142.1875</v>
      </c>
      <c r="K341" s="83">
        <v>1002.85714285714</v>
      </c>
      <c r="L341" s="83"/>
      <c r="M341" s="83"/>
      <c r="N341" s="91">
        <v>1150</v>
      </c>
      <c r="O341" s="91">
        <v>1010</v>
      </c>
      <c r="P341" s="93">
        <v>860</v>
      </c>
      <c r="Q341" s="64" t="s">
        <v>37</v>
      </c>
      <c r="R341" s="64" t="s">
        <v>35</v>
      </c>
      <c r="S341" s="64" t="s">
        <v>35</v>
      </c>
      <c r="T341" s="83" t="s">
        <v>191</v>
      </c>
      <c r="U341" s="77" t="s">
        <v>268</v>
      </c>
      <c r="V341" s="105" t="s">
        <v>1620</v>
      </c>
      <c r="W341" s="105">
        <v>330407003</v>
      </c>
      <c r="X341" s="106" t="s">
        <v>1621</v>
      </c>
      <c r="Y341" s="105"/>
      <c r="Z341" s="105" t="s">
        <v>1622</v>
      </c>
      <c r="AA341" s="105" t="s">
        <v>36</v>
      </c>
      <c r="AB341" s="110" t="s">
        <v>35</v>
      </c>
      <c r="AC341" s="50">
        <v>3090</v>
      </c>
      <c r="AD341" s="50">
        <v>2780</v>
      </c>
      <c r="AE341" s="50">
        <v>2360</v>
      </c>
      <c r="AF341" s="111">
        <f t="shared" si="25"/>
        <v>0</v>
      </c>
      <c r="AG341" s="111" t="str">
        <f t="shared" si="26"/>
        <v>球内异物取出费</v>
      </c>
      <c r="AH341" s="111">
        <f t="shared" si="27"/>
        <v>1150</v>
      </c>
      <c r="AI341" s="111">
        <f t="shared" si="28"/>
        <v>1010</v>
      </c>
      <c r="AJ341" s="111">
        <f t="shared" si="29"/>
        <v>860</v>
      </c>
    </row>
    <row r="342" s="52" customFormat="1" ht="26" customHeight="1" spans="1:36">
      <c r="A342" s="64"/>
      <c r="B342" s="64"/>
      <c r="C342" s="66" t="s">
        <v>1617</v>
      </c>
      <c r="D342" s="122"/>
      <c r="E342" s="64"/>
      <c r="F342" s="64"/>
      <c r="G342" s="64"/>
      <c r="H342" s="78"/>
      <c r="I342" s="78"/>
      <c r="J342" s="83"/>
      <c r="K342" s="83"/>
      <c r="L342" s="83"/>
      <c r="M342" s="83"/>
      <c r="N342" s="91">
        <v>1150</v>
      </c>
      <c r="O342" s="91">
        <v>1010</v>
      </c>
      <c r="P342" s="93">
        <v>860</v>
      </c>
      <c r="Q342" s="64"/>
      <c r="R342" s="64"/>
      <c r="S342" s="64"/>
      <c r="T342" s="83"/>
      <c r="U342" s="77"/>
      <c r="V342" s="105" t="s">
        <v>1623</v>
      </c>
      <c r="W342" s="105">
        <v>330409001</v>
      </c>
      <c r="X342" s="106" t="s">
        <v>1624</v>
      </c>
      <c r="Y342" s="105"/>
      <c r="Z342" s="105"/>
      <c r="AA342" s="105" t="s">
        <v>36</v>
      </c>
      <c r="AB342" s="110" t="s">
        <v>35</v>
      </c>
      <c r="AC342" s="50">
        <v>875</v>
      </c>
      <c r="AD342" s="50">
        <v>840</v>
      </c>
      <c r="AE342" s="50">
        <v>714</v>
      </c>
      <c r="AF342" s="111">
        <f t="shared" si="25"/>
        <v>0</v>
      </c>
      <c r="AG342" s="111" t="str">
        <f t="shared" si="26"/>
        <v>球内异物取出费</v>
      </c>
      <c r="AH342" s="111">
        <f t="shared" si="27"/>
        <v>1150</v>
      </c>
      <c r="AI342" s="111">
        <f t="shared" si="28"/>
        <v>1010</v>
      </c>
      <c r="AJ342" s="111">
        <f t="shared" si="29"/>
        <v>860</v>
      </c>
    </row>
    <row r="343" s="52" customFormat="1" ht="26" customHeight="1" spans="1:36">
      <c r="A343" s="64"/>
      <c r="B343" s="64"/>
      <c r="C343" s="66" t="s">
        <v>1617</v>
      </c>
      <c r="D343" s="122"/>
      <c r="E343" s="64"/>
      <c r="F343" s="64"/>
      <c r="G343" s="64"/>
      <c r="H343" s="78"/>
      <c r="I343" s="78"/>
      <c r="J343" s="83"/>
      <c r="K343" s="83"/>
      <c r="L343" s="83"/>
      <c r="M343" s="83"/>
      <c r="N343" s="91">
        <v>1150</v>
      </c>
      <c r="O343" s="91">
        <v>1010</v>
      </c>
      <c r="P343" s="93">
        <v>860</v>
      </c>
      <c r="Q343" s="64"/>
      <c r="R343" s="64"/>
      <c r="S343" s="64"/>
      <c r="T343" s="83"/>
      <c r="U343" s="77"/>
      <c r="V343" s="105" t="s">
        <v>1625</v>
      </c>
      <c r="W343" s="105">
        <v>330409002</v>
      </c>
      <c r="X343" s="106" t="s">
        <v>1626</v>
      </c>
      <c r="Y343" s="105"/>
      <c r="Z343" s="105"/>
      <c r="AA343" s="105" t="s">
        <v>36</v>
      </c>
      <c r="AB343" s="110" t="s">
        <v>35</v>
      </c>
      <c r="AC343" s="50">
        <v>1350</v>
      </c>
      <c r="AD343" s="50">
        <v>1220</v>
      </c>
      <c r="AE343" s="50">
        <v>1040</v>
      </c>
      <c r="AF343" s="111">
        <f t="shared" si="25"/>
        <v>0</v>
      </c>
      <c r="AG343" s="111" t="str">
        <f t="shared" si="26"/>
        <v>球内异物取出费</v>
      </c>
      <c r="AH343" s="111">
        <f t="shared" si="27"/>
        <v>1150</v>
      </c>
      <c r="AI343" s="111">
        <f t="shared" si="28"/>
        <v>1010</v>
      </c>
      <c r="AJ343" s="111">
        <f t="shared" si="29"/>
        <v>860</v>
      </c>
    </row>
    <row r="344" s="52" customFormat="1" ht="26" customHeight="1" spans="1:36">
      <c r="A344" s="64"/>
      <c r="B344" s="64"/>
      <c r="C344" s="66" t="s">
        <v>1617</v>
      </c>
      <c r="D344" s="122"/>
      <c r="E344" s="64"/>
      <c r="F344" s="64"/>
      <c r="G344" s="64"/>
      <c r="H344" s="78"/>
      <c r="I344" s="78"/>
      <c r="J344" s="83"/>
      <c r="K344" s="83"/>
      <c r="L344" s="83"/>
      <c r="M344" s="83"/>
      <c r="N344" s="91">
        <v>1150</v>
      </c>
      <c r="O344" s="91">
        <v>1010</v>
      </c>
      <c r="P344" s="93">
        <v>860</v>
      </c>
      <c r="Q344" s="64"/>
      <c r="R344" s="64"/>
      <c r="S344" s="64"/>
      <c r="T344" s="83"/>
      <c r="U344" s="77"/>
      <c r="V344" s="105" t="s">
        <v>1627</v>
      </c>
      <c r="W344" s="105">
        <v>330409003</v>
      </c>
      <c r="X344" s="106" t="s">
        <v>1628</v>
      </c>
      <c r="Y344" s="105"/>
      <c r="Z344" s="105"/>
      <c r="AA344" s="105" t="s">
        <v>36</v>
      </c>
      <c r="AB344" s="110" t="s">
        <v>35</v>
      </c>
      <c r="AC344" s="50">
        <v>875</v>
      </c>
      <c r="AD344" s="50">
        <v>840</v>
      </c>
      <c r="AE344" s="50">
        <v>714</v>
      </c>
      <c r="AF344" s="111">
        <f t="shared" si="25"/>
        <v>0</v>
      </c>
      <c r="AG344" s="111" t="str">
        <f t="shared" si="26"/>
        <v>球内异物取出费</v>
      </c>
      <c r="AH344" s="111">
        <f t="shared" si="27"/>
        <v>1150</v>
      </c>
      <c r="AI344" s="111">
        <f t="shared" si="28"/>
        <v>1010</v>
      </c>
      <c r="AJ344" s="111">
        <f t="shared" si="29"/>
        <v>860</v>
      </c>
    </row>
    <row r="345" s="52" customFormat="1" ht="26" customHeight="1" spans="1:36">
      <c r="A345" s="64"/>
      <c r="B345" s="64"/>
      <c r="C345" s="66" t="s">
        <v>1617</v>
      </c>
      <c r="D345" s="122"/>
      <c r="E345" s="64"/>
      <c r="F345" s="64"/>
      <c r="G345" s="64"/>
      <c r="H345" s="78"/>
      <c r="I345" s="78"/>
      <c r="J345" s="83"/>
      <c r="K345" s="83"/>
      <c r="L345" s="83"/>
      <c r="M345" s="83"/>
      <c r="N345" s="91">
        <v>1150</v>
      </c>
      <c r="O345" s="91">
        <v>1010</v>
      </c>
      <c r="P345" s="93">
        <v>860</v>
      </c>
      <c r="Q345" s="64"/>
      <c r="R345" s="64"/>
      <c r="S345" s="64"/>
      <c r="T345" s="83"/>
      <c r="U345" s="77"/>
      <c r="V345" s="105" t="s">
        <v>1629</v>
      </c>
      <c r="W345" s="105">
        <v>310300073</v>
      </c>
      <c r="X345" s="106" t="s">
        <v>1630</v>
      </c>
      <c r="Y345" s="105" t="s">
        <v>1631</v>
      </c>
      <c r="Z345" s="105"/>
      <c r="AA345" s="105" t="s">
        <v>36</v>
      </c>
      <c r="AB345" s="110" t="s">
        <v>35</v>
      </c>
      <c r="AC345" s="50">
        <v>63</v>
      </c>
      <c r="AD345" s="50">
        <v>60</v>
      </c>
      <c r="AE345" s="50">
        <v>51</v>
      </c>
      <c r="AF345" s="111">
        <f t="shared" si="25"/>
        <v>0</v>
      </c>
      <c r="AG345" s="111" t="str">
        <f t="shared" si="26"/>
        <v>球内异物取出费</v>
      </c>
      <c r="AH345" s="111">
        <f t="shared" si="27"/>
        <v>1150</v>
      </c>
      <c r="AI345" s="111">
        <f t="shared" si="28"/>
        <v>1010</v>
      </c>
      <c r="AJ345" s="111">
        <f t="shared" si="29"/>
        <v>860</v>
      </c>
    </row>
    <row r="346" s="52" customFormat="1" ht="25" customHeight="1" spans="1:36">
      <c r="A346" s="112" t="s">
        <v>95</v>
      </c>
      <c r="B346" s="112" t="s">
        <v>1632</v>
      </c>
      <c r="C346" s="66" t="s">
        <v>1633</v>
      </c>
      <c r="D346" s="65"/>
      <c r="E346" s="77"/>
      <c r="F346" s="77" t="s">
        <v>35</v>
      </c>
      <c r="G346" s="64" t="s">
        <v>110</v>
      </c>
      <c r="H346" s="78">
        <v>360</v>
      </c>
      <c r="I346" s="78">
        <v>324</v>
      </c>
      <c r="J346" s="83"/>
      <c r="K346" s="83"/>
      <c r="L346" s="83"/>
      <c r="M346" s="83"/>
      <c r="N346" s="91">
        <v>345</v>
      </c>
      <c r="O346" s="91">
        <v>305</v>
      </c>
      <c r="P346" s="93">
        <v>260</v>
      </c>
      <c r="Q346" s="64" t="s">
        <v>37</v>
      </c>
      <c r="R346" s="64" t="s">
        <v>35</v>
      </c>
      <c r="S346" s="64" t="s">
        <v>35</v>
      </c>
      <c r="T346" s="83"/>
      <c r="U346" s="77" t="s">
        <v>186</v>
      </c>
      <c r="V346" s="105" t="s">
        <v>1634</v>
      </c>
      <c r="W346" s="105">
        <v>33040700301</v>
      </c>
      <c r="X346" s="106" t="s">
        <v>1635</v>
      </c>
      <c r="Y346" s="105"/>
      <c r="Z346" s="105"/>
      <c r="AA346" s="105" t="s">
        <v>36</v>
      </c>
      <c r="AB346" s="110" t="s">
        <v>35</v>
      </c>
      <c r="AC346" s="50">
        <v>4015</v>
      </c>
      <c r="AD346" s="50">
        <v>3615</v>
      </c>
      <c r="AE346" s="50">
        <v>3075</v>
      </c>
      <c r="AF346" s="111">
        <f t="shared" si="25"/>
        <v>8</v>
      </c>
      <c r="AG346" s="111" t="str">
        <f t="shared" si="26"/>
        <v>球内异物取出费</v>
      </c>
      <c r="AH346" s="111">
        <f t="shared" si="27"/>
        <v>1495</v>
      </c>
      <c r="AI346" s="111">
        <f t="shared" si="28"/>
        <v>1315</v>
      </c>
      <c r="AJ346" s="111">
        <f t="shared" si="29"/>
        <v>1120</v>
      </c>
    </row>
    <row r="347" s="55" customFormat="1" ht="25" customHeight="1" spans="1:36">
      <c r="A347" s="112"/>
      <c r="B347" s="112"/>
      <c r="C347" s="66" t="s">
        <v>1633</v>
      </c>
      <c r="D347" s="65"/>
      <c r="E347" s="77"/>
      <c r="F347" s="77"/>
      <c r="G347" s="64"/>
      <c r="H347" s="42"/>
      <c r="I347" s="42"/>
      <c r="J347" s="83"/>
      <c r="K347" s="83"/>
      <c r="L347" s="83"/>
      <c r="M347" s="83"/>
      <c r="N347" s="91">
        <v>345</v>
      </c>
      <c r="O347" s="91">
        <v>305</v>
      </c>
      <c r="P347" s="93">
        <v>260</v>
      </c>
      <c r="Q347" s="64"/>
      <c r="R347" s="64"/>
      <c r="S347" s="64"/>
      <c r="T347" s="83"/>
      <c r="U347" s="77"/>
      <c r="V347" s="105" t="s">
        <v>1636</v>
      </c>
      <c r="W347" s="105">
        <v>33040900101</v>
      </c>
      <c r="X347" s="106" t="s">
        <v>1637</v>
      </c>
      <c r="Y347" s="105"/>
      <c r="Z347" s="105"/>
      <c r="AA347" s="105" t="s">
        <v>36</v>
      </c>
      <c r="AB347" s="110" t="s">
        <v>35</v>
      </c>
      <c r="AC347" s="50">
        <v>1140</v>
      </c>
      <c r="AD347" s="50">
        <v>1090</v>
      </c>
      <c r="AE347" s="50">
        <v>925</v>
      </c>
      <c r="AF347" s="111">
        <f t="shared" si="25"/>
        <v>8</v>
      </c>
      <c r="AG347" s="111" t="str">
        <f t="shared" si="26"/>
        <v>球内异物取出费</v>
      </c>
      <c r="AH347" s="111">
        <f t="shared" si="27"/>
        <v>1495</v>
      </c>
      <c r="AI347" s="111">
        <f t="shared" si="28"/>
        <v>1315</v>
      </c>
      <c r="AJ347" s="111">
        <f t="shared" si="29"/>
        <v>1120</v>
      </c>
    </row>
    <row r="348" s="52" customFormat="1" ht="25" customHeight="1" spans="1:36">
      <c r="A348" s="112"/>
      <c r="B348" s="112"/>
      <c r="C348" s="66" t="s">
        <v>1633</v>
      </c>
      <c r="D348" s="65"/>
      <c r="E348" s="77"/>
      <c r="F348" s="77"/>
      <c r="G348" s="64"/>
      <c r="H348" s="42"/>
      <c r="I348" s="42"/>
      <c r="J348" s="83"/>
      <c r="K348" s="83"/>
      <c r="L348" s="83"/>
      <c r="M348" s="83"/>
      <c r="N348" s="91">
        <v>345</v>
      </c>
      <c r="O348" s="91">
        <v>305</v>
      </c>
      <c r="P348" s="93">
        <v>260</v>
      </c>
      <c r="Q348" s="64"/>
      <c r="R348" s="64"/>
      <c r="S348" s="64"/>
      <c r="T348" s="83"/>
      <c r="U348" s="77"/>
      <c r="V348" s="105" t="s">
        <v>1638</v>
      </c>
      <c r="W348" s="105">
        <v>33040900201</v>
      </c>
      <c r="X348" s="106" t="s">
        <v>1639</v>
      </c>
      <c r="Y348" s="105"/>
      <c r="Z348" s="105"/>
      <c r="AA348" s="105" t="s">
        <v>36</v>
      </c>
      <c r="AB348" s="110" t="s">
        <v>35</v>
      </c>
      <c r="AC348" s="50">
        <v>1755</v>
      </c>
      <c r="AD348" s="50">
        <v>1585</v>
      </c>
      <c r="AE348" s="50">
        <v>1345</v>
      </c>
      <c r="AF348" s="111">
        <f t="shared" si="25"/>
        <v>8</v>
      </c>
      <c r="AG348" s="111" t="str">
        <f t="shared" si="26"/>
        <v>球内异物取出费</v>
      </c>
      <c r="AH348" s="111">
        <f t="shared" si="27"/>
        <v>1495</v>
      </c>
      <c r="AI348" s="111">
        <f t="shared" si="28"/>
        <v>1315</v>
      </c>
      <c r="AJ348" s="111">
        <f t="shared" si="29"/>
        <v>1120</v>
      </c>
    </row>
    <row r="349" customFormat="1" ht="25" customHeight="1" spans="1:36">
      <c r="A349" s="112"/>
      <c r="B349" s="112"/>
      <c r="C349" s="66" t="s">
        <v>1633</v>
      </c>
      <c r="D349" s="65"/>
      <c r="E349" s="77"/>
      <c r="F349" s="77"/>
      <c r="G349" s="64"/>
      <c r="H349" s="42"/>
      <c r="I349" s="42"/>
      <c r="J349" s="83"/>
      <c r="K349" s="83"/>
      <c r="L349" s="83"/>
      <c r="M349" s="83"/>
      <c r="N349" s="91">
        <v>345</v>
      </c>
      <c r="O349" s="91">
        <v>305</v>
      </c>
      <c r="P349" s="93">
        <v>260</v>
      </c>
      <c r="Q349" s="64"/>
      <c r="R349" s="64"/>
      <c r="S349" s="64"/>
      <c r="T349" s="83"/>
      <c r="U349" s="77"/>
      <c r="V349" s="105" t="s">
        <v>1640</v>
      </c>
      <c r="W349" s="105">
        <v>33040900301</v>
      </c>
      <c r="X349" s="106" t="s">
        <v>1641</v>
      </c>
      <c r="Y349" s="105"/>
      <c r="Z349" s="105"/>
      <c r="AA349" s="105" t="s">
        <v>36</v>
      </c>
      <c r="AB349" s="110" t="s">
        <v>35</v>
      </c>
      <c r="AC349" s="50">
        <v>1140</v>
      </c>
      <c r="AD349" s="50">
        <v>1090</v>
      </c>
      <c r="AE349" s="50">
        <v>925</v>
      </c>
      <c r="AF349" s="111">
        <f t="shared" si="25"/>
        <v>8</v>
      </c>
      <c r="AG349" s="111" t="str">
        <f t="shared" si="26"/>
        <v>球内异物取出费</v>
      </c>
      <c r="AH349" s="111">
        <f t="shared" si="27"/>
        <v>1495</v>
      </c>
      <c r="AI349" s="111">
        <f t="shared" si="28"/>
        <v>1315</v>
      </c>
      <c r="AJ349" s="111">
        <f t="shared" si="29"/>
        <v>1120</v>
      </c>
    </row>
    <row r="350" s="55" customFormat="1" ht="25" customHeight="1" spans="1:36">
      <c r="A350" s="112"/>
      <c r="B350" s="112"/>
      <c r="C350" s="66" t="s">
        <v>1633</v>
      </c>
      <c r="D350" s="65"/>
      <c r="E350" s="77"/>
      <c r="F350" s="77"/>
      <c r="G350" s="64"/>
      <c r="H350" s="42"/>
      <c r="I350" s="42"/>
      <c r="J350" s="83"/>
      <c r="K350" s="83"/>
      <c r="L350" s="83"/>
      <c r="M350" s="83"/>
      <c r="N350" s="91">
        <v>345</v>
      </c>
      <c r="O350" s="91">
        <v>305</v>
      </c>
      <c r="P350" s="93">
        <v>260</v>
      </c>
      <c r="Q350" s="64"/>
      <c r="R350" s="64"/>
      <c r="S350" s="64"/>
      <c r="T350" s="83"/>
      <c r="U350" s="77"/>
      <c r="V350" s="105" t="s">
        <v>1629</v>
      </c>
      <c r="W350" s="105">
        <v>310300073</v>
      </c>
      <c r="X350" s="106" t="s">
        <v>1630</v>
      </c>
      <c r="Y350" s="105" t="s">
        <v>1631</v>
      </c>
      <c r="Z350" s="105"/>
      <c r="AA350" s="105" t="s">
        <v>36</v>
      </c>
      <c r="AB350" s="110" t="s">
        <v>35</v>
      </c>
      <c r="AC350" s="50">
        <v>63</v>
      </c>
      <c r="AD350" s="50">
        <v>60</v>
      </c>
      <c r="AE350" s="50">
        <v>51</v>
      </c>
      <c r="AF350" s="111">
        <f t="shared" si="25"/>
        <v>8</v>
      </c>
      <c r="AG350" s="111" t="str">
        <f t="shared" si="26"/>
        <v>球内异物取出费</v>
      </c>
      <c r="AH350" s="111">
        <f t="shared" si="27"/>
        <v>1495</v>
      </c>
      <c r="AI350" s="111">
        <f t="shared" si="28"/>
        <v>1315</v>
      </c>
      <c r="AJ350" s="111">
        <f t="shared" si="29"/>
        <v>1120</v>
      </c>
    </row>
    <row r="351" s="52" customFormat="1" ht="27" customHeight="1" spans="1:36">
      <c r="A351" s="112">
        <v>111</v>
      </c>
      <c r="B351" s="112" t="s">
        <v>1642</v>
      </c>
      <c r="C351" s="66" t="s">
        <v>1643</v>
      </c>
      <c r="D351" s="65" t="s">
        <v>1644</v>
      </c>
      <c r="E351" s="77" t="s">
        <v>1645</v>
      </c>
      <c r="F351" s="77" t="s">
        <v>35</v>
      </c>
      <c r="G351" s="64" t="s">
        <v>110</v>
      </c>
      <c r="H351" s="78">
        <v>630</v>
      </c>
      <c r="I351" s="78">
        <v>567</v>
      </c>
      <c r="J351" s="83">
        <v>625</v>
      </c>
      <c r="K351" s="125">
        <v>605</v>
      </c>
      <c r="L351" s="83"/>
      <c r="M351" s="83"/>
      <c r="N351" s="91">
        <v>625</v>
      </c>
      <c r="O351" s="92">
        <v>565</v>
      </c>
      <c r="P351" s="93">
        <v>480</v>
      </c>
      <c r="Q351" s="64" t="s">
        <v>37</v>
      </c>
      <c r="R351" s="64" t="s">
        <v>35</v>
      </c>
      <c r="S351" s="64" t="s">
        <v>35</v>
      </c>
      <c r="T351" s="83" t="s">
        <v>38</v>
      </c>
      <c r="U351" s="77" t="s">
        <v>1646</v>
      </c>
      <c r="V351" s="105" t="s">
        <v>1647</v>
      </c>
      <c r="W351" s="105">
        <v>330409017</v>
      </c>
      <c r="X351" s="106" t="s">
        <v>1648</v>
      </c>
      <c r="Y351" s="105"/>
      <c r="Z351" s="105" t="s">
        <v>1525</v>
      </c>
      <c r="AA351" s="105" t="s">
        <v>36</v>
      </c>
      <c r="AB351" s="110" t="s">
        <v>35</v>
      </c>
      <c r="AC351" s="50">
        <v>625</v>
      </c>
      <c r="AD351" s="50">
        <v>600</v>
      </c>
      <c r="AE351" s="50">
        <v>510</v>
      </c>
      <c r="AF351" s="111">
        <f t="shared" si="25"/>
        <v>0</v>
      </c>
      <c r="AG351" s="111" t="str">
        <f t="shared" si="26"/>
        <v>眼窝填充费</v>
      </c>
      <c r="AH351" s="111">
        <f t="shared" si="27"/>
        <v>625</v>
      </c>
      <c r="AI351" s="111">
        <f t="shared" si="28"/>
        <v>565</v>
      </c>
      <c r="AJ351" s="111">
        <f t="shared" si="29"/>
        <v>480</v>
      </c>
    </row>
    <row r="352" s="55" customFormat="1" ht="27" customHeight="1" spans="1:36">
      <c r="A352" s="112"/>
      <c r="B352" s="112"/>
      <c r="C352" s="66" t="s">
        <v>1643</v>
      </c>
      <c r="D352" s="65"/>
      <c r="E352" s="77"/>
      <c r="F352" s="77"/>
      <c r="G352" s="64"/>
      <c r="H352" s="42"/>
      <c r="I352" s="42"/>
      <c r="J352" s="83"/>
      <c r="K352" s="125"/>
      <c r="L352" s="83"/>
      <c r="M352" s="83"/>
      <c r="N352" s="91">
        <v>625</v>
      </c>
      <c r="O352" s="92">
        <v>565</v>
      </c>
      <c r="P352" s="93">
        <v>480</v>
      </c>
      <c r="Q352" s="64"/>
      <c r="R352" s="64"/>
      <c r="S352" s="64"/>
      <c r="T352" s="83"/>
      <c r="U352" s="77"/>
      <c r="V352" s="105" t="s">
        <v>1649</v>
      </c>
      <c r="W352" s="105">
        <v>330409012</v>
      </c>
      <c r="X352" s="106" t="s">
        <v>1650</v>
      </c>
      <c r="Y352" s="105"/>
      <c r="Z352" s="105" t="s">
        <v>1651</v>
      </c>
      <c r="AA352" s="105" t="s">
        <v>36</v>
      </c>
      <c r="AB352" s="110" t="s">
        <v>35</v>
      </c>
      <c r="AC352" s="50">
        <v>675</v>
      </c>
      <c r="AD352" s="50">
        <v>610</v>
      </c>
      <c r="AE352" s="50">
        <v>520</v>
      </c>
      <c r="AF352" s="111">
        <f t="shared" si="25"/>
        <v>0</v>
      </c>
      <c r="AG352" s="111" t="str">
        <f t="shared" si="26"/>
        <v>眼窝填充费</v>
      </c>
      <c r="AH352" s="111">
        <f t="shared" si="27"/>
        <v>625</v>
      </c>
      <c r="AI352" s="111">
        <f t="shared" si="28"/>
        <v>565</v>
      </c>
      <c r="AJ352" s="111">
        <f t="shared" si="29"/>
        <v>480</v>
      </c>
    </row>
    <row r="353" s="55" customFormat="1" ht="27" customHeight="1" spans="1:36">
      <c r="A353" s="112"/>
      <c r="B353" s="112"/>
      <c r="C353" s="66" t="s">
        <v>1643</v>
      </c>
      <c r="D353" s="65"/>
      <c r="E353" s="77"/>
      <c r="F353" s="77"/>
      <c r="G353" s="64"/>
      <c r="H353" s="42"/>
      <c r="I353" s="42"/>
      <c r="J353" s="83"/>
      <c r="K353" s="125"/>
      <c r="L353" s="83"/>
      <c r="M353" s="83"/>
      <c r="N353" s="91">
        <v>625</v>
      </c>
      <c r="O353" s="92">
        <v>565</v>
      </c>
      <c r="P353" s="93">
        <v>480</v>
      </c>
      <c r="Q353" s="64"/>
      <c r="R353" s="64"/>
      <c r="S353" s="64"/>
      <c r="T353" s="83"/>
      <c r="U353" s="77"/>
      <c r="V353" s="105" t="s">
        <v>1652</v>
      </c>
      <c r="W353" s="105">
        <v>330409011</v>
      </c>
      <c r="X353" s="106" t="s">
        <v>1653</v>
      </c>
      <c r="Y353" s="105"/>
      <c r="Z353" s="105"/>
      <c r="AA353" s="105" t="s">
        <v>36</v>
      </c>
      <c r="AB353" s="110" t="s">
        <v>35</v>
      </c>
      <c r="AC353" s="50">
        <v>505</v>
      </c>
      <c r="AD353" s="50">
        <v>455</v>
      </c>
      <c r="AE353" s="50">
        <v>385</v>
      </c>
      <c r="AF353" s="111">
        <f t="shared" si="25"/>
        <v>0</v>
      </c>
      <c r="AG353" s="111" t="str">
        <f t="shared" si="26"/>
        <v>眼窝填充费</v>
      </c>
      <c r="AH353" s="111">
        <f t="shared" si="27"/>
        <v>625</v>
      </c>
      <c r="AI353" s="111">
        <f t="shared" si="28"/>
        <v>565</v>
      </c>
      <c r="AJ353" s="111">
        <f t="shared" si="29"/>
        <v>480</v>
      </c>
    </row>
    <row r="354" s="55" customFormat="1" ht="25.5" spans="1:36">
      <c r="A354" s="112" t="s">
        <v>95</v>
      </c>
      <c r="B354" s="112" t="s">
        <v>1654</v>
      </c>
      <c r="C354" s="66" t="s">
        <v>1655</v>
      </c>
      <c r="D354" s="65"/>
      <c r="E354" s="77"/>
      <c r="F354" s="77" t="s">
        <v>35</v>
      </c>
      <c r="G354" s="64" t="s">
        <v>110</v>
      </c>
      <c r="H354" s="78">
        <v>189</v>
      </c>
      <c r="I354" s="78">
        <v>170</v>
      </c>
      <c r="J354" s="83"/>
      <c r="K354" s="83"/>
      <c r="L354" s="83"/>
      <c r="M354" s="83"/>
      <c r="N354" s="91">
        <v>185</v>
      </c>
      <c r="O354" s="91">
        <v>170</v>
      </c>
      <c r="P354" s="93">
        <v>145</v>
      </c>
      <c r="Q354" s="64" t="s">
        <v>37</v>
      </c>
      <c r="R354" s="64" t="s">
        <v>35</v>
      </c>
      <c r="S354" s="64" t="s">
        <v>35</v>
      </c>
      <c r="T354" s="83"/>
      <c r="U354" s="77" t="s">
        <v>186</v>
      </c>
      <c r="V354" s="105" t="s">
        <v>1656</v>
      </c>
      <c r="W354" s="105">
        <v>33040901701</v>
      </c>
      <c r="X354" s="106" t="s">
        <v>1657</v>
      </c>
      <c r="Y354" s="105"/>
      <c r="Z354" s="105"/>
      <c r="AA354" s="105" t="s">
        <v>36</v>
      </c>
      <c r="AB354" s="110" t="s">
        <v>35</v>
      </c>
      <c r="AC354" s="50">
        <v>815</v>
      </c>
      <c r="AD354" s="50">
        <v>780</v>
      </c>
      <c r="AE354" s="50">
        <v>665</v>
      </c>
      <c r="AF354" s="111">
        <f t="shared" si="25"/>
        <v>6</v>
      </c>
      <c r="AG354" s="111" t="str">
        <f t="shared" si="26"/>
        <v>眼窝填充费</v>
      </c>
      <c r="AH354" s="111">
        <f t="shared" si="27"/>
        <v>810</v>
      </c>
      <c r="AI354" s="111">
        <f t="shared" si="28"/>
        <v>735</v>
      </c>
      <c r="AJ354" s="111">
        <f t="shared" si="29"/>
        <v>625</v>
      </c>
    </row>
    <row r="355" s="55" customFormat="1" ht="25.5" spans="1:36">
      <c r="A355" s="112"/>
      <c r="B355" s="112"/>
      <c r="C355" s="66" t="s">
        <v>1655</v>
      </c>
      <c r="D355" s="65"/>
      <c r="E355" s="77"/>
      <c r="F355" s="77"/>
      <c r="G355" s="64"/>
      <c r="H355" s="42"/>
      <c r="I355" s="42"/>
      <c r="J355" s="83"/>
      <c r="K355" s="83"/>
      <c r="L355" s="83"/>
      <c r="M355" s="83"/>
      <c r="N355" s="91">
        <v>185</v>
      </c>
      <c r="O355" s="91">
        <v>170</v>
      </c>
      <c r="P355" s="93">
        <v>145</v>
      </c>
      <c r="Q355" s="64"/>
      <c r="R355" s="64"/>
      <c r="S355" s="64"/>
      <c r="T355" s="83"/>
      <c r="U355" s="77"/>
      <c r="V355" s="105" t="s">
        <v>1658</v>
      </c>
      <c r="W355" s="105">
        <v>33040901201</v>
      </c>
      <c r="X355" s="106" t="s">
        <v>1659</v>
      </c>
      <c r="Y355" s="105"/>
      <c r="Z355" s="105"/>
      <c r="AA355" s="105" t="s">
        <v>36</v>
      </c>
      <c r="AB355" s="110" t="s">
        <v>35</v>
      </c>
      <c r="AC355" s="50">
        <v>880</v>
      </c>
      <c r="AD355" s="50">
        <v>795</v>
      </c>
      <c r="AE355" s="50">
        <v>675</v>
      </c>
      <c r="AF355" s="111">
        <f t="shared" si="25"/>
        <v>6</v>
      </c>
      <c r="AG355" s="111" t="str">
        <f t="shared" si="26"/>
        <v>眼窝填充费</v>
      </c>
      <c r="AH355" s="111">
        <f t="shared" si="27"/>
        <v>810</v>
      </c>
      <c r="AI355" s="111">
        <f t="shared" si="28"/>
        <v>735</v>
      </c>
      <c r="AJ355" s="111">
        <f t="shared" si="29"/>
        <v>625</v>
      </c>
    </row>
    <row r="356" s="55" customFormat="1" ht="25.5" spans="1:36">
      <c r="A356" s="112"/>
      <c r="B356" s="112"/>
      <c r="C356" s="66" t="s">
        <v>1655</v>
      </c>
      <c r="D356" s="65"/>
      <c r="E356" s="77"/>
      <c r="F356" s="77"/>
      <c r="G356" s="64"/>
      <c r="H356" s="42"/>
      <c r="I356" s="42"/>
      <c r="J356" s="83"/>
      <c r="K356" s="83"/>
      <c r="L356" s="83"/>
      <c r="M356" s="83"/>
      <c r="N356" s="91">
        <v>185</v>
      </c>
      <c r="O356" s="91">
        <v>170</v>
      </c>
      <c r="P356" s="93">
        <v>145</v>
      </c>
      <c r="Q356" s="64"/>
      <c r="R356" s="64"/>
      <c r="S356" s="64"/>
      <c r="T356" s="83"/>
      <c r="U356" s="77"/>
      <c r="V356" s="105" t="s">
        <v>1660</v>
      </c>
      <c r="W356" s="105">
        <v>33040901101</v>
      </c>
      <c r="X356" s="106" t="s">
        <v>1661</v>
      </c>
      <c r="Y356" s="105"/>
      <c r="Z356" s="105"/>
      <c r="AA356" s="105" t="s">
        <v>36</v>
      </c>
      <c r="AB356" s="110" t="s">
        <v>35</v>
      </c>
      <c r="AC356" s="50">
        <v>655</v>
      </c>
      <c r="AD356" s="50">
        <v>590</v>
      </c>
      <c r="AE356" s="50">
        <v>500</v>
      </c>
      <c r="AF356" s="111">
        <f t="shared" si="25"/>
        <v>6</v>
      </c>
      <c r="AG356" s="111" t="str">
        <f t="shared" si="26"/>
        <v>眼窝填充费</v>
      </c>
      <c r="AH356" s="111">
        <f t="shared" si="27"/>
        <v>810</v>
      </c>
      <c r="AI356" s="111">
        <f t="shared" si="28"/>
        <v>735</v>
      </c>
      <c r="AJ356" s="111">
        <f t="shared" si="29"/>
        <v>625</v>
      </c>
    </row>
    <row r="357" s="52" customFormat="1" ht="69" customHeight="1" spans="1:36">
      <c r="A357" s="112">
        <v>112</v>
      </c>
      <c r="B357" s="112" t="s">
        <v>1662</v>
      </c>
      <c r="C357" s="64" t="s">
        <v>1663</v>
      </c>
      <c r="D357" s="65" t="s">
        <v>1664</v>
      </c>
      <c r="E357" s="77" t="s">
        <v>1665</v>
      </c>
      <c r="F357" s="77" t="s">
        <v>1666</v>
      </c>
      <c r="G357" s="64" t="s">
        <v>110</v>
      </c>
      <c r="H357" s="78">
        <v>1340</v>
      </c>
      <c r="I357" s="78">
        <v>1206</v>
      </c>
      <c r="J357" s="83">
        <v>1180</v>
      </c>
      <c r="K357" s="83">
        <v>1060</v>
      </c>
      <c r="L357" s="83">
        <v>900</v>
      </c>
      <c r="M357" s="83"/>
      <c r="N357" s="41">
        <v>1180</v>
      </c>
      <c r="O357" s="41">
        <v>1060</v>
      </c>
      <c r="P357" s="50">
        <v>900</v>
      </c>
      <c r="Q357" s="64" t="s">
        <v>37</v>
      </c>
      <c r="R357" s="64" t="s">
        <v>35</v>
      </c>
      <c r="S357" s="64" t="s">
        <v>35</v>
      </c>
      <c r="T357" s="83" t="s">
        <v>381</v>
      </c>
      <c r="U357" s="77" t="s">
        <v>381</v>
      </c>
      <c r="V357" s="105" t="s">
        <v>1667</v>
      </c>
      <c r="W357" s="105">
        <v>330409018</v>
      </c>
      <c r="X357" s="106" t="s">
        <v>1668</v>
      </c>
      <c r="Y357" s="105"/>
      <c r="Z357" s="105" t="s">
        <v>1669</v>
      </c>
      <c r="AA357" s="105" t="s">
        <v>36</v>
      </c>
      <c r="AB357" s="110" t="s">
        <v>35</v>
      </c>
      <c r="AC357" s="50">
        <v>1180</v>
      </c>
      <c r="AD357" s="50">
        <v>1060</v>
      </c>
      <c r="AE357" s="50">
        <v>900</v>
      </c>
      <c r="AF357" s="111">
        <f t="shared" si="25"/>
        <v>0</v>
      </c>
      <c r="AG357" s="111" t="str">
        <f t="shared" si="26"/>
        <v>眼窝再造费</v>
      </c>
      <c r="AH357" s="111">
        <f t="shared" si="27"/>
        <v>1180</v>
      </c>
      <c r="AI357" s="111">
        <f t="shared" si="28"/>
        <v>1060</v>
      </c>
      <c r="AJ357" s="111">
        <f t="shared" si="29"/>
        <v>900</v>
      </c>
    </row>
    <row r="358" s="52" customFormat="1" ht="25.5" spans="1:36">
      <c r="A358" s="112" t="s">
        <v>95</v>
      </c>
      <c r="B358" s="112" t="s">
        <v>1670</v>
      </c>
      <c r="C358" s="64" t="s">
        <v>1671</v>
      </c>
      <c r="D358" s="65"/>
      <c r="E358" s="77"/>
      <c r="F358" s="77" t="s">
        <v>35</v>
      </c>
      <c r="G358" s="64" t="s">
        <v>110</v>
      </c>
      <c r="H358" s="78">
        <v>402</v>
      </c>
      <c r="I358" s="78">
        <v>362</v>
      </c>
      <c r="J358" s="83">
        <v>355</v>
      </c>
      <c r="K358" s="83">
        <v>320</v>
      </c>
      <c r="L358" s="83">
        <v>275</v>
      </c>
      <c r="M358" s="83"/>
      <c r="N358" s="41">
        <v>355</v>
      </c>
      <c r="O358" s="41">
        <v>320</v>
      </c>
      <c r="P358" s="96">
        <v>270</v>
      </c>
      <c r="Q358" s="64" t="s">
        <v>37</v>
      </c>
      <c r="R358" s="64" t="s">
        <v>35</v>
      </c>
      <c r="S358" s="64" t="s">
        <v>35</v>
      </c>
      <c r="T358" s="83"/>
      <c r="U358" s="77" t="s">
        <v>186</v>
      </c>
      <c r="V358" s="105" t="s">
        <v>1672</v>
      </c>
      <c r="W358" s="105">
        <v>33040901801</v>
      </c>
      <c r="X358" s="106" t="s">
        <v>1673</v>
      </c>
      <c r="Y358" s="105"/>
      <c r="Z358" s="105"/>
      <c r="AA358" s="105" t="s">
        <v>36</v>
      </c>
      <c r="AB358" s="110" t="s">
        <v>35</v>
      </c>
      <c r="AC358" s="50">
        <v>1535</v>
      </c>
      <c r="AD358" s="50">
        <v>1380</v>
      </c>
      <c r="AE358" s="50">
        <v>1175</v>
      </c>
      <c r="AF358" s="111">
        <f t="shared" si="25"/>
        <v>6</v>
      </c>
      <c r="AG358" s="111" t="str">
        <f t="shared" si="26"/>
        <v>眼窝再造费</v>
      </c>
      <c r="AH358" s="111">
        <f t="shared" si="27"/>
        <v>1535</v>
      </c>
      <c r="AI358" s="111">
        <f t="shared" si="28"/>
        <v>1380</v>
      </c>
      <c r="AJ358" s="111">
        <f t="shared" si="29"/>
        <v>1170</v>
      </c>
    </row>
    <row r="359" s="52" customFormat="1" ht="24" customHeight="1" spans="1:36">
      <c r="A359" s="112">
        <v>113</v>
      </c>
      <c r="B359" s="164" t="s">
        <v>1674</v>
      </c>
      <c r="C359" s="66" t="s">
        <v>1675</v>
      </c>
      <c r="D359" s="65" t="s">
        <v>1676</v>
      </c>
      <c r="E359" s="77" t="s">
        <v>1677</v>
      </c>
      <c r="F359" s="77" t="s">
        <v>1678</v>
      </c>
      <c r="G359" s="64" t="s">
        <v>110</v>
      </c>
      <c r="H359" s="78">
        <v>820</v>
      </c>
      <c r="I359" s="78">
        <v>738</v>
      </c>
      <c r="J359" s="84">
        <v>777.299949672874</v>
      </c>
      <c r="K359" s="84">
        <v>757.445414847162</v>
      </c>
      <c r="L359" s="84">
        <v>660</v>
      </c>
      <c r="M359" s="84"/>
      <c r="N359" s="91">
        <v>780</v>
      </c>
      <c r="O359" s="91">
        <v>735</v>
      </c>
      <c r="P359" s="93">
        <v>660</v>
      </c>
      <c r="Q359" s="64" t="s">
        <v>37</v>
      </c>
      <c r="R359" s="64" t="s">
        <v>35</v>
      </c>
      <c r="S359" s="64" t="s">
        <v>35</v>
      </c>
      <c r="T359" s="83" t="s">
        <v>38</v>
      </c>
      <c r="U359" s="77" t="s">
        <v>1679</v>
      </c>
      <c r="V359" s="105" t="s">
        <v>1680</v>
      </c>
      <c r="W359" s="105">
        <v>330402006</v>
      </c>
      <c r="X359" s="106" t="s">
        <v>1681</v>
      </c>
      <c r="Y359" s="105"/>
      <c r="Z359" s="105" t="s">
        <v>1682</v>
      </c>
      <c r="AA359" s="105" t="s">
        <v>36</v>
      </c>
      <c r="AB359" s="110" t="s">
        <v>35</v>
      </c>
      <c r="AC359" s="50">
        <v>675</v>
      </c>
      <c r="AD359" s="50">
        <v>610</v>
      </c>
      <c r="AE359" s="50">
        <v>520</v>
      </c>
      <c r="AF359" s="111">
        <f t="shared" si="25"/>
        <v>0</v>
      </c>
      <c r="AG359" s="111" t="str">
        <f t="shared" si="26"/>
        <v>泪道成形费</v>
      </c>
      <c r="AH359" s="111">
        <f t="shared" si="27"/>
        <v>780</v>
      </c>
      <c r="AI359" s="111">
        <f t="shared" si="28"/>
        <v>735</v>
      </c>
      <c r="AJ359" s="111">
        <f t="shared" si="29"/>
        <v>660</v>
      </c>
    </row>
    <row r="360" s="55" customFormat="1" ht="24" customHeight="1" spans="1:36">
      <c r="A360" s="112"/>
      <c r="B360" s="112"/>
      <c r="C360" s="66" t="s">
        <v>1675</v>
      </c>
      <c r="D360" s="65"/>
      <c r="E360" s="77"/>
      <c r="F360" s="77"/>
      <c r="G360" s="64"/>
      <c r="H360" s="42"/>
      <c r="I360" s="42"/>
      <c r="J360" s="84"/>
      <c r="K360" s="84"/>
      <c r="L360" s="84"/>
      <c r="M360" s="84"/>
      <c r="N360" s="91">
        <v>780</v>
      </c>
      <c r="O360" s="91">
        <v>735</v>
      </c>
      <c r="P360" s="93">
        <v>660</v>
      </c>
      <c r="Q360" s="64"/>
      <c r="R360" s="64"/>
      <c r="S360" s="64"/>
      <c r="T360" s="83"/>
      <c r="U360" s="77"/>
      <c r="V360" s="105" t="s">
        <v>1683</v>
      </c>
      <c r="W360" s="105">
        <v>330402003</v>
      </c>
      <c r="X360" s="106" t="s">
        <v>1684</v>
      </c>
      <c r="Y360" s="105"/>
      <c r="Z360" s="105"/>
      <c r="AA360" s="105" t="s">
        <v>36</v>
      </c>
      <c r="AB360" s="110" t="s">
        <v>35</v>
      </c>
      <c r="AC360" s="50">
        <v>1100</v>
      </c>
      <c r="AD360" s="50">
        <v>990</v>
      </c>
      <c r="AE360" s="50">
        <v>840</v>
      </c>
      <c r="AF360" s="111">
        <f t="shared" si="25"/>
        <v>0</v>
      </c>
      <c r="AG360" s="111" t="str">
        <f t="shared" si="26"/>
        <v>泪道成形费</v>
      </c>
      <c r="AH360" s="111">
        <f t="shared" si="27"/>
        <v>780</v>
      </c>
      <c r="AI360" s="111">
        <f t="shared" si="28"/>
        <v>735</v>
      </c>
      <c r="AJ360" s="111">
        <f t="shared" si="29"/>
        <v>660</v>
      </c>
    </row>
    <row r="361" s="55" customFormat="1" ht="24" customHeight="1" spans="1:36">
      <c r="A361" s="112"/>
      <c r="B361" s="112"/>
      <c r="C361" s="66" t="s">
        <v>1675</v>
      </c>
      <c r="D361" s="65"/>
      <c r="E361" s="77"/>
      <c r="F361" s="77"/>
      <c r="G361" s="64"/>
      <c r="H361" s="42"/>
      <c r="I361" s="42"/>
      <c r="J361" s="84"/>
      <c r="K361" s="84"/>
      <c r="L361" s="84"/>
      <c r="M361" s="84"/>
      <c r="N361" s="91">
        <v>780</v>
      </c>
      <c r="O361" s="91">
        <v>735</v>
      </c>
      <c r="P361" s="93">
        <v>660</v>
      </c>
      <c r="Q361" s="64"/>
      <c r="R361" s="64"/>
      <c r="S361" s="64"/>
      <c r="T361" s="83"/>
      <c r="U361" s="77"/>
      <c r="V361" s="105" t="s">
        <v>1685</v>
      </c>
      <c r="W361" s="105">
        <v>330402007</v>
      </c>
      <c r="X361" s="106" t="s">
        <v>1686</v>
      </c>
      <c r="Y361" s="105"/>
      <c r="Z361" s="105"/>
      <c r="AA361" s="105" t="s">
        <v>36</v>
      </c>
      <c r="AB361" s="110" t="s">
        <v>1687</v>
      </c>
      <c r="AC361" s="50">
        <v>925</v>
      </c>
      <c r="AD361" s="50">
        <v>835</v>
      </c>
      <c r="AE361" s="50">
        <v>710</v>
      </c>
      <c r="AF361" s="111">
        <f t="shared" si="25"/>
        <v>0</v>
      </c>
      <c r="AG361" s="111" t="str">
        <f t="shared" si="26"/>
        <v>泪道成形费</v>
      </c>
      <c r="AH361" s="111">
        <f t="shared" si="27"/>
        <v>780</v>
      </c>
      <c r="AI361" s="111">
        <f t="shared" si="28"/>
        <v>735</v>
      </c>
      <c r="AJ361" s="111">
        <f t="shared" si="29"/>
        <v>660</v>
      </c>
    </row>
    <row r="362" s="52" customFormat="1" ht="24" customHeight="1" spans="1:36">
      <c r="A362" s="112"/>
      <c r="B362" s="112"/>
      <c r="C362" s="66" t="s">
        <v>1675</v>
      </c>
      <c r="D362" s="65"/>
      <c r="E362" s="77"/>
      <c r="F362" s="77"/>
      <c r="G362" s="64"/>
      <c r="H362" s="42"/>
      <c r="I362" s="42"/>
      <c r="J362" s="84"/>
      <c r="K362" s="84"/>
      <c r="L362" s="84"/>
      <c r="M362" s="84"/>
      <c r="N362" s="91">
        <v>780</v>
      </c>
      <c r="O362" s="91">
        <v>735</v>
      </c>
      <c r="P362" s="93">
        <v>660</v>
      </c>
      <c r="Q362" s="64"/>
      <c r="R362" s="64"/>
      <c r="S362" s="64"/>
      <c r="T362" s="83"/>
      <c r="U362" s="77"/>
      <c r="V362" s="105" t="s">
        <v>1688</v>
      </c>
      <c r="W362" s="105">
        <v>330402008</v>
      </c>
      <c r="X362" s="106" t="s">
        <v>1689</v>
      </c>
      <c r="Y362" s="105" t="s">
        <v>1690</v>
      </c>
      <c r="Z362" s="105" t="s">
        <v>1682</v>
      </c>
      <c r="AA362" s="105" t="s">
        <v>36</v>
      </c>
      <c r="AB362" s="110" t="s">
        <v>35</v>
      </c>
      <c r="AC362" s="50">
        <v>760</v>
      </c>
      <c r="AD362" s="50">
        <v>685</v>
      </c>
      <c r="AE362" s="50">
        <v>585</v>
      </c>
      <c r="AF362" s="111">
        <f t="shared" si="25"/>
        <v>0</v>
      </c>
      <c r="AG362" s="111" t="str">
        <f t="shared" si="26"/>
        <v>泪道成形费</v>
      </c>
      <c r="AH362" s="111">
        <f t="shared" si="27"/>
        <v>780</v>
      </c>
      <c r="AI362" s="111">
        <f t="shared" si="28"/>
        <v>735</v>
      </c>
      <c r="AJ362" s="111">
        <f t="shared" si="29"/>
        <v>660</v>
      </c>
    </row>
    <row r="363" s="52" customFormat="1" ht="24" customHeight="1" spans="1:36">
      <c r="A363" s="112"/>
      <c r="B363" s="112"/>
      <c r="C363" s="66" t="s">
        <v>1675</v>
      </c>
      <c r="D363" s="65"/>
      <c r="E363" s="77"/>
      <c r="F363" s="77"/>
      <c r="G363" s="64"/>
      <c r="H363" s="42"/>
      <c r="I363" s="42"/>
      <c r="J363" s="84"/>
      <c r="K363" s="84"/>
      <c r="L363" s="84"/>
      <c r="M363" s="84"/>
      <c r="N363" s="91">
        <v>780</v>
      </c>
      <c r="O363" s="91">
        <v>735</v>
      </c>
      <c r="P363" s="93">
        <v>660</v>
      </c>
      <c r="Q363" s="64"/>
      <c r="R363" s="64"/>
      <c r="S363" s="64"/>
      <c r="T363" s="83"/>
      <c r="U363" s="77"/>
      <c r="V363" s="105" t="s">
        <v>1691</v>
      </c>
      <c r="W363" s="105">
        <v>330402009</v>
      </c>
      <c r="X363" s="106" t="s">
        <v>1692</v>
      </c>
      <c r="Y363" s="105" t="s">
        <v>1693</v>
      </c>
      <c r="Z363" s="105"/>
      <c r="AA363" s="105" t="s">
        <v>36</v>
      </c>
      <c r="AB363" s="110" t="s">
        <v>1694</v>
      </c>
      <c r="AC363" s="50">
        <v>505</v>
      </c>
      <c r="AD363" s="50">
        <v>455</v>
      </c>
      <c r="AE363" s="50">
        <v>385</v>
      </c>
      <c r="AF363" s="111">
        <f t="shared" si="25"/>
        <v>0</v>
      </c>
      <c r="AG363" s="111" t="str">
        <f t="shared" si="26"/>
        <v>泪道成形费</v>
      </c>
      <c r="AH363" s="111">
        <f t="shared" si="27"/>
        <v>780</v>
      </c>
      <c r="AI363" s="111">
        <f t="shared" si="28"/>
        <v>735</v>
      </c>
      <c r="AJ363" s="111">
        <f t="shared" si="29"/>
        <v>660</v>
      </c>
    </row>
    <row r="364" s="52" customFormat="1" ht="24" customHeight="1" spans="1:36">
      <c r="A364" s="112"/>
      <c r="B364" s="112"/>
      <c r="C364" s="66" t="s">
        <v>1675</v>
      </c>
      <c r="D364" s="65"/>
      <c r="E364" s="77"/>
      <c r="F364" s="77"/>
      <c r="G364" s="64"/>
      <c r="H364" s="42"/>
      <c r="I364" s="42"/>
      <c r="J364" s="84"/>
      <c r="K364" s="84"/>
      <c r="L364" s="84"/>
      <c r="M364" s="84"/>
      <c r="N364" s="91">
        <v>780</v>
      </c>
      <c r="O364" s="91">
        <v>735</v>
      </c>
      <c r="P364" s="93">
        <v>660</v>
      </c>
      <c r="Q364" s="64"/>
      <c r="R364" s="64"/>
      <c r="S364" s="64"/>
      <c r="T364" s="83"/>
      <c r="U364" s="77"/>
      <c r="V364" s="105" t="s">
        <v>1695</v>
      </c>
      <c r="W364" s="105">
        <v>33040200901</v>
      </c>
      <c r="X364" s="106" t="s">
        <v>1696</v>
      </c>
      <c r="Y364" s="105"/>
      <c r="Z364" s="105"/>
      <c r="AA364" s="105" t="s">
        <v>36</v>
      </c>
      <c r="AB364" s="110" t="s">
        <v>500</v>
      </c>
      <c r="AC364" s="50">
        <v>575</v>
      </c>
      <c r="AD364" s="50">
        <v>520</v>
      </c>
      <c r="AE364" s="50">
        <v>445</v>
      </c>
      <c r="AF364" s="111">
        <f t="shared" si="25"/>
        <v>0</v>
      </c>
      <c r="AG364" s="111" t="str">
        <f t="shared" si="26"/>
        <v>泪道成形费</v>
      </c>
      <c r="AH364" s="111">
        <f t="shared" si="27"/>
        <v>780</v>
      </c>
      <c r="AI364" s="111">
        <f t="shared" si="28"/>
        <v>735</v>
      </c>
      <c r="AJ364" s="111">
        <f t="shared" si="29"/>
        <v>660</v>
      </c>
    </row>
    <row r="365" s="52" customFormat="1" ht="25.5" spans="1:36">
      <c r="A365" s="112" t="s">
        <v>95</v>
      </c>
      <c r="B365" s="112" t="s">
        <v>1697</v>
      </c>
      <c r="C365" s="66" t="s">
        <v>1698</v>
      </c>
      <c r="D365" s="65"/>
      <c r="E365" s="77"/>
      <c r="F365" s="77" t="s">
        <v>35</v>
      </c>
      <c r="G365" s="64" t="s">
        <v>110</v>
      </c>
      <c r="H365" s="78">
        <v>246</v>
      </c>
      <c r="I365" s="78">
        <v>221</v>
      </c>
      <c r="J365" s="83">
        <v>230</v>
      </c>
      <c r="K365" s="83"/>
      <c r="L365" s="83"/>
      <c r="M365" s="83"/>
      <c r="N365" s="91">
        <v>235</v>
      </c>
      <c r="O365" s="91">
        <v>220</v>
      </c>
      <c r="P365" s="93">
        <v>200</v>
      </c>
      <c r="Q365" s="64" t="s">
        <v>37</v>
      </c>
      <c r="R365" s="64" t="s">
        <v>35</v>
      </c>
      <c r="S365" s="64" t="s">
        <v>35</v>
      </c>
      <c r="T365" s="83"/>
      <c r="U365" s="77" t="s">
        <v>186</v>
      </c>
      <c r="V365" s="105" t="s">
        <v>1699</v>
      </c>
      <c r="W365" s="105">
        <v>33040200601</v>
      </c>
      <c r="X365" s="106" t="s">
        <v>1700</v>
      </c>
      <c r="Y365" s="105"/>
      <c r="Z365" s="105"/>
      <c r="AA365" s="105" t="s">
        <v>36</v>
      </c>
      <c r="AB365" s="110" t="s">
        <v>35</v>
      </c>
      <c r="AC365" s="50">
        <v>880</v>
      </c>
      <c r="AD365" s="50">
        <v>795</v>
      </c>
      <c r="AE365" s="50">
        <v>675</v>
      </c>
      <c r="AF365" s="111">
        <f t="shared" si="25"/>
        <v>6</v>
      </c>
      <c r="AG365" s="111" t="str">
        <f t="shared" si="26"/>
        <v>泪道成形费</v>
      </c>
      <c r="AH365" s="111">
        <f t="shared" si="27"/>
        <v>1015</v>
      </c>
      <c r="AI365" s="111">
        <f t="shared" si="28"/>
        <v>955</v>
      </c>
      <c r="AJ365" s="111">
        <f t="shared" si="29"/>
        <v>860</v>
      </c>
    </row>
    <row r="366" s="52" customFormat="1" ht="25.5" spans="1:36">
      <c r="A366" s="112"/>
      <c r="B366" s="112"/>
      <c r="C366" s="66" t="s">
        <v>1698</v>
      </c>
      <c r="D366" s="65"/>
      <c r="E366" s="77"/>
      <c r="F366" s="77"/>
      <c r="G366" s="64"/>
      <c r="H366" s="42"/>
      <c r="I366" s="42"/>
      <c r="J366" s="83"/>
      <c r="K366" s="83"/>
      <c r="L366" s="83"/>
      <c r="M366" s="83"/>
      <c r="N366" s="91">
        <v>235</v>
      </c>
      <c r="O366" s="91">
        <v>220</v>
      </c>
      <c r="P366" s="93">
        <v>200</v>
      </c>
      <c r="Q366" s="64"/>
      <c r="R366" s="64"/>
      <c r="S366" s="64"/>
      <c r="T366" s="83"/>
      <c r="U366" s="77"/>
      <c r="V366" s="105" t="s">
        <v>1701</v>
      </c>
      <c r="W366" s="105">
        <v>33040200301</v>
      </c>
      <c r="X366" s="106" t="s">
        <v>1702</v>
      </c>
      <c r="Y366" s="105"/>
      <c r="Z366" s="105"/>
      <c r="AA366" s="105" t="s">
        <v>36</v>
      </c>
      <c r="AB366" s="110" t="s">
        <v>35</v>
      </c>
      <c r="AC366" s="50">
        <v>1430</v>
      </c>
      <c r="AD366" s="50">
        <v>1285</v>
      </c>
      <c r="AE366" s="50">
        <v>1090</v>
      </c>
      <c r="AF366" s="111">
        <f t="shared" si="25"/>
        <v>6</v>
      </c>
      <c r="AG366" s="111" t="str">
        <f t="shared" si="26"/>
        <v>泪道成形费</v>
      </c>
      <c r="AH366" s="111">
        <f t="shared" si="27"/>
        <v>1015</v>
      </c>
      <c r="AI366" s="111">
        <f t="shared" si="28"/>
        <v>955</v>
      </c>
      <c r="AJ366" s="111">
        <f t="shared" si="29"/>
        <v>860</v>
      </c>
    </row>
    <row r="367" s="52" customFormat="1" ht="25.5" spans="1:36">
      <c r="A367" s="112"/>
      <c r="B367" s="112"/>
      <c r="C367" s="66" t="s">
        <v>1698</v>
      </c>
      <c r="D367" s="65"/>
      <c r="E367" s="77"/>
      <c r="F367" s="77"/>
      <c r="G367" s="64"/>
      <c r="H367" s="42"/>
      <c r="I367" s="42"/>
      <c r="J367" s="83"/>
      <c r="K367" s="83"/>
      <c r="L367" s="83"/>
      <c r="M367" s="83"/>
      <c r="N367" s="91">
        <v>235</v>
      </c>
      <c r="O367" s="91">
        <v>220</v>
      </c>
      <c r="P367" s="93">
        <v>200</v>
      </c>
      <c r="Q367" s="64"/>
      <c r="R367" s="64"/>
      <c r="S367" s="64"/>
      <c r="T367" s="83"/>
      <c r="U367" s="77"/>
      <c r="V367" s="105" t="s">
        <v>1703</v>
      </c>
      <c r="W367" s="105">
        <v>33040200701</v>
      </c>
      <c r="X367" s="106" t="s">
        <v>1704</v>
      </c>
      <c r="Y367" s="105"/>
      <c r="Z367" s="105"/>
      <c r="AA367" s="105" t="s">
        <v>36</v>
      </c>
      <c r="AB367" s="110" t="s">
        <v>35</v>
      </c>
      <c r="AC367" s="50">
        <v>1205</v>
      </c>
      <c r="AD367" s="50">
        <v>1085</v>
      </c>
      <c r="AE367" s="50">
        <v>920</v>
      </c>
      <c r="AF367" s="111">
        <f t="shared" si="25"/>
        <v>6</v>
      </c>
      <c r="AG367" s="111" t="str">
        <f t="shared" si="26"/>
        <v>泪道成形费</v>
      </c>
      <c r="AH367" s="111">
        <f t="shared" si="27"/>
        <v>1015</v>
      </c>
      <c r="AI367" s="111">
        <f t="shared" si="28"/>
        <v>955</v>
      </c>
      <c r="AJ367" s="111">
        <f t="shared" si="29"/>
        <v>860</v>
      </c>
    </row>
    <row r="368" s="52" customFormat="1" ht="25.5" spans="1:36">
      <c r="A368" s="112"/>
      <c r="B368" s="112"/>
      <c r="C368" s="66" t="s">
        <v>1698</v>
      </c>
      <c r="D368" s="65"/>
      <c r="E368" s="77"/>
      <c r="F368" s="77"/>
      <c r="G368" s="64"/>
      <c r="H368" s="42"/>
      <c r="I368" s="42"/>
      <c r="J368" s="83"/>
      <c r="K368" s="83"/>
      <c r="L368" s="83"/>
      <c r="M368" s="83"/>
      <c r="N368" s="91">
        <v>235</v>
      </c>
      <c r="O368" s="91">
        <v>220</v>
      </c>
      <c r="P368" s="93">
        <v>200</v>
      </c>
      <c r="Q368" s="64"/>
      <c r="R368" s="64"/>
      <c r="S368" s="64"/>
      <c r="T368" s="83"/>
      <c r="U368" s="77"/>
      <c r="V368" s="105" t="s">
        <v>1705</v>
      </c>
      <c r="W368" s="105">
        <v>33040200801</v>
      </c>
      <c r="X368" s="106" t="s">
        <v>1706</v>
      </c>
      <c r="Y368" s="105"/>
      <c r="Z368" s="105"/>
      <c r="AA368" s="105" t="s">
        <v>36</v>
      </c>
      <c r="AB368" s="110" t="s">
        <v>35</v>
      </c>
      <c r="AC368" s="50">
        <v>990</v>
      </c>
      <c r="AD368" s="50">
        <v>890</v>
      </c>
      <c r="AE368" s="50">
        <v>755</v>
      </c>
      <c r="AF368" s="111">
        <f t="shared" si="25"/>
        <v>6</v>
      </c>
      <c r="AG368" s="111" t="str">
        <f t="shared" si="26"/>
        <v>泪道成形费</v>
      </c>
      <c r="AH368" s="111">
        <f t="shared" si="27"/>
        <v>1015</v>
      </c>
      <c r="AI368" s="111">
        <f t="shared" si="28"/>
        <v>955</v>
      </c>
      <c r="AJ368" s="111">
        <f t="shared" si="29"/>
        <v>860</v>
      </c>
    </row>
    <row r="369" s="52" customFormat="1" ht="25.5" spans="1:36">
      <c r="A369" s="112"/>
      <c r="B369" s="112"/>
      <c r="C369" s="66" t="s">
        <v>1698</v>
      </c>
      <c r="D369" s="65"/>
      <c r="E369" s="77"/>
      <c r="F369" s="77"/>
      <c r="G369" s="64"/>
      <c r="H369" s="42"/>
      <c r="I369" s="42"/>
      <c r="J369" s="83"/>
      <c r="K369" s="83"/>
      <c r="L369" s="83"/>
      <c r="M369" s="83"/>
      <c r="N369" s="91">
        <v>235</v>
      </c>
      <c r="O369" s="91">
        <v>220</v>
      </c>
      <c r="P369" s="93">
        <v>200</v>
      </c>
      <c r="Q369" s="64"/>
      <c r="R369" s="64"/>
      <c r="S369" s="64"/>
      <c r="T369" s="83"/>
      <c r="U369" s="77"/>
      <c r="V369" s="105" t="s">
        <v>1707</v>
      </c>
      <c r="W369" s="105">
        <v>33040200902</v>
      </c>
      <c r="X369" s="106" t="s">
        <v>1708</v>
      </c>
      <c r="Y369" s="105"/>
      <c r="Z369" s="105"/>
      <c r="AA369" s="105" t="s">
        <v>36</v>
      </c>
      <c r="AB369" s="110" t="s">
        <v>35</v>
      </c>
      <c r="AC369" s="50">
        <v>655</v>
      </c>
      <c r="AD369" s="50">
        <v>590</v>
      </c>
      <c r="AE369" s="50">
        <v>500</v>
      </c>
      <c r="AF369" s="111">
        <f t="shared" si="25"/>
        <v>6</v>
      </c>
      <c r="AG369" s="111" t="str">
        <f t="shared" si="26"/>
        <v>泪道成形费</v>
      </c>
      <c r="AH369" s="111">
        <f t="shared" si="27"/>
        <v>1015</v>
      </c>
      <c r="AI369" s="111">
        <f t="shared" si="28"/>
        <v>955</v>
      </c>
      <c r="AJ369" s="111">
        <f t="shared" si="29"/>
        <v>860</v>
      </c>
    </row>
    <row r="370" customFormat="1" ht="25.5" spans="1:36">
      <c r="A370" s="112"/>
      <c r="B370" s="112"/>
      <c r="C370" s="66" t="s">
        <v>1698</v>
      </c>
      <c r="D370" s="65"/>
      <c r="E370" s="77"/>
      <c r="F370" s="77"/>
      <c r="G370" s="64"/>
      <c r="H370" s="42"/>
      <c r="I370" s="42"/>
      <c r="J370" s="83"/>
      <c r="K370" s="83"/>
      <c r="L370" s="83"/>
      <c r="M370" s="83"/>
      <c r="N370" s="91">
        <v>235</v>
      </c>
      <c r="O370" s="91">
        <v>220</v>
      </c>
      <c r="P370" s="93">
        <v>200</v>
      </c>
      <c r="Q370" s="64"/>
      <c r="R370" s="64"/>
      <c r="S370" s="64"/>
      <c r="T370" s="83"/>
      <c r="U370" s="77"/>
      <c r="V370" s="105" t="s">
        <v>1709</v>
      </c>
      <c r="W370" s="105">
        <v>33040200903</v>
      </c>
      <c r="X370" s="106" t="s">
        <v>1710</v>
      </c>
      <c r="Y370" s="105"/>
      <c r="Z370" s="105"/>
      <c r="AA370" s="105" t="s">
        <v>36</v>
      </c>
      <c r="AB370" s="110" t="s">
        <v>500</v>
      </c>
      <c r="AC370" s="50">
        <v>750</v>
      </c>
      <c r="AD370" s="50">
        <v>675</v>
      </c>
      <c r="AE370" s="50">
        <v>575</v>
      </c>
      <c r="AF370" s="111">
        <f t="shared" si="25"/>
        <v>6</v>
      </c>
      <c r="AG370" s="111" t="str">
        <f t="shared" si="26"/>
        <v>泪道成形费</v>
      </c>
      <c r="AH370" s="111">
        <f t="shared" si="27"/>
        <v>1015</v>
      </c>
      <c r="AI370" s="111">
        <f t="shared" si="28"/>
        <v>955</v>
      </c>
      <c r="AJ370" s="111">
        <f t="shared" si="29"/>
        <v>860</v>
      </c>
    </row>
    <row r="371" s="55" customFormat="1" ht="25.5" spans="1:36">
      <c r="A371" s="112" t="s">
        <v>95</v>
      </c>
      <c r="B371" s="112" t="s">
        <v>1711</v>
      </c>
      <c r="C371" s="64" t="s">
        <v>1712</v>
      </c>
      <c r="D371" s="65"/>
      <c r="E371" s="77"/>
      <c r="F371" s="77" t="s">
        <v>35</v>
      </c>
      <c r="G371" s="64" t="s">
        <v>110</v>
      </c>
      <c r="H371" s="78">
        <v>492</v>
      </c>
      <c r="I371" s="78">
        <v>443</v>
      </c>
      <c r="J371" s="83"/>
      <c r="K371" s="83"/>
      <c r="L371" s="83"/>
      <c r="M371" s="83"/>
      <c r="N371" s="41">
        <v>468</v>
      </c>
      <c r="O371" s="41">
        <v>441</v>
      </c>
      <c r="P371" s="50">
        <v>396</v>
      </c>
      <c r="Q371" s="64" t="s">
        <v>37</v>
      </c>
      <c r="R371" s="64" t="s">
        <v>35</v>
      </c>
      <c r="S371" s="64" t="s">
        <v>35</v>
      </c>
      <c r="T371" s="83"/>
      <c r="U371" s="77" t="s">
        <v>1713</v>
      </c>
      <c r="V371" s="105" t="s">
        <v>1714</v>
      </c>
      <c r="W371" s="105">
        <v>33040200401</v>
      </c>
      <c r="X371" s="106" t="s">
        <v>1715</v>
      </c>
      <c r="Y371" s="105"/>
      <c r="Z371" s="105"/>
      <c r="AA371" s="105" t="s">
        <v>36</v>
      </c>
      <c r="AB371" s="110" t="s">
        <v>1716</v>
      </c>
      <c r="AC371" s="50">
        <v>505</v>
      </c>
      <c r="AD371" s="50">
        <v>455</v>
      </c>
      <c r="AE371" s="50">
        <v>385</v>
      </c>
      <c r="AF371" s="111">
        <f t="shared" si="25"/>
        <v>0</v>
      </c>
      <c r="AG371" s="111" t="str">
        <f t="shared" si="26"/>
        <v>泪道成形费-泪小点外翻矫正术（减收）</v>
      </c>
      <c r="AH371" s="111">
        <f t="shared" si="27"/>
        <v>468</v>
      </c>
      <c r="AI371" s="111">
        <f t="shared" si="28"/>
        <v>441</v>
      </c>
      <c r="AJ371" s="111">
        <f t="shared" si="29"/>
        <v>396</v>
      </c>
    </row>
    <row r="372" s="55" customFormat="1" ht="25.5" spans="1:36">
      <c r="A372" s="112" t="s">
        <v>95</v>
      </c>
      <c r="B372" s="164" t="s">
        <v>1674</v>
      </c>
      <c r="C372" s="64" t="s">
        <v>1717</v>
      </c>
      <c r="D372" s="65"/>
      <c r="E372" s="77"/>
      <c r="F372" s="77" t="s">
        <v>35</v>
      </c>
      <c r="G372" s="64" t="s">
        <v>36</v>
      </c>
      <c r="H372" s="78">
        <v>600</v>
      </c>
      <c r="I372" s="78">
        <v>540</v>
      </c>
      <c r="J372" s="83">
        <v>540</v>
      </c>
      <c r="K372" s="83">
        <v>485</v>
      </c>
      <c r="L372" s="83">
        <v>415</v>
      </c>
      <c r="M372" s="83"/>
      <c r="N372" s="41">
        <v>540</v>
      </c>
      <c r="O372" s="41">
        <v>485</v>
      </c>
      <c r="P372" s="50">
        <v>415</v>
      </c>
      <c r="Q372" s="64" t="s">
        <v>37</v>
      </c>
      <c r="R372" s="64" t="s">
        <v>35</v>
      </c>
      <c r="S372" s="64" t="s">
        <v>35</v>
      </c>
      <c r="T372" s="83"/>
      <c r="U372" s="77" t="s">
        <v>381</v>
      </c>
      <c r="V372" s="105" t="s">
        <v>1718</v>
      </c>
      <c r="W372" s="105">
        <v>33040200702</v>
      </c>
      <c r="X372" s="106" t="s">
        <v>1719</v>
      </c>
      <c r="Y372" s="105"/>
      <c r="Z372" s="105"/>
      <c r="AA372" s="105" t="s">
        <v>36</v>
      </c>
      <c r="AB372" s="110" t="s">
        <v>35</v>
      </c>
      <c r="AC372" s="50">
        <v>540</v>
      </c>
      <c r="AD372" s="50">
        <v>485</v>
      </c>
      <c r="AE372" s="50">
        <v>415</v>
      </c>
      <c r="AF372" s="111">
        <f t="shared" si="25"/>
        <v>0</v>
      </c>
      <c r="AG372" s="111" t="str">
        <f t="shared" si="26"/>
        <v>泪道成形费-微动力辅助加收</v>
      </c>
      <c r="AH372" s="111">
        <f t="shared" si="27"/>
        <v>540</v>
      </c>
      <c r="AI372" s="111">
        <f t="shared" si="28"/>
        <v>485</v>
      </c>
      <c r="AJ372" s="111">
        <f t="shared" si="29"/>
        <v>415</v>
      </c>
    </row>
    <row r="373" s="52" customFormat="1" ht="58" customHeight="1" spans="1:36">
      <c r="A373" s="112">
        <v>114</v>
      </c>
      <c r="B373" s="112" t="s">
        <v>1720</v>
      </c>
      <c r="C373" s="64" t="s">
        <v>1721</v>
      </c>
      <c r="D373" s="65" t="s">
        <v>1722</v>
      </c>
      <c r="E373" s="77" t="s">
        <v>1723</v>
      </c>
      <c r="F373" s="77" t="s">
        <v>35</v>
      </c>
      <c r="G373" s="64" t="s">
        <v>110</v>
      </c>
      <c r="H373" s="78">
        <v>580</v>
      </c>
      <c r="I373" s="78">
        <v>522</v>
      </c>
      <c r="J373" s="83">
        <v>505</v>
      </c>
      <c r="K373" s="83">
        <v>455</v>
      </c>
      <c r="L373" s="83">
        <v>385</v>
      </c>
      <c r="M373" s="83"/>
      <c r="N373" s="41">
        <v>520</v>
      </c>
      <c r="O373" s="41">
        <v>465</v>
      </c>
      <c r="P373" s="50">
        <v>395</v>
      </c>
      <c r="Q373" s="64" t="s">
        <v>37</v>
      </c>
      <c r="R373" s="64" t="s">
        <v>35</v>
      </c>
      <c r="S373" s="64" t="s">
        <v>35</v>
      </c>
      <c r="T373" s="83" t="s">
        <v>485</v>
      </c>
      <c r="U373" s="77" t="s">
        <v>1724</v>
      </c>
      <c r="V373" s="105" t="s">
        <v>1725</v>
      </c>
      <c r="W373" s="105">
        <v>330402004</v>
      </c>
      <c r="X373" s="106" t="s">
        <v>1726</v>
      </c>
      <c r="Y373" s="105" t="s">
        <v>1727</v>
      </c>
      <c r="Z373" s="105"/>
      <c r="AA373" s="105" t="s">
        <v>36</v>
      </c>
      <c r="AB373" s="110" t="s">
        <v>35</v>
      </c>
      <c r="AC373" s="50">
        <v>505</v>
      </c>
      <c r="AD373" s="50">
        <v>455</v>
      </c>
      <c r="AE373" s="50">
        <v>385</v>
      </c>
      <c r="AF373" s="111">
        <f t="shared" si="25"/>
        <v>0</v>
      </c>
      <c r="AG373" s="111" t="str">
        <f t="shared" si="26"/>
        <v>泪道病变切除费</v>
      </c>
      <c r="AH373" s="111">
        <f t="shared" si="27"/>
        <v>520</v>
      </c>
      <c r="AI373" s="111">
        <f t="shared" si="28"/>
        <v>465</v>
      </c>
      <c r="AJ373" s="111">
        <f t="shared" si="29"/>
        <v>395</v>
      </c>
    </row>
    <row r="374" s="52" customFormat="1" ht="31" customHeight="1" spans="1:36">
      <c r="A374" s="112" t="s">
        <v>95</v>
      </c>
      <c r="B374" s="112" t="s">
        <v>1728</v>
      </c>
      <c r="C374" s="64" t="s">
        <v>1729</v>
      </c>
      <c r="D374" s="65"/>
      <c r="E374" s="77"/>
      <c r="F374" s="77" t="s">
        <v>35</v>
      </c>
      <c r="G374" s="64" t="s">
        <v>110</v>
      </c>
      <c r="H374" s="78">
        <v>174</v>
      </c>
      <c r="I374" s="78">
        <v>156</v>
      </c>
      <c r="J374" s="83"/>
      <c r="K374" s="83"/>
      <c r="L374" s="83"/>
      <c r="M374" s="83"/>
      <c r="N374" s="41">
        <v>155</v>
      </c>
      <c r="O374" s="41">
        <v>140</v>
      </c>
      <c r="P374" s="50">
        <v>120</v>
      </c>
      <c r="Q374" s="64" t="s">
        <v>37</v>
      </c>
      <c r="R374" s="64" t="s">
        <v>35</v>
      </c>
      <c r="S374" s="64" t="s">
        <v>35</v>
      </c>
      <c r="T374" s="83"/>
      <c r="U374" s="77" t="s">
        <v>186</v>
      </c>
      <c r="V374" s="105" t="s">
        <v>1730</v>
      </c>
      <c r="W374" s="105">
        <v>33040200402</v>
      </c>
      <c r="X374" s="106" t="s">
        <v>1731</v>
      </c>
      <c r="Y374" s="105"/>
      <c r="Z374" s="105"/>
      <c r="AA374" s="105" t="s">
        <v>36</v>
      </c>
      <c r="AB374" s="110" t="s">
        <v>35</v>
      </c>
      <c r="AC374" s="50">
        <v>655</v>
      </c>
      <c r="AD374" s="50">
        <v>590</v>
      </c>
      <c r="AE374" s="50">
        <v>500</v>
      </c>
      <c r="AF374" s="111">
        <f t="shared" si="25"/>
        <v>8</v>
      </c>
      <c r="AG374" s="111" t="str">
        <f t="shared" si="26"/>
        <v>泪道病变切除费</v>
      </c>
      <c r="AH374" s="111">
        <f t="shared" si="27"/>
        <v>675</v>
      </c>
      <c r="AI374" s="111">
        <f t="shared" si="28"/>
        <v>605</v>
      </c>
      <c r="AJ374" s="111">
        <f t="shared" si="29"/>
        <v>515</v>
      </c>
    </row>
    <row r="375" s="55" customFormat="1" ht="25.5" spans="1:36">
      <c r="A375" s="112" t="s">
        <v>95</v>
      </c>
      <c r="B375" s="112" t="s">
        <v>1732</v>
      </c>
      <c r="C375" s="66" t="s">
        <v>1733</v>
      </c>
      <c r="D375" s="65"/>
      <c r="E375" s="77"/>
      <c r="F375" s="77" t="s">
        <v>35</v>
      </c>
      <c r="G375" s="64" t="s">
        <v>110</v>
      </c>
      <c r="H375" s="78">
        <v>580</v>
      </c>
      <c r="I375" s="78">
        <v>522</v>
      </c>
      <c r="J375" s="83"/>
      <c r="K375" s="83"/>
      <c r="L375" s="83"/>
      <c r="M375" s="83"/>
      <c r="N375" s="91">
        <v>520</v>
      </c>
      <c r="O375" s="91">
        <v>465</v>
      </c>
      <c r="P375" s="93">
        <v>395</v>
      </c>
      <c r="Q375" s="64" t="s">
        <v>37</v>
      </c>
      <c r="R375" s="64" t="s">
        <v>35</v>
      </c>
      <c r="S375" s="64" t="s">
        <v>35</v>
      </c>
      <c r="T375" s="83"/>
      <c r="U375" s="77" t="s">
        <v>1734</v>
      </c>
      <c r="V375" s="105" t="s">
        <v>1714</v>
      </c>
      <c r="W375" s="105">
        <v>33040200401</v>
      </c>
      <c r="X375" s="106" t="s">
        <v>1715</v>
      </c>
      <c r="Y375" s="105"/>
      <c r="Z375" s="105"/>
      <c r="AA375" s="105" t="s">
        <v>36</v>
      </c>
      <c r="AB375" s="110" t="s">
        <v>1716</v>
      </c>
      <c r="AC375" s="50">
        <v>505</v>
      </c>
      <c r="AD375" s="50">
        <v>455</v>
      </c>
      <c r="AE375" s="50">
        <v>385</v>
      </c>
      <c r="AF375" s="111">
        <f t="shared" si="25"/>
        <v>0</v>
      </c>
      <c r="AG375" s="111" t="str">
        <f t="shared" si="26"/>
        <v>泪道病变切除费-泪囊摘除费（扩展）</v>
      </c>
      <c r="AH375" s="111">
        <f t="shared" si="27"/>
        <v>520</v>
      </c>
      <c r="AI375" s="111">
        <f t="shared" si="28"/>
        <v>465</v>
      </c>
      <c r="AJ375" s="111">
        <f t="shared" si="29"/>
        <v>395</v>
      </c>
    </row>
    <row r="376" s="55" customFormat="1" ht="25.5" spans="1:36">
      <c r="A376" s="112"/>
      <c r="B376" s="112"/>
      <c r="C376" s="66" t="s">
        <v>1733</v>
      </c>
      <c r="D376" s="65"/>
      <c r="E376" s="77"/>
      <c r="F376" s="77"/>
      <c r="G376" s="64"/>
      <c r="H376" s="42"/>
      <c r="I376" s="42"/>
      <c r="J376" s="83"/>
      <c r="K376" s="83"/>
      <c r="L376" s="83"/>
      <c r="M376" s="83"/>
      <c r="N376" s="91">
        <v>520</v>
      </c>
      <c r="O376" s="91">
        <v>465</v>
      </c>
      <c r="P376" s="93">
        <v>395</v>
      </c>
      <c r="Q376" s="64"/>
      <c r="R376" s="64"/>
      <c r="S376" s="64"/>
      <c r="T376" s="83"/>
      <c r="U376" s="77"/>
      <c r="V376" s="105" t="s">
        <v>1735</v>
      </c>
      <c r="W376" s="105">
        <v>330402005</v>
      </c>
      <c r="X376" s="106" t="s">
        <v>1736</v>
      </c>
      <c r="Y376" s="105" t="s">
        <v>1737</v>
      </c>
      <c r="Z376" s="105"/>
      <c r="AA376" s="105" t="s">
        <v>36</v>
      </c>
      <c r="AB376" s="110" t="s">
        <v>35</v>
      </c>
      <c r="AC376" s="50">
        <v>505</v>
      </c>
      <c r="AD376" s="50">
        <v>455</v>
      </c>
      <c r="AE376" s="50">
        <v>385</v>
      </c>
      <c r="AF376" s="111">
        <f t="shared" si="25"/>
        <v>0</v>
      </c>
      <c r="AG376" s="111" t="str">
        <f t="shared" si="26"/>
        <v>泪道病变切除费-泪囊摘除费（扩展）</v>
      </c>
      <c r="AH376" s="111">
        <f t="shared" si="27"/>
        <v>520</v>
      </c>
      <c r="AI376" s="111">
        <f t="shared" si="28"/>
        <v>465</v>
      </c>
      <c r="AJ376" s="111">
        <f t="shared" si="29"/>
        <v>395</v>
      </c>
    </row>
    <row r="377" s="55" customFormat="1" ht="25.5" spans="1:36">
      <c r="A377" s="112"/>
      <c r="B377" s="112"/>
      <c r="C377" s="66" t="s">
        <v>1733</v>
      </c>
      <c r="D377" s="65"/>
      <c r="E377" s="77"/>
      <c r="F377" s="77"/>
      <c r="G377" s="64"/>
      <c r="H377" s="42"/>
      <c r="I377" s="42"/>
      <c r="J377" s="83"/>
      <c r="K377" s="83"/>
      <c r="L377" s="83"/>
      <c r="M377" s="83"/>
      <c r="N377" s="91">
        <v>520</v>
      </c>
      <c r="O377" s="91">
        <v>465</v>
      </c>
      <c r="P377" s="93">
        <v>395</v>
      </c>
      <c r="Q377" s="64"/>
      <c r="R377" s="64"/>
      <c r="S377" s="64"/>
      <c r="T377" s="83"/>
      <c r="U377" s="77"/>
      <c r="V377" s="105" t="s">
        <v>1738</v>
      </c>
      <c r="W377" s="105">
        <v>33040200501</v>
      </c>
      <c r="X377" s="106" t="s">
        <v>1739</v>
      </c>
      <c r="Y377" s="105"/>
      <c r="Z377" s="105"/>
      <c r="AA377" s="105" t="s">
        <v>36</v>
      </c>
      <c r="AB377" s="110" t="s">
        <v>1740</v>
      </c>
      <c r="AC377" s="50">
        <v>505</v>
      </c>
      <c r="AD377" s="50">
        <v>455</v>
      </c>
      <c r="AE377" s="50">
        <v>385</v>
      </c>
      <c r="AF377" s="111">
        <f t="shared" si="25"/>
        <v>0</v>
      </c>
      <c r="AG377" s="111" t="str">
        <f t="shared" si="26"/>
        <v>泪道病变切除费-泪囊摘除费（扩展）</v>
      </c>
      <c r="AH377" s="111">
        <f t="shared" si="27"/>
        <v>520</v>
      </c>
      <c r="AI377" s="111">
        <f t="shared" si="28"/>
        <v>465</v>
      </c>
      <c r="AJ377" s="111">
        <f t="shared" si="29"/>
        <v>395</v>
      </c>
    </row>
    <row r="378" s="55" customFormat="1" ht="25.5" spans="1:36">
      <c r="A378" s="112"/>
      <c r="B378" s="112"/>
      <c r="C378" s="66" t="s">
        <v>1733</v>
      </c>
      <c r="D378" s="65"/>
      <c r="E378" s="77"/>
      <c r="F378" s="77"/>
      <c r="G378" s="64"/>
      <c r="H378" s="42"/>
      <c r="I378" s="42"/>
      <c r="J378" s="83"/>
      <c r="K378" s="83"/>
      <c r="L378" s="83"/>
      <c r="M378" s="83"/>
      <c r="N378" s="91">
        <v>520</v>
      </c>
      <c r="O378" s="91">
        <v>465</v>
      </c>
      <c r="P378" s="93">
        <v>395</v>
      </c>
      <c r="Q378" s="64"/>
      <c r="R378" s="64"/>
      <c r="S378" s="64"/>
      <c r="T378" s="83"/>
      <c r="U378" s="77"/>
      <c r="V378" s="105" t="s">
        <v>1741</v>
      </c>
      <c r="W378" s="105">
        <v>33040200502</v>
      </c>
      <c r="X378" s="106" t="s">
        <v>1742</v>
      </c>
      <c r="Y378" s="105"/>
      <c r="Z378" s="105"/>
      <c r="AA378" s="105" t="s">
        <v>36</v>
      </c>
      <c r="AB378" s="110" t="s">
        <v>1743</v>
      </c>
      <c r="AC378" s="50">
        <v>505</v>
      </c>
      <c r="AD378" s="50">
        <v>455</v>
      </c>
      <c r="AE378" s="50">
        <v>385</v>
      </c>
      <c r="AF378" s="111">
        <f t="shared" si="25"/>
        <v>0</v>
      </c>
      <c r="AG378" s="111" t="str">
        <f t="shared" si="26"/>
        <v>泪道病变切除费-泪囊摘除费（扩展）</v>
      </c>
      <c r="AH378" s="111">
        <f t="shared" si="27"/>
        <v>520</v>
      </c>
      <c r="AI378" s="111">
        <f t="shared" si="28"/>
        <v>465</v>
      </c>
      <c r="AJ378" s="111">
        <f t="shared" si="29"/>
        <v>395</v>
      </c>
    </row>
    <row r="379" s="55" customFormat="1" ht="25.5" spans="1:36">
      <c r="A379" s="112"/>
      <c r="B379" s="112"/>
      <c r="C379" s="66" t="s">
        <v>1733</v>
      </c>
      <c r="D379" s="65"/>
      <c r="E379" s="77"/>
      <c r="F379" s="77"/>
      <c r="G379" s="64"/>
      <c r="H379" s="42"/>
      <c r="I379" s="42"/>
      <c r="J379" s="83"/>
      <c r="K379" s="83"/>
      <c r="L379" s="83"/>
      <c r="M379" s="83"/>
      <c r="N379" s="91">
        <v>520</v>
      </c>
      <c r="O379" s="91">
        <v>465</v>
      </c>
      <c r="P379" s="93">
        <v>395</v>
      </c>
      <c r="Q379" s="64"/>
      <c r="R379" s="64"/>
      <c r="S379" s="64"/>
      <c r="T379" s="83"/>
      <c r="U379" s="77"/>
      <c r="V379" s="105" t="s">
        <v>1744</v>
      </c>
      <c r="W379" s="105">
        <v>33040200503</v>
      </c>
      <c r="X379" s="106" t="s">
        <v>1745</v>
      </c>
      <c r="Y379" s="105"/>
      <c r="Z379" s="105"/>
      <c r="AA379" s="105" t="s">
        <v>36</v>
      </c>
      <c r="AB379" s="110" t="s">
        <v>35</v>
      </c>
      <c r="AC379" s="50">
        <v>655</v>
      </c>
      <c r="AD379" s="50">
        <v>590</v>
      </c>
      <c r="AE379" s="50">
        <v>500</v>
      </c>
      <c r="AF379" s="111">
        <f t="shared" si="25"/>
        <v>0</v>
      </c>
      <c r="AG379" s="111" t="str">
        <f t="shared" si="26"/>
        <v>泪道病变切除费-泪囊摘除费（扩展）</v>
      </c>
      <c r="AH379" s="111">
        <f t="shared" si="27"/>
        <v>520</v>
      </c>
      <c r="AI379" s="111">
        <f t="shared" si="28"/>
        <v>465</v>
      </c>
      <c r="AJ379" s="111">
        <f t="shared" si="29"/>
        <v>395</v>
      </c>
    </row>
    <row r="380" s="52" customFormat="1" ht="51" spans="1:36">
      <c r="A380" s="112">
        <v>115</v>
      </c>
      <c r="B380" s="112" t="s">
        <v>1746</v>
      </c>
      <c r="C380" s="64" t="s">
        <v>1747</v>
      </c>
      <c r="D380" s="65" t="s">
        <v>1748</v>
      </c>
      <c r="E380" s="77" t="s">
        <v>1749</v>
      </c>
      <c r="F380" s="77" t="s">
        <v>35</v>
      </c>
      <c r="G380" s="64" t="s">
        <v>110</v>
      </c>
      <c r="H380" s="78">
        <v>340</v>
      </c>
      <c r="I380" s="78">
        <v>305</v>
      </c>
      <c r="J380" s="83">
        <v>312.5</v>
      </c>
      <c r="K380" s="83">
        <v>300</v>
      </c>
      <c r="L380" s="83">
        <v>255</v>
      </c>
      <c r="M380" s="83"/>
      <c r="N380" s="89">
        <v>315</v>
      </c>
      <c r="O380" s="41">
        <v>300</v>
      </c>
      <c r="P380" s="50">
        <v>255</v>
      </c>
      <c r="Q380" s="64" t="s">
        <v>37</v>
      </c>
      <c r="R380" s="64" t="s">
        <v>35</v>
      </c>
      <c r="S380" s="64" t="s">
        <v>35</v>
      </c>
      <c r="T380" s="83"/>
      <c r="U380" s="77" t="s">
        <v>191</v>
      </c>
      <c r="V380" s="105" t="s">
        <v>1750</v>
      </c>
      <c r="W380" s="105">
        <v>330402002</v>
      </c>
      <c r="X380" s="106" t="s">
        <v>1751</v>
      </c>
      <c r="Y380" s="105" t="s">
        <v>1752</v>
      </c>
      <c r="Z380" s="105"/>
      <c r="AA380" s="105" t="s">
        <v>36</v>
      </c>
      <c r="AB380" s="110" t="s">
        <v>35</v>
      </c>
      <c r="AC380" s="50">
        <v>312.5</v>
      </c>
      <c r="AD380" s="50">
        <v>300</v>
      </c>
      <c r="AE380" s="50">
        <v>255</v>
      </c>
      <c r="AF380" s="111">
        <f t="shared" si="25"/>
        <v>0</v>
      </c>
      <c r="AG380" s="111" t="str">
        <f t="shared" si="26"/>
        <v>泪腺脱垂复位费</v>
      </c>
      <c r="AH380" s="111">
        <f t="shared" si="27"/>
        <v>315</v>
      </c>
      <c r="AI380" s="111">
        <f t="shared" si="28"/>
        <v>300</v>
      </c>
      <c r="AJ380" s="111">
        <f t="shared" si="29"/>
        <v>255</v>
      </c>
    </row>
    <row r="381" s="52" customFormat="1" ht="37" customHeight="1" spans="1:36">
      <c r="A381" s="112" t="s">
        <v>95</v>
      </c>
      <c r="B381" s="112" t="s">
        <v>1753</v>
      </c>
      <c r="C381" s="64" t="s">
        <v>1754</v>
      </c>
      <c r="D381" s="65"/>
      <c r="E381" s="77"/>
      <c r="F381" s="77" t="s">
        <v>35</v>
      </c>
      <c r="G381" s="64" t="s">
        <v>110</v>
      </c>
      <c r="H381" s="78">
        <v>102</v>
      </c>
      <c r="I381" s="78">
        <v>92</v>
      </c>
      <c r="J381" s="83">
        <v>92.5</v>
      </c>
      <c r="K381" s="83">
        <v>90</v>
      </c>
      <c r="L381" s="83">
        <v>75</v>
      </c>
      <c r="M381" s="83"/>
      <c r="N381" s="89">
        <v>95</v>
      </c>
      <c r="O381" s="41">
        <v>90</v>
      </c>
      <c r="P381" s="96">
        <v>77</v>
      </c>
      <c r="Q381" s="64" t="s">
        <v>37</v>
      </c>
      <c r="R381" s="64" t="s">
        <v>35</v>
      </c>
      <c r="S381" s="64" t="s">
        <v>35</v>
      </c>
      <c r="T381" s="83"/>
      <c r="U381" s="77" t="s">
        <v>186</v>
      </c>
      <c r="V381" s="105" t="s">
        <v>1755</v>
      </c>
      <c r="W381" s="105">
        <v>33040200201</v>
      </c>
      <c r="X381" s="106" t="s">
        <v>1756</v>
      </c>
      <c r="Y381" s="105"/>
      <c r="Z381" s="105"/>
      <c r="AA381" s="105" t="s">
        <v>36</v>
      </c>
      <c r="AB381" s="110" t="s">
        <v>35</v>
      </c>
      <c r="AC381" s="50">
        <v>405</v>
      </c>
      <c r="AD381" s="50">
        <v>390</v>
      </c>
      <c r="AE381" s="50">
        <v>330</v>
      </c>
      <c r="AF381" s="111">
        <f t="shared" si="25"/>
        <v>8</v>
      </c>
      <c r="AG381" s="111" t="str">
        <f t="shared" si="26"/>
        <v>泪腺脱垂复位费</v>
      </c>
      <c r="AH381" s="111">
        <f t="shared" si="27"/>
        <v>410</v>
      </c>
      <c r="AI381" s="111">
        <f t="shared" si="28"/>
        <v>390</v>
      </c>
      <c r="AJ381" s="111">
        <f t="shared" si="29"/>
        <v>332</v>
      </c>
    </row>
    <row r="382" s="52" customFormat="1" ht="54" customHeight="1" spans="1:36">
      <c r="A382" s="112">
        <v>116</v>
      </c>
      <c r="B382" s="112" t="s">
        <v>1757</v>
      </c>
      <c r="C382" s="64" t="s">
        <v>1758</v>
      </c>
      <c r="D382" s="65" t="s">
        <v>1759</v>
      </c>
      <c r="E382" s="77" t="s">
        <v>1760</v>
      </c>
      <c r="F382" s="77" t="s">
        <v>35</v>
      </c>
      <c r="G382" s="64" t="s">
        <v>110</v>
      </c>
      <c r="H382" s="78">
        <v>810</v>
      </c>
      <c r="I382" s="78">
        <v>730</v>
      </c>
      <c r="J382" s="83">
        <v>750</v>
      </c>
      <c r="K382" s="83">
        <v>720</v>
      </c>
      <c r="L382" s="83">
        <v>612</v>
      </c>
      <c r="M382" s="83"/>
      <c r="N382" s="41">
        <v>750</v>
      </c>
      <c r="O382" s="41">
        <v>720</v>
      </c>
      <c r="P382" s="50">
        <v>612</v>
      </c>
      <c r="Q382" s="64" t="s">
        <v>37</v>
      </c>
      <c r="R382" s="64" t="s">
        <v>35</v>
      </c>
      <c r="S382" s="64" t="s">
        <v>35</v>
      </c>
      <c r="T382" s="83" t="s">
        <v>381</v>
      </c>
      <c r="U382" s="77"/>
      <c r="V382" s="105" t="s">
        <v>1761</v>
      </c>
      <c r="W382" s="105">
        <v>330409005</v>
      </c>
      <c r="X382" s="106" t="s">
        <v>1762</v>
      </c>
      <c r="Y382" s="105" t="s">
        <v>1763</v>
      </c>
      <c r="Z382" s="105" t="s">
        <v>1090</v>
      </c>
      <c r="AA382" s="105" t="s">
        <v>36</v>
      </c>
      <c r="AB382" s="110" t="s">
        <v>35</v>
      </c>
      <c r="AC382" s="50">
        <v>750</v>
      </c>
      <c r="AD382" s="50">
        <v>720</v>
      </c>
      <c r="AE382" s="50">
        <v>612</v>
      </c>
      <c r="AF382" s="111">
        <f t="shared" si="25"/>
        <v>0</v>
      </c>
      <c r="AG382" s="111" t="str">
        <f t="shared" si="26"/>
        <v>眼球裂伤缝合费</v>
      </c>
      <c r="AH382" s="111">
        <f t="shared" si="27"/>
        <v>750</v>
      </c>
      <c r="AI382" s="111">
        <f t="shared" si="28"/>
        <v>720</v>
      </c>
      <c r="AJ382" s="111">
        <f t="shared" si="29"/>
        <v>612</v>
      </c>
    </row>
    <row r="383" s="52" customFormat="1" ht="38" customHeight="1" spans="1:36">
      <c r="A383" s="112" t="s">
        <v>95</v>
      </c>
      <c r="B383" s="112" t="s">
        <v>1764</v>
      </c>
      <c r="C383" s="64" t="s">
        <v>1765</v>
      </c>
      <c r="D383" s="65"/>
      <c r="E383" s="77"/>
      <c r="F383" s="77" t="s">
        <v>35</v>
      </c>
      <c r="G383" s="64" t="s">
        <v>110</v>
      </c>
      <c r="H383" s="78">
        <v>243</v>
      </c>
      <c r="I383" s="78">
        <v>219</v>
      </c>
      <c r="J383" s="83">
        <v>225</v>
      </c>
      <c r="K383" s="83">
        <v>215</v>
      </c>
      <c r="L383" s="83">
        <v>183</v>
      </c>
      <c r="M383" s="83"/>
      <c r="N383" s="41">
        <v>225</v>
      </c>
      <c r="O383" s="41">
        <v>215</v>
      </c>
      <c r="P383" s="96">
        <v>185</v>
      </c>
      <c r="Q383" s="64" t="s">
        <v>37</v>
      </c>
      <c r="R383" s="64" t="s">
        <v>35</v>
      </c>
      <c r="S383" s="64" t="s">
        <v>35</v>
      </c>
      <c r="T383" s="83"/>
      <c r="U383" s="77" t="s">
        <v>186</v>
      </c>
      <c r="V383" s="105" t="s">
        <v>1766</v>
      </c>
      <c r="W383" s="105">
        <v>33040900503</v>
      </c>
      <c r="X383" s="106" t="s">
        <v>1767</v>
      </c>
      <c r="Y383" s="105"/>
      <c r="Z383" s="105"/>
      <c r="AA383" s="105" t="s">
        <v>36</v>
      </c>
      <c r="AB383" s="110" t="s">
        <v>35</v>
      </c>
      <c r="AC383" s="50">
        <v>975</v>
      </c>
      <c r="AD383" s="50">
        <v>935</v>
      </c>
      <c r="AE383" s="50">
        <v>795</v>
      </c>
      <c r="AF383" s="111">
        <f t="shared" si="25"/>
        <v>8</v>
      </c>
      <c r="AG383" s="111" t="str">
        <f t="shared" si="26"/>
        <v>眼球裂伤缝合费</v>
      </c>
      <c r="AH383" s="111">
        <f t="shared" si="27"/>
        <v>975</v>
      </c>
      <c r="AI383" s="111">
        <f t="shared" si="28"/>
        <v>935</v>
      </c>
      <c r="AJ383" s="111">
        <f t="shared" si="29"/>
        <v>797</v>
      </c>
    </row>
    <row r="384" s="52" customFormat="1" ht="28" customHeight="1" spans="1:36">
      <c r="A384" s="112" t="s">
        <v>95</v>
      </c>
      <c r="B384" s="112" t="s">
        <v>1768</v>
      </c>
      <c r="C384" s="66" t="s">
        <v>1769</v>
      </c>
      <c r="D384" s="65"/>
      <c r="E384" s="77"/>
      <c r="F384" s="77" t="s">
        <v>35</v>
      </c>
      <c r="G384" s="64" t="s">
        <v>110</v>
      </c>
      <c r="H384" s="78">
        <v>243</v>
      </c>
      <c r="I384" s="78">
        <v>219</v>
      </c>
      <c r="J384" s="83"/>
      <c r="K384" s="83"/>
      <c r="L384" s="83"/>
      <c r="M384" s="83"/>
      <c r="N384" s="91">
        <v>225</v>
      </c>
      <c r="O384" s="91">
        <v>215</v>
      </c>
      <c r="P384" s="93">
        <v>185</v>
      </c>
      <c r="Q384" s="64" t="s">
        <v>37</v>
      </c>
      <c r="R384" s="64" t="s">
        <v>35</v>
      </c>
      <c r="S384" s="64" t="s">
        <v>35</v>
      </c>
      <c r="T384" s="83"/>
      <c r="U384" s="77" t="s">
        <v>1770</v>
      </c>
      <c r="V384" s="105" t="s">
        <v>1771</v>
      </c>
      <c r="W384" s="105">
        <v>33040900501</v>
      </c>
      <c r="X384" s="106" t="s">
        <v>1772</v>
      </c>
      <c r="Y384" s="105"/>
      <c r="Z384" s="105"/>
      <c r="AA384" s="105" t="s">
        <v>36</v>
      </c>
      <c r="AB384" s="110" t="s">
        <v>35</v>
      </c>
      <c r="AC384" s="50">
        <v>750</v>
      </c>
      <c r="AD384" s="50">
        <v>720</v>
      </c>
      <c r="AE384" s="50">
        <v>612</v>
      </c>
      <c r="AF384" s="111">
        <f t="shared" si="25"/>
        <v>0</v>
      </c>
      <c r="AG384" s="111" t="str">
        <f t="shared" si="26"/>
        <v>眼球裂伤缝合费-裂伤累及视网膜（加收）</v>
      </c>
      <c r="AH384" s="111">
        <f t="shared" si="27"/>
        <v>225</v>
      </c>
      <c r="AI384" s="111">
        <f t="shared" si="28"/>
        <v>215</v>
      </c>
      <c r="AJ384" s="111">
        <f t="shared" si="29"/>
        <v>185</v>
      </c>
    </row>
    <row r="385" s="55" customFormat="1" ht="28" customHeight="1" spans="1:36">
      <c r="A385" s="112"/>
      <c r="B385" s="112"/>
      <c r="C385" s="66" t="s">
        <v>1769</v>
      </c>
      <c r="D385" s="65"/>
      <c r="E385" s="77"/>
      <c r="F385" s="77"/>
      <c r="G385" s="64"/>
      <c r="H385" s="42"/>
      <c r="I385" s="42"/>
      <c r="J385" s="83"/>
      <c r="K385" s="83"/>
      <c r="L385" s="83"/>
      <c r="M385" s="83"/>
      <c r="N385" s="91">
        <v>225</v>
      </c>
      <c r="O385" s="91">
        <v>215</v>
      </c>
      <c r="P385" s="93">
        <v>185</v>
      </c>
      <c r="Q385" s="64"/>
      <c r="R385" s="64"/>
      <c r="S385" s="64"/>
      <c r="T385" s="83"/>
      <c r="U385" s="77"/>
      <c r="V385" s="105" t="s">
        <v>1773</v>
      </c>
      <c r="W385" s="105">
        <v>33040900502</v>
      </c>
      <c r="X385" s="106" t="s">
        <v>1774</v>
      </c>
      <c r="Y385" s="105"/>
      <c r="Z385" s="105"/>
      <c r="AA385" s="105" t="s">
        <v>36</v>
      </c>
      <c r="AB385" s="110" t="s">
        <v>35</v>
      </c>
      <c r="AC385" s="50">
        <v>750</v>
      </c>
      <c r="AD385" s="50">
        <v>720</v>
      </c>
      <c r="AE385" s="50">
        <v>612</v>
      </c>
      <c r="AF385" s="111">
        <f t="shared" si="25"/>
        <v>0</v>
      </c>
      <c r="AG385" s="111" t="str">
        <f t="shared" si="26"/>
        <v>眼球裂伤缝合费-裂伤累及视网膜（加收）</v>
      </c>
      <c r="AH385" s="111">
        <f t="shared" si="27"/>
        <v>225</v>
      </c>
      <c r="AI385" s="111">
        <f t="shared" si="28"/>
        <v>215</v>
      </c>
      <c r="AJ385" s="111">
        <f t="shared" si="29"/>
        <v>185</v>
      </c>
    </row>
    <row r="386" s="52" customFormat="1" ht="26" customHeight="1" spans="1:36">
      <c r="A386" s="112">
        <v>117</v>
      </c>
      <c r="B386" s="112" t="s">
        <v>1775</v>
      </c>
      <c r="C386" s="66" t="s">
        <v>1776</v>
      </c>
      <c r="D386" s="65" t="s">
        <v>1777</v>
      </c>
      <c r="E386" s="77" t="s">
        <v>1778</v>
      </c>
      <c r="F386" s="77" t="s">
        <v>35</v>
      </c>
      <c r="G386" s="64" t="s">
        <v>1779</v>
      </c>
      <c r="H386" s="78">
        <v>1430</v>
      </c>
      <c r="I386" s="78">
        <v>1287</v>
      </c>
      <c r="J386" s="84">
        <v>1268.64847715736</v>
      </c>
      <c r="K386" s="84">
        <v>1142.7027027027</v>
      </c>
      <c r="L386" s="83"/>
      <c r="M386" s="83"/>
      <c r="N386" s="91">
        <v>1270</v>
      </c>
      <c r="O386" s="91">
        <v>1145</v>
      </c>
      <c r="P386" s="93">
        <v>975</v>
      </c>
      <c r="Q386" s="64" t="s">
        <v>37</v>
      </c>
      <c r="R386" s="64" t="s">
        <v>35</v>
      </c>
      <c r="S386" s="64" t="s">
        <v>348</v>
      </c>
      <c r="T386" s="83" t="s">
        <v>191</v>
      </c>
      <c r="U386" s="77" t="s">
        <v>191</v>
      </c>
      <c r="V386" s="105" t="s">
        <v>1780</v>
      </c>
      <c r="W386" s="105">
        <v>330408001</v>
      </c>
      <c r="X386" s="106" t="s">
        <v>1781</v>
      </c>
      <c r="Y386" s="105" t="s">
        <v>1782</v>
      </c>
      <c r="Z386" s="105"/>
      <c r="AA386" s="105" t="s">
        <v>1783</v>
      </c>
      <c r="AB386" s="110" t="s">
        <v>1784</v>
      </c>
      <c r="AC386" s="50">
        <v>875</v>
      </c>
      <c r="AD386" s="50">
        <v>840</v>
      </c>
      <c r="AE386" s="50">
        <v>714</v>
      </c>
      <c r="AF386" s="111">
        <f t="shared" si="25"/>
        <v>0</v>
      </c>
      <c r="AG386" s="111" t="str">
        <f t="shared" si="26"/>
        <v>眼外肌调整矫治费</v>
      </c>
      <c r="AH386" s="111">
        <f t="shared" si="27"/>
        <v>1270</v>
      </c>
      <c r="AI386" s="111">
        <f t="shared" si="28"/>
        <v>1145</v>
      </c>
      <c r="AJ386" s="111">
        <f t="shared" si="29"/>
        <v>975</v>
      </c>
    </row>
    <row r="387" s="52" customFormat="1" ht="26" customHeight="1" spans="1:36">
      <c r="A387" s="112"/>
      <c r="B387" s="112"/>
      <c r="C387" s="66" t="s">
        <v>1776</v>
      </c>
      <c r="D387" s="65"/>
      <c r="E387" s="77"/>
      <c r="F387" s="77"/>
      <c r="G387" s="64"/>
      <c r="H387" s="42"/>
      <c r="I387" s="42"/>
      <c r="J387" s="84"/>
      <c r="K387" s="84"/>
      <c r="L387" s="83"/>
      <c r="M387" s="83"/>
      <c r="N387" s="91">
        <v>1270</v>
      </c>
      <c r="O387" s="91">
        <v>1145</v>
      </c>
      <c r="P387" s="93">
        <v>975</v>
      </c>
      <c r="Q387" s="64"/>
      <c r="R387" s="64"/>
      <c r="S387" s="64"/>
      <c r="T387" s="83"/>
      <c r="U387" s="77"/>
      <c r="V387" s="105" t="s">
        <v>1785</v>
      </c>
      <c r="W387" s="105">
        <v>33040800101</v>
      </c>
      <c r="X387" s="106" t="s">
        <v>1786</v>
      </c>
      <c r="Y387" s="105"/>
      <c r="Z387" s="105"/>
      <c r="AA387" s="105" t="s">
        <v>1783</v>
      </c>
      <c r="AB387" s="110" t="s">
        <v>1787</v>
      </c>
      <c r="AC387" s="50">
        <v>1312.5</v>
      </c>
      <c r="AD387" s="50">
        <v>1260</v>
      </c>
      <c r="AE387" s="50">
        <v>1071</v>
      </c>
      <c r="AF387" s="111">
        <f t="shared" si="25"/>
        <v>0</v>
      </c>
      <c r="AG387" s="111" t="str">
        <f t="shared" si="26"/>
        <v>眼外肌调整矫治费</v>
      </c>
      <c r="AH387" s="111">
        <f t="shared" si="27"/>
        <v>1270</v>
      </c>
      <c r="AI387" s="111">
        <f t="shared" si="28"/>
        <v>1145</v>
      </c>
      <c r="AJ387" s="111">
        <f t="shared" si="29"/>
        <v>975</v>
      </c>
    </row>
    <row r="388" s="52" customFormat="1" ht="26" customHeight="1" spans="1:36">
      <c r="A388" s="112"/>
      <c r="B388" s="112"/>
      <c r="C388" s="66" t="s">
        <v>1776</v>
      </c>
      <c r="D388" s="65"/>
      <c r="E388" s="77"/>
      <c r="F388" s="77"/>
      <c r="G388" s="64"/>
      <c r="H388" s="42"/>
      <c r="I388" s="42"/>
      <c r="J388" s="84"/>
      <c r="K388" s="84"/>
      <c r="L388" s="83"/>
      <c r="M388" s="83"/>
      <c r="N388" s="91">
        <v>1270</v>
      </c>
      <c r="O388" s="91">
        <v>1145</v>
      </c>
      <c r="P388" s="93">
        <v>975</v>
      </c>
      <c r="Q388" s="64"/>
      <c r="R388" s="64"/>
      <c r="S388" s="64"/>
      <c r="T388" s="83"/>
      <c r="U388" s="77"/>
      <c r="V388" s="105" t="s">
        <v>1788</v>
      </c>
      <c r="W388" s="105">
        <v>33040800102</v>
      </c>
      <c r="X388" s="106" t="s">
        <v>1789</v>
      </c>
      <c r="Y388" s="105"/>
      <c r="Z388" s="105"/>
      <c r="AA388" s="105" t="s">
        <v>1783</v>
      </c>
      <c r="AB388" s="110" t="s">
        <v>1790</v>
      </c>
      <c r="AC388" s="50">
        <v>1531.3</v>
      </c>
      <c r="AD388" s="50">
        <v>1470</v>
      </c>
      <c r="AE388" s="50">
        <v>1249.5</v>
      </c>
      <c r="AF388" s="111">
        <f t="shared" si="25"/>
        <v>0</v>
      </c>
      <c r="AG388" s="111" t="str">
        <f t="shared" si="26"/>
        <v>眼外肌调整矫治费</v>
      </c>
      <c r="AH388" s="111">
        <f t="shared" si="27"/>
        <v>1270</v>
      </c>
      <c r="AI388" s="111">
        <f t="shared" si="28"/>
        <v>1145</v>
      </c>
      <c r="AJ388" s="111">
        <f t="shared" si="29"/>
        <v>975</v>
      </c>
    </row>
    <row r="389" s="52" customFormat="1" ht="26" customHeight="1" spans="1:36">
      <c r="A389" s="112"/>
      <c r="B389" s="112"/>
      <c r="C389" s="66" t="s">
        <v>1776</v>
      </c>
      <c r="D389" s="65"/>
      <c r="E389" s="77"/>
      <c r="F389" s="77"/>
      <c r="G389" s="64"/>
      <c r="H389" s="42"/>
      <c r="I389" s="42"/>
      <c r="J389" s="84"/>
      <c r="K389" s="84"/>
      <c r="L389" s="83"/>
      <c r="M389" s="83"/>
      <c r="N389" s="91">
        <v>1270</v>
      </c>
      <c r="O389" s="91">
        <v>1145</v>
      </c>
      <c r="P389" s="93">
        <v>975</v>
      </c>
      <c r="Q389" s="64"/>
      <c r="R389" s="64"/>
      <c r="S389" s="64"/>
      <c r="T389" s="83"/>
      <c r="U389" s="77"/>
      <c r="V389" s="105" t="s">
        <v>1791</v>
      </c>
      <c r="W389" s="105">
        <v>330408002</v>
      </c>
      <c r="X389" s="106" t="s">
        <v>1792</v>
      </c>
      <c r="Y389" s="105" t="s">
        <v>1793</v>
      </c>
      <c r="Z389" s="105"/>
      <c r="AA389" s="105" t="s">
        <v>1783</v>
      </c>
      <c r="AB389" s="110" t="s">
        <v>1794</v>
      </c>
      <c r="AC389" s="50">
        <v>1180</v>
      </c>
      <c r="AD389" s="50">
        <v>1060</v>
      </c>
      <c r="AE389" s="50">
        <v>900</v>
      </c>
      <c r="AF389" s="111">
        <f>IFERROR(FIND("-儿童（加收）",C389,1),0)</f>
        <v>0</v>
      </c>
      <c r="AG389" s="111" t="str">
        <f>SUBSTITUTE(C389,"-儿童（加收）","")</f>
        <v>眼外肌调整矫治费</v>
      </c>
      <c r="AH389" s="111">
        <f>IF(AF389&gt;0,_xlfn.MAXIFS(N:N,C:C,SUBSTITUTE(C389,"-儿童（加收）","")),0)+N389</f>
        <v>1270</v>
      </c>
      <c r="AI389" s="111">
        <f>IF(AF389&gt;0,_xlfn.MAXIFS(O:O,C:C,SUBSTITUTE(C389,"-儿童（加收）","")),0)+O389</f>
        <v>1145</v>
      </c>
      <c r="AJ389" s="111">
        <f>IF(AF389&gt;0,_xlfn.MAXIFS(P:P,C:C,SUBSTITUTE(C389,"-儿童（加收）","")),0)+P389</f>
        <v>975</v>
      </c>
    </row>
    <row r="390" s="52" customFormat="1" ht="26" customHeight="1" spans="1:36">
      <c r="A390" s="112"/>
      <c r="B390" s="112"/>
      <c r="C390" s="66" t="s">
        <v>1776</v>
      </c>
      <c r="D390" s="65"/>
      <c r="E390" s="77"/>
      <c r="F390" s="77"/>
      <c r="G390" s="64"/>
      <c r="H390" s="42"/>
      <c r="I390" s="42"/>
      <c r="J390" s="84"/>
      <c r="K390" s="84"/>
      <c r="L390" s="83"/>
      <c r="M390" s="83"/>
      <c r="N390" s="91">
        <v>1270</v>
      </c>
      <c r="O390" s="91">
        <v>1145</v>
      </c>
      <c r="P390" s="93">
        <v>975</v>
      </c>
      <c r="Q390" s="64"/>
      <c r="R390" s="64"/>
      <c r="S390" s="64"/>
      <c r="T390" s="83"/>
      <c r="U390" s="77"/>
      <c r="V390" s="105" t="s">
        <v>1795</v>
      </c>
      <c r="W390" s="105">
        <v>33040800201</v>
      </c>
      <c r="X390" s="106" t="s">
        <v>1796</v>
      </c>
      <c r="Y390" s="105"/>
      <c r="Z390" s="105"/>
      <c r="AA390" s="105" t="s">
        <v>1783</v>
      </c>
      <c r="AB390" s="110" t="s">
        <v>1797</v>
      </c>
      <c r="AC390" s="50">
        <v>1685</v>
      </c>
      <c r="AD390" s="50">
        <v>1515</v>
      </c>
      <c r="AE390" s="50">
        <v>1285</v>
      </c>
      <c r="AF390" s="111">
        <f>IFERROR(FIND("-儿童（加收）",C390,1),0)</f>
        <v>0</v>
      </c>
      <c r="AG390" s="111" t="str">
        <f>SUBSTITUTE(C390,"-儿童（加收）","")</f>
        <v>眼外肌调整矫治费</v>
      </c>
      <c r="AH390" s="111">
        <f>IF(AF390&gt;0,_xlfn.MAXIFS(N:N,C:C,SUBSTITUTE(C390,"-儿童（加收）","")),0)+N390</f>
        <v>1270</v>
      </c>
      <c r="AI390" s="111">
        <f>IF(AF390&gt;0,_xlfn.MAXIFS(O:O,C:C,SUBSTITUTE(C390,"-儿童（加收）","")),0)+O390</f>
        <v>1145</v>
      </c>
      <c r="AJ390" s="111">
        <f>IF(AF390&gt;0,_xlfn.MAXIFS(P:P,C:C,SUBSTITUTE(C390,"-儿童（加收）","")),0)+P390</f>
        <v>975</v>
      </c>
    </row>
    <row r="391" s="52" customFormat="1" ht="26" customHeight="1" spans="1:36">
      <c r="A391" s="112"/>
      <c r="B391" s="112"/>
      <c r="C391" s="66" t="s">
        <v>1776</v>
      </c>
      <c r="D391" s="65"/>
      <c r="E391" s="77"/>
      <c r="F391" s="77"/>
      <c r="G391" s="64"/>
      <c r="H391" s="42"/>
      <c r="I391" s="42"/>
      <c r="J391" s="84"/>
      <c r="K391" s="84"/>
      <c r="L391" s="83"/>
      <c r="M391" s="83"/>
      <c r="N391" s="91">
        <v>1270</v>
      </c>
      <c r="O391" s="91">
        <v>1145</v>
      </c>
      <c r="P391" s="93">
        <v>975</v>
      </c>
      <c r="Q391" s="64"/>
      <c r="R391" s="64"/>
      <c r="S391" s="64"/>
      <c r="T391" s="83"/>
      <c r="U391" s="77"/>
      <c r="V391" s="105" t="s">
        <v>1798</v>
      </c>
      <c r="W391" s="105">
        <v>33040800202</v>
      </c>
      <c r="X391" s="106" t="s">
        <v>1799</v>
      </c>
      <c r="Y391" s="105"/>
      <c r="Z391" s="105"/>
      <c r="AA391" s="105" t="s">
        <v>1783</v>
      </c>
      <c r="AB391" s="110" t="s">
        <v>1800</v>
      </c>
      <c r="AC391" s="50">
        <v>1935</v>
      </c>
      <c r="AD391" s="50">
        <v>1740</v>
      </c>
      <c r="AE391" s="50">
        <v>1475</v>
      </c>
      <c r="AF391" s="111">
        <f>IFERROR(FIND("-儿童（加收）",C391,1),0)</f>
        <v>0</v>
      </c>
      <c r="AG391" s="111" t="str">
        <f>SUBSTITUTE(C391,"-儿童（加收）","")</f>
        <v>眼外肌调整矫治费</v>
      </c>
      <c r="AH391" s="111">
        <f>IF(AF391&gt;0,_xlfn.MAXIFS(N:N,C:C,SUBSTITUTE(C391,"-儿童（加收）","")),0)+N391</f>
        <v>1270</v>
      </c>
      <c r="AI391" s="111">
        <f>IF(AF391&gt;0,_xlfn.MAXIFS(O:O,C:C,SUBSTITUTE(C391,"-儿童（加收）","")),0)+O391</f>
        <v>1145</v>
      </c>
      <c r="AJ391" s="111">
        <f>IF(AF391&gt;0,_xlfn.MAXIFS(P:P,C:C,SUBSTITUTE(C391,"-儿童（加收）","")),0)+P391</f>
        <v>975</v>
      </c>
    </row>
    <row r="392" s="52" customFormat="1" ht="26" customHeight="1" spans="1:36">
      <c r="A392" s="112"/>
      <c r="B392" s="112"/>
      <c r="C392" s="66" t="s">
        <v>1776</v>
      </c>
      <c r="D392" s="65"/>
      <c r="E392" s="77"/>
      <c r="F392" s="77"/>
      <c r="G392" s="64"/>
      <c r="H392" s="42"/>
      <c r="I392" s="42"/>
      <c r="J392" s="84"/>
      <c r="K392" s="84"/>
      <c r="L392" s="83"/>
      <c r="M392" s="83"/>
      <c r="N392" s="91">
        <v>1270</v>
      </c>
      <c r="O392" s="91">
        <v>1145</v>
      </c>
      <c r="P392" s="93">
        <v>975</v>
      </c>
      <c r="Q392" s="64"/>
      <c r="R392" s="64"/>
      <c r="S392" s="64"/>
      <c r="T392" s="83"/>
      <c r="U392" s="77"/>
      <c r="V392" s="105" t="s">
        <v>1801</v>
      </c>
      <c r="W392" s="105">
        <v>330408003</v>
      </c>
      <c r="X392" s="106" t="s">
        <v>1802</v>
      </c>
      <c r="Y392" s="105" t="s">
        <v>1803</v>
      </c>
      <c r="Z392" s="105"/>
      <c r="AA392" s="105" t="s">
        <v>36</v>
      </c>
      <c r="AB392" s="110" t="s">
        <v>1804</v>
      </c>
      <c r="AC392" s="50">
        <v>1650</v>
      </c>
      <c r="AD392" s="50">
        <v>1490</v>
      </c>
      <c r="AE392" s="50">
        <v>1270</v>
      </c>
      <c r="AF392" s="111">
        <f>IFERROR(FIND("-儿童（加收）",C392,1),0)</f>
        <v>0</v>
      </c>
      <c r="AG392" s="111" t="str">
        <f>SUBSTITUTE(C392,"-儿童（加收）","")</f>
        <v>眼外肌调整矫治费</v>
      </c>
      <c r="AH392" s="111">
        <f>IF(AF392&gt;0,_xlfn.MAXIFS(N:N,C:C,SUBSTITUTE(C392,"-儿童（加收）","")),0)+N392</f>
        <v>1270</v>
      </c>
      <c r="AI392" s="111">
        <f>IF(AF392&gt;0,_xlfn.MAXIFS(O:O,C:C,SUBSTITUTE(C392,"-儿童（加收）","")),0)+O392</f>
        <v>1145</v>
      </c>
      <c r="AJ392" s="111">
        <f>IF(AF392&gt;0,_xlfn.MAXIFS(P:P,C:C,SUBSTITUTE(C392,"-儿童（加收）","")),0)+P392</f>
        <v>975</v>
      </c>
    </row>
    <row r="393" s="52" customFormat="1" ht="26" customHeight="1" spans="1:36">
      <c r="A393" s="112"/>
      <c r="B393" s="112"/>
      <c r="C393" s="66" t="s">
        <v>1776</v>
      </c>
      <c r="D393" s="65"/>
      <c r="E393" s="77"/>
      <c r="F393" s="77"/>
      <c r="G393" s="64"/>
      <c r="H393" s="42"/>
      <c r="I393" s="42"/>
      <c r="J393" s="84"/>
      <c r="K393" s="84"/>
      <c r="L393" s="83"/>
      <c r="M393" s="83"/>
      <c r="N393" s="91">
        <v>1270</v>
      </c>
      <c r="O393" s="91">
        <v>1145</v>
      </c>
      <c r="P393" s="93">
        <v>975</v>
      </c>
      <c r="Q393" s="64"/>
      <c r="R393" s="64"/>
      <c r="S393" s="64"/>
      <c r="T393" s="83"/>
      <c r="U393" s="77"/>
      <c r="V393" s="105" t="s">
        <v>1805</v>
      </c>
      <c r="W393" s="105">
        <v>33040800301</v>
      </c>
      <c r="X393" s="106" t="s">
        <v>1806</v>
      </c>
      <c r="Y393" s="105"/>
      <c r="Z393" s="105"/>
      <c r="AA393" s="105" t="s">
        <v>36</v>
      </c>
      <c r="AB393" s="110" t="s">
        <v>1807</v>
      </c>
      <c r="AC393" s="50">
        <v>825</v>
      </c>
      <c r="AD393" s="50">
        <v>745</v>
      </c>
      <c r="AE393" s="50">
        <v>635</v>
      </c>
      <c r="AF393" s="111">
        <f>IFERROR(FIND("-儿童（加收）",C393,1),0)</f>
        <v>0</v>
      </c>
      <c r="AG393" s="111" t="str">
        <f>SUBSTITUTE(C393,"-儿童（加收）","")</f>
        <v>眼外肌调整矫治费</v>
      </c>
      <c r="AH393" s="111">
        <f>IF(AF393&gt;0,_xlfn.MAXIFS(N:N,C:C,SUBSTITUTE(C393,"-儿童（加收）","")),0)+N393</f>
        <v>1270</v>
      </c>
      <c r="AI393" s="111">
        <f>IF(AF393&gt;0,_xlfn.MAXIFS(O:O,C:C,SUBSTITUTE(C393,"-儿童（加收）","")),0)+O393</f>
        <v>1145</v>
      </c>
      <c r="AJ393" s="111">
        <f>IF(AF393&gt;0,_xlfn.MAXIFS(P:P,C:C,SUBSTITUTE(C393,"-儿童（加收）","")),0)+P393</f>
        <v>975</v>
      </c>
    </row>
    <row r="394" s="52" customFormat="1" ht="26" customHeight="1" spans="1:36">
      <c r="A394" s="112"/>
      <c r="B394" s="112"/>
      <c r="C394" s="66" t="s">
        <v>1776</v>
      </c>
      <c r="D394" s="65"/>
      <c r="E394" s="77"/>
      <c r="F394" s="77"/>
      <c r="G394" s="64"/>
      <c r="H394" s="42"/>
      <c r="I394" s="42"/>
      <c r="J394" s="84"/>
      <c r="K394" s="84"/>
      <c r="L394" s="83"/>
      <c r="M394" s="83"/>
      <c r="N394" s="91">
        <v>1270</v>
      </c>
      <c r="O394" s="91">
        <v>1145</v>
      </c>
      <c r="P394" s="93">
        <v>975</v>
      </c>
      <c r="Q394" s="64"/>
      <c r="R394" s="64"/>
      <c r="S394" s="64"/>
      <c r="T394" s="83"/>
      <c r="U394" s="77"/>
      <c r="V394" s="105" t="s">
        <v>1808</v>
      </c>
      <c r="W394" s="105">
        <v>330408004</v>
      </c>
      <c r="X394" s="106" t="s">
        <v>1809</v>
      </c>
      <c r="Y394" s="105"/>
      <c r="Z394" s="105"/>
      <c r="AA394" s="105" t="s">
        <v>36</v>
      </c>
      <c r="AB394" s="110" t="s">
        <v>35</v>
      </c>
      <c r="AC394" s="50">
        <v>1350</v>
      </c>
      <c r="AD394" s="50">
        <v>1220</v>
      </c>
      <c r="AE394" s="50">
        <v>1040</v>
      </c>
      <c r="AF394" s="111">
        <f>IFERROR(FIND("-儿童（加收）",C394,1),0)</f>
        <v>0</v>
      </c>
      <c r="AG394" s="111" t="str">
        <f>SUBSTITUTE(C394,"-儿童（加收）","")</f>
        <v>眼外肌调整矫治费</v>
      </c>
      <c r="AH394" s="111">
        <f>IF(AF394&gt;0,_xlfn.MAXIFS(N:N,C:C,SUBSTITUTE(C394,"-儿童（加收）","")),0)+N394</f>
        <v>1270</v>
      </c>
      <c r="AI394" s="111">
        <f>IF(AF394&gt;0,_xlfn.MAXIFS(O:O,C:C,SUBSTITUTE(C394,"-儿童（加收）","")),0)+O394</f>
        <v>1145</v>
      </c>
      <c r="AJ394" s="111">
        <f>IF(AF394&gt;0,_xlfn.MAXIFS(P:P,C:C,SUBSTITUTE(C394,"-儿童（加收）","")),0)+P394</f>
        <v>975</v>
      </c>
    </row>
    <row r="395" s="55" customFormat="1" ht="25" customHeight="1" spans="1:36">
      <c r="A395" s="112" t="s">
        <v>95</v>
      </c>
      <c r="B395" s="112" t="s">
        <v>1810</v>
      </c>
      <c r="C395" s="66" t="s">
        <v>1811</v>
      </c>
      <c r="D395" s="65"/>
      <c r="E395" s="77"/>
      <c r="F395" s="77"/>
      <c r="G395" s="64" t="s">
        <v>1779</v>
      </c>
      <c r="H395" s="78">
        <v>429</v>
      </c>
      <c r="I395" s="78">
        <v>386</v>
      </c>
      <c r="J395" s="139">
        <v>346.037735849057</v>
      </c>
      <c r="K395" s="83"/>
      <c r="L395" s="83"/>
      <c r="M395" s="83"/>
      <c r="N395" s="91">
        <v>380</v>
      </c>
      <c r="O395" s="91">
        <v>345</v>
      </c>
      <c r="P395" s="93">
        <v>295</v>
      </c>
      <c r="Q395" s="64" t="s">
        <v>37</v>
      </c>
      <c r="R395" s="64" t="s">
        <v>35</v>
      </c>
      <c r="S395" s="64" t="s">
        <v>348</v>
      </c>
      <c r="T395" s="83"/>
      <c r="U395" s="77" t="s">
        <v>186</v>
      </c>
      <c r="V395" s="105" t="s">
        <v>1812</v>
      </c>
      <c r="W395" s="105">
        <v>33040800103</v>
      </c>
      <c r="X395" s="106" t="s">
        <v>1813</v>
      </c>
      <c r="Y395" s="105"/>
      <c r="Z395" s="105"/>
      <c r="AA395" s="105" t="s">
        <v>1783</v>
      </c>
      <c r="AB395" s="110" t="s">
        <v>35</v>
      </c>
      <c r="AC395" s="50">
        <v>1140</v>
      </c>
      <c r="AD395" s="50">
        <v>1090</v>
      </c>
      <c r="AE395" s="50">
        <v>925</v>
      </c>
      <c r="AF395" s="111">
        <f>IFERROR(FIND("-儿童（加收）",C395,1),0)</f>
        <v>9</v>
      </c>
      <c r="AG395" s="111" t="str">
        <f>SUBSTITUTE(C395,"-儿童（加收）","")</f>
        <v>眼外肌调整矫治费</v>
      </c>
      <c r="AH395" s="111">
        <f>IF(AF395&gt;0,_xlfn.MAXIFS(N:N,C:C,SUBSTITUTE(C395,"-儿童（加收）","")),0)+N395</f>
        <v>1650</v>
      </c>
      <c r="AI395" s="111">
        <f>IF(AF395&gt;0,_xlfn.MAXIFS(O:O,C:C,SUBSTITUTE(C395,"-儿童（加收）","")),0)+O395</f>
        <v>1490</v>
      </c>
      <c r="AJ395" s="111">
        <f>IF(AF395&gt;0,_xlfn.MAXIFS(P:P,C:C,SUBSTITUTE(C395,"-儿童（加收）","")),0)+P395</f>
        <v>1270</v>
      </c>
    </row>
    <row r="396" customFormat="1" ht="25" customHeight="1" spans="1:36">
      <c r="A396" s="112"/>
      <c r="B396" s="112"/>
      <c r="C396" s="66" t="s">
        <v>1811</v>
      </c>
      <c r="D396" s="65"/>
      <c r="E396" s="77"/>
      <c r="F396" s="77"/>
      <c r="G396" s="64"/>
      <c r="H396" s="42"/>
      <c r="I396" s="42"/>
      <c r="J396" s="139"/>
      <c r="K396" s="83"/>
      <c r="L396" s="83"/>
      <c r="M396" s="83"/>
      <c r="N396" s="91">
        <v>380</v>
      </c>
      <c r="O396" s="91">
        <v>345</v>
      </c>
      <c r="P396" s="93">
        <v>295</v>
      </c>
      <c r="Q396" s="64"/>
      <c r="R396" s="64"/>
      <c r="S396" s="64"/>
      <c r="T396" s="83"/>
      <c r="U396" s="77"/>
      <c r="V396" s="105" t="s">
        <v>1814</v>
      </c>
      <c r="W396" s="105">
        <v>33040800104</v>
      </c>
      <c r="X396" s="106" t="s">
        <v>1815</v>
      </c>
      <c r="Y396" s="105"/>
      <c r="Z396" s="105"/>
      <c r="AA396" s="105" t="s">
        <v>1783</v>
      </c>
      <c r="AB396" s="110" t="s">
        <v>35</v>
      </c>
      <c r="AC396" s="50">
        <v>1705</v>
      </c>
      <c r="AD396" s="50">
        <v>1640</v>
      </c>
      <c r="AE396" s="50">
        <v>1395</v>
      </c>
      <c r="AF396" s="111">
        <f>IFERROR(FIND("-儿童（加收）",C396,1),0)</f>
        <v>9</v>
      </c>
      <c r="AG396" s="111" t="str">
        <f>SUBSTITUTE(C396,"-儿童（加收）","")</f>
        <v>眼外肌调整矫治费</v>
      </c>
      <c r="AH396" s="111">
        <f>IF(AF396&gt;0,_xlfn.MAXIFS(N:N,C:C,SUBSTITUTE(C396,"-儿童（加收）","")),0)+N396</f>
        <v>1650</v>
      </c>
      <c r="AI396" s="111">
        <f>IF(AF396&gt;0,_xlfn.MAXIFS(O:O,C:C,SUBSTITUTE(C396,"-儿童（加收）","")),0)+O396</f>
        <v>1490</v>
      </c>
      <c r="AJ396" s="111">
        <f>IF(AF396&gt;0,_xlfn.MAXIFS(P:P,C:C,SUBSTITUTE(C396,"-儿童（加收）","")),0)+P396</f>
        <v>1270</v>
      </c>
    </row>
    <row r="397" customFormat="1" ht="25" customHeight="1" spans="1:36">
      <c r="A397" s="112"/>
      <c r="B397" s="112"/>
      <c r="C397" s="66" t="s">
        <v>1811</v>
      </c>
      <c r="D397" s="65"/>
      <c r="E397" s="77"/>
      <c r="F397" s="77"/>
      <c r="G397" s="64"/>
      <c r="H397" s="42"/>
      <c r="I397" s="42"/>
      <c r="J397" s="139"/>
      <c r="K397" s="83"/>
      <c r="L397" s="83"/>
      <c r="M397" s="83"/>
      <c r="N397" s="91">
        <v>380</v>
      </c>
      <c r="O397" s="91">
        <v>345</v>
      </c>
      <c r="P397" s="93">
        <v>295</v>
      </c>
      <c r="Q397" s="64"/>
      <c r="R397" s="64"/>
      <c r="S397" s="64"/>
      <c r="T397" s="83"/>
      <c r="U397" s="77"/>
      <c r="V397" s="105" t="s">
        <v>1816</v>
      </c>
      <c r="W397" s="105">
        <v>33040800105</v>
      </c>
      <c r="X397" s="106" t="s">
        <v>1817</v>
      </c>
      <c r="Y397" s="105"/>
      <c r="Z397" s="105"/>
      <c r="AA397" s="105" t="s">
        <v>1783</v>
      </c>
      <c r="AB397" s="110" t="s">
        <v>35</v>
      </c>
      <c r="AC397" s="50">
        <v>1990</v>
      </c>
      <c r="AD397" s="50">
        <v>1910</v>
      </c>
      <c r="AE397" s="50">
        <v>1625</v>
      </c>
      <c r="AF397" s="111">
        <f>IFERROR(FIND("-儿童（加收）",C397,1),0)</f>
        <v>9</v>
      </c>
      <c r="AG397" s="111" t="str">
        <f>SUBSTITUTE(C397,"-儿童（加收）","")</f>
        <v>眼外肌调整矫治费</v>
      </c>
      <c r="AH397" s="111">
        <f>IF(AF397&gt;0,_xlfn.MAXIFS(N:N,C:C,SUBSTITUTE(C397,"-儿童（加收）","")),0)+N397</f>
        <v>1650</v>
      </c>
      <c r="AI397" s="111">
        <f>IF(AF397&gt;0,_xlfn.MAXIFS(O:O,C:C,SUBSTITUTE(C397,"-儿童（加收）","")),0)+O397</f>
        <v>1490</v>
      </c>
      <c r="AJ397" s="111">
        <f>IF(AF397&gt;0,_xlfn.MAXIFS(P:P,C:C,SUBSTITUTE(C397,"-儿童（加收）","")),0)+P397</f>
        <v>1270</v>
      </c>
    </row>
    <row r="398" customFormat="1" ht="25" customHeight="1" spans="1:36">
      <c r="A398" s="112"/>
      <c r="B398" s="112"/>
      <c r="C398" s="66" t="s">
        <v>1811</v>
      </c>
      <c r="D398" s="65"/>
      <c r="E398" s="77"/>
      <c r="F398" s="77"/>
      <c r="G398" s="64"/>
      <c r="H398" s="42"/>
      <c r="I398" s="42"/>
      <c r="J398" s="139"/>
      <c r="K398" s="83"/>
      <c r="L398" s="83"/>
      <c r="M398" s="83"/>
      <c r="N398" s="91">
        <v>380</v>
      </c>
      <c r="O398" s="91">
        <v>345</v>
      </c>
      <c r="P398" s="93">
        <v>295</v>
      </c>
      <c r="Q398" s="64"/>
      <c r="R398" s="64"/>
      <c r="S398" s="64"/>
      <c r="T398" s="83"/>
      <c r="U398" s="77"/>
      <c r="V398" s="105" t="s">
        <v>1818</v>
      </c>
      <c r="W398" s="105">
        <v>33040800203</v>
      </c>
      <c r="X398" s="106" t="s">
        <v>1819</v>
      </c>
      <c r="Y398" s="105"/>
      <c r="Z398" s="105"/>
      <c r="AA398" s="105" t="s">
        <v>1783</v>
      </c>
      <c r="AB398" s="110" t="s">
        <v>35</v>
      </c>
      <c r="AC398" s="50">
        <v>1535</v>
      </c>
      <c r="AD398" s="50">
        <v>1380</v>
      </c>
      <c r="AE398" s="50">
        <v>1175</v>
      </c>
      <c r="AF398" s="111">
        <f>IFERROR(FIND("-儿童（加收）",C398,1),0)</f>
        <v>9</v>
      </c>
      <c r="AG398" s="111" t="str">
        <f>SUBSTITUTE(C398,"-儿童（加收）","")</f>
        <v>眼外肌调整矫治费</v>
      </c>
      <c r="AH398" s="111">
        <f>IF(AF398&gt;0,_xlfn.MAXIFS(N:N,C:C,SUBSTITUTE(C398,"-儿童（加收）","")),0)+N398</f>
        <v>1650</v>
      </c>
      <c r="AI398" s="111">
        <f>IF(AF398&gt;0,_xlfn.MAXIFS(O:O,C:C,SUBSTITUTE(C398,"-儿童（加收）","")),0)+O398</f>
        <v>1490</v>
      </c>
      <c r="AJ398" s="111">
        <f>IF(AF398&gt;0,_xlfn.MAXIFS(P:P,C:C,SUBSTITUTE(C398,"-儿童（加收）","")),0)+P398</f>
        <v>1270</v>
      </c>
    </row>
    <row r="399" customFormat="1" ht="25" customHeight="1" spans="1:36">
      <c r="A399" s="112"/>
      <c r="B399" s="112"/>
      <c r="C399" s="66" t="s">
        <v>1811</v>
      </c>
      <c r="D399" s="65"/>
      <c r="E399" s="77"/>
      <c r="F399" s="77"/>
      <c r="G399" s="64"/>
      <c r="H399" s="42"/>
      <c r="I399" s="42"/>
      <c r="J399" s="139"/>
      <c r="K399" s="83"/>
      <c r="L399" s="83"/>
      <c r="M399" s="83"/>
      <c r="N399" s="91">
        <v>380</v>
      </c>
      <c r="O399" s="91">
        <v>345</v>
      </c>
      <c r="P399" s="93">
        <v>295</v>
      </c>
      <c r="Q399" s="64"/>
      <c r="R399" s="64"/>
      <c r="S399" s="64"/>
      <c r="T399" s="83"/>
      <c r="U399" s="77"/>
      <c r="V399" s="105" t="s">
        <v>1820</v>
      </c>
      <c r="W399" s="105">
        <v>33040800204</v>
      </c>
      <c r="X399" s="106" t="s">
        <v>1821</v>
      </c>
      <c r="Y399" s="105"/>
      <c r="Z399" s="105"/>
      <c r="AA399" s="105" t="s">
        <v>1783</v>
      </c>
      <c r="AB399" s="110" t="s">
        <v>1797</v>
      </c>
      <c r="AC399" s="50">
        <v>2190</v>
      </c>
      <c r="AD399" s="50">
        <v>1970</v>
      </c>
      <c r="AE399" s="50">
        <v>1675</v>
      </c>
      <c r="AF399" s="111">
        <f>IFERROR(FIND("-儿童（加收）",C399,1),0)</f>
        <v>9</v>
      </c>
      <c r="AG399" s="111" t="str">
        <f>SUBSTITUTE(C399,"-儿童（加收）","")</f>
        <v>眼外肌调整矫治费</v>
      </c>
      <c r="AH399" s="111">
        <f>IF(AF399&gt;0,_xlfn.MAXIFS(N:N,C:C,SUBSTITUTE(C399,"-儿童（加收）","")),0)+N399</f>
        <v>1650</v>
      </c>
      <c r="AI399" s="111">
        <f>IF(AF399&gt;0,_xlfn.MAXIFS(O:O,C:C,SUBSTITUTE(C399,"-儿童（加收）","")),0)+O399</f>
        <v>1490</v>
      </c>
      <c r="AJ399" s="111">
        <f>IF(AF399&gt;0,_xlfn.MAXIFS(P:P,C:C,SUBSTITUTE(C399,"-儿童（加收）","")),0)+P399</f>
        <v>1270</v>
      </c>
    </row>
    <row r="400" customFormat="1" ht="25" customHeight="1" spans="1:36">
      <c r="A400" s="112"/>
      <c r="B400" s="112"/>
      <c r="C400" s="66" t="s">
        <v>1811</v>
      </c>
      <c r="D400" s="65"/>
      <c r="E400" s="77"/>
      <c r="F400" s="77"/>
      <c r="G400" s="64"/>
      <c r="H400" s="42"/>
      <c r="I400" s="42"/>
      <c r="J400" s="139"/>
      <c r="K400" s="83"/>
      <c r="L400" s="83"/>
      <c r="M400" s="83"/>
      <c r="N400" s="91">
        <v>380</v>
      </c>
      <c r="O400" s="91">
        <v>345</v>
      </c>
      <c r="P400" s="93">
        <v>295</v>
      </c>
      <c r="Q400" s="64"/>
      <c r="R400" s="64"/>
      <c r="S400" s="64"/>
      <c r="T400" s="83"/>
      <c r="U400" s="77"/>
      <c r="V400" s="105" t="s">
        <v>1822</v>
      </c>
      <c r="W400" s="105">
        <v>33040800205</v>
      </c>
      <c r="X400" s="106" t="s">
        <v>1823</v>
      </c>
      <c r="Y400" s="105"/>
      <c r="Z400" s="105"/>
      <c r="AA400" s="105" t="s">
        <v>1783</v>
      </c>
      <c r="AB400" s="110" t="s">
        <v>1800</v>
      </c>
      <c r="AC400" s="50">
        <v>2515</v>
      </c>
      <c r="AD400" s="50">
        <v>2260</v>
      </c>
      <c r="AE400" s="50">
        <v>1920</v>
      </c>
      <c r="AF400" s="111">
        <f>IFERROR(FIND("-儿童（加收）",C400,1),0)</f>
        <v>9</v>
      </c>
      <c r="AG400" s="111" t="str">
        <f>SUBSTITUTE(C400,"-儿童（加收）","")</f>
        <v>眼外肌调整矫治费</v>
      </c>
      <c r="AH400" s="111">
        <f>IF(AF400&gt;0,_xlfn.MAXIFS(N:N,C:C,SUBSTITUTE(C400,"-儿童（加收）","")),0)+N400</f>
        <v>1650</v>
      </c>
      <c r="AI400" s="111">
        <f>IF(AF400&gt;0,_xlfn.MAXIFS(O:O,C:C,SUBSTITUTE(C400,"-儿童（加收）","")),0)+O400</f>
        <v>1490</v>
      </c>
      <c r="AJ400" s="111">
        <f>IF(AF400&gt;0,_xlfn.MAXIFS(P:P,C:C,SUBSTITUTE(C400,"-儿童（加收）","")),0)+P400</f>
        <v>1270</v>
      </c>
    </row>
    <row r="401" customFormat="1" ht="25" customHeight="1" spans="1:36">
      <c r="A401" s="112"/>
      <c r="B401" s="112"/>
      <c r="C401" s="66" t="s">
        <v>1811</v>
      </c>
      <c r="D401" s="65"/>
      <c r="E401" s="77"/>
      <c r="F401" s="77"/>
      <c r="G401" s="64"/>
      <c r="H401" s="42"/>
      <c r="I401" s="42"/>
      <c r="J401" s="139"/>
      <c r="K401" s="83"/>
      <c r="L401" s="83"/>
      <c r="M401" s="83"/>
      <c r="N401" s="91">
        <v>380</v>
      </c>
      <c r="O401" s="91">
        <v>345</v>
      </c>
      <c r="P401" s="93">
        <v>295</v>
      </c>
      <c r="Q401" s="64"/>
      <c r="R401" s="64"/>
      <c r="S401" s="64"/>
      <c r="T401" s="83"/>
      <c r="U401" s="77"/>
      <c r="V401" s="105" t="s">
        <v>1824</v>
      </c>
      <c r="W401" s="105">
        <v>33040800302</v>
      </c>
      <c r="X401" s="106" t="s">
        <v>1825</v>
      </c>
      <c r="Y401" s="105"/>
      <c r="Z401" s="105"/>
      <c r="AA401" s="105" t="s">
        <v>36</v>
      </c>
      <c r="AB401" s="110" t="s">
        <v>35</v>
      </c>
      <c r="AC401" s="50">
        <v>2145</v>
      </c>
      <c r="AD401" s="50">
        <v>1935</v>
      </c>
      <c r="AE401" s="50">
        <v>1645</v>
      </c>
      <c r="AF401" s="111">
        <f>IFERROR(FIND("-儿童（加收）",C401,1),0)</f>
        <v>9</v>
      </c>
      <c r="AG401" s="111" t="str">
        <f>SUBSTITUTE(C401,"-儿童（加收）","")</f>
        <v>眼外肌调整矫治费</v>
      </c>
      <c r="AH401" s="111">
        <f>IF(AF401&gt;0,_xlfn.MAXIFS(N:N,C:C,SUBSTITUTE(C401,"-儿童（加收）","")),0)+N401</f>
        <v>1650</v>
      </c>
      <c r="AI401" s="111">
        <f>IF(AF401&gt;0,_xlfn.MAXIFS(O:O,C:C,SUBSTITUTE(C401,"-儿童（加收）","")),0)+O401</f>
        <v>1490</v>
      </c>
      <c r="AJ401" s="111">
        <f>IF(AF401&gt;0,_xlfn.MAXIFS(P:P,C:C,SUBSTITUTE(C401,"-儿童（加收）","")),0)+P401</f>
        <v>1270</v>
      </c>
    </row>
    <row r="402" customFormat="1" ht="25" customHeight="1" spans="1:36">
      <c r="A402" s="112"/>
      <c r="B402" s="112"/>
      <c r="C402" s="66" t="s">
        <v>1811</v>
      </c>
      <c r="D402" s="65"/>
      <c r="E402" s="77"/>
      <c r="F402" s="77"/>
      <c r="G402" s="64"/>
      <c r="H402" s="42"/>
      <c r="I402" s="42"/>
      <c r="J402" s="139"/>
      <c r="K402" s="83"/>
      <c r="L402" s="83"/>
      <c r="M402" s="83"/>
      <c r="N402" s="91">
        <v>380</v>
      </c>
      <c r="O402" s="91">
        <v>345</v>
      </c>
      <c r="P402" s="93">
        <v>295</v>
      </c>
      <c r="Q402" s="64"/>
      <c r="R402" s="64"/>
      <c r="S402" s="64"/>
      <c r="T402" s="83"/>
      <c r="U402" s="77"/>
      <c r="V402" s="105" t="s">
        <v>1826</v>
      </c>
      <c r="W402" s="105">
        <v>33040800303</v>
      </c>
      <c r="X402" s="106" t="s">
        <v>1827</v>
      </c>
      <c r="Y402" s="105"/>
      <c r="Z402" s="105"/>
      <c r="AA402" s="105" t="s">
        <v>36</v>
      </c>
      <c r="AB402" s="110" t="s">
        <v>1807</v>
      </c>
      <c r="AC402" s="50">
        <v>1075</v>
      </c>
      <c r="AD402" s="50">
        <v>970</v>
      </c>
      <c r="AE402" s="50">
        <v>825</v>
      </c>
      <c r="AF402" s="111">
        <f>IFERROR(FIND("-儿童（加收）",C402,1),0)</f>
        <v>9</v>
      </c>
      <c r="AG402" s="111" t="str">
        <f>SUBSTITUTE(C402,"-儿童（加收）","")</f>
        <v>眼外肌调整矫治费</v>
      </c>
      <c r="AH402" s="111">
        <f>IF(AF402&gt;0,_xlfn.MAXIFS(N:N,C:C,SUBSTITUTE(C402,"-儿童（加收）","")),0)+N402</f>
        <v>1650</v>
      </c>
      <c r="AI402" s="111">
        <f>IF(AF402&gt;0,_xlfn.MAXIFS(O:O,C:C,SUBSTITUTE(C402,"-儿童（加收）","")),0)+O402</f>
        <v>1490</v>
      </c>
      <c r="AJ402" s="111">
        <f>IF(AF402&gt;0,_xlfn.MAXIFS(P:P,C:C,SUBSTITUTE(C402,"-儿童（加收）","")),0)+P402</f>
        <v>1270</v>
      </c>
    </row>
    <row r="403" customFormat="1" ht="25" customHeight="1" spans="1:36">
      <c r="A403" s="112"/>
      <c r="B403" s="112"/>
      <c r="C403" s="66" t="s">
        <v>1811</v>
      </c>
      <c r="D403" s="65"/>
      <c r="E403" s="77"/>
      <c r="F403" s="77"/>
      <c r="G403" s="64"/>
      <c r="H403" s="42"/>
      <c r="I403" s="42"/>
      <c r="J403" s="139"/>
      <c r="K403" s="83"/>
      <c r="L403" s="83"/>
      <c r="M403" s="83"/>
      <c r="N403" s="91">
        <v>380</v>
      </c>
      <c r="O403" s="91">
        <v>345</v>
      </c>
      <c r="P403" s="93">
        <v>295</v>
      </c>
      <c r="Q403" s="64"/>
      <c r="R403" s="64"/>
      <c r="S403" s="64"/>
      <c r="T403" s="83"/>
      <c r="U403" s="77"/>
      <c r="V403" s="105" t="s">
        <v>1828</v>
      </c>
      <c r="W403" s="105">
        <v>33040800401</v>
      </c>
      <c r="X403" s="106" t="s">
        <v>1829</v>
      </c>
      <c r="Y403" s="105"/>
      <c r="Z403" s="105"/>
      <c r="AA403" s="105" t="s">
        <v>36</v>
      </c>
      <c r="AB403" s="110" t="s">
        <v>35</v>
      </c>
      <c r="AC403" s="50">
        <v>1755</v>
      </c>
      <c r="AD403" s="50">
        <v>1585</v>
      </c>
      <c r="AE403" s="50">
        <v>1345</v>
      </c>
      <c r="AF403" s="111">
        <f>IFERROR(FIND("-儿童（加收）",C403,1),0)</f>
        <v>9</v>
      </c>
      <c r="AG403" s="111" t="str">
        <f>SUBSTITUTE(C403,"-儿童（加收）","")</f>
        <v>眼外肌调整矫治费</v>
      </c>
      <c r="AH403" s="111">
        <f>IF(AF403&gt;0,_xlfn.MAXIFS(N:N,C:C,SUBSTITUTE(C403,"-儿童（加收）","")),0)+N403</f>
        <v>1650</v>
      </c>
      <c r="AI403" s="111">
        <f>IF(AF403&gt;0,_xlfn.MAXIFS(O:O,C:C,SUBSTITUTE(C403,"-儿童（加收）","")),0)+O403</f>
        <v>1490</v>
      </c>
      <c r="AJ403" s="111">
        <f>IF(AF403&gt;0,_xlfn.MAXIFS(P:P,C:C,SUBSTITUTE(C403,"-儿童（加收）","")),0)+P403</f>
        <v>1270</v>
      </c>
    </row>
    <row r="404" s="52" customFormat="1" ht="55" customHeight="1" spans="1:36">
      <c r="A404" s="112">
        <v>119</v>
      </c>
      <c r="B404" s="112" t="s">
        <v>1836</v>
      </c>
      <c r="C404" s="64" t="s">
        <v>1837</v>
      </c>
      <c r="D404" s="65" t="s">
        <v>1838</v>
      </c>
      <c r="E404" s="77" t="s">
        <v>1839</v>
      </c>
      <c r="F404" s="77" t="s">
        <v>35</v>
      </c>
      <c r="G404" s="64" t="s">
        <v>110</v>
      </c>
      <c r="H404" s="78">
        <v>100</v>
      </c>
      <c r="I404" s="78">
        <v>90</v>
      </c>
      <c r="J404" s="83">
        <v>36.8</v>
      </c>
      <c r="K404" s="83">
        <v>35</v>
      </c>
      <c r="L404" s="83">
        <v>29.8</v>
      </c>
      <c r="M404" s="83"/>
      <c r="N404" s="94">
        <v>92</v>
      </c>
      <c r="O404" s="94">
        <v>88</v>
      </c>
      <c r="P404" s="96">
        <v>75</v>
      </c>
      <c r="Q404" s="64" t="s">
        <v>37</v>
      </c>
      <c r="R404" s="64" t="s">
        <v>35</v>
      </c>
      <c r="S404" s="64" t="s">
        <v>35</v>
      </c>
      <c r="T404" s="83" t="s">
        <v>38</v>
      </c>
      <c r="U404" s="77" t="s">
        <v>1840</v>
      </c>
      <c r="V404" s="105" t="s">
        <v>1841</v>
      </c>
      <c r="W404" s="105">
        <v>310300093</v>
      </c>
      <c r="X404" s="106" t="s">
        <v>1842</v>
      </c>
      <c r="Y404" s="105"/>
      <c r="Z404" s="105"/>
      <c r="AA404" s="105" t="s">
        <v>36</v>
      </c>
      <c r="AB404" s="110" t="s">
        <v>35</v>
      </c>
      <c r="AC404" s="50">
        <v>36.8</v>
      </c>
      <c r="AD404" s="50">
        <v>35</v>
      </c>
      <c r="AE404" s="50">
        <v>29.8</v>
      </c>
      <c r="AF404" s="111">
        <f>IFERROR(FIND("-儿童（加收）",C404,1),0)</f>
        <v>0</v>
      </c>
      <c r="AG404" s="111" t="str">
        <f>SUBSTITUTE(C404,"-儿童（加收）","")</f>
        <v>眶内感染清创/引流费</v>
      </c>
      <c r="AH404" s="111">
        <f>IF(AF404&gt;0,_xlfn.MAXIFS(N:N,C:C,SUBSTITUTE(C404,"-儿童（加收）","")),0)+N404</f>
        <v>92</v>
      </c>
      <c r="AI404" s="111">
        <f>IF(AF404&gt;0,_xlfn.MAXIFS(O:O,C:C,SUBSTITUTE(C404,"-儿童（加收）","")),0)+O404</f>
        <v>88</v>
      </c>
      <c r="AJ404" s="111">
        <f>IF(AF404&gt;0,_xlfn.MAXIFS(P:P,C:C,SUBSTITUTE(C404,"-儿童（加收）","")),0)+P404</f>
        <v>75</v>
      </c>
    </row>
    <row r="405" s="52" customFormat="1" ht="63" customHeight="1" spans="1:36">
      <c r="A405" s="112">
        <v>120</v>
      </c>
      <c r="B405" s="112" t="s">
        <v>1845</v>
      </c>
      <c r="C405" s="64" t="s">
        <v>1846</v>
      </c>
      <c r="D405" s="65" t="s">
        <v>1847</v>
      </c>
      <c r="E405" s="77" t="s">
        <v>1848</v>
      </c>
      <c r="F405" s="77"/>
      <c r="G405" s="64" t="s">
        <v>110</v>
      </c>
      <c r="H405" s="78">
        <v>375</v>
      </c>
      <c r="I405" s="78">
        <v>340</v>
      </c>
      <c r="J405" s="83">
        <v>375</v>
      </c>
      <c r="K405" s="83">
        <v>360</v>
      </c>
      <c r="L405" s="83">
        <v>306</v>
      </c>
      <c r="M405" s="83"/>
      <c r="N405" s="41">
        <v>375</v>
      </c>
      <c r="O405" s="89">
        <v>340</v>
      </c>
      <c r="P405" s="50">
        <v>305</v>
      </c>
      <c r="Q405" s="64" t="s">
        <v>37</v>
      </c>
      <c r="R405" s="64" t="s">
        <v>35</v>
      </c>
      <c r="S405" s="64" t="s">
        <v>35</v>
      </c>
      <c r="T405" s="83" t="s">
        <v>38</v>
      </c>
      <c r="U405" s="77" t="s">
        <v>1328</v>
      </c>
      <c r="V405" s="105" t="s">
        <v>1849</v>
      </c>
      <c r="W405" s="105">
        <v>330403008</v>
      </c>
      <c r="X405" s="106" t="s">
        <v>1850</v>
      </c>
      <c r="Y405" s="105" t="s">
        <v>1851</v>
      </c>
      <c r="Z405" s="105"/>
      <c r="AA405" s="105" t="s">
        <v>36</v>
      </c>
      <c r="AB405" s="110" t="s">
        <v>35</v>
      </c>
      <c r="AC405" s="50">
        <v>375</v>
      </c>
      <c r="AD405" s="50">
        <v>360</v>
      </c>
      <c r="AE405" s="50">
        <v>306</v>
      </c>
      <c r="AF405" s="111">
        <f>IFERROR(FIND("-儿童（加收）",C405,1),0)</f>
        <v>0</v>
      </c>
      <c r="AG405" s="111" t="str">
        <f>SUBSTITUTE(C405,"-儿童（加收）","")</f>
        <v>球结膜切开冲洗费</v>
      </c>
      <c r="AH405" s="111">
        <f>IF(AF405&gt;0,_xlfn.MAXIFS(N:N,C:C,SUBSTITUTE(C405,"-儿童（加收）","")),0)+N405</f>
        <v>375</v>
      </c>
      <c r="AI405" s="111">
        <f>IF(AF405&gt;0,_xlfn.MAXIFS(O:O,C:C,SUBSTITUTE(C405,"-儿童（加收）","")),0)+O405</f>
        <v>340</v>
      </c>
      <c r="AJ405" s="111">
        <f>IF(AF405&gt;0,_xlfn.MAXIFS(P:P,C:C,SUBSTITUTE(C405,"-儿童（加收）","")),0)+P405</f>
        <v>305</v>
      </c>
    </row>
    <row r="406" s="52" customFormat="1" ht="39" customHeight="1" spans="1:36">
      <c r="A406" s="112" t="s">
        <v>95</v>
      </c>
      <c r="B406" s="112" t="s">
        <v>1852</v>
      </c>
      <c r="C406" s="64" t="s">
        <v>1853</v>
      </c>
      <c r="D406" s="65"/>
      <c r="E406" s="77"/>
      <c r="F406" s="77" t="s">
        <v>35</v>
      </c>
      <c r="G406" s="64" t="s">
        <v>110</v>
      </c>
      <c r="H406" s="78">
        <v>113</v>
      </c>
      <c r="I406" s="78">
        <v>102</v>
      </c>
      <c r="J406" s="83">
        <v>115</v>
      </c>
      <c r="K406" s="83">
        <v>110</v>
      </c>
      <c r="L406" s="83">
        <v>94</v>
      </c>
      <c r="M406" s="83"/>
      <c r="N406" s="41">
        <v>115</v>
      </c>
      <c r="O406" s="41">
        <v>100</v>
      </c>
      <c r="P406" s="50">
        <v>92</v>
      </c>
      <c r="Q406" s="64" t="s">
        <v>37</v>
      </c>
      <c r="R406" s="64" t="s">
        <v>35</v>
      </c>
      <c r="S406" s="64" t="s">
        <v>35</v>
      </c>
      <c r="T406" s="83"/>
      <c r="U406" s="77" t="s">
        <v>186</v>
      </c>
      <c r="V406" s="105" t="s">
        <v>1854</v>
      </c>
      <c r="W406" s="105">
        <v>33040300801</v>
      </c>
      <c r="X406" s="106" t="s">
        <v>1855</v>
      </c>
      <c r="Y406" s="105"/>
      <c r="Z406" s="105"/>
      <c r="AA406" s="105" t="s">
        <v>36</v>
      </c>
      <c r="AB406" s="110" t="s">
        <v>35</v>
      </c>
      <c r="AC406" s="50">
        <v>490</v>
      </c>
      <c r="AD406" s="50">
        <v>470</v>
      </c>
      <c r="AE406" s="50">
        <v>400</v>
      </c>
      <c r="AF406" s="111">
        <f>IFERROR(FIND("-儿童（加收）",C406,1),0)</f>
        <v>9</v>
      </c>
      <c r="AG406" s="111" t="str">
        <f>SUBSTITUTE(C406,"-儿童（加收）","")</f>
        <v>球结膜切开冲洗费</v>
      </c>
      <c r="AH406" s="111">
        <f>IF(AF406&gt;0,_xlfn.MAXIFS(N:N,C:C,SUBSTITUTE(C406,"-儿童（加收）","")),0)+N406</f>
        <v>490</v>
      </c>
      <c r="AI406" s="111">
        <f>IF(AF406&gt;0,_xlfn.MAXIFS(O:O,C:C,SUBSTITUTE(C406,"-儿童（加收）","")),0)+O406</f>
        <v>440</v>
      </c>
      <c r="AJ406" s="111">
        <f>IF(AF406&gt;0,_xlfn.MAXIFS(P:P,C:C,SUBSTITUTE(C406,"-儿童（加收）","")),0)+P406</f>
        <v>397</v>
      </c>
    </row>
    <row r="407" spans="3:3">
      <c r="C407" s="138"/>
    </row>
  </sheetData>
  <autoFilter ref="A3:AE406">
    <extLst/>
  </autoFilter>
  <mergeCells count="1360">
    <mergeCell ref="A1:AE1"/>
    <mergeCell ref="A2:U2"/>
    <mergeCell ref="V2:AE2"/>
    <mergeCell ref="A5:A16"/>
    <mergeCell ref="A17:A18"/>
    <mergeCell ref="A19:A23"/>
    <mergeCell ref="A26:A28"/>
    <mergeCell ref="A31:A33"/>
    <mergeCell ref="A34:A37"/>
    <mergeCell ref="A41:A43"/>
    <mergeCell ref="A44:A46"/>
    <mergeCell ref="A49:A52"/>
    <mergeCell ref="A53:A60"/>
    <mergeCell ref="A61:A64"/>
    <mergeCell ref="A67:A72"/>
    <mergeCell ref="A74:A75"/>
    <mergeCell ref="A80:A81"/>
    <mergeCell ref="A83:A84"/>
    <mergeCell ref="A86:A87"/>
    <mergeCell ref="A90:A91"/>
    <mergeCell ref="A92:A93"/>
    <mergeCell ref="A94:A95"/>
    <mergeCell ref="A98:A103"/>
    <mergeCell ref="A104:A106"/>
    <mergeCell ref="A107:A121"/>
    <mergeCell ref="A123:A126"/>
    <mergeCell ref="A127:A128"/>
    <mergeCell ref="A129:A131"/>
    <mergeCell ref="A134:A140"/>
    <mergeCell ref="A141:A146"/>
    <mergeCell ref="A152:A153"/>
    <mergeCell ref="A154:A156"/>
    <mergeCell ref="A157:A158"/>
    <mergeCell ref="A159:A160"/>
    <mergeCell ref="A165:A166"/>
    <mergeCell ref="A167:A168"/>
    <mergeCell ref="A171:A173"/>
    <mergeCell ref="A174:A175"/>
    <mergeCell ref="A176:A178"/>
    <mergeCell ref="A179:A181"/>
    <mergeCell ref="A184:A185"/>
    <mergeCell ref="A186:A187"/>
    <mergeCell ref="A188:A195"/>
    <mergeCell ref="A196:A203"/>
    <mergeCell ref="A208:A209"/>
    <mergeCell ref="A213:A214"/>
    <mergeCell ref="A215:A216"/>
    <mergeCell ref="A217:A220"/>
    <mergeCell ref="A221:A224"/>
    <mergeCell ref="A225:A226"/>
    <mergeCell ref="A227:A228"/>
    <mergeCell ref="A229:A230"/>
    <mergeCell ref="A231:A234"/>
    <mergeCell ref="A235:A238"/>
    <mergeCell ref="A239:A246"/>
    <mergeCell ref="A247:A254"/>
    <mergeCell ref="A255:A258"/>
    <mergeCell ref="A259:A262"/>
    <mergeCell ref="A265:A266"/>
    <mergeCell ref="A269:A277"/>
    <mergeCell ref="A278:A279"/>
    <mergeCell ref="A280:A281"/>
    <mergeCell ref="A282:A283"/>
    <mergeCell ref="A284:A285"/>
    <mergeCell ref="A286:A287"/>
    <mergeCell ref="A290:A291"/>
    <mergeCell ref="A292:A293"/>
    <mergeCell ref="A296:A297"/>
    <mergeCell ref="A298:A299"/>
    <mergeCell ref="A307:A308"/>
    <mergeCell ref="A309:A310"/>
    <mergeCell ref="A311:A314"/>
    <mergeCell ref="A315:A316"/>
    <mergeCell ref="A321:A323"/>
    <mergeCell ref="A324:A326"/>
    <mergeCell ref="A327:A328"/>
    <mergeCell ref="A333:A335"/>
    <mergeCell ref="A336:A338"/>
    <mergeCell ref="A341:A345"/>
    <mergeCell ref="A346:A350"/>
    <mergeCell ref="A351:A353"/>
    <mergeCell ref="A354:A356"/>
    <mergeCell ref="A359:A364"/>
    <mergeCell ref="A365:A370"/>
    <mergeCell ref="A375:A379"/>
    <mergeCell ref="A384:A385"/>
    <mergeCell ref="A386:A394"/>
    <mergeCell ref="A395:A403"/>
    <mergeCell ref="B5:B16"/>
    <mergeCell ref="B17:B18"/>
    <mergeCell ref="B19:B23"/>
    <mergeCell ref="B26:B28"/>
    <mergeCell ref="B31:B33"/>
    <mergeCell ref="B34:B37"/>
    <mergeCell ref="B41:B43"/>
    <mergeCell ref="B44:B46"/>
    <mergeCell ref="B49:B52"/>
    <mergeCell ref="B53:B60"/>
    <mergeCell ref="B61:B64"/>
    <mergeCell ref="B67:B72"/>
    <mergeCell ref="B74:B75"/>
    <mergeCell ref="B80:B81"/>
    <mergeCell ref="B83:B84"/>
    <mergeCell ref="B86:B87"/>
    <mergeCell ref="B90:B91"/>
    <mergeCell ref="B92:B93"/>
    <mergeCell ref="B94:B95"/>
    <mergeCell ref="B98:B103"/>
    <mergeCell ref="B104:B106"/>
    <mergeCell ref="B107:B121"/>
    <mergeCell ref="B123:B126"/>
    <mergeCell ref="B127:B128"/>
    <mergeCell ref="B129:B131"/>
    <mergeCell ref="B134:B140"/>
    <mergeCell ref="B141:B146"/>
    <mergeCell ref="B152:B153"/>
    <mergeCell ref="B154:B156"/>
    <mergeCell ref="B157:B158"/>
    <mergeCell ref="B159:B160"/>
    <mergeCell ref="B165:B166"/>
    <mergeCell ref="B167:B168"/>
    <mergeCell ref="B171:B173"/>
    <mergeCell ref="B174:B175"/>
    <mergeCell ref="B176:B178"/>
    <mergeCell ref="B179:B181"/>
    <mergeCell ref="B184:B185"/>
    <mergeCell ref="B186:B187"/>
    <mergeCell ref="B188:B195"/>
    <mergeCell ref="B196:B203"/>
    <mergeCell ref="B208:B209"/>
    <mergeCell ref="B213:B214"/>
    <mergeCell ref="B215:B216"/>
    <mergeCell ref="B217:B220"/>
    <mergeCell ref="B221:B224"/>
    <mergeCell ref="B225:B226"/>
    <mergeCell ref="B227:B228"/>
    <mergeCell ref="B229:B230"/>
    <mergeCell ref="B231:B234"/>
    <mergeCell ref="B235:B238"/>
    <mergeCell ref="B239:B246"/>
    <mergeCell ref="B247:B254"/>
    <mergeCell ref="B255:B258"/>
    <mergeCell ref="B259:B262"/>
    <mergeCell ref="B265:B266"/>
    <mergeCell ref="B269:B277"/>
    <mergeCell ref="B278:B279"/>
    <mergeCell ref="B280:B281"/>
    <mergeCell ref="B282:B283"/>
    <mergeCell ref="B284:B285"/>
    <mergeCell ref="B286:B287"/>
    <mergeCell ref="B290:B291"/>
    <mergeCell ref="B292:B293"/>
    <mergeCell ref="B296:B297"/>
    <mergeCell ref="B298:B299"/>
    <mergeCell ref="B307:B308"/>
    <mergeCell ref="B309:B310"/>
    <mergeCell ref="B311:B314"/>
    <mergeCell ref="B315:B316"/>
    <mergeCell ref="B321:B323"/>
    <mergeCell ref="B324:B326"/>
    <mergeCell ref="B327:B328"/>
    <mergeCell ref="B333:B335"/>
    <mergeCell ref="B336:B338"/>
    <mergeCell ref="B341:B345"/>
    <mergeCell ref="B346:B350"/>
    <mergeCell ref="B351:B353"/>
    <mergeCell ref="B354:B356"/>
    <mergeCell ref="B359:B364"/>
    <mergeCell ref="B365:B370"/>
    <mergeCell ref="B375:B379"/>
    <mergeCell ref="B384:B385"/>
    <mergeCell ref="B386:B394"/>
    <mergeCell ref="B395:B403"/>
    <mergeCell ref="D5:D16"/>
    <mergeCell ref="D17:D18"/>
    <mergeCell ref="D19:D23"/>
    <mergeCell ref="D26:D28"/>
    <mergeCell ref="D31:D33"/>
    <mergeCell ref="D34:D37"/>
    <mergeCell ref="D41:D43"/>
    <mergeCell ref="D44:D46"/>
    <mergeCell ref="D49:D52"/>
    <mergeCell ref="D53:D60"/>
    <mergeCell ref="D61:D64"/>
    <mergeCell ref="D67:D72"/>
    <mergeCell ref="D74:D75"/>
    <mergeCell ref="D80:D81"/>
    <mergeCell ref="D83:D84"/>
    <mergeCell ref="D86:D87"/>
    <mergeCell ref="D90:D91"/>
    <mergeCell ref="D92:D93"/>
    <mergeCell ref="D94:D95"/>
    <mergeCell ref="D98:D103"/>
    <mergeCell ref="D104:D106"/>
    <mergeCell ref="D107:D121"/>
    <mergeCell ref="D123:D126"/>
    <mergeCell ref="D127:D128"/>
    <mergeCell ref="D129:D131"/>
    <mergeCell ref="D134:D140"/>
    <mergeCell ref="D141:D146"/>
    <mergeCell ref="D152:D153"/>
    <mergeCell ref="D154:D156"/>
    <mergeCell ref="D157:D158"/>
    <mergeCell ref="D159:D160"/>
    <mergeCell ref="D165:D166"/>
    <mergeCell ref="D167:D168"/>
    <mergeCell ref="D171:D173"/>
    <mergeCell ref="D174:D175"/>
    <mergeCell ref="D176:D178"/>
    <mergeCell ref="D179:D181"/>
    <mergeCell ref="D184:D185"/>
    <mergeCell ref="D186:D187"/>
    <mergeCell ref="D188:D195"/>
    <mergeCell ref="D196:D203"/>
    <mergeCell ref="D208:D209"/>
    <mergeCell ref="D213:D214"/>
    <mergeCell ref="D215:D216"/>
    <mergeCell ref="D217:D220"/>
    <mergeCell ref="D221:D224"/>
    <mergeCell ref="D225:D226"/>
    <mergeCell ref="D227:D228"/>
    <mergeCell ref="D229:D230"/>
    <mergeCell ref="D231:D234"/>
    <mergeCell ref="D235:D238"/>
    <mergeCell ref="D239:D246"/>
    <mergeCell ref="D247:D254"/>
    <mergeCell ref="D255:D258"/>
    <mergeCell ref="D259:D262"/>
    <mergeCell ref="D265:D266"/>
    <mergeCell ref="D269:D277"/>
    <mergeCell ref="D278:D279"/>
    <mergeCell ref="D280:D281"/>
    <mergeCell ref="D282:D283"/>
    <mergeCell ref="D284:D285"/>
    <mergeCell ref="D286:D287"/>
    <mergeCell ref="D290:D291"/>
    <mergeCell ref="D292:D293"/>
    <mergeCell ref="D296:D297"/>
    <mergeCell ref="D298:D299"/>
    <mergeCell ref="D307:D308"/>
    <mergeCell ref="D309:D310"/>
    <mergeCell ref="D311:D314"/>
    <mergeCell ref="D315:D316"/>
    <mergeCell ref="D321:D323"/>
    <mergeCell ref="D324:D326"/>
    <mergeCell ref="D327:D328"/>
    <mergeCell ref="D333:D335"/>
    <mergeCell ref="D336:D338"/>
    <mergeCell ref="D341:D345"/>
    <mergeCell ref="D346:D350"/>
    <mergeCell ref="D351:D353"/>
    <mergeCell ref="D354:D356"/>
    <mergeCell ref="D359:D364"/>
    <mergeCell ref="D365:D370"/>
    <mergeCell ref="D375:D379"/>
    <mergeCell ref="D384:D385"/>
    <mergeCell ref="D386:D394"/>
    <mergeCell ref="D395:D403"/>
    <mergeCell ref="E5:E16"/>
    <mergeCell ref="E17:E18"/>
    <mergeCell ref="E19:E23"/>
    <mergeCell ref="E26:E28"/>
    <mergeCell ref="E31:E33"/>
    <mergeCell ref="E34:E37"/>
    <mergeCell ref="E41:E43"/>
    <mergeCell ref="E44:E46"/>
    <mergeCell ref="E49:E52"/>
    <mergeCell ref="E53:E60"/>
    <mergeCell ref="E61:E64"/>
    <mergeCell ref="E67:E72"/>
    <mergeCell ref="E74:E75"/>
    <mergeCell ref="E80:E81"/>
    <mergeCell ref="E83:E84"/>
    <mergeCell ref="E86:E87"/>
    <mergeCell ref="E90:E91"/>
    <mergeCell ref="E92:E93"/>
    <mergeCell ref="E94:E95"/>
    <mergeCell ref="E98:E103"/>
    <mergeCell ref="E104:E106"/>
    <mergeCell ref="E107:E121"/>
    <mergeCell ref="E123:E126"/>
    <mergeCell ref="E127:E128"/>
    <mergeCell ref="E129:E131"/>
    <mergeCell ref="E134:E140"/>
    <mergeCell ref="E141:E146"/>
    <mergeCell ref="E152:E153"/>
    <mergeCell ref="E154:E156"/>
    <mergeCell ref="E157:E158"/>
    <mergeCell ref="E159:E160"/>
    <mergeCell ref="E165:E166"/>
    <mergeCell ref="E167:E168"/>
    <mergeCell ref="E171:E173"/>
    <mergeCell ref="E174:E175"/>
    <mergeCell ref="E176:E178"/>
    <mergeCell ref="E179:E181"/>
    <mergeCell ref="E184:E185"/>
    <mergeCell ref="E186:E187"/>
    <mergeCell ref="E188:E195"/>
    <mergeCell ref="E196:E203"/>
    <mergeCell ref="E208:E209"/>
    <mergeCell ref="E213:E214"/>
    <mergeCell ref="E215:E216"/>
    <mergeCell ref="E217:E220"/>
    <mergeCell ref="E221:E224"/>
    <mergeCell ref="E225:E226"/>
    <mergeCell ref="E227:E228"/>
    <mergeCell ref="E229:E230"/>
    <mergeCell ref="E231:E234"/>
    <mergeCell ref="E235:E238"/>
    <mergeCell ref="E239:E246"/>
    <mergeCell ref="E247:E254"/>
    <mergeCell ref="E255:E258"/>
    <mergeCell ref="E259:E262"/>
    <mergeCell ref="E265:E266"/>
    <mergeCell ref="E269:E277"/>
    <mergeCell ref="E278:E279"/>
    <mergeCell ref="E280:E281"/>
    <mergeCell ref="E282:E283"/>
    <mergeCell ref="E284:E285"/>
    <mergeCell ref="E286:E287"/>
    <mergeCell ref="E290:E291"/>
    <mergeCell ref="E292:E293"/>
    <mergeCell ref="E296:E297"/>
    <mergeCell ref="E298:E299"/>
    <mergeCell ref="E307:E308"/>
    <mergeCell ref="E309:E310"/>
    <mergeCell ref="E311:E314"/>
    <mergeCell ref="E315:E316"/>
    <mergeCell ref="E321:E323"/>
    <mergeCell ref="E324:E326"/>
    <mergeCell ref="E327:E328"/>
    <mergeCell ref="E333:E335"/>
    <mergeCell ref="E336:E338"/>
    <mergeCell ref="E341:E345"/>
    <mergeCell ref="E346:E350"/>
    <mergeCell ref="E351:E353"/>
    <mergeCell ref="E354:E356"/>
    <mergeCell ref="E359:E364"/>
    <mergeCell ref="E365:E370"/>
    <mergeCell ref="E375:E379"/>
    <mergeCell ref="E384:E385"/>
    <mergeCell ref="E386:E394"/>
    <mergeCell ref="E395:E403"/>
    <mergeCell ref="F5:F16"/>
    <mergeCell ref="F17:F18"/>
    <mergeCell ref="F19:F23"/>
    <mergeCell ref="F26:F28"/>
    <mergeCell ref="F31:F33"/>
    <mergeCell ref="F34:F37"/>
    <mergeCell ref="F41:F43"/>
    <mergeCell ref="F44:F46"/>
    <mergeCell ref="F49:F52"/>
    <mergeCell ref="F53:F60"/>
    <mergeCell ref="F61:F64"/>
    <mergeCell ref="F67:F72"/>
    <mergeCell ref="F74:F75"/>
    <mergeCell ref="F80:F81"/>
    <mergeCell ref="F83:F84"/>
    <mergeCell ref="F86:F87"/>
    <mergeCell ref="F90:F91"/>
    <mergeCell ref="F92:F93"/>
    <mergeCell ref="F94:F95"/>
    <mergeCell ref="F98:F103"/>
    <mergeCell ref="F104:F106"/>
    <mergeCell ref="F107:F121"/>
    <mergeCell ref="F123:F126"/>
    <mergeCell ref="F127:F128"/>
    <mergeCell ref="F129:F131"/>
    <mergeCell ref="F134:F140"/>
    <mergeCell ref="F141:F146"/>
    <mergeCell ref="F152:F153"/>
    <mergeCell ref="F154:F156"/>
    <mergeCell ref="F157:F158"/>
    <mergeCell ref="F159:F160"/>
    <mergeCell ref="F165:F166"/>
    <mergeCell ref="F167:F168"/>
    <mergeCell ref="F171:F173"/>
    <mergeCell ref="F174:F175"/>
    <mergeCell ref="F176:F178"/>
    <mergeCell ref="F179:F181"/>
    <mergeCell ref="F184:F185"/>
    <mergeCell ref="F186:F187"/>
    <mergeCell ref="F188:F195"/>
    <mergeCell ref="F196:F203"/>
    <mergeCell ref="F208:F209"/>
    <mergeCell ref="F213:F214"/>
    <mergeCell ref="F215:F216"/>
    <mergeCell ref="F217:F220"/>
    <mergeCell ref="F221:F224"/>
    <mergeCell ref="F225:F226"/>
    <mergeCell ref="F227:F228"/>
    <mergeCell ref="F229:F230"/>
    <mergeCell ref="F231:F234"/>
    <mergeCell ref="F235:F238"/>
    <mergeCell ref="F239:F246"/>
    <mergeCell ref="F247:F254"/>
    <mergeCell ref="F255:F258"/>
    <mergeCell ref="F259:F262"/>
    <mergeCell ref="F265:F266"/>
    <mergeCell ref="F269:F277"/>
    <mergeCell ref="F278:F279"/>
    <mergeCell ref="F280:F281"/>
    <mergeCell ref="F282:F283"/>
    <mergeCell ref="F284:F285"/>
    <mergeCell ref="F286:F287"/>
    <mergeCell ref="F290:F291"/>
    <mergeCell ref="F292:F293"/>
    <mergeCell ref="F296:F297"/>
    <mergeCell ref="F298:F299"/>
    <mergeCell ref="F307:F308"/>
    <mergeCell ref="F309:F310"/>
    <mergeCell ref="F311:F314"/>
    <mergeCell ref="F315:F316"/>
    <mergeCell ref="F321:F323"/>
    <mergeCell ref="F324:F326"/>
    <mergeCell ref="F327:F328"/>
    <mergeCell ref="F333:F335"/>
    <mergeCell ref="F336:F338"/>
    <mergeCell ref="F341:F345"/>
    <mergeCell ref="F346:F350"/>
    <mergeCell ref="F351:F353"/>
    <mergeCell ref="F354:F356"/>
    <mergeCell ref="F359:F364"/>
    <mergeCell ref="F365:F370"/>
    <mergeCell ref="F375:F379"/>
    <mergeCell ref="F384:F385"/>
    <mergeCell ref="F386:F394"/>
    <mergeCell ref="F395:F403"/>
    <mergeCell ref="G5:G16"/>
    <mergeCell ref="G17:G18"/>
    <mergeCell ref="G19:G23"/>
    <mergeCell ref="G26:G28"/>
    <mergeCell ref="G31:G33"/>
    <mergeCell ref="G34:G37"/>
    <mergeCell ref="G41:G43"/>
    <mergeCell ref="G44:G46"/>
    <mergeCell ref="G49:G52"/>
    <mergeCell ref="G53:G60"/>
    <mergeCell ref="G61:G64"/>
    <mergeCell ref="G67:G72"/>
    <mergeCell ref="G74:G75"/>
    <mergeCell ref="G80:G81"/>
    <mergeCell ref="G83:G84"/>
    <mergeCell ref="G86:G87"/>
    <mergeCell ref="G90:G91"/>
    <mergeCell ref="G92:G93"/>
    <mergeCell ref="G94:G95"/>
    <mergeCell ref="G98:G103"/>
    <mergeCell ref="G104:G106"/>
    <mergeCell ref="G107:G121"/>
    <mergeCell ref="G123:G126"/>
    <mergeCell ref="G127:G128"/>
    <mergeCell ref="G129:G131"/>
    <mergeCell ref="G134:G140"/>
    <mergeCell ref="G141:G146"/>
    <mergeCell ref="G152:G153"/>
    <mergeCell ref="G154:G156"/>
    <mergeCell ref="G157:G158"/>
    <mergeCell ref="G159:G160"/>
    <mergeCell ref="G165:G166"/>
    <mergeCell ref="G167:G168"/>
    <mergeCell ref="G171:G173"/>
    <mergeCell ref="G174:G175"/>
    <mergeCell ref="G176:G178"/>
    <mergeCell ref="G179:G181"/>
    <mergeCell ref="G184:G185"/>
    <mergeCell ref="G186:G187"/>
    <mergeCell ref="G188:G195"/>
    <mergeCell ref="G196:G203"/>
    <mergeCell ref="G208:G209"/>
    <mergeCell ref="G213:G214"/>
    <mergeCell ref="G215:G216"/>
    <mergeCell ref="G217:G220"/>
    <mergeCell ref="G221:G224"/>
    <mergeCell ref="G225:G226"/>
    <mergeCell ref="G227:G228"/>
    <mergeCell ref="G229:G230"/>
    <mergeCell ref="G231:G234"/>
    <mergeCell ref="G235:G238"/>
    <mergeCell ref="G239:G246"/>
    <mergeCell ref="G247:G254"/>
    <mergeCell ref="G255:G258"/>
    <mergeCell ref="G259:G262"/>
    <mergeCell ref="G265:G266"/>
    <mergeCell ref="G269:G277"/>
    <mergeCell ref="G278:G279"/>
    <mergeCell ref="G280:G281"/>
    <mergeCell ref="G282:G283"/>
    <mergeCell ref="G284:G285"/>
    <mergeCell ref="G286:G287"/>
    <mergeCell ref="G290:G291"/>
    <mergeCell ref="G292:G293"/>
    <mergeCell ref="G296:G297"/>
    <mergeCell ref="G298:G299"/>
    <mergeCell ref="G307:G308"/>
    <mergeCell ref="G309:G310"/>
    <mergeCell ref="G311:G314"/>
    <mergeCell ref="G315:G316"/>
    <mergeCell ref="G321:G323"/>
    <mergeCell ref="G324:G326"/>
    <mergeCell ref="G327:G328"/>
    <mergeCell ref="G333:G335"/>
    <mergeCell ref="G336:G338"/>
    <mergeCell ref="G341:G345"/>
    <mergeCell ref="G346:G350"/>
    <mergeCell ref="G351:G353"/>
    <mergeCell ref="G354:G356"/>
    <mergeCell ref="G359:G364"/>
    <mergeCell ref="G365:G370"/>
    <mergeCell ref="G375:G379"/>
    <mergeCell ref="G384:G385"/>
    <mergeCell ref="G386:G394"/>
    <mergeCell ref="G395:G403"/>
    <mergeCell ref="H5:H16"/>
    <mergeCell ref="H17:H18"/>
    <mergeCell ref="H19:H23"/>
    <mergeCell ref="H26:H28"/>
    <mergeCell ref="H31:H33"/>
    <mergeCell ref="H34:H37"/>
    <mergeCell ref="H41:H43"/>
    <mergeCell ref="H44:H46"/>
    <mergeCell ref="H49:H52"/>
    <mergeCell ref="H53:H60"/>
    <mergeCell ref="H61:H64"/>
    <mergeCell ref="H67:H72"/>
    <mergeCell ref="H74:H75"/>
    <mergeCell ref="H80:H81"/>
    <mergeCell ref="H83:H84"/>
    <mergeCell ref="H86:H87"/>
    <mergeCell ref="H90:H91"/>
    <mergeCell ref="H92:H93"/>
    <mergeCell ref="H94:H95"/>
    <mergeCell ref="H98:H103"/>
    <mergeCell ref="H104:H106"/>
    <mergeCell ref="H107:H121"/>
    <mergeCell ref="H123:H126"/>
    <mergeCell ref="H127:H128"/>
    <mergeCell ref="H129:H131"/>
    <mergeCell ref="H134:H140"/>
    <mergeCell ref="H141:H146"/>
    <mergeCell ref="H152:H153"/>
    <mergeCell ref="H154:H156"/>
    <mergeCell ref="H157:H158"/>
    <mergeCell ref="H159:H160"/>
    <mergeCell ref="H165:H166"/>
    <mergeCell ref="H167:H168"/>
    <mergeCell ref="H171:H173"/>
    <mergeCell ref="H174:H175"/>
    <mergeCell ref="H176:H178"/>
    <mergeCell ref="H179:H181"/>
    <mergeCell ref="H184:H185"/>
    <mergeCell ref="H186:H187"/>
    <mergeCell ref="H188:H195"/>
    <mergeCell ref="H196:H203"/>
    <mergeCell ref="H208:H209"/>
    <mergeCell ref="H213:H214"/>
    <mergeCell ref="H215:H216"/>
    <mergeCell ref="H217:H220"/>
    <mergeCell ref="H221:H224"/>
    <mergeCell ref="H225:H226"/>
    <mergeCell ref="H227:H228"/>
    <mergeCell ref="H229:H230"/>
    <mergeCell ref="H231:H234"/>
    <mergeCell ref="H235:H238"/>
    <mergeCell ref="H239:H246"/>
    <mergeCell ref="H247:H254"/>
    <mergeCell ref="H255:H258"/>
    <mergeCell ref="H259:H262"/>
    <mergeCell ref="H265:H266"/>
    <mergeCell ref="H269:H277"/>
    <mergeCell ref="H278:H279"/>
    <mergeCell ref="H280:H281"/>
    <mergeCell ref="H282:H283"/>
    <mergeCell ref="H284:H285"/>
    <mergeCell ref="H286:H287"/>
    <mergeCell ref="H290:H291"/>
    <mergeCell ref="H292:H293"/>
    <mergeCell ref="H296:H297"/>
    <mergeCell ref="H298:H299"/>
    <mergeCell ref="H307:H308"/>
    <mergeCell ref="H309:H310"/>
    <mergeCell ref="H311:H314"/>
    <mergeCell ref="H315:H316"/>
    <mergeCell ref="H321:H323"/>
    <mergeCell ref="H324:H326"/>
    <mergeCell ref="H327:H328"/>
    <mergeCell ref="H333:H335"/>
    <mergeCell ref="H336:H338"/>
    <mergeCell ref="H341:H345"/>
    <mergeCell ref="H346:H350"/>
    <mergeCell ref="H351:H353"/>
    <mergeCell ref="H354:H356"/>
    <mergeCell ref="H359:H364"/>
    <mergeCell ref="H365:H370"/>
    <mergeCell ref="H375:H379"/>
    <mergeCell ref="H384:H385"/>
    <mergeCell ref="H386:H394"/>
    <mergeCell ref="H395:H403"/>
    <mergeCell ref="I5:I16"/>
    <mergeCell ref="I17:I18"/>
    <mergeCell ref="I19:I23"/>
    <mergeCell ref="I26:I28"/>
    <mergeCell ref="I31:I33"/>
    <mergeCell ref="I34:I37"/>
    <mergeCell ref="I41:I43"/>
    <mergeCell ref="I44:I46"/>
    <mergeCell ref="I49:I52"/>
    <mergeCell ref="I53:I60"/>
    <mergeCell ref="I61:I64"/>
    <mergeCell ref="I67:I72"/>
    <mergeCell ref="I74:I75"/>
    <mergeCell ref="I80:I81"/>
    <mergeCell ref="I83:I84"/>
    <mergeCell ref="I86:I87"/>
    <mergeCell ref="I90:I91"/>
    <mergeCell ref="I92:I93"/>
    <mergeCell ref="I94:I95"/>
    <mergeCell ref="I98:I103"/>
    <mergeCell ref="I104:I106"/>
    <mergeCell ref="I107:I121"/>
    <mergeCell ref="I123:I126"/>
    <mergeCell ref="I127:I128"/>
    <mergeCell ref="I129:I131"/>
    <mergeCell ref="I134:I140"/>
    <mergeCell ref="I141:I146"/>
    <mergeCell ref="I152:I153"/>
    <mergeCell ref="I154:I156"/>
    <mergeCell ref="I157:I158"/>
    <mergeCell ref="I159:I160"/>
    <mergeCell ref="I165:I166"/>
    <mergeCell ref="I167:I168"/>
    <mergeCell ref="I171:I173"/>
    <mergeCell ref="I174:I175"/>
    <mergeCell ref="I176:I178"/>
    <mergeCell ref="I179:I181"/>
    <mergeCell ref="I184:I185"/>
    <mergeCell ref="I186:I187"/>
    <mergeCell ref="I188:I195"/>
    <mergeCell ref="I196:I203"/>
    <mergeCell ref="I208:I209"/>
    <mergeCell ref="I213:I214"/>
    <mergeCell ref="I215:I216"/>
    <mergeCell ref="I217:I220"/>
    <mergeCell ref="I221:I224"/>
    <mergeCell ref="I225:I226"/>
    <mergeCell ref="I227:I228"/>
    <mergeCell ref="I229:I230"/>
    <mergeCell ref="I231:I234"/>
    <mergeCell ref="I235:I238"/>
    <mergeCell ref="I239:I246"/>
    <mergeCell ref="I247:I254"/>
    <mergeCell ref="I255:I258"/>
    <mergeCell ref="I259:I262"/>
    <mergeCell ref="I265:I266"/>
    <mergeCell ref="I269:I277"/>
    <mergeCell ref="I278:I279"/>
    <mergeCell ref="I280:I281"/>
    <mergeCell ref="I282:I283"/>
    <mergeCell ref="I284:I285"/>
    <mergeCell ref="I286:I287"/>
    <mergeCell ref="I290:I291"/>
    <mergeCell ref="I292:I293"/>
    <mergeCell ref="I296:I297"/>
    <mergeCell ref="I298:I299"/>
    <mergeCell ref="I307:I308"/>
    <mergeCell ref="I309:I310"/>
    <mergeCell ref="I311:I314"/>
    <mergeCell ref="I315:I316"/>
    <mergeCell ref="I321:I323"/>
    <mergeCell ref="I324:I326"/>
    <mergeCell ref="I327:I328"/>
    <mergeCell ref="I333:I335"/>
    <mergeCell ref="I336:I338"/>
    <mergeCell ref="I341:I345"/>
    <mergeCell ref="I346:I350"/>
    <mergeCell ref="I351:I353"/>
    <mergeCell ref="I354:I356"/>
    <mergeCell ref="I359:I364"/>
    <mergeCell ref="I365:I370"/>
    <mergeCell ref="I375:I379"/>
    <mergeCell ref="I384:I385"/>
    <mergeCell ref="I386:I394"/>
    <mergeCell ref="I395:I403"/>
    <mergeCell ref="J5:J16"/>
    <mergeCell ref="J17:J18"/>
    <mergeCell ref="J19:J23"/>
    <mergeCell ref="J26:J28"/>
    <mergeCell ref="J31:J33"/>
    <mergeCell ref="J34:J37"/>
    <mergeCell ref="J41:J43"/>
    <mergeCell ref="J44:J46"/>
    <mergeCell ref="J49:J52"/>
    <mergeCell ref="J53:J60"/>
    <mergeCell ref="J61:J64"/>
    <mergeCell ref="J67:J72"/>
    <mergeCell ref="J74:J75"/>
    <mergeCell ref="J80:J81"/>
    <mergeCell ref="J83:J84"/>
    <mergeCell ref="J86:J87"/>
    <mergeCell ref="J90:J91"/>
    <mergeCell ref="J92:J93"/>
    <mergeCell ref="J94:J95"/>
    <mergeCell ref="J98:J103"/>
    <mergeCell ref="J104:J106"/>
    <mergeCell ref="J107:J121"/>
    <mergeCell ref="J123:J126"/>
    <mergeCell ref="J127:J128"/>
    <mergeCell ref="J129:J131"/>
    <mergeCell ref="J134:J140"/>
    <mergeCell ref="J141:J146"/>
    <mergeCell ref="J152:J153"/>
    <mergeCell ref="J154:J156"/>
    <mergeCell ref="J157:J158"/>
    <mergeCell ref="J159:J160"/>
    <mergeCell ref="J165:J166"/>
    <mergeCell ref="J167:J168"/>
    <mergeCell ref="J171:J173"/>
    <mergeCell ref="J174:J175"/>
    <mergeCell ref="J176:J178"/>
    <mergeCell ref="J179:J181"/>
    <mergeCell ref="J184:J185"/>
    <mergeCell ref="J186:J187"/>
    <mergeCell ref="J188:J195"/>
    <mergeCell ref="J196:J203"/>
    <mergeCell ref="J208:J209"/>
    <mergeCell ref="J213:J214"/>
    <mergeCell ref="J215:J216"/>
    <mergeCell ref="J217:J220"/>
    <mergeCell ref="J221:J224"/>
    <mergeCell ref="J225:J226"/>
    <mergeCell ref="J227:J228"/>
    <mergeCell ref="J229:J230"/>
    <mergeCell ref="J231:J234"/>
    <mergeCell ref="J235:J238"/>
    <mergeCell ref="J239:J246"/>
    <mergeCell ref="J247:J254"/>
    <mergeCell ref="J255:J258"/>
    <mergeCell ref="J259:J262"/>
    <mergeCell ref="J265:J266"/>
    <mergeCell ref="J269:J277"/>
    <mergeCell ref="J278:J279"/>
    <mergeCell ref="J280:J281"/>
    <mergeCell ref="J282:J283"/>
    <mergeCell ref="J284:J285"/>
    <mergeCell ref="J286:J287"/>
    <mergeCell ref="J290:J291"/>
    <mergeCell ref="J292:J293"/>
    <mergeCell ref="J296:J297"/>
    <mergeCell ref="J298:J299"/>
    <mergeCell ref="J307:J308"/>
    <mergeCell ref="J309:J310"/>
    <mergeCell ref="J311:J314"/>
    <mergeCell ref="J315:J316"/>
    <mergeCell ref="J321:J323"/>
    <mergeCell ref="J324:J326"/>
    <mergeCell ref="J327:J328"/>
    <mergeCell ref="J333:J335"/>
    <mergeCell ref="J336:J338"/>
    <mergeCell ref="J341:J345"/>
    <mergeCell ref="J346:J350"/>
    <mergeCell ref="J351:J353"/>
    <mergeCell ref="J354:J356"/>
    <mergeCell ref="J359:J364"/>
    <mergeCell ref="J365:J370"/>
    <mergeCell ref="J375:J379"/>
    <mergeCell ref="J384:J385"/>
    <mergeCell ref="J386:J394"/>
    <mergeCell ref="J395:J403"/>
    <mergeCell ref="K5:K16"/>
    <mergeCell ref="K17:K18"/>
    <mergeCell ref="K19:K23"/>
    <mergeCell ref="K26:K28"/>
    <mergeCell ref="K31:K33"/>
    <mergeCell ref="K34:K37"/>
    <mergeCell ref="K41:K43"/>
    <mergeCell ref="K44:K46"/>
    <mergeCell ref="K49:K52"/>
    <mergeCell ref="K53:K60"/>
    <mergeCell ref="K61:K64"/>
    <mergeCell ref="K67:K72"/>
    <mergeCell ref="K74:K75"/>
    <mergeCell ref="K80:K81"/>
    <mergeCell ref="K83:K84"/>
    <mergeCell ref="K86:K87"/>
    <mergeCell ref="K90:K91"/>
    <mergeCell ref="K92:K93"/>
    <mergeCell ref="K94:K95"/>
    <mergeCell ref="K98:K103"/>
    <mergeCell ref="K104:K106"/>
    <mergeCell ref="K107:K121"/>
    <mergeCell ref="K123:K126"/>
    <mergeCell ref="K127:K128"/>
    <mergeCell ref="K129:K131"/>
    <mergeCell ref="K134:K140"/>
    <mergeCell ref="K141:K146"/>
    <mergeCell ref="K152:K153"/>
    <mergeCell ref="K154:K156"/>
    <mergeCell ref="K157:K158"/>
    <mergeCell ref="K159:K160"/>
    <mergeCell ref="K165:K166"/>
    <mergeCell ref="K167:K168"/>
    <mergeCell ref="K171:K173"/>
    <mergeCell ref="K174:K175"/>
    <mergeCell ref="K176:K178"/>
    <mergeCell ref="K179:K181"/>
    <mergeCell ref="K184:K185"/>
    <mergeCell ref="K186:K187"/>
    <mergeCell ref="K188:K195"/>
    <mergeCell ref="K196:K203"/>
    <mergeCell ref="K208:K209"/>
    <mergeCell ref="K213:K214"/>
    <mergeCell ref="K215:K216"/>
    <mergeCell ref="K217:K220"/>
    <mergeCell ref="K221:K224"/>
    <mergeCell ref="K225:K226"/>
    <mergeCell ref="K227:K228"/>
    <mergeCell ref="K229:K230"/>
    <mergeCell ref="K231:K234"/>
    <mergeCell ref="K235:K238"/>
    <mergeCell ref="K239:K246"/>
    <mergeCell ref="K247:K254"/>
    <mergeCell ref="K255:K258"/>
    <mergeCell ref="K259:K262"/>
    <mergeCell ref="K265:K266"/>
    <mergeCell ref="K269:K277"/>
    <mergeCell ref="K278:K279"/>
    <mergeCell ref="K280:K281"/>
    <mergeCell ref="K282:K283"/>
    <mergeCell ref="K284:K285"/>
    <mergeCell ref="K286:K287"/>
    <mergeCell ref="K290:K291"/>
    <mergeCell ref="K292:K293"/>
    <mergeCell ref="K296:K297"/>
    <mergeCell ref="K298:K299"/>
    <mergeCell ref="K307:K308"/>
    <mergeCell ref="K309:K310"/>
    <mergeCell ref="K311:K314"/>
    <mergeCell ref="K315:K316"/>
    <mergeCell ref="K321:K323"/>
    <mergeCell ref="K324:K326"/>
    <mergeCell ref="K327:K328"/>
    <mergeCell ref="K333:K335"/>
    <mergeCell ref="K336:K338"/>
    <mergeCell ref="K341:K345"/>
    <mergeCell ref="K346:K350"/>
    <mergeCell ref="K351:K353"/>
    <mergeCell ref="K354:K356"/>
    <mergeCell ref="K359:K364"/>
    <mergeCell ref="K365:K370"/>
    <mergeCell ref="K375:K379"/>
    <mergeCell ref="K384:K385"/>
    <mergeCell ref="K386:K394"/>
    <mergeCell ref="K395:K403"/>
    <mergeCell ref="L5:L16"/>
    <mergeCell ref="L17:L18"/>
    <mergeCell ref="L19:L23"/>
    <mergeCell ref="L26:L28"/>
    <mergeCell ref="L31:L33"/>
    <mergeCell ref="L34:L37"/>
    <mergeCell ref="L41:L43"/>
    <mergeCell ref="L44:L46"/>
    <mergeCell ref="L49:L52"/>
    <mergeCell ref="L53:L60"/>
    <mergeCell ref="L61:L64"/>
    <mergeCell ref="L67:L72"/>
    <mergeCell ref="L74:L75"/>
    <mergeCell ref="L80:L81"/>
    <mergeCell ref="L83:L84"/>
    <mergeCell ref="L86:L87"/>
    <mergeCell ref="L90:L91"/>
    <mergeCell ref="L92:L93"/>
    <mergeCell ref="L94:L95"/>
    <mergeCell ref="L98:L103"/>
    <mergeCell ref="L104:L106"/>
    <mergeCell ref="L107:L121"/>
    <mergeCell ref="L123:L126"/>
    <mergeCell ref="L127:L128"/>
    <mergeCell ref="L129:L131"/>
    <mergeCell ref="L134:L140"/>
    <mergeCell ref="L141:L146"/>
    <mergeCell ref="L152:L153"/>
    <mergeCell ref="L154:L156"/>
    <mergeCell ref="L157:L158"/>
    <mergeCell ref="L159:L160"/>
    <mergeCell ref="L165:L166"/>
    <mergeCell ref="L167:L168"/>
    <mergeCell ref="L171:L173"/>
    <mergeCell ref="L174:L175"/>
    <mergeCell ref="L176:L178"/>
    <mergeCell ref="L179:L181"/>
    <mergeCell ref="L184:L185"/>
    <mergeCell ref="L186:L187"/>
    <mergeCell ref="L188:L195"/>
    <mergeCell ref="L196:L203"/>
    <mergeCell ref="L208:L209"/>
    <mergeCell ref="L213:L214"/>
    <mergeCell ref="L215:L216"/>
    <mergeCell ref="L217:L220"/>
    <mergeCell ref="L221:L224"/>
    <mergeCell ref="L225:L226"/>
    <mergeCell ref="L227:L228"/>
    <mergeCell ref="L229:L230"/>
    <mergeCell ref="L231:L234"/>
    <mergeCell ref="L235:L238"/>
    <mergeCell ref="L239:L246"/>
    <mergeCell ref="L247:L254"/>
    <mergeCell ref="L255:L258"/>
    <mergeCell ref="L259:L262"/>
    <mergeCell ref="L265:L266"/>
    <mergeCell ref="L269:L277"/>
    <mergeCell ref="L278:L279"/>
    <mergeCell ref="L280:L281"/>
    <mergeCell ref="L282:L283"/>
    <mergeCell ref="L284:L285"/>
    <mergeCell ref="L286:L287"/>
    <mergeCell ref="L290:L291"/>
    <mergeCell ref="L292:L293"/>
    <mergeCell ref="L296:L297"/>
    <mergeCell ref="L298:L299"/>
    <mergeCell ref="L307:L308"/>
    <mergeCell ref="L309:L310"/>
    <mergeCell ref="L311:L314"/>
    <mergeCell ref="L315:L316"/>
    <mergeCell ref="L321:L323"/>
    <mergeCell ref="L324:L326"/>
    <mergeCell ref="L327:L328"/>
    <mergeCell ref="L333:L335"/>
    <mergeCell ref="L336:L338"/>
    <mergeCell ref="L341:L345"/>
    <mergeCell ref="L346:L350"/>
    <mergeCell ref="L351:L353"/>
    <mergeCell ref="L354:L356"/>
    <mergeCell ref="L359:L364"/>
    <mergeCell ref="L365:L370"/>
    <mergeCell ref="L375:L379"/>
    <mergeCell ref="L384:L385"/>
    <mergeCell ref="L386:L394"/>
    <mergeCell ref="L395:L403"/>
    <mergeCell ref="Q5:Q16"/>
    <mergeCell ref="Q17:Q18"/>
    <mergeCell ref="Q19:Q23"/>
    <mergeCell ref="Q26:Q28"/>
    <mergeCell ref="Q31:Q32"/>
    <mergeCell ref="Q34:Q37"/>
    <mergeCell ref="Q41:Q43"/>
    <mergeCell ref="Q44:Q46"/>
    <mergeCell ref="Q49:Q52"/>
    <mergeCell ref="Q53:Q60"/>
    <mergeCell ref="Q61:Q64"/>
    <mergeCell ref="Q67:Q72"/>
    <mergeCell ref="Q74:Q75"/>
    <mergeCell ref="Q80:Q81"/>
    <mergeCell ref="Q83:Q84"/>
    <mergeCell ref="Q86:Q87"/>
    <mergeCell ref="Q90:Q91"/>
    <mergeCell ref="Q92:Q93"/>
    <mergeCell ref="Q94:Q95"/>
    <mergeCell ref="Q98:Q103"/>
    <mergeCell ref="Q104:Q106"/>
    <mergeCell ref="Q107:Q121"/>
    <mergeCell ref="Q123:Q126"/>
    <mergeCell ref="Q127:Q128"/>
    <mergeCell ref="Q129:Q131"/>
    <mergeCell ref="Q134:Q140"/>
    <mergeCell ref="Q141:Q146"/>
    <mergeCell ref="Q152:Q153"/>
    <mergeCell ref="Q154:Q156"/>
    <mergeCell ref="Q157:Q158"/>
    <mergeCell ref="Q159:Q160"/>
    <mergeCell ref="Q165:Q166"/>
    <mergeCell ref="Q167:Q168"/>
    <mergeCell ref="Q171:Q173"/>
    <mergeCell ref="Q174:Q175"/>
    <mergeCell ref="Q176:Q178"/>
    <mergeCell ref="Q179:Q181"/>
    <mergeCell ref="Q184:Q185"/>
    <mergeCell ref="Q186:Q187"/>
    <mergeCell ref="Q188:Q195"/>
    <mergeCell ref="Q196:Q203"/>
    <mergeCell ref="Q208:Q209"/>
    <mergeCell ref="Q213:Q214"/>
    <mergeCell ref="Q215:Q216"/>
    <mergeCell ref="Q217:Q220"/>
    <mergeCell ref="Q221:Q224"/>
    <mergeCell ref="Q225:Q226"/>
    <mergeCell ref="Q227:Q228"/>
    <mergeCell ref="Q229:Q230"/>
    <mergeCell ref="Q231:Q234"/>
    <mergeCell ref="Q235:Q238"/>
    <mergeCell ref="Q239:Q246"/>
    <mergeCell ref="Q247:Q254"/>
    <mergeCell ref="Q255:Q258"/>
    <mergeCell ref="Q259:Q262"/>
    <mergeCell ref="Q265:Q266"/>
    <mergeCell ref="Q269:Q277"/>
    <mergeCell ref="Q278:Q279"/>
    <mergeCell ref="Q280:Q281"/>
    <mergeCell ref="Q282:Q283"/>
    <mergeCell ref="Q284:Q285"/>
    <mergeCell ref="Q286:Q287"/>
    <mergeCell ref="Q290:Q291"/>
    <mergeCell ref="Q292:Q293"/>
    <mergeCell ref="Q296:Q297"/>
    <mergeCell ref="Q298:Q299"/>
    <mergeCell ref="Q307:Q308"/>
    <mergeCell ref="Q309:Q310"/>
    <mergeCell ref="Q311:Q314"/>
    <mergeCell ref="Q315:Q316"/>
    <mergeCell ref="Q321:Q323"/>
    <mergeCell ref="Q324:Q326"/>
    <mergeCell ref="Q327:Q328"/>
    <mergeCell ref="Q333:Q335"/>
    <mergeCell ref="Q336:Q338"/>
    <mergeCell ref="Q346:Q350"/>
    <mergeCell ref="Q351:Q353"/>
    <mergeCell ref="Q354:Q356"/>
    <mergeCell ref="Q359:Q364"/>
    <mergeCell ref="Q365:Q370"/>
    <mergeCell ref="Q375:Q379"/>
    <mergeCell ref="Q384:Q385"/>
    <mergeCell ref="Q386:Q394"/>
    <mergeCell ref="Q395:Q403"/>
    <mergeCell ref="R5:R16"/>
    <mergeCell ref="R17:R18"/>
    <mergeCell ref="R19:R23"/>
    <mergeCell ref="R26:R28"/>
    <mergeCell ref="R31:R32"/>
    <mergeCell ref="R34:R37"/>
    <mergeCell ref="R41:R43"/>
    <mergeCell ref="R44:R46"/>
    <mergeCell ref="R49:R52"/>
    <mergeCell ref="R53:R60"/>
    <mergeCell ref="R61:R64"/>
    <mergeCell ref="R67:R72"/>
    <mergeCell ref="R74:R75"/>
    <mergeCell ref="R80:R81"/>
    <mergeCell ref="R83:R84"/>
    <mergeCell ref="R86:R87"/>
    <mergeCell ref="R90:R91"/>
    <mergeCell ref="R92:R93"/>
    <mergeCell ref="R94:R95"/>
    <mergeCell ref="R98:R103"/>
    <mergeCell ref="R104:R106"/>
    <mergeCell ref="R107:R121"/>
    <mergeCell ref="R123:R126"/>
    <mergeCell ref="R127:R128"/>
    <mergeCell ref="R129:R131"/>
    <mergeCell ref="R134:R140"/>
    <mergeCell ref="R141:R146"/>
    <mergeCell ref="R152:R153"/>
    <mergeCell ref="R154:R156"/>
    <mergeCell ref="R157:R158"/>
    <mergeCell ref="R159:R160"/>
    <mergeCell ref="R165:R166"/>
    <mergeCell ref="R167:R168"/>
    <mergeCell ref="R171:R173"/>
    <mergeCell ref="R174:R175"/>
    <mergeCell ref="R176:R178"/>
    <mergeCell ref="R179:R181"/>
    <mergeCell ref="R184:R185"/>
    <mergeCell ref="R186:R187"/>
    <mergeCell ref="R188:R195"/>
    <mergeCell ref="R196:R203"/>
    <mergeCell ref="R208:R209"/>
    <mergeCell ref="R213:R214"/>
    <mergeCell ref="R215:R216"/>
    <mergeCell ref="R217:R220"/>
    <mergeCell ref="R221:R224"/>
    <mergeCell ref="R225:R226"/>
    <mergeCell ref="R227:R228"/>
    <mergeCell ref="R229:R230"/>
    <mergeCell ref="R231:R234"/>
    <mergeCell ref="R235:R238"/>
    <mergeCell ref="R239:R246"/>
    <mergeCell ref="R247:R254"/>
    <mergeCell ref="R255:R258"/>
    <mergeCell ref="R259:R262"/>
    <mergeCell ref="R265:R266"/>
    <mergeCell ref="R269:R277"/>
    <mergeCell ref="R278:R279"/>
    <mergeCell ref="R280:R281"/>
    <mergeCell ref="R282:R283"/>
    <mergeCell ref="R284:R285"/>
    <mergeCell ref="R286:R287"/>
    <mergeCell ref="R290:R291"/>
    <mergeCell ref="R292:R293"/>
    <mergeCell ref="R296:R297"/>
    <mergeCell ref="R298:R299"/>
    <mergeCell ref="R307:R308"/>
    <mergeCell ref="R309:R310"/>
    <mergeCell ref="R311:R314"/>
    <mergeCell ref="R315:R316"/>
    <mergeCell ref="R321:R323"/>
    <mergeCell ref="R324:R326"/>
    <mergeCell ref="R327:R328"/>
    <mergeCell ref="R333:R335"/>
    <mergeCell ref="R336:R338"/>
    <mergeCell ref="R346:R350"/>
    <mergeCell ref="R351:R353"/>
    <mergeCell ref="R354:R356"/>
    <mergeCell ref="R359:R364"/>
    <mergeCell ref="R365:R370"/>
    <mergeCell ref="R375:R379"/>
    <mergeCell ref="R384:R385"/>
    <mergeCell ref="R386:R394"/>
    <mergeCell ref="R395:R403"/>
    <mergeCell ref="S5:S16"/>
    <mergeCell ref="S17:S18"/>
    <mergeCell ref="S19:S23"/>
    <mergeCell ref="S26:S28"/>
    <mergeCell ref="S31:S32"/>
    <mergeCell ref="S34:S37"/>
    <mergeCell ref="S41:S43"/>
    <mergeCell ref="S44:S46"/>
    <mergeCell ref="S49:S52"/>
    <mergeCell ref="S53:S60"/>
    <mergeCell ref="S61:S64"/>
    <mergeCell ref="S67:S72"/>
    <mergeCell ref="S74:S75"/>
    <mergeCell ref="S80:S81"/>
    <mergeCell ref="S83:S84"/>
    <mergeCell ref="S86:S87"/>
    <mergeCell ref="S90:S91"/>
    <mergeCell ref="S92:S93"/>
    <mergeCell ref="S94:S95"/>
    <mergeCell ref="S98:S103"/>
    <mergeCell ref="S104:S106"/>
    <mergeCell ref="S107:S121"/>
    <mergeCell ref="S123:S126"/>
    <mergeCell ref="S127:S128"/>
    <mergeCell ref="S129:S131"/>
    <mergeCell ref="S134:S140"/>
    <mergeCell ref="S141:S146"/>
    <mergeCell ref="S152:S153"/>
    <mergeCell ref="S154:S156"/>
    <mergeCell ref="S157:S158"/>
    <mergeCell ref="S159:S160"/>
    <mergeCell ref="S165:S166"/>
    <mergeCell ref="S167:S168"/>
    <mergeCell ref="S171:S173"/>
    <mergeCell ref="S174:S175"/>
    <mergeCell ref="S176:S178"/>
    <mergeCell ref="S179:S181"/>
    <mergeCell ref="S184:S185"/>
    <mergeCell ref="S186:S187"/>
    <mergeCell ref="S188:S195"/>
    <mergeCell ref="S196:S203"/>
    <mergeCell ref="S208:S209"/>
    <mergeCell ref="S213:S214"/>
    <mergeCell ref="S215:S216"/>
    <mergeCell ref="S217:S220"/>
    <mergeCell ref="S221:S224"/>
    <mergeCell ref="S225:S226"/>
    <mergeCell ref="S227:S228"/>
    <mergeCell ref="S229:S230"/>
    <mergeCell ref="S231:S234"/>
    <mergeCell ref="S235:S238"/>
    <mergeCell ref="S239:S246"/>
    <mergeCell ref="S247:S254"/>
    <mergeCell ref="S255:S258"/>
    <mergeCell ref="S259:S262"/>
    <mergeCell ref="S265:S266"/>
    <mergeCell ref="S269:S277"/>
    <mergeCell ref="S278:S279"/>
    <mergeCell ref="S280:S281"/>
    <mergeCell ref="S282:S283"/>
    <mergeCell ref="S284:S285"/>
    <mergeCell ref="S286:S287"/>
    <mergeCell ref="S290:S291"/>
    <mergeCell ref="S292:S293"/>
    <mergeCell ref="S296:S297"/>
    <mergeCell ref="S298:S299"/>
    <mergeCell ref="S307:S308"/>
    <mergeCell ref="S309:S310"/>
    <mergeCell ref="S311:S314"/>
    <mergeCell ref="S315:S316"/>
    <mergeCell ref="S321:S323"/>
    <mergeCell ref="S324:S326"/>
    <mergeCell ref="S327:S328"/>
    <mergeCell ref="S333:S335"/>
    <mergeCell ref="S336:S338"/>
    <mergeCell ref="S346:S350"/>
    <mergeCell ref="S351:S353"/>
    <mergeCell ref="S354:S356"/>
    <mergeCell ref="S359:S364"/>
    <mergeCell ref="S365:S370"/>
    <mergeCell ref="S375:S379"/>
    <mergeCell ref="S384:S385"/>
    <mergeCell ref="S386:S394"/>
    <mergeCell ref="S395:S403"/>
    <mergeCell ref="T5:T16"/>
    <mergeCell ref="T17:T18"/>
    <mergeCell ref="T19:T23"/>
    <mergeCell ref="T26:T28"/>
    <mergeCell ref="T31:T33"/>
    <mergeCell ref="T34:T37"/>
    <mergeCell ref="T41:T43"/>
    <mergeCell ref="T44:T46"/>
    <mergeCell ref="T49:T52"/>
    <mergeCell ref="T53:T60"/>
    <mergeCell ref="T61:T64"/>
    <mergeCell ref="T67:T72"/>
    <mergeCell ref="T74:T75"/>
    <mergeCell ref="T80:T81"/>
    <mergeCell ref="T83:T84"/>
    <mergeCell ref="T86:T87"/>
    <mergeCell ref="T90:T91"/>
    <mergeCell ref="T92:T93"/>
    <mergeCell ref="T94:T95"/>
    <mergeCell ref="T98:T103"/>
    <mergeCell ref="T104:T106"/>
    <mergeCell ref="T107:T121"/>
    <mergeCell ref="T123:T126"/>
    <mergeCell ref="T127:T128"/>
    <mergeCell ref="T129:T131"/>
    <mergeCell ref="T134:T140"/>
    <mergeCell ref="T141:T146"/>
    <mergeCell ref="T152:T153"/>
    <mergeCell ref="T154:T156"/>
    <mergeCell ref="T157:T158"/>
    <mergeCell ref="T159:T160"/>
    <mergeCell ref="T165:T166"/>
    <mergeCell ref="T167:T168"/>
    <mergeCell ref="T171:T173"/>
    <mergeCell ref="T174:T175"/>
    <mergeCell ref="T176:T178"/>
    <mergeCell ref="T179:T181"/>
    <mergeCell ref="T184:T185"/>
    <mergeCell ref="T186:T187"/>
    <mergeCell ref="T188:T195"/>
    <mergeCell ref="T196:T203"/>
    <mergeCell ref="T208:T209"/>
    <mergeCell ref="T213:T214"/>
    <mergeCell ref="T215:T216"/>
    <mergeCell ref="T217:T220"/>
    <mergeCell ref="T221:T224"/>
    <mergeCell ref="T225:T226"/>
    <mergeCell ref="T227:T228"/>
    <mergeCell ref="T229:T230"/>
    <mergeCell ref="T231:T234"/>
    <mergeCell ref="T235:T238"/>
    <mergeCell ref="T239:T246"/>
    <mergeCell ref="T247:T254"/>
    <mergeCell ref="T255:T258"/>
    <mergeCell ref="T259:T262"/>
    <mergeCell ref="T265:T266"/>
    <mergeCell ref="T269:T277"/>
    <mergeCell ref="T278:T279"/>
    <mergeCell ref="T280:T281"/>
    <mergeCell ref="T282:T283"/>
    <mergeCell ref="T284:T285"/>
    <mergeCell ref="T286:T287"/>
    <mergeCell ref="T290:T291"/>
    <mergeCell ref="T292:T293"/>
    <mergeCell ref="T296:T297"/>
    <mergeCell ref="T298:T299"/>
    <mergeCell ref="T307:T308"/>
    <mergeCell ref="T309:T310"/>
    <mergeCell ref="T311:T314"/>
    <mergeCell ref="T315:T316"/>
    <mergeCell ref="T321:T323"/>
    <mergeCell ref="T324:T326"/>
    <mergeCell ref="T327:T328"/>
    <mergeCell ref="T333:T335"/>
    <mergeCell ref="T336:T338"/>
    <mergeCell ref="T341:T345"/>
    <mergeCell ref="T346:T350"/>
    <mergeCell ref="T351:T353"/>
    <mergeCell ref="T354:T356"/>
    <mergeCell ref="T359:T364"/>
    <mergeCell ref="T365:T370"/>
    <mergeCell ref="T375:T379"/>
    <mergeCell ref="T384:T385"/>
    <mergeCell ref="T386:T394"/>
    <mergeCell ref="T395:T403"/>
    <mergeCell ref="U5:U16"/>
    <mergeCell ref="U17:U18"/>
    <mergeCell ref="U19:U23"/>
    <mergeCell ref="U26:U28"/>
    <mergeCell ref="U31:U33"/>
    <mergeCell ref="U34:U37"/>
    <mergeCell ref="U41:U43"/>
    <mergeCell ref="U44:U46"/>
    <mergeCell ref="U49:U52"/>
    <mergeCell ref="U53:U60"/>
    <mergeCell ref="U61:U64"/>
    <mergeCell ref="U67:U72"/>
    <mergeCell ref="U74:U75"/>
    <mergeCell ref="U80:U81"/>
    <mergeCell ref="U83:U84"/>
    <mergeCell ref="U86:U87"/>
    <mergeCell ref="U90:U91"/>
    <mergeCell ref="U92:U93"/>
    <mergeCell ref="U94:U95"/>
    <mergeCell ref="U98:U103"/>
    <mergeCell ref="U104:U106"/>
    <mergeCell ref="U107:U121"/>
    <mergeCell ref="U123:U126"/>
    <mergeCell ref="U127:U128"/>
    <mergeCell ref="U129:U131"/>
    <mergeCell ref="U134:U140"/>
    <mergeCell ref="U141:U146"/>
    <mergeCell ref="U152:U153"/>
    <mergeCell ref="U154:U156"/>
    <mergeCell ref="U157:U158"/>
    <mergeCell ref="U159:U160"/>
    <mergeCell ref="U165:U166"/>
    <mergeCell ref="U167:U168"/>
    <mergeCell ref="U171:U173"/>
    <mergeCell ref="U174:U175"/>
    <mergeCell ref="U176:U178"/>
    <mergeCell ref="U179:U181"/>
    <mergeCell ref="U184:U185"/>
    <mergeCell ref="U186:U187"/>
    <mergeCell ref="U188:U195"/>
    <mergeCell ref="U196:U203"/>
    <mergeCell ref="U208:U209"/>
    <mergeCell ref="U213:U214"/>
    <mergeCell ref="U215:U216"/>
    <mergeCell ref="U217:U220"/>
    <mergeCell ref="U221:U224"/>
    <mergeCell ref="U225:U226"/>
    <mergeCell ref="U227:U228"/>
    <mergeCell ref="U229:U230"/>
    <mergeCell ref="U231:U234"/>
    <mergeCell ref="U235:U238"/>
    <mergeCell ref="U239:U246"/>
    <mergeCell ref="U247:U254"/>
    <mergeCell ref="U255:U258"/>
    <mergeCell ref="U259:U262"/>
    <mergeCell ref="U265:U266"/>
    <mergeCell ref="U269:U277"/>
    <mergeCell ref="U278:U279"/>
    <mergeCell ref="U280:U281"/>
    <mergeCell ref="U282:U283"/>
    <mergeCell ref="U284:U285"/>
    <mergeCell ref="U286:U287"/>
    <mergeCell ref="U290:U291"/>
    <mergeCell ref="U292:U293"/>
    <mergeCell ref="U296:U297"/>
    <mergeCell ref="U298:U299"/>
    <mergeCell ref="U307:U308"/>
    <mergeCell ref="U309:U310"/>
    <mergeCell ref="U311:U314"/>
    <mergeCell ref="U315:U316"/>
    <mergeCell ref="U321:U323"/>
    <mergeCell ref="U324:U326"/>
    <mergeCell ref="U327:U328"/>
    <mergeCell ref="U333:U335"/>
    <mergeCell ref="U336:U338"/>
    <mergeCell ref="U341:U345"/>
    <mergeCell ref="U346:U350"/>
    <mergeCell ref="U351:U353"/>
    <mergeCell ref="U354:U356"/>
    <mergeCell ref="U359:U364"/>
    <mergeCell ref="U365:U370"/>
    <mergeCell ref="U375:U379"/>
    <mergeCell ref="U384:U385"/>
    <mergeCell ref="U386:U394"/>
    <mergeCell ref="U395:U403"/>
  </mergeCells>
  <pageMargins left="0.275" right="0.314583333333333" top="0.472222222222222" bottom="1" header="0.5" footer="0.5"/>
  <pageSetup paperSize="9" scale="85"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8"/>
  <sheetViews>
    <sheetView topLeftCell="F1" workbookViewId="0">
      <pane ySplit="2" topLeftCell="A55" activePane="bottomLeft" state="frozen"/>
      <selection/>
      <selection pane="bottomLeft" activeCell="L63" sqref="L63:L64"/>
    </sheetView>
  </sheetViews>
  <sheetFormatPr defaultColWidth="9" defaultRowHeight="15"/>
  <cols>
    <col min="1" max="1" width="15.625" style="8" customWidth="1"/>
    <col min="2" max="2" width="13.625" style="8" customWidth="1"/>
    <col min="3" max="3" width="16.875" style="8" customWidth="1"/>
    <col min="4" max="4" width="20.625" style="8" customWidth="1"/>
    <col min="5" max="5" width="9" style="8"/>
    <col min="6" max="6" width="4.625" style="8" customWidth="1"/>
    <col min="7" max="9" width="9" style="8"/>
    <col min="10" max="12" width="9" style="9"/>
    <col min="13" max="13" width="6" style="8" customWidth="1"/>
    <col min="14" max="14" width="18.125" style="10" customWidth="1"/>
    <col min="15" max="15" width="18.5" style="10" customWidth="1"/>
    <col min="16" max="16" width="18.75" style="10" customWidth="1"/>
    <col min="17" max="17" width="31.625" style="10" customWidth="1"/>
    <col min="18" max="18" width="19" style="10" customWidth="1"/>
    <col min="19" max="19" width="5" style="11" customWidth="1"/>
    <col min="20" max="22" width="7.875" style="11" customWidth="1"/>
    <col min="23" max="25" width="9" style="12"/>
  </cols>
  <sheetData>
    <row r="1" ht="27" customHeight="1" spans="1:22">
      <c r="A1" s="13" t="s">
        <v>1895</v>
      </c>
      <c r="B1" s="13"/>
      <c r="C1" s="13"/>
      <c r="D1" s="13"/>
      <c r="E1" s="13"/>
      <c r="F1" s="13"/>
      <c r="G1" s="13"/>
      <c r="H1" s="13"/>
      <c r="I1" s="13"/>
      <c r="J1" s="27"/>
      <c r="K1" s="27"/>
      <c r="L1" s="27"/>
      <c r="M1" s="13"/>
      <c r="N1" s="39" t="s">
        <v>1896</v>
      </c>
      <c r="O1" s="39"/>
      <c r="P1" s="39"/>
      <c r="Q1" s="39"/>
      <c r="R1" s="39"/>
      <c r="S1" s="39"/>
      <c r="T1" s="39"/>
      <c r="U1" s="39"/>
      <c r="V1" s="39"/>
    </row>
    <row r="2" s="7" customFormat="1" ht="38.25" spans="1:25">
      <c r="A2" s="14" t="s">
        <v>23</v>
      </c>
      <c r="B2" s="14" t="s">
        <v>4</v>
      </c>
      <c r="C2" s="15" t="s">
        <v>5</v>
      </c>
      <c r="D2" s="14" t="s">
        <v>24</v>
      </c>
      <c r="E2" s="14" t="s">
        <v>25</v>
      </c>
      <c r="F2" s="14" t="s">
        <v>9</v>
      </c>
      <c r="G2" s="14" t="s">
        <v>26</v>
      </c>
      <c r="H2" s="26" t="s">
        <v>1897</v>
      </c>
      <c r="I2" s="26" t="s">
        <v>1898</v>
      </c>
      <c r="J2" s="28" t="s">
        <v>27</v>
      </c>
      <c r="K2" s="28" t="s">
        <v>28</v>
      </c>
      <c r="L2" s="28" t="s">
        <v>29</v>
      </c>
      <c r="M2" s="40" t="s">
        <v>30</v>
      </c>
      <c r="N2" s="40" t="s">
        <v>4</v>
      </c>
      <c r="O2" s="40" t="s">
        <v>5</v>
      </c>
      <c r="P2" s="40" t="s">
        <v>6</v>
      </c>
      <c r="Q2" s="40" t="s">
        <v>7</v>
      </c>
      <c r="R2" s="40" t="s">
        <v>8</v>
      </c>
      <c r="S2" s="40" t="s">
        <v>9</v>
      </c>
      <c r="T2" s="40" t="s">
        <v>15</v>
      </c>
      <c r="U2" s="40" t="s">
        <v>16</v>
      </c>
      <c r="V2" s="40" t="s">
        <v>17</v>
      </c>
      <c r="W2" s="28" t="s">
        <v>1899</v>
      </c>
      <c r="X2" s="28" t="s">
        <v>1900</v>
      </c>
      <c r="Y2" s="28" t="s">
        <v>1901</v>
      </c>
    </row>
    <row r="3" ht="53" customHeight="1" spans="1:25">
      <c r="A3" s="16" t="s">
        <v>1902</v>
      </c>
      <c r="B3" s="16">
        <v>310300045</v>
      </c>
      <c r="C3" s="16" t="s">
        <v>1903</v>
      </c>
      <c r="D3" s="16"/>
      <c r="E3" s="16"/>
      <c r="F3" s="16" t="s">
        <v>36</v>
      </c>
      <c r="G3" s="16" t="s">
        <v>35</v>
      </c>
      <c r="H3" s="16">
        <v>22</v>
      </c>
      <c r="I3" s="16">
        <v>20</v>
      </c>
      <c r="J3" s="29">
        <v>21</v>
      </c>
      <c r="K3" s="29">
        <v>20</v>
      </c>
      <c r="L3" s="29">
        <v>17</v>
      </c>
      <c r="M3" s="16" t="s">
        <v>37</v>
      </c>
      <c r="N3" s="41" t="s">
        <v>216</v>
      </c>
      <c r="O3" s="41" t="s">
        <v>217</v>
      </c>
      <c r="P3" s="41" t="s">
        <v>218</v>
      </c>
      <c r="Q3" s="41" t="s">
        <v>219</v>
      </c>
      <c r="R3" s="41" t="s">
        <v>35</v>
      </c>
      <c r="S3" s="41" t="s">
        <v>110</v>
      </c>
      <c r="T3" s="41">
        <f>VLOOKUP(O3,眼科项目!$C$3:$O$485,11,FALSE)</f>
        <v>3</v>
      </c>
      <c r="U3" s="41">
        <f>VLOOKUP(O3,眼科项目!$C$3:$O$485,12,FALSE)</f>
        <v>2.5</v>
      </c>
      <c r="V3" s="41">
        <f>VLOOKUP(O3,眼科项目!$C$3:$O$485,13,FALSE)</f>
        <v>2</v>
      </c>
      <c r="W3" s="29">
        <f>SUM(T3:T5)</f>
        <v>16.9</v>
      </c>
      <c r="X3" s="29">
        <f>SUM(U3:U5)</f>
        <v>14.5</v>
      </c>
      <c r="Y3" s="29">
        <f>SUM(V3:V5)</f>
        <v>12.6</v>
      </c>
    </row>
    <row r="4" ht="53" customHeight="1" spans="1:25">
      <c r="A4" s="16"/>
      <c r="B4" s="16"/>
      <c r="C4" s="16"/>
      <c r="D4" s="16"/>
      <c r="E4" s="16"/>
      <c r="F4" s="16"/>
      <c r="G4" s="16"/>
      <c r="H4" s="16"/>
      <c r="I4" s="16"/>
      <c r="J4" s="29"/>
      <c r="K4" s="29"/>
      <c r="L4" s="29"/>
      <c r="M4" s="16"/>
      <c r="N4" s="41" t="s">
        <v>396</v>
      </c>
      <c r="O4" s="41" t="s">
        <v>397</v>
      </c>
      <c r="P4" s="41" t="s">
        <v>398</v>
      </c>
      <c r="Q4" s="41" t="s">
        <v>399</v>
      </c>
      <c r="R4" s="41" t="s">
        <v>35</v>
      </c>
      <c r="S4" s="41" t="s">
        <v>110</v>
      </c>
      <c r="T4" s="41">
        <f>VLOOKUP(O4,眼科项目!$C$3:$O$485,11,FALSE)</f>
        <v>8.5</v>
      </c>
      <c r="U4" s="41">
        <f>VLOOKUP(O4,眼科项目!$C$3:$O$485,12,FALSE)</f>
        <v>7</v>
      </c>
      <c r="V4" s="41">
        <f>VLOOKUP(O4,眼科项目!$C$3:$O$485,13,FALSE)</f>
        <v>6.3</v>
      </c>
      <c r="W4" s="29"/>
      <c r="X4" s="29"/>
      <c r="Y4" s="29"/>
    </row>
    <row r="5" ht="47" customHeight="1" spans="1:25">
      <c r="A5" s="16"/>
      <c r="B5" s="16"/>
      <c r="C5" s="16"/>
      <c r="D5" s="16"/>
      <c r="E5" s="16"/>
      <c r="F5" s="16"/>
      <c r="G5" s="16"/>
      <c r="H5" s="16"/>
      <c r="I5" s="16"/>
      <c r="J5" s="29"/>
      <c r="K5" s="29"/>
      <c r="L5" s="29"/>
      <c r="M5" s="16"/>
      <c r="N5" s="41" t="s">
        <v>424</v>
      </c>
      <c r="O5" s="41" t="s">
        <v>425</v>
      </c>
      <c r="P5" s="41" t="s">
        <v>426</v>
      </c>
      <c r="Q5" s="41" t="s">
        <v>427</v>
      </c>
      <c r="R5" s="41" t="s">
        <v>35</v>
      </c>
      <c r="S5" s="41" t="s">
        <v>36</v>
      </c>
      <c r="T5" s="41">
        <f>VLOOKUP(O5,眼科项目!$C$3:$O$485,11,FALSE)</f>
        <v>5.4</v>
      </c>
      <c r="U5" s="41">
        <f>VLOOKUP(O5,眼科项目!$C$3:$O$485,12,FALSE)</f>
        <v>5</v>
      </c>
      <c r="V5" s="41">
        <f>VLOOKUP(O5,眼科项目!$C$3:$O$485,13,FALSE)</f>
        <v>4.3</v>
      </c>
      <c r="W5" s="29"/>
      <c r="X5" s="29"/>
      <c r="Y5" s="29"/>
    </row>
    <row r="6" ht="47" customHeight="1" spans="1:25">
      <c r="A6" s="17" t="s">
        <v>1904</v>
      </c>
      <c r="B6" s="17">
        <v>310300009</v>
      </c>
      <c r="C6" s="17" t="s">
        <v>1905</v>
      </c>
      <c r="D6" s="17" t="s">
        <v>1906</v>
      </c>
      <c r="E6" s="17"/>
      <c r="F6" s="17" t="s">
        <v>36</v>
      </c>
      <c r="G6" s="17" t="s">
        <v>35</v>
      </c>
      <c r="H6" s="17">
        <v>15</v>
      </c>
      <c r="I6" s="17">
        <v>14</v>
      </c>
      <c r="J6" s="30">
        <v>15.8</v>
      </c>
      <c r="K6" s="30">
        <v>15</v>
      </c>
      <c r="L6" s="30">
        <v>12.8</v>
      </c>
      <c r="M6" s="17"/>
      <c r="N6" s="42" t="s">
        <v>98</v>
      </c>
      <c r="O6" s="42" t="s">
        <v>99</v>
      </c>
      <c r="P6" s="42" t="s">
        <v>100</v>
      </c>
      <c r="Q6" s="42" t="s">
        <v>101</v>
      </c>
      <c r="R6" s="42" t="s">
        <v>35</v>
      </c>
      <c r="S6" s="42" t="s">
        <v>36</v>
      </c>
      <c r="T6" s="42">
        <f>VLOOKUP(O6,眼科项目!$C$3:$O$485,11,FALSE)</f>
        <v>3.8</v>
      </c>
      <c r="U6" s="42">
        <f>VLOOKUP(O6,眼科项目!$C$3:$O$485,12,FALSE)</f>
        <v>3.5</v>
      </c>
      <c r="V6" s="42">
        <f>VLOOKUP(O6,眼科项目!$C$3:$O$485,13,FALSE)</f>
        <v>3.3</v>
      </c>
      <c r="W6" s="30">
        <f>SUM(T6:T8)</f>
        <v>14.8</v>
      </c>
      <c r="X6" s="30">
        <f>SUM(U6:U8)</f>
        <v>13</v>
      </c>
      <c r="Y6" s="30">
        <f>SUM(V6:V8)</f>
        <v>11.3</v>
      </c>
    </row>
    <row r="7" ht="47" customHeight="1" spans="1:25">
      <c r="A7" s="17"/>
      <c r="B7" s="17"/>
      <c r="C7" s="17"/>
      <c r="D7" s="17"/>
      <c r="E7" s="17"/>
      <c r="F7" s="17"/>
      <c r="G7" s="17"/>
      <c r="H7" s="17"/>
      <c r="I7" s="17"/>
      <c r="J7" s="30"/>
      <c r="K7" s="30"/>
      <c r="L7" s="30"/>
      <c r="M7" s="17"/>
      <c r="N7" s="42" t="s">
        <v>216</v>
      </c>
      <c r="O7" s="42" t="s">
        <v>217</v>
      </c>
      <c r="P7" s="42" t="s">
        <v>218</v>
      </c>
      <c r="Q7" s="42" t="s">
        <v>219</v>
      </c>
      <c r="R7" s="42" t="s">
        <v>35</v>
      </c>
      <c r="S7" s="42" t="s">
        <v>110</v>
      </c>
      <c r="T7" s="42">
        <f>VLOOKUP(O7,眼科项目!$C$3:$O$485,11,FALSE)</f>
        <v>3</v>
      </c>
      <c r="U7" s="42">
        <f>VLOOKUP(O7,眼科项目!$C$3:$O$485,12,FALSE)</f>
        <v>2.5</v>
      </c>
      <c r="V7" s="42">
        <f>VLOOKUP(O7,眼科项目!$C$3:$O$485,13,FALSE)</f>
        <v>2</v>
      </c>
      <c r="W7" s="30"/>
      <c r="X7" s="30"/>
      <c r="Y7" s="30"/>
    </row>
    <row r="8" ht="47" customHeight="1" spans="1:25">
      <c r="A8" s="17"/>
      <c r="B8" s="17"/>
      <c r="C8" s="17"/>
      <c r="D8" s="17"/>
      <c r="E8" s="17"/>
      <c r="F8" s="17"/>
      <c r="G8" s="17"/>
      <c r="H8" s="17"/>
      <c r="I8" s="17"/>
      <c r="J8" s="30"/>
      <c r="K8" s="30"/>
      <c r="L8" s="30"/>
      <c r="M8" s="17"/>
      <c r="N8" s="42" t="s">
        <v>162</v>
      </c>
      <c r="O8" s="42" t="s">
        <v>163</v>
      </c>
      <c r="P8" s="42" t="s">
        <v>164</v>
      </c>
      <c r="Q8" s="42" t="s">
        <v>165</v>
      </c>
      <c r="R8" s="42" t="s">
        <v>35</v>
      </c>
      <c r="S8" s="42" t="s">
        <v>110</v>
      </c>
      <c r="T8" s="42">
        <f>VLOOKUP(O8,眼科项目!$C$3:$O$485,11,FALSE)</f>
        <v>8</v>
      </c>
      <c r="U8" s="42">
        <f>VLOOKUP(O8,眼科项目!$C$3:$O$485,12,FALSE)</f>
        <v>7</v>
      </c>
      <c r="V8" s="42">
        <f>VLOOKUP(O8,眼科项目!$C$3:$O$485,13,FALSE)</f>
        <v>6</v>
      </c>
      <c r="W8" s="30"/>
      <c r="X8" s="30"/>
      <c r="Y8" s="30"/>
    </row>
    <row r="9" ht="38.25" spans="1:25">
      <c r="A9" s="18" t="s">
        <v>1907</v>
      </c>
      <c r="B9" s="18">
        <v>330406015</v>
      </c>
      <c r="C9" s="18" t="s">
        <v>1908</v>
      </c>
      <c r="D9" s="18"/>
      <c r="E9" s="18" t="s">
        <v>857</v>
      </c>
      <c r="F9" s="18" t="s">
        <v>36</v>
      </c>
      <c r="G9" s="18" t="s">
        <v>35</v>
      </c>
      <c r="H9" s="18">
        <v>2880</v>
      </c>
      <c r="I9" s="18">
        <v>2590</v>
      </c>
      <c r="J9" s="31">
        <v>2480</v>
      </c>
      <c r="K9" s="31">
        <v>2230</v>
      </c>
      <c r="L9" s="31">
        <v>1900</v>
      </c>
      <c r="M9" s="18" t="s">
        <v>37</v>
      </c>
      <c r="N9" s="41" t="s">
        <v>684</v>
      </c>
      <c r="O9" s="41" t="s">
        <v>685</v>
      </c>
      <c r="P9" s="41" t="s">
        <v>686</v>
      </c>
      <c r="Q9" s="41" t="s">
        <v>687</v>
      </c>
      <c r="R9" s="41" t="s">
        <v>688</v>
      </c>
      <c r="S9" s="41" t="s">
        <v>110</v>
      </c>
      <c r="T9" s="41">
        <f>VLOOKUP(O9,眼科项目!$C$3:$O$485,11,FALSE)</f>
        <v>1800</v>
      </c>
      <c r="U9" s="41">
        <f>VLOOKUP(O9,眼科项目!$C$3:$O$485,12,FALSE)</f>
        <v>1650</v>
      </c>
      <c r="V9" s="41">
        <f>VLOOKUP(O9,眼科项目!$C$3:$O$485,13,FALSE)</f>
        <v>1400</v>
      </c>
      <c r="W9" s="31">
        <f>T9+T10*0.5</f>
        <v>2510</v>
      </c>
      <c r="X9" s="31">
        <f>U9+U10*0.5</f>
        <v>2290</v>
      </c>
      <c r="Y9" s="31">
        <f>V9+V10*0.5</f>
        <v>1945</v>
      </c>
    </row>
    <row r="10" ht="25.5" spans="1:25">
      <c r="A10" s="19"/>
      <c r="B10" s="19"/>
      <c r="C10" s="19"/>
      <c r="D10" s="19"/>
      <c r="E10" s="19"/>
      <c r="F10" s="19"/>
      <c r="G10" s="19"/>
      <c r="H10" s="19"/>
      <c r="I10" s="19"/>
      <c r="J10" s="32"/>
      <c r="K10" s="32"/>
      <c r="L10" s="32"/>
      <c r="M10" s="19"/>
      <c r="N10" s="41" t="s">
        <v>733</v>
      </c>
      <c r="O10" s="41" t="s">
        <v>734</v>
      </c>
      <c r="P10" s="41"/>
      <c r="Q10" s="41"/>
      <c r="R10" s="41"/>
      <c r="S10" s="41" t="s">
        <v>110</v>
      </c>
      <c r="T10" s="41">
        <f>VLOOKUP(O10,眼科项目!$C$3:$O$485,11,FALSE)</f>
        <v>1420</v>
      </c>
      <c r="U10" s="41">
        <f>VLOOKUP(O10,眼科项目!$C$3:$O$485,12,FALSE)</f>
        <v>1280</v>
      </c>
      <c r="V10" s="41">
        <f>VLOOKUP(O10,眼科项目!$C$3:$O$485,13,FALSE)</f>
        <v>1090</v>
      </c>
      <c r="W10" s="32"/>
      <c r="X10" s="32"/>
      <c r="Y10" s="32"/>
    </row>
    <row r="11" ht="38.25" spans="1:25">
      <c r="A11" s="20" t="s">
        <v>1909</v>
      </c>
      <c r="B11" s="20">
        <v>33040601501</v>
      </c>
      <c r="C11" s="20" t="s">
        <v>1910</v>
      </c>
      <c r="D11" s="20"/>
      <c r="E11" s="20"/>
      <c r="F11" s="20" t="s">
        <v>36</v>
      </c>
      <c r="G11" s="20" t="s">
        <v>35</v>
      </c>
      <c r="H11" s="20">
        <v>3745</v>
      </c>
      <c r="I11" s="20">
        <v>3365</v>
      </c>
      <c r="J11" s="33">
        <v>3225</v>
      </c>
      <c r="K11" s="33">
        <v>2900</v>
      </c>
      <c r="L11" s="33">
        <v>2465</v>
      </c>
      <c r="M11" s="20" t="s">
        <v>37</v>
      </c>
      <c r="N11" s="42" t="s">
        <v>684</v>
      </c>
      <c r="O11" s="42" t="s">
        <v>685</v>
      </c>
      <c r="P11" s="42" t="s">
        <v>686</v>
      </c>
      <c r="Q11" s="42" t="s">
        <v>687</v>
      </c>
      <c r="R11" s="42" t="s">
        <v>688</v>
      </c>
      <c r="S11" s="42" t="s">
        <v>110</v>
      </c>
      <c r="T11" s="42">
        <f>VLOOKUP(O11,眼科项目!$C$3:$O$485,11,FALSE)</f>
        <v>1800</v>
      </c>
      <c r="U11" s="42">
        <f>VLOOKUP(O11,眼科项目!$C$3:$O$485,12,FALSE)</f>
        <v>1650</v>
      </c>
      <c r="V11" s="42">
        <f>VLOOKUP(O11,眼科项目!$C$3:$O$485,13,FALSE)</f>
        <v>1400</v>
      </c>
      <c r="W11" s="33">
        <f>T11+T12+(T13+T14)*0.5</f>
        <v>3262.5</v>
      </c>
      <c r="X11" s="33">
        <f>U11+U12+(U13+U14)*0.5</f>
        <v>2977.5</v>
      </c>
      <c r="Y11" s="33">
        <f>V11+V12+(V13+V14)*0.5</f>
        <v>2527.5</v>
      </c>
    </row>
    <row r="12" ht="25.5" spans="1:25">
      <c r="A12" s="21"/>
      <c r="B12" s="21"/>
      <c r="C12" s="21"/>
      <c r="D12" s="21"/>
      <c r="E12" s="21"/>
      <c r="F12" s="21"/>
      <c r="G12" s="21"/>
      <c r="H12" s="21"/>
      <c r="I12" s="21"/>
      <c r="J12" s="34"/>
      <c r="K12" s="34"/>
      <c r="L12" s="34"/>
      <c r="M12" s="21"/>
      <c r="N12" s="165" t="s">
        <v>707</v>
      </c>
      <c r="O12" s="42" t="s">
        <v>708</v>
      </c>
      <c r="P12" s="42"/>
      <c r="Q12" s="42"/>
      <c r="R12" s="42"/>
      <c r="S12" s="42" t="s">
        <v>110</v>
      </c>
      <c r="T12" s="42">
        <f>VLOOKUP(O12,眼科项目!$C$3:$O$485,11,FALSE)</f>
        <v>540</v>
      </c>
      <c r="U12" s="42">
        <f>VLOOKUP(O12,眼科项目!$C$3:$O$485,12,FALSE)</f>
        <v>495</v>
      </c>
      <c r="V12" s="42">
        <f>VLOOKUP(O12,眼科项目!$C$3:$O$485,13,FALSE)</f>
        <v>420</v>
      </c>
      <c r="W12" s="34"/>
      <c r="X12" s="34"/>
      <c r="Y12" s="34"/>
    </row>
    <row r="13" ht="25.5" spans="1:25">
      <c r="A13" s="21"/>
      <c r="B13" s="21"/>
      <c r="C13" s="21"/>
      <c r="D13" s="21"/>
      <c r="E13" s="21"/>
      <c r="F13" s="21"/>
      <c r="G13" s="21"/>
      <c r="H13" s="21"/>
      <c r="I13" s="21"/>
      <c r="J13" s="34"/>
      <c r="K13" s="34"/>
      <c r="L13" s="34"/>
      <c r="M13" s="21"/>
      <c r="N13" s="42" t="s">
        <v>733</v>
      </c>
      <c r="O13" s="42" t="s">
        <v>734</v>
      </c>
      <c r="P13" s="42"/>
      <c r="Q13" s="42"/>
      <c r="R13" s="42"/>
      <c r="S13" s="42" t="s">
        <v>110</v>
      </c>
      <c r="T13" s="42">
        <f>VLOOKUP(O13,眼科项目!$C$3:$O$485,11,FALSE)</f>
        <v>1420</v>
      </c>
      <c r="U13" s="42">
        <f>VLOOKUP(O13,眼科项目!$C$3:$O$485,12,FALSE)</f>
        <v>1280</v>
      </c>
      <c r="V13" s="42">
        <f>VLOOKUP(O13,眼科项目!$C$3:$O$485,13,FALSE)</f>
        <v>1090</v>
      </c>
      <c r="W13" s="34"/>
      <c r="X13" s="34"/>
      <c r="Y13" s="34"/>
    </row>
    <row r="14" ht="25.5" spans="1:25">
      <c r="A14" s="22"/>
      <c r="B14" s="22"/>
      <c r="C14" s="22"/>
      <c r="D14" s="22"/>
      <c r="E14" s="22"/>
      <c r="F14" s="22"/>
      <c r="G14" s="22"/>
      <c r="H14" s="22"/>
      <c r="I14" s="22"/>
      <c r="J14" s="35"/>
      <c r="K14" s="35"/>
      <c r="L14" s="35"/>
      <c r="M14" s="22"/>
      <c r="N14" s="42" t="s">
        <v>741</v>
      </c>
      <c r="O14" s="42" t="s">
        <v>742</v>
      </c>
      <c r="P14" s="42"/>
      <c r="Q14" s="42"/>
      <c r="R14" s="42"/>
      <c r="S14" s="42" t="s">
        <v>110</v>
      </c>
      <c r="T14" s="42">
        <f>VLOOKUP(O14,眼科项目!$C$3:$O$485,11,FALSE)</f>
        <v>425</v>
      </c>
      <c r="U14" s="42">
        <f>VLOOKUP(O14,眼科项目!$C$3:$O$485,12,FALSE)</f>
        <v>385</v>
      </c>
      <c r="V14" s="42">
        <f>VLOOKUP(O14,眼科项目!$C$3:$O$485,13,FALSE)</f>
        <v>325</v>
      </c>
      <c r="W14" s="35"/>
      <c r="X14" s="35"/>
      <c r="Y14" s="35"/>
    </row>
    <row r="15" ht="38.25" spans="1:25">
      <c r="A15" s="18" t="s">
        <v>1911</v>
      </c>
      <c r="B15" s="18">
        <v>330406017</v>
      </c>
      <c r="C15" s="18" t="s">
        <v>1912</v>
      </c>
      <c r="D15" s="18" t="s">
        <v>1913</v>
      </c>
      <c r="E15" s="18" t="s">
        <v>793</v>
      </c>
      <c r="F15" s="18" t="s">
        <v>36</v>
      </c>
      <c r="G15" s="18" t="s">
        <v>35</v>
      </c>
      <c r="H15" s="18">
        <v>2880</v>
      </c>
      <c r="I15" s="18">
        <v>2590</v>
      </c>
      <c r="J15" s="31">
        <v>2530</v>
      </c>
      <c r="K15" s="31">
        <v>2280</v>
      </c>
      <c r="L15" s="31">
        <v>1940</v>
      </c>
      <c r="M15" s="18" t="s">
        <v>37</v>
      </c>
      <c r="N15" s="41" t="s">
        <v>684</v>
      </c>
      <c r="O15" s="41" t="s">
        <v>685</v>
      </c>
      <c r="P15" s="41" t="s">
        <v>686</v>
      </c>
      <c r="Q15" s="41" t="s">
        <v>687</v>
      </c>
      <c r="R15" s="41" t="s">
        <v>688</v>
      </c>
      <c r="S15" s="41" t="s">
        <v>110</v>
      </c>
      <c r="T15" s="41">
        <f>VLOOKUP(O15,眼科项目!$C$3:$O$485,11,FALSE)</f>
        <v>1800</v>
      </c>
      <c r="U15" s="41">
        <f>VLOOKUP(O15,眼科项目!$C$3:$O$485,12,FALSE)</f>
        <v>1650</v>
      </c>
      <c r="V15" s="41">
        <f>VLOOKUP(O15,眼科项目!$C$3:$O$485,13,FALSE)</f>
        <v>1400</v>
      </c>
      <c r="W15" s="31">
        <f>T16+T15*0.5</f>
        <v>3430</v>
      </c>
      <c r="X15" s="31">
        <f>U16+U15*0.5</f>
        <v>3105</v>
      </c>
      <c r="Y15" s="31">
        <f>V16+V15*0.5</f>
        <v>2640</v>
      </c>
    </row>
    <row r="16" ht="38.25" spans="1:25">
      <c r="A16" s="19"/>
      <c r="B16" s="19"/>
      <c r="C16" s="19"/>
      <c r="D16" s="19"/>
      <c r="E16" s="19"/>
      <c r="F16" s="19"/>
      <c r="G16" s="19"/>
      <c r="H16" s="19"/>
      <c r="I16" s="19"/>
      <c r="J16" s="32"/>
      <c r="K16" s="32"/>
      <c r="L16" s="32"/>
      <c r="M16" s="19"/>
      <c r="N16" s="41" t="s">
        <v>787</v>
      </c>
      <c r="O16" s="41" t="s">
        <v>788</v>
      </c>
      <c r="P16" s="41" t="s">
        <v>789</v>
      </c>
      <c r="Q16" s="41" t="s">
        <v>790</v>
      </c>
      <c r="R16" s="41"/>
      <c r="S16" s="41" t="s">
        <v>110</v>
      </c>
      <c r="T16" s="41">
        <f>VLOOKUP(O16,眼科项目!$C$3:$O$485,11,FALSE)</f>
        <v>2530</v>
      </c>
      <c r="U16" s="41">
        <f>VLOOKUP(O16,眼科项目!$C$3:$O$485,12,FALSE)</f>
        <v>2280</v>
      </c>
      <c r="V16" s="41">
        <f>VLOOKUP(O16,眼科项目!$C$3:$O$485,13,FALSE)</f>
        <v>1940</v>
      </c>
      <c r="W16" s="32"/>
      <c r="X16" s="32"/>
      <c r="Y16" s="32"/>
    </row>
    <row r="17" ht="38.25" spans="1:25">
      <c r="A17" s="20" t="s">
        <v>1914</v>
      </c>
      <c r="B17" s="20">
        <v>33040601701</v>
      </c>
      <c r="C17" s="20" t="s">
        <v>1915</v>
      </c>
      <c r="D17" s="20"/>
      <c r="E17" s="20"/>
      <c r="F17" s="20" t="s">
        <v>36</v>
      </c>
      <c r="G17" s="20" t="s">
        <v>35</v>
      </c>
      <c r="H17" s="20">
        <v>3745</v>
      </c>
      <c r="I17" s="20">
        <v>3365</v>
      </c>
      <c r="J17" s="33">
        <v>3290</v>
      </c>
      <c r="K17" s="33">
        <v>2965</v>
      </c>
      <c r="L17" s="33">
        <v>2520</v>
      </c>
      <c r="M17" s="20" t="s">
        <v>37</v>
      </c>
      <c r="N17" s="42" t="s">
        <v>684</v>
      </c>
      <c r="O17" s="42" t="s">
        <v>685</v>
      </c>
      <c r="P17" s="42" t="s">
        <v>686</v>
      </c>
      <c r="Q17" s="42" t="s">
        <v>687</v>
      </c>
      <c r="R17" s="42" t="s">
        <v>688</v>
      </c>
      <c r="S17" s="42" t="s">
        <v>110</v>
      </c>
      <c r="T17" s="42">
        <f>VLOOKUP(O17,眼科项目!$C$3:$O$485,11,FALSE)</f>
        <v>1800</v>
      </c>
      <c r="U17" s="42">
        <f>VLOOKUP(O17,眼科项目!$C$3:$O$485,12,FALSE)</f>
        <v>1650</v>
      </c>
      <c r="V17" s="42">
        <f>VLOOKUP(O17,眼科项目!$C$3:$O$485,13,FALSE)</f>
        <v>1400</v>
      </c>
      <c r="W17" s="33">
        <f>T19+T20+(T17+T18)*0.5</f>
        <v>4460</v>
      </c>
      <c r="X17" s="33">
        <f>U19+U20+(U17+U18)*0.5</f>
        <v>4037.5</v>
      </c>
      <c r="Y17" s="33">
        <f>V19+V20+(V17+V18)*0.5</f>
        <v>3430</v>
      </c>
    </row>
    <row r="18" ht="25.5" spans="1:25">
      <c r="A18" s="21"/>
      <c r="B18" s="21"/>
      <c r="C18" s="21"/>
      <c r="D18" s="21"/>
      <c r="E18" s="21"/>
      <c r="F18" s="21"/>
      <c r="G18" s="21"/>
      <c r="H18" s="21"/>
      <c r="I18" s="21"/>
      <c r="J18" s="34"/>
      <c r="K18" s="34"/>
      <c r="L18" s="34"/>
      <c r="M18" s="21"/>
      <c r="N18" s="165" t="s">
        <v>707</v>
      </c>
      <c r="O18" s="42" t="s">
        <v>708</v>
      </c>
      <c r="P18" s="42"/>
      <c r="Q18" s="42"/>
      <c r="R18" s="42"/>
      <c r="S18" s="42" t="s">
        <v>110</v>
      </c>
      <c r="T18" s="42">
        <f>VLOOKUP(O18,眼科项目!$C$3:$O$485,11,FALSE)</f>
        <v>540</v>
      </c>
      <c r="U18" s="42">
        <f>VLOOKUP(O18,眼科项目!$C$3:$O$485,12,FALSE)</f>
        <v>495</v>
      </c>
      <c r="V18" s="42">
        <f>VLOOKUP(O18,眼科项目!$C$3:$O$485,13,FALSE)</f>
        <v>420</v>
      </c>
      <c r="W18" s="34"/>
      <c r="X18" s="34"/>
      <c r="Y18" s="34"/>
    </row>
    <row r="19" ht="38.25" spans="1:25">
      <c r="A19" s="21"/>
      <c r="B19" s="21"/>
      <c r="C19" s="21"/>
      <c r="D19" s="21"/>
      <c r="E19" s="21"/>
      <c r="F19" s="21"/>
      <c r="G19" s="21"/>
      <c r="H19" s="21"/>
      <c r="I19" s="21"/>
      <c r="J19" s="34"/>
      <c r="K19" s="34"/>
      <c r="L19" s="34"/>
      <c r="M19" s="21"/>
      <c r="N19" s="42" t="s">
        <v>787</v>
      </c>
      <c r="O19" s="42" t="s">
        <v>788</v>
      </c>
      <c r="P19" s="42" t="s">
        <v>789</v>
      </c>
      <c r="Q19" s="42" t="s">
        <v>790</v>
      </c>
      <c r="R19" s="42"/>
      <c r="S19" s="42" t="s">
        <v>110</v>
      </c>
      <c r="T19" s="42">
        <f>VLOOKUP(O19,眼科项目!$C$3:$O$485,11,FALSE)</f>
        <v>2530</v>
      </c>
      <c r="U19" s="42">
        <f>VLOOKUP(O19,眼科项目!$C$3:$O$485,12,FALSE)</f>
        <v>2280</v>
      </c>
      <c r="V19" s="42">
        <f>VLOOKUP(O19,眼科项目!$C$3:$O$485,13,FALSE)</f>
        <v>1940</v>
      </c>
      <c r="W19" s="34"/>
      <c r="X19" s="34"/>
      <c r="Y19" s="34"/>
    </row>
    <row r="20" ht="25.5" spans="1:25">
      <c r="A20" s="22"/>
      <c r="B20" s="22"/>
      <c r="C20" s="22"/>
      <c r="D20" s="22"/>
      <c r="E20" s="22"/>
      <c r="F20" s="22"/>
      <c r="G20" s="22"/>
      <c r="H20" s="22"/>
      <c r="I20" s="22"/>
      <c r="J20" s="35"/>
      <c r="K20" s="35"/>
      <c r="L20" s="35"/>
      <c r="M20" s="22"/>
      <c r="N20" s="42" t="s">
        <v>794</v>
      </c>
      <c r="O20" s="42" t="s">
        <v>795</v>
      </c>
      <c r="P20" s="42"/>
      <c r="Q20" s="42"/>
      <c r="R20" s="42"/>
      <c r="S20" s="42" t="s">
        <v>110</v>
      </c>
      <c r="T20" s="42">
        <f>VLOOKUP(O20,眼科项目!$C$3:$O$485,11,FALSE)</f>
        <v>760</v>
      </c>
      <c r="U20" s="42">
        <f>VLOOKUP(O20,眼科项目!$C$3:$O$485,12,FALSE)</f>
        <v>685</v>
      </c>
      <c r="V20" s="42">
        <f>VLOOKUP(O20,眼科项目!$C$3:$O$485,13,FALSE)</f>
        <v>580</v>
      </c>
      <c r="W20" s="35"/>
      <c r="X20" s="35"/>
      <c r="Y20" s="35"/>
    </row>
    <row r="21" ht="44" customHeight="1" spans="1:25">
      <c r="A21" s="18" t="s">
        <v>1916</v>
      </c>
      <c r="B21" s="18">
        <v>330406006</v>
      </c>
      <c r="C21" s="18" t="s">
        <v>1917</v>
      </c>
      <c r="D21" s="18"/>
      <c r="E21" s="18"/>
      <c r="F21" s="18" t="s">
        <v>36</v>
      </c>
      <c r="G21" s="18" t="s">
        <v>35</v>
      </c>
      <c r="H21" s="18">
        <v>1920</v>
      </c>
      <c r="I21" s="18">
        <v>1730</v>
      </c>
      <c r="J21" s="31">
        <v>1690</v>
      </c>
      <c r="K21" s="31">
        <v>1520</v>
      </c>
      <c r="L21" s="31">
        <v>1290</v>
      </c>
      <c r="M21" s="18" t="s">
        <v>37</v>
      </c>
      <c r="N21" s="41" t="s">
        <v>684</v>
      </c>
      <c r="O21" s="41" t="s">
        <v>685</v>
      </c>
      <c r="P21" s="41" t="s">
        <v>686</v>
      </c>
      <c r="Q21" s="41" t="s">
        <v>687</v>
      </c>
      <c r="R21" s="41" t="s">
        <v>688</v>
      </c>
      <c r="S21" s="41" t="s">
        <v>110</v>
      </c>
      <c r="T21" s="41">
        <f>VLOOKUP(O21,眼科项目!$C$3:$O$485,11,FALSE)</f>
        <v>1800</v>
      </c>
      <c r="U21" s="41">
        <f>VLOOKUP(O21,眼科项目!$C$3:$O$485,12,FALSE)</f>
        <v>1650</v>
      </c>
      <c r="V21" s="41">
        <f>VLOOKUP(O21,眼科项目!$C$3:$O$485,13,FALSE)</f>
        <v>1400</v>
      </c>
      <c r="W21" s="31">
        <f>T21+T22*0.5</f>
        <v>2510</v>
      </c>
      <c r="X21" s="31">
        <f>U21+U22*0.5</f>
        <v>2290</v>
      </c>
      <c r="Y21" s="31">
        <f>V21+V22*0.5</f>
        <v>1945</v>
      </c>
    </row>
    <row r="22" ht="44" customHeight="1" spans="1:25">
      <c r="A22" s="19" t="s">
        <v>1916</v>
      </c>
      <c r="B22" s="19">
        <v>330406006</v>
      </c>
      <c r="C22" s="19" t="s">
        <v>1917</v>
      </c>
      <c r="D22" s="19"/>
      <c r="E22" s="19"/>
      <c r="F22" s="19" t="s">
        <v>36</v>
      </c>
      <c r="G22" s="19" t="s">
        <v>35</v>
      </c>
      <c r="H22" s="19">
        <v>1920</v>
      </c>
      <c r="I22" s="19">
        <v>1730</v>
      </c>
      <c r="J22" s="32">
        <v>1690</v>
      </c>
      <c r="K22" s="32">
        <v>1520</v>
      </c>
      <c r="L22" s="32">
        <v>1290</v>
      </c>
      <c r="M22" s="19" t="s">
        <v>37</v>
      </c>
      <c r="N22" s="41" t="s">
        <v>733</v>
      </c>
      <c r="O22" s="41" t="s">
        <v>734</v>
      </c>
      <c r="P22" s="41"/>
      <c r="Q22" s="41"/>
      <c r="R22" s="41"/>
      <c r="S22" s="41" t="s">
        <v>110</v>
      </c>
      <c r="T22" s="41">
        <f>VLOOKUP(O22,眼科项目!$C$3:$O$485,11,FALSE)</f>
        <v>1420</v>
      </c>
      <c r="U22" s="41">
        <f>VLOOKUP(O22,眼科项目!$C$3:$O$485,12,FALSE)</f>
        <v>1280</v>
      </c>
      <c r="V22" s="41">
        <f>VLOOKUP(O22,眼科项目!$C$3:$O$485,13,FALSE)</f>
        <v>1090</v>
      </c>
      <c r="W22" s="32"/>
      <c r="X22" s="32"/>
      <c r="Y22" s="32"/>
    </row>
    <row r="23" ht="38.25" spans="1:25">
      <c r="A23" s="20" t="s">
        <v>1918</v>
      </c>
      <c r="B23" s="20">
        <v>33040600601</v>
      </c>
      <c r="C23" s="20" t="s">
        <v>1919</v>
      </c>
      <c r="D23" s="20"/>
      <c r="E23" s="20"/>
      <c r="F23" s="20" t="s">
        <v>36</v>
      </c>
      <c r="G23" s="20" t="s">
        <v>35</v>
      </c>
      <c r="H23" s="20">
        <v>2495</v>
      </c>
      <c r="I23" s="20">
        <v>2250</v>
      </c>
      <c r="J23" s="33">
        <v>2195</v>
      </c>
      <c r="K23" s="33">
        <v>1975</v>
      </c>
      <c r="L23" s="33">
        <v>1680</v>
      </c>
      <c r="M23" s="20" t="s">
        <v>37</v>
      </c>
      <c r="N23" s="42" t="s">
        <v>684</v>
      </c>
      <c r="O23" s="42" t="s">
        <v>685</v>
      </c>
      <c r="P23" s="42" t="s">
        <v>686</v>
      </c>
      <c r="Q23" s="42" t="s">
        <v>687</v>
      </c>
      <c r="R23" s="42" t="s">
        <v>688</v>
      </c>
      <c r="S23" s="42" t="s">
        <v>110</v>
      </c>
      <c r="T23" s="42">
        <f>VLOOKUP(O23,眼科项目!$C$3:$O$485,11,FALSE)</f>
        <v>1800</v>
      </c>
      <c r="U23" s="42">
        <f>VLOOKUP(O23,眼科项目!$C$3:$O$485,12,FALSE)</f>
        <v>1650</v>
      </c>
      <c r="V23" s="42">
        <f>VLOOKUP(O23,眼科项目!$C$3:$O$485,13,FALSE)</f>
        <v>1400</v>
      </c>
      <c r="W23" s="33">
        <f>T23+T24+(T25+T26)*0.5</f>
        <v>3262.5</v>
      </c>
      <c r="X23" s="33">
        <f>U23+U24+(U25+U26)*0.5</f>
        <v>2977.5</v>
      </c>
      <c r="Y23" s="33">
        <f>V23+V24+(V25+V26)*0.5</f>
        <v>2527.5</v>
      </c>
    </row>
    <row r="24" ht="25.5" spans="1:25">
      <c r="A24" s="21" t="s">
        <v>1918</v>
      </c>
      <c r="B24" s="21">
        <v>33040600601</v>
      </c>
      <c r="C24" s="21" t="s">
        <v>1919</v>
      </c>
      <c r="D24" s="21"/>
      <c r="E24" s="21"/>
      <c r="F24" s="21" t="s">
        <v>36</v>
      </c>
      <c r="G24" s="21" t="s">
        <v>35</v>
      </c>
      <c r="H24" s="21">
        <v>2495</v>
      </c>
      <c r="I24" s="21">
        <v>2250</v>
      </c>
      <c r="J24" s="34">
        <v>2195</v>
      </c>
      <c r="K24" s="34">
        <v>1975</v>
      </c>
      <c r="L24" s="34">
        <v>1680</v>
      </c>
      <c r="M24" s="21" t="s">
        <v>37</v>
      </c>
      <c r="N24" s="165" t="s">
        <v>707</v>
      </c>
      <c r="O24" s="42" t="s">
        <v>708</v>
      </c>
      <c r="P24" s="42"/>
      <c r="Q24" s="42"/>
      <c r="R24" s="42"/>
      <c r="S24" s="42" t="s">
        <v>110</v>
      </c>
      <c r="T24" s="42">
        <f>VLOOKUP(O24,眼科项目!$C$3:$O$485,11,FALSE)</f>
        <v>540</v>
      </c>
      <c r="U24" s="42">
        <f>VLOOKUP(O24,眼科项目!$C$3:$O$485,12,FALSE)</f>
        <v>495</v>
      </c>
      <c r="V24" s="42">
        <f>VLOOKUP(O24,眼科项目!$C$3:$O$485,13,FALSE)</f>
        <v>420</v>
      </c>
      <c r="W24" s="34"/>
      <c r="X24" s="34"/>
      <c r="Y24" s="34"/>
    </row>
    <row r="25" ht="25.5" spans="1:25">
      <c r="A25" s="21" t="s">
        <v>1918</v>
      </c>
      <c r="B25" s="21">
        <v>33040600601</v>
      </c>
      <c r="C25" s="21" t="s">
        <v>1919</v>
      </c>
      <c r="D25" s="21"/>
      <c r="E25" s="21"/>
      <c r="F25" s="21" t="s">
        <v>36</v>
      </c>
      <c r="G25" s="21" t="s">
        <v>35</v>
      </c>
      <c r="H25" s="21">
        <v>2495</v>
      </c>
      <c r="I25" s="21">
        <v>2250</v>
      </c>
      <c r="J25" s="34">
        <v>2195</v>
      </c>
      <c r="K25" s="34">
        <v>1975</v>
      </c>
      <c r="L25" s="34">
        <v>1680</v>
      </c>
      <c r="M25" s="21" t="s">
        <v>37</v>
      </c>
      <c r="N25" s="42" t="s">
        <v>733</v>
      </c>
      <c r="O25" s="42" t="s">
        <v>734</v>
      </c>
      <c r="P25" s="42"/>
      <c r="Q25" s="42"/>
      <c r="R25" s="42"/>
      <c r="S25" s="42" t="s">
        <v>110</v>
      </c>
      <c r="T25" s="42">
        <f>VLOOKUP(O25,眼科项目!$C$3:$O$485,11,FALSE)</f>
        <v>1420</v>
      </c>
      <c r="U25" s="42">
        <f>VLOOKUP(O25,眼科项目!$C$3:$O$485,12,FALSE)</f>
        <v>1280</v>
      </c>
      <c r="V25" s="42">
        <f>VLOOKUP(O25,眼科项目!$C$3:$O$485,13,FALSE)</f>
        <v>1090</v>
      </c>
      <c r="W25" s="34"/>
      <c r="X25" s="34"/>
      <c r="Y25" s="34"/>
    </row>
    <row r="26" ht="25.5" spans="1:25">
      <c r="A26" s="22" t="s">
        <v>1918</v>
      </c>
      <c r="B26" s="22">
        <v>33040600601</v>
      </c>
      <c r="C26" s="22" t="s">
        <v>1919</v>
      </c>
      <c r="D26" s="22"/>
      <c r="E26" s="22"/>
      <c r="F26" s="22" t="s">
        <v>36</v>
      </c>
      <c r="G26" s="22" t="s">
        <v>35</v>
      </c>
      <c r="H26" s="22">
        <v>2495</v>
      </c>
      <c r="I26" s="22">
        <v>2250</v>
      </c>
      <c r="J26" s="35">
        <v>2195</v>
      </c>
      <c r="K26" s="35">
        <v>1975</v>
      </c>
      <c r="L26" s="35">
        <v>1680</v>
      </c>
      <c r="M26" s="22" t="s">
        <v>37</v>
      </c>
      <c r="N26" s="42" t="s">
        <v>741</v>
      </c>
      <c r="O26" s="42" t="s">
        <v>742</v>
      </c>
      <c r="P26" s="42"/>
      <c r="Q26" s="42"/>
      <c r="R26" s="42"/>
      <c r="S26" s="42" t="s">
        <v>110</v>
      </c>
      <c r="T26" s="42">
        <f>VLOOKUP(O26,眼科项目!$C$3:$O$485,11,FALSE)</f>
        <v>425</v>
      </c>
      <c r="U26" s="42">
        <f>VLOOKUP(O26,眼科项目!$C$3:$O$485,12,FALSE)</f>
        <v>385</v>
      </c>
      <c r="V26" s="42">
        <f>VLOOKUP(O26,眼科项目!$C$3:$O$485,13,FALSE)</f>
        <v>325</v>
      </c>
      <c r="W26" s="35"/>
      <c r="X26" s="35"/>
      <c r="Y26" s="35"/>
    </row>
    <row r="27" ht="38.25" spans="1:25">
      <c r="A27" s="18" t="s">
        <v>1920</v>
      </c>
      <c r="B27" s="18">
        <v>330406010</v>
      </c>
      <c r="C27" s="18" t="s">
        <v>1921</v>
      </c>
      <c r="D27" s="18"/>
      <c r="E27" s="18" t="s">
        <v>701</v>
      </c>
      <c r="F27" s="18" t="s">
        <v>36</v>
      </c>
      <c r="G27" s="18" t="s">
        <v>35</v>
      </c>
      <c r="H27" s="18">
        <v>3600</v>
      </c>
      <c r="I27" s="18">
        <v>3240</v>
      </c>
      <c r="J27" s="31">
        <v>3090</v>
      </c>
      <c r="K27" s="31">
        <v>2780</v>
      </c>
      <c r="L27" s="31">
        <v>2360</v>
      </c>
      <c r="M27" s="18" t="s">
        <v>37</v>
      </c>
      <c r="N27" s="41" t="s">
        <v>684</v>
      </c>
      <c r="O27" s="41" t="s">
        <v>685</v>
      </c>
      <c r="P27" s="41" t="s">
        <v>686</v>
      </c>
      <c r="Q27" s="41" t="s">
        <v>687</v>
      </c>
      <c r="R27" s="41" t="s">
        <v>688</v>
      </c>
      <c r="S27" s="41" t="s">
        <v>110</v>
      </c>
      <c r="T27" s="41">
        <f>VLOOKUP(O27,眼科项目!$C$3:$O$485,11,FALSE)</f>
        <v>1800</v>
      </c>
      <c r="U27" s="41">
        <f>VLOOKUP(O27,眼科项目!$C$3:$O$485,12,FALSE)</f>
        <v>1650</v>
      </c>
      <c r="V27" s="41">
        <f>VLOOKUP(O27,眼科项目!$C$3:$O$485,13,FALSE)</f>
        <v>1400</v>
      </c>
      <c r="W27" s="31">
        <f t="shared" ref="W27:Y27" si="0">T27+T28*0.5</f>
        <v>2510</v>
      </c>
      <c r="X27" s="31">
        <f t="shared" si="0"/>
        <v>2290</v>
      </c>
      <c r="Y27" s="31">
        <f t="shared" si="0"/>
        <v>1945</v>
      </c>
    </row>
    <row r="28" ht="25.5" spans="1:25">
      <c r="A28" s="19"/>
      <c r="B28" s="19"/>
      <c r="C28" s="19"/>
      <c r="D28" s="19"/>
      <c r="E28" s="19"/>
      <c r="F28" s="19"/>
      <c r="G28" s="19"/>
      <c r="H28" s="19"/>
      <c r="I28" s="19"/>
      <c r="J28" s="32"/>
      <c r="K28" s="32"/>
      <c r="L28" s="32"/>
      <c r="M28" s="19"/>
      <c r="N28" s="41" t="s">
        <v>733</v>
      </c>
      <c r="O28" s="41" t="s">
        <v>734</v>
      </c>
      <c r="P28" s="41"/>
      <c r="Q28" s="41"/>
      <c r="R28" s="41"/>
      <c r="S28" s="41" t="s">
        <v>110</v>
      </c>
      <c r="T28" s="41">
        <f>VLOOKUP(O28,眼科项目!$C$3:$O$485,11,FALSE)</f>
        <v>1420</v>
      </c>
      <c r="U28" s="41">
        <f>VLOOKUP(O28,眼科项目!$C$3:$O$485,12,FALSE)</f>
        <v>1280</v>
      </c>
      <c r="V28" s="41">
        <f>VLOOKUP(O28,眼科项目!$C$3:$O$485,13,FALSE)</f>
        <v>1090</v>
      </c>
      <c r="W28" s="32"/>
      <c r="X28" s="32"/>
      <c r="Y28" s="32"/>
    </row>
    <row r="29" ht="38.25" spans="1:25">
      <c r="A29" s="17" t="s">
        <v>1922</v>
      </c>
      <c r="B29" s="17">
        <v>33040601001</v>
      </c>
      <c r="C29" s="17" t="s">
        <v>1923</v>
      </c>
      <c r="D29" s="17"/>
      <c r="E29" s="17"/>
      <c r="F29" s="17" t="s">
        <v>36</v>
      </c>
      <c r="G29" s="17" t="s">
        <v>35</v>
      </c>
      <c r="H29" s="17">
        <v>4680</v>
      </c>
      <c r="I29" s="17">
        <v>4210</v>
      </c>
      <c r="J29" s="30">
        <v>4015</v>
      </c>
      <c r="K29" s="30">
        <v>3615</v>
      </c>
      <c r="L29" s="30">
        <v>3075</v>
      </c>
      <c r="M29" s="17" t="s">
        <v>37</v>
      </c>
      <c r="N29" s="43" t="s">
        <v>684</v>
      </c>
      <c r="O29" s="42" t="s">
        <v>685</v>
      </c>
      <c r="P29" s="42" t="s">
        <v>686</v>
      </c>
      <c r="Q29" s="42" t="s">
        <v>687</v>
      </c>
      <c r="R29" s="42" t="s">
        <v>688</v>
      </c>
      <c r="S29" s="42" t="s">
        <v>110</v>
      </c>
      <c r="T29" s="42">
        <f>VLOOKUP(O29,眼科项目!$C$3:$O$485,11,FALSE)</f>
        <v>1800</v>
      </c>
      <c r="U29" s="42">
        <f>VLOOKUP(O29,眼科项目!$C$3:$O$485,12,FALSE)</f>
        <v>1650</v>
      </c>
      <c r="V29" s="42">
        <f>VLOOKUP(O29,眼科项目!$C$3:$O$485,13,FALSE)</f>
        <v>1400</v>
      </c>
      <c r="W29" s="33">
        <f t="shared" ref="W29:Y29" si="1">T29+T30+(T31+T32)*0.5</f>
        <v>3262.5</v>
      </c>
      <c r="X29" s="33">
        <f t="shared" si="1"/>
        <v>2977.5</v>
      </c>
      <c r="Y29" s="33">
        <f t="shared" si="1"/>
        <v>2527.5</v>
      </c>
    </row>
    <row r="30" ht="25.5" spans="1:25">
      <c r="A30" s="17"/>
      <c r="B30" s="17"/>
      <c r="C30" s="17"/>
      <c r="D30" s="17"/>
      <c r="E30" s="17"/>
      <c r="F30" s="17"/>
      <c r="G30" s="17"/>
      <c r="H30" s="17"/>
      <c r="I30" s="17"/>
      <c r="J30" s="30"/>
      <c r="K30" s="30"/>
      <c r="L30" s="30"/>
      <c r="M30" s="17"/>
      <c r="N30" s="166" t="s">
        <v>707</v>
      </c>
      <c r="O30" s="42" t="s">
        <v>708</v>
      </c>
      <c r="P30" s="42"/>
      <c r="Q30" s="42"/>
      <c r="R30" s="42"/>
      <c r="S30" s="42" t="s">
        <v>110</v>
      </c>
      <c r="T30" s="42">
        <f>VLOOKUP(O30,眼科项目!$C$3:$O$485,11,FALSE)</f>
        <v>540</v>
      </c>
      <c r="U30" s="42">
        <f>VLOOKUP(O30,眼科项目!$C$3:$O$485,12,FALSE)</f>
        <v>495</v>
      </c>
      <c r="V30" s="42">
        <f>VLOOKUP(O30,眼科项目!$C$3:$O$485,13,FALSE)</f>
        <v>420</v>
      </c>
      <c r="W30" s="34"/>
      <c r="X30" s="34"/>
      <c r="Y30" s="34"/>
    </row>
    <row r="31" ht="25.5" spans="1:25">
      <c r="A31" s="17"/>
      <c r="B31" s="17"/>
      <c r="C31" s="17"/>
      <c r="D31" s="17"/>
      <c r="E31" s="17"/>
      <c r="F31" s="17"/>
      <c r="G31" s="17"/>
      <c r="H31" s="17"/>
      <c r="I31" s="17"/>
      <c r="J31" s="30"/>
      <c r="K31" s="30"/>
      <c r="L31" s="30"/>
      <c r="M31" s="17"/>
      <c r="N31" s="43" t="s">
        <v>733</v>
      </c>
      <c r="O31" s="42" t="s">
        <v>734</v>
      </c>
      <c r="P31" s="42"/>
      <c r="Q31" s="42"/>
      <c r="R31" s="42"/>
      <c r="S31" s="42" t="s">
        <v>110</v>
      </c>
      <c r="T31" s="42">
        <f>VLOOKUP(O31,眼科项目!$C$3:$O$485,11,FALSE)</f>
        <v>1420</v>
      </c>
      <c r="U31" s="42">
        <f>VLOOKUP(O31,眼科项目!$C$3:$O$485,12,FALSE)</f>
        <v>1280</v>
      </c>
      <c r="V31" s="42">
        <f>VLOOKUP(O31,眼科项目!$C$3:$O$485,13,FALSE)</f>
        <v>1090</v>
      </c>
      <c r="W31" s="34"/>
      <c r="X31" s="34"/>
      <c r="Y31" s="34"/>
    </row>
    <row r="32" ht="25.5" spans="1:25">
      <c r="A32" s="17"/>
      <c r="B32" s="17"/>
      <c r="C32" s="17"/>
      <c r="D32" s="17"/>
      <c r="E32" s="17"/>
      <c r="F32" s="17"/>
      <c r="G32" s="17"/>
      <c r="H32" s="17"/>
      <c r="I32" s="17"/>
      <c r="J32" s="30"/>
      <c r="K32" s="30"/>
      <c r="L32" s="30"/>
      <c r="M32" s="17"/>
      <c r="N32" s="43" t="s">
        <v>741</v>
      </c>
      <c r="O32" s="42" t="s">
        <v>742</v>
      </c>
      <c r="P32" s="42"/>
      <c r="Q32" s="42"/>
      <c r="R32" s="42"/>
      <c r="S32" s="42" t="s">
        <v>110</v>
      </c>
      <c r="T32" s="42">
        <f>VLOOKUP(O32,眼科项目!$C$3:$O$485,11,FALSE)</f>
        <v>425</v>
      </c>
      <c r="U32" s="42">
        <f>VLOOKUP(O32,眼科项目!$C$3:$O$485,12,FALSE)</f>
        <v>385</v>
      </c>
      <c r="V32" s="42">
        <f>VLOOKUP(O32,眼科项目!$C$3:$O$485,13,FALSE)</f>
        <v>325</v>
      </c>
      <c r="W32" s="35"/>
      <c r="X32" s="35"/>
      <c r="Y32" s="35"/>
    </row>
    <row r="33" ht="38" customHeight="1" spans="1:25">
      <c r="A33" s="23" t="s">
        <v>1924</v>
      </c>
      <c r="B33" s="23">
        <v>330406018</v>
      </c>
      <c r="C33" s="23" t="s">
        <v>1925</v>
      </c>
      <c r="D33" s="23"/>
      <c r="E33" s="23" t="s">
        <v>1926</v>
      </c>
      <c r="F33" s="23" t="s">
        <v>36</v>
      </c>
      <c r="G33" s="23" t="s">
        <v>35</v>
      </c>
      <c r="H33" s="23">
        <v>6900</v>
      </c>
      <c r="I33" s="23">
        <v>5800</v>
      </c>
      <c r="J33" s="36">
        <v>5320</v>
      </c>
      <c r="K33" s="36">
        <v>4790</v>
      </c>
      <c r="L33" s="36">
        <v>4070</v>
      </c>
      <c r="M33" s="23" t="s">
        <v>37</v>
      </c>
      <c r="N33" s="44" t="s">
        <v>1616</v>
      </c>
      <c r="O33" s="45" t="s">
        <v>1617</v>
      </c>
      <c r="P33" s="45" t="s">
        <v>1618</v>
      </c>
      <c r="Q33" s="45" t="s">
        <v>1619</v>
      </c>
      <c r="R33" s="45" t="s">
        <v>35</v>
      </c>
      <c r="S33" s="45" t="s">
        <v>110</v>
      </c>
      <c r="T33" s="45">
        <f>VLOOKUP(O33,眼科项目!$C$3:$O$485,11,FALSE)</f>
        <v>1150</v>
      </c>
      <c r="U33" s="45">
        <f>VLOOKUP(O33,眼科项目!$C$3:$O$485,12,FALSE)</f>
        <v>1010</v>
      </c>
      <c r="V33" s="45">
        <f>VLOOKUP(O33,眼科项目!$C$3:$O$485,13,FALSE)</f>
        <v>860</v>
      </c>
      <c r="W33" s="36">
        <f>T35+(T33+T34+T36)*0.5</f>
        <v>4715</v>
      </c>
      <c r="X33" s="36">
        <f>U35+(U33+U34+U36)*0.5</f>
        <v>4250</v>
      </c>
      <c r="Y33" s="36">
        <f>V35+(V33+V34+V36)*0.5</f>
        <v>3615</v>
      </c>
    </row>
    <row r="34" ht="38" customHeight="1" spans="1:25">
      <c r="A34" s="24"/>
      <c r="B34" s="24"/>
      <c r="C34" s="24"/>
      <c r="D34" s="24"/>
      <c r="E34" s="24"/>
      <c r="F34" s="24"/>
      <c r="G34" s="24"/>
      <c r="H34" s="24"/>
      <c r="I34" s="24"/>
      <c r="J34" s="37"/>
      <c r="K34" s="37"/>
      <c r="L34" s="37"/>
      <c r="M34" s="24"/>
      <c r="N34" s="46" t="s">
        <v>684</v>
      </c>
      <c r="O34" s="41" t="s">
        <v>685</v>
      </c>
      <c r="P34" s="41" t="s">
        <v>686</v>
      </c>
      <c r="Q34" s="41" t="s">
        <v>687</v>
      </c>
      <c r="R34" s="41" t="s">
        <v>688</v>
      </c>
      <c r="S34" s="41" t="s">
        <v>110</v>
      </c>
      <c r="T34" s="41">
        <f>VLOOKUP(O34,眼科项目!$C$3:$O$485,11,FALSE)</f>
        <v>1800</v>
      </c>
      <c r="U34" s="41">
        <f>VLOOKUP(O34,眼科项目!$C$3:$O$485,12,FALSE)</f>
        <v>1650</v>
      </c>
      <c r="V34" s="41">
        <f>VLOOKUP(O34,眼科项目!$C$3:$O$485,13,FALSE)</f>
        <v>1400</v>
      </c>
      <c r="W34" s="37"/>
      <c r="X34" s="37"/>
      <c r="Y34" s="37"/>
    </row>
    <row r="35" ht="38" customHeight="1" spans="1:25">
      <c r="A35" s="24"/>
      <c r="B35" s="24"/>
      <c r="C35" s="24"/>
      <c r="D35" s="24"/>
      <c r="E35" s="24"/>
      <c r="F35" s="24"/>
      <c r="G35" s="24"/>
      <c r="H35" s="24"/>
      <c r="I35" s="24"/>
      <c r="J35" s="37"/>
      <c r="K35" s="37"/>
      <c r="L35" s="37"/>
      <c r="M35" s="24"/>
      <c r="N35" s="46" t="s">
        <v>787</v>
      </c>
      <c r="O35" s="41" t="s">
        <v>788</v>
      </c>
      <c r="P35" s="41" t="s">
        <v>789</v>
      </c>
      <c r="Q35" s="41" t="s">
        <v>790</v>
      </c>
      <c r="R35" s="41"/>
      <c r="S35" s="41" t="s">
        <v>110</v>
      </c>
      <c r="T35" s="41">
        <f>VLOOKUP(O35,眼科项目!$C$3:$O$485,11,FALSE)</f>
        <v>2530</v>
      </c>
      <c r="U35" s="41">
        <f>VLOOKUP(O35,眼科项目!$C$3:$O$485,12,FALSE)</f>
        <v>2280</v>
      </c>
      <c r="V35" s="41">
        <f>VLOOKUP(O35,眼科项目!$C$3:$O$485,13,FALSE)</f>
        <v>1940</v>
      </c>
      <c r="W35" s="37"/>
      <c r="X35" s="37"/>
      <c r="Y35" s="37"/>
    </row>
    <row r="36" ht="38" customHeight="1" spans="1:25">
      <c r="A36" s="25"/>
      <c r="B36" s="25"/>
      <c r="C36" s="25"/>
      <c r="D36" s="25"/>
      <c r="E36" s="25"/>
      <c r="F36" s="25"/>
      <c r="G36" s="25"/>
      <c r="H36" s="25"/>
      <c r="I36" s="25"/>
      <c r="J36" s="38"/>
      <c r="K36" s="38"/>
      <c r="L36" s="38"/>
      <c r="M36" s="25"/>
      <c r="N36" s="46" t="s">
        <v>733</v>
      </c>
      <c r="O36" s="41" t="s">
        <v>734</v>
      </c>
      <c r="P36" s="41"/>
      <c r="Q36" s="41"/>
      <c r="R36" s="41"/>
      <c r="S36" s="41" t="s">
        <v>110</v>
      </c>
      <c r="T36" s="41">
        <f>VLOOKUP(O36,眼科项目!$C$3:$O$485,11,FALSE)</f>
        <v>1420</v>
      </c>
      <c r="U36" s="41">
        <f>VLOOKUP(O36,眼科项目!$C$3:$O$485,12,FALSE)</f>
        <v>1280</v>
      </c>
      <c r="V36" s="41">
        <f>VLOOKUP(O36,眼科项目!$C$3:$O$485,13,FALSE)</f>
        <v>1090</v>
      </c>
      <c r="W36" s="38"/>
      <c r="X36" s="38"/>
      <c r="Y36" s="38"/>
    </row>
    <row r="37" ht="36" spans="1:25">
      <c r="A37" s="17" t="s">
        <v>1927</v>
      </c>
      <c r="B37" s="17">
        <v>33040601801</v>
      </c>
      <c r="C37" s="17" t="s">
        <v>1928</v>
      </c>
      <c r="D37" s="17"/>
      <c r="E37" s="17"/>
      <c r="F37" s="17" t="s">
        <v>36</v>
      </c>
      <c r="G37" s="17" t="s">
        <v>35</v>
      </c>
      <c r="H37" s="17">
        <v>8970</v>
      </c>
      <c r="I37" s="17">
        <v>7540</v>
      </c>
      <c r="J37" s="30">
        <v>6915</v>
      </c>
      <c r="K37" s="30">
        <v>6225</v>
      </c>
      <c r="L37" s="30">
        <v>5290</v>
      </c>
      <c r="M37" s="17" t="s">
        <v>37</v>
      </c>
      <c r="N37" s="47" t="s">
        <v>1616</v>
      </c>
      <c r="O37" s="47" t="s">
        <v>1617</v>
      </c>
      <c r="P37" s="47" t="s">
        <v>1618</v>
      </c>
      <c r="Q37" s="47" t="s">
        <v>1619</v>
      </c>
      <c r="R37" s="47" t="s">
        <v>35</v>
      </c>
      <c r="S37" s="47" t="s">
        <v>110</v>
      </c>
      <c r="T37" s="47">
        <f>VLOOKUP(O37,眼科项目!$C$3:$O$485,11,FALSE)</f>
        <v>1150</v>
      </c>
      <c r="U37" s="47">
        <f>VLOOKUP(O37,眼科项目!$C$3:$O$485,12,FALSE)</f>
        <v>1010</v>
      </c>
      <c r="V37" s="47">
        <f>VLOOKUP(O37,眼科项目!$C$3:$O$485,13,FALSE)</f>
        <v>860</v>
      </c>
      <c r="W37" s="30">
        <f>T41+T42+(T37+T38+T39+T40+T43+T44)*0.5</f>
        <v>6130</v>
      </c>
      <c r="X37" s="30">
        <f>U41+U42+(U37+U38+U39+U40+U43+U44)*0.5</f>
        <v>5527.5</v>
      </c>
      <c r="Y37" s="30">
        <f>V41+V42+(V37+V38+V39+V40+V43+V44)*0.5</f>
        <v>4697.5</v>
      </c>
    </row>
    <row r="38" ht="25.5" spans="1:25">
      <c r="A38" s="17"/>
      <c r="B38" s="17"/>
      <c r="C38" s="17"/>
      <c r="D38" s="17"/>
      <c r="E38" s="17"/>
      <c r="F38" s="17"/>
      <c r="G38" s="17"/>
      <c r="H38" s="17"/>
      <c r="I38" s="17"/>
      <c r="J38" s="30"/>
      <c r="K38" s="30"/>
      <c r="L38" s="30"/>
      <c r="M38" s="17"/>
      <c r="N38" s="48" t="s">
        <v>1632</v>
      </c>
      <c r="O38" s="42" t="s">
        <v>1633</v>
      </c>
      <c r="P38" s="49"/>
      <c r="Q38" s="49"/>
      <c r="R38" s="49" t="s">
        <v>35</v>
      </c>
      <c r="S38" s="42" t="s">
        <v>110</v>
      </c>
      <c r="T38" s="42">
        <f>VLOOKUP(O38,眼科项目!$C$3:$O$485,11,FALSE)</f>
        <v>345</v>
      </c>
      <c r="U38" s="42">
        <f>VLOOKUP(O38,眼科项目!$C$3:$O$485,12,FALSE)</f>
        <v>305</v>
      </c>
      <c r="V38" s="42">
        <f>VLOOKUP(O38,眼科项目!$C$3:$O$485,13,FALSE)</f>
        <v>260</v>
      </c>
      <c r="W38" s="30"/>
      <c r="X38" s="30"/>
      <c r="Y38" s="30"/>
    </row>
    <row r="39" ht="38.25" spans="1:25">
      <c r="A39" s="17"/>
      <c r="B39" s="17"/>
      <c r="C39" s="17"/>
      <c r="D39" s="17"/>
      <c r="E39" s="17"/>
      <c r="F39" s="17"/>
      <c r="G39" s="17"/>
      <c r="H39" s="17"/>
      <c r="I39" s="17"/>
      <c r="J39" s="30"/>
      <c r="K39" s="30"/>
      <c r="L39" s="30"/>
      <c r="M39" s="17"/>
      <c r="N39" s="42" t="s">
        <v>684</v>
      </c>
      <c r="O39" s="42" t="s">
        <v>685</v>
      </c>
      <c r="P39" s="42" t="s">
        <v>686</v>
      </c>
      <c r="Q39" s="42" t="s">
        <v>687</v>
      </c>
      <c r="R39" s="42" t="s">
        <v>688</v>
      </c>
      <c r="S39" s="42" t="s">
        <v>110</v>
      </c>
      <c r="T39" s="42">
        <f>VLOOKUP(O39,眼科项目!$C$3:$O$485,11,FALSE)</f>
        <v>1800</v>
      </c>
      <c r="U39" s="42">
        <f>VLOOKUP(O39,眼科项目!$C$3:$O$485,12,FALSE)</f>
        <v>1650</v>
      </c>
      <c r="V39" s="42">
        <f>VLOOKUP(O39,眼科项目!$C$3:$O$485,13,FALSE)</f>
        <v>1400</v>
      </c>
      <c r="W39" s="30"/>
      <c r="X39" s="30"/>
      <c r="Y39" s="30"/>
    </row>
    <row r="40" ht="25.5" spans="1:25">
      <c r="A40" s="17"/>
      <c r="B40" s="17"/>
      <c r="C40" s="17"/>
      <c r="D40" s="17"/>
      <c r="E40" s="17"/>
      <c r="F40" s="17"/>
      <c r="G40" s="17"/>
      <c r="H40" s="17"/>
      <c r="I40" s="17"/>
      <c r="J40" s="30"/>
      <c r="K40" s="30"/>
      <c r="L40" s="30"/>
      <c r="M40" s="17"/>
      <c r="N40" s="165" t="s">
        <v>707</v>
      </c>
      <c r="O40" s="42" t="s">
        <v>708</v>
      </c>
      <c r="P40" s="42"/>
      <c r="Q40" s="42"/>
      <c r="R40" s="42"/>
      <c r="S40" s="42" t="s">
        <v>110</v>
      </c>
      <c r="T40" s="42">
        <f>VLOOKUP(O40,眼科项目!$C$3:$O$485,11,FALSE)</f>
        <v>540</v>
      </c>
      <c r="U40" s="42">
        <f>VLOOKUP(O40,眼科项目!$C$3:$O$485,12,FALSE)</f>
        <v>495</v>
      </c>
      <c r="V40" s="42">
        <f>VLOOKUP(O40,眼科项目!$C$3:$O$485,13,FALSE)</f>
        <v>420</v>
      </c>
      <c r="W40" s="30"/>
      <c r="X40" s="30"/>
      <c r="Y40" s="30"/>
    </row>
    <row r="41" ht="38.25" spans="1:25">
      <c r="A41" s="17"/>
      <c r="B41" s="17"/>
      <c r="C41" s="17"/>
      <c r="D41" s="17"/>
      <c r="E41" s="17"/>
      <c r="F41" s="17"/>
      <c r="G41" s="17"/>
      <c r="H41" s="17"/>
      <c r="I41" s="17"/>
      <c r="J41" s="30"/>
      <c r="K41" s="30"/>
      <c r="L41" s="30"/>
      <c r="M41" s="17"/>
      <c r="N41" s="42" t="s">
        <v>787</v>
      </c>
      <c r="O41" s="42" t="s">
        <v>788</v>
      </c>
      <c r="P41" s="42" t="s">
        <v>789</v>
      </c>
      <c r="Q41" s="42" t="s">
        <v>790</v>
      </c>
      <c r="R41" s="42"/>
      <c r="S41" s="42" t="s">
        <v>110</v>
      </c>
      <c r="T41" s="42">
        <f>VLOOKUP(O41,眼科项目!$C$3:$O$485,11,FALSE)</f>
        <v>2530</v>
      </c>
      <c r="U41" s="42">
        <f>VLOOKUP(O41,眼科项目!$C$3:$O$485,12,FALSE)</f>
        <v>2280</v>
      </c>
      <c r="V41" s="42">
        <f>VLOOKUP(O41,眼科项目!$C$3:$O$485,13,FALSE)</f>
        <v>1940</v>
      </c>
      <c r="W41" s="30"/>
      <c r="X41" s="30"/>
      <c r="Y41" s="30"/>
    </row>
    <row r="42" ht="25.5" spans="1:25">
      <c r="A42" s="17"/>
      <c r="B42" s="17"/>
      <c r="C42" s="17"/>
      <c r="D42" s="17"/>
      <c r="E42" s="17"/>
      <c r="F42" s="17"/>
      <c r="G42" s="17"/>
      <c r="H42" s="17"/>
      <c r="I42" s="17"/>
      <c r="J42" s="30"/>
      <c r="K42" s="30"/>
      <c r="L42" s="30"/>
      <c r="M42" s="17"/>
      <c r="N42" s="42" t="s">
        <v>794</v>
      </c>
      <c r="O42" s="42" t="s">
        <v>795</v>
      </c>
      <c r="P42" s="42"/>
      <c r="Q42" s="42"/>
      <c r="R42" s="42"/>
      <c r="S42" s="42" t="s">
        <v>110</v>
      </c>
      <c r="T42" s="42">
        <f>VLOOKUP(O42,眼科项目!$C$3:$O$485,11,FALSE)</f>
        <v>760</v>
      </c>
      <c r="U42" s="42">
        <f>VLOOKUP(O42,眼科项目!$C$3:$O$485,12,FALSE)</f>
        <v>685</v>
      </c>
      <c r="V42" s="42">
        <f>VLOOKUP(O42,眼科项目!$C$3:$O$485,13,FALSE)</f>
        <v>580</v>
      </c>
      <c r="W42" s="30"/>
      <c r="X42" s="30"/>
      <c r="Y42" s="30"/>
    </row>
    <row r="43" ht="25.5" spans="1:25">
      <c r="A43" s="17"/>
      <c r="B43" s="17"/>
      <c r="C43" s="17"/>
      <c r="D43" s="17"/>
      <c r="E43" s="17"/>
      <c r="F43" s="17"/>
      <c r="G43" s="17"/>
      <c r="H43" s="17"/>
      <c r="I43" s="17"/>
      <c r="J43" s="30"/>
      <c r="K43" s="30"/>
      <c r="L43" s="30"/>
      <c r="M43" s="17"/>
      <c r="N43" s="42" t="s">
        <v>733</v>
      </c>
      <c r="O43" s="42" t="s">
        <v>734</v>
      </c>
      <c r="P43" s="42"/>
      <c r="Q43" s="42"/>
      <c r="R43" s="42"/>
      <c r="S43" s="42" t="s">
        <v>110</v>
      </c>
      <c r="T43" s="42">
        <f>VLOOKUP(O43,眼科项目!$C$3:$O$485,11,FALSE)</f>
        <v>1420</v>
      </c>
      <c r="U43" s="42">
        <f>VLOOKUP(O43,眼科项目!$C$3:$O$485,12,FALSE)</f>
        <v>1280</v>
      </c>
      <c r="V43" s="42">
        <f>VLOOKUP(O43,眼科项目!$C$3:$O$485,13,FALSE)</f>
        <v>1090</v>
      </c>
      <c r="W43" s="30"/>
      <c r="X43" s="30"/>
      <c r="Y43" s="30"/>
    </row>
    <row r="44" ht="25.5" spans="1:25">
      <c r="A44" s="17"/>
      <c r="B44" s="17"/>
      <c r="C44" s="17"/>
      <c r="D44" s="17"/>
      <c r="E44" s="17"/>
      <c r="F44" s="17"/>
      <c r="G44" s="17"/>
      <c r="H44" s="17"/>
      <c r="I44" s="17"/>
      <c r="J44" s="30"/>
      <c r="K44" s="30"/>
      <c r="L44" s="30"/>
      <c r="M44" s="17"/>
      <c r="N44" s="42" t="s">
        <v>741</v>
      </c>
      <c r="O44" s="42" t="s">
        <v>742</v>
      </c>
      <c r="P44" s="42"/>
      <c r="Q44" s="42"/>
      <c r="R44" s="42"/>
      <c r="S44" s="42" t="s">
        <v>110</v>
      </c>
      <c r="T44" s="42">
        <f>VLOOKUP(O44,眼科项目!$C$3:$O$485,11,FALSE)</f>
        <v>425</v>
      </c>
      <c r="U44" s="42">
        <f>VLOOKUP(O44,眼科项目!$C$3:$O$485,12,FALSE)</f>
        <v>385</v>
      </c>
      <c r="V44" s="42">
        <f>VLOOKUP(O44,眼科项目!$C$3:$O$485,13,FALSE)</f>
        <v>325</v>
      </c>
      <c r="W44" s="30"/>
      <c r="X44" s="30"/>
      <c r="Y44" s="30"/>
    </row>
    <row r="45" ht="38.25" spans="1:25">
      <c r="A45" s="18" t="s">
        <v>1929</v>
      </c>
      <c r="B45" s="18">
        <v>330406008</v>
      </c>
      <c r="C45" s="18" t="s">
        <v>1930</v>
      </c>
      <c r="D45" s="18"/>
      <c r="E45" s="18"/>
      <c r="F45" s="18" t="s">
        <v>36</v>
      </c>
      <c r="G45" s="18" t="s">
        <v>35</v>
      </c>
      <c r="H45" s="18">
        <v>2400</v>
      </c>
      <c r="I45" s="18">
        <v>2160</v>
      </c>
      <c r="J45" s="31">
        <v>2060</v>
      </c>
      <c r="K45" s="31">
        <v>1850</v>
      </c>
      <c r="L45" s="31">
        <v>1570</v>
      </c>
      <c r="M45" s="18" t="s">
        <v>37</v>
      </c>
      <c r="N45" s="41" t="s">
        <v>724</v>
      </c>
      <c r="O45" s="41" t="s">
        <v>725</v>
      </c>
      <c r="P45" s="41" t="s">
        <v>726</v>
      </c>
      <c r="Q45" s="41" t="s">
        <v>687</v>
      </c>
      <c r="R45" s="41" t="s">
        <v>35</v>
      </c>
      <c r="S45" s="41" t="s">
        <v>110</v>
      </c>
      <c r="T45" s="41">
        <f>VLOOKUP(O45,眼科项目!$C$3:$O$485,11,FALSE)</f>
        <v>1180</v>
      </c>
      <c r="U45" s="41">
        <f>VLOOKUP(O45,眼科项目!$C$3:$O$485,12,FALSE)</f>
        <v>1060</v>
      </c>
      <c r="V45" s="41">
        <f>VLOOKUP(O45,眼科项目!$C$3:$O$485,13,FALSE)</f>
        <v>900</v>
      </c>
      <c r="W45" s="31">
        <f>T46+T45*0.5</f>
        <v>2010</v>
      </c>
      <c r="X45" s="31">
        <f>U46+U45*0.5</f>
        <v>1810</v>
      </c>
      <c r="Y45" s="31">
        <f>V46+V45*0.5</f>
        <v>1540</v>
      </c>
    </row>
    <row r="46" ht="51" spans="1:25">
      <c r="A46" s="19"/>
      <c r="B46" s="19"/>
      <c r="C46" s="19"/>
      <c r="D46" s="19"/>
      <c r="E46" s="19"/>
      <c r="F46" s="19"/>
      <c r="G46" s="19"/>
      <c r="H46" s="19"/>
      <c r="I46" s="19"/>
      <c r="J46" s="32"/>
      <c r="K46" s="32"/>
      <c r="L46" s="32"/>
      <c r="M46" s="19"/>
      <c r="N46" s="41" t="s">
        <v>733</v>
      </c>
      <c r="O46" s="41" t="s">
        <v>734</v>
      </c>
      <c r="P46" s="41" t="s">
        <v>735</v>
      </c>
      <c r="Q46" s="41" t="s">
        <v>736</v>
      </c>
      <c r="R46" s="41" t="s">
        <v>737</v>
      </c>
      <c r="S46" s="41" t="s">
        <v>110</v>
      </c>
      <c r="T46" s="41">
        <f>VLOOKUP(O46,眼科项目!$C$3:$O$485,11,FALSE)</f>
        <v>1420</v>
      </c>
      <c r="U46" s="41">
        <f>VLOOKUP(O46,眼科项目!$C$3:$O$485,12,FALSE)</f>
        <v>1280</v>
      </c>
      <c r="V46" s="41">
        <f>VLOOKUP(O46,眼科项目!$C$3:$O$485,13,FALSE)</f>
        <v>1090</v>
      </c>
      <c r="W46" s="32"/>
      <c r="X46" s="32"/>
      <c r="Y46" s="32"/>
    </row>
    <row r="47" ht="38.25" spans="1:25">
      <c r="A47" s="17" t="s">
        <v>1931</v>
      </c>
      <c r="B47" s="17">
        <v>33040600801</v>
      </c>
      <c r="C47" s="17" t="s">
        <v>1932</v>
      </c>
      <c r="D47" s="17"/>
      <c r="E47" s="17"/>
      <c r="F47" s="17" t="s">
        <v>36</v>
      </c>
      <c r="G47" s="17" t="s">
        <v>35</v>
      </c>
      <c r="H47" s="17">
        <v>3120</v>
      </c>
      <c r="I47" s="17">
        <v>2810</v>
      </c>
      <c r="J47" s="30">
        <v>2680</v>
      </c>
      <c r="K47" s="30">
        <v>2405</v>
      </c>
      <c r="L47" s="30">
        <v>2045</v>
      </c>
      <c r="M47" s="17" t="s">
        <v>37</v>
      </c>
      <c r="N47" s="43" t="s">
        <v>724</v>
      </c>
      <c r="O47" s="42" t="s">
        <v>725</v>
      </c>
      <c r="P47" s="42" t="s">
        <v>726</v>
      </c>
      <c r="Q47" s="42" t="s">
        <v>687</v>
      </c>
      <c r="R47" s="42" t="s">
        <v>35</v>
      </c>
      <c r="S47" s="42" t="s">
        <v>110</v>
      </c>
      <c r="T47" s="42">
        <f>VLOOKUP(O47,眼科项目!$C$3:$O$485,11,FALSE)</f>
        <v>1180</v>
      </c>
      <c r="U47" s="42">
        <f>VLOOKUP(O47,眼科项目!$C$3:$O$485,12,FALSE)</f>
        <v>1060</v>
      </c>
      <c r="V47" s="42">
        <f>VLOOKUP(O47,眼科项目!$C$3:$O$485,13,FALSE)</f>
        <v>900</v>
      </c>
      <c r="W47" s="33">
        <f>T49+T50+(T47+T48)*0.5</f>
        <v>2612.5</v>
      </c>
      <c r="X47" s="33">
        <f t="shared" ref="W47:Y47" si="2">U49+U50+(U47+U48)*0.5</f>
        <v>2355</v>
      </c>
      <c r="Y47" s="33">
        <f t="shared" si="2"/>
        <v>2000</v>
      </c>
    </row>
    <row r="48" ht="25.5" spans="1:25">
      <c r="A48" s="17"/>
      <c r="B48" s="17"/>
      <c r="C48" s="17"/>
      <c r="D48" s="17"/>
      <c r="E48" s="17"/>
      <c r="F48" s="17"/>
      <c r="G48" s="17"/>
      <c r="H48" s="17"/>
      <c r="I48" s="17"/>
      <c r="J48" s="30"/>
      <c r="K48" s="30"/>
      <c r="L48" s="30"/>
      <c r="M48" s="17"/>
      <c r="N48" s="43" t="s">
        <v>729</v>
      </c>
      <c r="O48" s="42" t="s">
        <v>730</v>
      </c>
      <c r="P48" s="42"/>
      <c r="Q48" s="42"/>
      <c r="R48" s="42" t="s">
        <v>35</v>
      </c>
      <c r="S48" s="42" t="s">
        <v>110</v>
      </c>
      <c r="T48" s="42">
        <f>VLOOKUP(O48,眼科项目!$C$3:$O$485,11,FALSE)</f>
        <v>355</v>
      </c>
      <c r="U48" s="42">
        <f>VLOOKUP(O48,眼科项目!$C$3:$O$485,12,FALSE)</f>
        <v>320</v>
      </c>
      <c r="V48" s="42">
        <f>VLOOKUP(O48,眼科项目!$C$3:$O$485,13,FALSE)</f>
        <v>270</v>
      </c>
      <c r="W48" s="34"/>
      <c r="X48" s="34"/>
      <c r="Y48" s="34"/>
    </row>
    <row r="49" ht="51" spans="1:25">
      <c r="A49" s="17"/>
      <c r="B49" s="17"/>
      <c r="C49" s="17"/>
      <c r="D49" s="17"/>
      <c r="E49" s="17"/>
      <c r="F49" s="17"/>
      <c r="G49" s="17"/>
      <c r="H49" s="17"/>
      <c r="I49" s="17"/>
      <c r="J49" s="30"/>
      <c r="K49" s="30"/>
      <c r="L49" s="30"/>
      <c r="M49" s="17"/>
      <c r="N49" s="43" t="s">
        <v>733</v>
      </c>
      <c r="O49" s="42" t="s">
        <v>734</v>
      </c>
      <c r="P49" s="42" t="s">
        <v>735</v>
      </c>
      <c r="Q49" s="42" t="s">
        <v>736</v>
      </c>
      <c r="R49" s="42" t="s">
        <v>737</v>
      </c>
      <c r="S49" s="42" t="s">
        <v>110</v>
      </c>
      <c r="T49" s="42">
        <f>VLOOKUP(O49,眼科项目!$C$3:$O$485,11,FALSE)</f>
        <v>1420</v>
      </c>
      <c r="U49" s="42">
        <f>VLOOKUP(O49,眼科项目!$C$3:$O$485,12,FALSE)</f>
        <v>1280</v>
      </c>
      <c r="V49" s="42">
        <f>VLOOKUP(O49,眼科项目!$C$3:$O$485,13,FALSE)</f>
        <v>1090</v>
      </c>
      <c r="W49" s="34"/>
      <c r="X49" s="34"/>
      <c r="Y49" s="34"/>
    </row>
    <row r="50" ht="25.5" spans="1:25">
      <c r="A50" s="17"/>
      <c r="B50" s="17"/>
      <c r="C50" s="17"/>
      <c r="D50" s="17"/>
      <c r="E50" s="17"/>
      <c r="F50" s="17"/>
      <c r="G50" s="17"/>
      <c r="H50" s="17"/>
      <c r="I50" s="17"/>
      <c r="J50" s="30"/>
      <c r="K50" s="30"/>
      <c r="L50" s="30"/>
      <c r="M50" s="17"/>
      <c r="N50" s="42" t="s">
        <v>741</v>
      </c>
      <c r="O50" s="42" t="s">
        <v>742</v>
      </c>
      <c r="P50" s="42"/>
      <c r="Q50" s="42"/>
      <c r="R50" s="42" t="s">
        <v>35</v>
      </c>
      <c r="S50" s="42" t="s">
        <v>110</v>
      </c>
      <c r="T50" s="42">
        <f>VLOOKUP(O50,眼科项目!$C$3:$O$485,11,FALSE)</f>
        <v>425</v>
      </c>
      <c r="U50" s="42">
        <f>VLOOKUP(O50,眼科项目!$C$3:$O$485,12,FALSE)</f>
        <v>385</v>
      </c>
      <c r="V50" s="42">
        <f>VLOOKUP(O50,眼科项目!$C$3:$O$485,13,FALSE)</f>
        <v>325</v>
      </c>
      <c r="W50" s="35"/>
      <c r="X50" s="35"/>
      <c r="Y50" s="35"/>
    </row>
    <row r="51" ht="38.25" spans="1:25">
      <c r="A51" s="18" t="s">
        <v>1933</v>
      </c>
      <c r="B51" s="18">
        <v>330406013</v>
      </c>
      <c r="C51" s="18" t="s">
        <v>1934</v>
      </c>
      <c r="D51" s="18"/>
      <c r="E51" s="18"/>
      <c r="F51" s="18" t="s">
        <v>36</v>
      </c>
      <c r="G51" s="18" t="s">
        <v>35</v>
      </c>
      <c r="H51" s="18">
        <v>2300</v>
      </c>
      <c r="I51" s="18">
        <v>2080</v>
      </c>
      <c r="J51" s="31">
        <v>2030</v>
      </c>
      <c r="K51" s="31">
        <v>1830</v>
      </c>
      <c r="L51" s="31">
        <v>1560</v>
      </c>
      <c r="M51" s="18" t="s">
        <v>37</v>
      </c>
      <c r="N51" s="41" t="s">
        <v>684</v>
      </c>
      <c r="O51" s="41" t="s">
        <v>685</v>
      </c>
      <c r="P51" s="41" t="s">
        <v>686</v>
      </c>
      <c r="Q51" s="41" t="s">
        <v>687</v>
      </c>
      <c r="R51" s="41" t="s">
        <v>688</v>
      </c>
      <c r="S51" s="41" t="s">
        <v>110</v>
      </c>
      <c r="T51" s="41">
        <f>VLOOKUP(O51,眼科项目!$C$3:$O$485,11,FALSE)</f>
        <v>1800</v>
      </c>
      <c r="U51" s="41">
        <f>VLOOKUP(O51,眼科项目!$C$3:$O$485,12,FALSE)</f>
        <v>1650</v>
      </c>
      <c r="V51" s="41">
        <f>VLOOKUP(O51,眼科项目!$C$3:$O$485,13,FALSE)</f>
        <v>1400</v>
      </c>
      <c r="W51" s="31">
        <f>T51+T52*0.5</f>
        <v>2225</v>
      </c>
      <c r="X51" s="31">
        <f>U51+U52*0.5</f>
        <v>2050</v>
      </c>
      <c r="Y51" s="31">
        <f>V51+V52*0.5</f>
        <v>1750</v>
      </c>
    </row>
    <row r="52" ht="38.25" spans="1:25">
      <c r="A52" s="19"/>
      <c r="B52" s="19"/>
      <c r="C52" s="19"/>
      <c r="D52" s="19"/>
      <c r="E52" s="19"/>
      <c r="F52" s="19"/>
      <c r="G52" s="19"/>
      <c r="H52" s="19"/>
      <c r="I52" s="19"/>
      <c r="J52" s="32"/>
      <c r="K52" s="32"/>
      <c r="L52" s="32"/>
      <c r="M52" s="19"/>
      <c r="N52" s="167" t="s">
        <v>815</v>
      </c>
      <c r="O52" s="41" t="s">
        <v>816</v>
      </c>
      <c r="P52" s="51" t="s">
        <v>817</v>
      </c>
      <c r="Q52" s="51" t="s">
        <v>818</v>
      </c>
      <c r="R52" s="51" t="s">
        <v>819</v>
      </c>
      <c r="S52" s="41" t="s">
        <v>110</v>
      </c>
      <c r="T52" s="41">
        <f>VLOOKUP(O52,眼科项目!$C$3:$O$485,11,FALSE)</f>
        <v>850</v>
      </c>
      <c r="U52" s="41">
        <f>VLOOKUP(O52,眼科项目!$C$3:$O$485,12,FALSE)</f>
        <v>800</v>
      </c>
      <c r="V52" s="41">
        <f>VLOOKUP(O52,眼科项目!$C$3:$O$485,13,FALSE)</f>
        <v>700</v>
      </c>
      <c r="W52" s="32"/>
      <c r="X52" s="32"/>
      <c r="Y52" s="32"/>
    </row>
    <row r="53" ht="38.25" spans="1:25">
      <c r="A53" s="17" t="s">
        <v>1935</v>
      </c>
      <c r="B53" s="17">
        <v>33040601301</v>
      </c>
      <c r="C53" s="17" t="s">
        <v>1936</v>
      </c>
      <c r="D53" s="17"/>
      <c r="E53" s="17"/>
      <c r="F53" s="17" t="s">
        <v>36</v>
      </c>
      <c r="G53" s="17" t="s">
        <v>35</v>
      </c>
      <c r="H53" s="17">
        <v>2990</v>
      </c>
      <c r="I53" s="17">
        <v>2705</v>
      </c>
      <c r="J53" s="30">
        <v>2640</v>
      </c>
      <c r="K53" s="30">
        <v>2380</v>
      </c>
      <c r="L53" s="30">
        <v>2025</v>
      </c>
      <c r="M53" s="17" t="s">
        <v>37</v>
      </c>
      <c r="N53" s="42" t="s">
        <v>684</v>
      </c>
      <c r="O53" s="42" t="s">
        <v>685</v>
      </c>
      <c r="P53" s="42" t="s">
        <v>686</v>
      </c>
      <c r="Q53" s="42" t="s">
        <v>687</v>
      </c>
      <c r="R53" s="42" t="s">
        <v>688</v>
      </c>
      <c r="S53" s="42" t="s">
        <v>110</v>
      </c>
      <c r="T53" s="42">
        <f>VLOOKUP(O53,眼科项目!$C$3:$O$485,11,FALSE)</f>
        <v>1800</v>
      </c>
      <c r="U53" s="42">
        <f>VLOOKUP(O53,眼科项目!$C$3:$O$485,12,FALSE)</f>
        <v>1650</v>
      </c>
      <c r="V53" s="42">
        <f>VLOOKUP(O53,眼科项目!$C$3:$O$485,13,FALSE)</f>
        <v>1400</v>
      </c>
      <c r="W53" s="30">
        <f>T53+T54+(T55+T56)*0.5</f>
        <v>2892.5</v>
      </c>
      <c r="X53" s="30">
        <f>U53+U54+(U55+U56)*0.5</f>
        <v>2665</v>
      </c>
      <c r="Y53" s="30">
        <f>V53+V54+(V55+V56)*0.5</f>
        <v>2275</v>
      </c>
    </row>
    <row r="54" ht="25.5" spans="1:25">
      <c r="A54" s="17"/>
      <c r="B54" s="17"/>
      <c r="C54" s="17"/>
      <c r="D54" s="17"/>
      <c r="E54" s="17"/>
      <c r="F54" s="17"/>
      <c r="G54" s="17"/>
      <c r="H54" s="17"/>
      <c r="I54" s="17"/>
      <c r="J54" s="30"/>
      <c r="K54" s="30"/>
      <c r="L54" s="30"/>
      <c r="M54" s="17"/>
      <c r="N54" s="165" t="s">
        <v>707</v>
      </c>
      <c r="O54" s="42" t="s">
        <v>708</v>
      </c>
      <c r="P54" s="42"/>
      <c r="Q54" s="42"/>
      <c r="R54" s="42"/>
      <c r="S54" s="42" t="s">
        <v>110</v>
      </c>
      <c r="T54" s="42">
        <f>VLOOKUP(O54,眼科项目!$C$3:$O$485,11,FALSE)</f>
        <v>540</v>
      </c>
      <c r="U54" s="42">
        <f>VLOOKUP(O54,眼科项目!$C$3:$O$485,12,FALSE)</f>
        <v>495</v>
      </c>
      <c r="V54" s="42">
        <f>VLOOKUP(O54,眼科项目!$C$3:$O$485,13,FALSE)</f>
        <v>420</v>
      </c>
      <c r="W54" s="30"/>
      <c r="X54" s="30"/>
      <c r="Y54" s="30"/>
    </row>
    <row r="55" ht="38.25" spans="1:25">
      <c r="A55" s="17"/>
      <c r="B55" s="17"/>
      <c r="C55" s="17"/>
      <c r="D55" s="17"/>
      <c r="E55" s="17"/>
      <c r="F55" s="17"/>
      <c r="G55" s="17"/>
      <c r="H55" s="17"/>
      <c r="I55" s="17"/>
      <c r="J55" s="30"/>
      <c r="K55" s="30"/>
      <c r="L55" s="30"/>
      <c r="M55" s="17"/>
      <c r="N55" s="48" t="s">
        <v>815</v>
      </c>
      <c r="O55" s="42" t="s">
        <v>816</v>
      </c>
      <c r="P55" s="49" t="s">
        <v>817</v>
      </c>
      <c r="Q55" s="49" t="s">
        <v>818</v>
      </c>
      <c r="R55" s="49" t="s">
        <v>819</v>
      </c>
      <c r="S55" s="42" t="s">
        <v>110</v>
      </c>
      <c r="T55" s="42">
        <f>VLOOKUP(O55,眼科项目!$C$3:$O$485,11,FALSE)</f>
        <v>850</v>
      </c>
      <c r="U55" s="42">
        <f>VLOOKUP(O55,眼科项目!$C$3:$O$485,12,FALSE)</f>
        <v>800</v>
      </c>
      <c r="V55" s="42">
        <f>VLOOKUP(O55,眼科项目!$C$3:$O$485,13,FALSE)</f>
        <v>700</v>
      </c>
      <c r="W55" s="30"/>
      <c r="X55" s="30"/>
      <c r="Y55" s="30"/>
    </row>
    <row r="56" ht="25.5" spans="1:25">
      <c r="A56" s="17"/>
      <c r="B56" s="17"/>
      <c r="C56" s="17"/>
      <c r="D56" s="17"/>
      <c r="E56" s="17"/>
      <c r="F56" s="17"/>
      <c r="G56" s="17"/>
      <c r="H56" s="17"/>
      <c r="I56" s="17"/>
      <c r="J56" s="30"/>
      <c r="K56" s="30"/>
      <c r="L56" s="30"/>
      <c r="M56" s="17"/>
      <c r="N56" s="48" t="s">
        <v>826</v>
      </c>
      <c r="O56" s="42" t="s">
        <v>827</v>
      </c>
      <c r="P56" s="49"/>
      <c r="Q56" s="49"/>
      <c r="R56" s="49" t="s">
        <v>35</v>
      </c>
      <c r="S56" s="42" t="s">
        <v>110</v>
      </c>
      <c r="T56" s="42">
        <f>VLOOKUP(O56,眼科项目!$C$3:$O$485,11,FALSE)</f>
        <v>255</v>
      </c>
      <c r="U56" s="42">
        <f>VLOOKUP(O56,眼科项目!$C$3:$O$485,12,FALSE)</f>
        <v>240</v>
      </c>
      <c r="V56" s="42">
        <f>VLOOKUP(O56,眼科项目!$C$3:$O$485,13,FALSE)</f>
        <v>210</v>
      </c>
      <c r="W56" s="30"/>
      <c r="X56" s="30"/>
      <c r="Y56" s="30"/>
    </row>
    <row r="57" ht="38.25" spans="1:25">
      <c r="A57" s="18" t="s">
        <v>1937</v>
      </c>
      <c r="B57" s="18">
        <v>330406014</v>
      </c>
      <c r="C57" s="18" t="s">
        <v>1938</v>
      </c>
      <c r="D57" s="18"/>
      <c r="E57" s="18"/>
      <c r="F57" s="18" t="s">
        <v>36</v>
      </c>
      <c r="G57" s="18" t="s">
        <v>35</v>
      </c>
      <c r="H57" s="18">
        <v>2880</v>
      </c>
      <c r="I57" s="18">
        <v>2590</v>
      </c>
      <c r="J57" s="31">
        <v>2030</v>
      </c>
      <c r="K57" s="31">
        <v>1830</v>
      </c>
      <c r="L57" s="31">
        <v>1560</v>
      </c>
      <c r="M57" s="18" t="s">
        <v>37</v>
      </c>
      <c r="N57" s="41" t="s">
        <v>684</v>
      </c>
      <c r="O57" s="41" t="s">
        <v>685</v>
      </c>
      <c r="P57" s="41" t="s">
        <v>686</v>
      </c>
      <c r="Q57" s="41" t="s">
        <v>687</v>
      </c>
      <c r="R57" s="41" t="s">
        <v>688</v>
      </c>
      <c r="S57" s="41" t="s">
        <v>110</v>
      </c>
      <c r="T57" s="41">
        <f>VLOOKUP(O57,眼科项目!$C$3:$O$485,11,FALSE)</f>
        <v>1800</v>
      </c>
      <c r="U57" s="41">
        <f>VLOOKUP(O57,眼科项目!$C$3:$O$485,12,FALSE)</f>
        <v>1650</v>
      </c>
      <c r="V57" s="41">
        <f>VLOOKUP(O57,眼科项目!$C$3:$O$485,13,FALSE)</f>
        <v>1400</v>
      </c>
      <c r="W57" s="31">
        <f t="shared" ref="W57:Y57" si="3">T57+T58*0.5</f>
        <v>2475</v>
      </c>
      <c r="X57" s="31">
        <f t="shared" si="3"/>
        <v>2260</v>
      </c>
      <c r="Y57" s="31">
        <f t="shared" si="3"/>
        <v>1920</v>
      </c>
    </row>
    <row r="58" ht="51" spans="1:25">
      <c r="A58" s="19"/>
      <c r="B58" s="19"/>
      <c r="C58" s="19"/>
      <c r="D58" s="19"/>
      <c r="E58" s="19"/>
      <c r="F58" s="19"/>
      <c r="G58" s="19"/>
      <c r="H58" s="19"/>
      <c r="I58" s="19"/>
      <c r="J58" s="32"/>
      <c r="K58" s="32"/>
      <c r="L58" s="32"/>
      <c r="M58" s="19"/>
      <c r="N58" s="50" t="s">
        <v>898</v>
      </c>
      <c r="O58" s="41" t="s">
        <v>899</v>
      </c>
      <c r="P58" s="51" t="s">
        <v>900</v>
      </c>
      <c r="Q58" s="51" t="s">
        <v>901</v>
      </c>
      <c r="R58" s="51" t="s">
        <v>35</v>
      </c>
      <c r="S58" s="41" t="s">
        <v>110</v>
      </c>
      <c r="T58" s="41">
        <f>VLOOKUP(O58,眼科项目!$C$3:$O$485,11,FALSE)</f>
        <v>1350</v>
      </c>
      <c r="U58" s="41">
        <f>VLOOKUP(O58,眼科项目!$C$3:$O$485,12,FALSE)</f>
        <v>1220</v>
      </c>
      <c r="V58" s="41">
        <f>VLOOKUP(O58,眼科项目!$C$3:$O$485,13,FALSE)</f>
        <v>1040</v>
      </c>
      <c r="W58" s="32"/>
      <c r="X58" s="32"/>
      <c r="Y58" s="32"/>
    </row>
    <row r="59" ht="38.25" spans="1:25">
      <c r="A59" s="17" t="s">
        <v>1939</v>
      </c>
      <c r="B59" s="17">
        <v>33040601401</v>
      </c>
      <c r="C59" s="17" t="s">
        <v>1940</v>
      </c>
      <c r="D59" s="17"/>
      <c r="E59" s="17"/>
      <c r="F59" s="17" t="s">
        <v>36</v>
      </c>
      <c r="G59" s="17" t="s">
        <v>35</v>
      </c>
      <c r="H59" s="17">
        <v>3745</v>
      </c>
      <c r="I59" s="17">
        <v>3365</v>
      </c>
      <c r="J59" s="30">
        <v>2640</v>
      </c>
      <c r="K59" s="30">
        <v>2380</v>
      </c>
      <c r="L59" s="30">
        <v>2025</v>
      </c>
      <c r="M59" s="17" t="s">
        <v>37</v>
      </c>
      <c r="N59" s="42" t="s">
        <v>684</v>
      </c>
      <c r="O59" s="42" t="s">
        <v>685</v>
      </c>
      <c r="P59" s="42" t="s">
        <v>686</v>
      </c>
      <c r="Q59" s="42" t="s">
        <v>687</v>
      </c>
      <c r="R59" s="42" t="s">
        <v>688</v>
      </c>
      <c r="S59" s="42" t="s">
        <v>110</v>
      </c>
      <c r="T59" s="42">
        <f>VLOOKUP(O59,眼科项目!$C$3:$O$485,11,FALSE)</f>
        <v>1800</v>
      </c>
      <c r="U59" s="42">
        <f>VLOOKUP(O59,眼科项目!$C$3:$O$485,12,FALSE)</f>
        <v>1650</v>
      </c>
      <c r="V59" s="42">
        <f>VLOOKUP(O59,眼科项目!$C$3:$O$485,13,FALSE)</f>
        <v>1400</v>
      </c>
      <c r="W59" s="30">
        <f t="shared" ref="W59:Y59" si="4">T59+T60+(T61+T62)*0.5</f>
        <v>3217.5</v>
      </c>
      <c r="X59" s="30">
        <f t="shared" si="4"/>
        <v>2937.5</v>
      </c>
      <c r="Y59" s="30">
        <f t="shared" si="4"/>
        <v>2495</v>
      </c>
    </row>
    <row r="60" ht="25.5" spans="1:25">
      <c r="A60" s="17"/>
      <c r="B60" s="17"/>
      <c r="C60" s="17"/>
      <c r="D60" s="17"/>
      <c r="E60" s="17"/>
      <c r="F60" s="17"/>
      <c r="G60" s="17"/>
      <c r="H60" s="17"/>
      <c r="I60" s="17"/>
      <c r="J60" s="30"/>
      <c r="K60" s="30"/>
      <c r="L60" s="30"/>
      <c r="M60" s="17"/>
      <c r="N60" s="165" t="s">
        <v>707</v>
      </c>
      <c r="O60" s="42" t="s">
        <v>708</v>
      </c>
      <c r="P60" s="42"/>
      <c r="Q60" s="42"/>
      <c r="R60" s="42"/>
      <c r="S60" s="42" t="s">
        <v>110</v>
      </c>
      <c r="T60" s="42">
        <f>VLOOKUP(O60,眼科项目!$C$3:$O$485,11,FALSE)</f>
        <v>540</v>
      </c>
      <c r="U60" s="42">
        <f>VLOOKUP(O60,眼科项目!$C$3:$O$485,12,FALSE)</f>
        <v>495</v>
      </c>
      <c r="V60" s="42">
        <f>VLOOKUP(O60,眼科项目!$C$3:$O$485,13,FALSE)</f>
        <v>420</v>
      </c>
      <c r="W60" s="30"/>
      <c r="X60" s="30"/>
      <c r="Y60" s="30"/>
    </row>
    <row r="61" ht="51" spans="1:25">
      <c r="A61" s="17"/>
      <c r="B61" s="17"/>
      <c r="C61" s="17"/>
      <c r="D61" s="17"/>
      <c r="E61" s="17"/>
      <c r="F61" s="17"/>
      <c r="G61" s="17"/>
      <c r="H61" s="17"/>
      <c r="I61" s="17"/>
      <c r="J61" s="30"/>
      <c r="K61" s="30"/>
      <c r="L61" s="30"/>
      <c r="M61" s="17"/>
      <c r="N61" s="48" t="s">
        <v>898</v>
      </c>
      <c r="O61" s="42" t="s">
        <v>899</v>
      </c>
      <c r="P61" s="49" t="s">
        <v>900</v>
      </c>
      <c r="Q61" s="49" t="s">
        <v>901</v>
      </c>
      <c r="R61" s="49" t="s">
        <v>35</v>
      </c>
      <c r="S61" s="42" t="s">
        <v>110</v>
      </c>
      <c r="T61" s="42">
        <f>VLOOKUP(O61,眼科项目!$C$3:$O$485,11,FALSE)</f>
        <v>1350</v>
      </c>
      <c r="U61" s="42">
        <f>VLOOKUP(O61,眼科项目!$C$3:$O$485,12,FALSE)</f>
        <v>1220</v>
      </c>
      <c r="V61" s="42">
        <f>VLOOKUP(O61,眼科项目!$C$3:$O$485,13,FALSE)</f>
        <v>1040</v>
      </c>
      <c r="W61" s="30"/>
      <c r="X61" s="30"/>
      <c r="Y61" s="30"/>
    </row>
    <row r="62" ht="25.5" spans="1:25">
      <c r="A62" s="17"/>
      <c r="B62" s="17"/>
      <c r="C62" s="17"/>
      <c r="D62" s="17"/>
      <c r="E62" s="17"/>
      <c r="F62" s="17"/>
      <c r="G62" s="17"/>
      <c r="H62" s="17"/>
      <c r="I62" s="17"/>
      <c r="J62" s="30"/>
      <c r="K62" s="30"/>
      <c r="L62" s="30"/>
      <c r="M62" s="17"/>
      <c r="N62" s="48" t="s">
        <v>905</v>
      </c>
      <c r="O62" s="42" t="s">
        <v>906</v>
      </c>
      <c r="P62" s="49"/>
      <c r="Q62" s="49"/>
      <c r="R62" s="49" t="s">
        <v>35</v>
      </c>
      <c r="S62" s="42" t="s">
        <v>110</v>
      </c>
      <c r="T62" s="42">
        <f>VLOOKUP(O62,眼科项目!$C$3:$O$485,11,FALSE)</f>
        <v>405</v>
      </c>
      <c r="U62" s="42">
        <f>VLOOKUP(O62,眼科项目!$C$3:$O$485,12,FALSE)</f>
        <v>365</v>
      </c>
      <c r="V62" s="42">
        <f>VLOOKUP(O62,眼科项目!$C$3:$O$485,13,FALSE)</f>
        <v>310</v>
      </c>
      <c r="W62" s="30"/>
      <c r="X62" s="30"/>
      <c r="Y62" s="30"/>
    </row>
    <row r="63" ht="37" customHeight="1" spans="1:25">
      <c r="A63" s="18" t="s">
        <v>824</v>
      </c>
      <c r="B63" s="18">
        <v>330405016</v>
      </c>
      <c r="C63" s="18" t="s">
        <v>825</v>
      </c>
      <c r="D63" s="18"/>
      <c r="E63" s="18"/>
      <c r="F63" s="18" t="s">
        <v>36</v>
      </c>
      <c r="G63" s="18" t="s">
        <v>35</v>
      </c>
      <c r="H63" s="18">
        <v>1340</v>
      </c>
      <c r="I63" s="18">
        <v>1210</v>
      </c>
      <c r="J63" s="31">
        <v>1180</v>
      </c>
      <c r="K63" s="31">
        <v>1060</v>
      </c>
      <c r="L63" s="31">
        <v>900</v>
      </c>
      <c r="M63" s="18" t="s">
        <v>37</v>
      </c>
      <c r="N63" s="168" t="s">
        <v>815</v>
      </c>
      <c r="O63" s="41" t="s">
        <v>816</v>
      </c>
      <c r="P63" s="41" t="s">
        <v>817</v>
      </c>
      <c r="Q63" s="41" t="s">
        <v>818</v>
      </c>
      <c r="R63" s="41" t="s">
        <v>819</v>
      </c>
      <c r="S63" s="41" t="s">
        <v>110</v>
      </c>
      <c r="T63" s="41">
        <f>VLOOKUP(O63,眼科项目!$C$3:$O$485,11,FALSE)</f>
        <v>850</v>
      </c>
      <c r="U63" s="41">
        <f>VLOOKUP(O63,眼科项目!$C$3:$O$485,12,FALSE)</f>
        <v>800</v>
      </c>
      <c r="V63" s="41">
        <f>VLOOKUP(O63,眼科项目!$C$3:$O$485,13,FALSE)</f>
        <v>700</v>
      </c>
      <c r="W63" s="31">
        <f>T64+T63*0.5</f>
        <v>1435</v>
      </c>
      <c r="X63" s="31">
        <f>U64+U63*0.5</f>
        <v>1310</v>
      </c>
      <c r="Y63" s="31">
        <f>V64+V63*0.5</f>
        <v>1125</v>
      </c>
    </row>
    <row r="64" ht="37" customHeight="1" spans="1:25">
      <c r="A64" s="19"/>
      <c r="B64" s="19"/>
      <c r="C64" s="19"/>
      <c r="D64" s="19"/>
      <c r="E64" s="19"/>
      <c r="F64" s="19"/>
      <c r="G64" s="19"/>
      <c r="H64" s="19"/>
      <c r="I64" s="19"/>
      <c r="J64" s="32"/>
      <c r="K64" s="32"/>
      <c r="L64" s="32"/>
      <c r="M64" s="19"/>
      <c r="N64" s="50" t="s">
        <v>839</v>
      </c>
      <c r="O64" s="41" t="s">
        <v>840</v>
      </c>
      <c r="P64" s="51" t="s">
        <v>841</v>
      </c>
      <c r="Q64" s="51" t="s">
        <v>842</v>
      </c>
      <c r="R64" s="51" t="s">
        <v>35</v>
      </c>
      <c r="S64" s="41" t="s">
        <v>110</v>
      </c>
      <c r="T64" s="41">
        <f>VLOOKUP(O64,眼科项目!$C$3:$O$485,11,FALSE)</f>
        <v>1010</v>
      </c>
      <c r="U64" s="41">
        <f>VLOOKUP(O64,眼科项目!$C$3:$O$485,12,FALSE)</f>
        <v>910</v>
      </c>
      <c r="V64" s="41">
        <f>VLOOKUP(O64,眼科项目!$C$3:$O$485,13,FALSE)</f>
        <v>775</v>
      </c>
      <c r="W64" s="32"/>
      <c r="X64" s="32"/>
      <c r="Y64" s="32"/>
    </row>
    <row r="65" ht="37" customHeight="1" spans="1:25">
      <c r="A65" s="17" t="s">
        <v>830</v>
      </c>
      <c r="B65" s="17">
        <v>33040501601</v>
      </c>
      <c r="C65" s="17" t="s">
        <v>831</v>
      </c>
      <c r="D65" s="17"/>
      <c r="E65" s="17"/>
      <c r="F65" s="17" t="s">
        <v>36</v>
      </c>
      <c r="G65" s="17" t="s">
        <v>35</v>
      </c>
      <c r="H65" s="17">
        <v>1740</v>
      </c>
      <c r="I65" s="17">
        <v>1575</v>
      </c>
      <c r="J65" s="30">
        <v>1535</v>
      </c>
      <c r="K65" s="30">
        <v>1380</v>
      </c>
      <c r="L65" s="30">
        <v>1175</v>
      </c>
      <c r="M65" s="17" t="s">
        <v>37</v>
      </c>
      <c r="N65" s="42" t="s">
        <v>815</v>
      </c>
      <c r="O65" s="42" t="s">
        <v>816</v>
      </c>
      <c r="P65" s="42" t="s">
        <v>817</v>
      </c>
      <c r="Q65" s="42" t="s">
        <v>818</v>
      </c>
      <c r="R65" s="42" t="s">
        <v>819</v>
      </c>
      <c r="S65" s="42" t="s">
        <v>110</v>
      </c>
      <c r="T65" s="42">
        <f>VLOOKUP(O65,眼科项目!$C$3:$O$485,11,FALSE)</f>
        <v>850</v>
      </c>
      <c r="U65" s="42">
        <f>VLOOKUP(O65,眼科项目!$C$3:$O$485,12,FALSE)</f>
        <v>800</v>
      </c>
      <c r="V65" s="42">
        <f>VLOOKUP(O65,眼科项目!$C$3:$O$485,13,FALSE)</f>
        <v>700</v>
      </c>
      <c r="W65" s="30">
        <f>T67+T68+(T65+T66)*0.5</f>
        <v>1867.5</v>
      </c>
      <c r="X65" s="30">
        <f>U67+U68+(U65+U66)*0.5</f>
        <v>1705</v>
      </c>
      <c r="Y65" s="30">
        <f>V67+V68+(V65+V66)*0.5</f>
        <v>1460</v>
      </c>
    </row>
    <row r="66" ht="37" customHeight="1" spans="1:25">
      <c r="A66" s="17"/>
      <c r="B66" s="17"/>
      <c r="C66" s="17"/>
      <c r="D66" s="17"/>
      <c r="E66" s="17"/>
      <c r="F66" s="17"/>
      <c r="G66" s="17"/>
      <c r="H66" s="17"/>
      <c r="I66" s="17"/>
      <c r="J66" s="30"/>
      <c r="K66" s="30"/>
      <c r="L66" s="30"/>
      <c r="M66" s="17"/>
      <c r="N66" s="42" t="s">
        <v>826</v>
      </c>
      <c r="O66" s="42" t="s">
        <v>827</v>
      </c>
      <c r="P66" s="42"/>
      <c r="Q66" s="42"/>
      <c r="R66" s="42" t="s">
        <v>35</v>
      </c>
      <c r="S66" s="42" t="s">
        <v>110</v>
      </c>
      <c r="T66" s="42">
        <f>VLOOKUP(O66,眼科项目!$C$3:$O$485,11,FALSE)</f>
        <v>255</v>
      </c>
      <c r="U66" s="42">
        <f>VLOOKUP(O66,眼科项目!$C$3:$O$485,12,FALSE)</f>
        <v>240</v>
      </c>
      <c r="V66" s="42">
        <f>VLOOKUP(O66,眼科项目!$C$3:$O$485,13,FALSE)</f>
        <v>210</v>
      </c>
      <c r="W66" s="30"/>
      <c r="X66" s="30"/>
      <c r="Y66" s="30"/>
    </row>
    <row r="67" ht="37" customHeight="1" spans="1:25">
      <c r="A67" s="17"/>
      <c r="B67" s="17"/>
      <c r="C67" s="17"/>
      <c r="D67" s="17"/>
      <c r="E67" s="17"/>
      <c r="F67" s="17"/>
      <c r="G67" s="17"/>
      <c r="H67" s="17"/>
      <c r="I67" s="17"/>
      <c r="J67" s="30"/>
      <c r="K67" s="30"/>
      <c r="L67" s="30"/>
      <c r="M67" s="17"/>
      <c r="N67" s="48" t="s">
        <v>839</v>
      </c>
      <c r="O67" s="42" t="s">
        <v>840</v>
      </c>
      <c r="P67" s="49" t="s">
        <v>841</v>
      </c>
      <c r="Q67" s="49" t="s">
        <v>842</v>
      </c>
      <c r="R67" s="49" t="s">
        <v>35</v>
      </c>
      <c r="S67" s="42" t="s">
        <v>110</v>
      </c>
      <c r="T67" s="42">
        <f>VLOOKUP(O67,眼科项目!$C$3:$O$485,11,FALSE)</f>
        <v>1010</v>
      </c>
      <c r="U67" s="42">
        <f>VLOOKUP(O67,眼科项目!$C$3:$O$485,12,FALSE)</f>
        <v>910</v>
      </c>
      <c r="V67" s="42">
        <f>VLOOKUP(O67,眼科项目!$C$3:$O$485,13,FALSE)</f>
        <v>775</v>
      </c>
      <c r="W67" s="30"/>
      <c r="X67" s="30"/>
      <c r="Y67" s="30"/>
    </row>
    <row r="68" ht="37" customHeight="1" spans="1:25">
      <c r="A68" s="17"/>
      <c r="B68" s="17"/>
      <c r="C68" s="17"/>
      <c r="D68" s="17"/>
      <c r="E68" s="17"/>
      <c r="F68" s="17"/>
      <c r="G68" s="17"/>
      <c r="H68" s="17"/>
      <c r="I68" s="17"/>
      <c r="J68" s="30"/>
      <c r="K68" s="30"/>
      <c r="L68" s="30"/>
      <c r="M68" s="17"/>
      <c r="N68" s="48" t="s">
        <v>846</v>
      </c>
      <c r="O68" s="42" t="s">
        <v>847</v>
      </c>
      <c r="P68" s="49"/>
      <c r="Q68" s="49"/>
      <c r="R68" s="49" t="s">
        <v>35</v>
      </c>
      <c r="S68" s="42" t="s">
        <v>110</v>
      </c>
      <c r="T68" s="42">
        <f>VLOOKUP(O68,眼科项目!$C$3:$O$485,11,FALSE)</f>
        <v>305</v>
      </c>
      <c r="U68" s="42">
        <f>VLOOKUP(O68,眼科项目!$C$3:$O$485,12,FALSE)</f>
        <v>275</v>
      </c>
      <c r="V68" s="42">
        <f>VLOOKUP(O68,眼科项目!$C$3:$O$485,13,FALSE)</f>
        <v>230</v>
      </c>
      <c r="W68" s="30"/>
      <c r="X68" s="30"/>
      <c r="Y68" s="30"/>
    </row>
  </sheetData>
  <mergeCells count="322">
    <mergeCell ref="A1:M1"/>
    <mergeCell ref="N1:V1"/>
    <mergeCell ref="A3:A5"/>
    <mergeCell ref="A6:A8"/>
    <mergeCell ref="A9:A10"/>
    <mergeCell ref="A11:A14"/>
    <mergeCell ref="A15:A16"/>
    <mergeCell ref="A17:A20"/>
    <mergeCell ref="A21:A22"/>
    <mergeCell ref="A23:A26"/>
    <mergeCell ref="A27:A28"/>
    <mergeCell ref="A29:A32"/>
    <mergeCell ref="A33:A36"/>
    <mergeCell ref="A37:A44"/>
    <mergeCell ref="A45:A46"/>
    <mergeCell ref="A47:A50"/>
    <mergeCell ref="A51:A52"/>
    <mergeCell ref="A53:A56"/>
    <mergeCell ref="A57:A58"/>
    <mergeCell ref="A59:A62"/>
    <mergeCell ref="A63:A64"/>
    <mergeCell ref="A65:A68"/>
    <mergeCell ref="B3:B5"/>
    <mergeCell ref="B6:B8"/>
    <mergeCell ref="B9:B10"/>
    <mergeCell ref="B11:B14"/>
    <mergeCell ref="B15:B16"/>
    <mergeCell ref="B17:B20"/>
    <mergeCell ref="B21:B22"/>
    <mergeCell ref="B23:B26"/>
    <mergeCell ref="B27:B28"/>
    <mergeCell ref="B29:B32"/>
    <mergeCell ref="B33:B36"/>
    <mergeCell ref="B37:B44"/>
    <mergeCell ref="B45:B46"/>
    <mergeCell ref="B47:B50"/>
    <mergeCell ref="B51:B52"/>
    <mergeCell ref="B53:B56"/>
    <mergeCell ref="B57:B58"/>
    <mergeCell ref="B59:B62"/>
    <mergeCell ref="B63:B64"/>
    <mergeCell ref="B65:B68"/>
    <mergeCell ref="C3:C5"/>
    <mergeCell ref="C6:C8"/>
    <mergeCell ref="C9:C10"/>
    <mergeCell ref="C11:C14"/>
    <mergeCell ref="C15:C16"/>
    <mergeCell ref="C17:C20"/>
    <mergeCell ref="C21:C22"/>
    <mergeCell ref="C23:C26"/>
    <mergeCell ref="C27:C28"/>
    <mergeCell ref="C29:C32"/>
    <mergeCell ref="C33:C36"/>
    <mergeCell ref="C37:C44"/>
    <mergeCell ref="C45:C46"/>
    <mergeCell ref="C47:C50"/>
    <mergeCell ref="C51:C52"/>
    <mergeCell ref="C53:C56"/>
    <mergeCell ref="C57:C58"/>
    <mergeCell ref="C59:C62"/>
    <mergeCell ref="C63:C64"/>
    <mergeCell ref="C65:C68"/>
    <mergeCell ref="D3:D5"/>
    <mergeCell ref="D6:D8"/>
    <mergeCell ref="D9:D10"/>
    <mergeCell ref="D11:D14"/>
    <mergeCell ref="D15:D16"/>
    <mergeCell ref="D17:D20"/>
    <mergeCell ref="D21:D22"/>
    <mergeCell ref="D23:D26"/>
    <mergeCell ref="D27:D28"/>
    <mergeCell ref="D29:D32"/>
    <mergeCell ref="D33:D36"/>
    <mergeCell ref="D37:D44"/>
    <mergeCell ref="D45:D46"/>
    <mergeCell ref="D47:D50"/>
    <mergeCell ref="D51:D52"/>
    <mergeCell ref="D53:D56"/>
    <mergeCell ref="D57:D58"/>
    <mergeCell ref="D59:D62"/>
    <mergeCell ref="D63:D64"/>
    <mergeCell ref="D65:D68"/>
    <mergeCell ref="E3:E5"/>
    <mergeCell ref="E6:E8"/>
    <mergeCell ref="E9:E10"/>
    <mergeCell ref="E11:E14"/>
    <mergeCell ref="E15:E16"/>
    <mergeCell ref="E17:E20"/>
    <mergeCell ref="E21:E22"/>
    <mergeCell ref="E23:E26"/>
    <mergeCell ref="E27:E28"/>
    <mergeCell ref="E29:E32"/>
    <mergeCell ref="E33:E36"/>
    <mergeCell ref="E37:E44"/>
    <mergeCell ref="E45:E46"/>
    <mergeCell ref="E47:E50"/>
    <mergeCell ref="E51:E52"/>
    <mergeCell ref="E53:E56"/>
    <mergeCell ref="E57:E58"/>
    <mergeCell ref="E59:E62"/>
    <mergeCell ref="E63:E64"/>
    <mergeCell ref="E65:E68"/>
    <mergeCell ref="F3:F5"/>
    <mergeCell ref="F6:F8"/>
    <mergeCell ref="F9:F10"/>
    <mergeCell ref="F11:F14"/>
    <mergeCell ref="F15:F16"/>
    <mergeCell ref="F17:F20"/>
    <mergeCell ref="F21:F22"/>
    <mergeCell ref="F23:F26"/>
    <mergeCell ref="F27:F28"/>
    <mergeCell ref="F29:F32"/>
    <mergeCell ref="F33:F36"/>
    <mergeCell ref="F37:F44"/>
    <mergeCell ref="F45:F46"/>
    <mergeCell ref="F47:F50"/>
    <mergeCell ref="F51:F52"/>
    <mergeCell ref="F53:F56"/>
    <mergeCell ref="F57:F58"/>
    <mergeCell ref="F59:F62"/>
    <mergeCell ref="F63:F64"/>
    <mergeCell ref="F65:F68"/>
    <mergeCell ref="G3:G5"/>
    <mergeCell ref="G6:G8"/>
    <mergeCell ref="G9:G10"/>
    <mergeCell ref="G11:G14"/>
    <mergeCell ref="G15:G16"/>
    <mergeCell ref="G17:G20"/>
    <mergeCell ref="G21:G22"/>
    <mergeCell ref="G23:G26"/>
    <mergeCell ref="G27:G28"/>
    <mergeCell ref="G29:G32"/>
    <mergeCell ref="G33:G36"/>
    <mergeCell ref="G37:G44"/>
    <mergeCell ref="G45:G46"/>
    <mergeCell ref="G47:G50"/>
    <mergeCell ref="G51:G52"/>
    <mergeCell ref="G53:G56"/>
    <mergeCell ref="G57:G58"/>
    <mergeCell ref="G59:G62"/>
    <mergeCell ref="G63:G64"/>
    <mergeCell ref="G65:G68"/>
    <mergeCell ref="H3:H5"/>
    <mergeCell ref="H6:H8"/>
    <mergeCell ref="H9:H10"/>
    <mergeCell ref="H11:H14"/>
    <mergeCell ref="H15:H16"/>
    <mergeCell ref="H17:H20"/>
    <mergeCell ref="H21:H22"/>
    <mergeCell ref="H23:H26"/>
    <mergeCell ref="H27:H28"/>
    <mergeCell ref="H29:H32"/>
    <mergeCell ref="H33:H36"/>
    <mergeCell ref="H37:H44"/>
    <mergeCell ref="H45:H46"/>
    <mergeCell ref="H47:H50"/>
    <mergeCell ref="H51:H52"/>
    <mergeCell ref="H53:H56"/>
    <mergeCell ref="H57:H58"/>
    <mergeCell ref="H59:H62"/>
    <mergeCell ref="H63:H64"/>
    <mergeCell ref="H65:H68"/>
    <mergeCell ref="I3:I5"/>
    <mergeCell ref="I6:I8"/>
    <mergeCell ref="I9:I10"/>
    <mergeCell ref="I11:I14"/>
    <mergeCell ref="I15:I16"/>
    <mergeCell ref="I17:I20"/>
    <mergeCell ref="I21:I22"/>
    <mergeCell ref="I23:I26"/>
    <mergeCell ref="I27:I28"/>
    <mergeCell ref="I29:I32"/>
    <mergeCell ref="I33:I36"/>
    <mergeCell ref="I37:I44"/>
    <mergeCell ref="I45:I46"/>
    <mergeCell ref="I47:I50"/>
    <mergeCell ref="I51:I52"/>
    <mergeCell ref="I53:I56"/>
    <mergeCell ref="I57:I58"/>
    <mergeCell ref="I59:I62"/>
    <mergeCell ref="I63:I64"/>
    <mergeCell ref="I65:I68"/>
    <mergeCell ref="J3:J5"/>
    <mergeCell ref="J6:J8"/>
    <mergeCell ref="J9:J10"/>
    <mergeCell ref="J11:J14"/>
    <mergeCell ref="J15:J16"/>
    <mergeCell ref="J17:J20"/>
    <mergeCell ref="J21:J22"/>
    <mergeCell ref="J23:J26"/>
    <mergeCell ref="J27:J28"/>
    <mergeCell ref="J29:J32"/>
    <mergeCell ref="J33:J36"/>
    <mergeCell ref="J37:J44"/>
    <mergeCell ref="J45:J46"/>
    <mergeCell ref="J47:J50"/>
    <mergeCell ref="J51:J52"/>
    <mergeCell ref="J53:J56"/>
    <mergeCell ref="J57:J58"/>
    <mergeCell ref="J59:J62"/>
    <mergeCell ref="J63:J64"/>
    <mergeCell ref="J65:J68"/>
    <mergeCell ref="K3:K5"/>
    <mergeCell ref="K6:K8"/>
    <mergeCell ref="K9:K10"/>
    <mergeCell ref="K11:K14"/>
    <mergeCell ref="K15:K16"/>
    <mergeCell ref="K17:K20"/>
    <mergeCell ref="K21:K22"/>
    <mergeCell ref="K23:K26"/>
    <mergeCell ref="K27:K28"/>
    <mergeCell ref="K29:K32"/>
    <mergeCell ref="K33:K36"/>
    <mergeCell ref="K37:K44"/>
    <mergeCell ref="K45:K46"/>
    <mergeCell ref="K47:K50"/>
    <mergeCell ref="K51:K52"/>
    <mergeCell ref="K53:K56"/>
    <mergeCell ref="K57:K58"/>
    <mergeCell ref="K59:K62"/>
    <mergeCell ref="K63:K64"/>
    <mergeCell ref="K65:K68"/>
    <mergeCell ref="L3:L5"/>
    <mergeCell ref="L6:L8"/>
    <mergeCell ref="L9:L10"/>
    <mergeCell ref="L11:L14"/>
    <mergeCell ref="L15:L16"/>
    <mergeCell ref="L17:L20"/>
    <mergeCell ref="L21:L22"/>
    <mergeCell ref="L23:L26"/>
    <mergeCell ref="L27:L28"/>
    <mergeCell ref="L29:L32"/>
    <mergeCell ref="L33:L36"/>
    <mergeCell ref="L37:L44"/>
    <mergeCell ref="L45:L46"/>
    <mergeCell ref="L47:L50"/>
    <mergeCell ref="L51:L52"/>
    <mergeCell ref="L53:L56"/>
    <mergeCell ref="L57:L58"/>
    <mergeCell ref="L59:L62"/>
    <mergeCell ref="L63:L64"/>
    <mergeCell ref="L65:L68"/>
    <mergeCell ref="M3:M5"/>
    <mergeCell ref="M6:M8"/>
    <mergeCell ref="M9:M10"/>
    <mergeCell ref="M11:M14"/>
    <mergeCell ref="M15:M16"/>
    <mergeCell ref="M17:M20"/>
    <mergeCell ref="M21:M22"/>
    <mergeCell ref="M23:M26"/>
    <mergeCell ref="M27:M28"/>
    <mergeCell ref="M29:M32"/>
    <mergeCell ref="M33:M36"/>
    <mergeCell ref="M37:M44"/>
    <mergeCell ref="M45:M46"/>
    <mergeCell ref="M47:M50"/>
    <mergeCell ref="M51:M52"/>
    <mergeCell ref="M53:M56"/>
    <mergeCell ref="M57:M58"/>
    <mergeCell ref="M59:M62"/>
    <mergeCell ref="M63:M64"/>
    <mergeCell ref="M65:M68"/>
    <mergeCell ref="W3:W5"/>
    <mergeCell ref="W6:W8"/>
    <mergeCell ref="W9:W10"/>
    <mergeCell ref="W11:W14"/>
    <mergeCell ref="W15:W16"/>
    <mergeCell ref="W17:W20"/>
    <mergeCell ref="W21:W22"/>
    <mergeCell ref="W23:W26"/>
    <mergeCell ref="W27:W28"/>
    <mergeCell ref="W29:W32"/>
    <mergeCell ref="W33:W36"/>
    <mergeCell ref="W37:W44"/>
    <mergeCell ref="W45:W46"/>
    <mergeCell ref="W47:W50"/>
    <mergeCell ref="W51:W52"/>
    <mergeCell ref="W53:W56"/>
    <mergeCell ref="W57:W58"/>
    <mergeCell ref="W59:W62"/>
    <mergeCell ref="W63:W64"/>
    <mergeCell ref="W65:W68"/>
    <mergeCell ref="X3:X5"/>
    <mergeCell ref="X6:X8"/>
    <mergeCell ref="X9:X10"/>
    <mergeCell ref="X11:X14"/>
    <mergeCell ref="X15:X16"/>
    <mergeCell ref="X17:X20"/>
    <mergeCell ref="X21:X22"/>
    <mergeCell ref="X23:X26"/>
    <mergeCell ref="X27:X28"/>
    <mergeCell ref="X29:X32"/>
    <mergeCell ref="X33:X36"/>
    <mergeCell ref="X37:X44"/>
    <mergeCell ref="X45:X46"/>
    <mergeCell ref="X47:X50"/>
    <mergeCell ref="X51:X52"/>
    <mergeCell ref="X53:X56"/>
    <mergeCell ref="X57:X58"/>
    <mergeCell ref="X59:X62"/>
    <mergeCell ref="X63:X64"/>
    <mergeCell ref="X65:X68"/>
    <mergeCell ref="Y3:Y5"/>
    <mergeCell ref="Y6:Y8"/>
    <mergeCell ref="Y9:Y10"/>
    <mergeCell ref="Y11:Y14"/>
    <mergeCell ref="Y15:Y16"/>
    <mergeCell ref="Y17:Y20"/>
    <mergeCell ref="Y21:Y22"/>
    <mergeCell ref="Y23:Y26"/>
    <mergeCell ref="Y27:Y28"/>
    <mergeCell ref="Y29:Y32"/>
    <mergeCell ref="Y33:Y36"/>
    <mergeCell ref="Y37:Y44"/>
    <mergeCell ref="Y45:Y46"/>
    <mergeCell ref="Y47:Y50"/>
    <mergeCell ref="Y51:Y52"/>
    <mergeCell ref="Y53:Y56"/>
    <mergeCell ref="Y57:Y58"/>
    <mergeCell ref="Y59:Y62"/>
    <mergeCell ref="Y63:Y64"/>
    <mergeCell ref="Y65:Y6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04"/>
  <sheetViews>
    <sheetView tabSelected="1" topLeftCell="G365" workbookViewId="0">
      <selection activeCell="U379" sqref="U379"/>
    </sheetView>
  </sheetViews>
  <sheetFormatPr defaultColWidth="9" defaultRowHeight="14.25"/>
  <cols>
    <col min="4" max="4" width="19.875" customWidth="1"/>
    <col min="5" max="5" width="30.375" customWidth="1"/>
    <col min="6" max="6" width="28.25" customWidth="1"/>
    <col min="7" max="7" width="34.625" customWidth="1"/>
    <col min="15" max="16" width="12.625"/>
    <col min="23" max="23" width="13" customWidth="1"/>
  </cols>
  <sheetData>
    <row r="1" ht="38.25" spans="1:23">
      <c r="A1" s="1" t="s">
        <v>1941</v>
      </c>
      <c r="B1" s="1" t="s">
        <v>1942</v>
      </c>
      <c r="C1" s="1" t="s">
        <v>1943</v>
      </c>
      <c r="D1" s="2" t="s">
        <v>1944</v>
      </c>
      <c r="E1" s="1" t="s">
        <v>1945</v>
      </c>
      <c r="F1" s="2" t="s">
        <v>1946</v>
      </c>
      <c r="G1" s="1" t="s">
        <v>1947</v>
      </c>
      <c r="H1" s="1" t="s">
        <v>1948</v>
      </c>
      <c r="I1" s="1" t="s">
        <v>1949</v>
      </c>
      <c r="J1" s="1" t="s">
        <v>1950</v>
      </c>
      <c r="K1" s="1" t="s">
        <v>1951</v>
      </c>
      <c r="L1" s="1" t="s">
        <v>1952</v>
      </c>
      <c r="M1" s="1" t="s">
        <v>1953</v>
      </c>
      <c r="N1" s="1" t="s">
        <v>1954</v>
      </c>
      <c r="O1" s="1" t="s">
        <v>1955</v>
      </c>
      <c r="P1" s="1" t="s">
        <v>1956</v>
      </c>
      <c r="Q1" s="1" t="s">
        <v>1957</v>
      </c>
      <c r="R1" s="1" t="s">
        <v>1958</v>
      </c>
      <c r="S1" s="1" t="s">
        <v>1959</v>
      </c>
      <c r="T1" s="1" t="s">
        <v>1960</v>
      </c>
      <c r="U1" s="1" t="s">
        <v>1961</v>
      </c>
      <c r="V1" s="1" t="s">
        <v>1962</v>
      </c>
      <c r="W1" s="5"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row r="2" spans="1:23">
      <c r="A2">
        <v>2066</v>
      </c>
      <c r="B2" t="s">
        <v>1963</v>
      </c>
      <c r="C2">
        <v>1</v>
      </c>
      <c r="D2" s="3" t="s">
        <v>1964</v>
      </c>
      <c r="E2" t="s">
        <v>40</v>
      </c>
      <c r="F2" t="s">
        <v>40</v>
      </c>
      <c r="G2" t="s">
        <v>41</v>
      </c>
      <c r="H2" t="s">
        <v>1963</v>
      </c>
      <c r="I2" t="s">
        <v>1963</v>
      </c>
      <c r="J2">
        <v>1.1</v>
      </c>
      <c r="K2">
        <v>1</v>
      </c>
      <c r="L2">
        <v>0.9</v>
      </c>
      <c r="M2" t="s">
        <v>1963</v>
      </c>
      <c r="N2">
        <v>1</v>
      </c>
      <c r="O2">
        <v>1</v>
      </c>
      <c r="P2">
        <v>1</v>
      </c>
      <c r="Q2" t="s">
        <v>36</v>
      </c>
      <c r="R2">
        <v>24</v>
      </c>
      <c r="S2">
        <v>1</v>
      </c>
      <c r="T2" s="4" t="s">
        <v>1965</v>
      </c>
      <c r="U2" s="4" t="s">
        <v>1966</v>
      </c>
      <c r="V2">
        <v>0</v>
      </c>
      <c r="W2" s="6" t="str">
        <f>"("&amp;A2&amp;","&amp;B2&amp;","&amp;C2&amp;",'"&amp;D2&amp;"','"&amp;E2&amp;"','"&amp;F2&amp;"','"&amp;G2&amp;"',"&amp;H2&amp;","&amp;I2&amp;","&amp;J2&amp;","&amp;K2&amp;","&amp;L2&amp;","&amp;M2&amp;","&amp;N2&amp;","&amp;O2&amp;","&amp;P2&amp;",'"&amp;Q2&amp;"',"&amp;R2&amp;","&amp;S2&amp;",'"&amp;T2&amp;"','"&amp;U2&amp;"',"&amp;V2&amp;"),"</f>
        <v>(2066,null,1,'2026-03-24 00:00:00','003103000010000-310300001','003103000010000-310300001','普通视力检查',null,null,1.1,1,0.9,null,1,1,1,'次',24,1,'normal','main',0),</v>
      </c>
    </row>
    <row r="3" spans="1:23">
      <c r="A3">
        <v>2067</v>
      </c>
      <c r="B3" t="s">
        <v>1963</v>
      </c>
      <c r="C3">
        <v>1</v>
      </c>
      <c r="D3" s="3" t="s">
        <v>1964</v>
      </c>
      <c r="E3" t="s">
        <v>49</v>
      </c>
      <c r="F3" t="s">
        <v>49</v>
      </c>
      <c r="G3" t="s">
        <v>50</v>
      </c>
      <c r="H3" t="s">
        <v>1963</v>
      </c>
      <c r="I3" t="s">
        <v>1963</v>
      </c>
      <c r="J3">
        <v>2.1</v>
      </c>
      <c r="K3">
        <v>2</v>
      </c>
      <c r="L3">
        <v>1.7</v>
      </c>
      <c r="M3" t="s">
        <v>1963</v>
      </c>
      <c r="N3">
        <v>0</v>
      </c>
      <c r="O3">
        <v>0</v>
      </c>
      <c r="P3">
        <v>0</v>
      </c>
      <c r="Q3" t="s">
        <v>52</v>
      </c>
      <c r="R3">
        <v>24</v>
      </c>
      <c r="S3">
        <v>1</v>
      </c>
      <c r="T3" s="4" t="s">
        <v>1965</v>
      </c>
      <c r="U3" s="4" t="s">
        <v>1966</v>
      </c>
      <c r="V3">
        <v>0</v>
      </c>
      <c r="W3" s="6" t="str">
        <f t="shared" ref="W3:W66" si="0">"("&amp;A3&amp;","&amp;B3&amp;","&amp;C3&amp;",'"&amp;D3&amp;"','"&amp;E3&amp;"','"&amp;F3&amp;"','"&amp;G3&amp;"',"&amp;H3&amp;","&amp;I3&amp;","&amp;J3&amp;","&amp;K3&amp;","&amp;L3&amp;","&amp;M3&amp;","&amp;N3&amp;","&amp;O3&amp;","&amp;P3&amp;",'"&amp;Q3&amp;"',"&amp;R3&amp;","&amp;S3&amp;",'"&amp;T3&amp;"','"&amp;U3&amp;"',"&amp;V3&amp;"),"</f>
        <v>(2067,null,1,'2026-03-24 00:00:00','003103000020000-310300002','003103000020000-310300002','特殊视力检查',null,null,2.1,2,1.7,null,0,0,0,'项',24,1,'normal','main',0),</v>
      </c>
    </row>
    <row r="4" spans="1:23">
      <c r="A4">
        <v>2068</v>
      </c>
      <c r="B4" t="s">
        <v>1963</v>
      </c>
      <c r="C4">
        <v>1</v>
      </c>
      <c r="D4" s="3" t="s">
        <v>1964</v>
      </c>
      <c r="E4" t="s">
        <v>53</v>
      </c>
      <c r="F4" t="s">
        <v>53</v>
      </c>
      <c r="G4" t="s">
        <v>54</v>
      </c>
      <c r="H4" t="s">
        <v>1963</v>
      </c>
      <c r="I4" t="s">
        <v>1963</v>
      </c>
      <c r="J4">
        <v>2.1</v>
      </c>
      <c r="K4">
        <v>2</v>
      </c>
      <c r="L4">
        <v>1.7</v>
      </c>
      <c r="M4" t="s">
        <v>1963</v>
      </c>
      <c r="N4">
        <v>0</v>
      </c>
      <c r="O4">
        <v>0</v>
      </c>
      <c r="P4">
        <v>0</v>
      </c>
      <c r="Q4" t="s">
        <v>52</v>
      </c>
      <c r="R4">
        <v>24</v>
      </c>
      <c r="S4">
        <v>1</v>
      </c>
      <c r="T4" s="4" t="s">
        <v>1965</v>
      </c>
      <c r="U4" s="4" t="s">
        <v>1966</v>
      </c>
      <c r="V4">
        <v>0</v>
      </c>
      <c r="W4" s="6" t="str">
        <f t="shared" si="0"/>
        <v>(2068,null,1,'2026-03-24 00:00:00','003103000020100-31030000201','003103000020100-31030000201','特殊视力检查（儿童图形视力表）',null,null,2.1,2,1.7,null,0,0,0,'项',24,1,'normal','main',0),</v>
      </c>
    </row>
    <row r="5" spans="1:23">
      <c r="A5">
        <v>2069</v>
      </c>
      <c r="B5" t="s">
        <v>1963</v>
      </c>
      <c r="C5">
        <v>1</v>
      </c>
      <c r="D5" s="3" t="s">
        <v>1964</v>
      </c>
      <c r="E5" t="s">
        <v>56</v>
      </c>
      <c r="F5" t="s">
        <v>56</v>
      </c>
      <c r="G5" t="s">
        <v>57</v>
      </c>
      <c r="H5" t="s">
        <v>1963</v>
      </c>
      <c r="I5" t="s">
        <v>1963</v>
      </c>
      <c r="J5">
        <v>2.1</v>
      </c>
      <c r="K5">
        <v>2</v>
      </c>
      <c r="L5">
        <v>1.7</v>
      </c>
      <c r="M5" t="s">
        <v>1963</v>
      </c>
      <c r="N5">
        <v>0</v>
      </c>
      <c r="O5">
        <v>0</v>
      </c>
      <c r="P5">
        <v>0</v>
      </c>
      <c r="Q5" t="s">
        <v>52</v>
      </c>
      <c r="R5">
        <v>24</v>
      </c>
      <c r="S5">
        <v>1</v>
      </c>
      <c r="T5" s="4" t="s">
        <v>1965</v>
      </c>
      <c r="U5" s="4" t="s">
        <v>1966</v>
      </c>
      <c r="V5">
        <v>0</v>
      </c>
      <c r="W5" s="6" t="str">
        <f t="shared" si="0"/>
        <v>(2069,null,1,'2026-03-24 00:00:00','003103000020200-31030000202','003103000020200-31030000202','特殊视力检查（点视力表）',null,null,2.1,2,1.7,null,0,0,0,'项',24,1,'normal','main',0),</v>
      </c>
    </row>
    <row r="6" spans="1:23">
      <c r="A6">
        <v>2070</v>
      </c>
      <c r="B6" t="s">
        <v>1963</v>
      </c>
      <c r="C6">
        <v>1</v>
      </c>
      <c r="D6" s="3" t="s">
        <v>1964</v>
      </c>
      <c r="E6" t="s">
        <v>59</v>
      </c>
      <c r="F6" t="s">
        <v>59</v>
      </c>
      <c r="G6" t="s">
        <v>60</v>
      </c>
      <c r="H6" t="s">
        <v>1963</v>
      </c>
      <c r="I6" t="s">
        <v>1963</v>
      </c>
      <c r="J6">
        <v>2.1</v>
      </c>
      <c r="K6">
        <v>2</v>
      </c>
      <c r="L6">
        <v>1.7</v>
      </c>
      <c r="M6" t="s">
        <v>1963</v>
      </c>
      <c r="N6">
        <v>0</v>
      </c>
      <c r="O6">
        <v>0</v>
      </c>
      <c r="P6">
        <v>0</v>
      </c>
      <c r="Q6" t="s">
        <v>52</v>
      </c>
      <c r="R6">
        <v>24</v>
      </c>
      <c r="S6">
        <v>1</v>
      </c>
      <c r="T6" s="4" t="s">
        <v>1965</v>
      </c>
      <c r="U6" s="4" t="s">
        <v>1966</v>
      </c>
      <c r="V6">
        <v>0</v>
      </c>
      <c r="W6" s="6" t="str">
        <f t="shared" si="0"/>
        <v>(2070,null,1,'2026-03-24 00:00:00','003103000020300-31030000203','003103000020300-31030000203','特殊视力检查（条栅视力卡）',null,null,2.1,2,1.7,null,0,0,0,'项',24,1,'normal','main',0),</v>
      </c>
    </row>
    <row r="7" spans="1:23">
      <c r="A7">
        <v>2071</v>
      </c>
      <c r="B7" t="s">
        <v>1963</v>
      </c>
      <c r="C7">
        <v>1</v>
      </c>
      <c r="D7" s="3" t="s">
        <v>1964</v>
      </c>
      <c r="E7" t="s">
        <v>62</v>
      </c>
      <c r="F7" t="s">
        <v>62</v>
      </c>
      <c r="G7" t="s">
        <v>63</v>
      </c>
      <c r="H7" t="s">
        <v>1963</v>
      </c>
      <c r="I7" t="s">
        <v>1963</v>
      </c>
      <c r="J7">
        <v>2.1</v>
      </c>
      <c r="K7">
        <v>2</v>
      </c>
      <c r="L7">
        <v>1.7</v>
      </c>
      <c r="M7" t="s">
        <v>1963</v>
      </c>
      <c r="N7">
        <v>0</v>
      </c>
      <c r="O7">
        <v>0</v>
      </c>
      <c r="P7">
        <v>0</v>
      </c>
      <c r="Q7" t="s">
        <v>52</v>
      </c>
      <c r="R7">
        <v>24</v>
      </c>
      <c r="S7">
        <v>1</v>
      </c>
      <c r="T7" s="4" t="s">
        <v>1965</v>
      </c>
      <c r="U7" s="4" t="s">
        <v>1966</v>
      </c>
      <c r="V7">
        <v>0</v>
      </c>
      <c r="W7" s="6" t="str">
        <f t="shared" si="0"/>
        <v>(2071,null,1,'2026-03-24 00:00:00','003103000020400-31030000204','003103000020400-31030000204','特殊视力检查（视动性眼震仪）',null,null,2.1,2,1.7,null,0,0,0,'项',24,1,'normal','main',0),</v>
      </c>
    </row>
    <row r="8" spans="1:23">
      <c r="A8">
        <v>2072</v>
      </c>
      <c r="B8" t="s">
        <v>1963</v>
      </c>
      <c r="C8">
        <v>1</v>
      </c>
      <c r="D8" s="3" t="s">
        <v>1964</v>
      </c>
      <c r="E8" t="s">
        <v>65</v>
      </c>
      <c r="F8" t="s">
        <v>65</v>
      </c>
      <c r="G8" t="s">
        <v>66</v>
      </c>
      <c r="H8" t="s">
        <v>1963</v>
      </c>
      <c r="I8" t="s">
        <v>1963</v>
      </c>
      <c r="J8">
        <v>2.1</v>
      </c>
      <c r="K8">
        <v>2</v>
      </c>
      <c r="L8">
        <v>1.7</v>
      </c>
      <c r="M8" t="s">
        <v>1963</v>
      </c>
      <c r="N8">
        <v>12</v>
      </c>
      <c r="O8">
        <v>11.5</v>
      </c>
      <c r="P8">
        <v>11</v>
      </c>
      <c r="Q8" t="s">
        <v>36</v>
      </c>
      <c r="R8">
        <v>24</v>
      </c>
      <c r="S8">
        <v>1</v>
      </c>
      <c r="T8" s="4" t="s">
        <v>1965</v>
      </c>
      <c r="U8" s="4" t="s">
        <v>1966</v>
      </c>
      <c r="V8">
        <v>0</v>
      </c>
      <c r="W8" s="6" t="str">
        <f t="shared" si="0"/>
        <v>(2072,null,1,'2026-03-24 00:00:00','003103000030000-310300003','003103000030000-310300003','选择性观看检查',null,null,2.1,2,1.7,null,12,11.5,11,'次',24,1,'normal','main',0),</v>
      </c>
    </row>
    <row r="9" spans="1:23">
      <c r="A9">
        <v>2073</v>
      </c>
      <c r="B9" t="s">
        <v>1963</v>
      </c>
      <c r="C9">
        <v>1</v>
      </c>
      <c r="D9" s="3" t="s">
        <v>1964</v>
      </c>
      <c r="E9" t="s">
        <v>67</v>
      </c>
      <c r="F9" t="s">
        <v>67</v>
      </c>
      <c r="G9" t="s">
        <v>68</v>
      </c>
      <c r="H9" t="s">
        <v>1963</v>
      </c>
      <c r="I9" t="s">
        <v>1963</v>
      </c>
      <c r="J9">
        <v>5.3</v>
      </c>
      <c r="K9">
        <v>5</v>
      </c>
      <c r="L9">
        <v>4.3</v>
      </c>
      <c r="M9" t="s">
        <v>1963</v>
      </c>
      <c r="N9">
        <v>12</v>
      </c>
      <c r="O9">
        <v>11.5</v>
      </c>
      <c r="P9">
        <v>11</v>
      </c>
      <c r="Q9" t="s">
        <v>36</v>
      </c>
      <c r="R9">
        <v>24</v>
      </c>
      <c r="S9">
        <v>1</v>
      </c>
      <c r="T9" s="4" t="s">
        <v>1965</v>
      </c>
      <c r="U9" s="4" t="s">
        <v>1966</v>
      </c>
      <c r="V9">
        <v>0</v>
      </c>
      <c r="W9" s="6" t="str">
        <f t="shared" si="0"/>
        <v>(2073,null,1,'2026-03-24 00:00:00','003103000040000-310300004','003103000040000-310300004','视网膜视力检查',null,null,5.3,5,4.3,null,12,11.5,11,'次',24,1,'normal','main',0),</v>
      </c>
    </row>
    <row r="10" spans="1:23">
      <c r="A10">
        <v>2074</v>
      </c>
      <c r="B10" t="s">
        <v>1963</v>
      </c>
      <c r="C10">
        <v>1</v>
      </c>
      <c r="D10" s="3" t="s">
        <v>1964</v>
      </c>
      <c r="E10" t="s">
        <v>69</v>
      </c>
      <c r="F10" t="s">
        <v>69</v>
      </c>
      <c r="G10" t="s">
        <v>70</v>
      </c>
      <c r="H10" t="s">
        <v>1963</v>
      </c>
      <c r="I10" t="s">
        <v>1963</v>
      </c>
      <c r="J10">
        <v>2.1</v>
      </c>
      <c r="K10">
        <v>2</v>
      </c>
      <c r="L10">
        <v>1.7</v>
      </c>
      <c r="M10" t="s">
        <v>1963</v>
      </c>
      <c r="N10">
        <v>12</v>
      </c>
      <c r="O10">
        <v>11.5</v>
      </c>
      <c r="P10">
        <v>11</v>
      </c>
      <c r="Q10" t="s">
        <v>71</v>
      </c>
      <c r="R10">
        <v>24</v>
      </c>
      <c r="S10">
        <v>1</v>
      </c>
      <c r="T10" s="4" t="s">
        <v>1965</v>
      </c>
      <c r="U10" s="4" t="s">
        <v>1966</v>
      </c>
      <c r="V10">
        <v>0</v>
      </c>
      <c r="W10" s="6" t="str">
        <f t="shared" si="0"/>
        <v>(2074,null,1,'2026-03-24 00:00:00','003103000060000-310300006','003103000060000-310300006','阿姆斯勒（Amsler）表检查',null,null,2.1,2,1.7,null,12,11.5,11,'次（单眼）',24,1,'normal','main',0),</v>
      </c>
    </row>
    <row r="11" spans="1:23">
      <c r="A11">
        <v>2075</v>
      </c>
      <c r="B11" t="s">
        <v>1963</v>
      </c>
      <c r="C11">
        <v>1</v>
      </c>
      <c r="D11" s="3" t="s">
        <v>1964</v>
      </c>
      <c r="E11" t="s">
        <v>72</v>
      </c>
      <c r="F11" t="s">
        <v>72</v>
      </c>
      <c r="G11" t="s">
        <v>73</v>
      </c>
      <c r="H11" t="s">
        <v>1963</v>
      </c>
      <c r="I11" t="s">
        <v>1963</v>
      </c>
      <c r="J11">
        <v>3.2</v>
      </c>
      <c r="K11">
        <v>3</v>
      </c>
      <c r="L11">
        <v>2.6</v>
      </c>
      <c r="M11" t="s">
        <v>1963</v>
      </c>
      <c r="N11">
        <v>12</v>
      </c>
      <c r="O11">
        <v>11.5</v>
      </c>
      <c r="P11">
        <v>11</v>
      </c>
      <c r="Q11" t="s">
        <v>36</v>
      </c>
      <c r="R11">
        <v>24</v>
      </c>
      <c r="S11">
        <v>1</v>
      </c>
      <c r="T11" s="4" t="s">
        <v>1965</v>
      </c>
      <c r="U11" s="4" t="s">
        <v>1966</v>
      </c>
      <c r="V11">
        <v>0</v>
      </c>
      <c r="W11" s="6" t="str">
        <f t="shared" si="0"/>
        <v>(2075,null,1,'2026-03-24 00:00:00','003103000210000-310300021','003103000210000-310300021','对比敏感度检查',null,null,3.2,3,2.6,null,12,11.5,11,'次',24,1,'normal','main',0),</v>
      </c>
    </row>
    <row r="12" spans="1:23">
      <c r="A12">
        <v>2076</v>
      </c>
      <c r="B12" t="s">
        <v>1963</v>
      </c>
      <c r="C12">
        <v>1</v>
      </c>
      <c r="D12" s="3" t="s">
        <v>1964</v>
      </c>
      <c r="E12" t="s">
        <v>75</v>
      </c>
      <c r="F12" t="s">
        <v>75</v>
      </c>
      <c r="G12" t="s">
        <v>76</v>
      </c>
      <c r="H12" t="s">
        <v>1963</v>
      </c>
      <c r="I12" t="s">
        <v>1963</v>
      </c>
      <c r="J12">
        <v>15.8</v>
      </c>
      <c r="K12">
        <v>15</v>
      </c>
      <c r="L12">
        <v>12.8</v>
      </c>
      <c r="M12" t="s">
        <v>1963</v>
      </c>
      <c r="N12">
        <v>12</v>
      </c>
      <c r="O12">
        <v>11.5</v>
      </c>
      <c r="P12">
        <v>11</v>
      </c>
      <c r="Q12" t="s">
        <v>36</v>
      </c>
      <c r="R12">
        <v>24</v>
      </c>
      <c r="S12">
        <v>1</v>
      </c>
      <c r="T12" s="4" t="s">
        <v>1965</v>
      </c>
      <c r="U12" s="4" t="s">
        <v>1966</v>
      </c>
      <c r="V12">
        <v>0</v>
      </c>
      <c r="W12" s="6" t="str">
        <f t="shared" si="0"/>
        <v>(2076,null,1,'2026-03-24 00:00:00','003103000210000-31030002101','003103000210000-31030002101','对比敏感度检查（使用微机处理）',null,null,15.8,15,12.8,null,12,11.5,11,'次',24,1,'normal','main',0),</v>
      </c>
    </row>
    <row r="13" spans="1:23">
      <c r="A13">
        <v>2077</v>
      </c>
      <c r="B13" t="s">
        <v>1963</v>
      </c>
      <c r="C13">
        <v>1</v>
      </c>
      <c r="D13" s="3" t="s">
        <v>1964</v>
      </c>
      <c r="E13" t="s">
        <v>78</v>
      </c>
      <c r="F13" t="s">
        <v>78</v>
      </c>
      <c r="G13" t="s">
        <v>79</v>
      </c>
      <c r="H13" t="s">
        <v>1963</v>
      </c>
      <c r="I13" t="s">
        <v>1963</v>
      </c>
      <c r="J13">
        <v>15.8</v>
      </c>
      <c r="K13">
        <v>15</v>
      </c>
      <c r="L13">
        <v>12.8</v>
      </c>
      <c r="M13" t="s">
        <v>1963</v>
      </c>
      <c r="N13">
        <v>0</v>
      </c>
      <c r="O13">
        <v>0</v>
      </c>
      <c r="P13">
        <v>0</v>
      </c>
      <c r="Q13" t="s">
        <v>36</v>
      </c>
      <c r="R13">
        <v>24</v>
      </c>
      <c r="S13">
        <v>1</v>
      </c>
      <c r="T13" s="4" t="s">
        <v>1965</v>
      </c>
      <c r="U13" s="4" t="s">
        <v>1966</v>
      </c>
      <c r="V13">
        <v>0</v>
      </c>
      <c r="W13" s="6" t="str">
        <f t="shared" si="0"/>
        <v>(2077,null,1,'2026-03-24 00:00:00','003103000220000-310300022','003103000220000-310300022','暗适应测定',null,null,15.8,15,12.8,null,0,0,0,'次',24,1,'normal','main',0),</v>
      </c>
    </row>
    <row r="14" spans="1:23">
      <c r="A14">
        <v>2078</v>
      </c>
      <c r="B14" t="s">
        <v>1963</v>
      </c>
      <c r="C14">
        <v>1</v>
      </c>
      <c r="D14" s="3" t="s">
        <v>1964</v>
      </c>
      <c r="E14" t="s">
        <v>81</v>
      </c>
      <c r="F14" t="s">
        <v>81</v>
      </c>
      <c r="G14" t="s">
        <v>82</v>
      </c>
      <c r="H14" t="s">
        <v>1963</v>
      </c>
      <c r="I14" t="s">
        <v>1963</v>
      </c>
      <c r="J14">
        <v>15.8</v>
      </c>
      <c r="K14">
        <v>15</v>
      </c>
      <c r="L14">
        <v>12.8</v>
      </c>
      <c r="M14" t="s">
        <v>1963</v>
      </c>
      <c r="N14">
        <v>0</v>
      </c>
      <c r="O14">
        <v>0</v>
      </c>
      <c r="P14">
        <v>0</v>
      </c>
      <c r="Q14" t="s">
        <v>36</v>
      </c>
      <c r="R14">
        <v>24</v>
      </c>
      <c r="S14">
        <v>1</v>
      </c>
      <c r="T14" s="4" t="s">
        <v>1965</v>
      </c>
      <c r="U14" s="4" t="s">
        <v>1966</v>
      </c>
      <c r="V14">
        <v>0</v>
      </c>
      <c r="W14" s="6" t="str">
        <f t="shared" si="0"/>
        <v>(2078,null,1,'2026-03-24 00:00:00','003103000230000-310300023','003103000230000-310300023','明适应测定',null,null,15.8,15,12.8,null,0,0,0,'次',24,1,'normal','main',0),</v>
      </c>
    </row>
    <row r="15" spans="1:23">
      <c r="A15">
        <v>2079</v>
      </c>
      <c r="B15" t="s">
        <v>1963</v>
      </c>
      <c r="C15">
        <v>1</v>
      </c>
      <c r="D15" s="3" t="s">
        <v>1964</v>
      </c>
      <c r="E15" t="s">
        <v>88</v>
      </c>
      <c r="F15" t="s">
        <v>88</v>
      </c>
      <c r="G15" t="s">
        <v>89</v>
      </c>
      <c r="H15" t="s">
        <v>1963</v>
      </c>
      <c r="I15" t="s">
        <v>1963</v>
      </c>
      <c r="J15">
        <v>5.3</v>
      </c>
      <c r="K15">
        <v>5</v>
      </c>
      <c r="L15">
        <v>4.3</v>
      </c>
      <c r="M15" t="s">
        <v>1963</v>
      </c>
      <c r="N15">
        <v>7.5</v>
      </c>
      <c r="O15">
        <v>7</v>
      </c>
      <c r="P15">
        <v>6.5</v>
      </c>
      <c r="Q15" t="s">
        <v>52</v>
      </c>
      <c r="R15">
        <v>24</v>
      </c>
      <c r="S15">
        <v>1</v>
      </c>
      <c r="T15" s="4" t="s">
        <v>1965</v>
      </c>
      <c r="U15" s="4" t="s">
        <v>1966</v>
      </c>
      <c r="V15">
        <v>0</v>
      </c>
      <c r="W15" s="6" t="str">
        <f t="shared" si="0"/>
        <v>(2079,null,1,'2026-03-24 00:00:00','003103000070000-310300007','003103000070000-310300007','验光',null,null,5.3,5,4.3,null,7.5,7,6.5,'项',24,1,'normal','main',0),</v>
      </c>
    </row>
    <row r="16" spans="1:23">
      <c r="A16">
        <v>2080</v>
      </c>
      <c r="B16" t="s">
        <v>1963</v>
      </c>
      <c r="C16">
        <v>1</v>
      </c>
      <c r="D16" s="3" t="s">
        <v>1964</v>
      </c>
      <c r="E16" t="s">
        <v>92</v>
      </c>
      <c r="F16" t="s">
        <v>92</v>
      </c>
      <c r="G16" t="s">
        <v>93</v>
      </c>
      <c r="H16" t="s">
        <v>1963</v>
      </c>
      <c r="I16" t="s">
        <v>1963</v>
      </c>
      <c r="J16">
        <v>2.1</v>
      </c>
      <c r="K16">
        <v>2</v>
      </c>
      <c r="L16">
        <v>1.7</v>
      </c>
      <c r="M16" t="s">
        <v>1963</v>
      </c>
      <c r="N16">
        <v>0</v>
      </c>
      <c r="O16">
        <v>0</v>
      </c>
      <c r="P16">
        <v>0</v>
      </c>
      <c r="Q16" t="s">
        <v>52</v>
      </c>
      <c r="R16">
        <v>24</v>
      </c>
      <c r="S16">
        <v>1</v>
      </c>
      <c r="T16" s="4" t="s">
        <v>1965</v>
      </c>
      <c r="U16" s="4" t="s">
        <v>1966</v>
      </c>
      <c r="V16">
        <v>0</v>
      </c>
      <c r="W16" s="6" t="str">
        <f t="shared" si="0"/>
        <v>(2080,null,1,'2026-03-24 00:00:00','003103000070001-31030000701','003103000070001-31030000701','验光（增加一项加收）',null,null,2.1,2,1.7,null,0,0,0,'项',24,1,'normal','main',0),</v>
      </c>
    </row>
    <row r="17" spans="1:23">
      <c r="A17">
        <v>2081</v>
      </c>
      <c r="B17" t="s">
        <v>1963</v>
      </c>
      <c r="C17">
        <v>1</v>
      </c>
      <c r="D17" s="3" t="s">
        <v>1964</v>
      </c>
      <c r="E17" t="s">
        <v>112</v>
      </c>
      <c r="F17" t="s">
        <v>112</v>
      </c>
      <c r="G17" t="s">
        <v>113</v>
      </c>
      <c r="H17" t="s">
        <v>1963</v>
      </c>
      <c r="I17" t="s">
        <v>1963</v>
      </c>
      <c r="J17">
        <v>4.2</v>
      </c>
      <c r="K17">
        <v>4</v>
      </c>
      <c r="L17">
        <v>3.4</v>
      </c>
      <c r="M17" t="s">
        <v>1963</v>
      </c>
      <c r="N17">
        <v>8</v>
      </c>
      <c r="O17">
        <v>7</v>
      </c>
      <c r="P17">
        <v>6.5</v>
      </c>
      <c r="Q17" t="s">
        <v>36</v>
      </c>
      <c r="R17">
        <v>24</v>
      </c>
      <c r="S17">
        <v>1</v>
      </c>
      <c r="T17" s="4" t="s">
        <v>1965</v>
      </c>
      <c r="U17" s="4" t="s">
        <v>1966</v>
      </c>
      <c r="V17">
        <v>0</v>
      </c>
      <c r="W17" s="6" t="str">
        <f t="shared" si="0"/>
        <v>(2081,null,1,'2026-03-24 00:00:00','003103000270000-310300027','003103000270000-310300027','眼压检查',null,null,4.2,4,3.4,null,8,7,6.5,'次',24,1,'normal','main',0),</v>
      </c>
    </row>
    <row r="18" spans="1:23">
      <c r="A18">
        <v>2082</v>
      </c>
      <c r="B18" t="s">
        <v>1963</v>
      </c>
      <c r="C18">
        <v>1</v>
      </c>
      <c r="D18" s="3" t="s">
        <v>1964</v>
      </c>
      <c r="E18" t="s">
        <v>116</v>
      </c>
      <c r="F18" t="s">
        <v>116</v>
      </c>
      <c r="G18" t="s">
        <v>117</v>
      </c>
      <c r="H18" t="s">
        <v>1963</v>
      </c>
      <c r="I18" t="s">
        <v>1963</v>
      </c>
      <c r="J18">
        <v>8.4</v>
      </c>
      <c r="K18">
        <v>8</v>
      </c>
      <c r="L18">
        <v>6.8</v>
      </c>
      <c r="M18" t="s">
        <v>1963</v>
      </c>
      <c r="N18">
        <v>8</v>
      </c>
      <c r="O18">
        <v>7</v>
      </c>
      <c r="P18">
        <v>6.5</v>
      </c>
      <c r="Q18" t="s">
        <v>36</v>
      </c>
      <c r="R18">
        <v>24</v>
      </c>
      <c r="S18">
        <v>1</v>
      </c>
      <c r="T18" s="4" t="s">
        <v>1965</v>
      </c>
      <c r="U18" s="4" t="s">
        <v>1966</v>
      </c>
      <c r="V18">
        <v>0</v>
      </c>
      <c r="W18" s="6" t="str">
        <f t="shared" si="0"/>
        <v>(2082,null,1,'2026-03-24 00:00:00','003103000270200-31030002701','003103000270200-31030002701','眼压检查（非接触眼压计法）',null,null,8.4,8,6.8,null,8,7,6.5,'次',24,1,'normal','main',0),</v>
      </c>
    </row>
    <row r="19" spans="1:23">
      <c r="A19">
        <v>2083</v>
      </c>
      <c r="B19" t="s">
        <v>1963</v>
      </c>
      <c r="C19">
        <v>1</v>
      </c>
      <c r="D19" s="3" t="s">
        <v>1964</v>
      </c>
      <c r="E19" t="s">
        <v>119</v>
      </c>
      <c r="F19" t="s">
        <v>119</v>
      </c>
      <c r="G19" t="s">
        <v>120</v>
      </c>
      <c r="H19" t="s">
        <v>1963</v>
      </c>
      <c r="I19" t="s">
        <v>1963</v>
      </c>
      <c r="J19">
        <v>8.4</v>
      </c>
      <c r="K19">
        <v>8</v>
      </c>
      <c r="L19">
        <v>6.8</v>
      </c>
      <c r="M19" t="s">
        <v>1963</v>
      </c>
      <c r="N19">
        <v>8</v>
      </c>
      <c r="O19">
        <v>7</v>
      </c>
      <c r="P19">
        <v>6.5</v>
      </c>
      <c r="Q19" t="s">
        <v>36</v>
      </c>
      <c r="R19">
        <v>24</v>
      </c>
      <c r="S19">
        <v>1</v>
      </c>
      <c r="T19" s="4" t="s">
        <v>1965</v>
      </c>
      <c r="U19" s="4" t="s">
        <v>1966</v>
      </c>
      <c r="V19">
        <v>0</v>
      </c>
      <c r="W19" s="6" t="str">
        <f t="shared" si="0"/>
        <v>(2083,null,1,'2026-03-24 00:00:00','003103000270400-31030002702','003103000270400-31030002702','眼压检查（压平眼压计法）',null,null,8.4,8,6.8,null,8,7,6.5,'次',24,1,'normal','main',0),</v>
      </c>
    </row>
    <row r="20" spans="1:23">
      <c r="A20">
        <v>2084</v>
      </c>
      <c r="B20" t="s">
        <v>1963</v>
      </c>
      <c r="C20">
        <v>1</v>
      </c>
      <c r="D20" s="3" t="s">
        <v>1964</v>
      </c>
      <c r="E20" t="s">
        <v>122</v>
      </c>
      <c r="F20" t="s">
        <v>122</v>
      </c>
      <c r="G20" t="s">
        <v>123</v>
      </c>
      <c r="H20" t="s">
        <v>1963</v>
      </c>
      <c r="I20" t="s">
        <v>1963</v>
      </c>
      <c r="J20">
        <v>10.5</v>
      </c>
      <c r="K20">
        <v>10</v>
      </c>
      <c r="L20">
        <v>8.5</v>
      </c>
      <c r="M20" t="s">
        <v>1963</v>
      </c>
      <c r="N20">
        <v>8</v>
      </c>
      <c r="O20">
        <v>7</v>
      </c>
      <c r="P20">
        <v>6.5</v>
      </c>
      <c r="Q20" t="s">
        <v>36</v>
      </c>
      <c r="R20">
        <v>24</v>
      </c>
      <c r="S20">
        <v>1</v>
      </c>
      <c r="T20" s="4" t="s">
        <v>1965</v>
      </c>
      <c r="U20" s="4" t="s">
        <v>1966</v>
      </c>
      <c r="V20">
        <v>0</v>
      </c>
      <c r="W20" s="6" t="str">
        <f t="shared" si="0"/>
        <v>(2084,null,1,'2026-03-24 00:00:00','003103000290000-310300029','003103000290000-310300029','眼压描记',null,null,10.5,10,8.5,null,8,7,6.5,'次',24,1,'normal','main',0),</v>
      </c>
    </row>
    <row r="21" spans="1:23">
      <c r="A21">
        <v>2085</v>
      </c>
      <c r="B21" t="s">
        <v>1963</v>
      </c>
      <c r="C21">
        <v>1</v>
      </c>
      <c r="D21" s="3" t="s">
        <v>1964</v>
      </c>
      <c r="E21" t="s">
        <v>124</v>
      </c>
      <c r="F21" t="s">
        <v>124</v>
      </c>
      <c r="G21" t="s">
        <v>125</v>
      </c>
      <c r="H21" t="s">
        <v>1963</v>
      </c>
      <c r="I21" t="s">
        <v>1963</v>
      </c>
      <c r="J21">
        <v>15.8</v>
      </c>
      <c r="K21">
        <v>15</v>
      </c>
      <c r="L21">
        <v>12.8</v>
      </c>
      <c r="M21" t="s">
        <v>1963</v>
      </c>
      <c r="N21">
        <v>8</v>
      </c>
      <c r="O21">
        <v>7</v>
      </c>
      <c r="P21">
        <v>6.5</v>
      </c>
      <c r="Q21" t="s">
        <v>36</v>
      </c>
      <c r="R21">
        <v>24</v>
      </c>
      <c r="S21">
        <v>1</v>
      </c>
      <c r="T21" s="4" t="s">
        <v>1965</v>
      </c>
      <c r="U21" s="4" t="s">
        <v>1966</v>
      </c>
      <c r="V21">
        <v>0</v>
      </c>
      <c r="W21" s="6" t="str">
        <f t="shared" si="0"/>
        <v>(2085,null,1,'2026-03-24 00:00:00','003103000280000-310300028','003103000280000-310300028','眼压日曲线检查',null,null,15.8,15,12.8,null,8,7,6.5,'次',24,1,'normal','main',0),</v>
      </c>
    </row>
    <row r="22" spans="1:23">
      <c r="A22">
        <v>2086</v>
      </c>
      <c r="B22" t="s">
        <v>1963</v>
      </c>
      <c r="C22">
        <v>1</v>
      </c>
      <c r="D22" s="3" t="s">
        <v>1964</v>
      </c>
      <c r="E22" t="s">
        <v>133</v>
      </c>
      <c r="F22" t="s">
        <v>133</v>
      </c>
      <c r="G22" t="s">
        <v>134</v>
      </c>
      <c r="H22" t="s">
        <v>1963</v>
      </c>
      <c r="I22" t="s">
        <v>1963</v>
      </c>
      <c r="J22">
        <v>15.8</v>
      </c>
      <c r="K22">
        <v>15</v>
      </c>
      <c r="L22">
        <v>12.8</v>
      </c>
      <c r="M22" t="s">
        <v>1963</v>
      </c>
      <c r="N22">
        <v>15</v>
      </c>
      <c r="O22">
        <v>13.5</v>
      </c>
      <c r="P22">
        <v>12</v>
      </c>
      <c r="Q22" t="s">
        <v>36</v>
      </c>
      <c r="R22">
        <v>24</v>
      </c>
      <c r="S22">
        <v>1</v>
      </c>
      <c r="T22" s="4" t="s">
        <v>1965</v>
      </c>
      <c r="U22" s="4" t="s">
        <v>1966</v>
      </c>
      <c r="V22">
        <v>0</v>
      </c>
      <c r="W22" s="6" t="str">
        <f t="shared" si="0"/>
        <v>(2086,null,1,'2026-03-24 00:00:00','003103000370000-310300037','003103000370000-310300037','青光眼诱导试验',null,null,15.8,15,12.8,null,15,13.5,12,'次',24,1,'normal','main',0),</v>
      </c>
    </row>
    <row r="23" spans="1:23">
      <c r="A23">
        <v>2087</v>
      </c>
      <c r="B23" t="s">
        <v>1963</v>
      </c>
      <c r="C23">
        <v>1</v>
      </c>
      <c r="D23" s="3" t="s">
        <v>1964</v>
      </c>
      <c r="E23" t="s">
        <v>144</v>
      </c>
      <c r="F23" t="s">
        <v>144</v>
      </c>
      <c r="G23" t="s">
        <v>145</v>
      </c>
      <c r="H23" t="s">
        <v>1963</v>
      </c>
      <c r="I23" t="s">
        <v>1963</v>
      </c>
      <c r="J23">
        <v>5.3</v>
      </c>
      <c r="K23">
        <v>5</v>
      </c>
      <c r="L23">
        <v>4.3</v>
      </c>
      <c r="M23" t="s">
        <v>1963</v>
      </c>
      <c r="N23">
        <v>5</v>
      </c>
      <c r="O23">
        <v>5</v>
      </c>
      <c r="P23">
        <v>4.3</v>
      </c>
      <c r="Q23" t="s">
        <v>36</v>
      </c>
      <c r="R23">
        <v>24</v>
      </c>
      <c r="S23">
        <v>1</v>
      </c>
      <c r="T23" s="4" t="s">
        <v>1965</v>
      </c>
      <c r="U23" s="4" t="s">
        <v>1966</v>
      </c>
      <c r="V23">
        <v>0</v>
      </c>
      <c r="W23" s="6" t="str">
        <f t="shared" si="0"/>
        <v>(2087,null,1,'2026-03-24 00:00:00','003103000200000-310300020','003103000200000-310300020','色觉检查',null,null,5.3,5,4.3,null,5,5,4.3,'次',24,1,'normal','main',0),</v>
      </c>
    </row>
    <row r="24" spans="1:23">
      <c r="A24">
        <v>2088</v>
      </c>
      <c r="B24" t="s">
        <v>1963</v>
      </c>
      <c r="C24">
        <v>1</v>
      </c>
      <c r="D24" s="3" t="s">
        <v>1964</v>
      </c>
      <c r="E24" t="s">
        <v>152</v>
      </c>
      <c r="F24" t="s">
        <v>152</v>
      </c>
      <c r="G24" t="s">
        <v>153</v>
      </c>
      <c r="H24" t="s">
        <v>1963</v>
      </c>
      <c r="I24" t="s">
        <v>1963</v>
      </c>
      <c r="J24">
        <v>10.5</v>
      </c>
      <c r="K24">
        <v>10</v>
      </c>
      <c r="L24">
        <v>8.5</v>
      </c>
      <c r="M24" t="s">
        <v>1963</v>
      </c>
      <c r="N24">
        <v>30</v>
      </c>
      <c r="O24">
        <v>27</v>
      </c>
      <c r="P24">
        <v>22</v>
      </c>
      <c r="Q24" t="s">
        <v>71</v>
      </c>
      <c r="R24">
        <v>24</v>
      </c>
      <c r="S24">
        <v>1</v>
      </c>
      <c r="T24" s="4" t="s">
        <v>1965</v>
      </c>
      <c r="U24" s="4" t="s">
        <v>1966</v>
      </c>
      <c r="V24">
        <v>0</v>
      </c>
      <c r="W24" s="6" t="str">
        <f t="shared" si="0"/>
        <v>(2088,null,1,'2026-03-24 00:00:00','003103000050000-310300005','003103000050000-310300005','视野检查',null,null,10.5,10,8.5,null,30,27,22,'次（单眼）',24,1,'normal','main',0),</v>
      </c>
    </row>
    <row r="25" spans="1:23">
      <c r="A25">
        <v>2089</v>
      </c>
      <c r="B25" t="s">
        <v>1963</v>
      </c>
      <c r="C25">
        <v>1</v>
      </c>
      <c r="D25" s="3" t="s">
        <v>1964</v>
      </c>
      <c r="E25" t="s">
        <v>156</v>
      </c>
      <c r="F25" t="s">
        <v>156</v>
      </c>
      <c r="G25" t="s">
        <v>157</v>
      </c>
      <c r="H25" t="s">
        <v>1963</v>
      </c>
      <c r="I25" t="s">
        <v>1963</v>
      </c>
      <c r="J25">
        <v>31.5</v>
      </c>
      <c r="K25">
        <v>30</v>
      </c>
      <c r="L25">
        <v>25.5</v>
      </c>
      <c r="M25" t="s">
        <v>1963</v>
      </c>
      <c r="N25">
        <v>30</v>
      </c>
      <c r="O25">
        <v>27</v>
      </c>
      <c r="P25">
        <v>22</v>
      </c>
      <c r="Q25" t="s">
        <v>71</v>
      </c>
      <c r="R25">
        <v>24</v>
      </c>
      <c r="S25">
        <v>1</v>
      </c>
      <c r="T25" s="4" t="s">
        <v>1965</v>
      </c>
      <c r="U25" s="4" t="s">
        <v>1966</v>
      </c>
      <c r="V25">
        <v>0</v>
      </c>
      <c r="W25" s="6" t="str">
        <f t="shared" si="0"/>
        <v>(2089,null,1,'2026-03-24 00:00:00','003103000050200-31030000501','003103000050200-31030000501','视野检查（电脑视野计）',null,null,31.5,30,25.5,null,30,27,22,'次（单眼）',24,1,'normal','main',0),</v>
      </c>
    </row>
    <row r="26" spans="1:23">
      <c r="A26">
        <v>2090</v>
      </c>
      <c r="B26" t="s">
        <v>1963</v>
      </c>
      <c r="C26">
        <v>1</v>
      </c>
      <c r="D26" s="3" t="s">
        <v>1964</v>
      </c>
      <c r="E26" t="s">
        <v>159</v>
      </c>
      <c r="F26" t="s">
        <v>159</v>
      </c>
      <c r="G26" t="s">
        <v>160</v>
      </c>
      <c r="H26" t="s">
        <v>1963</v>
      </c>
      <c r="I26" t="s">
        <v>1963</v>
      </c>
      <c r="J26">
        <v>31.5</v>
      </c>
      <c r="K26">
        <v>30</v>
      </c>
      <c r="L26">
        <v>25.5</v>
      </c>
      <c r="M26" t="s">
        <v>1963</v>
      </c>
      <c r="N26">
        <v>30</v>
      </c>
      <c r="O26">
        <v>27</v>
      </c>
      <c r="P26">
        <v>22</v>
      </c>
      <c r="Q26" t="s">
        <v>71</v>
      </c>
      <c r="R26">
        <v>24</v>
      </c>
      <c r="S26">
        <v>1</v>
      </c>
      <c r="T26" s="4" t="s">
        <v>1965</v>
      </c>
      <c r="U26" s="4" t="s">
        <v>1966</v>
      </c>
      <c r="V26">
        <v>0</v>
      </c>
      <c r="W26" s="6" t="str">
        <f t="shared" si="0"/>
        <v>(2090,null,1,'2026-03-24 00:00:00','003103000050100-31030000502','003103000050100-31030000502','视野检查（动态Goldmann视野计）',null,null,31.5,30,25.5,null,30,27,22,'次（单眼）',24,1,'normal','main',0),</v>
      </c>
    </row>
    <row r="27" spans="1:23">
      <c r="A27">
        <v>2091</v>
      </c>
      <c r="B27" t="s">
        <v>1963</v>
      </c>
      <c r="C27">
        <v>1</v>
      </c>
      <c r="D27" s="3" t="s">
        <v>1964</v>
      </c>
      <c r="E27" t="s">
        <v>166</v>
      </c>
      <c r="F27" t="s">
        <v>166</v>
      </c>
      <c r="G27" t="s">
        <v>167</v>
      </c>
      <c r="H27" t="s">
        <v>1963</v>
      </c>
      <c r="I27" t="s">
        <v>1963</v>
      </c>
      <c r="J27">
        <v>8.4</v>
      </c>
      <c r="K27">
        <v>8</v>
      </c>
      <c r="L27">
        <v>6.8</v>
      </c>
      <c r="M27" t="s">
        <v>1963</v>
      </c>
      <c r="N27">
        <v>8</v>
      </c>
      <c r="O27">
        <v>7</v>
      </c>
      <c r="P27">
        <v>6</v>
      </c>
      <c r="Q27" t="s">
        <v>36</v>
      </c>
      <c r="R27">
        <v>24</v>
      </c>
      <c r="S27">
        <v>1</v>
      </c>
      <c r="T27" s="4" t="s">
        <v>1965</v>
      </c>
      <c r="U27" s="4" t="s">
        <v>1966</v>
      </c>
      <c r="V27">
        <v>0</v>
      </c>
      <c r="W27" s="6" t="str">
        <f t="shared" si="0"/>
        <v>(2091,null,1,'2026-03-24 00:00:00','003103000350000-310300035','003103000350000-310300035','泪液分泌功能测定',null,null,8.4,8,6.8,null,8,7,6,'次',24,1,'normal','main',0),</v>
      </c>
    </row>
    <row r="28" spans="1:23">
      <c r="A28">
        <v>2092</v>
      </c>
      <c r="B28" t="s">
        <v>1963</v>
      </c>
      <c r="C28">
        <v>1</v>
      </c>
      <c r="D28" s="3" t="s">
        <v>1964</v>
      </c>
      <c r="E28" t="s">
        <v>172</v>
      </c>
      <c r="F28" t="s">
        <v>172</v>
      </c>
      <c r="G28" t="s">
        <v>173</v>
      </c>
      <c r="H28" t="s">
        <v>1963</v>
      </c>
      <c r="I28" t="s">
        <v>1963</v>
      </c>
      <c r="J28">
        <v>10.5</v>
      </c>
      <c r="K28">
        <v>10</v>
      </c>
      <c r="L28">
        <v>8.5</v>
      </c>
      <c r="M28" t="s">
        <v>1963</v>
      </c>
      <c r="N28">
        <v>10</v>
      </c>
      <c r="O28">
        <v>9</v>
      </c>
      <c r="P28">
        <v>8</v>
      </c>
      <c r="Q28" t="s">
        <v>36</v>
      </c>
      <c r="R28">
        <v>24</v>
      </c>
      <c r="S28">
        <v>1</v>
      </c>
      <c r="T28" s="4" t="s">
        <v>1965</v>
      </c>
      <c r="U28" s="4" t="s">
        <v>1966</v>
      </c>
      <c r="V28">
        <v>0</v>
      </c>
      <c r="W28" s="6" t="str">
        <f t="shared" si="0"/>
        <v>(2092,null,1,'2026-03-24 00:00:00','003103000340000-310300034','003103000340000-310300034','泪膜破裂时间测定',null,null,10.5,10,8.5,null,10,9,8,'次',24,1,'normal','main',0),</v>
      </c>
    </row>
    <row r="29" spans="1:23">
      <c r="A29">
        <v>2093</v>
      </c>
      <c r="B29" t="s">
        <v>1963</v>
      </c>
      <c r="C29">
        <v>1</v>
      </c>
      <c r="D29" s="3" t="s">
        <v>1964</v>
      </c>
      <c r="E29" t="s">
        <v>178</v>
      </c>
      <c r="F29" t="s">
        <v>178</v>
      </c>
      <c r="G29" t="s">
        <v>179</v>
      </c>
      <c r="H29" t="s">
        <v>1963</v>
      </c>
      <c r="I29" t="s">
        <v>1963</v>
      </c>
      <c r="J29">
        <v>8.4</v>
      </c>
      <c r="K29">
        <v>8</v>
      </c>
      <c r="L29">
        <v>6.8</v>
      </c>
      <c r="M29" t="s">
        <v>1963</v>
      </c>
      <c r="N29">
        <v>8</v>
      </c>
      <c r="O29">
        <v>7</v>
      </c>
      <c r="P29">
        <v>6</v>
      </c>
      <c r="Q29" t="s">
        <v>36</v>
      </c>
      <c r="R29">
        <v>24</v>
      </c>
      <c r="S29">
        <v>1</v>
      </c>
      <c r="T29" s="4" t="s">
        <v>1965</v>
      </c>
      <c r="U29" s="4" t="s">
        <v>1966</v>
      </c>
      <c r="V29">
        <v>0</v>
      </c>
      <c r="W29" s="6" t="str">
        <f t="shared" si="0"/>
        <v>(2093,null,1,'2026-03-24 00:00:00','003103000160000-310300016','003103000160000-310300016','黑氏（Hess）屏检查',null,null,8.4,8,6.8,null,8,7,6,'次',24,1,'normal','main',0),</v>
      </c>
    </row>
    <row r="30" spans="1:23">
      <c r="A30">
        <v>2094</v>
      </c>
      <c r="B30" t="s">
        <v>1963</v>
      </c>
      <c r="C30">
        <v>1</v>
      </c>
      <c r="D30" s="3" t="s">
        <v>1964</v>
      </c>
      <c r="E30" t="s">
        <v>180</v>
      </c>
      <c r="F30" t="s">
        <v>180</v>
      </c>
      <c r="G30" t="s">
        <v>181</v>
      </c>
      <c r="H30" t="s">
        <v>1963</v>
      </c>
      <c r="I30" t="s">
        <v>1963</v>
      </c>
      <c r="J30">
        <v>8.4</v>
      </c>
      <c r="K30">
        <v>8</v>
      </c>
      <c r="L30">
        <v>6.8</v>
      </c>
      <c r="M30" t="s">
        <v>1963</v>
      </c>
      <c r="N30">
        <v>8</v>
      </c>
      <c r="O30">
        <v>7</v>
      </c>
      <c r="P30">
        <v>6</v>
      </c>
      <c r="Q30" t="s">
        <v>36</v>
      </c>
      <c r="R30">
        <v>24</v>
      </c>
      <c r="S30">
        <v>1</v>
      </c>
      <c r="T30" s="4" t="s">
        <v>1965</v>
      </c>
      <c r="U30" s="4" t="s">
        <v>1966</v>
      </c>
      <c r="V30">
        <v>0</v>
      </c>
      <c r="W30" s="6" t="str">
        <f t="shared" si="0"/>
        <v>(2094,null,1,'2026-03-24 00:00:00','003103000120000-310300012','003103000120000-310300012','复视检查',null,null,8.4,8,6.8,null,8,7,6,'次',24,1,'normal','main',0),</v>
      </c>
    </row>
    <row r="31" spans="1:23">
      <c r="A31">
        <v>2095</v>
      </c>
      <c r="B31" t="s">
        <v>1963</v>
      </c>
      <c r="C31">
        <v>1</v>
      </c>
      <c r="D31" s="3" t="s">
        <v>1964</v>
      </c>
      <c r="E31" t="s">
        <v>182</v>
      </c>
      <c r="F31" t="s">
        <v>182</v>
      </c>
      <c r="G31" t="s">
        <v>183</v>
      </c>
      <c r="H31" t="s">
        <v>1963</v>
      </c>
      <c r="I31" t="s">
        <v>1963</v>
      </c>
      <c r="J31">
        <v>5.3</v>
      </c>
      <c r="K31">
        <v>5</v>
      </c>
      <c r="L31">
        <v>4.3</v>
      </c>
      <c r="M31" t="s">
        <v>1963</v>
      </c>
      <c r="N31">
        <v>8</v>
      </c>
      <c r="O31">
        <v>7</v>
      </c>
      <c r="P31">
        <v>6</v>
      </c>
      <c r="Q31" t="s">
        <v>36</v>
      </c>
      <c r="R31">
        <v>24</v>
      </c>
      <c r="S31">
        <v>1</v>
      </c>
      <c r="T31" s="4" t="s">
        <v>1965</v>
      </c>
      <c r="U31" s="4" t="s">
        <v>1966</v>
      </c>
      <c r="V31">
        <v>0</v>
      </c>
      <c r="W31" s="6" t="str">
        <f t="shared" si="0"/>
        <v>(2095,null,1,'2026-03-24 00:00:00','003103000150000-310300015','003103000150000-310300015','线状镜检查',null,null,5.3,5,4.3,null,8,7,6,'次',24,1,'normal','main',0),</v>
      </c>
    </row>
    <row r="32" spans="1:23">
      <c r="A32">
        <v>2096</v>
      </c>
      <c r="B32" t="s">
        <v>1963</v>
      </c>
      <c r="C32">
        <v>1</v>
      </c>
      <c r="D32" s="3" t="s">
        <v>1964</v>
      </c>
      <c r="E32" t="s">
        <v>193</v>
      </c>
      <c r="F32" t="s">
        <v>193</v>
      </c>
      <c r="G32" t="s">
        <v>194</v>
      </c>
      <c r="H32" t="s">
        <v>1963</v>
      </c>
      <c r="I32" t="s">
        <v>1963</v>
      </c>
      <c r="J32">
        <v>8.4</v>
      </c>
      <c r="K32">
        <v>8</v>
      </c>
      <c r="L32">
        <v>6.8</v>
      </c>
      <c r="M32" t="s">
        <v>1963</v>
      </c>
      <c r="N32">
        <v>9</v>
      </c>
      <c r="O32">
        <v>8</v>
      </c>
      <c r="P32">
        <v>7</v>
      </c>
      <c r="Q32" t="s">
        <v>36</v>
      </c>
      <c r="R32">
        <v>24</v>
      </c>
      <c r="S32">
        <v>1</v>
      </c>
      <c r="T32" s="4" t="s">
        <v>1965</v>
      </c>
      <c r="U32" s="4" t="s">
        <v>1966</v>
      </c>
      <c r="V32">
        <v>0</v>
      </c>
      <c r="W32" s="6" t="str">
        <f t="shared" si="0"/>
        <v>(2096,null,1,'2026-03-24 00:00:00','003103000130000-310300013','003103000130000-310300013','斜视度测定',null,null,8.4,8,6.8,null,9,8,7,'次',24,1,'normal','main',0),</v>
      </c>
    </row>
    <row r="33" spans="1:23">
      <c r="A33">
        <v>2097</v>
      </c>
      <c r="B33" t="s">
        <v>1963</v>
      </c>
      <c r="C33">
        <v>1</v>
      </c>
      <c r="D33" s="3" t="s">
        <v>1964</v>
      </c>
      <c r="E33" t="s">
        <v>196</v>
      </c>
      <c r="F33" t="s">
        <v>196</v>
      </c>
      <c r="G33" t="s">
        <v>197</v>
      </c>
      <c r="H33" t="s">
        <v>1963</v>
      </c>
      <c r="I33" t="s">
        <v>1963</v>
      </c>
      <c r="J33">
        <v>10.5</v>
      </c>
      <c r="K33">
        <v>10</v>
      </c>
      <c r="L33">
        <v>8.5</v>
      </c>
      <c r="M33" t="s">
        <v>1963</v>
      </c>
      <c r="N33">
        <v>9</v>
      </c>
      <c r="O33">
        <v>8</v>
      </c>
      <c r="P33">
        <v>7</v>
      </c>
      <c r="Q33" t="s">
        <v>36</v>
      </c>
      <c r="R33">
        <v>24</v>
      </c>
      <c r="S33">
        <v>1</v>
      </c>
      <c r="T33" s="4" t="s">
        <v>1965</v>
      </c>
      <c r="U33" s="4" t="s">
        <v>1966</v>
      </c>
      <c r="V33">
        <v>0</v>
      </c>
      <c r="W33" s="6" t="str">
        <f t="shared" si="0"/>
        <v>(2097,null,1,'2026-03-24 00:00:00','003103000140000-310300014','003103000140000-310300014','三棱镜检查',null,null,10.5,10,8.5,null,9,8,7,'次',24,1,'normal','main',0),</v>
      </c>
    </row>
    <row r="34" spans="1:23">
      <c r="A34">
        <v>2098</v>
      </c>
      <c r="B34" t="s">
        <v>1963</v>
      </c>
      <c r="C34">
        <v>1</v>
      </c>
      <c r="D34" s="3" t="s">
        <v>1964</v>
      </c>
      <c r="E34" t="s">
        <v>198</v>
      </c>
      <c r="F34" t="s">
        <v>198</v>
      </c>
      <c r="G34" t="s">
        <v>199</v>
      </c>
      <c r="H34" t="s">
        <v>1963</v>
      </c>
      <c r="I34" t="s">
        <v>1963</v>
      </c>
      <c r="J34">
        <v>3.2</v>
      </c>
      <c r="K34">
        <v>3</v>
      </c>
      <c r="L34">
        <v>2.6</v>
      </c>
      <c r="M34" t="s">
        <v>1963</v>
      </c>
      <c r="N34">
        <v>9</v>
      </c>
      <c r="O34">
        <v>8</v>
      </c>
      <c r="P34">
        <v>7</v>
      </c>
      <c r="Q34" t="s">
        <v>36</v>
      </c>
      <c r="R34">
        <v>24</v>
      </c>
      <c r="S34">
        <v>1</v>
      </c>
      <c r="T34" s="4" t="s">
        <v>1965</v>
      </c>
      <c r="U34" s="4" t="s">
        <v>1966</v>
      </c>
      <c r="V34">
        <v>0</v>
      </c>
      <c r="W34" s="6" t="str">
        <f t="shared" si="0"/>
        <v>(2098,null,1,'2026-03-24 00:00:00','003103000240000-310300024','003103000240000-310300024','正切尺检查',null,null,3.2,3,2.6,null,9,8,7,'次',24,1,'normal','main',0),</v>
      </c>
    </row>
    <row r="35" spans="1:23">
      <c r="A35">
        <v>2099</v>
      </c>
      <c r="B35" t="s">
        <v>1963</v>
      </c>
      <c r="C35">
        <v>1</v>
      </c>
      <c r="D35" s="3" t="s">
        <v>1964</v>
      </c>
      <c r="E35" t="s">
        <v>200</v>
      </c>
      <c r="F35" t="s">
        <v>200</v>
      </c>
      <c r="G35" t="s">
        <v>201</v>
      </c>
      <c r="H35" t="s">
        <v>1963</v>
      </c>
      <c r="I35" t="s">
        <v>1963</v>
      </c>
      <c r="J35">
        <v>5.3</v>
      </c>
      <c r="K35">
        <v>5</v>
      </c>
      <c r="L35">
        <v>4.3</v>
      </c>
      <c r="M35" t="s">
        <v>1963</v>
      </c>
      <c r="N35">
        <v>9</v>
      </c>
      <c r="O35">
        <v>8</v>
      </c>
      <c r="P35">
        <v>7</v>
      </c>
      <c r="Q35" t="s">
        <v>36</v>
      </c>
      <c r="R35">
        <v>24</v>
      </c>
      <c r="S35">
        <v>1</v>
      </c>
      <c r="T35" s="4" t="s">
        <v>1965</v>
      </c>
      <c r="U35" s="4" t="s">
        <v>1966</v>
      </c>
      <c r="V35">
        <v>0</v>
      </c>
      <c r="W35" s="6" t="str">
        <f t="shared" si="0"/>
        <v>(2099,null,1,'2026-03-24 00:00:00','003103000720000-310300072','003103000720000-310300072','马氏（Maddox）杆试验',null,null,5.3,5,4.3,null,9,8,7,'次',24,1,'normal','main',0),</v>
      </c>
    </row>
    <row r="36" spans="1:23">
      <c r="A36">
        <v>2100</v>
      </c>
      <c r="B36" t="s">
        <v>1963</v>
      </c>
      <c r="C36">
        <v>1</v>
      </c>
      <c r="D36" s="3" t="s">
        <v>1964</v>
      </c>
      <c r="E36" t="s">
        <v>209</v>
      </c>
      <c r="F36" t="s">
        <v>209</v>
      </c>
      <c r="G36" t="s">
        <v>210</v>
      </c>
      <c r="H36" t="s">
        <v>1963</v>
      </c>
      <c r="I36" t="s">
        <v>1963</v>
      </c>
      <c r="J36">
        <v>73.5</v>
      </c>
      <c r="K36">
        <v>70</v>
      </c>
      <c r="L36">
        <v>59.5</v>
      </c>
      <c r="M36" t="s">
        <v>1963</v>
      </c>
      <c r="N36">
        <v>74</v>
      </c>
      <c r="O36">
        <v>69</v>
      </c>
      <c r="P36">
        <v>60</v>
      </c>
      <c r="Q36" t="s">
        <v>71</v>
      </c>
      <c r="R36">
        <v>24</v>
      </c>
      <c r="S36">
        <v>1</v>
      </c>
      <c r="T36" s="4" t="s">
        <v>1965</v>
      </c>
      <c r="U36" s="4" t="s">
        <v>1966</v>
      </c>
      <c r="V36">
        <v>0</v>
      </c>
      <c r="W36" s="6" t="str">
        <f t="shared" si="0"/>
        <v>(2100,null,1,'2026-03-24 00:00:00','003103000400000-310300040','003103000400000-310300040','角膜地形图检查',null,null,73.5,70,59.5,null,74,69,60,'次（单眼）',24,1,'normal','main',0),</v>
      </c>
    </row>
    <row r="37" spans="1:23">
      <c r="A37">
        <v>2101</v>
      </c>
      <c r="B37" t="s">
        <v>1963</v>
      </c>
      <c r="C37">
        <v>1</v>
      </c>
      <c r="D37" s="3" t="s">
        <v>1964</v>
      </c>
      <c r="E37" t="s">
        <v>213</v>
      </c>
      <c r="F37" t="s">
        <v>213</v>
      </c>
      <c r="G37" t="s">
        <v>214</v>
      </c>
      <c r="H37" t="s">
        <v>1963</v>
      </c>
      <c r="I37" t="s">
        <v>1963</v>
      </c>
      <c r="J37">
        <v>31.5</v>
      </c>
      <c r="K37">
        <v>30</v>
      </c>
      <c r="L37">
        <v>25.5</v>
      </c>
      <c r="M37" t="s">
        <v>1963</v>
      </c>
      <c r="N37">
        <v>16</v>
      </c>
      <c r="O37">
        <v>15</v>
      </c>
      <c r="P37">
        <v>13</v>
      </c>
      <c r="Q37" t="s">
        <v>36</v>
      </c>
      <c r="R37">
        <v>24</v>
      </c>
      <c r="S37">
        <v>1</v>
      </c>
      <c r="T37" s="4" t="s">
        <v>1965</v>
      </c>
      <c r="U37" s="4" t="s">
        <v>1966</v>
      </c>
      <c r="V37">
        <v>0</v>
      </c>
      <c r="W37" s="6" t="str">
        <f t="shared" si="0"/>
        <v>(2101,null,1,'2026-03-24 00:00:00','003103000420000-310300042','003103000420000-310300042','角膜厚度检查',null,null,31.5,30,25.5,null,16,15,13,'次',24,1,'normal','main',0),</v>
      </c>
    </row>
    <row r="38" spans="1:23">
      <c r="A38">
        <v>2102</v>
      </c>
      <c r="B38" t="s">
        <v>1963</v>
      </c>
      <c r="C38">
        <v>1</v>
      </c>
      <c r="D38" s="3" t="s">
        <v>1964</v>
      </c>
      <c r="E38" t="s">
        <v>221</v>
      </c>
      <c r="F38" t="s">
        <v>221</v>
      </c>
      <c r="G38" t="s">
        <v>222</v>
      </c>
      <c r="H38" t="s">
        <v>1963</v>
      </c>
      <c r="I38" t="s">
        <v>1963</v>
      </c>
      <c r="J38">
        <v>5.3</v>
      </c>
      <c r="K38">
        <v>5</v>
      </c>
      <c r="L38">
        <v>4.3</v>
      </c>
      <c r="M38" t="s">
        <v>1963</v>
      </c>
      <c r="N38">
        <v>3</v>
      </c>
      <c r="O38">
        <v>2.5</v>
      </c>
      <c r="P38">
        <v>2</v>
      </c>
      <c r="Q38" t="s">
        <v>36</v>
      </c>
      <c r="R38">
        <v>24</v>
      </c>
      <c r="S38">
        <v>1</v>
      </c>
      <c r="T38" s="4" t="s">
        <v>1965</v>
      </c>
      <c r="U38" s="4" t="s">
        <v>1966</v>
      </c>
      <c r="V38">
        <v>0</v>
      </c>
      <c r="W38" s="6" t="str">
        <f t="shared" si="0"/>
        <v>(2102,null,1,'2026-03-24 00:00:00','003103000390000-310300039','003103000390000-310300039','角膜曲率测量',null,null,5.3,5,4.3,null,3,2.5,2,'次',24,1,'normal','main',0),</v>
      </c>
    </row>
    <row r="39" spans="1:23">
      <c r="A39">
        <v>2103</v>
      </c>
      <c r="B39" t="s">
        <v>1963</v>
      </c>
      <c r="C39">
        <v>1</v>
      </c>
      <c r="D39" s="3" t="s">
        <v>1964</v>
      </c>
      <c r="E39" t="s">
        <v>229</v>
      </c>
      <c r="F39" t="s">
        <v>229</v>
      </c>
      <c r="G39" t="s">
        <v>230</v>
      </c>
      <c r="H39" t="s">
        <v>1963</v>
      </c>
      <c r="I39" t="s">
        <v>1963</v>
      </c>
      <c r="J39">
        <v>21</v>
      </c>
      <c r="K39">
        <v>20</v>
      </c>
      <c r="L39">
        <v>17</v>
      </c>
      <c r="M39" t="s">
        <v>1963</v>
      </c>
      <c r="N39">
        <v>21</v>
      </c>
      <c r="O39">
        <v>20</v>
      </c>
      <c r="P39">
        <v>16</v>
      </c>
      <c r="Q39" t="s">
        <v>36</v>
      </c>
      <c r="R39">
        <v>24</v>
      </c>
      <c r="S39">
        <v>1</v>
      </c>
      <c r="T39" s="4" t="s">
        <v>1965</v>
      </c>
      <c r="U39" s="4" t="s">
        <v>1966</v>
      </c>
      <c r="V39">
        <v>0</v>
      </c>
      <c r="W39" s="6" t="str">
        <f t="shared" si="0"/>
        <v>(2103,null,1,'2026-03-24 00:00:00','003103000710000-310300071','003103000710000-310300071','结膜印痕细胞检查',null,null,21,20,17,null,21,20,16,'次',24,1,'normal','main',0),</v>
      </c>
    </row>
    <row r="40" spans="1:23">
      <c r="A40">
        <v>2104</v>
      </c>
      <c r="B40" t="s">
        <v>1963</v>
      </c>
      <c r="C40">
        <v>1</v>
      </c>
      <c r="D40" s="3" t="s">
        <v>1964</v>
      </c>
      <c r="E40" t="s">
        <v>231</v>
      </c>
      <c r="F40" t="s">
        <v>231</v>
      </c>
      <c r="G40" t="s">
        <v>232</v>
      </c>
      <c r="H40" t="s">
        <v>1963</v>
      </c>
      <c r="I40" t="s">
        <v>1963</v>
      </c>
      <c r="J40">
        <v>10.5</v>
      </c>
      <c r="K40">
        <v>10</v>
      </c>
      <c r="L40">
        <v>8.5</v>
      </c>
      <c r="M40" t="s">
        <v>1963</v>
      </c>
      <c r="N40">
        <v>21</v>
      </c>
      <c r="O40">
        <v>20</v>
      </c>
      <c r="P40">
        <v>16</v>
      </c>
      <c r="Q40" t="s">
        <v>36</v>
      </c>
      <c r="R40">
        <v>24</v>
      </c>
      <c r="S40">
        <v>1</v>
      </c>
      <c r="T40" s="4" t="s">
        <v>1965</v>
      </c>
      <c r="U40" s="4" t="s">
        <v>1966</v>
      </c>
      <c r="V40">
        <v>0</v>
      </c>
      <c r="W40" s="6" t="str">
        <f t="shared" si="0"/>
        <v>(2104,null,1,'2026-03-24 00:00:00','003103000760000-310300076','003103000760000-310300076','角膜刮片检查',null,null,10.5,10,8.5,null,21,20,16,'次',24,1,'normal','main',0),</v>
      </c>
    </row>
    <row r="41" spans="1:23">
      <c r="A41">
        <v>2105</v>
      </c>
      <c r="B41" t="s">
        <v>1963</v>
      </c>
      <c r="C41">
        <v>1</v>
      </c>
      <c r="D41" s="3" t="s">
        <v>1964</v>
      </c>
      <c r="E41" t="s">
        <v>234</v>
      </c>
      <c r="F41" t="s">
        <v>234</v>
      </c>
      <c r="G41" t="s">
        <v>235</v>
      </c>
      <c r="H41" t="s">
        <v>1963</v>
      </c>
      <c r="I41" t="s">
        <v>1963</v>
      </c>
      <c r="J41">
        <v>10.5</v>
      </c>
      <c r="K41">
        <v>10</v>
      </c>
      <c r="L41">
        <v>8.5</v>
      </c>
      <c r="M41" t="s">
        <v>1963</v>
      </c>
      <c r="N41">
        <v>21</v>
      </c>
      <c r="O41">
        <v>20</v>
      </c>
      <c r="P41">
        <v>16</v>
      </c>
      <c r="Q41" t="s">
        <v>36</v>
      </c>
      <c r="R41">
        <v>24</v>
      </c>
      <c r="S41">
        <v>1</v>
      </c>
      <c r="T41" s="4" t="s">
        <v>1965</v>
      </c>
      <c r="U41" s="4" t="s">
        <v>1966</v>
      </c>
      <c r="V41">
        <v>0</v>
      </c>
      <c r="W41" s="6" t="str">
        <f t="shared" si="0"/>
        <v>(2105,null,1,'2026-03-24 00:00:00','003103000770000-310300077','003103000770000-310300077','结膜囊取材检查',null,null,10.5,10,8.5,null,21,20,16,'次',24,1,'normal','main',0),</v>
      </c>
    </row>
    <row r="42" spans="1:23">
      <c r="A42">
        <v>2106</v>
      </c>
      <c r="B42" t="s">
        <v>1963</v>
      </c>
      <c r="C42">
        <v>1</v>
      </c>
      <c r="D42" s="3" t="s">
        <v>1964</v>
      </c>
      <c r="E42" t="s">
        <v>241</v>
      </c>
      <c r="F42" t="s">
        <v>241</v>
      </c>
      <c r="G42" t="s">
        <v>242</v>
      </c>
      <c r="H42" t="s">
        <v>1963</v>
      </c>
      <c r="I42" t="s">
        <v>1963</v>
      </c>
      <c r="J42">
        <v>52.5</v>
      </c>
      <c r="K42">
        <v>50</v>
      </c>
      <c r="L42">
        <v>42.5</v>
      </c>
      <c r="M42" t="s">
        <v>1963</v>
      </c>
      <c r="N42">
        <v>53</v>
      </c>
      <c r="O42">
        <v>50</v>
      </c>
      <c r="P42">
        <v>43</v>
      </c>
      <c r="Q42" t="s">
        <v>71</v>
      </c>
      <c r="R42">
        <v>24</v>
      </c>
      <c r="S42">
        <v>1</v>
      </c>
      <c r="T42" s="4" t="s">
        <v>1965</v>
      </c>
      <c r="U42" s="4" t="s">
        <v>1966</v>
      </c>
      <c r="V42">
        <v>0</v>
      </c>
      <c r="W42" s="6" t="str">
        <f t="shared" si="0"/>
        <v>(2106,null,1,'2026-03-24 00:00:00','003103000410000-310300041','003103000410000-310300041','角膜内皮镜检查',null,null,52.5,50,42.5,null,53,50,43,'次（单眼）',24,1,'normal','main',0),</v>
      </c>
    </row>
    <row r="43" spans="1:23">
      <c r="A43">
        <v>2107</v>
      </c>
      <c r="B43" t="s">
        <v>1963</v>
      </c>
      <c r="C43">
        <v>1</v>
      </c>
      <c r="D43" s="3" t="s">
        <v>1964</v>
      </c>
      <c r="E43" t="s">
        <v>244</v>
      </c>
      <c r="F43" t="s">
        <v>244</v>
      </c>
      <c r="G43" t="s">
        <v>245</v>
      </c>
      <c r="H43" t="s">
        <v>1963</v>
      </c>
      <c r="I43" t="s">
        <v>1963</v>
      </c>
      <c r="J43">
        <v>78.8</v>
      </c>
      <c r="K43">
        <v>75</v>
      </c>
      <c r="L43">
        <v>63.8</v>
      </c>
      <c r="M43" t="s">
        <v>1963</v>
      </c>
      <c r="N43">
        <v>53</v>
      </c>
      <c r="O43">
        <v>50</v>
      </c>
      <c r="P43">
        <v>43</v>
      </c>
      <c r="Q43" t="s">
        <v>71</v>
      </c>
      <c r="R43">
        <v>24</v>
      </c>
      <c r="S43">
        <v>1</v>
      </c>
      <c r="T43" s="4" t="s">
        <v>1965</v>
      </c>
      <c r="U43" s="4" t="s">
        <v>1966</v>
      </c>
      <c r="V43">
        <v>0</v>
      </c>
      <c r="W43" s="6" t="str">
        <f t="shared" si="0"/>
        <v>(2107,null,1,'2026-03-24 00:00:00','003103000410001-31030004101','003103000410001-31030004101','角膜内皮镜检查（含录象记录）',null,null,78.8,75,63.8,null,53,50,43,'次（单眼）',24,1,'normal','main',0),</v>
      </c>
    </row>
    <row r="44" spans="1:23">
      <c r="A44">
        <v>2108</v>
      </c>
      <c r="B44" t="s">
        <v>1963</v>
      </c>
      <c r="C44">
        <v>1</v>
      </c>
      <c r="D44" s="3" t="s">
        <v>1964</v>
      </c>
      <c r="E44" t="s">
        <v>247</v>
      </c>
      <c r="F44" t="s">
        <v>247</v>
      </c>
      <c r="G44" t="s">
        <v>248</v>
      </c>
      <c r="H44" t="s">
        <v>1963</v>
      </c>
      <c r="I44" t="s">
        <v>1963</v>
      </c>
      <c r="J44">
        <v>52.5</v>
      </c>
      <c r="K44">
        <v>50</v>
      </c>
      <c r="L44">
        <v>42.5</v>
      </c>
      <c r="M44" t="s">
        <v>1963</v>
      </c>
      <c r="N44">
        <v>53</v>
      </c>
      <c r="O44">
        <v>50</v>
      </c>
      <c r="P44">
        <v>43</v>
      </c>
      <c r="Q44" t="s">
        <v>36</v>
      </c>
      <c r="R44">
        <v>24</v>
      </c>
      <c r="S44">
        <v>1</v>
      </c>
      <c r="T44" s="4" t="s">
        <v>1965</v>
      </c>
      <c r="U44" s="4" t="s">
        <v>1966</v>
      </c>
      <c r="V44">
        <v>0</v>
      </c>
      <c r="W44" s="6" t="str">
        <f t="shared" si="0"/>
        <v>(2108,null,1,'2026-03-24 00:00:00','003103000750000-310300075','003103000750000-310300075','眼活体组织检查',null,null,52.5,50,42.5,null,53,50,43,'次',24,1,'normal','main',0),</v>
      </c>
    </row>
    <row r="45" spans="1:23">
      <c r="A45">
        <v>2109</v>
      </c>
      <c r="B45" t="s">
        <v>1963</v>
      </c>
      <c r="C45">
        <v>1</v>
      </c>
      <c r="D45" s="3" t="s">
        <v>1964</v>
      </c>
      <c r="E45" t="s">
        <v>253</v>
      </c>
      <c r="F45" t="s">
        <v>253</v>
      </c>
      <c r="G45" t="s">
        <v>254</v>
      </c>
      <c r="H45" t="s">
        <v>1963</v>
      </c>
      <c r="I45" t="s">
        <v>1963</v>
      </c>
      <c r="J45">
        <v>8.4</v>
      </c>
      <c r="K45">
        <v>8</v>
      </c>
      <c r="L45">
        <v>6.8</v>
      </c>
      <c r="M45" t="s">
        <v>1963</v>
      </c>
      <c r="N45">
        <v>8</v>
      </c>
      <c r="O45">
        <v>7</v>
      </c>
      <c r="P45">
        <v>6</v>
      </c>
      <c r="Q45" t="s">
        <v>36</v>
      </c>
      <c r="R45">
        <v>24</v>
      </c>
      <c r="S45">
        <v>1</v>
      </c>
      <c r="T45" s="4" t="s">
        <v>1965</v>
      </c>
      <c r="U45" s="4" t="s">
        <v>1966</v>
      </c>
      <c r="V45">
        <v>0</v>
      </c>
      <c r="W45" s="6" t="str">
        <f t="shared" si="0"/>
        <v>(2109,null,1,'2026-03-24 00:00:00','003103000180000-310300018','003103000180000-310300018','牵拉试验',null,null,8.4,8,6.8,null,8,7,6,'次',24,1,'normal','main',0),</v>
      </c>
    </row>
    <row r="46" spans="1:23">
      <c r="A46">
        <v>2110</v>
      </c>
      <c r="B46" t="s">
        <v>1963</v>
      </c>
      <c r="C46">
        <v>1</v>
      </c>
      <c r="D46" s="3" t="s">
        <v>1964</v>
      </c>
      <c r="E46" t="s">
        <v>262</v>
      </c>
      <c r="F46" t="s">
        <v>262</v>
      </c>
      <c r="G46" t="s">
        <v>263</v>
      </c>
      <c r="H46" t="s">
        <v>1963</v>
      </c>
      <c r="I46" t="s">
        <v>1963</v>
      </c>
      <c r="J46">
        <v>5.3</v>
      </c>
      <c r="K46">
        <v>5</v>
      </c>
      <c r="L46">
        <v>4.3</v>
      </c>
      <c r="M46" t="s">
        <v>1963</v>
      </c>
      <c r="N46">
        <v>5</v>
      </c>
      <c r="O46">
        <v>5</v>
      </c>
      <c r="P46">
        <v>4.3</v>
      </c>
      <c r="Q46" t="s">
        <v>36</v>
      </c>
      <c r="R46">
        <v>24</v>
      </c>
      <c r="S46">
        <v>1</v>
      </c>
      <c r="T46" s="4" t="s">
        <v>1965</v>
      </c>
      <c r="U46" s="4" t="s">
        <v>1966</v>
      </c>
      <c r="V46">
        <v>0</v>
      </c>
      <c r="W46" s="6" t="str">
        <f t="shared" si="0"/>
        <v>(2110,null,1,'2026-03-24 00:00:00','003103000330000-310300033','003103000330000-310300033','上睑下垂检查',null,null,5.3,5,4.3,null,5,5,4.3,'次',24,1,'normal','main',0),</v>
      </c>
    </row>
    <row r="47" spans="1:23">
      <c r="A47">
        <v>2111</v>
      </c>
      <c r="B47" t="s">
        <v>1963</v>
      </c>
      <c r="C47">
        <v>1</v>
      </c>
      <c r="D47" s="3" t="s">
        <v>1964</v>
      </c>
      <c r="E47" t="s">
        <v>269</v>
      </c>
      <c r="F47" t="s">
        <v>269</v>
      </c>
      <c r="G47" t="s">
        <v>270</v>
      </c>
      <c r="H47" t="s">
        <v>1963</v>
      </c>
      <c r="I47" t="s">
        <v>1963</v>
      </c>
      <c r="J47">
        <v>2.1</v>
      </c>
      <c r="K47">
        <v>2</v>
      </c>
      <c r="L47">
        <v>1.7</v>
      </c>
      <c r="M47" t="s">
        <v>1963</v>
      </c>
      <c r="N47">
        <v>0</v>
      </c>
      <c r="O47">
        <v>0</v>
      </c>
      <c r="P47">
        <v>0</v>
      </c>
      <c r="Q47" t="s">
        <v>36</v>
      </c>
      <c r="R47">
        <v>24</v>
      </c>
      <c r="S47">
        <v>1</v>
      </c>
      <c r="T47" s="4" t="s">
        <v>1965</v>
      </c>
      <c r="U47" s="4" t="s">
        <v>1966</v>
      </c>
      <c r="V47">
        <v>0</v>
      </c>
      <c r="W47" s="6" t="str">
        <f t="shared" si="0"/>
        <v>(2111,null,1,'2026-03-24 00:00:00','003103000100000-310300010','003103000100000-310300010','主导眼检查',null,null,2.1,2,1.7,null,0,0,0,'次',24,1,'normal','main',0),</v>
      </c>
    </row>
    <row r="48" spans="1:23">
      <c r="A48">
        <v>2112</v>
      </c>
      <c r="B48" t="s">
        <v>1963</v>
      </c>
      <c r="C48">
        <v>1</v>
      </c>
      <c r="D48" s="3" t="s">
        <v>1964</v>
      </c>
      <c r="E48" t="s">
        <v>272</v>
      </c>
      <c r="F48" t="s">
        <v>272</v>
      </c>
      <c r="G48" t="s">
        <v>273</v>
      </c>
      <c r="H48" t="s">
        <v>1963</v>
      </c>
      <c r="I48" t="s">
        <v>1963</v>
      </c>
      <c r="J48">
        <v>10.5</v>
      </c>
      <c r="K48">
        <v>10</v>
      </c>
      <c r="L48">
        <v>8.5</v>
      </c>
      <c r="M48" t="s">
        <v>1963</v>
      </c>
      <c r="N48">
        <v>10.5</v>
      </c>
      <c r="O48">
        <v>10</v>
      </c>
      <c r="P48">
        <v>8.5</v>
      </c>
      <c r="Q48" t="s">
        <v>36</v>
      </c>
      <c r="R48">
        <v>24</v>
      </c>
      <c r="S48">
        <v>1</v>
      </c>
      <c r="T48" s="4" t="s">
        <v>1965</v>
      </c>
      <c r="U48" s="4" t="s">
        <v>1966</v>
      </c>
      <c r="V48">
        <v>0</v>
      </c>
      <c r="W48" s="6" t="str">
        <f t="shared" si="0"/>
        <v>(2112,null,1,'2026-03-24 00:00:00','003103000190000-310300019','003103000190000-310300019','双眼视觉检查',null,null,10.5,10,8.5,null,10.5,10,8.5,'次',24,1,'normal','main',0),</v>
      </c>
    </row>
    <row r="49" spans="1:23">
      <c r="A49">
        <v>2113</v>
      </c>
      <c r="B49" t="s">
        <v>1963</v>
      </c>
      <c r="C49">
        <v>1</v>
      </c>
      <c r="D49" s="3" t="s">
        <v>1964</v>
      </c>
      <c r="E49" t="s">
        <v>275</v>
      </c>
      <c r="F49" t="s">
        <v>275</v>
      </c>
      <c r="G49" t="s">
        <v>276</v>
      </c>
      <c r="H49" t="s">
        <v>1963</v>
      </c>
      <c r="I49" t="s">
        <v>1963</v>
      </c>
      <c r="J49">
        <v>8.4</v>
      </c>
      <c r="K49">
        <v>8</v>
      </c>
      <c r="L49">
        <v>6.8</v>
      </c>
      <c r="M49" t="s">
        <v>1963</v>
      </c>
      <c r="N49">
        <v>10.5</v>
      </c>
      <c r="O49">
        <v>10</v>
      </c>
      <c r="P49">
        <v>8.5</v>
      </c>
      <c r="Q49" t="s">
        <v>36</v>
      </c>
      <c r="R49">
        <v>24</v>
      </c>
      <c r="S49">
        <v>1</v>
      </c>
      <c r="T49" s="4" t="s">
        <v>1965</v>
      </c>
      <c r="U49" s="4" t="s">
        <v>1966</v>
      </c>
      <c r="V49">
        <v>0</v>
      </c>
      <c r="W49" s="6" t="str">
        <f t="shared" si="0"/>
        <v>(2113,null,1,'2026-03-24 00:00:00','003103000170000-310300017','003103000170000-310300017','调节/集合测定',null,null,8.4,8,6.8,null,10.5,10,8.5,'次',24,1,'normal','main',0),</v>
      </c>
    </row>
    <row r="50" spans="1:23">
      <c r="A50">
        <v>2114</v>
      </c>
      <c r="B50" t="s">
        <v>1963</v>
      </c>
      <c r="C50">
        <v>1</v>
      </c>
      <c r="D50" s="3" t="s">
        <v>1964</v>
      </c>
      <c r="E50" t="s">
        <v>277</v>
      </c>
      <c r="F50" t="s">
        <v>277</v>
      </c>
      <c r="G50" t="s">
        <v>278</v>
      </c>
      <c r="H50" t="s">
        <v>1963</v>
      </c>
      <c r="I50" t="s">
        <v>1963</v>
      </c>
      <c r="J50">
        <v>0</v>
      </c>
      <c r="K50">
        <v>0</v>
      </c>
      <c r="L50">
        <v>0</v>
      </c>
      <c r="M50" t="s">
        <v>1963</v>
      </c>
      <c r="N50">
        <v>0</v>
      </c>
      <c r="O50">
        <v>0</v>
      </c>
      <c r="P50">
        <v>0</v>
      </c>
      <c r="Q50" t="s">
        <v>36</v>
      </c>
      <c r="R50">
        <v>24</v>
      </c>
      <c r="S50">
        <v>1</v>
      </c>
      <c r="T50" s="4" t="s">
        <v>1965</v>
      </c>
      <c r="U50" s="4" t="s">
        <v>1966</v>
      </c>
      <c r="V50">
        <v>0</v>
      </c>
      <c r="W50" s="6" t="str">
        <f t="shared" si="0"/>
        <v>(2114,null,1,'2026-03-24 00:00:00','003103000620000-310300062','003103000620000-310300062','临界融合频率检查',null,null,0,0,0,null,0,0,0,'次',24,1,'normal','main',0),</v>
      </c>
    </row>
    <row r="51" spans="1:23">
      <c r="A51">
        <v>2115</v>
      </c>
      <c r="B51" t="s">
        <v>1963</v>
      </c>
      <c r="C51">
        <v>1</v>
      </c>
      <c r="D51" s="3" t="s">
        <v>1964</v>
      </c>
      <c r="E51" t="s">
        <v>287</v>
      </c>
      <c r="F51" t="s">
        <v>287</v>
      </c>
      <c r="G51" t="s">
        <v>288</v>
      </c>
      <c r="H51" t="s">
        <v>1963</v>
      </c>
      <c r="I51" t="s">
        <v>1963</v>
      </c>
      <c r="J51">
        <v>15.8</v>
      </c>
      <c r="K51">
        <v>15</v>
      </c>
      <c r="L51">
        <v>12.8</v>
      </c>
      <c r="M51" t="s">
        <v>1963</v>
      </c>
      <c r="N51">
        <v>38</v>
      </c>
      <c r="O51">
        <v>34</v>
      </c>
      <c r="P51">
        <v>29</v>
      </c>
      <c r="Q51" t="s">
        <v>36</v>
      </c>
      <c r="R51">
        <v>24</v>
      </c>
      <c r="S51">
        <v>1</v>
      </c>
      <c r="T51" s="4" t="s">
        <v>1965</v>
      </c>
      <c r="U51" s="4" t="s">
        <v>1966</v>
      </c>
      <c r="V51">
        <v>0</v>
      </c>
      <c r="W51" s="6" t="str">
        <f t="shared" si="0"/>
        <v>(2115,null,1,'2026-03-24 00:00:00','003103000510000-310300051','003103000510000-310300051','眼位照相',null,null,15.8,15,12.8,null,38,34,29,'次',24,1,'normal','main',0),</v>
      </c>
    </row>
    <row r="52" spans="1:23">
      <c r="A52">
        <v>2116</v>
      </c>
      <c r="B52" t="s">
        <v>1963</v>
      </c>
      <c r="C52">
        <v>1</v>
      </c>
      <c r="D52" s="3" t="s">
        <v>1964</v>
      </c>
      <c r="E52" t="s">
        <v>289</v>
      </c>
      <c r="F52" t="s">
        <v>289</v>
      </c>
      <c r="G52" t="s">
        <v>290</v>
      </c>
      <c r="H52" t="s">
        <v>1963</v>
      </c>
      <c r="I52" t="s">
        <v>1963</v>
      </c>
      <c r="J52">
        <v>15.8</v>
      </c>
      <c r="K52">
        <v>15</v>
      </c>
      <c r="L52">
        <v>12.8</v>
      </c>
      <c r="M52" t="s">
        <v>1963</v>
      </c>
      <c r="N52">
        <v>38</v>
      </c>
      <c r="O52">
        <v>34</v>
      </c>
      <c r="P52">
        <v>29</v>
      </c>
      <c r="Q52" t="s">
        <v>36</v>
      </c>
      <c r="R52">
        <v>24</v>
      </c>
      <c r="S52">
        <v>1</v>
      </c>
      <c r="T52" s="4" t="s">
        <v>1965</v>
      </c>
      <c r="U52" s="4" t="s">
        <v>1966</v>
      </c>
      <c r="V52">
        <v>0</v>
      </c>
      <c r="W52" s="6" t="str">
        <f t="shared" si="0"/>
        <v>(2116,null,1,'2026-03-24 00:00:00','003103000520000-310300052','003103000520000-310300052','眼前段照相',null,null,15.8,15,12.8,null,38,34,29,'次',24,1,'normal','main',0),</v>
      </c>
    </row>
    <row r="53" spans="1:23">
      <c r="A53">
        <v>2117</v>
      </c>
      <c r="B53" t="s">
        <v>1963</v>
      </c>
      <c r="C53">
        <v>1</v>
      </c>
      <c r="D53" s="3" t="s">
        <v>1964</v>
      </c>
      <c r="E53" t="s">
        <v>291</v>
      </c>
      <c r="F53" t="s">
        <v>291</v>
      </c>
      <c r="G53" t="s">
        <v>292</v>
      </c>
      <c r="H53" t="s">
        <v>1963</v>
      </c>
      <c r="I53" t="s">
        <v>1963</v>
      </c>
      <c r="J53">
        <v>21</v>
      </c>
      <c r="K53">
        <v>20</v>
      </c>
      <c r="L53">
        <v>17</v>
      </c>
      <c r="M53" t="s">
        <v>1963</v>
      </c>
      <c r="N53">
        <v>38</v>
      </c>
      <c r="O53">
        <v>34</v>
      </c>
      <c r="P53">
        <v>29</v>
      </c>
      <c r="Q53" t="s">
        <v>71</v>
      </c>
      <c r="R53">
        <v>24</v>
      </c>
      <c r="S53">
        <v>1</v>
      </c>
      <c r="T53" s="4" t="s">
        <v>1965</v>
      </c>
      <c r="U53" s="4" t="s">
        <v>1966</v>
      </c>
      <c r="V53">
        <v>0</v>
      </c>
      <c r="W53" s="6" t="str">
        <f t="shared" si="0"/>
        <v>(2117,null,1,'2026-03-24 00:00:00','003103000530000-310300053','003103000530000-310300053','眼底照相',null,null,21,20,17,null,38,34,29,'次（单眼）',24,1,'normal','main',0),</v>
      </c>
    </row>
    <row r="54" spans="1:23">
      <c r="A54">
        <v>2118</v>
      </c>
      <c r="B54" t="s">
        <v>1963</v>
      </c>
      <c r="C54">
        <v>1</v>
      </c>
      <c r="D54" s="3" t="s">
        <v>1964</v>
      </c>
      <c r="E54" t="s">
        <v>293</v>
      </c>
      <c r="F54" t="s">
        <v>293</v>
      </c>
      <c r="G54" t="s">
        <v>294</v>
      </c>
      <c r="H54" t="s">
        <v>1963</v>
      </c>
      <c r="I54" t="s">
        <v>1963</v>
      </c>
      <c r="J54">
        <v>31.5</v>
      </c>
      <c r="K54">
        <v>30</v>
      </c>
      <c r="L54">
        <v>25.5</v>
      </c>
      <c r="M54" t="s">
        <v>1963</v>
      </c>
      <c r="N54">
        <v>38</v>
      </c>
      <c r="O54">
        <v>34</v>
      </c>
      <c r="P54">
        <v>29</v>
      </c>
      <c r="Q54" t="s">
        <v>71</v>
      </c>
      <c r="R54">
        <v>24</v>
      </c>
      <c r="S54">
        <v>1</v>
      </c>
      <c r="T54" s="4" t="s">
        <v>1965</v>
      </c>
      <c r="U54" s="4" t="s">
        <v>1966</v>
      </c>
      <c r="V54">
        <v>0</v>
      </c>
      <c r="W54" s="6" t="str">
        <f t="shared" si="0"/>
        <v>(2118,null,1,'2026-03-24 00:00:00','003103000310000-310300031','003103000310000-310300031','青光眼视网膜神经纤维层计算机图象分析',null,null,31.5,30,25.5,null,38,34,29,'次（单眼）',24,1,'normal','main',0),</v>
      </c>
    </row>
    <row r="55" spans="1:23">
      <c r="A55">
        <v>2119</v>
      </c>
      <c r="B55" t="s">
        <v>1963</v>
      </c>
      <c r="C55">
        <v>1</v>
      </c>
      <c r="D55" s="3" t="s">
        <v>1964</v>
      </c>
      <c r="E55" t="s">
        <v>297</v>
      </c>
      <c r="F55" t="s">
        <v>297</v>
      </c>
      <c r="G55" t="s">
        <v>298</v>
      </c>
      <c r="H55" t="s">
        <v>1963</v>
      </c>
      <c r="I55" t="s">
        <v>1963</v>
      </c>
      <c r="J55">
        <v>52.5</v>
      </c>
      <c r="K55">
        <v>50</v>
      </c>
      <c r="L55">
        <v>42.5</v>
      </c>
      <c r="M55" t="s">
        <v>1963</v>
      </c>
      <c r="N55">
        <v>38</v>
      </c>
      <c r="O55">
        <v>34</v>
      </c>
      <c r="P55">
        <v>29</v>
      </c>
      <c r="Q55" t="s">
        <v>71</v>
      </c>
      <c r="R55">
        <v>24</v>
      </c>
      <c r="S55">
        <v>1</v>
      </c>
      <c r="T55" s="4" t="s">
        <v>1965</v>
      </c>
      <c r="U55" s="4" t="s">
        <v>1966</v>
      </c>
      <c r="V55">
        <v>0</v>
      </c>
      <c r="W55" s="6" t="str">
        <f t="shared" si="0"/>
        <v>(2119,null,1,'2026-03-24 00:00:00','003103000310001-31030003101','003103000310001-31030003101','青光眼视网膜神经纤维层计算机图象分析（含定量分析）',null,null,52.5,50,42.5,null,38,34,29,'次（单眼）',24,1,'normal','main',0),</v>
      </c>
    </row>
    <row r="56" spans="1:23">
      <c r="A56">
        <v>2120</v>
      </c>
      <c r="B56" t="s">
        <v>1963</v>
      </c>
      <c r="C56">
        <v>1</v>
      </c>
      <c r="D56" s="3" t="s">
        <v>1964</v>
      </c>
      <c r="E56" t="s">
        <v>300</v>
      </c>
      <c r="F56" t="s">
        <v>300</v>
      </c>
      <c r="G56" t="s">
        <v>301</v>
      </c>
      <c r="H56" t="s">
        <v>1963</v>
      </c>
      <c r="I56" t="s">
        <v>1963</v>
      </c>
      <c r="J56">
        <v>84</v>
      </c>
      <c r="K56">
        <v>80</v>
      </c>
      <c r="L56">
        <v>68</v>
      </c>
      <c r="M56" t="s">
        <v>1963</v>
      </c>
      <c r="N56">
        <v>38</v>
      </c>
      <c r="O56">
        <v>34</v>
      </c>
      <c r="P56">
        <v>29</v>
      </c>
      <c r="Q56" t="s">
        <v>71</v>
      </c>
      <c r="R56">
        <v>24</v>
      </c>
      <c r="S56">
        <v>1</v>
      </c>
      <c r="T56" s="4" t="s">
        <v>1965</v>
      </c>
      <c r="U56" s="4" t="s">
        <v>1966</v>
      </c>
      <c r="V56">
        <v>0</v>
      </c>
      <c r="W56" s="6" t="str">
        <f t="shared" si="0"/>
        <v>(2120,null,1,'2026-03-24 00:00:00','003103000570000-310300057','003103000570000-310300057','扫描激光眼底检查（SLO）',null,null,84,80,68,null,38,34,29,'次（单眼）',24,1,'normal','main',0),</v>
      </c>
    </row>
    <row r="57" spans="1:23">
      <c r="A57">
        <v>2121</v>
      </c>
      <c r="B57" t="s">
        <v>1963</v>
      </c>
      <c r="C57">
        <v>1</v>
      </c>
      <c r="D57" s="3" t="s">
        <v>1964</v>
      </c>
      <c r="E57" t="s">
        <v>302</v>
      </c>
      <c r="F57" t="s">
        <v>302</v>
      </c>
      <c r="G57" t="s">
        <v>303</v>
      </c>
      <c r="H57" t="s">
        <v>1963</v>
      </c>
      <c r="I57" t="s">
        <v>1963</v>
      </c>
      <c r="J57">
        <v>63</v>
      </c>
      <c r="K57">
        <v>60</v>
      </c>
      <c r="L57">
        <v>51</v>
      </c>
      <c r="M57" t="s">
        <v>1963</v>
      </c>
      <c r="N57">
        <v>38</v>
      </c>
      <c r="O57">
        <v>34</v>
      </c>
      <c r="P57">
        <v>29</v>
      </c>
      <c r="Q57" t="s">
        <v>36</v>
      </c>
      <c r="R57">
        <v>24</v>
      </c>
      <c r="S57">
        <v>1</v>
      </c>
      <c r="T57" s="4" t="s">
        <v>1965</v>
      </c>
      <c r="U57" s="4" t="s">
        <v>1966</v>
      </c>
      <c r="V57">
        <v>0</v>
      </c>
      <c r="W57" s="6" t="str">
        <f t="shared" si="0"/>
        <v>(2121,null,1,'2026-03-24 00:00:00','003103000660000-310300066','003103000660000-310300066','视网膜地形图',null,null,63,60,51,null,38,34,29,'次',24,1,'normal','main',0),</v>
      </c>
    </row>
    <row r="58" spans="1:23">
      <c r="A58">
        <v>2122</v>
      </c>
      <c r="B58" t="s">
        <v>1963</v>
      </c>
      <c r="C58">
        <v>1</v>
      </c>
      <c r="D58" s="3" t="s">
        <v>1964</v>
      </c>
      <c r="E58" t="s">
        <v>304</v>
      </c>
      <c r="F58" t="s">
        <v>304</v>
      </c>
      <c r="G58" t="s">
        <v>305</v>
      </c>
      <c r="H58" t="s">
        <v>1963</v>
      </c>
      <c r="I58" t="s">
        <v>1963</v>
      </c>
      <c r="J58">
        <v>52.5</v>
      </c>
      <c r="K58">
        <v>50</v>
      </c>
      <c r="L58">
        <v>42.5</v>
      </c>
      <c r="M58" t="s">
        <v>1963</v>
      </c>
      <c r="N58">
        <v>38</v>
      </c>
      <c r="O58">
        <v>34</v>
      </c>
      <c r="P58">
        <v>29</v>
      </c>
      <c r="Q58" t="s">
        <v>71</v>
      </c>
      <c r="R58">
        <v>24</v>
      </c>
      <c r="S58">
        <v>1</v>
      </c>
      <c r="T58" s="4" t="s">
        <v>1965</v>
      </c>
      <c r="U58" s="4" t="s">
        <v>1966</v>
      </c>
      <c r="V58">
        <v>0</v>
      </c>
      <c r="W58" s="6" t="str">
        <f t="shared" si="0"/>
        <v>(2122,null,1,'2026-03-24 00:00:00','003103000550000-310300055','003103000550000-310300055','裂隙灯下眼底视神经立体照相',null,null,52.5,50,42.5,null,38,34,29,'次（单眼）',24,1,'normal','main',0),</v>
      </c>
    </row>
    <row r="59" spans="1:23">
      <c r="A59">
        <v>2123</v>
      </c>
      <c r="B59" t="s">
        <v>1963</v>
      </c>
      <c r="C59">
        <v>1</v>
      </c>
      <c r="D59" s="3" t="s">
        <v>1964</v>
      </c>
      <c r="E59" t="s">
        <v>318</v>
      </c>
      <c r="F59" t="s">
        <v>318</v>
      </c>
      <c r="G59" t="s">
        <v>319</v>
      </c>
      <c r="H59" t="s">
        <v>1963</v>
      </c>
      <c r="I59" t="s">
        <v>1963</v>
      </c>
      <c r="J59">
        <v>5.3</v>
      </c>
      <c r="K59">
        <v>5</v>
      </c>
      <c r="L59">
        <v>4.3</v>
      </c>
      <c r="M59" t="s">
        <v>1963</v>
      </c>
      <c r="N59">
        <v>8</v>
      </c>
      <c r="O59">
        <v>7</v>
      </c>
      <c r="P59">
        <v>6</v>
      </c>
      <c r="Q59" t="s">
        <v>36</v>
      </c>
      <c r="R59">
        <v>24</v>
      </c>
      <c r="S59">
        <v>1</v>
      </c>
      <c r="T59" s="4" t="s">
        <v>1965</v>
      </c>
      <c r="U59" s="4" t="s">
        <v>1966</v>
      </c>
      <c r="V59">
        <v>0</v>
      </c>
      <c r="W59" s="6" t="str">
        <f t="shared" si="0"/>
        <v>(2123,null,1,'2026-03-24 00:00:00','003103000560000-310300056','003103000560000-310300056','眼底检查',null,null,5.3,5,4.3,null,8,7,6,'次',24,1,'normal','main',0),</v>
      </c>
    </row>
    <row r="60" spans="1:23">
      <c r="A60">
        <v>2124</v>
      </c>
      <c r="B60" t="s">
        <v>1963</v>
      </c>
      <c r="C60">
        <v>1</v>
      </c>
      <c r="D60" s="3" t="s">
        <v>1964</v>
      </c>
      <c r="E60" t="s">
        <v>321</v>
      </c>
      <c r="F60" t="s">
        <v>321</v>
      </c>
      <c r="G60" t="s">
        <v>322</v>
      </c>
      <c r="H60" t="s">
        <v>1963</v>
      </c>
      <c r="I60" t="s">
        <v>1963</v>
      </c>
      <c r="J60">
        <v>8.4</v>
      </c>
      <c r="K60">
        <v>8</v>
      </c>
      <c r="L60">
        <v>6.8</v>
      </c>
      <c r="M60" t="s">
        <v>1963</v>
      </c>
      <c r="N60">
        <v>8</v>
      </c>
      <c r="O60">
        <v>7</v>
      </c>
      <c r="P60">
        <v>6</v>
      </c>
      <c r="Q60" t="s">
        <v>36</v>
      </c>
      <c r="R60">
        <v>24</v>
      </c>
      <c r="S60">
        <v>1</v>
      </c>
      <c r="T60" s="4" t="s">
        <v>1965</v>
      </c>
      <c r="U60" s="4" t="s">
        <v>1966</v>
      </c>
      <c r="V60">
        <v>0</v>
      </c>
      <c r="W60" s="6" t="str">
        <f t="shared" si="0"/>
        <v>(2124,null,1,'2026-03-24 00:00:00','003103000250000-310300025','003103000250000-310300025','注视性质检查',null,null,8.4,8,6.8,null,8,7,6,'次',24,1,'normal','main',0),</v>
      </c>
    </row>
    <row r="61" spans="1:23">
      <c r="A61">
        <v>2125</v>
      </c>
      <c r="B61" t="s">
        <v>1963</v>
      </c>
      <c r="C61">
        <v>1</v>
      </c>
      <c r="D61" s="3" t="s">
        <v>1964</v>
      </c>
      <c r="E61" t="s">
        <v>323</v>
      </c>
      <c r="F61" t="s">
        <v>323</v>
      </c>
      <c r="G61" t="s">
        <v>324</v>
      </c>
      <c r="H61" t="s">
        <v>1963</v>
      </c>
      <c r="I61" t="s">
        <v>1963</v>
      </c>
      <c r="J61">
        <v>10.5</v>
      </c>
      <c r="K61">
        <v>10</v>
      </c>
      <c r="L61">
        <v>8.5</v>
      </c>
      <c r="M61" t="s">
        <v>1963</v>
      </c>
      <c r="N61">
        <v>8</v>
      </c>
      <c r="O61">
        <v>7</v>
      </c>
      <c r="P61">
        <v>6</v>
      </c>
      <c r="Q61" t="s">
        <v>36</v>
      </c>
      <c r="R61">
        <v>24</v>
      </c>
      <c r="S61">
        <v>1</v>
      </c>
      <c r="T61" s="4" t="s">
        <v>1965</v>
      </c>
      <c r="U61" s="4" t="s">
        <v>1966</v>
      </c>
      <c r="V61">
        <v>0</v>
      </c>
      <c r="W61" s="6" t="str">
        <f t="shared" si="0"/>
        <v>(2125,null,1,'2026-03-24 00:00:00','003103000580000-310300058','003103000580000-310300058','视网膜裂孔定位检查',null,null,10.5,10,8.5,null,8,7,6,'次',24,1,'normal','main',0),</v>
      </c>
    </row>
    <row r="62" spans="1:23">
      <c r="A62">
        <v>2126</v>
      </c>
      <c r="B62" t="s">
        <v>1963</v>
      </c>
      <c r="C62">
        <v>1</v>
      </c>
      <c r="D62" s="3" t="s">
        <v>1964</v>
      </c>
      <c r="E62" t="s">
        <v>326</v>
      </c>
      <c r="F62" t="s">
        <v>326</v>
      </c>
      <c r="G62" t="s">
        <v>327</v>
      </c>
      <c r="H62" t="s">
        <v>1963</v>
      </c>
      <c r="I62" t="s">
        <v>1963</v>
      </c>
      <c r="J62">
        <v>10.5</v>
      </c>
      <c r="K62">
        <v>10</v>
      </c>
      <c r="L62">
        <v>8.5</v>
      </c>
      <c r="M62" t="s">
        <v>1963</v>
      </c>
      <c r="N62">
        <v>8</v>
      </c>
      <c r="O62">
        <v>7</v>
      </c>
      <c r="P62">
        <v>6</v>
      </c>
      <c r="Q62" t="s">
        <v>36</v>
      </c>
      <c r="R62">
        <v>24</v>
      </c>
      <c r="S62">
        <v>1</v>
      </c>
      <c r="T62" s="4" t="s">
        <v>1965</v>
      </c>
      <c r="U62" s="4" t="s">
        <v>1966</v>
      </c>
      <c r="V62">
        <v>0</v>
      </c>
      <c r="W62" s="6" t="str">
        <f t="shared" si="0"/>
        <v>(2126,null,1,'2026-03-24 00:00:00','003103000490000-310300049','003103000490000-310300049','裂隙灯下眼底检查',null,null,10.5,10,8.5,null,8,7,6,'次',24,1,'normal','main',0),</v>
      </c>
    </row>
    <row r="63" spans="1:23">
      <c r="A63">
        <v>2127</v>
      </c>
      <c r="B63" t="s">
        <v>1963</v>
      </c>
      <c r="C63">
        <v>1</v>
      </c>
      <c r="D63" s="3" t="s">
        <v>1964</v>
      </c>
      <c r="E63" t="s">
        <v>335</v>
      </c>
      <c r="F63" t="s">
        <v>335</v>
      </c>
      <c r="G63" t="s">
        <v>336</v>
      </c>
      <c r="H63" t="s">
        <v>1963</v>
      </c>
      <c r="I63" t="s">
        <v>1963</v>
      </c>
      <c r="J63">
        <v>84</v>
      </c>
      <c r="K63">
        <v>80</v>
      </c>
      <c r="L63">
        <v>68</v>
      </c>
      <c r="M63" t="s">
        <v>1963</v>
      </c>
      <c r="N63">
        <v>105</v>
      </c>
      <c r="O63">
        <v>95</v>
      </c>
      <c r="P63">
        <v>81</v>
      </c>
      <c r="Q63" t="s">
        <v>71</v>
      </c>
      <c r="R63">
        <v>24</v>
      </c>
      <c r="S63">
        <v>1</v>
      </c>
      <c r="T63" s="4" t="s">
        <v>1965</v>
      </c>
      <c r="U63" s="4" t="s">
        <v>1966</v>
      </c>
      <c r="V63">
        <v>0</v>
      </c>
      <c r="W63" s="6" t="str">
        <f t="shared" si="0"/>
        <v>(2127,null,1,'2026-03-24 00:00:00','003103000540000-310300054','003103000540000-310300054','眼底血管造影',null,null,84,80,68,null,105,95,81,'次（单眼）',24,1,'normal','main',0),</v>
      </c>
    </row>
    <row r="64" spans="1:23">
      <c r="A64">
        <v>2128</v>
      </c>
      <c r="B64" t="s">
        <v>1963</v>
      </c>
      <c r="C64">
        <v>1</v>
      </c>
      <c r="D64" s="3" t="s">
        <v>1964</v>
      </c>
      <c r="E64" t="s">
        <v>341</v>
      </c>
      <c r="F64" t="s">
        <v>341</v>
      </c>
      <c r="G64" t="s">
        <v>342</v>
      </c>
      <c r="H64" t="s">
        <v>1963</v>
      </c>
      <c r="I64" t="s">
        <v>1963</v>
      </c>
      <c r="J64">
        <v>52.5</v>
      </c>
      <c r="K64">
        <v>50</v>
      </c>
      <c r="L64">
        <v>42.5</v>
      </c>
      <c r="M64" t="s">
        <v>1963</v>
      </c>
      <c r="N64">
        <v>105</v>
      </c>
      <c r="O64">
        <v>95</v>
      </c>
      <c r="P64">
        <v>81</v>
      </c>
      <c r="Q64" t="s">
        <v>36</v>
      </c>
      <c r="R64">
        <v>24</v>
      </c>
      <c r="S64">
        <v>1</v>
      </c>
      <c r="T64" s="4" t="s">
        <v>1965</v>
      </c>
      <c r="U64" s="4" t="s">
        <v>1966</v>
      </c>
      <c r="V64">
        <v>0</v>
      </c>
      <c r="W64" s="6" t="str">
        <f t="shared" si="0"/>
        <v>(2128,null,1,'2026-03-24 00:00:00','003103000610000-310300061','003103000610000-310300061','视网膜动脉压测定',null,null,52.5,50,42.5,null,105,95,81,'次',24,1,'normal','main',0),</v>
      </c>
    </row>
    <row r="65" spans="1:23">
      <c r="A65">
        <v>2129</v>
      </c>
      <c r="B65" t="s">
        <v>1963</v>
      </c>
      <c r="C65">
        <v>1</v>
      </c>
      <c r="D65" s="3" t="s">
        <v>1964</v>
      </c>
      <c r="E65" t="s">
        <v>350</v>
      </c>
      <c r="F65" t="s">
        <v>350</v>
      </c>
      <c r="G65" t="s">
        <v>351</v>
      </c>
      <c r="H65" t="s">
        <v>1963</v>
      </c>
      <c r="I65" t="s">
        <v>1963</v>
      </c>
      <c r="J65">
        <v>52.5</v>
      </c>
      <c r="K65">
        <v>50</v>
      </c>
      <c r="L65">
        <v>42.5</v>
      </c>
      <c r="M65" t="s">
        <v>1963</v>
      </c>
      <c r="N65">
        <v>65</v>
      </c>
      <c r="O65">
        <v>60</v>
      </c>
      <c r="P65">
        <v>50</v>
      </c>
      <c r="Q65" t="s">
        <v>71</v>
      </c>
      <c r="R65">
        <v>24</v>
      </c>
      <c r="S65">
        <v>1</v>
      </c>
      <c r="T65" s="4" t="s">
        <v>1965</v>
      </c>
      <c r="U65" s="4" t="s">
        <v>1966</v>
      </c>
      <c r="V65">
        <v>0</v>
      </c>
      <c r="W65" s="6" t="str">
        <f t="shared" si="0"/>
        <v>(2129,null,1,'2026-03-24 00:00:00','003103000650000-310300065','003103000650000-310300065','视网膜电流图（ERG）',null,null,52.5,50,42.5,null,65,60,50,'次（单眼）',24,1,'normal','main',0),</v>
      </c>
    </row>
    <row r="66" spans="1:23">
      <c r="A66">
        <v>2130</v>
      </c>
      <c r="B66" t="s">
        <v>1963</v>
      </c>
      <c r="C66">
        <v>1</v>
      </c>
      <c r="D66" s="3" t="s">
        <v>1964</v>
      </c>
      <c r="E66" t="s">
        <v>353</v>
      </c>
      <c r="F66" t="s">
        <v>353</v>
      </c>
      <c r="G66" t="s">
        <v>354</v>
      </c>
      <c r="H66" t="s">
        <v>1963</v>
      </c>
      <c r="I66" t="s">
        <v>1963</v>
      </c>
      <c r="J66">
        <v>52.5</v>
      </c>
      <c r="K66">
        <v>50</v>
      </c>
      <c r="L66">
        <v>42.5</v>
      </c>
      <c r="M66" t="s">
        <v>1963</v>
      </c>
      <c r="N66">
        <v>65</v>
      </c>
      <c r="O66">
        <v>60</v>
      </c>
      <c r="P66">
        <v>50</v>
      </c>
      <c r="Q66" t="s">
        <v>71</v>
      </c>
      <c r="R66">
        <v>24</v>
      </c>
      <c r="S66">
        <v>1</v>
      </c>
      <c r="T66" s="4" t="s">
        <v>1965</v>
      </c>
      <c r="U66" s="4" t="s">
        <v>1966</v>
      </c>
      <c r="V66">
        <v>0</v>
      </c>
      <c r="W66" s="6" t="str">
        <f t="shared" si="0"/>
        <v>(2130,null,1,'2026-03-24 00:00:00','003103000650200-31030006501','003103000650200-31030006501','视网膜电流图（多焦视网膜电图m-ERG）',null,null,52.5,50,42.5,null,65,60,50,'次（单眼）',24,1,'normal','main',0),</v>
      </c>
    </row>
    <row r="67" spans="1:23">
      <c r="A67">
        <v>2131</v>
      </c>
      <c r="B67" t="s">
        <v>1963</v>
      </c>
      <c r="C67">
        <v>1</v>
      </c>
      <c r="D67" s="3" t="s">
        <v>1964</v>
      </c>
      <c r="E67" t="s">
        <v>356</v>
      </c>
      <c r="F67" t="s">
        <v>356</v>
      </c>
      <c r="G67" t="s">
        <v>357</v>
      </c>
      <c r="H67" t="s">
        <v>1963</v>
      </c>
      <c r="I67" t="s">
        <v>1963</v>
      </c>
      <c r="J67">
        <v>52.5</v>
      </c>
      <c r="K67">
        <v>50</v>
      </c>
      <c r="L67">
        <v>42.5</v>
      </c>
      <c r="M67" t="s">
        <v>1963</v>
      </c>
      <c r="N67">
        <v>65</v>
      </c>
      <c r="O67">
        <v>60</v>
      </c>
      <c r="P67">
        <v>50</v>
      </c>
      <c r="Q67" t="s">
        <v>71</v>
      </c>
      <c r="R67">
        <v>24</v>
      </c>
      <c r="S67">
        <v>1</v>
      </c>
      <c r="T67" s="4" t="s">
        <v>1965</v>
      </c>
      <c r="U67" s="4" t="s">
        <v>1966</v>
      </c>
      <c r="V67">
        <v>0</v>
      </c>
      <c r="W67" s="6" t="str">
        <f t="shared" ref="W67:W130" si="1">"("&amp;A67&amp;","&amp;B67&amp;","&amp;C67&amp;",'"&amp;D67&amp;"','"&amp;E67&amp;"','"&amp;F67&amp;"','"&amp;G67&amp;"',"&amp;H67&amp;","&amp;I67&amp;","&amp;J67&amp;","&amp;K67&amp;","&amp;L67&amp;","&amp;M67&amp;","&amp;N67&amp;","&amp;O67&amp;","&amp;P67&amp;",'"&amp;Q67&amp;"',"&amp;R67&amp;","&amp;S67&amp;",'"&amp;T67&amp;"','"&amp;U67&amp;"',"&amp;V67&amp;"),"</f>
        <v>(2131,null,1,'2026-03-24 00:00:00','003103000650100-31030006502','003103000650100-31030006502','视网膜电流图（图形视网膜电图P-ERG）',null,null,52.5,50,42.5,null,65,60,50,'次（单眼）',24,1,'normal','main',0),</v>
      </c>
    </row>
    <row r="68" spans="1:23">
      <c r="A68">
        <v>2132</v>
      </c>
      <c r="B68" t="s">
        <v>1963</v>
      </c>
      <c r="C68">
        <v>1</v>
      </c>
      <c r="D68" s="3" t="s">
        <v>1964</v>
      </c>
      <c r="E68" t="s">
        <v>359</v>
      </c>
      <c r="F68" t="s">
        <v>359</v>
      </c>
      <c r="G68" t="s">
        <v>360</v>
      </c>
      <c r="H68" t="s">
        <v>1963</v>
      </c>
      <c r="I68" t="s">
        <v>1963</v>
      </c>
      <c r="J68">
        <v>52.5</v>
      </c>
      <c r="K68">
        <v>50</v>
      </c>
      <c r="L68">
        <v>42.5</v>
      </c>
      <c r="M68" t="s">
        <v>1963</v>
      </c>
      <c r="N68">
        <v>65</v>
      </c>
      <c r="O68">
        <v>60</v>
      </c>
      <c r="P68">
        <v>50</v>
      </c>
      <c r="Q68" t="s">
        <v>71</v>
      </c>
      <c r="R68">
        <v>24</v>
      </c>
      <c r="S68">
        <v>1</v>
      </c>
      <c r="T68" s="4" t="s">
        <v>1965</v>
      </c>
      <c r="U68" s="4" t="s">
        <v>1966</v>
      </c>
      <c r="V68">
        <v>0</v>
      </c>
      <c r="W68" s="6" t="str">
        <f t="shared" si="1"/>
        <v>(2132,null,1,'2026-03-24 00:00:00','003103000670000-310300067','003103000670000-310300067','眼电图（EOG）',null,null,52.5,50,42.5,null,65,60,50,'次（单眼）',24,1,'normal','main',0),</v>
      </c>
    </row>
    <row r="69" spans="1:23">
      <c r="A69">
        <v>2133</v>
      </c>
      <c r="B69" t="s">
        <v>1963</v>
      </c>
      <c r="C69">
        <v>1</v>
      </c>
      <c r="D69" s="3" t="s">
        <v>1964</v>
      </c>
      <c r="E69" t="s">
        <v>362</v>
      </c>
      <c r="F69" t="s">
        <v>362</v>
      </c>
      <c r="G69" t="s">
        <v>363</v>
      </c>
      <c r="H69" t="s">
        <v>1963</v>
      </c>
      <c r="I69" t="s">
        <v>1963</v>
      </c>
      <c r="J69">
        <v>52.5</v>
      </c>
      <c r="K69">
        <v>50</v>
      </c>
      <c r="L69">
        <v>42.5</v>
      </c>
      <c r="M69" t="s">
        <v>1963</v>
      </c>
      <c r="N69">
        <v>65</v>
      </c>
      <c r="O69">
        <v>60</v>
      </c>
      <c r="P69">
        <v>50</v>
      </c>
      <c r="Q69" t="s">
        <v>71</v>
      </c>
      <c r="R69">
        <v>24</v>
      </c>
      <c r="S69">
        <v>1</v>
      </c>
      <c r="T69" s="4" t="s">
        <v>1965</v>
      </c>
      <c r="U69" s="4" t="s">
        <v>1966</v>
      </c>
      <c r="V69">
        <v>0</v>
      </c>
      <c r="W69" s="6" t="str">
        <f t="shared" si="1"/>
        <v>(2133,null,1,'2026-03-24 00:00:00','003103000680000-310300068','003103000680000-310300068','视诱发电位（VEP）',null,null,52.5,50,42.5,null,65,60,50,'次（单眼）',24,1,'normal','main',0),</v>
      </c>
    </row>
    <row r="70" spans="1:23">
      <c r="A70">
        <v>2134</v>
      </c>
      <c r="B70" t="s">
        <v>1963</v>
      </c>
      <c r="C70">
        <v>1</v>
      </c>
      <c r="D70" s="3" t="s">
        <v>1964</v>
      </c>
      <c r="E70" t="s">
        <v>366</v>
      </c>
      <c r="F70" t="s">
        <v>366</v>
      </c>
      <c r="G70" t="s">
        <v>367</v>
      </c>
      <c r="H70" t="s">
        <v>1963</v>
      </c>
      <c r="I70" t="s">
        <v>1963</v>
      </c>
      <c r="J70">
        <v>105</v>
      </c>
      <c r="K70">
        <v>100</v>
      </c>
      <c r="L70">
        <v>85</v>
      </c>
      <c r="M70" t="s">
        <v>1963</v>
      </c>
      <c r="N70">
        <v>65</v>
      </c>
      <c r="O70">
        <v>60</v>
      </c>
      <c r="P70">
        <v>50</v>
      </c>
      <c r="Q70" t="s">
        <v>71</v>
      </c>
      <c r="R70">
        <v>24</v>
      </c>
      <c r="S70">
        <v>1</v>
      </c>
      <c r="T70" s="4" t="s">
        <v>1965</v>
      </c>
      <c r="U70" s="4" t="s">
        <v>1966</v>
      </c>
      <c r="V70">
        <v>0</v>
      </c>
      <c r="W70" s="6" t="str">
        <f t="shared" si="1"/>
        <v>(2134,null,1,'2026-03-24 00:00:00','003103000680000-31030006801','003103000680000-31030006801','视诱发电位（多焦VEP）',null,null,105,100,85,null,65,60,50,'次（单眼）',24,1,'normal','main',0),</v>
      </c>
    </row>
    <row r="71" spans="1:23">
      <c r="A71">
        <v>2135</v>
      </c>
      <c r="B71" t="s">
        <v>1963</v>
      </c>
      <c r="C71">
        <v>1</v>
      </c>
      <c r="D71" s="3" t="s">
        <v>1964</v>
      </c>
      <c r="E71" t="s">
        <v>374</v>
      </c>
      <c r="F71" t="s">
        <v>374</v>
      </c>
      <c r="G71" t="s">
        <v>375</v>
      </c>
      <c r="H71" t="s">
        <v>1963</v>
      </c>
      <c r="I71" t="s">
        <v>1963</v>
      </c>
      <c r="J71">
        <v>5.3</v>
      </c>
      <c r="K71">
        <v>5</v>
      </c>
      <c r="L71">
        <v>4.3</v>
      </c>
      <c r="M71" t="s">
        <v>1963</v>
      </c>
      <c r="N71">
        <v>5</v>
      </c>
      <c r="O71">
        <v>4.8</v>
      </c>
      <c r="P71">
        <v>4.3</v>
      </c>
      <c r="Q71" t="s">
        <v>36</v>
      </c>
      <c r="R71">
        <v>24</v>
      </c>
      <c r="S71">
        <v>1</v>
      </c>
      <c r="T71" s="4" t="s">
        <v>1965</v>
      </c>
      <c r="U71" s="4" t="s">
        <v>1966</v>
      </c>
      <c r="V71">
        <v>0</v>
      </c>
      <c r="W71" s="6" t="str">
        <f t="shared" si="1"/>
        <v>(2135,null,1,'2026-03-24 00:00:00','003103000300000-310300030','003103000300000-310300030','眼球突出度测量',null,null,5.3,5,4.3,null,5,4.8,4.3,'次',24,1,'normal','main',0),</v>
      </c>
    </row>
    <row r="72" spans="1:23">
      <c r="A72">
        <v>2136</v>
      </c>
      <c r="B72" t="s">
        <v>1963</v>
      </c>
      <c r="C72">
        <v>1</v>
      </c>
      <c r="D72" s="3" t="s">
        <v>1964</v>
      </c>
      <c r="E72" t="s">
        <v>382</v>
      </c>
      <c r="F72" t="s">
        <v>382</v>
      </c>
      <c r="G72" t="s">
        <v>383</v>
      </c>
      <c r="H72" t="s">
        <v>1963</v>
      </c>
      <c r="I72" t="s">
        <v>1963</v>
      </c>
      <c r="J72">
        <v>10.5</v>
      </c>
      <c r="K72">
        <v>10</v>
      </c>
      <c r="L72">
        <v>8.5</v>
      </c>
      <c r="M72" t="s">
        <v>1963</v>
      </c>
      <c r="N72">
        <v>10.5</v>
      </c>
      <c r="O72">
        <v>10</v>
      </c>
      <c r="P72">
        <v>8.5</v>
      </c>
      <c r="Q72" t="s">
        <v>36</v>
      </c>
      <c r="R72">
        <v>24</v>
      </c>
      <c r="S72">
        <v>1</v>
      </c>
      <c r="T72" s="4" t="s">
        <v>1965</v>
      </c>
      <c r="U72" s="4" t="s">
        <v>1966</v>
      </c>
      <c r="V72">
        <v>0</v>
      </c>
      <c r="W72" s="6" t="str">
        <f t="shared" si="1"/>
        <v>(2136,null,1,'2026-03-24 00:00:00','003103000690000-310300069','003103000690000-310300069','眼外肌功能检查',null,null,10.5,10,8.5,null,10.5,10,8.5,'次',24,1,'normal','main',0),</v>
      </c>
    </row>
    <row r="73" spans="1:23">
      <c r="A73">
        <v>2137</v>
      </c>
      <c r="B73" t="s">
        <v>1963</v>
      </c>
      <c r="C73">
        <v>1</v>
      </c>
      <c r="D73" s="3" t="s">
        <v>1964</v>
      </c>
      <c r="E73" t="s">
        <v>385</v>
      </c>
      <c r="F73" t="s">
        <v>385</v>
      </c>
      <c r="G73" t="s">
        <v>386</v>
      </c>
      <c r="H73" t="s">
        <v>1963</v>
      </c>
      <c r="I73" t="s">
        <v>1963</v>
      </c>
      <c r="J73">
        <v>10.5</v>
      </c>
      <c r="K73">
        <v>10</v>
      </c>
      <c r="L73">
        <v>8.5</v>
      </c>
      <c r="M73" t="s">
        <v>1963</v>
      </c>
      <c r="N73">
        <v>10.5</v>
      </c>
      <c r="O73">
        <v>10</v>
      </c>
      <c r="P73">
        <v>8.5</v>
      </c>
      <c r="Q73" t="s">
        <v>36</v>
      </c>
      <c r="R73">
        <v>24</v>
      </c>
      <c r="S73">
        <v>1</v>
      </c>
      <c r="T73" s="4" t="s">
        <v>1965</v>
      </c>
      <c r="U73" s="4" t="s">
        <v>1966</v>
      </c>
      <c r="V73">
        <v>0</v>
      </c>
      <c r="W73" s="6" t="str">
        <f t="shared" si="1"/>
        <v>(2137,null,1,'2026-03-24 00:00:00','003103000700000-310300070','003103000700000-310300070','眼肌力检查',null,null,10.5,10,8.5,null,10.5,10,8.5,'次',24,1,'normal','main',0),</v>
      </c>
    </row>
    <row r="74" spans="1:23">
      <c r="A74">
        <v>2138</v>
      </c>
      <c r="B74" t="s">
        <v>1963</v>
      </c>
      <c r="C74">
        <v>1</v>
      </c>
      <c r="D74" s="3" t="s">
        <v>1964</v>
      </c>
      <c r="E74" t="s">
        <v>394</v>
      </c>
      <c r="F74" t="s">
        <v>394</v>
      </c>
      <c r="G74" t="s">
        <v>395</v>
      </c>
      <c r="H74" t="s">
        <v>1963</v>
      </c>
      <c r="I74" t="s">
        <v>1963</v>
      </c>
      <c r="J74">
        <v>10.5</v>
      </c>
      <c r="K74">
        <v>10</v>
      </c>
      <c r="L74">
        <v>8.5</v>
      </c>
      <c r="M74" t="s">
        <v>1963</v>
      </c>
      <c r="N74">
        <v>10</v>
      </c>
      <c r="O74">
        <v>9</v>
      </c>
      <c r="P74">
        <v>8</v>
      </c>
      <c r="Q74" t="s">
        <v>36</v>
      </c>
      <c r="R74">
        <v>24</v>
      </c>
      <c r="S74">
        <v>1</v>
      </c>
      <c r="T74" s="4" t="s">
        <v>1965</v>
      </c>
      <c r="U74" s="4" t="s">
        <v>1966</v>
      </c>
      <c r="V74">
        <v>0</v>
      </c>
      <c r="W74" s="6" t="str">
        <f t="shared" si="1"/>
        <v>(2138,null,1,'2026-03-24 00:00:00','003103000260000-310300026','003103000260000-310300026','眼象差检查',null,null,10.5,10,8.5,null,10,9,8,'次',24,1,'normal','main',0),</v>
      </c>
    </row>
    <row r="75" spans="1:23">
      <c r="A75">
        <v>2139</v>
      </c>
      <c r="B75" t="s">
        <v>1963</v>
      </c>
      <c r="C75">
        <v>1</v>
      </c>
      <c r="D75" s="3" t="s">
        <v>1964</v>
      </c>
      <c r="E75" t="s">
        <v>406</v>
      </c>
      <c r="F75" t="s">
        <v>406</v>
      </c>
      <c r="G75" t="s">
        <v>407</v>
      </c>
      <c r="H75" t="s">
        <v>1963</v>
      </c>
      <c r="I75" t="s">
        <v>1963</v>
      </c>
      <c r="J75">
        <v>73.5</v>
      </c>
      <c r="K75">
        <v>70</v>
      </c>
      <c r="L75">
        <v>59.5</v>
      </c>
      <c r="M75" t="s">
        <v>1963</v>
      </c>
      <c r="N75">
        <v>74</v>
      </c>
      <c r="O75">
        <v>69</v>
      </c>
      <c r="P75">
        <v>60</v>
      </c>
      <c r="Q75" t="s">
        <v>36</v>
      </c>
      <c r="R75">
        <v>24</v>
      </c>
      <c r="S75">
        <v>1</v>
      </c>
      <c r="T75" s="4" t="s">
        <v>1965</v>
      </c>
      <c r="U75" s="4" t="s">
        <v>1966</v>
      </c>
      <c r="V75">
        <v>0</v>
      </c>
      <c r="W75" s="6" t="str">
        <f t="shared" si="1"/>
        <v>(2139,null,1,'2026-03-24 00:00:00','003104010210000-310401021','003104010210000-310401021','眼震电图',null,null,73.5,70,59.5,null,74,69,60,'次',24,1,'normal','main',0),</v>
      </c>
    </row>
    <row r="76" spans="1:23">
      <c r="A76">
        <v>2140</v>
      </c>
      <c r="B76" t="s">
        <v>1963</v>
      </c>
      <c r="C76">
        <v>1</v>
      </c>
      <c r="D76" s="3" t="s">
        <v>1964</v>
      </c>
      <c r="E76" t="s">
        <v>413</v>
      </c>
      <c r="F76" t="s">
        <v>413</v>
      </c>
      <c r="G76" t="s">
        <v>414</v>
      </c>
      <c r="H76" t="s">
        <v>1963</v>
      </c>
      <c r="I76" t="s">
        <v>1963</v>
      </c>
      <c r="J76">
        <v>8.4</v>
      </c>
      <c r="K76">
        <v>8</v>
      </c>
      <c r="L76">
        <v>6.8</v>
      </c>
      <c r="M76" t="s">
        <v>1963</v>
      </c>
      <c r="N76">
        <v>8</v>
      </c>
      <c r="O76">
        <v>7</v>
      </c>
      <c r="P76">
        <v>6</v>
      </c>
      <c r="Q76" t="s">
        <v>36</v>
      </c>
      <c r="R76">
        <v>24</v>
      </c>
      <c r="S76">
        <v>1</v>
      </c>
      <c r="T76" s="4" t="s">
        <v>1965</v>
      </c>
      <c r="U76" s="4" t="s">
        <v>1966</v>
      </c>
      <c r="V76">
        <v>0</v>
      </c>
      <c r="W76" s="6" t="str">
        <f t="shared" si="1"/>
        <v>(2140,null,1,'2026-03-24 00:00:00','003103000110000-310300011','003103000110000-310300011','代偿头位测定',null,null,8.4,8,6.8,null,8,7,6,'次',24,1,'normal','main',0),</v>
      </c>
    </row>
    <row r="77" spans="1:23">
      <c r="A77">
        <v>2141</v>
      </c>
      <c r="B77" t="s">
        <v>1963</v>
      </c>
      <c r="C77">
        <v>1</v>
      </c>
      <c r="D77" s="3" t="s">
        <v>1964</v>
      </c>
      <c r="E77" t="s">
        <v>422</v>
      </c>
      <c r="F77" t="s">
        <v>422</v>
      </c>
      <c r="G77" t="s">
        <v>423</v>
      </c>
      <c r="H77" t="s">
        <v>1963</v>
      </c>
      <c r="I77" t="s">
        <v>1963</v>
      </c>
      <c r="J77">
        <v>10.5</v>
      </c>
      <c r="K77">
        <v>10</v>
      </c>
      <c r="L77">
        <v>8.5</v>
      </c>
      <c r="M77" t="s">
        <v>1963</v>
      </c>
      <c r="N77">
        <v>10.5</v>
      </c>
      <c r="O77">
        <v>10</v>
      </c>
      <c r="P77">
        <v>8.5</v>
      </c>
      <c r="Q77" t="s">
        <v>36</v>
      </c>
      <c r="R77">
        <v>24</v>
      </c>
      <c r="S77">
        <v>1</v>
      </c>
      <c r="T77" s="4" t="s">
        <v>1965</v>
      </c>
      <c r="U77" s="4" t="s">
        <v>1966</v>
      </c>
      <c r="V77">
        <v>0</v>
      </c>
      <c r="W77" s="6" t="str">
        <f t="shared" si="1"/>
        <v>(2141,null,1,'2026-03-24 00:00:00','003103000500000-310300050','003103000500000-310300050','裂隙灯下房角镜检查',null,null,10.5,10,8.5,null,10.5,10,8.5,'次',24,1,'normal','main',0),</v>
      </c>
    </row>
    <row r="78" spans="1:23">
      <c r="A78">
        <v>2142</v>
      </c>
      <c r="B78" t="s">
        <v>1963</v>
      </c>
      <c r="C78">
        <v>1</v>
      </c>
      <c r="D78" s="3" t="s">
        <v>1964</v>
      </c>
      <c r="E78" t="s">
        <v>428</v>
      </c>
      <c r="F78" t="s">
        <v>428</v>
      </c>
      <c r="G78" t="s">
        <v>429</v>
      </c>
      <c r="H78" t="s">
        <v>1963</v>
      </c>
      <c r="I78" t="s">
        <v>1963</v>
      </c>
      <c r="J78">
        <v>5.3</v>
      </c>
      <c r="K78">
        <v>5</v>
      </c>
      <c r="L78">
        <v>4.3</v>
      </c>
      <c r="M78" t="s">
        <v>1963</v>
      </c>
      <c r="N78">
        <v>5.4</v>
      </c>
      <c r="O78">
        <v>5</v>
      </c>
      <c r="P78">
        <v>4.3</v>
      </c>
      <c r="Q78" t="s">
        <v>36</v>
      </c>
      <c r="R78">
        <v>24</v>
      </c>
      <c r="S78">
        <v>1</v>
      </c>
      <c r="T78" s="4" t="s">
        <v>1965</v>
      </c>
      <c r="U78" s="4" t="s">
        <v>1966</v>
      </c>
      <c r="V78">
        <v>0</v>
      </c>
      <c r="W78" s="6" t="str">
        <f t="shared" si="1"/>
        <v>(2142,null,1,'2026-03-24 00:00:00','003103000480000-310300048','003103000480000-310300048','裂隙灯检查',null,null,5.3,5,4.3,null,5.4,5,4.3,'次',24,1,'normal','main',0),</v>
      </c>
    </row>
    <row r="79" spans="1:23">
      <c r="A79">
        <v>2143</v>
      </c>
      <c r="B79" t="s">
        <v>1963</v>
      </c>
      <c r="C79">
        <v>1</v>
      </c>
      <c r="D79" s="3" t="s">
        <v>1964</v>
      </c>
      <c r="E79" t="s">
        <v>430</v>
      </c>
      <c r="F79" t="s">
        <v>430</v>
      </c>
      <c r="G79" t="s">
        <v>431</v>
      </c>
      <c r="H79" t="s">
        <v>1963</v>
      </c>
      <c r="I79" t="s">
        <v>1963</v>
      </c>
      <c r="J79">
        <v>6.3</v>
      </c>
      <c r="K79">
        <v>6</v>
      </c>
      <c r="L79">
        <v>5.1</v>
      </c>
      <c r="M79" t="s">
        <v>1963</v>
      </c>
      <c r="N79">
        <v>5.4</v>
      </c>
      <c r="O79">
        <v>5</v>
      </c>
      <c r="P79">
        <v>4.3</v>
      </c>
      <c r="Q79" t="s">
        <v>36</v>
      </c>
      <c r="R79">
        <v>24</v>
      </c>
      <c r="S79">
        <v>1</v>
      </c>
      <c r="T79" s="4" t="s">
        <v>1965</v>
      </c>
      <c r="U79" s="4" t="s">
        <v>1966</v>
      </c>
      <c r="V79">
        <v>0</v>
      </c>
      <c r="W79" s="6" t="str">
        <f t="shared" si="1"/>
        <v>(2143,null,1,'2026-03-24 00:00:00','003103000460000-310300046','003103000460000-310300046','前房深度测量',null,null,6.3,6,5.1,null,5.4,5,4.3,'次',24,1,'normal','main',0),</v>
      </c>
    </row>
    <row r="80" spans="1:23">
      <c r="A80">
        <v>2144</v>
      </c>
      <c r="B80" t="s">
        <v>1963</v>
      </c>
      <c r="C80">
        <v>1</v>
      </c>
      <c r="D80" s="3" t="s">
        <v>1964</v>
      </c>
      <c r="E80" t="s">
        <v>437</v>
      </c>
      <c r="F80" t="s">
        <v>437</v>
      </c>
      <c r="G80" t="s">
        <v>438</v>
      </c>
      <c r="H80" t="s">
        <v>1963</v>
      </c>
      <c r="I80" t="s">
        <v>1963</v>
      </c>
      <c r="J80">
        <v>84</v>
      </c>
      <c r="K80">
        <v>80</v>
      </c>
      <c r="L80">
        <v>68</v>
      </c>
      <c r="M80" t="s">
        <v>1963</v>
      </c>
      <c r="N80">
        <v>80</v>
      </c>
      <c r="O80">
        <v>72</v>
      </c>
      <c r="P80">
        <v>62</v>
      </c>
      <c r="Q80" t="s">
        <v>71</v>
      </c>
      <c r="R80">
        <v>24</v>
      </c>
      <c r="S80">
        <v>1</v>
      </c>
      <c r="T80" s="4" t="s">
        <v>1965</v>
      </c>
      <c r="U80" s="4" t="s">
        <v>1966</v>
      </c>
      <c r="V80">
        <v>0</v>
      </c>
      <c r="W80" s="6" t="str">
        <f t="shared" si="1"/>
        <v>(2144,null,1,'2026-03-24 00:00:00','003103000630000-310300063','003103000630000-310300063','超声生物显微镜检查（UBM）',null,null,84,80,68,null,80,72,62,'次（单眼）',24,1,'normal','main',0),</v>
      </c>
    </row>
    <row r="81" spans="1:23">
      <c r="A81">
        <v>2145</v>
      </c>
      <c r="B81" t="s">
        <v>1963</v>
      </c>
      <c r="C81">
        <v>1</v>
      </c>
      <c r="D81" s="3" t="s">
        <v>1964</v>
      </c>
      <c r="E81" t="s">
        <v>444</v>
      </c>
      <c r="F81" t="s">
        <v>444</v>
      </c>
      <c r="G81" t="s">
        <v>445</v>
      </c>
      <c r="H81" t="s">
        <v>1963</v>
      </c>
      <c r="I81" t="s">
        <v>1963</v>
      </c>
      <c r="J81">
        <v>94.5</v>
      </c>
      <c r="K81">
        <v>90</v>
      </c>
      <c r="L81">
        <v>76.5</v>
      </c>
      <c r="M81" t="s">
        <v>1963</v>
      </c>
      <c r="N81">
        <v>90</v>
      </c>
      <c r="O81">
        <v>82</v>
      </c>
      <c r="P81">
        <v>70</v>
      </c>
      <c r="Q81" t="s">
        <v>71</v>
      </c>
      <c r="R81">
        <v>24</v>
      </c>
      <c r="S81">
        <v>1</v>
      </c>
      <c r="T81" s="4" t="s">
        <v>1965</v>
      </c>
      <c r="U81" s="4" t="s">
        <v>1966</v>
      </c>
      <c r="V81">
        <v>0</v>
      </c>
      <c r="W81" s="6" t="str">
        <f t="shared" si="1"/>
        <v>(2145,null,1,'2026-03-24 00:00:00','003103000640000-310300064','003103000640000-310300064','光学相干断层成相（OCT）',null,null,94.5,90,76.5,null,90,82,70,'次（单眼）',24,1,'normal','main',0),</v>
      </c>
    </row>
    <row r="82" spans="1:23">
      <c r="A82">
        <v>2146</v>
      </c>
      <c r="B82" t="s">
        <v>1963</v>
      </c>
      <c r="C82">
        <v>1</v>
      </c>
      <c r="D82" s="3" t="s">
        <v>1964</v>
      </c>
      <c r="E82" t="s">
        <v>447</v>
      </c>
      <c r="F82" t="s">
        <v>447</v>
      </c>
      <c r="G82" t="s">
        <v>448</v>
      </c>
      <c r="H82" t="s">
        <v>1963</v>
      </c>
      <c r="I82" t="s">
        <v>1963</v>
      </c>
      <c r="J82">
        <v>84</v>
      </c>
      <c r="K82">
        <v>80</v>
      </c>
      <c r="L82">
        <v>68</v>
      </c>
      <c r="M82" t="s">
        <v>1963</v>
      </c>
      <c r="N82">
        <v>90</v>
      </c>
      <c r="O82">
        <v>82</v>
      </c>
      <c r="P82">
        <v>70</v>
      </c>
      <c r="Q82" t="s">
        <v>71</v>
      </c>
      <c r="R82">
        <v>24</v>
      </c>
      <c r="S82">
        <v>1</v>
      </c>
      <c r="T82" s="4" t="s">
        <v>1965</v>
      </c>
      <c r="U82" s="4" t="s">
        <v>1966</v>
      </c>
      <c r="V82">
        <v>0</v>
      </c>
      <c r="W82" s="6" t="str">
        <f t="shared" si="1"/>
        <v>(2146,null,1,'2026-03-24 00:00:00','003103000590000-310300059','003103000590000-310300059','海德堡视网膜厚度检查（HRT）',null,null,84,80,68,null,90,82,70,'次（单眼）',24,1,'normal','main',0),</v>
      </c>
    </row>
    <row r="83" spans="1:23">
      <c r="A83">
        <v>2147</v>
      </c>
      <c r="B83" t="s">
        <v>1963</v>
      </c>
      <c r="C83">
        <v>1</v>
      </c>
      <c r="D83" s="3" t="s">
        <v>1964</v>
      </c>
      <c r="E83" t="s">
        <v>454</v>
      </c>
      <c r="F83" t="s">
        <v>454</v>
      </c>
      <c r="G83" t="s">
        <v>455</v>
      </c>
      <c r="H83" t="s">
        <v>1963</v>
      </c>
      <c r="I83" t="s">
        <v>1963</v>
      </c>
      <c r="J83">
        <v>10.5</v>
      </c>
      <c r="K83">
        <v>10</v>
      </c>
      <c r="L83">
        <v>8.5</v>
      </c>
      <c r="M83" t="s">
        <v>1963</v>
      </c>
      <c r="N83">
        <v>10.5</v>
      </c>
      <c r="O83">
        <v>10</v>
      </c>
      <c r="P83">
        <v>8.5</v>
      </c>
      <c r="Q83" t="s">
        <v>36</v>
      </c>
      <c r="R83">
        <v>24</v>
      </c>
      <c r="S83">
        <v>1</v>
      </c>
      <c r="T83" s="4" t="s">
        <v>1965</v>
      </c>
      <c r="U83" s="4" t="s">
        <v>1966</v>
      </c>
      <c r="V83">
        <v>0</v>
      </c>
      <c r="W83" s="6" t="str">
        <f t="shared" si="1"/>
        <v>(2147,null,1,'2026-03-24 00:00:00','003103000940000-310300094','003103000940000-310300094','球结膜下注射',null,null,10.5,10,8.5,null,10.5,10,8.5,'次',24,1,'normal','main',0),</v>
      </c>
    </row>
    <row r="84" spans="1:23">
      <c r="A84">
        <v>2148</v>
      </c>
      <c r="B84" t="s">
        <v>1963</v>
      </c>
      <c r="C84">
        <v>1</v>
      </c>
      <c r="D84" s="3" t="s">
        <v>1964</v>
      </c>
      <c r="E84" t="s">
        <v>461</v>
      </c>
      <c r="F84" t="s">
        <v>461</v>
      </c>
      <c r="G84" t="s">
        <v>462</v>
      </c>
      <c r="H84" t="s">
        <v>1963</v>
      </c>
      <c r="I84" t="s">
        <v>1963</v>
      </c>
      <c r="J84">
        <v>10.5</v>
      </c>
      <c r="K84">
        <v>10</v>
      </c>
      <c r="L84">
        <v>8.5</v>
      </c>
      <c r="M84" t="s">
        <v>1963</v>
      </c>
      <c r="N84">
        <v>10.5</v>
      </c>
      <c r="O84">
        <v>10</v>
      </c>
      <c r="P84">
        <v>8.5</v>
      </c>
      <c r="Q84" t="s">
        <v>36</v>
      </c>
      <c r="R84">
        <v>24</v>
      </c>
      <c r="S84">
        <v>1</v>
      </c>
      <c r="T84" s="4" t="s">
        <v>1965</v>
      </c>
      <c r="U84" s="4" t="s">
        <v>1966</v>
      </c>
      <c r="V84">
        <v>0</v>
      </c>
      <c r="W84" s="6" t="str">
        <f t="shared" si="1"/>
        <v>(2148,null,1,'2026-03-24 00:00:00','003103000950000-310300095','003103000950000-310300095','球后注射',null,null,10.5,10,8.5,null,10.5,10,8.5,'次',24,1,'normal','main',0),</v>
      </c>
    </row>
    <row r="85" spans="1:23">
      <c r="A85">
        <v>2149</v>
      </c>
      <c r="B85" t="s">
        <v>1963</v>
      </c>
      <c r="C85">
        <v>1</v>
      </c>
      <c r="D85" s="3" t="s">
        <v>1964</v>
      </c>
      <c r="E85" t="s">
        <v>464</v>
      </c>
      <c r="F85" t="s">
        <v>464</v>
      </c>
      <c r="G85" t="s">
        <v>465</v>
      </c>
      <c r="H85" t="s">
        <v>1963</v>
      </c>
      <c r="I85" t="s">
        <v>1963</v>
      </c>
      <c r="J85">
        <v>10.5</v>
      </c>
      <c r="K85">
        <v>10</v>
      </c>
      <c r="L85">
        <v>8.5</v>
      </c>
      <c r="M85" t="s">
        <v>1963</v>
      </c>
      <c r="N85">
        <v>10.5</v>
      </c>
      <c r="O85">
        <v>10</v>
      </c>
      <c r="P85">
        <v>8.5</v>
      </c>
      <c r="Q85" t="s">
        <v>36</v>
      </c>
      <c r="R85">
        <v>24</v>
      </c>
      <c r="S85">
        <v>1</v>
      </c>
      <c r="T85" s="4" t="s">
        <v>1965</v>
      </c>
      <c r="U85" s="4" t="s">
        <v>1966</v>
      </c>
      <c r="V85">
        <v>0</v>
      </c>
      <c r="W85" s="6" t="str">
        <f t="shared" si="1"/>
        <v>(2149,null,1,'2026-03-24 00:00:00','003103000960000-310300096','003103000960000-310300096','眶上神经封闭',null,null,10.5,10,8.5,null,10.5,10,8.5,'次',24,1,'normal','main',0),</v>
      </c>
    </row>
    <row r="86" spans="1:23">
      <c r="A86">
        <v>2150</v>
      </c>
      <c r="B86" t="s">
        <v>1963</v>
      </c>
      <c r="C86">
        <v>1</v>
      </c>
      <c r="D86" s="3" t="s">
        <v>1964</v>
      </c>
      <c r="E86" t="s">
        <v>473</v>
      </c>
      <c r="F86" t="s">
        <v>473</v>
      </c>
      <c r="G86" t="s">
        <v>474</v>
      </c>
      <c r="H86" t="s">
        <v>1963</v>
      </c>
      <c r="I86" t="s">
        <v>1963</v>
      </c>
      <c r="J86">
        <v>8.4</v>
      </c>
      <c r="K86">
        <v>8</v>
      </c>
      <c r="L86">
        <v>6.8</v>
      </c>
      <c r="M86" t="s">
        <v>1963</v>
      </c>
      <c r="N86">
        <v>8.4</v>
      </c>
      <c r="O86">
        <v>8</v>
      </c>
      <c r="P86">
        <v>6.8</v>
      </c>
      <c r="Q86" t="s">
        <v>36</v>
      </c>
      <c r="R86">
        <v>24</v>
      </c>
      <c r="S86">
        <v>1</v>
      </c>
      <c r="T86" s="4" t="s">
        <v>1965</v>
      </c>
      <c r="U86" s="4" t="s">
        <v>1966</v>
      </c>
      <c r="V86">
        <v>0</v>
      </c>
      <c r="W86" s="6" t="str">
        <f t="shared" si="1"/>
        <v>(2150,null,1,'2026-03-24 00:00:00','003103000870000-310300087','003103000870000-310300087','睑板腺按摩',null,null,8.4,8,6.8,null,8.4,8,6.8,'次',24,1,'normal','main',0),</v>
      </c>
    </row>
    <row r="87" spans="1:23">
      <c r="A87">
        <v>2151</v>
      </c>
      <c r="B87" t="s">
        <v>1963</v>
      </c>
      <c r="C87">
        <v>1</v>
      </c>
      <c r="D87" s="3" t="s">
        <v>1964</v>
      </c>
      <c r="E87" t="s">
        <v>479</v>
      </c>
      <c r="F87" t="s">
        <v>479</v>
      </c>
      <c r="G87" t="s">
        <v>480</v>
      </c>
      <c r="H87" t="s">
        <v>1963</v>
      </c>
      <c r="I87" t="s">
        <v>1963</v>
      </c>
      <c r="J87">
        <v>10.5</v>
      </c>
      <c r="K87">
        <v>10</v>
      </c>
      <c r="L87">
        <v>8.5</v>
      </c>
      <c r="M87" t="s">
        <v>1963</v>
      </c>
      <c r="N87">
        <v>10.5</v>
      </c>
      <c r="O87">
        <v>10</v>
      </c>
      <c r="P87">
        <v>8.5</v>
      </c>
      <c r="Q87" t="s">
        <v>36</v>
      </c>
      <c r="R87">
        <v>24</v>
      </c>
      <c r="S87">
        <v>1</v>
      </c>
      <c r="T87" s="4" t="s">
        <v>1965</v>
      </c>
      <c r="U87" s="4" t="s">
        <v>1966</v>
      </c>
      <c r="V87">
        <v>0</v>
      </c>
      <c r="W87" s="6" t="str">
        <f t="shared" si="1"/>
        <v>(2151,null,1,'2026-03-24 00:00:00','003103000920000-310300092','003103000920000-310300092','沙眼磨擦压挤术',null,null,10.5,10,8.5,null,10.5,10,8.5,'次',24,1,'normal','main',0),</v>
      </c>
    </row>
    <row r="88" spans="1:23">
      <c r="A88">
        <v>2152</v>
      </c>
      <c r="B88" t="s">
        <v>1963</v>
      </c>
      <c r="C88">
        <v>1</v>
      </c>
      <c r="D88" s="3" t="s">
        <v>1964</v>
      </c>
      <c r="E88" t="s">
        <v>487</v>
      </c>
      <c r="F88" t="s">
        <v>487</v>
      </c>
      <c r="G88" t="s">
        <v>488</v>
      </c>
      <c r="H88" t="s">
        <v>1963</v>
      </c>
      <c r="I88" t="s">
        <v>1963</v>
      </c>
      <c r="J88">
        <v>4.2</v>
      </c>
      <c r="K88">
        <v>4</v>
      </c>
      <c r="L88">
        <v>3.4</v>
      </c>
      <c r="M88" t="s">
        <v>1963</v>
      </c>
      <c r="N88">
        <v>10.5</v>
      </c>
      <c r="O88">
        <v>10</v>
      </c>
      <c r="P88">
        <v>8.5</v>
      </c>
      <c r="Q88" t="s">
        <v>36</v>
      </c>
      <c r="R88">
        <v>24</v>
      </c>
      <c r="S88">
        <v>1</v>
      </c>
      <c r="T88" s="4" t="s">
        <v>1965</v>
      </c>
      <c r="U88" s="4" t="s">
        <v>1966</v>
      </c>
      <c r="V88">
        <v>0</v>
      </c>
      <c r="W88" s="6" t="str">
        <f t="shared" si="1"/>
        <v>(2152,null,1,'2026-03-24 00:00:00','003103000360000-310300036','003103000360000-310300036','泪道冲洗',null,null,4.2,4,3.4,null,10.5,10,8.5,'次',24,1,'normal','main',0),</v>
      </c>
    </row>
    <row r="89" spans="1:23">
      <c r="A89">
        <v>2153</v>
      </c>
      <c r="B89" t="s">
        <v>1963</v>
      </c>
      <c r="C89">
        <v>1</v>
      </c>
      <c r="D89" s="3" t="s">
        <v>1964</v>
      </c>
      <c r="E89" t="s">
        <v>489</v>
      </c>
      <c r="F89" t="s">
        <v>489</v>
      </c>
      <c r="G89" t="s">
        <v>490</v>
      </c>
      <c r="H89" t="s">
        <v>1963</v>
      </c>
      <c r="I89" t="s">
        <v>1963</v>
      </c>
      <c r="J89">
        <v>10.5</v>
      </c>
      <c r="K89">
        <v>10</v>
      </c>
      <c r="L89">
        <v>8.5</v>
      </c>
      <c r="M89" t="s">
        <v>1963</v>
      </c>
      <c r="N89">
        <v>0</v>
      </c>
      <c r="O89">
        <v>0</v>
      </c>
      <c r="P89">
        <v>0</v>
      </c>
      <c r="Q89" t="s">
        <v>36</v>
      </c>
      <c r="R89">
        <v>24</v>
      </c>
      <c r="S89">
        <v>1</v>
      </c>
      <c r="T89" s="4" t="s">
        <v>1965</v>
      </c>
      <c r="U89" s="4" t="s">
        <v>1966</v>
      </c>
      <c r="V89">
        <v>0</v>
      </c>
      <c r="W89" s="6" t="str">
        <f t="shared" si="1"/>
        <v>(2153,null,1,'2026-03-24 00:00:00','003103001050000-310300105','003103001050000-310300105','泪小点扩张',null,null,10.5,10,8.5,null,0,0,0,'次',24,1,'normal','main',0),</v>
      </c>
    </row>
    <row r="90" spans="1:23">
      <c r="A90">
        <v>2154</v>
      </c>
      <c r="B90" t="s">
        <v>1963</v>
      </c>
      <c r="C90">
        <v>1</v>
      </c>
      <c r="D90" s="3" t="s">
        <v>1964</v>
      </c>
      <c r="E90" t="s">
        <v>495</v>
      </c>
      <c r="F90" t="s">
        <v>495</v>
      </c>
      <c r="G90" t="s">
        <v>496</v>
      </c>
      <c r="H90" t="s">
        <v>1963</v>
      </c>
      <c r="I90" t="s">
        <v>1963</v>
      </c>
      <c r="J90">
        <v>21</v>
      </c>
      <c r="K90">
        <v>20</v>
      </c>
      <c r="L90">
        <v>17</v>
      </c>
      <c r="M90" t="s">
        <v>1963</v>
      </c>
      <c r="N90">
        <v>21</v>
      </c>
      <c r="O90">
        <v>20</v>
      </c>
      <c r="P90">
        <v>17</v>
      </c>
      <c r="Q90" t="s">
        <v>36</v>
      </c>
      <c r="R90">
        <v>24</v>
      </c>
      <c r="S90">
        <v>1</v>
      </c>
      <c r="T90" s="4" t="s">
        <v>1965</v>
      </c>
      <c r="U90" s="4" t="s">
        <v>1966</v>
      </c>
      <c r="V90">
        <v>0</v>
      </c>
      <c r="W90" s="6" t="str">
        <f t="shared" si="1"/>
        <v>(2154,null,1,'2026-03-24 00:00:00','003103001060000-310300106','003103001060000-310300106','泪道探通术',null,null,21,20,17,null,21,20,17,'次',24,1,'normal','main',0),</v>
      </c>
    </row>
    <row r="91" spans="1:23">
      <c r="A91">
        <v>2155</v>
      </c>
      <c r="B91" t="s">
        <v>1963</v>
      </c>
      <c r="C91">
        <v>1</v>
      </c>
      <c r="D91" s="3" t="s">
        <v>1964</v>
      </c>
      <c r="E91" t="s">
        <v>498</v>
      </c>
      <c r="F91" t="s">
        <v>498</v>
      </c>
      <c r="G91" t="s">
        <v>499</v>
      </c>
      <c r="H91" t="s">
        <v>1963</v>
      </c>
      <c r="I91" t="s">
        <v>1963</v>
      </c>
      <c r="J91">
        <v>31.5</v>
      </c>
      <c r="K91">
        <v>30</v>
      </c>
      <c r="L91">
        <v>25.5</v>
      </c>
      <c r="M91" t="s">
        <v>1963</v>
      </c>
      <c r="N91">
        <v>21</v>
      </c>
      <c r="O91">
        <v>20</v>
      </c>
      <c r="P91">
        <v>17</v>
      </c>
      <c r="Q91" t="s">
        <v>36</v>
      </c>
      <c r="R91">
        <v>24</v>
      </c>
      <c r="S91">
        <v>1</v>
      </c>
      <c r="T91" s="4" t="s">
        <v>1965</v>
      </c>
      <c r="U91" s="4" t="s">
        <v>1966</v>
      </c>
      <c r="V91">
        <v>0</v>
      </c>
      <c r="W91" s="6" t="str">
        <f t="shared" si="1"/>
        <v>(2155,null,1,'2026-03-24 00:00:00','003103001060001-31030010601','003103001060001-31030010601','泪道探通术（激光）',null,null,31.5,30,25.5,null,21,20,17,'次',24,1,'normal','main',0),</v>
      </c>
    </row>
    <row r="92" spans="1:23">
      <c r="A92">
        <v>2156</v>
      </c>
      <c r="B92" t="s">
        <v>1963</v>
      </c>
      <c r="C92">
        <v>1</v>
      </c>
      <c r="D92" s="3" t="s">
        <v>1964</v>
      </c>
      <c r="E92" t="s">
        <v>505</v>
      </c>
      <c r="F92" t="s">
        <v>505</v>
      </c>
      <c r="G92" t="s">
        <v>506</v>
      </c>
      <c r="H92" t="s">
        <v>1963</v>
      </c>
      <c r="I92" t="s">
        <v>1963</v>
      </c>
      <c r="J92">
        <v>6.3</v>
      </c>
      <c r="K92">
        <v>6</v>
      </c>
      <c r="L92">
        <v>5.1</v>
      </c>
      <c r="M92" t="s">
        <v>1963</v>
      </c>
      <c r="N92">
        <v>6.3</v>
      </c>
      <c r="O92">
        <v>6</v>
      </c>
      <c r="P92">
        <v>5.1</v>
      </c>
      <c r="Q92" t="s">
        <v>36</v>
      </c>
      <c r="R92">
        <v>24</v>
      </c>
      <c r="S92">
        <v>1</v>
      </c>
      <c r="T92" s="4" t="s">
        <v>1965</v>
      </c>
      <c r="U92" s="4" t="s">
        <v>1966</v>
      </c>
      <c r="V92">
        <v>0</v>
      </c>
      <c r="W92" s="6" t="str">
        <f t="shared" si="1"/>
        <v>(2156,null,1,'2026-03-24 00:00:00','003103000880000-310300088','003103000880000-310300088','冲洗结膜囊',null,null,6.3,6,5.1,null,6.3,6,5.1,'次',24,1,'normal','main',0),</v>
      </c>
    </row>
    <row r="93" spans="1:23">
      <c r="A93">
        <v>2157</v>
      </c>
      <c r="B93" t="s">
        <v>1963</v>
      </c>
      <c r="C93">
        <v>1</v>
      </c>
      <c r="D93" s="3" t="s">
        <v>1964</v>
      </c>
      <c r="E93" t="s">
        <v>507</v>
      </c>
      <c r="F93" t="s">
        <v>507</v>
      </c>
      <c r="G93" t="s">
        <v>508</v>
      </c>
      <c r="H93" t="s">
        <v>1963</v>
      </c>
      <c r="I93" t="s">
        <v>1963</v>
      </c>
      <c r="J93">
        <v>6.3</v>
      </c>
      <c r="K93">
        <v>6</v>
      </c>
      <c r="L93">
        <v>5.1</v>
      </c>
      <c r="M93" t="s">
        <v>1963</v>
      </c>
      <c r="N93">
        <v>6.3</v>
      </c>
      <c r="O93">
        <v>6</v>
      </c>
      <c r="P93">
        <v>5.1</v>
      </c>
      <c r="Q93" t="s">
        <v>36</v>
      </c>
      <c r="R93">
        <v>24</v>
      </c>
      <c r="S93">
        <v>1</v>
      </c>
      <c r="T93" s="4" t="s">
        <v>1965</v>
      </c>
      <c r="U93" s="4" t="s">
        <v>1966</v>
      </c>
      <c r="V93">
        <v>0</v>
      </c>
      <c r="W93" s="6" t="str">
        <f t="shared" si="1"/>
        <v>(2157,null,1,'2026-03-24 00:00:00','003103000890000-310300089','003103000890000-310300089','睑结膜伪膜去除冲洗',null,null,6.3,6,5.1,null,6.3,6,5.1,'次',24,1,'normal','main',0),</v>
      </c>
    </row>
    <row r="94" spans="1:23">
      <c r="A94">
        <v>2158</v>
      </c>
      <c r="B94" t="s">
        <v>1963</v>
      </c>
      <c r="C94">
        <v>1</v>
      </c>
      <c r="D94" s="3" t="s">
        <v>1964</v>
      </c>
      <c r="E94" t="s">
        <v>517</v>
      </c>
      <c r="F94" t="s">
        <v>517</v>
      </c>
      <c r="G94" t="s">
        <v>518</v>
      </c>
      <c r="H94" t="s">
        <v>1963</v>
      </c>
      <c r="I94" t="s">
        <v>1963</v>
      </c>
      <c r="J94">
        <v>10.5</v>
      </c>
      <c r="K94">
        <v>10</v>
      </c>
      <c r="L94">
        <v>8.5</v>
      </c>
      <c r="M94" t="s">
        <v>1963</v>
      </c>
      <c r="N94">
        <v>13.5</v>
      </c>
      <c r="O94">
        <v>13</v>
      </c>
      <c r="P94">
        <v>11</v>
      </c>
      <c r="Q94" t="s">
        <v>36</v>
      </c>
      <c r="R94">
        <v>24</v>
      </c>
      <c r="S94">
        <v>1</v>
      </c>
      <c r="T94" s="4" t="s">
        <v>1965</v>
      </c>
      <c r="U94" s="4" t="s">
        <v>1966</v>
      </c>
      <c r="V94">
        <v>0</v>
      </c>
      <c r="W94" s="6" t="str">
        <f t="shared" si="1"/>
        <v>(2158,null,1,'2026-03-24 00:00:00','003103000910000-310300091','003103000910000-310300091','取结膜结石',null,null,10.5,10,8.5,null,13.5,13,11,'次',24,1,'normal','main',0),</v>
      </c>
    </row>
    <row r="95" spans="1:23">
      <c r="A95">
        <v>2159</v>
      </c>
      <c r="B95" t="s">
        <v>1963</v>
      </c>
      <c r="C95">
        <v>1</v>
      </c>
      <c r="D95" s="3" t="s">
        <v>1964</v>
      </c>
      <c r="E95" t="s">
        <v>528</v>
      </c>
      <c r="F95" t="s">
        <v>528</v>
      </c>
      <c r="G95" t="s">
        <v>529</v>
      </c>
      <c r="H95" t="s">
        <v>1963</v>
      </c>
      <c r="I95" t="s">
        <v>1963</v>
      </c>
      <c r="J95">
        <v>8.4</v>
      </c>
      <c r="K95">
        <v>8</v>
      </c>
      <c r="L95">
        <v>6.8</v>
      </c>
      <c r="M95" t="s">
        <v>1963</v>
      </c>
      <c r="N95">
        <v>8.4</v>
      </c>
      <c r="O95">
        <v>8</v>
      </c>
      <c r="P95">
        <v>6.8</v>
      </c>
      <c r="Q95" t="s">
        <v>36</v>
      </c>
      <c r="R95">
        <v>24</v>
      </c>
      <c r="S95">
        <v>1</v>
      </c>
      <c r="T95" s="4" t="s">
        <v>1965</v>
      </c>
      <c r="U95" s="4" t="s">
        <v>1966</v>
      </c>
      <c r="V95">
        <v>0</v>
      </c>
      <c r="W95" s="6" t="str">
        <f t="shared" si="1"/>
        <v>(2159,null,1,'2026-03-24 00:00:00','003103000850000-310300085','003103000850000-310300085','电解倒睫',null,null,8.4,8,6.8,null,8.4,8,6.8,'次',24,1,'normal','main',0),</v>
      </c>
    </row>
    <row r="96" spans="1:23">
      <c r="A96">
        <v>2160</v>
      </c>
      <c r="B96" t="s">
        <v>1963</v>
      </c>
      <c r="C96">
        <v>1</v>
      </c>
      <c r="D96" s="3" t="s">
        <v>1964</v>
      </c>
      <c r="E96" t="s">
        <v>537</v>
      </c>
      <c r="F96" t="s">
        <v>537</v>
      </c>
      <c r="G96" t="s">
        <v>538</v>
      </c>
      <c r="H96" t="s">
        <v>1963</v>
      </c>
      <c r="I96" t="s">
        <v>1963</v>
      </c>
      <c r="J96">
        <v>500</v>
      </c>
      <c r="K96">
        <v>480</v>
      </c>
      <c r="L96">
        <v>408</v>
      </c>
      <c r="M96" t="s">
        <v>1963</v>
      </c>
      <c r="N96">
        <v>360</v>
      </c>
      <c r="O96">
        <v>340</v>
      </c>
      <c r="P96">
        <v>290</v>
      </c>
      <c r="Q96" t="s">
        <v>110</v>
      </c>
      <c r="R96">
        <v>24</v>
      </c>
      <c r="S96">
        <v>1</v>
      </c>
      <c r="T96" s="4" t="s">
        <v>1965</v>
      </c>
      <c r="U96" s="4" t="s">
        <v>1966</v>
      </c>
      <c r="V96">
        <v>0</v>
      </c>
      <c r="W96" s="6" t="str">
        <f t="shared" si="1"/>
        <v>(2160,null,1,'2026-03-24 00:00:00','003304090130000-330409013','003304090130000-330409013','眶内血肿穿刺术',null,null,500,480,408,null,360,340,290,'单侧',24,1,'normal','main',0),</v>
      </c>
    </row>
    <row r="97" spans="1:23">
      <c r="A97">
        <v>2161</v>
      </c>
      <c r="B97" t="s">
        <v>1963</v>
      </c>
      <c r="C97">
        <v>1</v>
      </c>
      <c r="D97" s="3" t="s">
        <v>1964</v>
      </c>
      <c r="E97" t="s">
        <v>539</v>
      </c>
      <c r="F97" t="s">
        <v>539</v>
      </c>
      <c r="G97" t="s">
        <v>540</v>
      </c>
      <c r="H97" t="s">
        <v>1963</v>
      </c>
      <c r="I97" t="s">
        <v>1963</v>
      </c>
      <c r="J97">
        <v>157.5</v>
      </c>
      <c r="K97">
        <v>150</v>
      </c>
      <c r="L97">
        <v>127.5</v>
      </c>
      <c r="M97" t="s">
        <v>1963</v>
      </c>
      <c r="N97">
        <v>360</v>
      </c>
      <c r="O97">
        <v>340</v>
      </c>
      <c r="P97">
        <v>290</v>
      </c>
      <c r="Q97" t="s">
        <v>36</v>
      </c>
      <c r="R97">
        <v>24</v>
      </c>
      <c r="S97">
        <v>1</v>
      </c>
      <c r="T97" s="4" t="s">
        <v>1965</v>
      </c>
      <c r="U97" s="4" t="s">
        <v>1966</v>
      </c>
      <c r="V97">
        <v>0</v>
      </c>
      <c r="W97" s="6" t="str">
        <f t="shared" si="1"/>
        <v>(2161,null,1,'2026-03-24 00:00:00','003103001000000-310300100','003103001000000-310300100','前房穿刺术',null,null,157.5,150,127.5,null,360,340,290,'次',24,1,'normal','main',0),</v>
      </c>
    </row>
    <row r="98" spans="1:23">
      <c r="A98">
        <v>2162</v>
      </c>
      <c r="B98" t="s">
        <v>1963</v>
      </c>
      <c r="C98">
        <v>1</v>
      </c>
      <c r="D98" s="3" t="s">
        <v>1964</v>
      </c>
      <c r="E98" t="s">
        <v>543</v>
      </c>
      <c r="F98" t="s">
        <v>543</v>
      </c>
      <c r="G98" t="s">
        <v>544</v>
      </c>
      <c r="H98" t="s">
        <v>1963</v>
      </c>
      <c r="I98" t="s">
        <v>1963</v>
      </c>
      <c r="J98">
        <v>157.5</v>
      </c>
      <c r="K98">
        <v>150</v>
      </c>
      <c r="L98">
        <v>127.5</v>
      </c>
      <c r="M98" t="s">
        <v>1963</v>
      </c>
      <c r="N98">
        <v>360</v>
      </c>
      <c r="O98">
        <v>340</v>
      </c>
      <c r="P98">
        <v>290</v>
      </c>
      <c r="Q98" t="s">
        <v>36</v>
      </c>
      <c r="R98">
        <v>24</v>
      </c>
      <c r="S98">
        <v>1</v>
      </c>
      <c r="T98" s="4" t="s">
        <v>1965</v>
      </c>
      <c r="U98" s="4" t="s">
        <v>1966</v>
      </c>
      <c r="V98">
        <v>0</v>
      </c>
      <c r="W98" s="6" t="str">
        <f t="shared" si="1"/>
        <v>(2162,null,1,'2026-03-24 00:00:00','003103001000100-31030010001','003103001000100-31030010001','前房穿刺术（前房冲洗术）',null,null,157.5,150,127.5,null,360,340,290,'次',24,1,'normal','main',0),</v>
      </c>
    </row>
    <row r="99" spans="1:23">
      <c r="A99">
        <v>2163</v>
      </c>
      <c r="B99" t="s">
        <v>1963</v>
      </c>
      <c r="C99">
        <v>1</v>
      </c>
      <c r="D99" s="3" t="s">
        <v>1964</v>
      </c>
      <c r="E99" t="s">
        <v>546</v>
      </c>
      <c r="F99" t="s">
        <v>546</v>
      </c>
      <c r="G99" t="s">
        <v>547</v>
      </c>
      <c r="H99" t="s">
        <v>1963</v>
      </c>
      <c r="I99" t="s">
        <v>1963</v>
      </c>
      <c r="J99">
        <v>210</v>
      </c>
      <c r="K99">
        <v>200</v>
      </c>
      <c r="L99">
        <v>170</v>
      </c>
      <c r="M99" t="s">
        <v>1963</v>
      </c>
      <c r="N99">
        <v>360</v>
      </c>
      <c r="O99">
        <v>340</v>
      </c>
      <c r="P99">
        <v>290</v>
      </c>
      <c r="Q99" t="s">
        <v>36</v>
      </c>
      <c r="R99">
        <v>24</v>
      </c>
      <c r="S99">
        <v>1</v>
      </c>
      <c r="T99" s="4" t="s">
        <v>1965</v>
      </c>
      <c r="U99" s="4" t="s">
        <v>1966</v>
      </c>
      <c r="V99">
        <v>0</v>
      </c>
      <c r="W99" s="6" t="str">
        <f t="shared" si="1"/>
        <v>(2163,null,1,'2026-03-24 00:00:00','003103001010000-310300101','003103001010000-310300101','前房注气术',null,null,210,200,170,null,360,340,290,'次',24,1,'normal','main',0),</v>
      </c>
    </row>
    <row r="100" spans="1:23">
      <c r="A100">
        <v>2164</v>
      </c>
      <c r="B100" t="s">
        <v>1963</v>
      </c>
      <c r="C100">
        <v>1</v>
      </c>
      <c r="D100" s="3" t="s">
        <v>1964</v>
      </c>
      <c r="E100" t="s">
        <v>549</v>
      </c>
      <c r="F100" t="s">
        <v>549</v>
      </c>
      <c r="G100" t="s">
        <v>550</v>
      </c>
      <c r="H100" t="s">
        <v>1963</v>
      </c>
      <c r="I100" t="s">
        <v>1963</v>
      </c>
      <c r="J100">
        <v>210</v>
      </c>
      <c r="K100">
        <v>200</v>
      </c>
      <c r="L100">
        <v>170</v>
      </c>
      <c r="M100" t="s">
        <v>1963</v>
      </c>
      <c r="N100">
        <v>360</v>
      </c>
      <c r="O100">
        <v>340</v>
      </c>
      <c r="P100">
        <v>290</v>
      </c>
      <c r="Q100" t="s">
        <v>36</v>
      </c>
      <c r="R100">
        <v>24</v>
      </c>
      <c r="S100">
        <v>1</v>
      </c>
      <c r="T100" s="4" t="s">
        <v>1965</v>
      </c>
      <c r="U100" s="4" t="s">
        <v>1966</v>
      </c>
      <c r="V100">
        <v>0</v>
      </c>
      <c r="W100" s="6" t="str">
        <f t="shared" si="1"/>
        <v>(2164,null,1,'2026-03-24 00:00:00','003103001010100-31030010101','003103001010100-31030010101','前房注气术（脉络膜上腔放液术）',null,null,210,200,170,null,360,340,290,'次',24,1,'normal','main',0),</v>
      </c>
    </row>
    <row r="101" spans="1:23">
      <c r="A101">
        <v>2165</v>
      </c>
      <c r="B101" t="s">
        <v>1963</v>
      </c>
      <c r="C101">
        <v>1</v>
      </c>
      <c r="D101" s="3" t="s">
        <v>1964</v>
      </c>
      <c r="E101" t="s">
        <v>552</v>
      </c>
      <c r="F101" t="s">
        <v>552</v>
      </c>
      <c r="G101" t="s">
        <v>553</v>
      </c>
      <c r="H101" t="s">
        <v>1963</v>
      </c>
      <c r="I101" t="s">
        <v>1963</v>
      </c>
      <c r="J101">
        <v>375</v>
      </c>
      <c r="K101">
        <v>360</v>
      </c>
      <c r="L101">
        <v>306</v>
      </c>
      <c r="M101" t="s">
        <v>1963</v>
      </c>
      <c r="N101">
        <v>360</v>
      </c>
      <c r="O101">
        <v>340</v>
      </c>
      <c r="P101">
        <v>290</v>
      </c>
      <c r="Q101" t="s">
        <v>36</v>
      </c>
      <c r="R101">
        <v>24</v>
      </c>
      <c r="S101">
        <v>1</v>
      </c>
      <c r="T101" s="4" t="s">
        <v>1965</v>
      </c>
      <c r="U101" s="4" t="s">
        <v>1966</v>
      </c>
      <c r="V101">
        <v>0</v>
      </c>
      <c r="W101" s="6" t="str">
        <f t="shared" si="1"/>
        <v>(2165,null,1,'2026-03-24 00:00:00','003304070010000-330407001','003304070010000-330407001','玻璃体穿刺抽液术',null,null,375,360,306,null,360,340,290,'次',24,1,'normal','main',0),</v>
      </c>
    </row>
    <row r="102" spans="1:23">
      <c r="A102">
        <v>2166</v>
      </c>
      <c r="B102" t="s">
        <v>1963</v>
      </c>
      <c r="C102">
        <v>1</v>
      </c>
      <c r="D102" s="3" t="s">
        <v>1964</v>
      </c>
      <c r="E102" t="s">
        <v>557</v>
      </c>
      <c r="F102" t="s">
        <v>557</v>
      </c>
      <c r="G102" t="s">
        <v>558</v>
      </c>
      <c r="H102" t="s">
        <v>1963</v>
      </c>
      <c r="I102" t="s">
        <v>1963</v>
      </c>
      <c r="J102">
        <v>650</v>
      </c>
      <c r="K102">
        <v>625</v>
      </c>
      <c r="L102">
        <v>530</v>
      </c>
      <c r="M102" t="s">
        <v>1963</v>
      </c>
      <c r="N102">
        <v>470</v>
      </c>
      <c r="O102">
        <v>440</v>
      </c>
      <c r="P102">
        <v>377</v>
      </c>
      <c r="Q102" t="s">
        <v>110</v>
      </c>
      <c r="R102">
        <v>24</v>
      </c>
      <c r="S102">
        <v>1</v>
      </c>
      <c r="T102" s="4" t="s">
        <v>1965</v>
      </c>
      <c r="U102" s="4" t="s">
        <v>1966</v>
      </c>
      <c r="V102">
        <v>0</v>
      </c>
      <c r="W102" s="6" t="str">
        <f t="shared" si="1"/>
        <v>(2166,null,1,'2026-03-24 00:00:00','003304090130000-33040901301','003304090130000-33040901301','小儿眶内血肿穿刺术',null,null,650,625,530,null,470,440,377,'单侧',24,1,'normal','main',0),</v>
      </c>
    </row>
    <row r="103" spans="1:23">
      <c r="A103">
        <v>2167</v>
      </c>
      <c r="B103" t="s">
        <v>1963</v>
      </c>
      <c r="C103">
        <v>1</v>
      </c>
      <c r="D103" s="3" t="s">
        <v>1964</v>
      </c>
      <c r="E103" t="s">
        <v>559</v>
      </c>
      <c r="F103" t="s">
        <v>559</v>
      </c>
      <c r="G103" t="s">
        <v>560</v>
      </c>
      <c r="H103" t="s">
        <v>1963</v>
      </c>
      <c r="I103" t="s">
        <v>1963</v>
      </c>
      <c r="J103">
        <v>205</v>
      </c>
      <c r="K103">
        <v>195</v>
      </c>
      <c r="L103">
        <v>165</v>
      </c>
      <c r="M103" t="s">
        <v>1963</v>
      </c>
      <c r="N103">
        <v>470</v>
      </c>
      <c r="O103">
        <v>440</v>
      </c>
      <c r="P103">
        <v>377</v>
      </c>
      <c r="Q103" t="s">
        <v>36</v>
      </c>
      <c r="R103">
        <v>24</v>
      </c>
      <c r="S103">
        <v>1</v>
      </c>
      <c r="T103" s="4" t="s">
        <v>1965</v>
      </c>
      <c r="U103" s="4" t="s">
        <v>1966</v>
      </c>
      <c r="V103">
        <v>0</v>
      </c>
      <c r="W103" s="6" t="str">
        <f t="shared" si="1"/>
        <v>(2167,null,1,'2026-03-24 00:00:00','003103001000000-31030010002','003103001000000-31030010002','小儿前房穿刺术',null,null,205,195,165,null,470,440,377,'次',24,1,'normal','main',0),</v>
      </c>
    </row>
    <row r="104" spans="1:23">
      <c r="A104">
        <v>2168</v>
      </c>
      <c r="B104" t="s">
        <v>1963</v>
      </c>
      <c r="C104">
        <v>1</v>
      </c>
      <c r="D104" s="3" t="s">
        <v>1964</v>
      </c>
      <c r="E104" t="s">
        <v>561</v>
      </c>
      <c r="F104" t="s">
        <v>561</v>
      </c>
      <c r="G104" t="s">
        <v>562</v>
      </c>
      <c r="H104" t="s">
        <v>1963</v>
      </c>
      <c r="I104" t="s">
        <v>1963</v>
      </c>
      <c r="J104">
        <v>490</v>
      </c>
      <c r="K104">
        <v>470</v>
      </c>
      <c r="L104">
        <v>400</v>
      </c>
      <c r="M104" t="s">
        <v>1963</v>
      </c>
      <c r="N104">
        <v>470</v>
      </c>
      <c r="O104">
        <v>440</v>
      </c>
      <c r="P104">
        <v>377</v>
      </c>
      <c r="Q104" t="s">
        <v>36</v>
      </c>
      <c r="R104">
        <v>24</v>
      </c>
      <c r="S104">
        <v>1</v>
      </c>
      <c r="T104" s="4" t="s">
        <v>1965</v>
      </c>
      <c r="U104" s="4" t="s">
        <v>1966</v>
      </c>
      <c r="V104">
        <v>0</v>
      </c>
      <c r="W104" s="6" t="str">
        <f t="shared" si="1"/>
        <v>(2168,null,1,'2026-03-24 00:00:00','003304070010000-33040700101','003304070010000-33040700101','小儿玻璃体穿刺抽液术',null,null,490,470,400,null,470,440,377,'次',24,1,'normal','main',0),</v>
      </c>
    </row>
    <row r="105" spans="1:23">
      <c r="A105">
        <v>2169</v>
      </c>
      <c r="B105" t="s">
        <v>1963</v>
      </c>
      <c r="C105">
        <v>1</v>
      </c>
      <c r="D105" s="3" t="s">
        <v>1964</v>
      </c>
      <c r="E105" t="s">
        <v>568</v>
      </c>
      <c r="F105" t="s">
        <v>568</v>
      </c>
      <c r="G105" t="s">
        <v>569</v>
      </c>
      <c r="H105" t="s">
        <v>1963</v>
      </c>
      <c r="I105" t="s">
        <v>1963</v>
      </c>
      <c r="J105">
        <v>210</v>
      </c>
      <c r="K105">
        <v>200</v>
      </c>
      <c r="L105">
        <v>170</v>
      </c>
      <c r="M105" t="s">
        <v>1963</v>
      </c>
      <c r="N105">
        <v>320</v>
      </c>
      <c r="O105">
        <v>290</v>
      </c>
      <c r="P105">
        <v>260</v>
      </c>
      <c r="Q105" t="s">
        <v>71</v>
      </c>
      <c r="R105">
        <v>24</v>
      </c>
      <c r="S105">
        <v>1</v>
      </c>
      <c r="T105" s="4" t="s">
        <v>1965</v>
      </c>
      <c r="U105" s="4" t="s">
        <v>1966</v>
      </c>
      <c r="V105">
        <v>0</v>
      </c>
      <c r="W105" s="6" t="str">
        <f t="shared" si="1"/>
        <v>(2169,null,1,'2026-03-24 00:00:00','003103000810000-310300081','003103000810000-310300081','激光治疗眼前节病',null,null,210,200,170,null,320,290,260,'次（单眼）',24,1,'normal','main',0),</v>
      </c>
    </row>
    <row r="106" spans="1:23">
      <c r="A106">
        <v>2170</v>
      </c>
      <c r="B106" t="s">
        <v>1963</v>
      </c>
      <c r="C106">
        <v>1</v>
      </c>
      <c r="D106" s="3" t="s">
        <v>1964</v>
      </c>
      <c r="E106" t="s">
        <v>572</v>
      </c>
      <c r="F106" t="s">
        <v>572</v>
      </c>
      <c r="G106" t="s">
        <v>573</v>
      </c>
      <c r="H106" t="s">
        <v>1963</v>
      </c>
      <c r="I106" t="s">
        <v>1963</v>
      </c>
      <c r="J106">
        <v>105</v>
      </c>
      <c r="K106">
        <v>100</v>
      </c>
      <c r="L106">
        <v>85</v>
      </c>
      <c r="M106" t="s">
        <v>1963</v>
      </c>
      <c r="N106">
        <v>0</v>
      </c>
      <c r="O106">
        <v>0</v>
      </c>
      <c r="P106">
        <v>0</v>
      </c>
      <c r="Q106" t="s">
        <v>71</v>
      </c>
      <c r="R106">
        <v>24</v>
      </c>
      <c r="S106">
        <v>1</v>
      </c>
      <c r="T106" s="4" t="s">
        <v>1965</v>
      </c>
      <c r="U106" s="4" t="s">
        <v>1966</v>
      </c>
      <c r="V106">
        <v>0</v>
      </c>
      <c r="W106" s="6" t="str">
        <f t="shared" si="1"/>
        <v>(2170,null,1,'2026-03-24 00:00:00','003103000810001-31030008104','003103000810001-31030008104','激光治疗眼前节病（多波长激光加收）',null,null,105,100,85,null,0,0,0,'次（单眼）',24,1,'normal','main',0),</v>
      </c>
    </row>
    <row r="107" spans="1:23">
      <c r="A107">
        <v>2171</v>
      </c>
      <c r="B107" t="s">
        <v>1963</v>
      </c>
      <c r="C107">
        <v>1</v>
      </c>
      <c r="D107" s="3" t="s">
        <v>1964</v>
      </c>
      <c r="E107" t="s">
        <v>575</v>
      </c>
      <c r="F107" t="s">
        <v>575</v>
      </c>
      <c r="G107" t="s">
        <v>576</v>
      </c>
      <c r="H107" t="s">
        <v>1963</v>
      </c>
      <c r="I107" t="s">
        <v>1963</v>
      </c>
      <c r="J107">
        <v>210</v>
      </c>
      <c r="K107">
        <v>200</v>
      </c>
      <c r="L107">
        <v>170</v>
      </c>
      <c r="M107" t="s">
        <v>1963</v>
      </c>
      <c r="N107">
        <v>320</v>
      </c>
      <c r="O107">
        <v>290</v>
      </c>
      <c r="P107">
        <v>260</v>
      </c>
      <c r="Q107" t="s">
        <v>71</v>
      </c>
      <c r="R107">
        <v>24</v>
      </c>
      <c r="S107">
        <v>1</v>
      </c>
      <c r="T107" s="4" t="s">
        <v>1965</v>
      </c>
      <c r="U107" s="4" t="s">
        <v>1966</v>
      </c>
      <c r="V107">
        <v>0</v>
      </c>
      <c r="W107" s="6" t="str">
        <f t="shared" si="1"/>
        <v>(2171,null,1,'2026-03-24 00:00:00','003103000810100-31030008101','003103000810100-31030008101','激光治疗眼前节病（治疗青光眼）',null,null,210,200,170,null,320,290,260,'次（单眼）',24,1,'normal','main',0),</v>
      </c>
    </row>
    <row r="108" spans="1:23">
      <c r="A108">
        <v>2172</v>
      </c>
      <c r="B108" t="s">
        <v>1963</v>
      </c>
      <c r="C108">
        <v>1</v>
      </c>
      <c r="D108" s="3" t="s">
        <v>1964</v>
      </c>
      <c r="E108" t="s">
        <v>578</v>
      </c>
      <c r="F108" t="s">
        <v>578</v>
      </c>
      <c r="G108" t="s">
        <v>579</v>
      </c>
      <c r="H108" t="s">
        <v>1963</v>
      </c>
      <c r="I108" t="s">
        <v>1963</v>
      </c>
      <c r="J108">
        <v>210</v>
      </c>
      <c r="K108">
        <v>200</v>
      </c>
      <c r="L108">
        <v>170</v>
      </c>
      <c r="M108" t="s">
        <v>1963</v>
      </c>
      <c r="N108">
        <v>320</v>
      </c>
      <c r="O108">
        <v>290</v>
      </c>
      <c r="P108">
        <v>260</v>
      </c>
      <c r="Q108" t="s">
        <v>71</v>
      </c>
      <c r="R108">
        <v>24</v>
      </c>
      <c r="S108">
        <v>1</v>
      </c>
      <c r="T108" s="4" t="s">
        <v>1965</v>
      </c>
      <c r="U108" s="4" t="s">
        <v>1966</v>
      </c>
      <c r="V108">
        <v>0</v>
      </c>
      <c r="W108" s="6" t="str">
        <f t="shared" si="1"/>
        <v>(2172,null,1,'2026-03-24 00:00:00','003103000810200-31030008102','003103000810200-31030008102','激光治疗眼前节病（晶状体囊膜切开）',null,null,210,200,170,null,320,290,260,'次（单眼）',24,1,'normal','main',0),</v>
      </c>
    </row>
    <row r="109" spans="1:23">
      <c r="A109">
        <v>2173</v>
      </c>
      <c r="B109" t="s">
        <v>1963</v>
      </c>
      <c r="C109">
        <v>1</v>
      </c>
      <c r="D109" s="3" t="s">
        <v>1964</v>
      </c>
      <c r="E109" t="s">
        <v>581</v>
      </c>
      <c r="F109" t="s">
        <v>581</v>
      </c>
      <c r="G109" t="s">
        <v>582</v>
      </c>
      <c r="H109" t="s">
        <v>1963</v>
      </c>
      <c r="I109" t="s">
        <v>1963</v>
      </c>
      <c r="J109">
        <v>210</v>
      </c>
      <c r="K109">
        <v>200</v>
      </c>
      <c r="L109">
        <v>170</v>
      </c>
      <c r="M109" t="s">
        <v>1963</v>
      </c>
      <c r="N109">
        <v>320</v>
      </c>
      <c r="O109">
        <v>290</v>
      </c>
      <c r="P109">
        <v>260</v>
      </c>
      <c r="Q109" t="s">
        <v>71</v>
      </c>
      <c r="R109">
        <v>24</v>
      </c>
      <c r="S109">
        <v>1</v>
      </c>
      <c r="T109" s="4" t="s">
        <v>1965</v>
      </c>
      <c r="U109" s="4" t="s">
        <v>1966</v>
      </c>
      <c r="V109">
        <v>0</v>
      </c>
      <c r="W109" s="6" t="str">
        <f t="shared" si="1"/>
        <v>(2173,null,1,'2026-03-24 00:00:00','003103000810300-31030008103','003103000810300-31030008103','激光治疗眼前节病（虹膜囊肿切除）',null,null,210,200,170,null,320,290,260,'次（单眼）',24,1,'normal','main',0),</v>
      </c>
    </row>
    <row r="110" spans="1:23">
      <c r="A110">
        <v>2174</v>
      </c>
      <c r="B110" t="s">
        <v>1963</v>
      </c>
      <c r="C110">
        <v>1</v>
      </c>
      <c r="D110" s="3" t="s">
        <v>1964</v>
      </c>
      <c r="E110" t="s">
        <v>584</v>
      </c>
      <c r="F110" t="s">
        <v>584</v>
      </c>
      <c r="G110" t="s">
        <v>585</v>
      </c>
      <c r="H110" t="s">
        <v>1963</v>
      </c>
      <c r="I110" t="s">
        <v>1963</v>
      </c>
      <c r="J110">
        <v>210</v>
      </c>
      <c r="K110">
        <v>200</v>
      </c>
      <c r="L110">
        <v>170</v>
      </c>
      <c r="M110" t="s">
        <v>1963</v>
      </c>
      <c r="N110">
        <v>320</v>
      </c>
      <c r="O110">
        <v>290</v>
      </c>
      <c r="P110">
        <v>260</v>
      </c>
      <c r="Q110" t="s">
        <v>71</v>
      </c>
      <c r="R110">
        <v>24</v>
      </c>
      <c r="S110">
        <v>1</v>
      </c>
      <c r="T110" s="4" t="s">
        <v>1965</v>
      </c>
      <c r="U110" s="4" t="s">
        <v>1966</v>
      </c>
      <c r="V110">
        <v>0</v>
      </c>
      <c r="W110" s="6" t="str">
        <f t="shared" si="1"/>
        <v>(2174,null,1,'2026-03-24 00:00:00','003103000800000-310300080','003103000800000-310300080','视网膜激光光凝术',null,null,210,200,170,null,320,290,260,'次（单眼）',24,1,'normal','main',0),</v>
      </c>
    </row>
    <row r="111" spans="1:23">
      <c r="A111">
        <v>2175</v>
      </c>
      <c r="B111" t="s">
        <v>1963</v>
      </c>
      <c r="C111">
        <v>1</v>
      </c>
      <c r="D111" s="3" t="s">
        <v>1964</v>
      </c>
      <c r="E111" t="s">
        <v>586</v>
      </c>
      <c r="F111" t="s">
        <v>586</v>
      </c>
      <c r="G111" t="s">
        <v>587</v>
      </c>
      <c r="H111" t="s">
        <v>1963</v>
      </c>
      <c r="I111" t="s">
        <v>1963</v>
      </c>
      <c r="J111">
        <v>315</v>
      </c>
      <c r="K111">
        <v>300</v>
      </c>
      <c r="L111">
        <v>255</v>
      </c>
      <c r="M111" t="s">
        <v>1963</v>
      </c>
      <c r="N111">
        <v>320</v>
      </c>
      <c r="O111">
        <v>290</v>
      </c>
      <c r="P111">
        <v>260</v>
      </c>
      <c r="Q111" t="s">
        <v>71</v>
      </c>
      <c r="R111">
        <v>24</v>
      </c>
      <c r="S111">
        <v>1</v>
      </c>
      <c r="T111" s="4" t="s">
        <v>1965</v>
      </c>
      <c r="U111" s="4" t="s">
        <v>1966</v>
      </c>
      <c r="V111">
        <v>0</v>
      </c>
      <c r="W111" s="6" t="str">
        <f t="shared" si="1"/>
        <v>(2175,null,1,'2026-03-24 00:00:00','003103000800000-31030008001','003103000800000-31030008001','视网膜激光光凝术（多波长激光）',null,null,315,300,255,null,320,290,260,'次（单眼）',24,1,'normal','main',0),</v>
      </c>
    </row>
    <row r="112" spans="1:23">
      <c r="A112">
        <v>2176</v>
      </c>
      <c r="B112" t="s">
        <v>1963</v>
      </c>
      <c r="C112">
        <v>1</v>
      </c>
      <c r="D112" s="3" t="s">
        <v>1964</v>
      </c>
      <c r="E112" t="s">
        <v>589</v>
      </c>
      <c r="F112" t="s">
        <v>589</v>
      </c>
      <c r="G112" t="s">
        <v>590</v>
      </c>
      <c r="H112" t="s">
        <v>1963</v>
      </c>
      <c r="I112" t="s">
        <v>1963</v>
      </c>
      <c r="J112">
        <v>625</v>
      </c>
      <c r="K112">
        <v>600</v>
      </c>
      <c r="L112">
        <v>510</v>
      </c>
      <c r="M112" t="s">
        <v>1963</v>
      </c>
      <c r="N112">
        <v>320</v>
      </c>
      <c r="O112">
        <v>290</v>
      </c>
      <c r="P112">
        <v>260</v>
      </c>
      <c r="Q112" t="s">
        <v>110</v>
      </c>
      <c r="R112">
        <v>24</v>
      </c>
      <c r="S112">
        <v>1</v>
      </c>
      <c r="T112" s="4" t="s">
        <v>1965</v>
      </c>
      <c r="U112" s="4" t="s">
        <v>1966</v>
      </c>
      <c r="V112">
        <v>0</v>
      </c>
      <c r="W112" s="6" t="str">
        <f t="shared" si="1"/>
        <v>(2176,null,1,'2026-03-24 00:00:00','003304050100000-330405010','003304050100000-330405010','睫状体特殊治疗',null,null,625,600,510,null,320,290,260,'单侧',24,1,'normal','main',0),</v>
      </c>
    </row>
    <row r="113" spans="1:23">
      <c r="A113">
        <v>2177</v>
      </c>
      <c r="B113" t="s">
        <v>1963</v>
      </c>
      <c r="C113">
        <v>1</v>
      </c>
      <c r="D113" s="3" t="s">
        <v>1964</v>
      </c>
      <c r="E113" t="s">
        <v>593</v>
      </c>
      <c r="F113" t="s">
        <v>593</v>
      </c>
      <c r="G113" t="s">
        <v>594</v>
      </c>
      <c r="H113" t="s">
        <v>1963</v>
      </c>
      <c r="I113" t="s">
        <v>1963</v>
      </c>
      <c r="J113">
        <v>750</v>
      </c>
      <c r="K113">
        <v>720</v>
      </c>
      <c r="L113">
        <v>612</v>
      </c>
      <c r="M113" t="s">
        <v>1963</v>
      </c>
      <c r="N113">
        <v>320</v>
      </c>
      <c r="O113">
        <v>290</v>
      </c>
      <c r="P113">
        <v>260</v>
      </c>
      <c r="Q113" t="s">
        <v>110</v>
      </c>
      <c r="R113">
        <v>24</v>
      </c>
      <c r="S113">
        <v>1</v>
      </c>
      <c r="T113" s="4" t="s">
        <v>1965</v>
      </c>
      <c r="U113" s="4" t="s">
        <v>1966</v>
      </c>
      <c r="V113">
        <v>0</v>
      </c>
      <c r="W113" s="6" t="str">
        <f t="shared" si="1"/>
        <v>(2177,null,1,'2026-03-24 00:00:00','003304050100000-33040501001','003304050100000-33040501001','睫状体特殊治疗（光凝法）',null,null,750,720,612,null,320,290,260,'单侧',24,1,'normal','main',0),</v>
      </c>
    </row>
    <row r="114" spans="1:23">
      <c r="A114">
        <v>2178</v>
      </c>
      <c r="B114" t="s">
        <v>1963</v>
      </c>
      <c r="C114">
        <v>1</v>
      </c>
      <c r="D114" s="3" t="s">
        <v>1964</v>
      </c>
      <c r="E114" t="s">
        <v>596</v>
      </c>
      <c r="F114" t="s">
        <v>596</v>
      </c>
      <c r="G114" t="s">
        <v>597</v>
      </c>
      <c r="H114" t="s">
        <v>1963</v>
      </c>
      <c r="I114" t="s">
        <v>1963</v>
      </c>
      <c r="J114">
        <v>815</v>
      </c>
      <c r="K114">
        <v>780</v>
      </c>
      <c r="L114">
        <v>665</v>
      </c>
      <c r="M114" t="s">
        <v>1963</v>
      </c>
      <c r="N114">
        <v>320</v>
      </c>
      <c r="O114">
        <v>290</v>
      </c>
      <c r="P114">
        <v>260</v>
      </c>
      <c r="Q114" t="s">
        <v>110</v>
      </c>
      <c r="R114">
        <v>24</v>
      </c>
      <c r="S114">
        <v>1</v>
      </c>
      <c r="T114" s="4" t="s">
        <v>1965</v>
      </c>
      <c r="U114" s="4" t="s">
        <v>1966</v>
      </c>
      <c r="V114">
        <v>0</v>
      </c>
      <c r="W114" s="6" t="str">
        <f t="shared" si="1"/>
        <v>(2178,null,1,'2026-03-24 00:00:00','003304050100000-33040501002','003304050100000-33040501002','小儿睫状体特殊治疗',null,null,815,780,665,null,320,290,260,'单侧',24,1,'normal','main',0),</v>
      </c>
    </row>
    <row r="115" spans="1:23">
      <c r="A115">
        <v>2179</v>
      </c>
      <c r="B115" t="s">
        <v>1963</v>
      </c>
      <c r="C115">
        <v>1</v>
      </c>
      <c r="D115" s="3" t="s">
        <v>1964</v>
      </c>
      <c r="E115" t="s">
        <v>598</v>
      </c>
      <c r="F115" t="s">
        <v>598</v>
      </c>
      <c r="G115" t="s">
        <v>599</v>
      </c>
      <c r="H115" t="s">
        <v>1963</v>
      </c>
      <c r="I115" t="s">
        <v>1963</v>
      </c>
      <c r="J115">
        <v>975</v>
      </c>
      <c r="K115">
        <v>935</v>
      </c>
      <c r="L115">
        <v>795</v>
      </c>
      <c r="M115" t="s">
        <v>1963</v>
      </c>
      <c r="N115">
        <v>320</v>
      </c>
      <c r="O115">
        <v>290</v>
      </c>
      <c r="P115">
        <v>260</v>
      </c>
      <c r="Q115" t="s">
        <v>110</v>
      </c>
      <c r="R115">
        <v>24</v>
      </c>
      <c r="S115">
        <v>1</v>
      </c>
      <c r="T115" s="4" t="s">
        <v>1965</v>
      </c>
      <c r="U115" s="4" t="s">
        <v>1966</v>
      </c>
      <c r="V115">
        <v>0</v>
      </c>
      <c r="W115" s="6" t="str">
        <f t="shared" si="1"/>
        <v>(2179,null,1,'2026-03-24 00:00:00','003304050100000-33040501003','003304050100000-33040501003','小儿睫状体特殊治疗（光凝法）',null,null,975,935,795,null,320,290,260,'单侧',24,1,'normal','main',0),</v>
      </c>
    </row>
    <row r="116" spans="1:23">
      <c r="A116">
        <v>2180</v>
      </c>
      <c r="B116" t="s">
        <v>1963</v>
      </c>
      <c r="C116">
        <v>1</v>
      </c>
      <c r="D116" s="3" t="s">
        <v>1964</v>
      </c>
      <c r="E116" t="s">
        <v>600</v>
      </c>
      <c r="F116" t="s">
        <v>600</v>
      </c>
      <c r="G116" t="s">
        <v>601</v>
      </c>
      <c r="H116" t="s">
        <v>1963</v>
      </c>
      <c r="I116" t="s">
        <v>1963</v>
      </c>
      <c r="J116">
        <v>1010</v>
      </c>
      <c r="K116">
        <v>910</v>
      </c>
      <c r="L116">
        <v>775</v>
      </c>
      <c r="M116" t="s">
        <v>1963</v>
      </c>
      <c r="N116">
        <v>320</v>
      </c>
      <c r="O116">
        <v>290</v>
      </c>
      <c r="P116">
        <v>260</v>
      </c>
      <c r="Q116" t="s">
        <v>36</v>
      </c>
      <c r="R116">
        <v>24</v>
      </c>
      <c r="S116">
        <v>1</v>
      </c>
      <c r="T116" s="4" t="s">
        <v>1965</v>
      </c>
      <c r="U116" s="4" t="s">
        <v>1966</v>
      </c>
      <c r="V116">
        <v>0</v>
      </c>
      <c r="W116" s="6" t="str">
        <f t="shared" si="1"/>
        <v>(2180,null,1,'2026-03-24 00:00:00','003304070130000-330407013','003304070130000-330407013','内眼病冷凝术',null,null,1010,910,775,null,320,290,260,'次',24,1,'normal','main',0),</v>
      </c>
    </row>
    <row r="117" spans="1:23">
      <c r="A117">
        <v>2181</v>
      </c>
      <c r="B117" t="s">
        <v>1963</v>
      </c>
      <c r="C117">
        <v>1</v>
      </c>
      <c r="D117" s="3" t="s">
        <v>1964</v>
      </c>
      <c r="E117" t="s">
        <v>602</v>
      </c>
      <c r="F117" t="s">
        <v>602</v>
      </c>
      <c r="G117" t="s">
        <v>603</v>
      </c>
      <c r="H117" t="s">
        <v>1963</v>
      </c>
      <c r="I117" t="s">
        <v>1963</v>
      </c>
      <c r="J117">
        <v>1315</v>
      </c>
      <c r="K117">
        <v>1185</v>
      </c>
      <c r="L117">
        <v>1005</v>
      </c>
      <c r="M117" t="s">
        <v>1963</v>
      </c>
      <c r="N117">
        <v>320</v>
      </c>
      <c r="O117">
        <v>290</v>
      </c>
      <c r="P117">
        <v>260</v>
      </c>
      <c r="Q117" t="s">
        <v>36</v>
      </c>
      <c r="R117">
        <v>24</v>
      </c>
      <c r="S117">
        <v>1</v>
      </c>
      <c r="T117" s="4" t="s">
        <v>1965</v>
      </c>
      <c r="U117" s="4" t="s">
        <v>1966</v>
      </c>
      <c r="V117">
        <v>0</v>
      </c>
      <c r="W117" s="6" t="str">
        <f t="shared" si="1"/>
        <v>(2181,null,1,'2026-03-24 00:00:00','003304070130000-33040701301','003304070130000-33040701301','小儿内眼病冷凝术',null,null,1315,1185,1005,null,320,290,260,'次',24,1,'normal','main',0),</v>
      </c>
    </row>
    <row r="118" spans="1:23">
      <c r="A118">
        <v>2182</v>
      </c>
      <c r="B118" t="s">
        <v>1963</v>
      </c>
      <c r="C118">
        <v>1</v>
      </c>
      <c r="D118" s="3" t="s">
        <v>1964</v>
      </c>
      <c r="E118" t="s">
        <v>604</v>
      </c>
      <c r="F118" t="s">
        <v>604</v>
      </c>
      <c r="G118" t="s">
        <v>605</v>
      </c>
      <c r="H118" t="s">
        <v>1963</v>
      </c>
      <c r="I118" t="s">
        <v>1963</v>
      </c>
      <c r="J118">
        <v>472.5</v>
      </c>
      <c r="K118">
        <v>450</v>
      </c>
      <c r="L118">
        <v>382.5</v>
      </c>
      <c r="M118" t="s">
        <v>1963</v>
      </c>
      <c r="N118">
        <v>320</v>
      </c>
      <c r="O118">
        <v>290</v>
      </c>
      <c r="P118">
        <v>260</v>
      </c>
      <c r="Q118" t="s">
        <v>36</v>
      </c>
      <c r="R118">
        <v>24</v>
      </c>
      <c r="S118">
        <v>1</v>
      </c>
      <c r="T118" s="4" t="s">
        <v>1965</v>
      </c>
      <c r="U118" s="4" t="s">
        <v>1966</v>
      </c>
      <c r="V118">
        <v>0</v>
      </c>
      <c r="W118" s="6" t="str">
        <f t="shared" si="1"/>
        <v>(2182,null,1,'2026-03-24 00:00:00','003103000900001-31030009001','003103000900001-31030009001','晶体囊截开术（激光）',null,null,472.5,450,382.5,null,320,290,260,'次',24,1,'normal','main',0),</v>
      </c>
    </row>
    <row r="119" spans="1:23">
      <c r="A119">
        <v>2183</v>
      </c>
      <c r="B119" t="s">
        <v>1963</v>
      </c>
      <c r="C119">
        <v>1</v>
      </c>
      <c r="D119" s="3" t="s">
        <v>1964</v>
      </c>
      <c r="E119" t="s">
        <v>606</v>
      </c>
      <c r="F119" t="s">
        <v>606</v>
      </c>
      <c r="G119" t="s">
        <v>607</v>
      </c>
      <c r="H119" t="s">
        <v>1963</v>
      </c>
      <c r="I119" t="s">
        <v>1963</v>
      </c>
      <c r="J119">
        <v>450</v>
      </c>
      <c r="K119">
        <v>405</v>
      </c>
      <c r="L119">
        <v>344</v>
      </c>
      <c r="M119" t="s">
        <v>1963</v>
      </c>
      <c r="N119">
        <v>320</v>
      </c>
      <c r="O119">
        <v>290</v>
      </c>
      <c r="P119">
        <v>260</v>
      </c>
      <c r="Q119" t="s">
        <v>36</v>
      </c>
      <c r="R119">
        <v>24</v>
      </c>
      <c r="S119">
        <v>1</v>
      </c>
      <c r="T119" s="4" t="s">
        <v>1965</v>
      </c>
      <c r="U119" s="4" t="s">
        <v>1966</v>
      </c>
      <c r="V119">
        <v>0</v>
      </c>
      <c r="W119" s="6" t="str">
        <f t="shared" si="1"/>
        <v>(2183,null,1,'2026-03-24 00:00:00','003103000860000-310300086','003103000860000-310300086','光动力疗法（PDT）',null,null,450,405,344,null,320,290,260,'次',24,1,'normal','main',0),</v>
      </c>
    </row>
    <row r="120" spans="1:23">
      <c r="A120">
        <v>2184</v>
      </c>
      <c r="B120" t="s">
        <v>1963</v>
      </c>
      <c r="C120">
        <v>1</v>
      </c>
      <c r="D120" s="3" t="s">
        <v>1964</v>
      </c>
      <c r="E120" t="s">
        <v>613</v>
      </c>
      <c r="F120" t="s">
        <v>613</v>
      </c>
      <c r="G120" t="s">
        <v>614</v>
      </c>
      <c r="H120" t="s">
        <v>1963</v>
      </c>
      <c r="I120" t="s">
        <v>1963</v>
      </c>
      <c r="J120">
        <v>52.5</v>
      </c>
      <c r="K120">
        <v>50</v>
      </c>
      <c r="L120">
        <v>42.5</v>
      </c>
      <c r="M120" t="s">
        <v>1963</v>
      </c>
      <c r="N120">
        <v>48</v>
      </c>
      <c r="O120">
        <v>44</v>
      </c>
      <c r="P120">
        <v>39</v>
      </c>
      <c r="Q120" t="s">
        <v>36</v>
      </c>
      <c r="R120">
        <v>24</v>
      </c>
      <c r="S120">
        <v>1</v>
      </c>
      <c r="T120" s="4" t="s">
        <v>1965</v>
      </c>
      <c r="U120" s="4" t="s">
        <v>1966</v>
      </c>
      <c r="V120">
        <v>0</v>
      </c>
      <c r="W120" s="6" t="str">
        <f t="shared" si="1"/>
        <v>(2184,null,1,'2026-03-24 00:00:00','003103001040000-310300104','003103001040000-310300104','眼部冷冻治疗',null,null,52.5,50,42.5,null,48,44,39,'次',24,1,'normal','main',0),</v>
      </c>
    </row>
    <row r="121" spans="1:23">
      <c r="A121">
        <v>2185</v>
      </c>
      <c r="B121" t="s">
        <v>1963</v>
      </c>
      <c r="C121">
        <v>1</v>
      </c>
      <c r="D121" s="3" t="s">
        <v>1964</v>
      </c>
      <c r="E121" t="s">
        <v>623</v>
      </c>
      <c r="F121" t="s">
        <v>623</v>
      </c>
      <c r="G121" t="s">
        <v>624</v>
      </c>
      <c r="H121" t="s">
        <v>1963</v>
      </c>
      <c r="I121" t="s">
        <v>1963</v>
      </c>
      <c r="J121">
        <v>10.5</v>
      </c>
      <c r="K121">
        <v>10</v>
      </c>
      <c r="L121">
        <v>8.5</v>
      </c>
      <c r="M121" t="s">
        <v>1963</v>
      </c>
      <c r="N121">
        <v>15</v>
      </c>
      <c r="O121">
        <v>13.5</v>
      </c>
      <c r="P121">
        <v>11.5</v>
      </c>
      <c r="Q121" t="s">
        <v>36</v>
      </c>
      <c r="R121">
        <v>24</v>
      </c>
      <c r="S121">
        <v>1</v>
      </c>
      <c r="T121" s="4" t="s">
        <v>1965</v>
      </c>
      <c r="U121" s="4" t="s">
        <v>1966</v>
      </c>
      <c r="V121">
        <v>0</v>
      </c>
      <c r="W121" s="6" t="str">
        <f t="shared" si="1"/>
        <v>(2185,null,1,'2026-03-24 00:00:00','003103000980000-310300098','003103000980000-310300098','协调器治疗',null,null,10.5,10,8.5,null,15,13.5,11.5,'次',24,1,'normal','main',0),</v>
      </c>
    </row>
    <row r="122" spans="1:23">
      <c r="A122">
        <v>2186</v>
      </c>
      <c r="B122" t="s">
        <v>1963</v>
      </c>
      <c r="C122">
        <v>1</v>
      </c>
      <c r="D122" s="3" t="s">
        <v>1964</v>
      </c>
      <c r="E122" t="s">
        <v>625</v>
      </c>
      <c r="F122" t="s">
        <v>625</v>
      </c>
      <c r="G122" t="s">
        <v>626</v>
      </c>
      <c r="H122" t="s">
        <v>1963</v>
      </c>
      <c r="I122" t="s">
        <v>1963</v>
      </c>
      <c r="J122">
        <v>10.5</v>
      </c>
      <c r="K122">
        <v>10</v>
      </c>
      <c r="L122">
        <v>8.5</v>
      </c>
      <c r="M122" t="s">
        <v>1963</v>
      </c>
      <c r="N122">
        <v>15</v>
      </c>
      <c r="O122">
        <v>13.5</v>
      </c>
      <c r="P122">
        <v>11.5</v>
      </c>
      <c r="Q122" t="s">
        <v>36</v>
      </c>
      <c r="R122">
        <v>24</v>
      </c>
      <c r="S122">
        <v>1</v>
      </c>
      <c r="T122" s="4" t="s">
        <v>1965</v>
      </c>
      <c r="U122" s="4" t="s">
        <v>1966</v>
      </c>
      <c r="V122">
        <v>0</v>
      </c>
      <c r="W122" s="6" t="str">
        <f t="shared" si="1"/>
        <v>(2186,null,1,'2026-03-24 00:00:00','003103001070000-310300107','003103001070000-310300107','双眼单视功能训练',null,null,10.5,10,8.5,null,15,13.5,11.5,'次',24,1,'normal','main',0),</v>
      </c>
    </row>
    <row r="123" spans="1:23">
      <c r="A123">
        <v>2187</v>
      </c>
      <c r="B123" t="s">
        <v>1963</v>
      </c>
      <c r="C123">
        <v>1</v>
      </c>
      <c r="D123" s="3" t="s">
        <v>1964</v>
      </c>
      <c r="E123" t="s">
        <v>628</v>
      </c>
      <c r="F123" t="s">
        <v>628</v>
      </c>
      <c r="G123" t="s">
        <v>629</v>
      </c>
      <c r="H123" t="s">
        <v>1963</v>
      </c>
      <c r="I123" t="s">
        <v>1963</v>
      </c>
      <c r="J123">
        <v>10.5</v>
      </c>
      <c r="K123">
        <v>10</v>
      </c>
      <c r="L123">
        <v>8.5</v>
      </c>
      <c r="M123" t="s">
        <v>1963</v>
      </c>
      <c r="N123">
        <v>15</v>
      </c>
      <c r="O123">
        <v>13.5</v>
      </c>
      <c r="P123">
        <v>11.5</v>
      </c>
      <c r="Q123" t="s">
        <v>36</v>
      </c>
      <c r="R123">
        <v>24</v>
      </c>
      <c r="S123">
        <v>1</v>
      </c>
      <c r="T123" s="4" t="s">
        <v>1965</v>
      </c>
      <c r="U123" s="4" t="s">
        <v>1966</v>
      </c>
      <c r="V123">
        <v>0</v>
      </c>
      <c r="W123" s="6" t="str">
        <f t="shared" si="1"/>
        <v>(2187,null,1,'2026-03-24 00:00:00','003103001080000-310300108','003103001080000-310300108','弱视训练',null,null,10.5,10,8.5,null,15,13.5,11.5,'次',24,1,'normal','main',0),</v>
      </c>
    </row>
    <row r="124" spans="1:23">
      <c r="A124">
        <v>2188</v>
      </c>
      <c r="B124" t="s">
        <v>1963</v>
      </c>
      <c r="C124">
        <v>1</v>
      </c>
      <c r="D124" s="3" t="s">
        <v>1964</v>
      </c>
      <c r="E124" t="s">
        <v>630</v>
      </c>
      <c r="F124" t="s">
        <v>630</v>
      </c>
      <c r="G124" t="s">
        <v>631</v>
      </c>
      <c r="H124" t="s">
        <v>1963</v>
      </c>
      <c r="I124" t="s">
        <v>1963</v>
      </c>
      <c r="J124">
        <v>10.5</v>
      </c>
      <c r="K124">
        <v>10</v>
      </c>
      <c r="L124">
        <v>8.5</v>
      </c>
      <c r="M124" t="s">
        <v>1963</v>
      </c>
      <c r="N124">
        <v>15</v>
      </c>
      <c r="O124">
        <v>13.5</v>
      </c>
      <c r="P124">
        <v>11.5</v>
      </c>
      <c r="Q124" t="s">
        <v>36</v>
      </c>
      <c r="R124">
        <v>24</v>
      </c>
      <c r="S124">
        <v>1</v>
      </c>
      <c r="T124" s="4" t="s">
        <v>1965</v>
      </c>
      <c r="U124" s="4" t="s">
        <v>1966</v>
      </c>
      <c r="V124">
        <v>0</v>
      </c>
      <c r="W124" s="6" t="str">
        <f t="shared" si="1"/>
        <v>(2188,null,1,'2026-03-24 00:00:00','003103000990000-310300099','003103000990000-310300099','后象治疗',null,null,10.5,10,8.5,null,15,13.5,11.5,'次',24,1,'normal','main',0),</v>
      </c>
    </row>
    <row r="125" spans="1:23">
      <c r="A125">
        <v>2189</v>
      </c>
      <c r="B125" t="s">
        <v>1963</v>
      </c>
      <c r="C125">
        <v>1</v>
      </c>
      <c r="D125" s="3" t="s">
        <v>1964</v>
      </c>
      <c r="E125" t="s">
        <v>639</v>
      </c>
      <c r="F125" t="s">
        <v>639</v>
      </c>
      <c r="G125" t="s">
        <v>640</v>
      </c>
      <c r="H125" t="s">
        <v>1963</v>
      </c>
      <c r="I125" t="s">
        <v>1963</v>
      </c>
      <c r="J125">
        <v>845</v>
      </c>
      <c r="K125">
        <v>760</v>
      </c>
      <c r="L125">
        <v>645</v>
      </c>
      <c r="M125" t="s">
        <v>1963</v>
      </c>
      <c r="N125">
        <v>65</v>
      </c>
      <c r="O125">
        <v>59</v>
      </c>
      <c r="P125">
        <v>50</v>
      </c>
      <c r="Q125" t="s">
        <v>36</v>
      </c>
      <c r="R125">
        <v>24</v>
      </c>
      <c r="S125">
        <v>1</v>
      </c>
      <c r="T125" s="4" t="s">
        <v>1965</v>
      </c>
      <c r="U125" s="4" t="s">
        <v>1966</v>
      </c>
      <c r="V125">
        <v>0</v>
      </c>
      <c r="W125" s="6" t="str">
        <f t="shared" si="1"/>
        <v>(2189,null,1,'2026-03-24 00:00:00','003304090100000-330409010','003304090100000-330409010','义眼安装',null,null,845,760,645,null,65,59,50,'次',24,1,'normal','main',0),</v>
      </c>
    </row>
    <row r="126" spans="1:23">
      <c r="A126">
        <v>2190</v>
      </c>
      <c r="B126" t="s">
        <v>1963</v>
      </c>
      <c r="C126">
        <v>1</v>
      </c>
      <c r="D126" s="3" t="s">
        <v>1964</v>
      </c>
      <c r="E126" t="s">
        <v>641</v>
      </c>
      <c r="F126" t="s">
        <v>641</v>
      </c>
      <c r="G126" t="s">
        <v>642</v>
      </c>
      <c r="H126" t="s">
        <v>1963</v>
      </c>
      <c r="I126" t="s">
        <v>1963</v>
      </c>
      <c r="J126">
        <v>1100</v>
      </c>
      <c r="K126">
        <v>990</v>
      </c>
      <c r="L126">
        <v>840</v>
      </c>
      <c r="M126" t="s">
        <v>1963</v>
      </c>
      <c r="N126">
        <v>65</v>
      </c>
      <c r="O126">
        <v>59</v>
      </c>
      <c r="P126">
        <v>50</v>
      </c>
      <c r="Q126" t="s">
        <v>36</v>
      </c>
      <c r="R126">
        <v>24</v>
      </c>
      <c r="S126">
        <v>1</v>
      </c>
      <c r="T126" s="4" t="s">
        <v>1965</v>
      </c>
      <c r="U126" s="4" t="s">
        <v>1966</v>
      </c>
      <c r="V126">
        <v>0</v>
      </c>
      <c r="W126" s="6" t="str">
        <f t="shared" si="1"/>
        <v>(2190,null,1,'2026-03-24 00:00:00','003304090100000-33040901001','003304090100000-33040901001','小儿义眼安装',null,null,1100,990,840,null,65,59,50,'次',24,1,'normal','main',0),</v>
      </c>
    </row>
    <row r="127" spans="1:23">
      <c r="A127">
        <v>2191</v>
      </c>
      <c r="B127" t="s">
        <v>1963</v>
      </c>
      <c r="C127">
        <v>1</v>
      </c>
      <c r="D127" s="3" t="s">
        <v>1964</v>
      </c>
      <c r="E127" t="s">
        <v>660</v>
      </c>
      <c r="F127" t="s">
        <v>660</v>
      </c>
      <c r="G127" t="s">
        <v>661</v>
      </c>
      <c r="H127" t="s">
        <v>1963</v>
      </c>
      <c r="I127" t="s">
        <v>1963</v>
      </c>
      <c r="J127">
        <v>562.5</v>
      </c>
      <c r="K127">
        <v>540</v>
      </c>
      <c r="L127">
        <v>459</v>
      </c>
      <c r="M127" t="s">
        <v>1963</v>
      </c>
      <c r="N127">
        <v>560</v>
      </c>
      <c r="O127">
        <v>510</v>
      </c>
      <c r="P127">
        <v>435</v>
      </c>
      <c r="Q127" t="s">
        <v>664</v>
      </c>
      <c r="R127">
        <v>24</v>
      </c>
      <c r="S127">
        <v>1</v>
      </c>
      <c r="T127" s="4" t="s">
        <v>1965</v>
      </c>
      <c r="U127" s="4" t="s">
        <v>1966</v>
      </c>
      <c r="V127">
        <v>0</v>
      </c>
      <c r="W127" s="6" t="str">
        <f t="shared" si="1"/>
        <v>(2191,null,1,'2026-03-24 00:00:00','003304020100000-330402010','003304020100000-330402010','泪小管填塞术',null,null,562.5,540,459,null,560,510,435,'单眼',24,1,'normal','main',0),</v>
      </c>
    </row>
    <row r="128" spans="1:23">
      <c r="A128">
        <v>2192</v>
      </c>
      <c r="B128" t="s">
        <v>1963</v>
      </c>
      <c r="C128">
        <v>1</v>
      </c>
      <c r="D128" s="3" t="s">
        <v>1964</v>
      </c>
      <c r="E128" t="s">
        <v>665</v>
      </c>
      <c r="F128" t="s">
        <v>665</v>
      </c>
      <c r="G128" t="s">
        <v>666</v>
      </c>
      <c r="H128" t="s">
        <v>1963</v>
      </c>
      <c r="I128" t="s">
        <v>1963</v>
      </c>
      <c r="J128">
        <v>730</v>
      </c>
      <c r="K128">
        <v>700</v>
      </c>
      <c r="L128">
        <v>595</v>
      </c>
      <c r="M128" t="s">
        <v>1963</v>
      </c>
      <c r="N128">
        <v>560</v>
      </c>
      <c r="O128">
        <v>510</v>
      </c>
      <c r="P128">
        <v>435</v>
      </c>
      <c r="Q128" t="s">
        <v>664</v>
      </c>
      <c r="R128">
        <v>24</v>
      </c>
      <c r="S128">
        <v>1</v>
      </c>
      <c r="T128" s="4" t="s">
        <v>1965</v>
      </c>
      <c r="U128" s="4" t="s">
        <v>1966</v>
      </c>
      <c r="V128">
        <v>0</v>
      </c>
      <c r="W128" s="6" t="str">
        <f t="shared" si="1"/>
        <v>(2192,null,1,'2026-03-24 00:00:00','003304020100000-33040201002','003304020100000-33040201002','小儿泪小管填塞术',null,null,730,700,595,null,560,510,435,'单眼',24,1,'normal','main',0),</v>
      </c>
    </row>
    <row r="129" spans="1:23">
      <c r="A129">
        <v>2193</v>
      </c>
      <c r="B129" t="s">
        <v>1963</v>
      </c>
      <c r="C129">
        <v>1</v>
      </c>
      <c r="D129" s="3" t="s">
        <v>1964</v>
      </c>
      <c r="E129" t="s">
        <v>667</v>
      </c>
      <c r="F129" t="s">
        <v>667</v>
      </c>
      <c r="G129" t="s">
        <v>668</v>
      </c>
      <c r="H129" t="s">
        <v>1963</v>
      </c>
      <c r="I129" t="s">
        <v>1963</v>
      </c>
      <c r="J129">
        <v>562.5</v>
      </c>
      <c r="K129">
        <v>540</v>
      </c>
      <c r="L129">
        <v>459</v>
      </c>
      <c r="M129" t="s">
        <v>1963</v>
      </c>
      <c r="N129">
        <v>560</v>
      </c>
      <c r="O129">
        <v>510</v>
      </c>
      <c r="P129">
        <v>435</v>
      </c>
      <c r="Q129" t="s">
        <v>664</v>
      </c>
      <c r="R129">
        <v>24</v>
      </c>
      <c r="S129">
        <v>1</v>
      </c>
      <c r="T129" s="4" t="s">
        <v>1965</v>
      </c>
      <c r="U129" s="4" t="s">
        <v>1966</v>
      </c>
      <c r="V129">
        <v>0</v>
      </c>
      <c r="W129" s="6" t="str">
        <f t="shared" si="1"/>
        <v>(2193,null,1,'2026-03-24 00:00:00','003304020100100-33040201001','003304020100100-33040201001','泪小管填塞术（封闭术）',null,null,562.5,540,459,null,560,510,435,'单眼',24,1,'normal','main',0),</v>
      </c>
    </row>
    <row r="130" spans="1:23">
      <c r="A130">
        <v>2194</v>
      </c>
      <c r="B130" t="s">
        <v>1963</v>
      </c>
      <c r="C130">
        <v>1</v>
      </c>
      <c r="D130" s="3" t="s">
        <v>1964</v>
      </c>
      <c r="E130" t="s">
        <v>675</v>
      </c>
      <c r="F130" t="s">
        <v>675</v>
      </c>
      <c r="G130" t="s">
        <v>676</v>
      </c>
      <c r="H130" t="s">
        <v>1963</v>
      </c>
      <c r="I130" t="s">
        <v>1963</v>
      </c>
      <c r="J130">
        <v>62.5</v>
      </c>
      <c r="K130">
        <v>60</v>
      </c>
      <c r="L130">
        <v>51</v>
      </c>
      <c r="M130" t="s">
        <v>1963</v>
      </c>
      <c r="N130">
        <v>63</v>
      </c>
      <c r="O130">
        <v>59</v>
      </c>
      <c r="P130">
        <v>51</v>
      </c>
      <c r="Q130" t="s">
        <v>36</v>
      </c>
      <c r="R130">
        <v>24</v>
      </c>
      <c r="S130">
        <v>1</v>
      </c>
      <c r="T130" s="4" t="s">
        <v>1965</v>
      </c>
      <c r="U130" s="4" t="s">
        <v>1966</v>
      </c>
      <c r="V130">
        <v>0</v>
      </c>
      <c r="W130" s="6" t="str">
        <f t="shared" si="1"/>
        <v>(2194,null,1,'2026-03-24 00:00:00','003304040040000-330404004','003304040040000-330404004','角膜拆线',null,null,62.5,60,51,null,63,59,51,'次',24,1,'normal','main',0),</v>
      </c>
    </row>
    <row r="131" spans="1:23">
      <c r="A131">
        <v>2195</v>
      </c>
      <c r="B131" t="s">
        <v>1963</v>
      </c>
      <c r="C131">
        <v>1</v>
      </c>
      <c r="D131" s="3" t="s">
        <v>1964</v>
      </c>
      <c r="E131" t="s">
        <v>680</v>
      </c>
      <c r="F131" t="s">
        <v>680</v>
      </c>
      <c r="G131" t="s">
        <v>681</v>
      </c>
      <c r="H131" t="s">
        <v>1963</v>
      </c>
      <c r="I131" t="s">
        <v>1963</v>
      </c>
      <c r="J131">
        <v>81</v>
      </c>
      <c r="K131">
        <v>78</v>
      </c>
      <c r="L131">
        <v>66</v>
      </c>
      <c r="M131" t="s">
        <v>1963</v>
      </c>
      <c r="N131">
        <v>82</v>
      </c>
      <c r="O131">
        <v>77</v>
      </c>
      <c r="P131">
        <v>66</v>
      </c>
      <c r="Q131" t="s">
        <v>36</v>
      </c>
      <c r="R131">
        <v>24</v>
      </c>
      <c r="S131">
        <v>1</v>
      </c>
      <c r="T131" s="4" t="s">
        <v>1965</v>
      </c>
      <c r="U131" s="4" t="s">
        <v>1966</v>
      </c>
      <c r="V131">
        <v>0</v>
      </c>
      <c r="W131" s="6" t="str">
        <f t="shared" ref="W131:W194" si="2">"("&amp;A131&amp;","&amp;B131&amp;","&amp;C131&amp;",'"&amp;D131&amp;"','"&amp;E131&amp;"','"&amp;F131&amp;"','"&amp;G131&amp;"',"&amp;H131&amp;","&amp;I131&amp;","&amp;J131&amp;","&amp;K131&amp;","&amp;L131&amp;","&amp;M131&amp;","&amp;N131&amp;","&amp;O131&amp;","&amp;P131&amp;",'"&amp;Q131&amp;"',"&amp;R131&amp;","&amp;S131&amp;",'"&amp;T131&amp;"','"&amp;U131&amp;"',"&amp;V131&amp;"),"</f>
        <v>(2195,null,1,'2026-03-24 00:00:00','003304040040000-33040400401','003304040040000-33040400401','小儿角膜拆线',null,null,81,78,66,null,82,77,66,'次',24,1,'normal','main',0),</v>
      </c>
    </row>
    <row r="132" spans="1:23">
      <c r="A132">
        <v>2196</v>
      </c>
      <c r="B132" t="s">
        <v>1963</v>
      </c>
      <c r="C132">
        <v>1</v>
      </c>
      <c r="D132" s="3" t="s">
        <v>1964</v>
      </c>
      <c r="E132" t="s">
        <v>690</v>
      </c>
      <c r="F132" t="s">
        <v>690</v>
      </c>
      <c r="G132" t="s">
        <v>691</v>
      </c>
      <c r="H132" t="s">
        <v>1963</v>
      </c>
      <c r="I132" t="s">
        <v>1963</v>
      </c>
      <c r="J132">
        <v>750</v>
      </c>
      <c r="K132">
        <v>720</v>
      </c>
      <c r="L132">
        <v>612</v>
      </c>
      <c r="M132" t="s">
        <v>1963</v>
      </c>
      <c r="N132">
        <v>1800</v>
      </c>
      <c r="O132">
        <v>1650</v>
      </c>
      <c r="P132">
        <v>1400</v>
      </c>
      <c r="Q132" t="s">
        <v>36</v>
      </c>
      <c r="R132">
        <v>24</v>
      </c>
      <c r="S132">
        <v>1</v>
      </c>
      <c r="T132" s="4" t="s">
        <v>1965</v>
      </c>
      <c r="U132" s="4" t="s">
        <v>1966</v>
      </c>
      <c r="V132">
        <v>0</v>
      </c>
      <c r="W132" s="6" t="str">
        <f t="shared" si="2"/>
        <v>(2196,null,1,'2026-03-24 00:00:00','003304060010000-330406001','003304060010000-330406001','白内障截囊吸取术',null,null,750,720,612,null,1800,1650,1400,'次',24,1,'normal','main',0),</v>
      </c>
    </row>
    <row r="133" spans="1:23">
      <c r="A133">
        <v>2197</v>
      </c>
      <c r="B133" t="s">
        <v>1963</v>
      </c>
      <c r="C133">
        <v>1</v>
      </c>
      <c r="D133" s="3" t="s">
        <v>1964</v>
      </c>
      <c r="E133" t="s">
        <v>692</v>
      </c>
      <c r="F133" t="s">
        <v>692</v>
      </c>
      <c r="G133" t="s">
        <v>693</v>
      </c>
      <c r="H133" t="s">
        <v>1963</v>
      </c>
      <c r="I133" t="s">
        <v>1963</v>
      </c>
      <c r="J133">
        <v>750</v>
      </c>
      <c r="K133">
        <v>720</v>
      </c>
      <c r="L133">
        <v>612</v>
      </c>
      <c r="M133" t="s">
        <v>1963</v>
      </c>
      <c r="N133">
        <v>1800</v>
      </c>
      <c r="O133">
        <v>1650</v>
      </c>
      <c r="P133">
        <v>1400</v>
      </c>
      <c r="Q133" t="s">
        <v>36</v>
      </c>
      <c r="R133">
        <v>24</v>
      </c>
      <c r="S133">
        <v>1</v>
      </c>
      <c r="T133" s="4" t="s">
        <v>1965</v>
      </c>
      <c r="U133" s="4" t="s">
        <v>1966</v>
      </c>
      <c r="V133">
        <v>0</v>
      </c>
      <c r="W133" s="6" t="str">
        <f t="shared" si="2"/>
        <v>(2197,null,1,'2026-03-24 00:00:00','003304060020000-330406002','003304060020000-330406002','白内障囊膜切除术',null,null,750,720,612,null,1800,1650,1400,'次',24,1,'normal','main',0),</v>
      </c>
    </row>
    <row r="134" spans="1:23">
      <c r="A134">
        <v>2198</v>
      </c>
      <c r="B134" t="s">
        <v>1963</v>
      </c>
      <c r="C134">
        <v>1</v>
      </c>
      <c r="D134" s="3" t="s">
        <v>1964</v>
      </c>
      <c r="E134" t="s">
        <v>694</v>
      </c>
      <c r="F134" t="s">
        <v>694</v>
      </c>
      <c r="G134" t="s">
        <v>695</v>
      </c>
      <c r="H134" t="s">
        <v>1963</v>
      </c>
      <c r="I134" t="s">
        <v>1963</v>
      </c>
      <c r="J134">
        <v>1100</v>
      </c>
      <c r="K134">
        <v>990</v>
      </c>
      <c r="L134">
        <v>840</v>
      </c>
      <c r="M134" t="s">
        <v>1963</v>
      </c>
      <c r="N134">
        <v>1800</v>
      </c>
      <c r="O134">
        <v>1650</v>
      </c>
      <c r="P134">
        <v>1400</v>
      </c>
      <c r="Q134" t="s">
        <v>36</v>
      </c>
      <c r="R134">
        <v>24</v>
      </c>
      <c r="S134">
        <v>1</v>
      </c>
      <c r="T134" s="4" t="s">
        <v>1965</v>
      </c>
      <c r="U134" s="4" t="s">
        <v>1966</v>
      </c>
      <c r="V134">
        <v>0</v>
      </c>
      <c r="W134" s="6" t="str">
        <f t="shared" si="2"/>
        <v>(2198,null,1,'2026-03-24 00:00:00','003304060030000-330406003','003304060030000-330406003','白内障囊内摘除术',null,null,1100,990,840,null,1800,1650,1400,'次',24,1,'normal','main',0),</v>
      </c>
    </row>
    <row r="135" spans="1:23">
      <c r="A135">
        <v>2199</v>
      </c>
      <c r="B135" t="s">
        <v>1963</v>
      </c>
      <c r="C135">
        <v>1</v>
      </c>
      <c r="D135" s="3" t="s">
        <v>1964</v>
      </c>
      <c r="E135" t="s">
        <v>696</v>
      </c>
      <c r="F135" t="s">
        <v>696</v>
      </c>
      <c r="G135" t="s">
        <v>697</v>
      </c>
      <c r="H135" t="s">
        <v>1963</v>
      </c>
      <c r="I135" t="s">
        <v>1963</v>
      </c>
      <c r="J135">
        <v>1010</v>
      </c>
      <c r="K135">
        <v>910</v>
      </c>
      <c r="L135">
        <v>775</v>
      </c>
      <c r="M135" t="s">
        <v>1963</v>
      </c>
      <c r="N135">
        <v>1800</v>
      </c>
      <c r="O135">
        <v>1650</v>
      </c>
      <c r="P135">
        <v>1400</v>
      </c>
      <c r="Q135" t="s">
        <v>36</v>
      </c>
      <c r="R135">
        <v>24</v>
      </c>
      <c r="S135">
        <v>1</v>
      </c>
      <c r="T135" s="4" t="s">
        <v>1965</v>
      </c>
      <c r="U135" s="4" t="s">
        <v>1966</v>
      </c>
      <c r="V135">
        <v>0</v>
      </c>
      <c r="W135" s="6" t="str">
        <f t="shared" si="2"/>
        <v>(2199,null,1,'2026-03-24 00:00:00','003304060040000-330406004','003304060040000-330406004','白内障囊外摘除术',null,null,1010,910,775,null,1800,1650,1400,'次',24,1,'normal','main',0),</v>
      </c>
    </row>
    <row r="136" spans="1:23">
      <c r="A136">
        <v>2200</v>
      </c>
      <c r="B136" t="s">
        <v>1963</v>
      </c>
      <c r="C136">
        <v>1</v>
      </c>
      <c r="D136" s="3" t="s">
        <v>1964</v>
      </c>
      <c r="E136" t="s">
        <v>698</v>
      </c>
      <c r="F136" t="s">
        <v>698</v>
      </c>
      <c r="G136" t="s">
        <v>699</v>
      </c>
      <c r="H136" t="s">
        <v>1963</v>
      </c>
      <c r="I136" t="s">
        <v>1963</v>
      </c>
      <c r="J136">
        <v>1690</v>
      </c>
      <c r="K136">
        <v>1520</v>
      </c>
      <c r="L136">
        <v>1290</v>
      </c>
      <c r="M136" t="s">
        <v>1963</v>
      </c>
      <c r="N136">
        <v>1800</v>
      </c>
      <c r="O136">
        <v>1650</v>
      </c>
      <c r="P136">
        <v>1400</v>
      </c>
      <c r="Q136" t="s">
        <v>36</v>
      </c>
      <c r="R136">
        <v>24</v>
      </c>
      <c r="S136">
        <v>1</v>
      </c>
      <c r="T136" s="4" t="s">
        <v>1965</v>
      </c>
      <c r="U136" s="4" t="s">
        <v>1966</v>
      </c>
      <c r="V136">
        <v>0</v>
      </c>
      <c r="W136" s="6" t="str">
        <f t="shared" si="2"/>
        <v>(2200,null,1,'2026-03-24 00:00:00','003304060050000-330406005','003304060050000-330406005','白内障超声乳化摘除术',null,null,1690,1520,1290,null,1800,1650,1400,'次',24,1,'normal','main',0),</v>
      </c>
    </row>
    <row r="137" spans="1:23">
      <c r="A137">
        <v>2201</v>
      </c>
      <c r="B137" t="s">
        <v>1963</v>
      </c>
      <c r="C137">
        <v>1</v>
      </c>
      <c r="D137" s="3" t="s">
        <v>1964</v>
      </c>
      <c r="E137" t="s">
        <v>702</v>
      </c>
      <c r="F137" t="s">
        <v>702</v>
      </c>
      <c r="G137" t="s">
        <v>703</v>
      </c>
      <c r="H137" t="s">
        <v>1963</v>
      </c>
      <c r="I137" t="s">
        <v>1963</v>
      </c>
      <c r="J137">
        <v>1690</v>
      </c>
      <c r="K137">
        <v>1520</v>
      </c>
      <c r="L137">
        <v>1290</v>
      </c>
      <c r="M137" t="s">
        <v>1963</v>
      </c>
      <c r="N137">
        <v>1800</v>
      </c>
      <c r="O137">
        <v>1650</v>
      </c>
      <c r="P137">
        <v>1400</v>
      </c>
      <c r="Q137" t="s">
        <v>36</v>
      </c>
      <c r="R137">
        <v>24</v>
      </c>
      <c r="S137">
        <v>1</v>
      </c>
      <c r="T137" s="4" t="s">
        <v>1965</v>
      </c>
      <c r="U137" s="4" t="s">
        <v>1966</v>
      </c>
      <c r="V137">
        <v>0</v>
      </c>
      <c r="W137" s="6" t="str">
        <f t="shared" si="2"/>
        <v>(2201,null,1,'2026-03-24 00:00:00','003304060050000-33040600502','003304060050000-33040600502','飞秒激光白内障手术',null,null,1690,1520,1290,null,1800,1650,1400,'次',24,1,'normal','main',0),</v>
      </c>
    </row>
    <row r="138" spans="1:23">
      <c r="A138">
        <v>2202</v>
      </c>
      <c r="B138" t="s">
        <v>1963</v>
      </c>
      <c r="C138">
        <v>1</v>
      </c>
      <c r="D138" s="3" t="s">
        <v>1964</v>
      </c>
      <c r="E138" t="s">
        <v>704</v>
      </c>
      <c r="F138" t="s">
        <v>704</v>
      </c>
      <c r="G138" t="s">
        <v>705</v>
      </c>
      <c r="H138" t="s">
        <v>1963</v>
      </c>
      <c r="I138" t="s">
        <v>1963</v>
      </c>
      <c r="J138">
        <v>0</v>
      </c>
      <c r="K138">
        <v>0</v>
      </c>
      <c r="L138">
        <v>0</v>
      </c>
      <c r="M138" t="s">
        <v>1963</v>
      </c>
      <c r="N138">
        <v>1800</v>
      </c>
      <c r="O138">
        <v>1650</v>
      </c>
      <c r="P138">
        <v>1400</v>
      </c>
      <c r="Q138" t="s">
        <v>36</v>
      </c>
      <c r="R138">
        <v>24</v>
      </c>
      <c r="S138">
        <v>1</v>
      </c>
      <c r="T138" s="4" t="s">
        <v>1965</v>
      </c>
      <c r="U138" s="4" t="s">
        <v>1966</v>
      </c>
      <c r="V138">
        <v>0</v>
      </c>
      <c r="W138" s="6" t="str">
        <f t="shared" si="2"/>
        <v>(2202,null,1,'2026-03-24 00:00:00','003103000820000-310300082','003103000820000-310300082','铒激光眼科手术',null,null,0,0,0,null,1800,1650,1400,'次',24,1,'normal','main',0),</v>
      </c>
    </row>
    <row r="139" spans="1:23">
      <c r="A139">
        <v>2203</v>
      </c>
      <c r="B139" t="s">
        <v>1963</v>
      </c>
      <c r="C139">
        <v>1</v>
      </c>
      <c r="D139" s="3" t="s">
        <v>1964</v>
      </c>
      <c r="E139" t="s">
        <v>709</v>
      </c>
      <c r="F139" t="s">
        <v>709</v>
      </c>
      <c r="G139" t="s">
        <v>710</v>
      </c>
      <c r="H139" t="s">
        <v>1963</v>
      </c>
      <c r="I139" t="s">
        <v>1963</v>
      </c>
      <c r="J139">
        <v>975</v>
      </c>
      <c r="K139">
        <v>935</v>
      </c>
      <c r="L139">
        <v>795</v>
      </c>
      <c r="M139" t="s">
        <v>1963</v>
      </c>
      <c r="N139">
        <v>2340</v>
      </c>
      <c r="O139">
        <v>2145</v>
      </c>
      <c r="P139">
        <v>1820</v>
      </c>
      <c r="Q139" t="s">
        <v>36</v>
      </c>
      <c r="R139">
        <v>24</v>
      </c>
      <c r="S139">
        <v>1</v>
      </c>
      <c r="T139" s="4" t="s">
        <v>1965</v>
      </c>
      <c r="U139" s="4" t="s">
        <v>1966</v>
      </c>
      <c r="V139">
        <v>0</v>
      </c>
      <c r="W139" s="6" t="str">
        <f t="shared" si="2"/>
        <v>(2203,null,1,'2026-03-24 00:00:00','003304060010000-33040600101','003304060010000-33040600101','小儿白内障截囊吸取术',null,null,975,935,795,null,2340,2145,1820,'次',24,1,'normal','main',0),</v>
      </c>
    </row>
    <row r="140" spans="1:23">
      <c r="A140">
        <v>2204</v>
      </c>
      <c r="B140" t="s">
        <v>1963</v>
      </c>
      <c r="C140">
        <v>1</v>
      </c>
      <c r="D140" s="3" t="s">
        <v>1964</v>
      </c>
      <c r="E140" t="s">
        <v>711</v>
      </c>
      <c r="F140" t="s">
        <v>711</v>
      </c>
      <c r="G140" t="s">
        <v>712</v>
      </c>
      <c r="H140" t="s">
        <v>1963</v>
      </c>
      <c r="I140" t="s">
        <v>1963</v>
      </c>
      <c r="J140">
        <v>975</v>
      </c>
      <c r="K140">
        <v>935</v>
      </c>
      <c r="L140">
        <v>795</v>
      </c>
      <c r="M140" t="s">
        <v>1963</v>
      </c>
      <c r="N140">
        <v>2340</v>
      </c>
      <c r="O140">
        <v>2145</v>
      </c>
      <c r="P140">
        <v>1820</v>
      </c>
      <c r="Q140" t="s">
        <v>36</v>
      </c>
      <c r="R140">
        <v>24</v>
      </c>
      <c r="S140">
        <v>1</v>
      </c>
      <c r="T140" s="4" t="s">
        <v>1965</v>
      </c>
      <c r="U140" s="4" t="s">
        <v>1966</v>
      </c>
      <c r="V140">
        <v>0</v>
      </c>
      <c r="W140" s="6" t="str">
        <f t="shared" si="2"/>
        <v>(2204,null,1,'2026-03-24 00:00:00','003304060020000-33040600201','003304060020000-33040600201','小儿白内障囊膜切除术',null,null,975,935,795,null,2340,2145,1820,'次',24,1,'normal','main',0),</v>
      </c>
    </row>
    <row r="141" spans="1:23">
      <c r="A141">
        <v>2205</v>
      </c>
      <c r="B141" t="s">
        <v>1963</v>
      </c>
      <c r="C141">
        <v>1</v>
      </c>
      <c r="D141" s="3" t="s">
        <v>1964</v>
      </c>
      <c r="E141" t="s">
        <v>713</v>
      </c>
      <c r="F141" t="s">
        <v>713</v>
      </c>
      <c r="G141" t="s">
        <v>714</v>
      </c>
      <c r="H141" t="s">
        <v>1963</v>
      </c>
      <c r="I141" t="s">
        <v>1963</v>
      </c>
      <c r="J141">
        <v>1430</v>
      </c>
      <c r="K141">
        <v>1285</v>
      </c>
      <c r="L141">
        <v>1090</v>
      </c>
      <c r="M141" t="s">
        <v>1963</v>
      </c>
      <c r="N141">
        <v>2340</v>
      </c>
      <c r="O141">
        <v>2145</v>
      </c>
      <c r="P141">
        <v>1820</v>
      </c>
      <c r="Q141" t="s">
        <v>36</v>
      </c>
      <c r="R141">
        <v>24</v>
      </c>
      <c r="S141">
        <v>1</v>
      </c>
      <c r="T141" s="4" t="s">
        <v>1965</v>
      </c>
      <c r="U141" s="4" t="s">
        <v>1966</v>
      </c>
      <c r="V141">
        <v>0</v>
      </c>
      <c r="W141" s="6" t="str">
        <f t="shared" si="2"/>
        <v>(2205,null,1,'2026-03-24 00:00:00','003304060030000-33040600301','003304060030000-33040600301','小儿白内障囊内摘除术',null,null,1430,1285,1090,null,2340,2145,1820,'次',24,1,'normal','main',0),</v>
      </c>
    </row>
    <row r="142" spans="1:23">
      <c r="A142">
        <v>2206</v>
      </c>
      <c r="B142" t="s">
        <v>1963</v>
      </c>
      <c r="C142">
        <v>1</v>
      </c>
      <c r="D142" s="3" t="s">
        <v>1964</v>
      </c>
      <c r="E142" t="s">
        <v>715</v>
      </c>
      <c r="F142" t="s">
        <v>715</v>
      </c>
      <c r="G142" t="s">
        <v>716</v>
      </c>
      <c r="H142" t="s">
        <v>1963</v>
      </c>
      <c r="I142" t="s">
        <v>1963</v>
      </c>
      <c r="J142">
        <v>1315</v>
      </c>
      <c r="K142">
        <v>1185</v>
      </c>
      <c r="L142">
        <v>1005</v>
      </c>
      <c r="M142" t="s">
        <v>1963</v>
      </c>
      <c r="N142">
        <v>2340</v>
      </c>
      <c r="O142">
        <v>2145</v>
      </c>
      <c r="P142">
        <v>1820</v>
      </c>
      <c r="Q142" t="s">
        <v>36</v>
      </c>
      <c r="R142">
        <v>24</v>
      </c>
      <c r="S142">
        <v>1</v>
      </c>
      <c r="T142" s="4" t="s">
        <v>1965</v>
      </c>
      <c r="U142" s="4" t="s">
        <v>1966</v>
      </c>
      <c r="V142">
        <v>0</v>
      </c>
      <c r="W142" s="6" t="str">
        <f t="shared" si="2"/>
        <v>(2206,null,1,'2026-03-24 00:00:00','003304060040000-33040600401','003304060040000-33040600401','小儿白内障囊外摘除术',null,null,1315,1185,1005,null,2340,2145,1820,'次',24,1,'normal','main',0),</v>
      </c>
    </row>
    <row r="143" spans="1:23">
      <c r="A143">
        <v>2207</v>
      </c>
      <c r="B143" t="s">
        <v>1963</v>
      </c>
      <c r="C143">
        <v>1</v>
      </c>
      <c r="D143" s="3" t="s">
        <v>1964</v>
      </c>
      <c r="E143" t="s">
        <v>717</v>
      </c>
      <c r="F143" t="s">
        <v>717</v>
      </c>
      <c r="G143" t="s">
        <v>718</v>
      </c>
      <c r="H143" t="s">
        <v>1963</v>
      </c>
      <c r="I143" t="s">
        <v>1963</v>
      </c>
      <c r="J143">
        <v>2195</v>
      </c>
      <c r="K143">
        <v>1975</v>
      </c>
      <c r="L143">
        <v>1680</v>
      </c>
      <c r="M143" t="s">
        <v>1963</v>
      </c>
      <c r="N143">
        <v>2340</v>
      </c>
      <c r="O143">
        <v>2145</v>
      </c>
      <c r="P143">
        <v>1820</v>
      </c>
      <c r="Q143" t="s">
        <v>36</v>
      </c>
      <c r="R143">
        <v>24</v>
      </c>
      <c r="S143">
        <v>1</v>
      </c>
      <c r="T143" s="4" t="s">
        <v>1965</v>
      </c>
      <c r="U143" s="4" t="s">
        <v>1966</v>
      </c>
      <c r="V143">
        <v>0</v>
      </c>
      <c r="W143" s="6" t="str">
        <f t="shared" si="2"/>
        <v>(2207,null,1,'2026-03-24 00:00:00','003304060050000-33040600501','003304060050000-33040600501','小儿白内障超声乳化摘除术',null,null,2195,1975,1680,null,2340,2145,1820,'次',24,1,'normal','main',0),</v>
      </c>
    </row>
    <row r="144" spans="1:23">
      <c r="A144">
        <v>2208</v>
      </c>
      <c r="B144" t="s">
        <v>1963</v>
      </c>
      <c r="C144">
        <v>1</v>
      </c>
      <c r="D144" s="3" t="s">
        <v>1964</v>
      </c>
      <c r="E144" t="s">
        <v>719</v>
      </c>
      <c r="F144" t="s">
        <v>719</v>
      </c>
      <c r="G144" t="s">
        <v>720</v>
      </c>
      <c r="H144" t="s">
        <v>1963</v>
      </c>
      <c r="I144" t="s">
        <v>1963</v>
      </c>
      <c r="J144">
        <v>2195</v>
      </c>
      <c r="K144">
        <v>1975</v>
      </c>
      <c r="L144">
        <v>1680</v>
      </c>
      <c r="M144" t="s">
        <v>1963</v>
      </c>
      <c r="N144">
        <v>2340</v>
      </c>
      <c r="O144">
        <v>2145</v>
      </c>
      <c r="P144">
        <v>1820</v>
      </c>
      <c r="Q144" t="s">
        <v>36</v>
      </c>
      <c r="R144">
        <v>24</v>
      </c>
      <c r="S144">
        <v>1</v>
      </c>
      <c r="T144" s="4" t="s">
        <v>1965</v>
      </c>
      <c r="U144" s="4" t="s">
        <v>1966</v>
      </c>
      <c r="V144">
        <v>0</v>
      </c>
      <c r="W144" s="6" t="str">
        <f t="shared" si="2"/>
        <v>(2208,null,1,'2026-03-24 00:00:00','003304060050000-33040600503','003304060050000-33040600503','小儿飞秒激光白内障手术',null,null,2195,1975,1680,null,2340,2145,1820,'次',24,1,'normal','main',0),</v>
      </c>
    </row>
    <row r="145" spans="1:23">
      <c r="A145">
        <v>2209</v>
      </c>
      <c r="B145" t="s">
        <v>1963</v>
      </c>
      <c r="C145">
        <v>1</v>
      </c>
      <c r="D145" s="3" t="s">
        <v>1964</v>
      </c>
      <c r="E145" t="s">
        <v>722</v>
      </c>
      <c r="F145" t="s">
        <v>722</v>
      </c>
      <c r="G145" t="s">
        <v>723</v>
      </c>
      <c r="H145" t="s">
        <v>1963</v>
      </c>
      <c r="I145" t="s">
        <v>1963</v>
      </c>
      <c r="J145">
        <v>315</v>
      </c>
      <c r="K145">
        <v>300</v>
      </c>
      <c r="L145">
        <v>255</v>
      </c>
      <c r="M145" t="s">
        <v>1963</v>
      </c>
      <c r="N145">
        <v>315</v>
      </c>
      <c r="O145">
        <v>295</v>
      </c>
      <c r="P145">
        <v>255</v>
      </c>
      <c r="Q145" t="s">
        <v>36</v>
      </c>
      <c r="R145">
        <v>24</v>
      </c>
      <c r="S145">
        <v>1</v>
      </c>
      <c r="T145" s="4" t="s">
        <v>1965</v>
      </c>
      <c r="U145" s="4" t="s">
        <v>1966</v>
      </c>
      <c r="V145">
        <v>0</v>
      </c>
      <c r="W145" s="6" t="str">
        <f t="shared" si="2"/>
        <v>(2209,null,1,'2026-03-24 00:00:00','003103000900000-310300090','003103000900000-310300090','晶体囊截开术',null,null,315,300,255,null,315,295,255,'次',24,1,'normal','main',0),</v>
      </c>
    </row>
    <row r="146" spans="1:23">
      <c r="A146">
        <v>2210</v>
      </c>
      <c r="B146" t="s">
        <v>1963</v>
      </c>
      <c r="C146">
        <v>1</v>
      </c>
      <c r="D146" s="3" t="s">
        <v>1964</v>
      </c>
      <c r="E146" t="s">
        <v>727</v>
      </c>
      <c r="F146" t="s">
        <v>727</v>
      </c>
      <c r="G146" t="s">
        <v>728</v>
      </c>
      <c r="H146" t="s">
        <v>1963</v>
      </c>
      <c r="I146" t="s">
        <v>1963</v>
      </c>
      <c r="J146">
        <v>1180</v>
      </c>
      <c r="K146">
        <v>1060</v>
      </c>
      <c r="L146">
        <v>900</v>
      </c>
      <c r="M146" t="s">
        <v>1963</v>
      </c>
      <c r="N146">
        <v>1180</v>
      </c>
      <c r="O146">
        <v>1060</v>
      </c>
      <c r="P146">
        <v>900</v>
      </c>
      <c r="Q146" t="s">
        <v>36</v>
      </c>
      <c r="R146">
        <v>24</v>
      </c>
      <c r="S146">
        <v>1</v>
      </c>
      <c r="T146" s="4" t="s">
        <v>1965</v>
      </c>
      <c r="U146" s="4" t="s">
        <v>1966</v>
      </c>
      <c r="V146">
        <v>0</v>
      </c>
      <c r="W146" s="6" t="str">
        <f t="shared" si="2"/>
        <v>(2210,null,1,'2026-03-24 00:00:00','003304060120000-330406012','003304060120000-330406012','人工晶体取出术',null,null,1180,1060,900,null,1180,1060,900,'次',24,1,'normal','main',0),</v>
      </c>
    </row>
    <row r="147" spans="1:23">
      <c r="A147">
        <v>2211</v>
      </c>
      <c r="B147" t="s">
        <v>1963</v>
      </c>
      <c r="C147">
        <v>1</v>
      </c>
      <c r="D147" s="3" t="s">
        <v>1964</v>
      </c>
      <c r="E147" t="s">
        <v>731</v>
      </c>
      <c r="F147" t="s">
        <v>731</v>
      </c>
      <c r="G147" t="s">
        <v>732</v>
      </c>
      <c r="H147" t="s">
        <v>1963</v>
      </c>
      <c r="I147" t="s">
        <v>1963</v>
      </c>
      <c r="J147">
        <v>1535</v>
      </c>
      <c r="K147">
        <v>1380</v>
      </c>
      <c r="L147">
        <v>1175</v>
      </c>
      <c r="M147" t="s">
        <v>1963</v>
      </c>
      <c r="N147">
        <v>1535</v>
      </c>
      <c r="O147">
        <v>1380</v>
      </c>
      <c r="P147">
        <v>1170</v>
      </c>
      <c r="Q147" t="s">
        <v>36</v>
      </c>
      <c r="R147">
        <v>24</v>
      </c>
      <c r="S147">
        <v>1</v>
      </c>
      <c r="T147" s="4" t="s">
        <v>1965</v>
      </c>
      <c r="U147" s="4" t="s">
        <v>1966</v>
      </c>
      <c r="V147">
        <v>0</v>
      </c>
      <c r="W147" s="6" t="str">
        <f t="shared" si="2"/>
        <v>(2211,null,1,'2026-03-24 00:00:00','003304060120000-33040601201','003304060120000-33040601201','小儿人工晶体取出术',null,null,1535,1380,1175,null,1535,1380,1170,'次',24,1,'normal','main',0),</v>
      </c>
    </row>
    <row r="148" spans="1:23">
      <c r="A148">
        <v>2212</v>
      </c>
      <c r="B148" t="s">
        <v>1963</v>
      </c>
      <c r="C148">
        <v>1</v>
      </c>
      <c r="D148" s="3" t="s">
        <v>1964</v>
      </c>
      <c r="E148" t="s">
        <v>739</v>
      </c>
      <c r="F148" t="s">
        <v>739</v>
      </c>
      <c r="G148" t="s">
        <v>740</v>
      </c>
      <c r="H148" t="s">
        <v>1963</v>
      </c>
      <c r="I148" t="s">
        <v>1963</v>
      </c>
      <c r="J148">
        <v>1180</v>
      </c>
      <c r="K148">
        <v>1060</v>
      </c>
      <c r="L148">
        <v>900</v>
      </c>
      <c r="M148" t="s">
        <v>1963</v>
      </c>
      <c r="N148">
        <v>1420</v>
      </c>
      <c r="O148">
        <v>1280</v>
      </c>
      <c r="P148">
        <v>1090</v>
      </c>
      <c r="Q148" t="s">
        <v>36</v>
      </c>
      <c r="R148">
        <v>24</v>
      </c>
      <c r="S148">
        <v>1</v>
      </c>
      <c r="T148" s="4" t="s">
        <v>1965</v>
      </c>
      <c r="U148" s="4" t="s">
        <v>1966</v>
      </c>
      <c r="V148">
        <v>0</v>
      </c>
      <c r="W148" s="6" t="str">
        <f t="shared" si="2"/>
        <v>(2212,null,1,'2026-03-24 00:00:00','003304060090000-330406009','003304060090000-330406009','二期人工晶体植入术',null,null,1180,1060,900,null,1420,1280,1090,'次',24,1,'normal','main',0),</v>
      </c>
    </row>
    <row r="149" spans="1:23">
      <c r="A149">
        <v>2213</v>
      </c>
      <c r="B149" t="s">
        <v>1963</v>
      </c>
      <c r="C149">
        <v>1</v>
      </c>
      <c r="D149" s="3" t="s">
        <v>1964</v>
      </c>
      <c r="E149" t="s">
        <v>743</v>
      </c>
      <c r="F149" t="s">
        <v>743</v>
      </c>
      <c r="G149" t="s">
        <v>744</v>
      </c>
      <c r="H149" t="s">
        <v>1963</v>
      </c>
      <c r="I149" t="s">
        <v>1963</v>
      </c>
      <c r="J149">
        <v>1535</v>
      </c>
      <c r="K149">
        <v>1380</v>
      </c>
      <c r="L149">
        <v>1175</v>
      </c>
      <c r="M149" t="s">
        <v>1963</v>
      </c>
      <c r="N149">
        <v>1845</v>
      </c>
      <c r="O149">
        <v>1665</v>
      </c>
      <c r="P149">
        <v>1415</v>
      </c>
      <c r="Q149" t="s">
        <v>36</v>
      </c>
      <c r="R149">
        <v>24</v>
      </c>
      <c r="S149">
        <v>1</v>
      </c>
      <c r="T149" s="4" t="s">
        <v>1965</v>
      </c>
      <c r="U149" s="4" t="s">
        <v>1966</v>
      </c>
      <c r="V149">
        <v>0</v>
      </c>
      <c r="W149" s="6" t="str">
        <f t="shared" si="2"/>
        <v>(2213,null,1,'2026-03-24 00:00:00','003304060090000-33040600901','003304060090000-33040600901','小儿二期人工晶体植入术',null,null,1535,1380,1175,null,1845,1665,1415,'次',24,1,'normal','main',0),</v>
      </c>
    </row>
    <row r="150" spans="1:23">
      <c r="A150">
        <v>2214</v>
      </c>
      <c r="B150" t="s">
        <v>1963</v>
      </c>
      <c r="C150">
        <v>1</v>
      </c>
      <c r="D150" s="3" t="s">
        <v>1964</v>
      </c>
      <c r="E150" t="s">
        <v>751</v>
      </c>
      <c r="F150" t="s">
        <v>751</v>
      </c>
      <c r="G150" t="s">
        <v>752</v>
      </c>
      <c r="H150" t="s">
        <v>1963</v>
      </c>
      <c r="I150" t="s">
        <v>1963</v>
      </c>
      <c r="J150">
        <v>2360</v>
      </c>
      <c r="K150">
        <v>2120</v>
      </c>
      <c r="L150">
        <v>1800</v>
      </c>
      <c r="M150" t="s">
        <v>1963</v>
      </c>
      <c r="N150">
        <v>2130</v>
      </c>
      <c r="O150">
        <v>1920</v>
      </c>
      <c r="P150">
        <v>1635</v>
      </c>
      <c r="Q150" t="s">
        <v>110</v>
      </c>
      <c r="R150">
        <v>24</v>
      </c>
      <c r="S150">
        <v>1</v>
      </c>
      <c r="T150" s="4" t="s">
        <v>1965</v>
      </c>
      <c r="U150" s="4" t="s">
        <v>1966</v>
      </c>
      <c r="V150">
        <v>0</v>
      </c>
      <c r="W150" s="6" t="str">
        <f t="shared" si="2"/>
        <v>(2214,null,1,'2026-03-24 00:00:00','003304060210000-330406021','003304060210000-330406021','人工晶体悬吊术',null,null,2360,2120,1800,null,2130,1920,1635,'单侧',24,1,'normal','main',0),</v>
      </c>
    </row>
    <row r="151" spans="1:23">
      <c r="A151">
        <v>2215</v>
      </c>
      <c r="B151" t="s">
        <v>1963</v>
      </c>
      <c r="C151">
        <v>1</v>
      </c>
      <c r="D151" s="3" t="s">
        <v>1964</v>
      </c>
      <c r="E151" t="s">
        <v>753</v>
      </c>
      <c r="F151" t="s">
        <v>753</v>
      </c>
      <c r="G151" t="s">
        <v>754</v>
      </c>
      <c r="H151" t="s">
        <v>1963</v>
      </c>
      <c r="I151" t="s">
        <v>1963</v>
      </c>
      <c r="J151">
        <v>1180</v>
      </c>
      <c r="K151">
        <v>1060</v>
      </c>
      <c r="L151">
        <v>900</v>
      </c>
      <c r="M151" t="s">
        <v>1963</v>
      </c>
      <c r="N151">
        <v>2130</v>
      </c>
      <c r="O151">
        <v>1920</v>
      </c>
      <c r="P151">
        <v>1635</v>
      </c>
      <c r="Q151" t="s">
        <v>36</v>
      </c>
      <c r="R151">
        <v>24</v>
      </c>
      <c r="S151">
        <v>1</v>
      </c>
      <c r="T151" s="4" t="s">
        <v>1965</v>
      </c>
      <c r="U151" s="4" t="s">
        <v>1966</v>
      </c>
      <c r="V151">
        <v>0</v>
      </c>
      <c r="W151" s="6" t="str">
        <f t="shared" si="2"/>
        <v>(2215,null,1,'2026-03-24 00:00:00','003304060110000-330406011','003304060110000-330406011','人工晶体睫状沟固定术',null,null,1180,1060,900,null,2130,1920,1635,'次',24,1,'normal','main',0),</v>
      </c>
    </row>
    <row r="152" spans="1:23">
      <c r="A152">
        <v>2216</v>
      </c>
      <c r="B152" t="s">
        <v>1963</v>
      </c>
      <c r="C152">
        <v>1</v>
      </c>
      <c r="D152" s="3" t="s">
        <v>1964</v>
      </c>
      <c r="E152" t="s">
        <v>757</v>
      </c>
      <c r="F152" t="s">
        <v>757</v>
      </c>
      <c r="G152" t="s">
        <v>758</v>
      </c>
      <c r="H152" t="s">
        <v>1963</v>
      </c>
      <c r="I152" t="s">
        <v>1963</v>
      </c>
      <c r="J152">
        <v>975</v>
      </c>
      <c r="K152">
        <v>935</v>
      </c>
      <c r="L152">
        <v>795</v>
      </c>
      <c r="M152" t="s">
        <v>1963</v>
      </c>
      <c r="N152">
        <v>2770</v>
      </c>
      <c r="O152">
        <v>2495</v>
      </c>
      <c r="P152">
        <v>2125</v>
      </c>
      <c r="Q152" t="s">
        <v>110</v>
      </c>
      <c r="R152">
        <v>24</v>
      </c>
      <c r="S152">
        <v>1</v>
      </c>
      <c r="T152" s="4" t="s">
        <v>1965</v>
      </c>
      <c r="U152" s="4" t="s">
        <v>1966</v>
      </c>
      <c r="V152">
        <v>0</v>
      </c>
      <c r="W152" s="6" t="str">
        <f t="shared" si="2"/>
        <v>(2216,null,1,'2026-03-24 00:00:00','003304060200000-33040602001','003304060200000-33040602001','小儿晶体张力环置入术',null,null,975,935,795,null,2770,2495,2125,'单侧',24,1,'normal','main',0),</v>
      </c>
    </row>
    <row r="153" spans="1:23">
      <c r="A153">
        <v>2217</v>
      </c>
      <c r="B153" t="s">
        <v>1963</v>
      </c>
      <c r="C153">
        <v>1</v>
      </c>
      <c r="D153" s="3" t="s">
        <v>1964</v>
      </c>
      <c r="E153" t="s">
        <v>759</v>
      </c>
      <c r="F153" t="s">
        <v>759</v>
      </c>
      <c r="G153" t="s">
        <v>760</v>
      </c>
      <c r="H153" t="s">
        <v>1963</v>
      </c>
      <c r="I153" t="s">
        <v>1963</v>
      </c>
      <c r="J153">
        <v>3070</v>
      </c>
      <c r="K153">
        <v>2755</v>
      </c>
      <c r="L153">
        <v>2340</v>
      </c>
      <c r="M153" t="s">
        <v>1963</v>
      </c>
      <c r="N153">
        <v>2770</v>
      </c>
      <c r="O153">
        <v>2495</v>
      </c>
      <c r="P153">
        <v>2125</v>
      </c>
      <c r="Q153" t="s">
        <v>110</v>
      </c>
      <c r="R153">
        <v>24</v>
      </c>
      <c r="S153">
        <v>1</v>
      </c>
      <c r="T153" s="4" t="s">
        <v>1965</v>
      </c>
      <c r="U153" s="4" t="s">
        <v>1966</v>
      </c>
      <c r="V153">
        <v>0</v>
      </c>
      <c r="W153" s="6" t="str">
        <f t="shared" si="2"/>
        <v>(2217,null,1,'2026-03-24 00:00:00','003304060210000-33040602101','003304060210000-33040602101','小儿人工晶体悬吊术',null,null,3070,2755,2340,null,2770,2495,2125,'单侧',24,1,'normal','main',0),</v>
      </c>
    </row>
    <row r="154" spans="1:23">
      <c r="A154">
        <v>2218</v>
      </c>
      <c r="B154" t="s">
        <v>1963</v>
      </c>
      <c r="C154">
        <v>1</v>
      </c>
      <c r="D154" s="3" t="s">
        <v>1964</v>
      </c>
      <c r="E154" t="s">
        <v>761</v>
      </c>
      <c r="F154" t="s">
        <v>761</v>
      </c>
      <c r="G154" t="s">
        <v>762</v>
      </c>
      <c r="H154" t="s">
        <v>1963</v>
      </c>
      <c r="I154" t="s">
        <v>1963</v>
      </c>
      <c r="J154">
        <v>1535</v>
      </c>
      <c r="K154">
        <v>1380</v>
      </c>
      <c r="L154">
        <v>1175</v>
      </c>
      <c r="M154" t="s">
        <v>1963</v>
      </c>
      <c r="N154">
        <v>2770</v>
      </c>
      <c r="O154">
        <v>2495</v>
      </c>
      <c r="P154">
        <v>2125</v>
      </c>
      <c r="Q154" t="s">
        <v>36</v>
      </c>
      <c r="R154">
        <v>24</v>
      </c>
      <c r="S154">
        <v>1</v>
      </c>
      <c r="T154" s="4" t="s">
        <v>1965</v>
      </c>
      <c r="U154" s="4" t="s">
        <v>1966</v>
      </c>
      <c r="V154">
        <v>0</v>
      </c>
      <c r="W154" s="6" t="str">
        <f t="shared" si="2"/>
        <v>(2218,null,1,'2026-03-24 00:00:00','003304060110000-33040601101','003304060110000-33040601101','小儿人工晶体睫状沟固定术',null,null,1535,1380,1175,null,2770,2495,2125,'次',24,1,'normal','main',0),</v>
      </c>
    </row>
    <row r="155" spans="1:23">
      <c r="A155">
        <v>2219</v>
      </c>
      <c r="B155" t="s">
        <v>1963</v>
      </c>
      <c r="C155">
        <v>1</v>
      </c>
      <c r="D155" s="3" t="s">
        <v>1964</v>
      </c>
      <c r="E155" t="s">
        <v>768</v>
      </c>
      <c r="F155" t="s">
        <v>768</v>
      </c>
      <c r="G155" t="s">
        <v>769</v>
      </c>
      <c r="H155" t="s">
        <v>1963</v>
      </c>
      <c r="I155" t="s">
        <v>1963</v>
      </c>
      <c r="J155">
        <v>1010</v>
      </c>
      <c r="K155">
        <v>910</v>
      </c>
      <c r="L155">
        <v>775</v>
      </c>
      <c r="M155" t="s">
        <v>1963</v>
      </c>
      <c r="N155">
        <v>1100</v>
      </c>
      <c r="O155">
        <v>1035</v>
      </c>
      <c r="P155">
        <v>880</v>
      </c>
      <c r="Q155" t="s">
        <v>36</v>
      </c>
      <c r="R155">
        <v>24</v>
      </c>
      <c r="S155">
        <v>1</v>
      </c>
      <c r="T155" s="4" t="s">
        <v>1965</v>
      </c>
      <c r="U155" s="4" t="s">
        <v>1966</v>
      </c>
      <c r="V155">
        <v>0</v>
      </c>
      <c r="W155" s="6" t="str">
        <f t="shared" si="2"/>
        <v>(2219,null,1,'2026-03-24 00:00:00','003304060070000-330406007','003304060070000-330406007','人工晶体复位术',null,null,1010,910,775,null,1100,1035,880,'次',24,1,'normal','main',0),</v>
      </c>
    </row>
    <row r="156" spans="1:23">
      <c r="A156">
        <v>2220</v>
      </c>
      <c r="B156" t="s">
        <v>1963</v>
      </c>
      <c r="C156">
        <v>1</v>
      </c>
      <c r="D156" s="3" t="s">
        <v>1964</v>
      </c>
      <c r="E156" t="s">
        <v>770</v>
      </c>
      <c r="F156" t="s">
        <v>770</v>
      </c>
      <c r="G156" t="s">
        <v>771</v>
      </c>
      <c r="H156" t="s">
        <v>1963</v>
      </c>
      <c r="I156" t="s">
        <v>1963</v>
      </c>
      <c r="J156">
        <v>1650</v>
      </c>
      <c r="K156">
        <v>1490</v>
      </c>
      <c r="L156">
        <v>1270</v>
      </c>
      <c r="M156" t="s">
        <v>1963</v>
      </c>
      <c r="N156">
        <v>1100</v>
      </c>
      <c r="O156">
        <v>1035</v>
      </c>
      <c r="P156">
        <v>880</v>
      </c>
      <c r="Q156" t="s">
        <v>36</v>
      </c>
      <c r="R156">
        <v>24</v>
      </c>
      <c r="S156">
        <v>1</v>
      </c>
      <c r="T156" s="4" t="s">
        <v>1965</v>
      </c>
      <c r="U156" s="4" t="s">
        <v>1966</v>
      </c>
      <c r="V156">
        <v>0</v>
      </c>
      <c r="W156" s="6" t="str">
        <f t="shared" si="2"/>
        <v>(2220,null,1,'2026-03-24 00:00:00','003304060190000-330406019','003304060190000-330406019','非正常晶体手术',null,null,1650,1490,1270,null,1100,1035,880,'次',24,1,'normal','main',0),</v>
      </c>
    </row>
    <row r="157" spans="1:23">
      <c r="A157">
        <v>2221</v>
      </c>
      <c r="B157" t="s">
        <v>1963</v>
      </c>
      <c r="C157">
        <v>1</v>
      </c>
      <c r="D157" s="3" t="s">
        <v>1964</v>
      </c>
      <c r="E157" t="s">
        <v>776</v>
      </c>
      <c r="F157" t="s">
        <v>776</v>
      </c>
      <c r="G157" t="s">
        <v>777</v>
      </c>
      <c r="H157" t="s">
        <v>1963</v>
      </c>
      <c r="I157" t="s">
        <v>1963</v>
      </c>
      <c r="J157">
        <v>1315</v>
      </c>
      <c r="K157">
        <v>1185</v>
      </c>
      <c r="L157">
        <v>1005</v>
      </c>
      <c r="M157" t="s">
        <v>1963</v>
      </c>
      <c r="N157">
        <v>1430</v>
      </c>
      <c r="O157">
        <v>1345</v>
      </c>
      <c r="P157">
        <v>1145</v>
      </c>
      <c r="Q157" t="s">
        <v>36</v>
      </c>
      <c r="R157">
        <v>24</v>
      </c>
      <c r="S157">
        <v>1</v>
      </c>
      <c r="T157" s="4" t="s">
        <v>1965</v>
      </c>
      <c r="U157" s="4" t="s">
        <v>1966</v>
      </c>
      <c r="V157">
        <v>0</v>
      </c>
      <c r="W157" s="6" t="str">
        <f t="shared" si="2"/>
        <v>(2221,null,1,'2026-03-24 00:00:00','003304060070000-33040600701','003304060070000-33040600701','小儿人工晶体复位术',null,null,1315,1185,1005,null,1430,1345,1145,'次',24,1,'normal','main',0),</v>
      </c>
    </row>
    <row r="158" spans="1:23">
      <c r="A158">
        <v>2222</v>
      </c>
      <c r="B158" t="s">
        <v>1963</v>
      </c>
      <c r="C158">
        <v>1</v>
      </c>
      <c r="D158" s="3" t="s">
        <v>1964</v>
      </c>
      <c r="E158" t="s">
        <v>778</v>
      </c>
      <c r="F158" t="s">
        <v>778</v>
      </c>
      <c r="G158" t="s">
        <v>779</v>
      </c>
      <c r="H158" t="s">
        <v>1963</v>
      </c>
      <c r="I158" t="s">
        <v>1963</v>
      </c>
      <c r="J158">
        <v>2145</v>
      </c>
      <c r="K158">
        <v>1935</v>
      </c>
      <c r="L158">
        <v>1645</v>
      </c>
      <c r="M158" t="s">
        <v>1963</v>
      </c>
      <c r="N158">
        <v>1430</v>
      </c>
      <c r="O158">
        <v>1345</v>
      </c>
      <c r="P158">
        <v>1145</v>
      </c>
      <c r="Q158" t="s">
        <v>36</v>
      </c>
      <c r="R158">
        <v>24</v>
      </c>
      <c r="S158">
        <v>1</v>
      </c>
      <c r="T158" s="4" t="s">
        <v>1965</v>
      </c>
      <c r="U158" s="4" t="s">
        <v>1966</v>
      </c>
      <c r="V158">
        <v>0</v>
      </c>
      <c r="W158" s="6" t="str">
        <f t="shared" si="2"/>
        <v>(2222,null,1,'2026-03-24 00:00:00','003304060190000-33040601901','003304060190000-33040601901','小儿非正常晶体手术',null,null,2145,1935,1645,null,1430,1345,1145,'次',24,1,'normal','main',0),</v>
      </c>
    </row>
    <row r="159" spans="1:23">
      <c r="A159">
        <v>2223</v>
      </c>
      <c r="B159" t="s">
        <v>1963</v>
      </c>
      <c r="C159">
        <v>1</v>
      </c>
      <c r="D159" s="3" t="s">
        <v>1964</v>
      </c>
      <c r="E159" t="s">
        <v>791</v>
      </c>
      <c r="F159" t="s">
        <v>791</v>
      </c>
      <c r="G159" t="s">
        <v>792</v>
      </c>
      <c r="H159" t="s">
        <v>1963</v>
      </c>
      <c r="I159" t="s">
        <v>1963</v>
      </c>
      <c r="J159">
        <v>2530</v>
      </c>
      <c r="K159">
        <v>2280</v>
      </c>
      <c r="L159">
        <v>1940</v>
      </c>
      <c r="M159" t="s">
        <v>1963</v>
      </c>
      <c r="N159">
        <v>2530</v>
      </c>
      <c r="O159">
        <v>2280</v>
      </c>
      <c r="P159">
        <v>1940</v>
      </c>
      <c r="Q159" t="s">
        <v>36</v>
      </c>
      <c r="R159">
        <v>24</v>
      </c>
      <c r="S159">
        <v>1</v>
      </c>
      <c r="T159" s="4" t="s">
        <v>1965</v>
      </c>
      <c r="U159" s="4" t="s">
        <v>1966</v>
      </c>
      <c r="V159">
        <v>0</v>
      </c>
      <c r="W159" s="6" t="str">
        <f t="shared" si="2"/>
        <v>(2223,null,1,'2026-03-24 00:00:00','003304070020000-330407002','003304070020000-330407002','玻璃体切除术',null,null,2530,2280,1940,null,2530,2280,1940,'次',24,1,'normal','main',0),</v>
      </c>
    </row>
    <row r="160" spans="1:23">
      <c r="A160">
        <v>2224</v>
      </c>
      <c r="B160" t="s">
        <v>1963</v>
      </c>
      <c r="C160">
        <v>1</v>
      </c>
      <c r="D160" s="3" t="s">
        <v>1964</v>
      </c>
      <c r="E160" t="s">
        <v>796</v>
      </c>
      <c r="F160" t="s">
        <v>796</v>
      </c>
      <c r="G160" t="s">
        <v>797</v>
      </c>
      <c r="H160" t="s">
        <v>1963</v>
      </c>
      <c r="I160" t="s">
        <v>1963</v>
      </c>
      <c r="J160">
        <v>3290</v>
      </c>
      <c r="K160">
        <v>2965</v>
      </c>
      <c r="L160">
        <v>2520</v>
      </c>
      <c r="M160" t="s">
        <v>1963</v>
      </c>
      <c r="N160">
        <v>3290</v>
      </c>
      <c r="O160">
        <v>2965</v>
      </c>
      <c r="P160">
        <v>2520</v>
      </c>
      <c r="Q160" t="s">
        <v>36</v>
      </c>
      <c r="R160">
        <v>24</v>
      </c>
      <c r="S160">
        <v>1</v>
      </c>
      <c r="T160" s="4" t="s">
        <v>1965</v>
      </c>
      <c r="U160" s="4" t="s">
        <v>1966</v>
      </c>
      <c r="V160">
        <v>0</v>
      </c>
      <c r="W160" s="6" t="str">
        <f t="shared" si="2"/>
        <v>(2224,null,1,'2026-03-24 00:00:00','003304070020000-33040700201','003304070020000-33040700201','小儿玻璃体切除术',null,null,3290,2965,2520,null,3290,2965,2520,'次',24,1,'normal','main',0),</v>
      </c>
    </row>
    <row r="161" spans="1:23">
      <c r="A161">
        <v>2225</v>
      </c>
      <c r="B161" t="s">
        <v>1963</v>
      </c>
      <c r="C161">
        <v>1</v>
      </c>
      <c r="D161" s="3" t="s">
        <v>1964</v>
      </c>
      <c r="E161" t="s">
        <v>809</v>
      </c>
      <c r="F161" t="s">
        <v>809</v>
      </c>
      <c r="G161" t="s">
        <v>810</v>
      </c>
      <c r="H161" t="s">
        <v>1963</v>
      </c>
      <c r="I161" t="s">
        <v>1963</v>
      </c>
      <c r="J161">
        <v>1010</v>
      </c>
      <c r="K161">
        <v>910</v>
      </c>
      <c r="L161">
        <v>775</v>
      </c>
      <c r="M161" t="s">
        <v>1963</v>
      </c>
      <c r="N161">
        <v>1010</v>
      </c>
      <c r="O161">
        <v>910</v>
      </c>
      <c r="P161">
        <v>775</v>
      </c>
      <c r="Q161" t="s">
        <v>110</v>
      </c>
      <c r="R161">
        <v>24</v>
      </c>
      <c r="S161">
        <v>1</v>
      </c>
      <c r="T161" s="4" t="s">
        <v>1965</v>
      </c>
      <c r="U161" s="4" t="s">
        <v>1966</v>
      </c>
      <c r="V161">
        <v>0</v>
      </c>
      <c r="W161" s="6" t="str">
        <f t="shared" si="2"/>
        <v>(2225,null,1,'2026-03-24 00:00:00','003304070140000-330407014','003304070140000-330407014','硅油取出术',null,null,1010,910,775,null,1010,910,775,'单侧',24,1,'normal','main',0),</v>
      </c>
    </row>
    <row r="162" spans="1:23">
      <c r="A162">
        <v>2226</v>
      </c>
      <c r="B162" t="s">
        <v>1963</v>
      </c>
      <c r="C162">
        <v>1</v>
      </c>
      <c r="D162" s="3" t="s">
        <v>1964</v>
      </c>
      <c r="E162" t="s">
        <v>813</v>
      </c>
      <c r="F162" t="s">
        <v>813</v>
      </c>
      <c r="G162" t="s">
        <v>814</v>
      </c>
      <c r="H162" t="s">
        <v>1963</v>
      </c>
      <c r="I162" t="s">
        <v>1963</v>
      </c>
      <c r="J162">
        <v>1315</v>
      </c>
      <c r="K162">
        <v>1185</v>
      </c>
      <c r="L162">
        <v>1005</v>
      </c>
      <c r="M162" t="s">
        <v>1963</v>
      </c>
      <c r="N162">
        <v>1315</v>
      </c>
      <c r="O162">
        <v>1185</v>
      </c>
      <c r="P162">
        <v>1005</v>
      </c>
      <c r="Q162" t="s">
        <v>110</v>
      </c>
      <c r="R162">
        <v>24</v>
      </c>
      <c r="S162">
        <v>1</v>
      </c>
      <c r="T162" s="4" t="s">
        <v>1965</v>
      </c>
      <c r="U162" s="4" t="s">
        <v>1966</v>
      </c>
      <c r="V162">
        <v>0</v>
      </c>
      <c r="W162" s="6" t="str">
        <f t="shared" si="2"/>
        <v>(2226,null,1,'2026-03-24 00:00:00','003304070140000-33040701401','003304070140000-33040701401','小儿硅油取出术',null,null,1315,1185,1005,null,1315,1185,1005,'单侧',24,1,'normal','main',0),</v>
      </c>
    </row>
    <row r="163" spans="1:23">
      <c r="A163">
        <v>2227</v>
      </c>
      <c r="B163" t="s">
        <v>1963</v>
      </c>
      <c r="C163">
        <v>1</v>
      </c>
      <c r="D163" s="3" t="s">
        <v>1964</v>
      </c>
      <c r="E163" t="s">
        <v>821</v>
      </c>
      <c r="F163" t="s">
        <v>821</v>
      </c>
      <c r="G163" t="s">
        <v>822</v>
      </c>
      <c r="H163" t="s">
        <v>1963</v>
      </c>
      <c r="I163" t="s">
        <v>1963</v>
      </c>
      <c r="J163">
        <v>750</v>
      </c>
      <c r="K163">
        <v>720</v>
      </c>
      <c r="L163">
        <v>612</v>
      </c>
      <c r="M163" t="s">
        <v>1963</v>
      </c>
      <c r="N163">
        <v>850</v>
      </c>
      <c r="O163">
        <v>800</v>
      </c>
      <c r="P163">
        <v>700</v>
      </c>
      <c r="Q163" t="s">
        <v>36</v>
      </c>
      <c r="R163">
        <v>24</v>
      </c>
      <c r="S163">
        <v>1</v>
      </c>
      <c r="T163" s="4" t="s">
        <v>1965</v>
      </c>
      <c r="U163" s="4" t="s">
        <v>1966</v>
      </c>
      <c r="V163">
        <v>0</v>
      </c>
      <c r="W163" s="6" t="str">
        <f t="shared" si="2"/>
        <v>(2227,null,1,'2026-03-24 00:00:00','003304050130000-330405013','003304050130000-330405013','青光眼滤过术',null,null,750,720,612,null,850,800,700,'次',24,1,'normal','main',0),</v>
      </c>
    </row>
    <row r="164" spans="1:23">
      <c r="A164">
        <v>2228</v>
      </c>
      <c r="B164" t="s">
        <v>1963</v>
      </c>
      <c r="C164">
        <v>1</v>
      </c>
      <c r="D164" s="3" t="s">
        <v>1964</v>
      </c>
      <c r="E164" t="s">
        <v>824</v>
      </c>
      <c r="F164" t="s">
        <v>824</v>
      </c>
      <c r="G164" t="s">
        <v>825</v>
      </c>
      <c r="H164" t="s">
        <v>1963</v>
      </c>
      <c r="I164" t="s">
        <v>1963</v>
      </c>
      <c r="J164">
        <v>1180</v>
      </c>
      <c r="K164">
        <v>1060</v>
      </c>
      <c r="L164">
        <v>900</v>
      </c>
      <c r="M164" t="s">
        <v>1963</v>
      </c>
      <c r="N164">
        <v>850</v>
      </c>
      <c r="O164">
        <v>800</v>
      </c>
      <c r="P164">
        <v>700</v>
      </c>
      <c r="Q164" t="s">
        <v>36</v>
      </c>
      <c r="R164">
        <v>24</v>
      </c>
      <c r="S164">
        <v>1</v>
      </c>
      <c r="T164" s="4" t="s">
        <v>1965</v>
      </c>
      <c r="U164" s="4" t="s">
        <v>1966</v>
      </c>
      <c r="V164">
        <v>0</v>
      </c>
      <c r="W164" s="6" t="str">
        <f t="shared" si="2"/>
        <v>(2228,null,1,'2026-03-24 00:00:00','003304050160000-330405016','003304050160000-330405016','小梁切开联合小梁切除术',null,null,1180,1060,900,null,850,800,700,'次',24,1,'normal','main',0),</v>
      </c>
    </row>
    <row r="165" spans="1:23">
      <c r="A165">
        <v>2229</v>
      </c>
      <c r="B165" t="s">
        <v>1963</v>
      </c>
      <c r="C165">
        <v>1</v>
      </c>
      <c r="D165" s="3" t="s">
        <v>1964</v>
      </c>
      <c r="E165" t="s">
        <v>828</v>
      </c>
      <c r="F165" t="s">
        <v>828</v>
      </c>
      <c r="G165" t="s">
        <v>829</v>
      </c>
      <c r="H165" t="s">
        <v>1963</v>
      </c>
      <c r="I165" t="s">
        <v>1963</v>
      </c>
      <c r="J165">
        <v>975</v>
      </c>
      <c r="K165">
        <v>935</v>
      </c>
      <c r="L165">
        <v>795</v>
      </c>
      <c r="M165" t="s">
        <v>1963</v>
      </c>
      <c r="N165">
        <v>1105</v>
      </c>
      <c r="O165">
        <v>1040</v>
      </c>
      <c r="P165">
        <v>910</v>
      </c>
      <c r="Q165" t="s">
        <v>36</v>
      </c>
      <c r="R165">
        <v>24</v>
      </c>
      <c r="S165">
        <v>1</v>
      </c>
      <c r="T165" s="4" t="s">
        <v>1965</v>
      </c>
      <c r="U165" s="4" t="s">
        <v>1966</v>
      </c>
      <c r="V165">
        <v>0</v>
      </c>
      <c r="W165" s="6" t="str">
        <f t="shared" si="2"/>
        <v>(2229,null,1,'2026-03-24 00:00:00','003304050130000-33040501301','003304050130000-33040501301','小儿青光眼滤过术',null,null,975,935,795,null,1105,1040,910,'次',24,1,'normal','main',0),</v>
      </c>
    </row>
    <row r="166" spans="1:23">
      <c r="A166">
        <v>2230</v>
      </c>
      <c r="B166" t="s">
        <v>1963</v>
      </c>
      <c r="C166">
        <v>1</v>
      </c>
      <c r="D166" s="3" t="s">
        <v>1964</v>
      </c>
      <c r="E166" t="s">
        <v>830</v>
      </c>
      <c r="F166" t="s">
        <v>830</v>
      </c>
      <c r="G166" t="s">
        <v>831</v>
      </c>
      <c r="H166" t="s">
        <v>1963</v>
      </c>
      <c r="I166" t="s">
        <v>1963</v>
      </c>
      <c r="J166">
        <v>1535</v>
      </c>
      <c r="K166">
        <v>1380</v>
      </c>
      <c r="L166">
        <v>1175</v>
      </c>
      <c r="M166" t="s">
        <v>1963</v>
      </c>
      <c r="N166">
        <v>1105</v>
      </c>
      <c r="O166">
        <v>1040</v>
      </c>
      <c r="P166">
        <v>910</v>
      </c>
      <c r="Q166" t="s">
        <v>36</v>
      </c>
      <c r="R166">
        <v>24</v>
      </c>
      <c r="S166">
        <v>1</v>
      </c>
      <c r="T166" s="4" t="s">
        <v>1965</v>
      </c>
      <c r="U166" s="4" t="s">
        <v>1966</v>
      </c>
      <c r="V166">
        <v>0</v>
      </c>
      <c r="W166" s="6" t="str">
        <f t="shared" si="2"/>
        <v>(2230,null,1,'2026-03-24 00:00:00','003304050160000-33040501601','003304050160000-33040501601','小儿小梁切开联合小梁切除术',null,null,1535,1380,1175,null,1105,1040,910,'次',24,1,'normal','main',0),</v>
      </c>
    </row>
    <row r="167" spans="1:23">
      <c r="A167">
        <v>2231</v>
      </c>
      <c r="B167" t="s">
        <v>1963</v>
      </c>
      <c r="C167">
        <v>1</v>
      </c>
      <c r="D167" s="3" t="s">
        <v>1964</v>
      </c>
      <c r="E167" t="s">
        <v>843</v>
      </c>
      <c r="F167" t="s">
        <v>843</v>
      </c>
      <c r="G167" t="s">
        <v>844</v>
      </c>
      <c r="H167" t="s">
        <v>1963</v>
      </c>
      <c r="I167" t="s">
        <v>1963</v>
      </c>
      <c r="J167">
        <v>1010</v>
      </c>
      <c r="K167">
        <v>910</v>
      </c>
      <c r="L167">
        <v>775</v>
      </c>
      <c r="M167" t="s">
        <v>1963</v>
      </c>
      <c r="N167">
        <v>1010</v>
      </c>
      <c r="O167">
        <v>910</v>
      </c>
      <c r="P167">
        <v>775</v>
      </c>
      <c r="Q167" t="s">
        <v>36</v>
      </c>
      <c r="R167">
        <v>24</v>
      </c>
      <c r="S167">
        <v>1</v>
      </c>
      <c r="T167" s="4" t="s">
        <v>1965</v>
      </c>
      <c r="U167" s="4" t="s">
        <v>1966</v>
      </c>
      <c r="V167">
        <v>0</v>
      </c>
      <c r="W167" s="6" t="str">
        <f t="shared" si="2"/>
        <v>(2231,null,1,'2026-03-24 00:00:00','003304050150000-330405015','003304050150000-330405015','小梁切开术',null,null,1010,910,775,null,1010,910,775,'次',24,1,'normal','main',0),</v>
      </c>
    </row>
    <row r="168" spans="1:23">
      <c r="A168">
        <v>2232</v>
      </c>
      <c r="B168" t="s">
        <v>1963</v>
      </c>
      <c r="C168">
        <v>1</v>
      </c>
      <c r="D168" s="3" t="s">
        <v>1964</v>
      </c>
      <c r="E168" t="s">
        <v>848</v>
      </c>
      <c r="F168" t="s">
        <v>848</v>
      </c>
      <c r="G168" t="s">
        <v>849</v>
      </c>
      <c r="H168" t="s">
        <v>1963</v>
      </c>
      <c r="I168" t="s">
        <v>1963</v>
      </c>
      <c r="J168">
        <v>1315</v>
      </c>
      <c r="K168">
        <v>1185</v>
      </c>
      <c r="L168">
        <v>1005</v>
      </c>
      <c r="M168" t="s">
        <v>1963</v>
      </c>
      <c r="N168">
        <v>1315</v>
      </c>
      <c r="O168">
        <v>1185</v>
      </c>
      <c r="P168">
        <v>1005</v>
      </c>
      <c r="Q168" t="s">
        <v>36</v>
      </c>
      <c r="R168">
        <v>24</v>
      </c>
      <c r="S168">
        <v>1</v>
      </c>
      <c r="T168" s="4" t="s">
        <v>1965</v>
      </c>
      <c r="U168" s="4" t="s">
        <v>1966</v>
      </c>
      <c r="V168">
        <v>0</v>
      </c>
      <c r="W168" s="6" t="str">
        <f t="shared" si="2"/>
        <v>(2232,null,1,'2026-03-24 00:00:00','003304050150000-33040501501','003304050150000-33040501501','小儿小梁切开术',null,null,1315,1185,1005,null,1315,1185,1005,'次',24,1,'normal','main',0),</v>
      </c>
    </row>
    <row r="169" spans="1:23">
      <c r="A169">
        <v>2233</v>
      </c>
      <c r="B169" t="s">
        <v>1963</v>
      </c>
      <c r="C169">
        <v>1</v>
      </c>
      <c r="D169" s="3" t="s">
        <v>1964</v>
      </c>
      <c r="E169" t="s">
        <v>855</v>
      </c>
      <c r="F169" t="s">
        <v>855</v>
      </c>
      <c r="G169" t="s">
        <v>856</v>
      </c>
      <c r="H169" t="s">
        <v>1963</v>
      </c>
      <c r="I169" t="s">
        <v>1963</v>
      </c>
      <c r="J169">
        <v>1350</v>
      </c>
      <c r="K169">
        <v>1220</v>
      </c>
      <c r="L169">
        <v>1040</v>
      </c>
      <c r="M169" t="s">
        <v>1963</v>
      </c>
      <c r="N169">
        <v>1160</v>
      </c>
      <c r="O169">
        <v>1045</v>
      </c>
      <c r="P169">
        <v>890</v>
      </c>
      <c r="Q169" t="s">
        <v>36</v>
      </c>
      <c r="R169">
        <v>24</v>
      </c>
      <c r="S169">
        <v>1</v>
      </c>
      <c r="T169" s="4" t="s">
        <v>1965</v>
      </c>
      <c r="U169" s="4" t="s">
        <v>1966</v>
      </c>
      <c r="V169">
        <v>0</v>
      </c>
      <c r="W169" s="6" t="str">
        <f t="shared" si="2"/>
        <v>(2233,null,1,'2026-03-24 00:00:00','003304050140000-330405014','003304050140000-330405014','非穿透性小梁切除＋透明质酸钠凝胶充填术',null,null,1350,1220,1040,null,1160,1045,890,'次',24,1,'normal','main',0),</v>
      </c>
    </row>
    <row r="170" spans="1:23">
      <c r="A170">
        <v>2234</v>
      </c>
      <c r="B170" t="s">
        <v>1963</v>
      </c>
      <c r="C170">
        <v>1</v>
      </c>
      <c r="D170" s="3" t="s">
        <v>1964</v>
      </c>
      <c r="E170" t="s">
        <v>858</v>
      </c>
      <c r="F170" t="s">
        <v>858</v>
      </c>
      <c r="G170" t="s">
        <v>859</v>
      </c>
      <c r="H170" t="s">
        <v>1963</v>
      </c>
      <c r="I170" t="s">
        <v>1963</v>
      </c>
      <c r="J170">
        <v>845</v>
      </c>
      <c r="K170">
        <v>760</v>
      </c>
      <c r="L170">
        <v>645</v>
      </c>
      <c r="M170" t="s">
        <v>1963</v>
      </c>
      <c r="N170">
        <v>1160</v>
      </c>
      <c r="O170">
        <v>1045</v>
      </c>
      <c r="P170">
        <v>890</v>
      </c>
      <c r="Q170" t="s">
        <v>36</v>
      </c>
      <c r="R170">
        <v>24</v>
      </c>
      <c r="S170">
        <v>1</v>
      </c>
      <c r="T170" s="4" t="s">
        <v>1965</v>
      </c>
      <c r="U170" s="4" t="s">
        <v>1966</v>
      </c>
      <c r="V170">
        <v>0</v>
      </c>
      <c r="W170" s="6" t="str">
        <f t="shared" si="2"/>
        <v>(2234,null,1,'2026-03-24 00:00:00','003304050110000-330405011','003304050110000-330405011','前房角切开术',null,null,845,760,645,null,1160,1045,890,'次',24,1,'normal','main',0),</v>
      </c>
    </row>
    <row r="171" spans="1:23">
      <c r="A171">
        <v>2235</v>
      </c>
      <c r="B171" t="s">
        <v>1963</v>
      </c>
      <c r="C171">
        <v>1</v>
      </c>
      <c r="D171" s="3" t="s">
        <v>1964</v>
      </c>
      <c r="E171" t="s">
        <v>862</v>
      </c>
      <c r="F171" t="s">
        <v>862</v>
      </c>
      <c r="G171" t="s">
        <v>863</v>
      </c>
      <c r="H171" t="s">
        <v>1963</v>
      </c>
      <c r="I171" t="s">
        <v>1963</v>
      </c>
      <c r="J171">
        <v>845</v>
      </c>
      <c r="K171">
        <v>760</v>
      </c>
      <c r="L171">
        <v>645</v>
      </c>
      <c r="M171" t="s">
        <v>1963</v>
      </c>
      <c r="N171">
        <v>1160</v>
      </c>
      <c r="O171">
        <v>1045</v>
      </c>
      <c r="P171">
        <v>890</v>
      </c>
      <c r="Q171" t="s">
        <v>36</v>
      </c>
      <c r="R171">
        <v>24</v>
      </c>
      <c r="S171">
        <v>1</v>
      </c>
      <c r="T171" s="4" t="s">
        <v>1965</v>
      </c>
      <c r="U171" s="4" t="s">
        <v>1966</v>
      </c>
      <c r="V171">
        <v>0</v>
      </c>
      <c r="W171" s="6" t="str">
        <f t="shared" si="2"/>
        <v>(2235,null,1,'2026-03-24 00:00:00','003304050110200-33040501102','003304050110200-33040501102','前房角切开术（房角粘连分离术）',null,null,845,760,645,null,1160,1045,890,'次',24,1,'normal','main',0),</v>
      </c>
    </row>
    <row r="172" spans="1:23">
      <c r="A172">
        <v>2236</v>
      </c>
      <c r="B172" t="s">
        <v>1963</v>
      </c>
      <c r="C172">
        <v>1</v>
      </c>
      <c r="D172" s="3" t="s">
        <v>1964</v>
      </c>
      <c r="E172" t="s">
        <v>866</v>
      </c>
      <c r="F172" t="s">
        <v>866</v>
      </c>
      <c r="G172" t="s">
        <v>867</v>
      </c>
      <c r="H172" t="s">
        <v>1963</v>
      </c>
      <c r="I172" t="s">
        <v>1963</v>
      </c>
      <c r="J172">
        <v>1755</v>
      </c>
      <c r="K172">
        <v>1585</v>
      </c>
      <c r="L172">
        <v>1345</v>
      </c>
      <c r="M172" t="s">
        <v>1963</v>
      </c>
      <c r="N172">
        <v>1510</v>
      </c>
      <c r="O172">
        <v>1360</v>
      </c>
      <c r="P172">
        <v>1155</v>
      </c>
      <c r="Q172" t="s">
        <v>36</v>
      </c>
      <c r="R172">
        <v>24</v>
      </c>
      <c r="S172">
        <v>1</v>
      </c>
      <c r="T172" s="4" t="s">
        <v>1965</v>
      </c>
      <c r="U172" s="4" t="s">
        <v>1966</v>
      </c>
      <c r="V172">
        <v>0</v>
      </c>
      <c r="W172" s="6" t="str">
        <f t="shared" si="2"/>
        <v>(2236,null,1,'2026-03-24 00:00:00','003304050140000-33040501401','003304050140000-33040501401','小儿非穿透性小梁切除＋透明质酸钠凝胶充填术',null,null,1755,1585,1345,null,1510,1360,1155,'次',24,1,'normal','main',0),</v>
      </c>
    </row>
    <row r="173" spans="1:23">
      <c r="A173">
        <v>2237</v>
      </c>
      <c r="B173" t="s">
        <v>1963</v>
      </c>
      <c r="C173">
        <v>1</v>
      </c>
      <c r="D173" s="3" t="s">
        <v>1964</v>
      </c>
      <c r="E173" t="s">
        <v>868</v>
      </c>
      <c r="F173" t="s">
        <v>868</v>
      </c>
      <c r="G173" t="s">
        <v>869</v>
      </c>
      <c r="H173" t="s">
        <v>1963</v>
      </c>
      <c r="I173" t="s">
        <v>1963</v>
      </c>
      <c r="J173">
        <v>1100</v>
      </c>
      <c r="K173">
        <v>990</v>
      </c>
      <c r="L173">
        <v>840</v>
      </c>
      <c r="M173" t="s">
        <v>1963</v>
      </c>
      <c r="N173">
        <v>1510</v>
      </c>
      <c r="O173">
        <v>1360</v>
      </c>
      <c r="P173">
        <v>1155</v>
      </c>
      <c r="Q173" t="s">
        <v>36</v>
      </c>
      <c r="R173">
        <v>24</v>
      </c>
      <c r="S173">
        <v>1</v>
      </c>
      <c r="T173" s="4" t="s">
        <v>1965</v>
      </c>
      <c r="U173" s="4" t="s">
        <v>1966</v>
      </c>
      <c r="V173">
        <v>0</v>
      </c>
      <c r="W173" s="6" t="str">
        <f t="shared" si="2"/>
        <v>(2237,null,1,'2026-03-24 00:00:00','003304050110000-33040501103','003304050110000-33040501103','小儿前房角切开术',null,null,1100,990,840,null,1510,1360,1155,'次',24,1,'normal','main',0),</v>
      </c>
    </row>
    <row r="174" spans="1:23">
      <c r="A174">
        <v>2238</v>
      </c>
      <c r="B174" t="s">
        <v>1963</v>
      </c>
      <c r="C174">
        <v>1</v>
      </c>
      <c r="D174" s="3" t="s">
        <v>1964</v>
      </c>
      <c r="E174" t="s">
        <v>882</v>
      </c>
      <c r="F174" t="s">
        <v>882</v>
      </c>
      <c r="G174" t="s">
        <v>883</v>
      </c>
      <c r="H174" t="s">
        <v>1963</v>
      </c>
      <c r="I174" t="s">
        <v>1963</v>
      </c>
      <c r="J174">
        <v>675</v>
      </c>
      <c r="K174">
        <v>610</v>
      </c>
      <c r="L174">
        <v>520</v>
      </c>
      <c r="M174" t="s">
        <v>1963</v>
      </c>
      <c r="N174">
        <v>675</v>
      </c>
      <c r="O174">
        <v>610</v>
      </c>
      <c r="P174">
        <v>520</v>
      </c>
      <c r="Q174" t="s">
        <v>36</v>
      </c>
      <c r="R174">
        <v>24</v>
      </c>
      <c r="S174">
        <v>1</v>
      </c>
      <c r="T174" s="4" t="s">
        <v>1965</v>
      </c>
      <c r="U174" s="4" t="s">
        <v>1966</v>
      </c>
      <c r="V174">
        <v>0</v>
      </c>
      <c r="W174" s="6" t="str">
        <f t="shared" si="2"/>
        <v>(2238,null,1,'2026-03-24 00:00:00','003304050200000-330405020','003304050200000-330405020','青光眼滤过泡修补术',null,null,675,610,520,null,675,610,520,'次',24,1,'normal','main',0),</v>
      </c>
    </row>
    <row r="175" spans="1:23">
      <c r="A175">
        <v>2239</v>
      </c>
      <c r="B175" t="s">
        <v>1963</v>
      </c>
      <c r="C175">
        <v>1</v>
      </c>
      <c r="D175" s="3" t="s">
        <v>1964</v>
      </c>
      <c r="E175" t="s">
        <v>885</v>
      </c>
      <c r="F175" t="s">
        <v>885</v>
      </c>
      <c r="G175" t="s">
        <v>886</v>
      </c>
      <c r="H175" t="s">
        <v>1963</v>
      </c>
      <c r="I175" t="s">
        <v>1963</v>
      </c>
      <c r="J175">
        <v>625</v>
      </c>
      <c r="K175">
        <v>600</v>
      </c>
      <c r="L175">
        <v>510</v>
      </c>
      <c r="M175" t="s">
        <v>1963</v>
      </c>
      <c r="N175">
        <v>675</v>
      </c>
      <c r="O175">
        <v>610</v>
      </c>
      <c r="P175">
        <v>520</v>
      </c>
      <c r="Q175" t="s">
        <v>36</v>
      </c>
      <c r="R175">
        <v>24</v>
      </c>
      <c r="S175">
        <v>1</v>
      </c>
      <c r="T175" s="4" t="s">
        <v>1965</v>
      </c>
      <c r="U175" s="4" t="s">
        <v>1966</v>
      </c>
      <c r="V175">
        <v>0</v>
      </c>
      <c r="W175" s="6" t="str">
        <f t="shared" si="2"/>
        <v>(2239,null,1,'2026-03-24 00:00:00','003304050180000-330405018','003304050180000-330405018','青光眼滤帘修复术',null,null,625,600,510,null,675,610,520,'次',24,1,'normal','main',0),</v>
      </c>
    </row>
    <row r="176" spans="1:23">
      <c r="A176">
        <v>2240</v>
      </c>
      <c r="B176" t="s">
        <v>1963</v>
      </c>
      <c r="C176">
        <v>1</v>
      </c>
      <c r="D176" s="3" t="s">
        <v>1964</v>
      </c>
      <c r="E176" t="s">
        <v>888</v>
      </c>
      <c r="F176" t="s">
        <v>888</v>
      </c>
      <c r="G176" t="s">
        <v>889</v>
      </c>
      <c r="H176" t="s">
        <v>1963</v>
      </c>
      <c r="I176" t="s">
        <v>1963</v>
      </c>
      <c r="J176">
        <v>500</v>
      </c>
      <c r="K176">
        <v>480</v>
      </c>
      <c r="L176">
        <v>408</v>
      </c>
      <c r="M176" t="s">
        <v>1963</v>
      </c>
      <c r="N176">
        <v>675</v>
      </c>
      <c r="O176">
        <v>610</v>
      </c>
      <c r="P176">
        <v>520</v>
      </c>
      <c r="Q176" t="s">
        <v>36</v>
      </c>
      <c r="R176">
        <v>24</v>
      </c>
      <c r="S176">
        <v>1</v>
      </c>
      <c r="T176" s="4" t="s">
        <v>1965</v>
      </c>
      <c r="U176" s="4" t="s">
        <v>1966</v>
      </c>
      <c r="V176">
        <v>0</v>
      </c>
      <c r="W176" s="6" t="str">
        <f t="shared" si="2"/>
        <v>(2240,null,1,'2026-03-24 00:00:00','003304050190000-330405019','003304050190000-330405019','青光眼滤过泡分离术',null,null,500,480,408,null,675,610,520,'次',24,1,'normal','main',0),</v>
      </c>
    </row>
    <row r="177" spans="1:23">
      <c r="A177">
        <v>2241</v>
      </c>
      <c r="B177" t="s">
        <v>1963</v>
      </c>
      <c r="C177">
        <v>1</v>
      </c>
      <c r="D177" s="3" t="s">
        <v>1964</v>
      </c>
      <c r="E177" t="s">
        <v>892</v>
      </c>
      <c r="F177" t="s">
        <v>892</v>
      </c>
      <c r="G177" t="s">
        <v>893</v>
      </c>
      <c r="H177" t="s">
        <v>1963</v>
      </c>
      <c r="I177" t="s">
        <v>1963</v>
      </c>
      <c r="J177">
        <v>880</v>
      </c>
      <c r="K177">
        <v>795</v>
      </c>
      <c r="L177">
        <v>675</v>
      </c>
      <c r="M177" t="s">
        <v>1963</v>
      </c>
      <c r="N177">
        <v>880</v>
      </c>
      <c r="O177">
        <v>795</v>
      </c>
      <c r="P177">
        <v>675</v>
      </c>
      <c r="Q177" t="s">
        <v>36</v>
      </c>
      <c r="R177">
        <v>24</v>
      </c>
      <c r="S177">
        <v>1</v>
      </c>
      <c r="T177" s="4" t="s">
        <v>1965</v>
      </c>
      <c r="U177" s="4" t="s">
        <v>1966</v>
      </c>
      <c r="V177">
        <v>0</v>
      </c>
      <c r="W177" s="6" t="str">
        <f t="shared" si="2"/>
        <v>(2241,null,1,'2026-03-24 00:00:00','003304050200000-33040502001','003304050200000-33040502001','小儿青光眼滤过泡修补术',null,null,880,795,675,null,880,795,675,'次',24,1,'normal','main',0),</v>
      </c>
    </row>
    <row r="178" spans="1:23">
      <c r="A178">
        <v>2242</v>
      </c>
      <c r="B178" t="s">
        <v>1963</v>
      </c>
      <c r="C178">
        <v>1</v>
      </c>
      <c r="D178" s="3" t="s">
        <v>1964</v>
      </c>
      <c r="E178" t="s">
        <v>894</v>
      </c>
      <c r="F178" t="s">
        <v>894</v>
      </c>
      <c r="G178" t="s">
        <v>895</v>
      </c>
      <c r="H178" t="s">
        <v>1963</v>
      </c>
      <c r="I178" t="s">
        <v>1963</v>
      </c>
      <c r="J178">
        <v>815</v>
      </c>
      <c r="K178">
        <v>780</v>
      </c>
      <c r="L178">
        <v>665</v>
      </c>
      <c r="M178" t="s">
        <v>1963</v>
      </c>
      <c r="N178">
        <v>880</v>
      </c>
      <c r="O178">
        <v>795</v>
      </c>
      <c r="P178">
        <v>675</v>
      </c>
      <c r="Q178" t="s">
        <v>36</v>
      </c>
      <c r="R178">
        <v>24</v>
      </c>
      <c r="S178">
        <v>1</v>
      </c>
      <c r="T178" s="4" t="s">
        <v>1965</v>
      </c>
      <c r="U178" s="4" t="s">
        <v>1966</v>
      </c>
      <c r="V178">
        <v>0</v>
      </c>
      <c r="W178" s="6" t="str">
        <f t="shared" si="2"/>
        <v>(2242,null,1,'2026-03-24 00:00:00','003304050180000-33040501801','003304050180000-33040501801','小儿青光眼滤帘修复术',null,null,815,780,665,null,880,795,675,'次',24,1,'normal','main',0),</v>
      </c>
    </row>
    <row r="179" spans="1:23">
      <c r="A179">
        <v>2243</v>
      </c>
      <c r="B179" t="s">
        <v>1963</v>
      </c>
      <c r="C179">
        <v>1</v>
      </c>
      <c r="D179" s="3" t="s">
        <v>1964</v>
      </c>
      <c r="E179" t="s">
        <v>896</v>
      </c>
      <c r="F179" t="s">
        <v>896</v>
      </c>
      <c r="G179" t="s">
        <v>897</v>
      </c>
      <c r="H179" t="s">
        <v>1963</v>
      </c>
      <c r="I179" t="s">
        <v>1963</v>
      </c>
      <c r="J179">
        <v>650</v>
      </c>
      <c r="K179">
        <v>625</v>
      </c>
      <c r="L179">
        <v>530</v>
      </c>
      <c r="M179" t="s">
        <v>1963</v>
      </c>
      <c r="N179">
        <v>880</v>
      </c>
      <c r="O179">
        <v>795</v>
      </c>
      <c r="P179">
        <v>675</v>
      </c>
      <c r="Q179" t="s">
        <v>36</v>
      </c>
      <c r="R179">
        <v>24</v>
      </c>
      <c r="S179">
        <v>1</v>
      </c>
      <c r="T179" s="4" t="s">
        <v>1965</v>
      </c>
      <c r="U179" s="4" t="s">
        <v>1966</v>
      </c>
      <c r="V179">
        <v>0</v>
      </c>
      <c r="W179" s="6" t="str">
        <f t="shared" si="2"/>
        <v>(2243,null,1,'2026-03-24 00:00:00','003304050190000-33040501901','003304050190000-33040501901','小儿青光眼滤过泡分离术',null,null,650,625,530,null,880,795,675,'次',24,1,'normal','main',0),</v>
      </c>
    </row>
    <row r="180" spans="1:23">
      <c r="A180">
        <v>2244</v>
      </c>
      <c r="B180" t="s">
        <v>1963</v>
      </c>
      <c r="C180">
        <v>1</v>
      </c>
      <c r="D180" s="3" t="s">
        <v>1964</v>
      </c>
      <c r="E180" t="s">
        <v>902</v>
      </c>
      <c r="F180" t="s">
        <v>902</v>
      </c>
      <c r="G180" t="s">
        <v>903</v>
      </c>
      <c r="H180" t="s">
        <v>1963</v>
      </c>
      <c r="I180" t="s">
        <v>1963</v>
      </c>
      <c r="J180">
        <v>1350</v>
      </c>
      <c r="K180">
        <v>1220</v>
      </c>
      <c r="L180">
        <v>1040</v>
      </c>
      <c r="M180" t="s">
        <v>1963</v>
      </c>
      <c r="N180">
        <v>1350</v>
      </c>
      <c r="O180">
        <v>1220</v>
      </c>
      <c r="P180">
        <v>1040</v>
      </c>
      <c r="Q180" t="s">
        <v>36</v>
      </c>
      <c r="R180">
        <v>24</v>
      </c>
      <c r="S180">
        <v>1</v>
      </c>
      <c r="T180" s="4" t="s">
        <v>1965</v>
      </c>
      <c r="U180" s="4" t="s">
        <v>1966</v>
      </c>
      <c r="V180">
        <v>0</v>
      </c>
      <c r="W180" s="6" t="str">
        <f t="shared" si="2"/>
        <v>(2244,null,1,'2026-03-24 00:00:00','003304050170000-330405017','003304050170000-330405017','青光眼硅管植入术',null,null,1350,1220,1040,null,1350,1220,1040,'次',24,1,'normal','main',0),</v>
      </c>
    </row>
    <row r="181" spans="1:23">
      <c r="A181">
        <v>2245</v>
      </c>
      <c r="B181" t="s">
        <v>1963</v>
      </c>
      <c r="C181">
        <v>1</v>
      </c>
      <c r="D181" s="3" t="s">
        <v>1964</v>
      </c>
      <c r="E181" t="s">
        <v>907</v>
      </c>
      <c r="F181" t="s">
        <v>907</v>
      </c>
      <c r="G181" t="s">
        <v>908</v>
      </c>
      <c r="H181" t="s">
        <v>1963</v>
      </c>
      <c r="I181" t="s">
        <v>1963</v>
      </c>
      <c r="J181">
        <v>1755</v>
      </c>
      <c r="K181">
        <v>1585</v>
      </c>
      <c r="L181">
        <v>1345</v>
      </c>
      <c r="M181" t="s">
        <v>1963</v>
      </c>
      <c r="N181">
        <v>1755</v>
      </c>
      <c r="O181">
        <v>1585</v>
      </c>
      <c r="P181">
        <v>1350</v>
      </c>
      <c r="Q181" t="s">
        <v>36</v>
      </c>
      <c r="R181">
        <v>24</v>
      </c>
      <c r="S181">
        <v>1</v>
      </c>
      <c r="T181" s="4" t="s">
        <v>1965</v>
      </c>
      <c r="U181" s="4" t="s">
        <v>1966</v>
      </c>
      <c r="V181">
        <v>0</v>
      </c>
      <c r="W181" s="6" t="str">
        <f t="shared" si="2"/>
        <v>(2245,null,1,'2026-03-24 00:00:00','003304050170000-33040501701','003304050170000-33040501701','小儿青光眼硅管植入术',null,null,1755,1585,1345,null,1755,1585,1350,'次',24,1,'normal','main',0),</v>
      </c>
    </row>
    <row r="182" spans="1:23">
      <c r="A182">
        <v>2246</v>
      </c>
      <c r="B182" t="s">
        <v>1963</v>
      </c>
      <c r="C182">
        <v>1</v>
      </c>
      <c r="D182" s="3" t="s">
        <v>1964</v>
      </c>
      <c r="E182" t="s">
        <v>927</v>
      </c>
      <c r="F182" t="s">
        <v>927</v>
      </c>
      <c r="G182" t="s">
        <v>928</v>
      </c>
      <c r="H182" t="s">
        <v>1963</v>
      </c>
      <c r="I182" t="s">
        <v>1963</v>
      </c>
      <c r="J182">
        <v>1350</v>
      </c>
      <c r="K182">
        <v>1220</v>
      </c>
      <c r="L182">
        <v>1040</v>
      </c>
      <c r="M182" t="s">
        <v>1963</v>
      </c>
      <c r="N182">
        <v>1350</v>
      </c>
      <c r="O182">
        <v>1220</v>
      </c>
      <c r="P182">
        <v>1040</v>
      </c>
      <c r="Q182" t="s">
        <v>36</v>
      </c>
      <c r="R182">
        <v>24</v>
      </c>
      <c r="S182">
        <v>1</v>
      </c>
      <c r="T182" s="4" t="s">
        <v>1965</v>
      </c>
      <c r="U182" s="4" t="s">
        <v>1966</v>
      </c>
      <c r="V182">
        <v>0</v>
      </c>
      <c r="W182" s="6" t="str">
        <f t="shared" si="2"/>
        <v>(2246,null,1,'2026-03-24 00:00:00','003304070040000-330407004','003304070040000-330407004','视网膜脱离修复术',null,null,1350,1220,1040,null,1350,1220,1040,'次',24,1,'normal','main',0),</v>
      </c>
    </row>
    <row r="183" spans="1:23">
      <c r="A183">
        <v>2247</v>
      </c>
      <c r="B183" t="s">
        <v>1963</v>
      </c>
      <c r="C183">
        <v>1</v>
      </c>
      <c r="D183" s="3" t="s">
        <v>1964</v>
      </c>
      <c r="E183" t="s">
        <v>932</v>
      </c>
      <c r="F183" t="s">
        <v>932</v>
      </c>
      <c r="G183" t="s">
        <v>933</v>
      </c>
      <c r="H183" t="s">
        <v>1963</v>
      </c>
      <c r="I183" t="s">
        <v>1963</v>
      </c>
      <c r="J183">
        <v>1300</v>
      </c>
      <c r="K183">
        <v>1170</v>
      </c>
      <c r="L183">
        <v>995</v>
      </c>
      <c r="M183" t="s">
        <v>1963</v>
      </c>
      <c r="N183">
        <v>1350</v>
      </c>
      <c r="O183">
        <v>1220</v>
      </c>
      <c r="P183">
        <v>1040</v>
      </c>
      <c r="Q183" t="s">
        <v>36</v>
      </c>
      <c r="R183">
        <v>24</v>
      </c>
      <c r="S183">
        <v>1</v>
      </c>
      <c r="T183" s="4" t="s">
        <v>1965</v>
      </c>
      <c r="U183" s="4" t="s">
        <v>1966</v>
      </c>
      <c r="V183">
        <v>0</v>
      </c>
      <c r="W183" s="6" t="str">
        <f t="shared" si="2"/>
        <v>(2247,null,1,'2026-03-24 00:00:00','003304070040400-33040700401','003304070040400-33040700401','视网膜脱离修复术（激光法）',null,null,1300,1170,995,null,1350,1220,1040,'次',24,1,'normal','main',0),</v>
      </c>
    </row>
    <row r="184" spans="1:23">
      <c r="A184">
        <v>2248</v>
      </c>
      <c r="B184" t="s">
        <v>1963</v>
      </c>
      <c r="C184">
        <v>1</v>
      </c>
      <c r="D184" s="3" t="s">
        <v>1964</v>
      </c>
      <c r="E184" t="s">
        <v>937</v>
      </c>
      <c r="F184" t="s">
        <v>937</v>
      </c>
      <c r="G184" t="s">
        <v>938</v>
      </c>
      <c r="H184" t="s">
        <v>1963</v>
      </c>
      <c r="I184" t="s">
        <v>1963</v>
      </c>
      <c r="J184">
        <v>1755</v>
      </c>
      <c r="K184">
        <v>1585</v>
      </c>
      <c r="L184">
        <v>1345</v>
      </c>
      <c r="M184" t="s">
        <v>1963</v>
      </c>
      <c r="N184">
        <v>1755</v>
      </c>
      <c r="O184">
        <v>1585</v>
      </c>
      <c r="P184">
        <v>1350</v>
      </c>
      <c r="Q184" t="s">
        <v>36</v>
      </c>
      <c r="R184">
        <v>24</v>
      </c>
      <c r="S184">
        <v>1</v>
      </c>
      <c r="T184" s="4" t="s">
        <v>1965</v>
      </c>
      <c r="U184" s="4" t="s">
        <v>1966</v>
      </c>
      <c r="V184">
        <v>0</v>
      </c>
      <c r="W184" s="6" t="str">
        <f t="shared" si="2"/>
        <v>(2248,null,1,'2026-03-24 00:00:00','003304070040000-33040700402','003304070040000-33040700402','小儿视网膜脱离修复术',null,null,1755,1585,1345,null,1755,1585,1350,'次',24,1,'normal','main',0),</v>
      </c>
    </row>
    <row r="185" spans="1:23">
      <c r="A185">
        <v>2249</v>
      </c>
      <c r="B185" t="s">
        <v>1963</v>
      </c>
      <c r="C185">
        <v>1</v>
      </c>
      <c r="D185" s="3" t="s">
        <v>1964</v>
      </c>
      <c r="E185" t="s">
        <v>939</v>
      </c>
      <c r="F185" t="s">
        <v>939</v>
      </c>
      <c r="G185" t="s">
        <v>940</v>
      </c>
      <c r="H185" t="s">
        <v>1963</v>
      </c>
      <c r="I185" t="s">
        <v>1963</v>
      </c>
      <c r="J185">
        <v>1690</v>
      </c>
      <c r="K185">
        <v>1520</v>
      </c>
      <c r="L185">
        <v>1290</v>
      </c>
      <c r="M185" t="s">
        <v>1963</v>
      </c>
      <c r="N185">
        <v>1755</v>
      </c>
      <c r="O185">
        <v>1585</v>
      </c>
      <c r="P185">
        <v>1350</v>
      </c>
      <c r="Q185" t="s">
        <v>36</v>
      </c>
      <c r="R185">
        <v>24</v>
      </c>
      <c r="S185">
        <v>1</v>
      </c>
      <c r="T185" s="4" t="s">
        <v>1965</v>
      </c>
      <c r="U185" s="4" t="s">
        <v>1966</v>
      </c>
      <c r="V185">
        <v>0</v>
      </c>
      <c r="W185" s="6" t="str">
        <f t="shared" si="2"/>
        <v>(2249,null,1,'2026-03-24 00:00:00','003304070040400-33040700403','003304070040400-33040700403','小儿视网膜脱离修复术（激光法）',null,null,1690,1520,1290,null,1755,1585,1350,'次',24,1,'normal','main',0),</v>
      </c>
    </row>
    <row r="186" spans="1:23">
      <c r="A186">
        <v>2250</v>
      </c>
      <c r="B186" t="s">
        <v>1963</v>
      </c>
      <c r="C186">
        <v>1</v>
      </c>
      <c r="D186" s="3" t="s">
        <v>1964</v>
      </c>
      <c r="E186" t="s">
        <v>946</v>
      </c>
      <c r="F186" t="s">
        <v>946</v>
      </c>
      <c r="G186" t="s">
        <v>947</v>
      </c>
      <c r="H186" t="s">
        <v>1963</v>
      </c>
      <c r="I186" t="s">
        <v>1963</v>
      </c>
      <c r="J186">
        <v>4275</v>
      </c>
      <c r="K186">
        <v>4050</v>
      </c>
      <c r="L186">
        <v>3450</v>
      </c>
      <c r="M186" t="s">
        <v>1963</v>
      </c>
      <c r="N186">
        <v>4325</v>
      </c>
      <c r="O186">
        <v>4050</v>
      </c>
      <c r="P186">
        <v>3450</v>
      </c>
      <c r="Q186" t="s">
        <v>36</v>
      </c>
      <c r="R186">
        <v>24</v>
      </c>
      <c r="S186">
        <v>1</v>
      </c>
      <c r="T186" s="4" t="s">
        <v>1965</v>
      </c>
      <c r="U186" s="4" t="s">
        <v>1966</v>
      </c>
      <c r="V186">
        <v>0</v>
      </c>
      <c r="W186" s="6" t="str">
        <f t="shared" si="2"/>
        <v>(2250,null,1,'2026-03-24 00:00:00','003304070050000-330407005','003304070050000-330407005','复杂视网膜脱离修复术',null,null,4275,4050,3450,null,4325,4050,3450,'次',24,1,'normal','main',0),</v>
      </c>
    </row>
    <row r="187" spans="1:23">
      <c r="A187">
        <v>2251</v>
      </c>
      <c r="B187" t="s">
        <v>1963</v>
      </c>
      <c r="C187">
        <v>1</v>
      </c>
      <c r="D187" s="3" t="s">
        <v>1964</v>
      </c>
      <c r="E187" t="s">
        <v>951</v>
      </c>
      <c r="F187" t="s">
        <v>951</v>
      </c>
      <c r="G187" t="s">
        <v>952</v>
      </c>
      <c r="H187" t="s">
        <v>1963</v>
      </c>
      <c r="I187" t="s">
        <v>1963</v>
      </c>
      <c r="J187">
        <v>4500</v>
      </c>
      <c r="K187">
        <v>4275</v>
      </c>
      <c r="L187">
        <v>3650</v>
      </c>
      <c r="M187" t="s">
        <v>1963</v>
      </c>
      <c r="N187">
        <v>4325</v>
      </c>
      <c r="O187">
        <v>4050</v>
      </c>
      <c r="P187">
        <v>3450</v>
      </c>
      <c r="Q187" t="s">
        <v>36</v>
      </c>
      <c r="R187">
        <v>24</v>
      </c>
      <c r="S187">
        <v>1</v>
      </c>
      <c r="T187" s="4" t="s">
        <v>1965</v>
      </c>
      <c r="U187" s="4" t="s">
        <v>1966</v>
      </c>
      <c r="V187">
        <v>0</v>
      </c>
      <c r="W187" s="6" t="str">
        <f t="shared" si="2"/>
        <v>(2251,null,1,'2026-03-24 00:00:00','003304070050000-33040700501','003304070050000-33040700501','复杂视网膜脱离修复术（激光法）',null,null,4500,4275,3650,null,4325,4050,3450,'次',24,1,'normal','main',0),</v>
      </c>
    </row>
    <row r="188" spans="1:23">
      <c r="A188">
        <v>2252</v>
      </c>
      <c r="B188" t="s">
        <v>1963</v>
      </c>
      <c r="C188">
        <v>1</v>
      </c>
      <c r="D188" s="3" t="s">
        <v>1964</v>
      </c>
      <c r="E188" t="s">
        <v>953</v>
      </c>
      <c r="F188" t="s">
        <v>953</v>
      </c>
      <c r="G188" t="s">
        <v>954</v>
      </c>
      <c r="H188" t="s">
        <v>1963</v>
      </c>
      <c r="I188" t="s">
        <v>1963</v>
      </c>
      <c r="J188">
        <v>4275</v>
      </c>
      <c r="K188">
        <v>4050</v>
      </c>
      <c r="L188">
        <v>3450</v>
      </c>
      <c r="M188" t="s">
        <v>1963</v>
      </c>
      <c r="N188">
        <v>4325</v>
      </c>
      <c r="O188">
        <v>4050</v>
      </c>
      <c r="P188">
        <v>3450</v>
      </c>
      <c r="Q188" t="s">
        <v>36</v>
      </c>
      <c r="R188">
        <v>24</v>
      </c>
      <c r="S188">
        <v>1</v>
      </c>
      <c r="T188" s="4" t="s">
        <v>1965</v>
      </c>
      <c r="U188" s="4" t="s">
        <v>1966</v>
      </c>
      <c r="V188">
        <v>0</v>
      </c>
      <c r="W188" s="6" t="str">
        <f t="shared" si="2"/>
        <v>(2252,null,1,'2026-03-24 00:00:00','353304070150100-33040700504','353304070150100-33040700504','人工玻璃体球囊置入术',null,null,4275,4050,3450,null,4325,4050,3450,'次',24,1,'normal','main',0),</v>
      </c>
    </row>
    <row r="189" spans="1:23">
      <c r="A189">
        <v>2253</v>
      </c>
      <c r="B189" t="s">
        <v>1963</v>
      </c>
      <c r="C189">
        <v>1</v>
      </c>
      <c r="D189" s="3" t="s">
        <v>1964</v>
      </c>
      <c r="E189" t="s">
        <v>958</v>
      </c>
      <c r="F189" t="s">
        <v>958</v>
      </c>
      <c r="G189" t="s">
        <v>959</v>
      </c>
      <c r="H189" t="s">
        <v>1963</v>
      </c>
      <c r="I189" t="s">
        <v>1963</v>
      </c>
      <c r="J189">
        <v>1010</v>
      </c>
      <c r="K189">
        <v>910</v>
      </c>
      <c r="L189">
        <v>775</v>
      </c>
      <c r="M189" t="s">
        <v>1963</v>
      </c>
      <c r="N189">
        <v>4325</v>
      </c>
      <c r="O189">
        <v>4050</v>
      </c>
      <c r="P189">
        <v>3450</v>
      </c>
      <c r="Q189" t="s">
        <v>36</v>
      </c>
      <c r="R189">
        <v>24</v>
      </c>
      <c r="S189">
        <v>1</v>
      </c>
      <c r="T189" s="4" t="s">
        <v>1965</v>
      </c>
      <c r="U189" s="4" t="s">
        <v>1966</v>
      </c>
      <c r="V189">
        <v>0</v>
      </c>
      <c r="W189" s="6" t="str">
        <f t="shared" si="2"/>
        <v>(2253,null,1,'2026-03-24 00:00:00','003304070060000-330407006','003304070060000-330407006','黄斑裂孔注气术',null,null,1010,910,775,null,4325,4050,3450,'次',24,1,'normal','main',0),</v>
      </c>
    </row>
    <row r="190" spans="1:23">
      <c r="A190">
        <v>2254</v>
      </c>
      <c r="B190" t="s">
        <v>1963</v>
      </c>
      <c r="C190">
        <v>1</v>
      </c>
      <c r="D190" s="3" t="s">
        <v>1964</v>
      </c>
      <c r="E190" t="s">
        <v>961</v>
      </c>
      <c r="F190" t="s">
        <v>961</v>
      </c>
      <c r="G190" t="s">
        <v>962</v>
      </c>
      <c r="H190" t="s">
        <v>1963</v>
      </c>
      <c r="I190" t="s">
        <v>1963</v>
      </c>
      <c r="J190">
        <v>1010</v>
      </c>
      <c r="K190">
        <v>910</v>
      </c>
      <c r="L190">
        <v>775</v>
      </c>
      <c r="M190" t="s">
        <v>1963</v>
      </c>
      <c r="N190">
        <v>4325</v>
      </c>
      <c r="O190">
        <v>4050</v>
      </c>
      <c r="P190">
        <v>3450</v>
      </c>
      <c r="Q190" t="s">
        <v>36</v>
      </c>
      <c r="R190">
        <v>24</v>
      </c>
      <c r="S190">
        <v>1</v>
      </c>
      <c r="T190" s="4" t="s">
        <v>1965</v>
      </c>
      <c r="U190" s="4" t="s">
        <v>1966</v>
      </c>
      <c r="V190">
        <v>0</v>
      </c>
      <c r="W190" s="6" t="str">
        <f t="shared" si="2"/>
        <v>(2254,null,1,'2026-03-24 00:00:00','003304070070000-330407007','003304070070000-330407007','黄斑裂孔封闭术',null,null,1010,910,775,null,4325,4050,3450,'次',24,1,'normal','main',0),</v>
      </c>
    </row>
    <row r="191" spans="1:23">
      <c r="A191">
        <v>2255</v>
      </c>
      <c r="B191" t="s">
        <v>1963</v>
      </c>
      <c r="C191">
        <v>1</v>
      </c>
      <c r="D191" s="3" t="s">
        <v>1964</v>
      </c>
      <c r="E191" t="s">
        <v>963</v>
      </c>
      <c r="F191" t="s">
        <v>963</v>
      </c>
      <c r="G191" t="s">
        <v>964</v>
      </c>
      <c r="H191" t="s">
        <v>1963</v>
      </c>
      <c r="I191" t="s">
        <v>1963</v>
      </c>
      <c r="J191">
        <v>2780</v>
      </c>
      <c r="K191">
        <v>2500</v>
      </c>
      <c r="L191">
        <v>2130</v>
      </c>
      <c r="M191" t="s">
        <v>1963</v>
      </c>
      <c r="N191">
        <v>4325</v>
      </c>
      <c r="O191">
        <v>4050</v>
      </c>
      <c r="P191">
        <v>3450</v>
      </c>
      <c r="Q191" t="s">
        <v>36</v>
      </c>
      <c r="R191">
        <v>24</v>
      </c>
      <c r="S191">
        <v>1</v>
      </c>
      <c r="T191" s="4" t="s">
        <v>1965</v>
      </c>
      <c r="U191" s="4" t="s">
        <v>1966</v>
      </c>
      <c r="V191">
        <v>0</v>
      </c>
      <c r="W191" s="6" t="str">
        <f t="shared" si="2"/>
        <v>(2255,null,1,'2026-03-24 00:00:00','003304070080000-330407008','003304070080000-330407008','黄斑前膜术',null,null,2780,2500,2130,null,4325,4050,3450,'次',24,1,'normal','main',0),</v>
      </c>
    </row>
    <row r="192" spans="1:23">
      <c r="A192">
        <v>2256</v>
      </c>
      <c r="B192" t="s">
        <v>1963</v>
      </c>
      <c r="C192">
        <v>1</v>
      </c>
      <c r="D192" s="3" t="s">
        <v>1964</v>
      </c>
      <c r="E192" t="s">
        <v>965</v>
      </c>
      <c r="F192" t="s">
        <v>965</v>
      </c>
      <c r="G192" t="s">
        <v>966</v>
      </c>
      <c r="H192" t="s">
        <v>1963</v>
      </c>
      <c r="I192" t="s">
        <v>1963</v>
      </c>
      <c r="J192">
        <v>2780</v>
      </c>
      <c r="K192">
        <v>2500</v>
      </c>
      <c r="L192">
        <v>2130</v>
      </c>
      <c r="M192" t="s">
        <v>1963</v>
      </c>
      <c r="N192">
        <v>4325</v>
      </c>
      <c r="O192">
        <v>4050</v>
      </c>
      <c r="P192">
        <v>3450</v>
      </c>
      <c r="Q192" t="s">
        <v>36</v>
      </c>
      <c r="R192">
        <v>24</v>
      </c>
      <c r="S192">
        <v>1</v>
      </c>
      <c r="T192" s="4" t="s">
        <v>1965</v>
      </c>
      <c r="U192" s="4" t="s">
        <v>1966</v>
      </c>
      <c r="V192">
        <v>0</v>
      </c>
      <c r="W192" s="6" t="str">
        <f t="shared" si="2"/>
        <v>(2256,null,1,'2026-03-24 00:00:00','003304070090000-330407009','003304070090000-330407009','黄斑下膜取出术',null,null,2780,2500,2130,null,4325,4050,3450,'次',24,1,'normal','main',0),</v>
      </c>
    </row>
    <row r="193" spans="1:23">
      <c r="A193">
        <v>2257</v>
      </c>
      <c r="B193" t="s">
        <v>1963</v>
      </c>
      <c r="C193">
        <v>1</v>
      </c>
      <c r="D193" s="3" t="s">
        <v>1964</v>
      </c>
      <c r="E193" t="s">
        <v>967</v>
      </c>
      <c r="F193" t="s">
        <v>967</v>
      </c>
      <c r="G193" t="s">
        <v>968</v>
      </c>
      <c r="H193" t="s">
        <v>1963</v>
      </c>
      <c r="I193" t="s">
        <v>1963</v>
      </c>
      <c r="J193">
        <v>2780</v>
      </c>
      <c r="K193">
        <v>2500</v>
      </c>
      <c r="L193">
        <v>2130</v>
      </c>
      <c r="M193" t="s">
        <v>1963</v>
      </c>
      <c r="N193">
        <v>4325</v>
      </c>
      <c r="O193">
        <v>4050</v>
      </c>
      <c r="P193">
        <v>3450</v>
      </c>
      <c r="Q193" t="s">
        <v>36</v>
      </c>
      <c r="R193">
        <v>24</v>
      </c>
      <c r="S193">
        <v>1</v>
      </c>
      <c r="T193" s="4" t="s">
        <v>1965</v>
      </c>
      <c r="U193" s="4" t="s">
        <v>1966</v>
      </c>
      <c r="V193">
        <v>0</v>
      </c>
      <c r="W193" s="6" t="str">
        <f t="shared" si="2"/>
        <v>(2257,null,1,'2026-03-24 00:00:00','003304070100000-330407010','003304070100000-330407010','黄斑转位术',null,null,2780,2500,2130,null,4325,4050,3450,'次',24,1,'normal','main',0),</v>
      </c>
    </row>
    <row r="194" spans="1:23">
      <c r="A194">
        <v>2258</v>
      </c>
      <c r="B194" t="s">
        <v>1963</v>
      </c>
      <c r="C194">
        <v>1</v>
      </c>
      <c r="D194" s="3" t="s">
        <v>1964</v>
      </c>
      <c r="E194" t="s">
        <v>971</v>
      </c>
      <c r="F194" t="s">
        <v>971</v>
      </c>
      <c r="G194" t="s">
        <v>972</v>
      </c>
      <c r="H194" t="s">
        <v>1963</v>
      </c>
      <c r="I194" t="s">
        <v>1963</v>
      </c>
      <c r="J194">
        <v>5560</v>
      </c>
      <c r="K194">
        <v>5265</v>
      </c>
      <c r="L194">
        <v>4485</v>
      </c>
      <c r="M194" t="s">
        <v>1963</v>
      </c>
      <c r="N194">
        <v>5625</v>
      </c>
      <c r="O194">
        <v>5265</v>
      </c>
      <c r="P194">
        <v>4485</v>
      </c>
      <c r="Q194" t="s">
        <v>36</v>
      </c>
      <c r="R194">
        <v>24</v>
      </c>
      <c r="S194">
        <v>1</v>
      </c>
      <c r="T194" s="4" t="s">
        <v>1965</v>
      </c>
      <c r="U194" s="4" t="s">
        <v>1966</v>
      </c>
      <c r="V194">
        <v>0</v>
      </c>
      <c r="W194" s="6" t="str">
        <f t="shared" si="2"/>
        <v>(2258,null,1,'2026-03-24 00:00:00','003304070050000-33040700502','003304070050000-33040700502','小儿复杂视网膜脱离修复术',null,null,5560,5265,4485,null,5625,5265,4485,'次',24,1,'normal','main',0),</v>
      </c>
    </row>
    <row r="195" spans="1:23">
      <c r="A195">
        <v>2259</v>
      </c>
      <c r="B195" t="s">
        <v>1963</v>
      </c>
      <c r="C195">
        <v>1</v>
      </c>
      <c r="D195" s="3" t="s">
        <v>1964</v>
      </c>
      <c r="E195" t="s">
        <v>973</v>
      </c>
      <c r="F195" t="s">
        <v>973</v>
      </c>
      <c r="G195" t="s">
        <v>974</v>
      </c>
      <c r="H195" t="s">
        <v>1963</v>
      </c>
      <c r="I195" t="s">
        <v>1963</v>
      </c>
      <c r="J195">
        <v>5850</v>
      </c>
      <c r="K195">
        <v>5560</v>
      </c>
      <c r="L195">
        <v>4745</v>
      </c>
      <c r="M195" t="s">
        <v>1963</v>
      </c>
      <c r="N195">
        <v>5625</v>
      </c>
      <c r="O195">
        <v>5265</v>
      </c>
      <c r="P195">
        <v>4485</v>
      </c>
      <c r="Q195" t="s">
        <v>36</v>
      </c>
      <c r="R195">
        <v>24</v>
      </c>
      <c r="S195">
        <v>1</v>
      </c>
      <c r="T195" s="4" t="s">
        <v>1965</v>
      </c>
      <c r="U195" s="4" t="s">
        <v>1966</v>
      </c>
      <c r="V195">
        <v>0</v>
      </c>
      <c r="W195" s="6" t="str">
        <f t="shared" ref="W195:W258" si="3">"("&amp;A195&amp;","&amp;B195&amp;","&amp;C195&amp;",'"&amp;D195&amp;"','"&amp;E195&amp;"','"&amp;F195&amp;"','"&amp;G195&amp;"',"&amp;H195&amp;","&amp;I195&amp;","&amp;J195&amp;","&amp;K195&amp;","&amp;L195&amp;","&amp;M195&amp;","&amp;N195&amp;","&amp;O195&amp;","&amp;P195&amp;",'"&amp;Q195&amp;"',"&amp;R195&amp;","&amp;S195&amp;",'"&amp;T195&amp;"','"&amp;U195&amp;"',"&amp;V195&amp;"),"</f>
        <v>(2259,null,1,'2026-03-24 00:00:00','003304070050000-33040700503','003304070050000-33040700503','小儿复杂视网膜脱离修复术（激光法）',null,null,5850,5560,4745,null,5625,5265,4485,'次',24,1,'normal','main',0),</v>
      </c>
    </row>
    <row r="196" spans="1:23">
      <c r="A196">
        <v>2260</v>
      </c>
      <c r="B196" t="s">
        <v>1963</v>
      </c>
      <c r="C196">
        <v>1</v>
      </c>
      <c r="D196" s="3" t="s">
        <v>1964</v>
      </c>
      <c r="E196" t="s">
        <v>975</v>
      </c>
      <c r="F196" t="s">
        <v>975</v>
      </c>
      <c r="G196" t="s">
        <v>976</v>
      </c>
      <c r="H196" t="s">
        <v>1963</v>
      </c>
      <c r="I196" t="s">
        <v>1963</v>
      </c>
      <c r="J196">
        <v>5560</v>
      </c>
      <c r="K196">
        <v>5265</v>
      </c>
      <c r="L196">
        <v>4485</v>
      </c>
      <c r="M196" t="s">
        <v>1963</v>
      </c>
      <c r="N196">
        <v>5625</v>
      </c>
      <c r="O196">
        <v>5265</v>
      </c>
      <c r="P196">
        <v>4485</v>
      </c>
      <c r="Q196" t="s">
        <v>36</v>
      </c>
      <c r="R196">
        <v>24</v>
      </c>
      <c r="S196">
        <v>1</v>
      </c>
      <c r="T196" s="4" t="s">
        <v>1965</v>
      </c>
      <c r="U196" s="4" t="s">
        <v>1966</v>
      </c>
      <c r="V196">
        <v>0</v>
      </c>
      <c r="W196" s="6" t="str">
        <f t="shared" si="3"/>
        <v>(2260,null,1,'2026-03-24 00:00:00','353304070150100-33040700505','353304070150100-33040700505','小儿人工玻璃体球囊置入术',null,null,5560,5265,4485,null,5625,5265,4485,'次',24,1,'normal','main',0),</v>
      </c>
    </row>
    <row r="197" spans="1:23">
      <c r="A197">
        <v>2261</v>
      </c>
      <c r="B197" t="s">
        <v>1963</v>
      </c>
      <c r="C197">
        <v>1</v>
      </c>
      <c r="D197" s="3" t="s">
        <v>1964</v>
      </c>
      <c r="E197" t="s">
        <v>977</v>
      </c>
      <c r="F197" t="s">
        <v>977</v>
      </c>
      <c r="G197" t="s">
        <v>978</v>
      </c>
      <c r="H197" t="s">
        <v>1963</v>
      </c>
      <c r="I197" t="s">
        <v>1963</v>
      </c>
      <c r="J197">
        <v>1315</v>
      </c>
      <c r="K197">
        <v>1185</v>
      </c>
      <c r="L197">
        <v>1005</v>
      </c>
      <c r="M197" t="s">
        <v>1963</v>
      </c>
      <c r="N197">
        <v>5625</v>
      </c>
      <c r="O197">
        <v>5265</v>
      </c>
      <c r="P197">
        <v>4485</v>
      </c>
      <c r="Q197" t="s">
        <v>36</v>
      </c>
      <c r="R197">
        <v>24</v>
      </c>
      <c r="S197">
        <v>1</v>
      </c>
      <c r="T197" s="4" t="s">
        <v>1965</v>
      </c>
      <c r="U197" s="4" t="s">
        <v>1966</v>
      </c>
      <c r="V197">
        <v>0</v>
      </c>
      <c r="W197" s="6" t="str">
        <f t="shared" si="3"/>
        <v>(2261,null,1,'2026-03-24 00:00:00','003304070060000-33040700601','003304070060000-33040700601','小儿黄斑裂孔注气术',null,null,1315,1185,1005,null,5625,5265,4485,'次',24,1,'normal','main',0),</v>
      </c>
    </row>
    <row r="198" spans="1:23">
      <c r="A198">
        <v>2262</v>
      </c>
      <c r="B198" t="s">
        <v>1963</v>
      </c>
      <c r="C198">
        <v>1</v>
      </c>
      <c r="D198" s="3" t="s">
        <v>1964</v>
      </c>
      <c r="E198" t="s">
        <v>979</v>
      </c>
      <c r="F198" t="s">
        <v>979</v>
      </c>
      <c r="G198" t="s">
        <v>980</v>
      </c>
      <c r="H198" t="s">
        <v>1963</v>
      </c>
      <c r="I198" t="s">
        <v>1963</v>
      </c>
      <c r="J198">
        <v>1315</v>
      </c>
      <c r="K198">
        <v>1185</v>
      </c>
      <c r="L198">
        <v>1005</v>
      </c>
      <c r="M198" t="s">
        <v>1963</v>
      </c>
      <c r="N198">
        <v>5625</v>
      </c>
      <c r="O198">
        <v>5265</v>
      </c>
      <c r="P198">
        <v>4485</v>
      </c>
      <c r="Q198" t="s">
        <v>36</v>
      </c>
      <c r="R198">
        <v>24</v>
      </c>
      <c r="S198">
        <v>1</v>
      </c>
      <c r="T198" s="4" t="s">
        <v>1965</v>
      </c>
      <c r="U198" s="4" t="s">
        <v>1966</v>
      </c>
      <c r="V198">
        <v>0</v>
      </c>
      <c r="W198" s="6" t="str">
        <f t="shared" si="3"/>
        <v>(2262,null,1,'2026-03-24 00:00:00','003304070070000-33040700701','003304070070000-33040700701','小儿黄斑裂孔封闭术',null,null,1315,1185,1005,null,5625,5265,4485,'次',24,1,'normal','main',0),</v>
      </c>
    </row>
    <row r="199" spans="1:23">
      <c r="A199">
        <v>2263</v>
      </c>
      <c r="B199" t="s">
        <v>1963</v>
      </c>
      <c r="C199">
        <v>1</v>
      </c>
      <c r="D199" s="3" t="s">
        <v>1964</v>
      </c>
      <c r="E199" t="s">
        <v>981</v>
      </c>
      <c r="F199" t="s">
        <v>981</v>
      </c>
      <c r="G199" t="s">
        <v>982</v>
      </c>
      <c r="H199" t="s">
        <v>1963</v>
      </c>
      <c r="I199" t="s">
        <v>1963</v>
      </c>
      <c r="J199">
        <v>3615</v>
      </c>
      <c r="K199">
        <v>3250</v>
      </c>
      <c r="L199">
        <v>2765</v>
      </c>
      <c r="M199" t="s">
        <v>1963</v>
      </c>
      <c r="N199">
        <v>5625</v>
      </c>
      <c r="O199">
        <v>5265</v>
      </c>
      <c r="P199">
        <v>4485</v>
      </c>
      <c r="Q199" t="s">
        <v>36</v>
      </c>
      <c r="R199">
        <v>24</v>
      </c>
      <c r="S199">
        <v>1</v>
      </c>
      <c r="T199" s="4" t="s">
        <v>1965</v>
      </c>
      <c r="U199" s="4" t="s">
        <v>1966</v>
      </c>
      <c r="V199">
        <v>0</v>
      </c>
      <c r="W199" s="6" t="str">
        <f t="shared" si="3"/>
        <v>(2263,null,1,'2026-03-24 00:00:00','003304070080000-33040700801','003304070080000-33040700801','小儿黄斑前膜术',null,null,3615,3250,2765,null,5625,5265,4485,'次',24,1,'normal','main',0),</v>
      </c>
    </row>
    <row r="200" spans="1:23">
      <c r="A200">
        <v>2264</v>
      </c>
      <c r="B200" t="s">
        <v>1963</v>
      </c>
      <c r="C200">
        <v>1</v>
      </c>
      <c r="D200" s="3" t="s">
        <v>1964</v>
      </c>
      <c r="E200" t="s">
        <v>983</v>
      </c>
      <c r="F200" t="s">
        <v>983</v>
      </c>
      <c r="G200" t="s">
        <v>984</v>
      </c>
      <c r="H200" t="s">
        <v>1963</v>
      </c>
      <c r="I200" t="s">
        <v>1963</v>
      </c>
      <c r="J200">
        <v>3615</v>
      </c>
      <c r="K200">
        <v>3250</v>
      </c>
      <c r="L200">
        <v>2765</v>
      </c>
      <c r="M200" t="s">
        <v>1963</v>
      </c>
      <c r="N200">
        <v>5625</v>
      </c>
      <c r="O200">
        <v>5265</v>
      </c>
      <c r="P200">
        <v>4485</v>
      </c>
      <c r="Q200" t="s">
        <v>36</v>
      </c>
      <c r="R200">
        <v>24</v>
      </c>
      <c r="S200">
        <v>1</v>
      </c>
      <c r="T200" s="4" t="s">
        <v>1965</v>
      </c>
      <c r="U200" s="4" t="s">
        <v>1966</v>
      </c>
      <c r="V200">
        <v>0</v>
      </c>
      <c r="W200" s="6" t="str">
        <f t="shared" si="3"/>
        <v>(2264,null,1,'2026-03-24 00:00:00','003304070090000-33040700901','003304070090000-33040700901','小儿黄斑下膜取出术',null,null,3615,3250,2765,null,5625,5265,4485,'次',24,1,'normal','main',0),</v>
      </c>
    </row>
    <row r="201" spans="1:23">
      <c r="A201">
        <v>2265</v>
      </c>
      <c r="B201" t="s">
        <v>1963</v>
      </c>
      <c r="C201">
        <v>1</v>
      </c>
      <c r="D201" s="3" t="s">
        <v>1964</v>
      </c>
      <c r="E201" t="s">
        <v>985</v>
      </c>
      <c r="F201" t="s">
        <v>985</v>
      </c>
      <c r="G201" t="s">
        <v>986</v>
      </c>
      <c r="H201" t="s">
        <v>1963</v>
      </c>
      <c r="I201" t="s">
        <v>1963</v>
      </c>
      <c r="J201">
        <v>3615</v>
      </c>
      <c r="K201">
        <v>3250</v>
      </c>
      <c r="L201">
        <v>2765</v>
      </c>
      <c r="M201" t="s">
        <v>1963</v>
      </c>
      <c r="N201">
        <v>5625</v>
      </c>
      <c r="O201">
        <v>5265</v>
      </c>
      <c r="P201">
        <v>4485</v>
      </c>
      <c r="Q201" t="s">
        <v>36</v>
      </c>
      <c r="R201">
        <v>24</v>
      </c>
      <c r="S201">
        <v>1</v>
      </c>
      <c r="T201" s="4" t="s">
        <v>1965</v>
      </c>
      <c r="U201" s="4" t="s">
        <v>1966</v>
      </c>
      <c r="V201">
        <v>0</v>
      </c>
      <c r="W201" s="6" t="str">
        <f t="shared" si="3"/>
        <v>(2265,null,1,'2026-03-24 00:00:00','003304070100000-33040701001','003304070100000-33040701001','小儿黄斑转位术',null,null,3615,3250,2765,null,5625,5265,4485,'次',24,1,'normal','main',0),</v>
      </c>
    </row>
    <row r="202" spans="1:23">
      <c r="A202">
        <v>2266</v>
      </c>
      <c r="B202" t="s">
        <v>1963</v>
      </c>
      <c r="C202">
        <v>1</v>
      </c>
      <c r="D202" s="3" t="s">
        <v>1964</v>
      </c>
      <c r="E202" t="s">
        <v>1005</v>
      </c>
      <c r="F202" t="s">
        <v>1005</v>
      </c>
      <c r="G202" t="s">
        <v>1006</v>
      </c>
      <c r="H202" t="s">
        <v>1963</v>
      </c>
      <c r="I202" t="s">
        <v>1963</v>
      </c>
      <c r="J202">
        <v>1010</v>
      </c>
      <c r="K202">
        <v>910</v>
      </c>
      <c r="L202">
        <v>775</v>
      </c>
      <c r="M202" t="s">
        <v>1963</v>
      </c>
      <c r="N202">
        <v>1010</v>
      </c>
      <c r="O202">
        <v>910</v>
      </c>
      <c r="P202">
        <v>775</v>
      </c>
      <c r="Q202" t="s">
        <v>36</v>
      </c>
      <c r="R202">
        <v>24</v>
      </c>
      <c r="S202">
        <v>1</v>
      </c>
      <c r="T202" s="4" t="s">
        <v>1965</v>
      </c>
      <c r="U202" s="4" t="s">
        <v>1966</v>
      </c>
      <c r="V202">
        <v>0</v>
      </c>
      <c r="W202" s="6" t="str">
        <f t="shared" si="3"/>
        <v>(2266,null,1,'2026-03-24 00:00:00','003304050090000-330405009','003304050090000-330405009','睫状体及脉络膜上腔放液术',null,null,1010,910,775,null,1010,910,775,'次',24,1,'normal','main',0),</v>
      </c>
    </row>
    <row r="203" spans="1:23">
      <c r="A203">
        <v>2267</v>
      </c>
      <c r="B203" t="s">
        <v>1963</v>
      </c>
      <c r="C203">
        <v>1</v>
      </c>
      <c r="D203" s="3" t="s">
        <v>1964</v>
      </c>
      <c r="E203" t="s">
        <v>1009</v>
      </c>
      <c r="F203" t="s">
        <v>1009</v>
      </c>
      <c r="G203" t="s">
        <v>1010</v>
      </c>
      <c r="H203" t="s">
        <v>1963</v>
      </c>
      <c r="I203" t="s">
        <v>1963</v>
      </c>
      <c r="J203">
        <v>1315</v>
      </c>
      <c r="K203">
        <v>1185</v>
      </c>
      <c r="L203">
        <v>1005</v>
      </c>
      <c r="M203" t="s">
        <v>1963</v>
      </c>
      <c r="N203">
        <v>1315</v>
      </c>
      <c r="O203">
        <v>1185</v>
      </c>
      <c r="P203">
        <v>1005</v>
      </c>
      <c r="Q203" t="s">
        <v>36</v>
      </c>
      <c r="R203">
        <v>24</v>
      </c>
      <c r="S203">
        <v>1</v>
      </c>
      <c r="T203" s="4" t="s">
        <v>1965</v>
      </c>
      <c r="U203" s="4" t="s">
        <v>1966</v>
      </c>
      <c r="V203">
        <v>0</v>
      </c>
      <c r="W203" s="6" t="str">
        <f t="shared" si="3"/>
        <v>(2267,null,1,'2026-03-24 00:00:00','003304050090000-33040500901','003304050090000-33040500901','小儿睫状体及脉络膜上腔放液术',null,null,1315,1185,1005,null,1315,1185,1005,'次',24,1,'normal','main',0),</v>
      </c>
    </row>
    <row r="204" spans="1:23">
      <c r="A204">
        <v>2268</v>
      </c>
      <c r="B204" t="s">
        <v>1963</v>
      </c>
      <c r="C204">
        <v>1</v>
      </c>
      <c r="D204" s="3" t="s">
        <v>1964</v>
      </c>
      <c r="E204" t="s">
        <v>1018</v>
      </c>
      <c r="F204" t="s">
        <v>1018</v>
      </c>
      <c r="G204" t="s">
        <v>1019</v>
      </c>
      <c r="H204" t="s">
        <v>1963</v>
      </c>
      <c r="I204" t="s">
        <v>1963</v>
      </c>
      <c r="J204">
        <v>2310</v>
      </c>
      <c r="K204">
        <v>2080</v>
      </c>
      <c r="L204">
        <v>1770</v>
      </c>
      <c r="M204" t="s">
        <v>1963</v>
      </c>
      <c r="N204">
        <v>2700</v>
      </c>
      <c r="O204">
        <v>2430</v>
      </c>
      <c r="P204">
        <v>2065</v>
      </c>
      <c r="Q204" t="s">
        <v>36</v>
      </c>
      <c r="R204">
        <v>24</v>
      </c>
      <c r="S204">
        <v>1</v>
      </c>
      <c r="T204" s="4" t="s">
        <v>1965</v>
      </c>
      <c r="U204" s="4" t="s">
        <v>1966</v>
      </c>
      <c r="V204">
        <v>0</v>
      </c>
      <c r="W204" s="6" t="str">
        <f t="shared" si="3"/>
        <v>(2268,null,1,'2026-03-24 00:00:00','003304070110000-330407011','003304070110000-330407011','色素膜肿物切除术',null,null,2310,2080,1770,null,2700,2430,2065,'次',24,1,'normal','main',0),</v>
      </c>
    </row>
    <row r="205" spans="1:23">
      <c r="A205">
        <v>2269</v>
      </c>
      <c r="B205" t="s">
        <v>1963</v>
      </c>
      <c r="C205">
        <v>1</v>
      </c>
      <c r="D205" s="3" t="s">
        <v>1964</v>
      </c>
      <c r="E205" t="s">
        <v>1022</v>
      </c>
      <c r="F205" t="s">
        <v>1022</v>
      </c>
      <c r="G205" t="s">
        <v>1023</v>
      </c>
      <c r="H205" t="s">
        <v>1963</v>
      </c>
      <c r="I205" t="s">
        <v>1963</v>
      </c>
      <c r="J205">
        <v>3005</v>
      </c>
      <c r="K205">
        <v>2705</v>
      </c>
      <c r="L205">
        <v>2300</v>
      </c>
      <c r="M205" t="s">
        <v>1963</v>
      </c>
      <c r="N205">
        <v>3510</v>
      </c>
      <c r="O205">
        <v>3160</v>
      </c>
      <c r="P205">
        <v>2685</v>
      </c>
      <c r="Q205" t="s">
        <v>36</v>
      </c>
      <c r="R205">
        <v>24</v>
      </c>
      <c r="S205">
        <v>1</v>
      </c>
      <c r="T205" s="4" t="s">
        <v>1965</v>
      </c>
      <c r="U205" s="4" t="s">
        <v>1966</v>
      </c>
      <c r="V205">
        <v>0</v>
      </c>
      <c r="W205" s="6" t="str">
        <f t="shared" si="3"/>
        <v>(2269,null,1,'2026-03-24 00:00:00','003304070110000-33040701101','003304070110000-33040701101','小儿色素膜肿物切除术',null,null,3005,2705,2300,null,3510,3160,2685,'次',24,1,'normal','main',0),</v>
      </c>
    </row>
    <row r="206" spans="1:23">
      <c r="A206">
        <v>2270</v>
      </c>
      <c r="B206" t="s">
        <v>1963</v>
      </c>
      <c r="C206">
        <v>1</v>
      </c>
      <c r="D206" s="3" t="s">
        <v>1964</v>
      </c>
      <c r="E206" t="s">
        <v>1029</v>
      </c>
      <c r="F206" t="s">
        <v>1029</v>
      </c>
      <c r="G206" t="s">
        <v>1030</v>
      </c>
      <c r="H206" t="s">
        <v>1963</v>
      </c>
      <c r="I206" t="s">
        <v>1963</v>
      </c>
      <c r="J206">
        <v>500</v>
      </c>
      <c r="K206">
        <v>480</v>
      </c>
      <c r="L206">
        <v>408</v>
      </c>
      <c r="M206" t="s">
        <v>1963</v>
      </c>
      <c r="N206">
        <v>500</v>
      </c>
      <c r="O206">
        <v>480</v>
      </c>
      <c r="P206">
        <v>408</v>
      </c>
      <c r="Q206" t="s">
        <v>36</v>
      </c>
      <c r="R206">
        <v>24</v>
      </c>
      <c r="S206">
        <v>1</v>
      </c>
      <c r="T206" s="4" t="s">
        <v>1965</v>
      </c>
      <c r="U206" s="4" t="s">
        <v>1966</v>
      </c>
      <c r="V206">
        <v>0</v>
      </c>
      <c r="W206" s="6" t="str">
        <f t="shared" si="3"/>
        <v>(2270,null,1,'2026-03-24 00:00:00','003304050210000-330405021','003304050210000-330405021','巩膜缩短术',null,null,500,480,408,null,500,480,408,'次',24,1,'normal','main',0),</v>
      </c>
    </row>
    <row r="207" spans="1:23">
      <c r="A207">
        <v>2271</v>
      </c>
      <c r="B207" t="s">
        <v>1963</v>
      </c>
      <c r="C207">
        <v>1</v>
      </c>
      <c r="D207" s="3" t="s">
        <v>1964</v>
      </c>
      <c r="E207" t="s">
        <v>1031</v>
      </c>
      <c r="F207" t="s">
        <v>1031</v>
      </c>
      <c r="G207" t="s">
        <v>1032</v>
      </c>
      <c r="H207" t="s">
        <v>1963</v>
      </c>
      <c r="I207" t="s">
        <v>1963</v>
      </c>
      <c r="J207">
        <v>0</v>
      </c>
      <c r="K207">
        <v>0</v>
      </c>
      <c r="L207">
        <v>0</v>
      </c>
      <c r="M207" t="s">
        <v>1963</v>
      </c>
      <c r="N207">
        <v>500</v>
      </c>
      <c r="O207">
        <v>480</v>
      </c>
      <c r="P207">
        <v>408</v>
      </c>
      <c r="Q207" t="s">
        <v>36</v>
      </c>
      <c r="R207">
        <v>24</v>
      </c>
      <c r="S207">
        <v>1</v>
      </c>
      <c r="T207" s="4" t="s">
        <v>1965</v>
      </c>
      <c r="U207" s="4" t="s">
        <v>1966</v>
      </c>
      <c r="V207">
        <v>0</v>
      </c>
      <c r="W207" s="6" t="str">
        <f t="shared" si="3"/>
        <v>(2271,null,1,'2026-03-24 00:00:00','003103000830000-310300083','003103000830000-310300083','钬激光巩膜切除手术',null,null,0,0,0,null,500,480,408,'次',24,1,'normal','main',0),</v>
      </c>
    </row>
    <row r="208" spans="1:23">
      <c r="A208">
        <v>2272</v>
      </c>
      <c r="B208" t="s">
        <v>1963</v>
      </c>
      <c r="C208">
        <v>1</v>
      </c>
      <c r="D208" s="3" t="s">
        <v>1964</v>
      </c>
      <c r="E208" t="s">
        <v>1035</v>
      </c>
      <c r="F208" t="s">
        <v>1035</v>
      </c>
      <c r="G208" t="s">
        <v>1036</v>
      </c>
      <c r="H208" t="s">
        <v>1963</v>
      </c>
      <c r="I208" t="s">
        <v>1963</v>
      </c>
      <c r="J208">
        <v>650</v>
      </c>
      <c r="K208">
        <v>625</v>
      </c>
      <c r="L208">
        <v>530</v>
      </c>
      <c r="M208" t="s">
        <v>1963</v>
      </c>
      <c r="N208">
        <v>650</v>
      </c>
      <c r="O208">
        <v>625</v>
      </c>
      <c r="P208">
        <v>528</v>
      </c>
      <c r="Q208" t="s">
        <v>36</v>
      </c>
      <c r="R208">
        <v>24</v>
      </c>
      <c r="S208">
        <v>1</v>
      </c>
      <c r="T208" s="4" t="s">
        <v>1965</v>
      </c>
      <c r="U208" s="4" t="s">
        <v>1966</v>
      </c>
      <c r="V208">
        <v>0</v>
      </c>
      <c r="W208" s="6" t="str">
        <f t="shared" si="3"/>
        <v>(2272,null,1,'2026-03-24 00:00:00','003304050210000-33040502101','003304050210000-33040502101','小儿巩膜缩短术',null,null,650,625,530,null,650,625,528,'次',24,1,'normal','main',0),</v>
      </c>
    </row>
    <row r="209" spans="1:23">
      <c r="A209">
        <v>2273</v>
      </c>
      <c r="B209" t="s">
        <v>1963</v>
      </c>
      <c r="C209">
        <v>1</v>
      </c>
      <c r="D209" s="3" t="s">
        <v>1964</v>
      </c>
      <c r="E209" t="s">
        <v>1043</v>
      </c>
      <c r="F209" t="s">
        <v>1043</v>
      </c>
      <c r="G209" t="s">
        <v>1044</v>
      </c>
      <c r="H209" t="s">
        <v>1963</v>
      </c>
      <c r="I209" t="s">
        <v>1963</v>
      </c>
      <c r="J209">
        <v>1350</v>
      </c>
      <c r="K209">
        <v>1220</v>
      </c>
      <c r="L209">
        <v>1040</v>
      </c>
      <c r="M209" t="s">
        <v>1963</v>
      </c>
      <c r="N209">
        <v>1350</v>
      </c>
      <c r="O209">
        <v>1220</v>
      </c>
      <c r="P209">
        <v>1040</v>
      </c>
      <c r="Q209" t="s">
        <v>36</v>
      </c>
      <c r="R209">
        <v>24</v>
      </c>
      <c r="S209">
        <v>1</v>
      </c>
      <c r="T209" s="4" t="s">
        <v>1965</v>
      </c>
      <c r="U209" s="4" t="s">
        <v>1966</v>
      </c>
      <c r="V209">
        <v>0</v>
      </c>
      <c r="W209" s="6" t="str">
        <f t="shared" si="3"/>
        <v>(2273,null,1,'2026-03-24 00:00:00','003304070120000-330407012','003304070120000-330407012','巩膜后兜带术',null,null,1350,1220,1040,null,1350,1220,1040,'次',24,1,'normal','main',0),</v>
      </c>
    </row>
    <row r="210" spans="1:23">
      <c r="A210">
        <v>2274</v>
      </c>
      <c r="B210" t="s">
        <v>1963</v>
      </c>
      <c r="C210">
        <v>1</v>
      </c>
      <c r="D210" s="3" t="s">
        <v>1964</v>
      </c>
      <c r="E210" t="s">
        <v>1048</v>
      </c>
      <c r="F210" t="s">
        <v>1048</v>
      </c>
      <c r="G210" t="s">
        <v>1049</v>
      </c>
      <c r="H210" t="s">
        <v>1963</v>
      </c>
      <c r="I210" t="s">
        <v>1963</v>
      </c>
      <c r="J210">
        <v>1755</v>
      </c>
      <c r="K210">
        <v>1585</v>
      </c>
      <c r="L210">
        <v>1345</v>
      </c>
      <c r="M210" t="s">
        <v>1963</v>
      </c>
      <c r="N210">
        <v>1755</v>
      </c>
      <c r="O210">
        <v>1585</v>
      </c>
      <c r="P210">
        <v>1350</v>
      </c>
      <c r="Q210" t="s">
        <v>36</v>
      </c>
      <c r="R210">
        <v>24</v>
      </c>
      <c r="S210">
        <v>1</v>
      </c>
      <c r="T210" s="4" t="s">
        <v>1965</v>
      </c>
      <c r="U210" s="4" t="s">
        <v>1966</v>
      </c>
      <c r="V210">
        <v>0</v>
      </c>
      <c r="W210" s="6" t="str">
        <f t="shared" si="3"/>
        <v>(2274,null,1,'2026-03-24 00:00:00','003304070120000-33040701201','003304070120000-33040701201','小儿巩膜后兜带术',null,null,1755,1585,1345,null,1755,1585,1350,'次',24,1,'normal','main',0),</v>
      </c>
    </row>
    <row r="211" spans="1:23">
      <c r="A211">
        <v>2275</v>
      </c>
      <c r="B211" t="s">
        <v>1963</v>
      </c>
      <c r="C211">
        <v>1</v>
      </c>
      <c r="D211" s="3" t="s">
        <v>1964</v>
      </c>
      <c r="E211" t="s">
        <v>1071</v>
      </c>
      <c r="F211" t="s">
        <v>1071</v>
      </c>
      <c r="G211" t="s">
        <v>1072</v>
      </c>
      <c r="H211" t="s">
        <v>1963</v>
      </c>
      <c r="I211" t="s">
        <v>1963</v>
      </c>
      <c r="J211">
        <v>875</v>
      </c>
      <c r="K211">
        <v>840</v>
      </c>
      <c r="L211">
        <v>714</v>
      </c>
      <c r="M211" t="s">
        <v>1963</v>
      </c>
      <c r="N211">
        <v>875</v>
      </c>
      <c r="O211">
        <v>840</v>
      </c>
      <c r="P211">
        <v>714</v>
      </c>
      <c r="Q211" t="s">
        <v>36</v>
      </c>
      <c r="R211">
        <v>24</v>
      </c>
      <c r="S211">
        <v>1</v>
      </c>
      <c r="T211" s="4" t="s">
        <v>1965</v>
      </c>
      <c r="U211" s="4" t="s">
        <v>1966</v>
      </c>
      <c r="V211">
        <v>0</v>
      </c>
      <c r="W211" s="6" t="str">
        <f t="shared" si="3"/>
        <v>(2275,null,1,'2026-03-24 00:00:00','003304050030000-330405003','003304050030000-330405003','虹膜根部离断修复术',null,null,875,840,714,null,875,840,714,'次',24,1,'normal','main',0),</v>
      </c>
    </row>
    <row r="212" spans="1:23">
      <c r="A212">
        <v>2276</v>
      </c>
      <c r="B212" t="s">
        <v>1963</v>
      </c>
      <c r="C212">
        <v>1</v>
      </c>
      <c r="D212" s="3" t="s">
        <v>1964</v>
      </c>
      <c r="E212" t="s">
        <v>1073</v>
      </c>
      <c r="F212" t="s">
        <v>1073</v>
      </c>
      <c r="G212" t="s">
        <v>1074</v>
      </c>
      <c r="H212" t="s">
        <v>1963</v>
      </c>
      <c r="I212" t="s">
        <v>1963</v>
      </c>
      <c r="J212">
        <v>1125</v>
      </c>
      <c r="K212">
        <v>1080</v>
      </c>
      <c r="L212">
        <v>918</v>
      </c>
      <c r="M212" t="s">
        <v>1963</v>
      </c>
      <c r="N212">
        <v>875</v>
      </c>
      <c r="O212">
        <v>840</v>
      </c>
      <c r="P212">
        <v>714</v>
      </c>
      <c r="Q212" t="s">
        <v>36</v>
      </c>
      <c r="R212">
        <v>24</v>
      </c>
      <c r="S212">
        <v>1</v>
      </c>
      <c r="T212" s="4" t="s">
        <v>1965</v>
      </c>
      <c r="U212" s="4" t="s">
        <v>1966</v>
      </c>
      <c r="V212">
        <v>0</v>
      </c>
      <c r="W212" s="6" t="str">
        <f t="shared" si="3"/>
        <v>(2276,null,1,'2026-03-24 00:00:00','003304050060000-330405006','003304050060000-330405006','人工虹膜隔植入术',null,null,1125,1080,918,null,875,840,714,'次',24,1,'normal','main',0),</v>
      </c>
    </row>
    <row r="213" spans="1:23">
      <c r="A213">
        <v>2277</v>
      </c>
      <c r="B213" t="s">
        <v>1963</v>
      </c>
      <c r="C213">
        <v>1</v>
      </c>
      <c r="D213" s="3" t="s">
        <v>1964</v>
      </c>
      <c r="E213" t="s">
        <v>1078</v>
      </c>
      <c r="F213" t="s">
        <v>1078</v>
      </c>
      <c r="G213" t="s">
        <v>1079</v>
      </c>
      <c r="H213" t="s">
        <v>1963</v>
      </c>
      <c r="I213" t="s">
        <v>1963</v>
      </c>
      <c r="J213">
        <v>1140</v>
      </c>
      <c r="K213">
        <v>1090</v>
      </c>
      <c r="L213">
        <v>925</v>
      </c>
      <c r="M213" t="s">
        <v>1963</v>
      </c>
      <c r="N213">
        <v>1140</v>
      </c>
      <c r="O213">
        <v>1090</v>
      </c>
      <c r="P213">
        <v>929</v>
      </c>
      <c r="Q213" t="s">
        <v>36</v>
      </c>
      <c r="R213">
        <v>24</v>
      </c>
      <c r="S213">
        <v>1</v>
      </c>
      <c r="T213" s="4" t="s">
        <v>1965</v>
      </c>
      <c r="U213" s="4" t="s">
        <v>1966</v>
      </c>
      <c r="V213">
        <v>0</v>
      </c>
      <c r="W213" s="6" t="str">
        <f t="shared" si="3"/>
        <v>(2277,null,1,'2026-03-24 00:00:00','003304050030000-33040500301','003304050030000-33040500301','小儿虹膜根部离断修复术',null,null,1140,1090,925,null,1140,1090,929,'次',24,1,'normal','main',0),</v>
      </c>
    </row>
    <row r="214" spans="1:23">
      <c r="A214">
        <v>2278</v>
      </c>
      <c r="B214" t="s">
        <v>1963</v>
      </c>
      <c r="C214">
        <v>1</v>
      </c>
      <c r="D214" s="3" t="s">
        <v>1964</v>
      </c>
      <c r="E214" t="s">
        <v>1080</v>
      </c>
      <c r="F214" t="s">
        <v>1080</v>
      </c>
      <c r="G214" t="s">
        <v>1081</v>
      </c>
      <c r="H214" t="s">
        <v>1963</v>
      </c>
      <c r="I214" t="s">
        <v>1963</v>
      </c>
      <c r="J214">
        <v>1465</v>
      </c>
      <c r="K214">
        <v>1405</v>
      </c>
      <c r="L214">
        <v>1195</v>
      </c>
      <c r="M214" t="s">
        <v>1963</v>
      </c>
      <c r="N214">
        <v>1140</v>
      </c>
      <c r="O214">
        <v>1090</v>
      </c>
      <c r="P214">
        <v>929</v>
      </c>
      <c r="Q214" t="s">
        <v>36</v>
      </c>
      <c r="R214">
        <v>24</v>
      </c>
      <c r="S214">
        <v>1</v>
      </c>
      <c r="T214" s="4" t="s">
        <v>1965</v>
      </c>
      <c r="U214" s="4" t="s">
        <v>1966</v>
      </c>
      <c r="V214">
        <v>0</v>
      </c>
      <c r="W214" s="6" t="str">
        <f t="shared" si="3"/>
        <v>(2278,null,1,'2026-03-24 00:00:00','003304050060000-33040500601','003304050060000-33040500601','小儿人工虹膜隔植入术',null,null,1465,1405,1195,null,1140,1090,929,'次',24,1,'normal','main',0),</v>
      </c>
    </row>
    <row r="215" spans="1:23">
      <c r="A215">
        <v>2279</v>
      </c>
      <c r="B215" t="s">
        <v>1963</v>
      </c>
      <c r="C215">
        <v>1</v>
      </c>
      <c r="D215" s="3" t="s">
        <v>1964</v>
      </c>
      <c r="E215" t="s">
        <v>1086</v>
      </c>
      <c r="F215" t="s">
        <v>1086</v>
      </c>
      <c r="G215" t="s">
        <v>1087</v>
      </c>
      <c r="H215" t="s">
        <v>1963</v>
      </c>
      <c r="I215" t="s">
        <v>1963</v>
      </c>
      <c r="J215">
        <v>437.5</v>
      </c>
      <c r="K215">
        <v>420</v>
      </c>
      <c r="L215">
        <v>357</v>
      </c>
      <c r="M215" t="s">
        <v>1963</v>
      </c>
      <c r="N215">
        <v>470</v>
      </c>
      <c r="O215">
        <v>430</v>
      </c>
      <c r="P215">
        <v>380</v>
      </c>
      <c r="Q215" t="s">
        <v>36</v>
      </c>
      <c r="R215">
        <v>24</v>
      </c>
      <c r="S215">
        <v>1</v>
      </c>
      <c r="T215" s="4" t="s">
        <v>1965</v>
      </c>
      <c r="U215" s="4" t="s">
        <v>1966</v>
      </c>
      <c r="V215">
        <v>0</v>
      </c>
      <c r="W215" s="6" t="str">
        <f t="shared" si="3"/>
        <v>(2279,null,1,'2026-03-24 00:00:00','003304050010000-330405001','003304050010000-330405001','虹膜全切除术',null,null,437.5,420,357,null,470,430,380,'次',24,1,'normal','main',0),</v>
      </c>
    </row>
    <row r="216" spans="1:23">
      <c r="A216">
        <v>2280</v>
      </c>
      <c r="B216" t="s">
        <v>1963</v>
      </c>
      <c r="C216">
        <v>1</v>
      </c>
      <c r="D216" s="3" t="s">
        <v>1964</v>
      </c>
      <c r="E216" t="s">
        <v>1088</v>
      </c>
      <c r="F216" t="s">
        <v>1088</v>
      </c>
      <c r="G216" t="s">
        <v>1089</v>
      </c>
      <c r="H216" t="s">
        <v>1963</v>
      </c>
      <c r="I216" t="s">
        <v>1963</v>
      </c>
      <c r="J216">
        <v>625</v>
      </c>
      <c r="K216">
        <v>600</v>
      </c>
      <c r="L216">
        <v>510</v>
      </c>
      <c r="M216" t="s">
        <v>1963</v>
      </c>
      <c r="N216">
        <v>470</v>
      </c>
      <c r="O216">
        <v>430</v>
      </c>
      <c r="P216">
        <v>380</v>
      </c>
      <c r="Q216" t="s">
        <v>36</v>
      </c>
      <c r="R216">
        <v>24</v>
      </c>
      <c r="S216">
        <v>1</v>
      </c>
      <c r="T216" s="4" t="s">
        <v>1965</v>
      </c>
      <c r="U216" s="4" t="s">
        <v>1966</v>
      </c>
      <c r="V216">
        <v>0</v>
      </c>
      <c r="W216" s="6" t="str">
        <f t="shared" si="3"/>
        <v>(2280,null,1,'2026-03-24 00:00:00','003304050050000-330405005','003304050050000-330405005','虹膜囊肿切除术',null,null,625,600,510,null,470,430,380,'次',24,1,'normal','main',0),</v>
      </c>
    </row>
    <row r="217" spans="1:23">
      <c r="A217">
        <v>2281</v>
      </c>
      <c r="B217" t="s">
        <v>1963</v>
      </c>
      <c r="C217">
        <v>1</v>
      </c>
      <c r="D217" s="3" t="s">
        <v>1964</v>
      </c>
      <c r="E217" t="s">
        <v>1091</v>
      </c>
      <c r="F217" t="s">
        <v>1091</v>
      </c>
      <c r="G217" t="s">
        <v>1092</v>
      </c>
      <c r="H217" t="s">
        <v>1963</v>
      </c>
      <c r="I217" t="s">
        <v>1963</v>
      </c>
      <c r="J217">
        <v>500</v>
      </c>
      <c r="K217">
        <v>480</v>
      </c>
      <c r="L217">
        <v>408</v>
      </c>
      <c r="M217" t="s">
        <v>1963</v>
      </c>
      <c r="N217">
        <v>470</v>
      </c>
      <c r="O217">
        <v>430</v>
      </c>
      <c r="P217">
        <v>380</v>
      </c>
      <c r="Q217" t="s">
        <v>36</v>
      </c>
      <c r="R217">
        <v>24</v>
      </c>
      <c r="S217">
        <v>1</v>
      </c>
      <c r="T217" s="4" t="s">
        <v>1965</v>
      </c>
      <c r="U217" s="4" t="s">
        <v>1966</v>
      </c>
      <c r="V217">
        <v>0</v>
      </c>
      <c r="W217" s="6" t="str">
        <f t="shared" si="3"/>
        <v>(2281,null,1,'2026-03-24 00:00:00','003304050020000-330405002','003304050020000-330405002','虹膜周边切除术',null,null,500,480,408,null,470,430,380,'次',24,1,'normal','main',0),</v>
      </c>
    </row>
    <row r="218" spans="1:23">
      <c r="A218">
        <v>2282</v>
      </c>
      <c r="B218" t="s">
        <v>1963</v>
      </c>
      <c r="C218">
        <v>1</v>
      </c>
      <c r="D218" s="3" t="s">
        <v>1964</v>
      </c>
      <c r="E218" t="s">
        <v>1093</v>
      </c>
      <c r="F218" t="s">
        <v>1093</v>
      </c>
      <c r="G218" t="s">
        <v>1094</v>
      </c>
      <c r="H218" t="s">
        <v>1963</v>
      </c>
      <c r="I218" t="s">
        <v>1963</v>
      </c>
      <c r="J218">
        <v>500</v>
      </c>
      <c r="K218">
        <v>480</v>
      </c>
      <c r="L218">
        <v>408</v>
      </c>
      <c r="M218" t="s">
        <v>1963</v>
      </c>
      <c r="N218">
        <v>470</v>
      </c>
      <c r="O218">
        <v>430</v>
      </c>
      <c r="P218">
        <v>380</v>
      </c>
      <c r="Q218" t="s">
        <v>36</v>
      </c>
      <c r="R218">
        <v>24</v>
      </c>
      <c r="S218">
        <v>1</v>
      </c>
      <c r="T218" s="4" t="s">
        <v>1965</v>
      </c>
      <c r="U218" s="4" t="s">
        <v>1966</v>
      </c>
      <c r="V218">
        <v>0</v>
      </c>
      <c r="W218" s="6" t="str">
        <f t="shared" si="3"/>
        <v>(2282,null,1,'2026-03-24 00:00:00','003304050040000-330405004','003304050040000-330405004','虹膜贯穿术',null,null,500,480,408,null,470,430,380,'次',24,1,'normal','main',0),</v>
      </c>
    </row>
    <row r="219" spans="1:23">
      <c r="A219">
        <v>2283</v>
      </c>
      <c r="B219" t="s">
        <v>1963</v>
      </c>
      <c r="C219">
        <v>1</v>
      </c>
      <c r="D219" s="3" t="s">
        <v>1964</v>
      </c>
      <c r="E219" t="s">
        <v>1097</v>
      </c>
      <c r="F219" t="s">
        <v>1097</v>
      </c>
      <c r="G219" t="s">
        <v>1098</v>
      </c>
      <c r="H219" t="s">
        <v>1963</v>
      </c>
      <c r="I219" t="s">
        <v>1963</v>
      </c>
      <c r="J219">
        <v>570</v>
      </c>
      <c r="K219">
        <v>545</v>
      </c>
      <c r="L219">
        <v>465</v>
      </c>
      <c r="M219" t="s">
        <v>1963</v>
      </c>
      <c r="N219">
        <v>610</v>
      </c>
      <c r="O219">
        <v>555</v>
      </c>
      <c r="P219">
        <v>495</v>
      </c>
      <c r="Q219" t="s">
        <v>36</v>
      </c>
      <c r="R219">
        <v>24</v>
      </c>
      <c r="S219">
        <v>1</v>
      </c>
      <c r="T219" s="4" t="s">
        <v>1965</v>
      </c>
      <c r="U219" s="4" t="s">
        <v>1966</v>
      </c>
      <c r="V219">
        <v>0</v>
      </c>
      <c r="W219" s="6" t="str">
        <f t="shared" si="3"/>
        <v>(2283,null,1,'2026-03-24 00:00:00','003304050010000-33040500101','003304050010000-33040500101','小儿虹膜全切除术',null,null,570,545,465,null,610,555,495,'次',24,1,'normal','main',0),</v>
      </c>
    </row>
    <row r="220" spans="1:23">
      <c r="A220">
        <v>2284</v>
      </c>
      <c r="B220" t="s">
        <v>1963</v>
      </c>
      <c r="C220">
        <v>1</v>
      </c>
      <c r="D220" s="3" t="s">
        <v>1964</v>
      </c>
      <c r="E220" t="s">
        <v>1099</v>
      </c>
      <c r="F220" t="s">
        <v>1099</v>
      </c>
      <c r="G220" t="s">
        <v>1100</v>
      </c>
      <c r="H220" t="s">
        <v>1963</v>
      </c>
      <c r="I220" t="s">
        <v>1963</v>
      </c>
      <c r="J220">
        <v>815</v>
      </c>
      <c r="K220">
        <v>780</v>
      </c>
      <c r="L220">
        <v>665</v>
      </c>
      <c r="M220" t="s">
        <v>1963</v>
      </c>
      <c r="N220">
        <v>610</v>
      </c>
      <c r="O220">
        <v>555</v>
      </c>
      <c r="P220">
        <v>495</v>
      </c>
      <c r="Q220" t="s">
        <v>36</v>
      </c>
      <c r="R220">
        <v>24</v>
      </c>
      <c r="S220">
        <v>1</v>
      </c>
      <c r="T220" s="4" t="s">
        <v>1965</v>
      </c>
      <c r="U220" s="4" t="s">
        <v>1966</v>
      </c>
      <c r="V220">
        <v>0</v>
      </c>
      <c r="W220" s="6" t="str">
        <f t="shared" si="3"/>
        <v>(2284,null,1,'2026-03-24 00:00:00','003304050050000-33040500501','003304050050000-33040500501','小儿虹膜囊肿切除术',null,null,815,780,665,null,610,555,495,'次',24,1,'normal','main',0),</v>
      </c>
    </row>
    <row r="221" spans="1:23">
      <c r="A221">
        <v>2285</v>
      </c>
      <c r="B221" t="s">
        <v>1963</v>
      </c>
      <c r="C221">
        <v>1</v>
      </c>
      <c r="D221" s="3" t="s">
        <v>1964</v>
      </c>
      <c r="E221" t="s">
        <v>1101</v>
      </c>
      <c r="F221" t="s">
        <v>1101</v>
      </c>
      <c r="G221" t="s">
        <v>1102</v>
      </c>
      <c r="H221" t="s">
        <v>1963</v>
      </c>
      <c r="I221" t="s">
        <v>1963</v>
      </c>
      <c r="J221">
        <v>650</v>
      </c>
      <c r="K221">
        <v>625</v>
      </c>
      <c r="L221">
        <v>530</v>
      </c>
      <c r="M221" t="s">
        <v>1963</v>
      </c>
      <c r="N221">
        <v>610</v>
      </c>
      <c r="O221">
        <v>555</v>
      </c>
      <c r="P221">
        <v>495</v>
      </c>
      <c r="Q221" t="s">
        <v>36</v>
      </c>
      <c r="R221">
        <v>24</v>
      </c>
      <c r="S221">
        <v>1</v>
      </c>
      <c r="T221" s="4" t="s">
        <v>1965</v>
      </c>
      <c r="U221" s="4" t="s">
        <v>1966</v>
      </c>
      <c r="V221">
        <v>0</v>
      </c>
      <c r="W221" s="6" t="str">
        <f t="shared" si="3"/>
        <v>(2285,null,1,'2026-03-24 00:00:00','003304050020000-33040500201','003304050020000-33040500201','小儿虹膜周边切除术',null,null,650,625,530,null,610,555,495,'次',24,1,'normal','main',0),</v>
      </c>
    </row>
    <row r="222" spans="1:23">
      <c r="A222">
        <v>2286</v>
      </c>
      <c r="B222" t="s">
        <v>1963</v>
      </c>
      <c r="C222">
        <v>1</v>
      </c>
      <c r="D222" s="3" t="s">
        <v>1964</v>
      </c>
      <c r="E222" t="s">
        <v>1103</v>
      </c>
      <c r="F222" t="s">
        <v>1103</v>
      </c>
      <c r="G222" t="s">
        <v>1104</v>
      </c>
      <c r="H222" t="s">
        <v>1963</v>
      </c>
      <c r="I222" t="s">
        <v>1963</v>
      </c>
      <c r="J222">
        <v>650</v>
      </c>
      <c r="K222">
        <v>625</v>
      </c>
      <c r="L222">
        <v>530</v>
      </c>
      <c r="M222" t="s">
        <v>1963</v>
      </c>
      <c r="N222">
        <v>610</v>
      </c>
      <c r="O222">
        <v>555</v>
      </c>
      <c r="P222">
        <v>495</v>
      </c>
      <c r="Q222" t="s">
        <v>36</v>
      </c>
      <c r="R222">
        <v>24</v>
      </c>
      <c r="S222">
        <v>1</v>
      </c>
      <c r="T222" s="4" t="s">
        <v>1965</v>
      </c>
      <c r="U222" s="4" t="s">
        <v>1966</v>
      </c>
      <c r="V222">
        <v>0</v>
      </c>
      <c r="W222" s="6" t="str">
        <f t="shared" si="3"/>
        <v>(2286,null,1,'2026-03-24 00:00:00','003304050040000-33040500401','003304050040000-33040500401','小儿虹膜贯穿术',null,null,650,625,530,null,610,555,495,'次',24,1,'normal','main',0),</v>
      </c>
    </row>
    <row r="223" spans="1:23">
      <c r="A223">
        <v>2287</v>
      </c>
      <c r="B223" t="s">
        <v>1963</v>
      </c>
      <c r="C223">
        <v>1</v>
      </c>
      <c r="D223" s="3" t="s">
        <v>1964</v>
      </c>
      <c r="E223" t="s">
        <v>1110</v>
      </c>
      <c r="F223" t="s">
        <v>1110</v>
      </c>
      <c r="G223" t="s">
        <v>1111</v>
      </c>
      <c r="H223" t="s">
        <v>1963</v>
      </c>
      <c r="I223" t="s">
        <v>1963</v>
      </c>
      <c r="J223">
        <v>1000</v>
      </c>
      <c r="K223">
        <v>960</v>
      </c>
      <c r="L223">
        <v>816</v>
      </c>
      <c r="M223" t="s">
        <v>1963</v>
      </c>
      <c r="N223">
        <v>1000</v>
      </c>
      <c r="O223">
        <v>960</v>
      </c>
      <c r="P223">
        <v>816</v>
      </c>
      <c r="Q223" t="s">
        <v>36</v>
      </c>
      <c r="R223">
        <v>24</v>
      </c>
      <c r="S223">
        <v>1</v>
      </c>
      <c r="T223" s="4" t="s">
        <v>1965</v>
      </c>
      <c r="U223" s="4" t="s">
        <v>1966</v>
      </c>
      <c r="V223">
        <v>0</v>
      </c>
      <c r="W223" s="6" t="str">
        <f t="shared" si="3"/>
        <v>(2287,null,1,'2026-03-24 00:00:00','003304040130000-330404013','003304040130000-330404013','瞳孔再造术',null,null,1000,960,816,null,1000,960,816,'次',24,1,'normal','main',0),</v>
      </c>
    </row>
    <row r="224" spans="1:23">
      <c r="A224">
        <v>2288</v>
      </c>
      <c r="B224" t="s">
        <v>1963</v>
      </c>
      <c r="C224">
        <v>1</v>
      </c>
      <c r="D224" s="3" t="s">
        <v>1964</v>
      </c>
      <c r="E224" t="s">
        <v>1113</v>
      </c>
      <c r="F224" t="s">
        <v>1113</v>
      </c>
      <c r="G224" t="s">
        <v>1114</v>
      </c>
      <c r="H224" t="s">
        <v>1963</v>
      </c>
      <c r="I224" t="s">
        <v>1963</v>
      </c>
      <c r="J224">
        <v>1000</v>
      </c>
      <c r="K224">
        <v>960</v>
      </c>
      <c r="L224">
        <v>816</v>
      </c>
      <c r="M224" t="s">
        <v>1963</v>
      </c>
      <c r="N224">
        <v>1000</v>
      </c>
      <c r="O224">
        <v>960</v>
      </c>
      <c r="P224">
        <v>816</v>
      </c>
      <c r="Q224" t="s">
        <v>36</v>
      </c>
      <c r="R224">
        <v>24</v>
      </c>
      <c r="S224">
        <v>1</v>
      </c>
      <c r="T224" s="4" t="s">
        <v>1965</v>
      </c>
      <c r="U224" s="4" t="s">
        <v>1966</v>
      </c>
      <c r="V224">
        <v>0</v>
      </c>
      <c r="W224" s="6" t="str">
        <f t="shared" si="3"/>
        <v>(2288,null,1,'2026-03-24 00:00:00','003304040130000-33040401302','003304040130000-33040401302','瞳孔开大术',null,null,1000,960,816,null,1000,960,816,'次',24,1,'normal','main',0),</v>
      </c>
    </row>
    <row r="225" spans="1:23">
      <c r="A225">
        <v>2289</v>
      </c>
      <c r="B225" t="s">
        <v>1963</v>
      </c>
      <c r="C225">
        <v>1</v>
      </c>
      <c r="D225" s="3" t="s">
        <v>1964</v>
      </c>
      <c r="E225" t="s">
        <v>1117</v>
      </c>
      <c r="F225" t="s">
        <v>1117</v>
      </c>
      <c r="G225" t="s">
        <v>1118</v>
      </c>
      <c r="H225" t="s">
        <v>1963</v>
      </c>
      <c r="I225" t="s">
        <v>1963</v>
      </c>
      <c r="J225">
        <v>1300</v>
      </c>
      <c r="K225">
        <v>1250</v>
      </c>
      <c r="L225">
        <v>1065</v>
      </c>
      <c r="M225" t="s">
        <v>1963</v>
      </c>
      <c r="N225">
        <v>1300</v>
      </c>
      <c r="O225">
        <v>1250</v>
      </c>
      <c r="P225">
        <v>1061</v>
      </c>
      <c r="Q225" t="s">
        <v>36</v>
      </c>
      <c r="R225">
        <v>24</v>
      </c>
      <c r="S225">
        <v>1</v>
      </c>
      <c r="T225" s="4" t="s">
        <v>1965</v>
      </c>
      <c r="U225" s="4" t="s">
        <v>1966</v>
      </c>
      <c r="V225">
        <v>0</v>
      </c>
      <c r="W225" s="6" t="str">
        <f t="shared" si="3"/>
        <v>(2289,null,1,'2026-03-24 00:00:00','003304040130000-33040401301','003304040130000-33040401301','小儿瞳孔再造术',null,null,1300,1250,1065,null,1300,1250,1061,'次',24,1,'normal','main',0),</v>
      </c>
    </row>
    <row r="226" spans="1:23">
      <c r="A226">
        <v>2290</v>
      </c>
      <c r="B226" t="s">
        <v>1963</v>
      </c>
      <c r="C226">
        <v>1</v>
      </c>
      <c r="D226" s="3" t="s">
        <v>1964</v>
      </c>
      <c r="E226" t="s">
        <v>1119</v>
      </c>
      <c r="F226" t="s">
        <v>1119</v>
      </c>
      <c r="G226" t="s">
        <v>1120</v>
      </c>
      <c r="H226" t="s">
        <v>1963</v>
      </c>
      <c r="I226" t="s">
        <v>1963</v>
      </c>
      <c r="J226">
        <v>1300</v>
      </c>
      <c r="K226">
        <v>1250</v>
      </c>
      <c r="L226">
        <v>1065</v>
      </c>
      <c r="M226" t="s">
        <v>1963</v>
      </c>
      <c r="N226">
        <v>1300</v>
      </c>
      <c r="O226">
        <v>1250</v>
      </c>
      <c r="P226">
        <v>1061</v>
      </c>
      <c r="Q226" t="s">
        <v>36</v>
      </c>
      <c r="R226">
        <v>24</v>
      </c>
      <c r="S226">
        <v>1</v>
      </c>
      <c r="T226" s="4" t="s">
        <v>1965</v>
      </c>
      <c r="U226" s="4" t="s">
        <v>1966</v>
      </c>
      <c r="V226">
        <v>0</v>
      </c>
      <c r="W226" s="6" t="str">
        <f t="shared" si="3"/>
        <v>(2290,null,1,'2026-03-24 00:00:00','003304040130000-33040401303','003304040130000-33040401303','小儿瞳孔开大术',null,null,1300,1250,1065,null,1300,1250,1061,'次',24,1,'normal','main',0),</v>
      </c>
    </row>
    <row r="227" spans="1:23">
      <c r="A227">
        <v>2291</v>
      </c>
      <c r="B227" t="s">
        <v>1963</v>
      </c>
      <c r="C227">
        <v>1</v>
      </c>
      <c r="D227" s="3" t="s">
        <v>1964</v>
      </c>
      <c r="E227" t="s">
        <v>1123</v>
      </c>
      <c r="F227" t="s">
        <v>1123</v>
      </c>
      <c r="G227" t="s">
        <v>1124</v>
      </c>
      <c r="H227" t="s">
        <v>1963</v>
      </c>
      <c r="I227" t="s">
        <v>1963</v>
      </c>
      <c r="J227">
        <v>625</v>
      </c>
      <c r="K227">
        <v>600</v>
      </c>
      <c r="L227">
        <v>510</v>
      </c>
      <c r="M227" t="s">
        <v>1963</v>
      </c>
      <c r="N227">
        <v>1000</v>
      </c>
      <c r="O227">
        <v>960</v>
      </c>
      <c r="P227">
        <v>816</v>
      </c>
      <c r="Q227" t="s">
        <v>36</v>
      </c>
      <c r="R227">
        <v>24</v>
      </c>
      <c r="S227">
        <v>1</v>
      </c>
      <c r="T227" s="4" t="s">
        <v>1965</v>
      </c>
      <c r="U227" s="4" t="s">
        <v>1966</v>
      </c>
      <c r="V227">
        <v>0</v>
      </c>
      <c r="W227" s="6" t="str">
        <f t="shared" si="3"/>
        <v>(2291,null,1,'2026-03-24 00:00:00','003304050120000-330405012','003304050120000-330405012','前房成形术',null,null,625,600,510,null,1000,960,816,'次',24,1,'normal','main',0),</v>
      </c>
    </row>
    <row r="228" spans="1:23">
      <c r="A228">
        <v>2292</v>
      </c>
      <c r="B228" t="s">
        <v>1963</v>
      </c>
      <c r="C228">
        <v>1</v>
      </c>
      <c r="D228" s="3" t="s">
        <v>1964</v>
      </c>
      <c r="E228" t="s">
        <v>1125</v>
      </c>
      <c r="F228" t="s">
        <v>1125</v>
      </c>
      <c r="G228" t="s">
        <v>1126</v>
      </c>
      <c r="H228" t="s">
        <v>1963</v>
      </c>
      <c r="I228" t="s">
        <v>1963</v>
      </c>
      <c r="J228">
        <v>815</v>
      </c>
      <c r="K228">
        <v>780</v>
      </c>
      <c r="L228">
        <v>665</v>
      </c>
      <c r="M228" t="s">
        <v>1963</v>
      </c>
      <c r="N228">
        <v>1000</v>
      </c>
      <c r="O228">
        <v>960</v>
      </c>
      <c r="P228">
        <v>816</v>
      </c>
      <c r="Q228" t="s">
        <v>36</v>
      </c>
      <c r="R228">
        <v>24</v>
      </c>
      <c r="S228">
        <v>1</v>
      </c>
      <c r="T228" s="4" t="s">
        <v>1965</v>
      </c>
      <c r="U228" s="4" t="s">
        <v>1966</v>
      </c>
      <c r="V228">
        <v>0</v>
      </c>
      <c r="W228" s="6" t="str">
        <f t="shared" si="3"/>
        <v>(2292,null,1,'2026-03-24 00:00:00','003304050120000-33040501201','003304050120000-33040501201','小儿前房成形术',null,null,815,780,665,null,1000,960,816,'次',24,1,'normal','main',0),</v>
      </c>
    </row>
    <row r="229" spans="1:23">
      <c r="A229">
        <v>2293</v>
      </c>
      <c r="B229" t="s">
        <v>1963</v>
      </c>
      <c r="C229">
        <v>1</v>
      </c>
      <c r="D229" s="3" t="s">
        <v>1964</v>
      </c>
      <c r="E229" t="s">
        <v>1133</v>
      </c>
      <c r="F229" t="s">
        <v>1133</v>
      </c>
      <c r="G229" t="s">
        <v>1134</v>
      </c>
      <c r="H229" t="s">
        <v>1963</v>
      </c>
      <c r="I229" t="s">
        <v>1963</v>
      </c>
      <c r="J229">
        <v>1010</v>
      </c>
      <c r="K229">
        <v>910</v>
      </c>
      <c r="L229">
        <v>775</v>
      </c>
      <c r="M229" t="s">
        <v>1963</v>
      </c>
      <c r="N229">
        <v>470</v>
      </c>
      <c r="O229">
        <v>450</v>
      </c>
      <c r="P229">
        <v>385</v>
      </c>
      <c r="Q229" t="s">
        <v>36</v>
      </c>
      <c r="R229">
        <v>24</v>
      </c>
      <c r="S229">
        <v>1</v>
      </c>
      <c r="T229" s="4" t="s">
        <v>1965</v>
      </c>
      <c r="U229" s="4" t="s">
        <v>1966</v>
      </c>
      <c r="V229">
        <v>0</v>
      </c>
      <c r="W229" s="6" t="str">
        <f t="shared" si="3"/>
        <v>(2293,null,1,'2026-03-24 00:00:00','003304010050000-330401005','003304010050000-330401005','睑下垂矫正联合眦整形术',null,null,1010,910,775,null,470,450,385,'次',24,1,'normal','main',0),</v>
      </c>
    </row>
    <row r="230" spans="1:23">
      <c r="A230">
        <v>2294</v>
      </c>
      <c r="B230" t="s">
        <v>1963</v>
      </c>
      <c r="C230">
        <v>1</v>
      </c>
      <c r="D230" s="3" t="s">
        <v>1964</v>
      </c>
      <c r="E230" t="s">
        <v>1135</v>
      </c>
      <c r="F230" t="s">
        <v>1135</v>
      </c>
      <c r="G230" t="s">
        <v>1136</v>
      </c>
      <c r="H230" t="s">
        <v>1963</v>
      </c>
      <c r="I230" t="s">
        <v>1963</v>
      </c>
      <c r="J230">
        <v>750</v>
      </c>
      <c r="K230">
        <v>720</v>
      </c>
      <c r="L230">
        <v>612</v>
      </c>
      <c r="M230" t="s">
        <v>1963</v>
      </c>
      <c r="N230">
        <v>470</v>
      </c>
      <c r="O230">
        <v>450</v>
      </c>
      <c r="P230">
        <v>385</v>
      </c>
      <c r="Q230" t="s">
        <v>36</v>
      </c>
      <c r="R230">
        <v>24</v>
      </c>
      <c r="S230">
        <v>1</v>
      </c>
      <c r="T230" s="4" t="s">
        <v>1965</v>
      </c>
      <c r="U230" s="4" t="s">
        <v>1966</v>
      </c>
      <c r="V230">
        <v>0</v>
      </c>
      <c r="W230" s="6" t="str">
        <f t="shared" si="3"/>
        <v>(2294,null,1,'2026-03-24 00:00:00','003304010100000-330401010','003304010100000-330401010','游离植皮睑成形术',null,null,750,720,612,null,470,450,385,'次',24,1,'normal','main',0),</v>
      </c>
    </row>
    <row r="231" spans="1:23">
      <c r="A231">
        <v>2295</v>
      </c>
      <c r="B231" t="s">
        <v>1963</v>
      </c>
      <c r="C231">
        <v>1</v>
      </c>
      <c r="D231" s="3" t="s">
        <v>1964</v>
      </c>
      <c r="E231" t="s">
        <v>1137</v>
      </c>
      <c r="F231" t="s">
        <v>1137</v>
      </c>
      <c r="G231" t="s">
        <v>1138</v>
      </c>
      <c r="H231" t="s">
        <v>1963</v>
      </c>
      <c r="I231" t="s">
        <v>1963</v>
      </c>
      <c r="J231">
        <v>625</v>
      </c>
      <c r="K231">
        <v>600</v>
      </c>
      <c r="L231">
        <v>510</v>
      </c>
      <c r="M231" t="s">
        <v>1963</v>
      </c>
      <c r="N231">
        <v>470</v>
      </c>
      <c r="O231">
        <v>450</v>
      </c>
      <c r="P231">
        <v>385</v>
      </c>
      <c r="Q231" t="s">
        <v>1141</v>
      </c>
      <c r="R231">
        <v>24</v>
      </c>
      <c r="S231">
        <v>1</v>
      </c>
      <c r="T231" s="4" t="s">
        <v>1965</v>
      </c>
      <c r="U231" s="4" t="s">
        <v>1966</v>
      </c>
      <c r="V231">
        <v>0</v>
      </c>
      <c r="W231" s="6" t="str">
        <f t="shared" si="3"/>
        <v>(2295,null,1,'2026-03-24 00:00:00','003304010170000-330401017','003304010170000-330401017','睑凹陷畸形矫正术',null,null,625,600,510,null,470,450,385,'每个部位',24,1,'normal','main',0),</v>
      </c>
    </row>
    <row r="232" spans="1:23">
      <c r="A232">
        <v>2296</v>
      </c>
      <c r="B232" t="s">
        <v>1963</v>
      </c>
      <c r="C232">
        <v>1</v>
      </c>
      <c r="D232" s="3" t="s">
        <v>1964</v>
      </c>
      <c r="E232" t="s">
        <v>1142</v>
      </c>
      <c r="F232" t="s">
        <v>1142</v>
      </c>
      <c r="G232" t="s">
        <v>1143</v>
      </c>
      <c r="H232" t="s">
        <v>1963</v>
      </c>
      <c r="I232" t="s">
        <v>1963</v>
      </c>
      <c r="J232">
        <v>250</v>
      </c>
      <c r="K232">
        <v>240</v>
      </c>
      <c r="L232">
        <v>204</v>
      </c>
      <c r="M232" t="s">
        <v>1963</v>
      </c>
      <c r="N232">
        <v>470</v>
      </c>
      <c r="O232">
        <v>450</v>
      </c>
      <c r="P232">
        <v>385</v>
      </c>
      <c r="Q232" t="s">
        <v>110</v>
      </c>
      <c r="R232">
        <v>24</v>
      </c>
      <c r="S232">
        <v>1</v>
      </c>
      <c r="T232" s="4" t="s">
        <v>1965</v>
      </c>
      <c r="U232" s="4" t="s">
        <v>1966</v>
      </c>
      <c r="V232">
        <v>0</v>
      </c>
      <c r="W232" s="6" t="str">
        <f t="shared" si="3"/>
        <v>(2296,null,1,'2026-03-24 00:00:00','003304010140000-330401014','003304010140000-330401014','双行睫矫正术',null,null,250,240,204,null,470,450,385,'单侧',24,1,'normal','main',0),</v>
      </c>
    </row>
    <row r="233" spans="1:23">
      <c r="A233">
        <v>2297</v>
      </c>
      <c r="B233" t="s">
        <v>1963</v>
      </c>
      <c r="C233">
        <v>1</v>
      </c>
      <c r="D233" s="3" t="s">
        <v>1964</v>
      </c>
      <c r="E233" t="s">
        <v>1147</v>
      </c>
      <c r="F233" t="s">
        <v>1147</v>
      </c>
      <c r="G233" t="s">
        <v>1148</v>
      </c>
      <c r="H233" t="s">
        <v>1963</v>
      </c>
      <c r="I233" t="s">
        <v>1963</v>
      </c>
      <c r="J233">
        <v>1315</v>
      </c>
      <c r="K233">
        <v>1185</v>
      </c>
      <c r="L233">
        <v>1005</v>
      </c>
      <c r="M233" t="s">
        <v>1963</v>
      </c>
      <c r="N233">
        <v>610</v>
      </c>
      <c r="O233">
        <v>585</v>
      </c>
      <c r="P233">
        <v>500</v>
      </c>
      <c r="Q233" t="s">
        <v>36</v>
      </c>
      <c r="R233">
        <v>24</v>
      </c>
      <c r="S233">
        <v>1</v>
      </c>
      <c r="T233" s="4" t="s">
        <v>1965</v>
      </c>
      <c r="U233" s="4" t="s">
        <v>1966</v>
      </c>
      <c r="V233">
        <v>0</v>
      </c>
      <c r="W233" s="6" t="str">
        <f t="shared" si="3"/>
        <v>(2297,null,1,'2026-03-24 00:00:00','003304010050000-33040100501','003304010050000-33040100501','小儿睑下垂矫正联合眦整形术',null,null,1315,1185,1005,null,610,585,500,'次',24,1,'normal','main',0),</v>
      </c>
    </row>
    <row r="234" spans="1:23">
      <c r="A234">
        <v>2298</v>
      </c>
      <c r="B234" t="s">
        <v>1963</v>
      </c>
      <c r="C234">
        <v>1</v>
      </c>
      <c r="D234" s="3" t="s">
        <v>1964</v>
      </c>
      <c r="E234" t="s">
        <v>1149</v>
      </c>
      <c r="F234" t="s">
        <v>1149</v>
      </c>
      <c r="G234" t="s">
        <v>1150</v>
      </c>
      <c r="H234" t="s">
        <v>1963</v>
      </c>
      <c r="I234" t="s">
        <v>1963</v>
      </c>
      <c r="J234">
        <v>975</v>
      </c>
      <c r="K234">
        <v>935</v>
      </c>
      <c r="L234">
        <v>795</v>
      </c>
      <c r="M234" t="s">
        <v>1963</v>
      </c>
      <c r="N234">
        <v>610</v>
      </c>
      <c r="O234">
        <v>585</v>
      </c>
      <c r="P234">
        <v>500</v>
      </c>
      <c r="Q234" t="s">
        <v>36</v>
      </c>
      <c r="R234">
        <v>24</v>
      </c>
      <c r="S234">
        <v>1</v>
      </c>
      <c r="T234" s="4" t="s">
        <v>1965</v>
      </c>
      <c r="U234" s="4" t="s">
        <v>1966</v>
      </c>
      <c r="V234">
        <v>0</v>
      </c>
      <c r="W234" s="6" t="str">
        <f t="shared" si="3"/>
        <v>(2298,null,1,'2026-03-24 00:00:00','003304010100000-33040101001','003304010100000-33040101001','小儿游离植皮睑成形术',null,null,975,935,795,null,610,585,500,'次',24,1,'normal','main',0),</v>
      </c>
    </row>
    <row r="235" spans="1:23">
      <c r="A235">
        <v>2299</v>
      </c>
      <c r="B235" t="s">
        <v>1963</v>
      </c>
      <c r="C235">
        <v>1</v>
      </c>
      <c r="D235" s="3" t="s">
        <v>1964</v>
      </c>
      <c r="E235" t="s">
        <v>1151</v>
      </c>
      <c r="F235" t="s">
        <v>1151</v>
      </c>
      <c r="G235" t="s">
        <v>1152</v>
      </c>
      <c r="H235" t="s">
        <v>1963</v>
      </c>
      <c r="I235" t="s">
        <v>1963</v>
      </c>
      <c r="J235">
        <v>815</v>
      </c>
      <c r="K235">
        <v>780</v>
      </c>
      <c r="L235">
        <v>665</v>
      </c>
      <c r="M235" t="s">
        <v>1963</v>
      </c>
      <c r="N235">
        <v>610</v>
      </c>
      <c r="O235">
        <v>585</v>
      </c>
      <c r="P235">
        <v>500</v>
      </c>
      <c r="Q235" t="s">
        <v>1141</v>
      </c>
      <c r="R235">
        <v>24</v>
      </c>
      <c r="S235">
        <v>1</v>
      </c>
      <c r="T235" s="4" t="s">
        <v>1965</v>
      </c>
      <c r="U235" s="4" t="s">
        <v>1966</v>
      </c>
      <c r="V235">
        <v>0</v>
      </c>
      <c r="W235" s="6" t="str">
        <f t="shared" si="3"/>
        <v>(2299,null,1,'2026-03-24 00:00:00','003304010170000-33040101701','003304010170000-33040101701','小儿睑凹陷畸形矫正术',null,null,815,780,665,null,610,585,500,'每个部位',24,1,'normal','main',0),</v>
      </c>
    </row>
    <row r="236" spans="1:23">
      <c r="A236">
        <v>2300</v>
      </c>
      <c r="B236" t="s">
        <v>1963</v>
      </c>
      <c r="C236">
        <v>1</v>
      </c>
      <c r="D236" s="3" t="s">
        <v>1964</v>
      </c>
      <c r="E236" t="s">
        <v>1153</v>
      </c>
      <c r="F236" t="s">
        <v>1153</v>
      </c>
      <c r="G236" t="s">
        <v>1154</v>
      </c>
      <c r="H236" t="s">
        <v>1963</v>
      </c>
      <c r="I236" t="s">
        <v>1963</v>
      </c>
      <c r="J236">
        <v>325</v>
      </c>
      <c r="K236">
        <v>310</v>
      </c>
      <c r="L236">
        <v>265</v>
      </c>
      <c r="M236" t="s">
        <v>1963</v>
      </c>
      <c r="N236">
        <v>610</v>
      </c>
      <c r="O236">
        <v>585</v>
      </c>
      <c r="P236">
        <v>500</v>
      </c>
      <c r="Q236" t="s">
        <v>110</v>
      </c>
      <c r="R236">
        <v>24</v>
      </c>
      <c r="S236">
        <v>1</v>
      </c>
      <c r="T236" s="4" t="s">
        <v>1965</v>
      </c>
      <c r="U236" s="4" t="s">
        <v>1966</v>
      </c>
      <c r="V236">
        <v>0</v>
      </c>
      <c r="W236" s="6" t="str">
        <f t="shared" si="3"/>
        <v>(2300,null,1,'2026-03-24 00:00:00','003304010140000-33040101401','003304010140000-33040101401','小儿双行睫矫正术',null,null,325,310,265,null,610,585,500,'单侧',24,1,'normal','main',0),</v>
      </c>
    </row>
    <row r="237" spans="1:23">
      <c r="A237">
        <v>2301</v>
      </c>
      <c r="B237" t="s">
        <v>1963</v>
      </c>
      <c r="C237">
        <v>1</v>
      </c>
      <c r="D237" s="3" t="s">
        <v>1964</v>
      </c>
      <c r="E237" t="s">
        <v>1160</v>
      </c>
      <c r="F237" t="s">
        <v>1160</v>
      </c>
      <c r="G237" t="s">
        <v>1161</v>
      </c>
      <c r="H237" t="s">
        <v>1963</v>
      </c>
      <c r="I237" t="s">
        <v>1963</v>
      </c>
      <c r="J237">
        <v>500</v>
      </c>
      <c r="K237">
        <v>480</v>
      </c>
      <c r="L237">
        <v>408</v>
      </c>
      <c r="M237" t="s">
        <v>1963</v>
      </c>
      <c r="N237">
        <v>680</v>
      </c>
      <c r="O237">
        <v>610</v>
      </c>
      <c r="P237">
        <v>520</v>
      </c>
      <c r="Q237" t="s">
        <v>36</v>
      </c>
      <c r="R237">
        <v>24</v>
      </c>
      <c r="S237">
        <v>1</v>
      </c>
      <c r="T237" s="4" t="s">
        <v>1965</v>
      </c>
      <c r="U237" s="4" t="s">
        <v>1966</v>
      </c>
      <c r="V237">
        <v>0</v>
      </c>
      <c r="W237" s="6" t="str">
        <f t="shared" si="3"/>
        <v>(2301,null,1,'2026-03-24 00:00:00','003304010040000-330401004','003304010040000-330401004','上睑下垂矫正术',null,null,500,480,408,null,680,610,520,'次',24,1,'normal','main',0),</v>
      </c>
    </row>
    <row r="238" spans="1:23">
      <c r="A238">
        <v>2302</v>
      </c>
      <c r="B238" t="s">
        <v>1963</v>
      </c>
      <c r="C238">
        <v>1</v>
      </c>
      <c r="D238" s="3" t="s">
        <v>1964</v>
      </c>
      <c r="E238" t="s">
        <v>1165</v>
      </c>
      <c r="F238" t="s">
        <v>1165</v>
      </c>
      <c r="G238" t="s">
        <v>1166</v>
      </c>
      <c r="H238" t="s">
        <v>1963</v>
      </c>
      <c r="I238" t="s">
        <v>1963</v>
      </c>
      <c r="J238">
        <v>600</v>
      </c>
      <c r="K238">
        <v>576</v>
      </c>
      <c r="L238">
        <v>489.6</v>
      </c>
      <c r="M238" t="s">
        <v>1963</v>
      </c>
      <c r="N238">
        <v>680</v>
      </c>
      <c r="O238">
        <v>610</v>
      </c>
      <c r="P238">
        <v>520</v>
      </c>
      <c r="Q238" t="s">
        <v>36</v>
      </c>
      <c r="R238">
        <v>24</v>
      </c>
      <c r="S238">
        <v>1</v>
      </c>
      <c r="T238" s="4" t="s">
        <v>1965</v>
      </c>
      <c r="U238" s="4" t="s">
        <v>1966</v>
      </c>
      <c r="V238">
        <v>0</v>
      </c>
      <c r="W238" s="6" t="str">
        <f t="shared" si="3"/>
        <v>(2302,null,1,'2026-03-24 00:00:00','003304010040001-33040100401','003304010040001-33040100401','上睑下垂矫正术（肌瓣移植时）',null,null,600,576,489.6,null,680,610,520,'次',24,1,'normal','main',0),</v>
      </c>
    </row>
    <row r="239" spans="1:23">
      <c r="A239">
        <v>2303</v>
      </c>
      <c r="B239" t="s">
        <v>1963</v>
      </c>
      <c r="C239">
        <v>1</v>
      </c>
      <c r="D239" s="3" t="s">
        <v>1964</v>
      </c>
      <c r="E239" t="s">
        <v>1168</v>
      </c>
      <c r="F239" t="s">
        <v>1168</v>
      </c>
      <c r="G239" t="s">
        <v>1169</v>
      </c>
      <c r="H239" t="s">
        <v>1963</v>
      </c>
      <c r="I239" t="s">
        <v>1963</v>
      </c>
      <c r="J239">
        <v>625</v>
      </c>
      <c r="K239">
        <v>600</v>
      </c>
      <c r="L239">
        <v>510</v>
      </c>
      <c r="M239" t="s">
        <v>1963</v>
      </c>
      <c r="N239">
        <v>680</v>
      </c>
      <c r="O239">
        <v>610</v>
      </c>
      <c r="P239">
        <v>520</v>
      </c>
      <c r="Q239" t="s">
        <v>36</v>
      </c>
      <c r="R239">
        <v>24</v>
      </c>
      <c r="S239">
        <v>1</v>
      </c>
      <c r="T239" s="4" t="s">
        <v>1965</v>
      </c>
      <c r="U239" s="4" t="s">
        <v>1966</v>
      </c>
      <c r="V239">
        <v>0</v>
      </c>
      <c r="W239" s="6" t="str">
        <f t="shared" si="3"/>
        <v>(2303,null,1,'2026-03-24 00:00:00','003304010060000-330401006','003304010060000-330401006','睑退缩矫正术',null,null,625,600,510,null,680,610,520,'次',24,1,'normal','main',0),</v>
      </c>
    </row>
    <row r="240" spans="1:23">
      <c r="A240">
        <v>2304</v>
      </c>
      <c r="B240" t="s">
        <v>1963</v>
      </c>
      <c r="C240">
        <v>1</v>
      </c>
      <c r="D240" s="3" t="s">
        <v>1964</v>
      </c>
      <c r="E240" t="s">
        <v>1172</v>
      </c>
      <c r="F240" t="s">
        <v>1172</v>
      </c>
      <c r="G240" t="s">
        <v>1173</v>
      </c>
      <c r="H240" t="s">
        <v>1963</v>
      </c>
      <c r="I240" t="s">
        <v>1963</v>
      </c>
      <c r="J240">
        <v>750</v>
      </c>
      <c r="K240">
        <v>720</v>
      </c>
      <c r="L240">
        <v>612</v>
      </c>
      <c r="M240" t="s">
        <v>1963</v>
      </c>
      <c r="N240">
        <v>680</v>
      </c>
      <c r="O240">
        <v>610</v>
      </c>
      <c r="P240">
        <v>520</v>
      </c>
      <c r="Q240" t="s">
        <v>36</v>
      </c>
      <c r="R240">
        <v>24</v>
      </c>
      <c r="S240">
        <v>1</v>
      </c>
      <c r="T240" s="4" t="s">
        <v>1965</v>
      </c>
      <c r="U240" s="4" t="s">
        <v>1966</v>
      </c>
      <c r="V240">
        <v>0</v>
      </c>
      <c r="W240" s="6" t="str">
        <f t="shared" si="3"/>
        <v>(2304,null,1,'2026-03-24 00:00:00','003304010060001-33040100601','003304010060001-33040100601','睑退缩矫正术（睫毛再造和肌瓣移植）',null,null,750,720,612,null,680,610,520,'次',24,1,'normal','main',0),</v>
      </c>
    </row>
    <row r="241" spans="1:23">
      <c r="A241">
        <v>2305</v>
      </c>
      <c r="B241" t="s">
        <v>1963</v>
      </c>
      <c r="C241">
        <v>1</v>
      </c>
      <c r="D241" s="3" t="s">
        <v>1964</v>
      </c>
      <c r="E241" t="s">
        <v>1175</v>
      </c>
      <c r="F241" t="s">
        <v>1175</v>
      </c>
      <c r="G241" t="s">
        <v>1176</v>
      </c>
      <c r="H241" t="s">
        <v>1963</v>
      </c>
      <c r="I241" t="s">
        <v>1963</v>
      </c>
      <c r="J241">
        <v>250</v>
      </c>
      <c r="K241">
        <v>240</v>
      </c>
      <c r="L241">
        <v>204</v>
      </c>
      <c r="M241" t="s">
        <v>1963</v>
      </c>
      <c r="N241">
        <v>680</v>
      </c>
      <c r="O241">
        <v>610</v>
      </c>
      <c r="P241">
        <v>520</v>
      </c>
      <c r="Q241" t="s">
        <v>36</v>
      </c>
      <c r="R241">
        <v>24</v>
      </c>
      <c r="S241">
        <v>1</v>
      </c>
      <c r="T241" s="4" t="s">
        <v>1965</v>
      </c>
      <c r="U241" s="4" t="s">
        <v>1966</v>
      </c>
      <c r="V241">
        <v>0</v>
      </c>
      <c r="W241" s="6" t="str">
        <f t="shared" si="3"/>
        <v>(2305,null,1,'2026-03-24 00:00:00','003304010070000-330401007','003304010070000-330401007','睑内翻矫正术',null,null,250,240,204,null,680,610,520,'次',24,1,'normal','main',0),</v>
      </c>
    </row>
    <row r="242" spans="1:23">
      <c r="A242">
        <v>2306</v>
      </c>
      <c r="B242" t="s">
        <v>1963</v>
      </c>
      <c r="C242">
        <v>1</v>
      </c>
      <c r="D242" s="3" t="s">
        <v>1964</v>
      </c>
      <c r="E242" t="s">
        <v>1179</v>
      </c>
      <c r="F242" t="s">
        <v>1179</v>
      </c>
      <c r="G242" t="s">
        <v>1180</v>
      </c>
      <c r="H242" t="s">
        <v>1963</v>
      </c>
      <c r="I242" t="s">
        <v>1963</v>
      </c>
      <c r="J242">
        <v>500</v>
      </c>
      <c r="K242">
        <v>480</v>
      </c>
      <c r="L242">
        <v>408</v>
      </c>
      <c r="M242" t="s">
        <v>1963</v>
      </c>
      <c r="N242">
        <v>680</v>
      </c>
      <c r="O242">
        <v>610</v>
      </c>
      <c r="P242">
        <v>520</v>
      </c>
      <c r="Q242" t="s">
        <v>36</v>
      </c>
      <c r="R242">
        <v>24</v>
      </c>
      <c r="S242">
        <v>1</v>
      </c>
      <c r="T242" s="4" t="s">
        <v>1965</v>
      </c>
      <c r="U242" s="4" t="s">
        <v>1966</v>
      </c>
      <c r="V242">
        <v>0</v>
      </c>
      <c r="W242" s="6" t="str">
        <f t="shared" si="3"/>
        <v>(2306,null,1,'2026-03-24 00:00:00','003304010070000-33040100701','003304010070000-33040100701','睑内翻矫正术（切开矫正法）',null,null,500,480,408,null,680,610,520,'次',24,1,'normal','main',0),</v>
      </c>
    </row>
    <row r="243" spans="1:23">
      <c r="A243">
        <v>2307</v>
      </c>
      <c r="B243" t="s">
        <v>1963</v>
      </c>
      <c r="C243">
        <v>1</v>
      </c>
      <c r="D243" s="3" t="s">
        <v>1964</v>
      </c>
      <c r="E243" t="s">
        <v>1182</v>
      </c>
      <c r="F243" t="s">
        <v>1182</v>
      </c>
      <c r="G243" t="s">
        <v>1183</v>
      </c>
      <c r="H243" t="s">
        <v>1963</v>
      </c>
      <c r="I243" t="s">
        <v>1963</v>
      </c>
      <c r="J243">
        <v>250</v>
      </c>
      <c r="K243">
        <v>240</v>
      </c>
      <c r="L243">
        <v>204</v>
      </c>
      <c r="M243" t="s">
        <v>1963</v>
      </c>
      <c r="N243">
        <v>680</v>
      </c>
      <c r="O243">
        <v>610</v>
      </c>
      <c r="P243">
        <v>520</v>
      </c>
      <c r="Q243" t="s">
        <v>36</v>
      </c>
      <c r="R243">
        <v>24</v>
      </c>
      <c r="S243">
        <v>1</v>
      </c>
      <c r="T243" s="4" t="s">
        <v>1965</v>
      </c>
      <c r="U243" s="4" t="s">
        <v>1966</v>
      </c>
      <c r="V243">
        <v>0</v>
      </c>
      <c r="W243" s="6" t="str">
        <f t="shared" si="3"/>
        <v>(2307,null,1,'2026-03-24 00:00:00','003304010080000-330401008','003304010080000-330401008','睑外翻矫正术',null,null,250,240,204,null,680,610,520,'次',24,1,'normal','main',0),</v>
      </c>
    </row>
    <row r="244" spans="1:23">
      <c r="A244">
        <v>2308</v>
      </c>
      <c r="B244" t="s">
        <v>1963</v>
      </c>
      <c r="C244">
        <v>1</v>
      </c>
      <c r="D244" s="3" t="s">
        <v>1964</v>
      </c>
      <c r="E244" t="s">
        <v>1185</v>
      </c>
      <c r="F244" t="s">
        <v>1185</v>
      </c>
      <c r="G244" t="s">
        <v>1186</v>
      </c>
      <c r="H244" t="s">
        <v>1963</v>
      </c>
      <c r="I244" t="s">
        <v>1963</v>
      </c>
      <c r="J244">
        <v>300</v>
      </c>
      <c r="K244">
        <v>288</v>
      </c>
      <c r="L244">
        <v>244.8</v>
      </c>
      <c r="M244" t="s">
        <v>1963</v>
      </c>
      <c r="N244">
        <v>680</v>
      </c>
      <c r="O244">
        <v>610</v>
      </c>
      <c r="P244">
        <v>520</v>
      </c>
      <c r="Q244" t="s">
        <v>36</v>
      </c>
      <c r="R244">
        <v>24</v>
      </c>
      <c r="S244">
        <v>1</v>
      </c>
      <c r="T244" s="4" t="s">
        <v>1965</v>
      </c>
      <c r="U244" s="4" t="s">
        <v>1966</v>
      </c>
      <c r="V244">
        <v>0</v>
      </c>
      <c r="W244" s="6" t="str">
        <f t="shared" si="3"/>
        <v>(2308,null,1,'2026-03-24 00:00:00','003304010080001-33040100801','003304010080001-33040100801','睑外翻矫正术（植皮时）',null,null,300,288,244.8,null,680,610,520,'次',24,1,'normal','main',0),</v>
      </c>
    </row>
    <row r="245" spans="1:23">
      <c r="A245">
        <v>2309</v>
      </c>
      <c r="B245" t="s">
        <v>1963</v>
      </c>
      <c r="C245">
        <v>1</v>
      </c>
      <c r="D245" s="3" t="s">
        <v>1964</v>
      </c>
      <c r="E245" t="s">
        <v>1190</v>
      </c>
      <c r="F245" t="s">
        <v>1190</v>
      </c>
      <c r="G245" t="s">
        <v>1191</v>
      </c>
      <c r="H245" t="s">
        <v>1963</v>
      </c>
      <c r="I245" t="s">
        <v>1963</v>
      </c>
      <c r="J245">
        <v>650</v>
      </c>
      <c r="K245">
        <v>625</v>
      </c>
      <c r="L245">
        <v>530</v>
      </c>
      <c r="M245" t="s">
        <v>1963</v>
      </c>
      <c r="N245">
        <v>885</v>
      </c>
      <c r="O245">
        <v>795</v>
      </c>
      <c r="P245">
        <v>675</v>
      </c>
      <c r="Q245" t="s">
        <v>36</v>
      </c>
      <c r="R245">
        <v>24</v>
      </c>
      <c r="S245">
        <v>1</v>
      </c>
      <c r="T245" s="4" t="s">
        <v>1965</v>
      </c>
      <c r="U245" s="4" t="s">
        <v>1966</v>
      </c>
      <c r="V245">
        <v>0</v>
      </c>
      <c r="W245" s="6" t="str">
        <f t="shared" si="3"/>
        <v>(2309,null,1,'2026-03-24 00:00:00','003304010040000-33040100402','003304010040000-33040100402','小儿上睑下垂矫正术',null,null,650,625,530,null,885,795,675,'次',24,1,'normal','main',0),</v>
      </c>
    </row>
    <row r="246" spans="1:23">
      <c r="A246">
        <v>2310</v>
      </c>
      <c r="B246" t="s">
        <v>1963</v>
      </c>
      <c r="C246">
        <v>1</v>
      </c>
      <c r="D246" s="3" t="s">
        <v>1964</v>
      </c>
      <c r="E246" t="s">
        <v>1192</v>
      </c>
      <c r="F246" t="s">
        <v>1192</v>
      </c>
      <c r="G246" t="s">
        <v>1193</v>
      </c>
      <c r="H246" t="s">
        <v>1963</v>
      </c>
      <c r="I246" t="s">
        <v>1963</v>
      </c>
      <c r="J246">
        <v>780</v>
      </c>
      <c r="K246">
        <v>750</v>
      </c>
      <c r="L246">
        <v>640</v>
      </c>
      <c r="M246" t="s">
        <v>1963</v>
      </c>
      <c r="N246">
        <v>885</v>
      </c>
      <c r="O246">
        <v>795</v>
      </c>
      <c r="P246">
        <v>675</v>
      </c>
      <c r="Q246" t="s">
        <v>36</v>
      </c>
      <c r="R246">
        <v>24</v>
      </c>
      <c r="S246">
        <v>1</v>
      </c>
      <c r="T246" s="4" t="s">
        <v>1965</v>
      </c>
      <c r="U246" s="4" t="s">
        <v>1966</v>
      </c>
      <c r="V246">
        <v>0</v>
      </c>
      <c r="W246" s="6" t="str">
        <f t="shared" si="3"/>
        <v>(2310,null,1,'2026-03-24 00:00:00','003304010040001-33040100403','003304010040001-33040100403','小儿上睑下垂矫正术（肌瓣移植时）',null,null,780,750,640,null,885,795,675,'次',24,1,'normal','main',0),</v>
      </c>
    </row>
    <row r="247" spans="1:23">
      <c r="A247">
        <v>2311</v>
      </c>
      <c r="B247" t="s">
        <v>1963</v>
      </c>
      <c r="C247">
        <v>1</v>
      </c>
      <c r="D247" s="3" t="s">
        <v>1964</v>
      </c>
      <c r="E247" t="s">
        <v>1194</v>
      </c>
      <c r="F247" t="s">
        <v>1194</v>
      </c>
      <c r="G247" t="s">
        <v>1195</v>
      </c>
      <c r="H247" t="s">
        <v>1963</v>
      </c>
      <c r="I247" t="s">
        <v>1963</v>
      </c>
      <c r="J247">
        <v>815</v>
      </c>
      <c r="K247">
        <v>780</v>
      </c>
      <c r="L247">
        <v>665</v>
      </c>
      <c r="M247" t="s">
        <v>1963</v>
      </c>
      <c r="N247">
        <v>885</v>
      </c>
      <c r="O247">
        <v>795</v>
      </c>
      <c r="P247">
        <v>675</v>
      </c>
      <c r="Q247" t="s">
        <v>36</v>
      </c>
      <c r="R247">
        <v>24</v>
      </c>
      <c r="S247">
        <v>1</v>
      </c>
      <c r="T247" s="4" t="s">
        <v>1965</v>
      </c>
      <c r="U247" s="4" t="s">
        <v>1966</v>
      </c>
      <c r="V247">
        <v>0</v>
      </c>
      <c r="W247" s="6" t="str">
        <f t="shared" si="3"/>
        <v>(2311,null,1,'2026-03-24 00:00:00','003304010060000-33040100602','003304010060000-33040100602','小儿睑退缩矫正术',null,null,815,780,665,null,885,795,675,'次',24,1,'normal','main',0),</v>
      </c>
    </row>
    <row r="248" spans="1:23">
      <c r="A248">
        <v>2312</v>
      </c>
      <c r="B248" t="s">
        <v>1963</v>
      </c>
      <c r="C248">
        <v>1</v>
      </c>
      <c r="D248" s="3" t="s">
        <v>1964</v>
      </c>
      <c r="E248" t="s">
        <v>1196</v>
      </c>
      <c r="F248" t="s">
        <v>1196</v>
      </c>
      <c r="G248" t="s">
        <v>1197</v>
      </c>
      <c r="H248" t="s">
        <v>1963</v>
      </c>
      <c r="I248" t="s">
        <v>1963</v>
      </c>
      <c r="J248">
        <v>975</v>
      </c>
      <c r="K248">
        <v>935</v>
      </c>
      <c r="L248">
        <v>795</v>
      </c>
      <c r="M248" t="s">
        <v>1963</v>
      </c>
      <c r="N248">
        <v>885</v>
      </c>
      <c r="O248">
        <v>795</v>
      </c>
      <c r="P248">
        <v>675</v>
      </c>
      <c r="Q248" t="s">
        <v>36</v>
      </c>
      <c r="R248">
        <v>24</v>
      </c>
      <c r="S248">
        <v>1</v>
      </c>
      <c r="T248" s="4" t="s">
        <v>1965</v>
      </c>
      <c r="U248" s="4" t="s">
        <v>1966</v>
      </c>
      <c r="V248">
        <v>0</v>
      </c>
      <c r="W248" s="6" t="str">
        <f t="shared" si="3"/>
        <v>(2312,null,1,'2026-03-24 00:00:00','003304010060001-33040100603','003304010060001-33040100603','小儿睑退缩矫正术（睫毛再造和肌瓣移植）',null,null,975,935,795,null,885,795,675,'次',24,1,'normal','main',0),</v>
      </c>
    </row>
    <row r="249" spans="1:23">
      <c r="A249">
        <v>2313</v>
      </c>
      <c r="B249" t="s">
        <v>1963</v>
      </c>
      <c r="C249">
        <v>1</v>
      </c>
      <c r="D249" s="3" t="s">
        <v>1964</v>
      </c>
      <c r="E249" t="s">
        <v>1198</v>
      </c>
      <c r="F249" t="s">
        <v>1198</v>
      </c>
      <c r="G249" t="s">
        <v>1199</v>
      </c>
      <c r="H249" t="s">
        <v>1963</v>
      </c>
      <c r="I249" t="s">
        <v>1963</v>
      </c>
      <c r="J249">
        <v>325</v>
      </c>
      <c r="K249">
        <v>310</v>
      </c>
      <c r="L249">
        <v>265</v>
      </c>
      <c r="M249" t="s">
        <v>1963</v>
      </c>
      <c r="N249">
        <v>885</v>
      </c>
      <c r="O249">
        <v>795</v>
      </c>
      <c r="P249">
        <v>675</v>
      </c>
      <c r="Q249" t="s">
        <v>36</v>
      </c>
      <c r="R249">
        <v>24</v>
      </c>
      <c r="S249">
        <v>1</v>
      </c>
      <c r="T249" s="4" t="s">
        <v>1965</v>
      </c>
      <c r="U249" s="4" t="s">
        <v>1966</v>
      </c>
      <c r="V249">
        <v>0</v>
      </c>
      <c r="W249" s="6" t="str">
        <f t="shared" si="3"/>
        <v>(2313,null,1,'2026-03-24 00:00:00','003304010070000-33040100702','003304010070000-33040100702','小儿睑内翻矫正术',null,null,325,310,265,null,885,795,675,'次',24,1,'normal','main',0),</v>
      </c>
    </row>
    <row r="250" spans="1:23">
      <c r="A250">
        <v>2314</v>
      </c>
      <c r="B250" t="s">
        <v>1963</v>
      </c>
      <c r="C250">
        <v>1</v>
      </c>
      <c r="D250" s="3" t="s">
        <v>1964</v>
      </c>
      <c r="E250" t="s">
        <v>1200</v>
      </c>
      <c r="F250" t="s">
        <v>1200</v>
      </c>
      <c r="G250" t="s">
        <v>1201</v>
      </c>
      <c r="H250" t="s">
        <v>1963</v>
      </c>
      <c r="I250" t="s">
        <v>1963</v>
      </c>
      <c r="J250">
        <v>650</v>
      </c>
      <c r="K250">
        <v>625</v>
      </c>
      <c r="L250">
        <v>530</v>
      </c>
      <c r="M250" t="s">
        <v>1963</v>
      </c>
      <c r="N250">
        <v>885</v>
      </c>
      <c r="O250">
        <v>795</v>
      </c>
      <c r="P250">
        <v>675</v>
      </c>
      <c r="Q250" t="s">
        <v>36</v>
      </c>
      <c r="R250">
        <v>24</v>
      </c>
      <c r="S250">
        <v>1</v>
      </c>
      <c r="T250" s="4" t="s">
        <v>1965</v>
      </c>
      <c r="U250" s="4" t="s">
        <v>1966</v>
      </c>
      <c r="V250">
        <v>0</v>
      </c>
      <c r="W250" s="6" t="str">
        <f t="shared" si="3"/>
        <v>(2314,null,1,'2026-03-24 00:00:00','003304010070000-33040100703','003304010070000-33040100703','小儿睑内翻矫正术（切开矫正法）',null,null,650,625,530,null,885,795,675,'次',24,1,'normal','main',0),</v>
      </c>
    </row>
    <row r="251" spans="1:23">
      <c r="A251">
        <v>2315</v>
      </c>
      <c r="B251" t="s">
        <v>1963</v>
      </c>
      <c r="C251">
        <v>1</v>
      </c>
      <c r="D251" s="3" t="s">
        <v>1964</v>
      </c>
      <c r="E251" t="s">
        <v>1202</v>
      </c>
      <c r="F251" t="s">
        <v>1202</v>
      </c>
      <c r="G251" t="s">
        <v>1203</v>
      </c>
      <c r="H251" t="s">
        <v>1963</v>
      </c>
      <c r="I251" t="s">
        <v>1963</v>
      </c>
      <c r="J251">
        <v>325</v>
      </c>
      <c r="K251">
        <v>310</v>
      </c>
      <c r="L251">
        <v>265</v>
      </c>
      <c r="M251" t="s">
        <v>1963</v>
      </c>
      <c r="N251">
        <v>885</v>
      </c>
      <c r="O251">
        <v>795</v>
      </c>
      <c r="P251">
        <v>675</v>
      </c>
      <c r="Q251" t="s">
        <v>36</v>
      </c>
      <c r="R251">
        <v>24</v>
      </c>
      <c r="S251">
        <v>1</v>
      </c>
      <c r="T251" s="4" t="s">
        <v>1965</v>
      </c>
      <c r="U251" s="4" t="s">
        <v>1966</v>
      </c>
      <c r="V251">
        <v>0</v>
      </c>
      <c r="W251" s="6" t="str">
        <f t="shared" si="3"/>
        <v>(2315,null,1,'2026-03-24 00:00:00','003304010080000-33040100802','003304010080000-33040100802','小儿睑外翻矫正术',null,null,325,310,265,null,885,795,675,'次',24,1,'normal','main',0),</v>
      </c>
    </row>
    <row r="252" spans="1:23">
      <c r="A252">
        <v>2316</v>
      </c>
      <c r="B252" t="s">
        <v>1963</v>
      </c>
      <c r="C252">
        <v>1</v>
      </c>
      <c r="D252" s="3" t="s">
        <v>1964</v>
      </c>
      <c r="E252" t="s">
        <v>1204</v>
      </c>
      <c r="F252" t="s">
        <v>1204</v>
      </c>
      <c r="G252" t="s">
        <v>1205</v>
      </c>
      <c r="H252" t="s">
        <v>1963</v>
      </c>
      <c r="I252" t="s">
        <v>1963</v>
      </c>
      <c r="J252">
        <v>390</v>
      </c>
      <c r="K252">
        <v>375</v>
      </c>
      <c r="L252">
        <v>320</v>
      </c>
      <c r="M252" t="s">
        <v>1963</v>
      </c>
      <c r="N252">
        <v>885</v>
      </c>
      <c r="O252">
        <v>795</v>
      </c>
      <c r="P252">
        <v>675</v>
      </c>
      <c r="Q252" t="s">
        <v>36</v>
      </c>
      <c r="R252">
        <v>24</v>
      </c>
      <c r="S252">
        <v>1</v>
      </c>
      <c r="T252" s="4" t="s">
        <v>1965</v>
      </c>
      <c r="U252" s="4" t="s">
        <v>1966</v>
      </c>
      <c r="V252">
        <v>0</v>
      </c>
      <c r="W252" s="6" t="str">
        <f t="shared" si="3"/>
        <v>(2316,null,1,'2026-03-24 00:00:00','003304010080001-33040100803','003304010080001-33040100803','小儿睑外翻矫正术（植皮时）',null,null,390,375,320,null,885,795,675,'次',24,1,'normal','main',0),</v>
      </c>
    </row>
    <row r="253" spans="1:23">
      <c r="A253">
        <v>2317</v>
      </c>
      <c r="B253" t="s">
        <v>1963</v>
      </c>
      <c r="C253">
        <v>1</v>
      </c>
      <c r="D253" s="3" t="s">
        <v>1964</v>
      </c>
      <c r="E253" t="s">
        <v>1212</v>
      </c>
      <c r="F253" t="s">
        <v>1212</v>
      </c>
      <c r="G253" t="s">
        <v>1213</v>
      </c>
      <c r="H253" t="s">
        <v>1963</v>
      </c>
      <c r="I253" t="s">
        <v>1963</v>
      </c>
      <c r="J253">
        <v>437.5</v>
      </c>
      <c r="K253">
        <v>420</v>
      </c>
      <c r="L253">
        <v>357</v>
      </c>
      <c r="M253" t="s">
        <v>1963</v>
      </c>
      <c r="N253">
        <v>375</v>
      </c>
      <c r="O253">
        <v>360</v>
      </c>
      <c r="P253">
        <v>306</v>
      </c>
      <c r="Q253" t="s">
        <v>36</v>
      </c>
      <c r="R253">
        <v>24</v>
      </c>
      <c r="S253">
        <v>1</v>
      </c>
      <c r="T253" s="4" t="s">
        <v>1965</v>
      </c>
      <c r="U253" s="4" t="s">
        <v>1966</v>
      </c>
      <c r="V253">
        <v>0</v>
      </c>
      <c r="W253" s="6" t="str">
        <f t="shared" si="3"/>
        <v>(2317,null,1,'2026-03-24 00:00:00','003304010160000-330401016','003304010160000-330401016','内外眦成形术',null,null,437.5,420,357,null,375,360,306,'次',24,1,'normal','main',0),</v>
      </c>
    </row>
    <row r="254" spans="1:23">
      <c r="A254">
        <v>2318</v>
      </c>
      <c r="B254" t="s">
        <v>1963</v>
      </c>
      <c r="C254">
        <v>1</v>
      </c>
      <c r="D254" s="3" t="s">
        <v>1964</v>
      </c>
      <c r="E254" t="s">
        <v>1214</v>
      </c>
      <c r="F254" t="s">
        <v>1214</v>
      </c>
      <c r="G254" t="s">
        <v>1215</v>
      </c>
      <c r="H254" t="s">
        <v>1963</v>
      </c>
      <c r="I254" t="s">
        <v>1963</v>
      </c>
      <c r="J254">
        <v>312.5</v>
      </c>
      <c r="K254">
        <v>300</v>
      </c>
      <c r="L254">
        <v>255</v>
      </c>
      <c r="M254" t="s">
        <v>1963</v>
      </c>
      <c r="N254">
        <v>375</v>
      </c>
      <c r="O254">
        <v>360</v>
      </c>
      <c r="P254">
        <v>306</v>
      </c>
      <c r="Q254" t="s">
        <v>36</v>
      </c>
      <c r="R254">
        <v>24</v>
      </c>
      <c r="S254">
        <v>1</v>
      </c>
      <c r="T254" s="4" t="s">
        <v>1965</v>
      </c>
      <c r="U254" s="4" t="s">
        <v>1966</v>
      </c>
      <c r="V254">
        <v>0</v>
      </c>
      <c r="W254" s="6" t="str">
        <f t="shared" si="3"/>
        <v>(2318,null,1,'2026-03-24 00:00:00','003304010110000-330401011','003304010110000-330401011','内眦赘皮矫治术',null,null,312.5,300,255,null,375,360,306,'次',24,1,'normal','main',0),</v>
      </c>
    </row>
    <row r="255" spans="1:23">
      <c r="A255">
        <v>2319</v>
      </c>
      <c r="B255" t="s">
        <v>1963</v>
      </c>
      <c r="C255">
        <v>1</v>
      </c>
      <c r="D255" s="3" t="s">
        <v>1964</v>
      </c>
      <c r="E255" t="s">
        <v>1216</v>
      </c>
      <c r="F255" t="s">
        <v>1216</v>
      </c>
      <c r="G255" t="s">
        <v>1217</v>
      </c>
      <c r="H255" t="s">
        <v>1963</v>
      </c>
      <c r="I255" t="s">
        <v>1963</v>
      </c>
      <c r="J255">
        <v>500</v>
      </c>
      <c r="K255">
        <v>480</v>
      </c>
      <c r="L255">
        <v>408</v>
      </c>
      <c r="M255" t="s">
        <v>1963</v>
      </c>
      <c r="N255">
        <v>375</v>
      </c>
      <c r="O255">
        <v>360</v>
      </c>
      <c r="P255">
        <v>306</v>
      </c>
      <c r="Q255" t="s">
        <v>36</v>
      </c>
      <c r="R255">
        <v>24</v>
      </c>
      <c r="S255">
        <v>1</v>
      </c>
      <c r="T255" s="4" t="s">
        <v>1965</v>
      </c>
      <c r="U255" s="4" t="s">
        <v>1966</v>
      </c>
      <c r="V255">
        <v>0</v>
      </c>
      <c r="W255" s="6" t="str">
        <f t="shared" si="3"/>
        <v>(2319,null,1,'2026-03-24 00:00:00','003304010030000-330401003','003304010030000-330401003','内眦韧带断裂修复术',null,null,500,480,408,null,375,360,306,'次',24,1,'normal','main',0),</v>
      </c>
    </row>
    <row r="256" spans="1:23">
      <c r="A256">
        <v>2320</v>
      </c>
      <c r="B256" t="s">
        <v>1963</v>
      </c>
      <c r="C256">
        <v>1</v>
      </c>
      <c r="D256" s="3" t="s">
        <v>1964</v>
      </c>
      <c r="E256" t="s">
        <v>1219</v>
      </c>
      <c r="F256" t="s">
        <v>1219</v>
      </c>
      <c r="G256" t="s">
        <v>1220</v>
      </c>
      <c r="H256" t="s">
        <v>1963</v>
      </c>
      <c r="I256" t="s">
        <v>1963</v>
      </c>
      <c r="J256">
        <v>375</v>
      </c>
      <c r="K256">
        <v>360</v>
      </c>
      <c r="L256">
        <v>306</v>
      </c>
      <c r="M256" t="s">
        <v>1963</v>
      </c>
      <c r="N256">
        <v>375</v>
      </c>
      <c r="O256">
        <v>360</v>
      </c>
      <c r="P256">
        <v>306</v>
      </c>
      <c r="Q256" t="s">
        <v>36</v>
      </c>
      <c r="R256">
        <v>24</v>
      </c>
      <c r="S256">
        <v>1</v>
      </c>
      <c r="T256" s="4" t="s">
        <v>1965</v>
      </c>
      <c r="U256" s="4" t="s">
        <v>1966</v>
      </c>
      <c r="V256">
        <v>0</v>
      </c>
      <c r="W256" s="6" t="str">
        <f t="shared" si="3"/>
        <v>(2320,null,1,'2026-03-24 00:00:00','003304020010000-330402001','003304020010000-330402001','泪阜部肿瘤单纯切除术',null,null,375,360,306,null,375,360,306,'次',24,1,'normal','main',0),</v>
      </c>
    </row>
    <row r="257" spans="1:23">
      <c r="A257">
        <v>2321</v>
      </c>
      <c r="B257" t="s">
        <v>1963</v>
      </c>
      <c r="C257">
        <v>1</v>
      </c>
      <c r="D257" s="3" t="s">
        <v>1964</v>
      </c>
      <c r="E257" t="s">
        <v>1225</v>
      </c>
      <c r="F257" t="s">
        <v>1225</v>
      </c>
      <c r="G257" t="s">
        <v>1226</v>
      </c>
      <c r="H257" t="s">
        <v>1963</v>
      </c>
      <c r="I257" t="s">
        <v>1963</v>
      </c>
      <c r="J257">
        <v>570</v>
      </c>
      <c r="K257">
        <v>545</v>
      </c>
      <c r="L257">
        <v>465</v>
      </c>
      <c r="M257" t="s">
        <v>1963</v>
      </c>
      <c r="N257">
        <v>490</v>
      </c>
      <c r="O257">
        <v>465</v>
      </c>
      <c r="P257">
        <v>398</v>
      </c>
      <c r="Q257" t="s">
        <v>36</v>
      </c>
      <c r="R257">
        <v>24</v>
      </c>
      <c r="S257">
        <v>1</v>
      </c>
      <c r="T257" s="4" t="s">
        <v>1965</v>
      </c>
      <c r="U257" s="4" t="s">
        <v>1966</v>
      </c>
      <c r="V257">
        <v>0</v>
      </c>
      <c r="W257" s="6" t="str">
        <f t="shared" si="3"/>
        <v>(2321,null,1,'2026-03-24 00:00:00','003304010160000-33040101601','003304010160000-33040101601','小儿内外眦成形术',null,null,570,545,465,null,490,465,398,'次',24,1,'normal','main',0),</v>
      </c>
    </row>
    <row r="258" spans="1:23">
      <c r="A258">
        <v>2322</v>
      </c>
      <c r="B258" t="s">
        <v>1963</v>
      </c>
      <c r="C258">
        <v>1</v>
      </c>
      <c r="D258" s="3" t="s">
        <v>1964</v>
      </c>
      <c r="E258" t="s">
        <v>1227</v>
      </c>
      <c r="F258" t="s">
        <v>1227</v>
      </c>
      <c r="G258" t="s">
        <v>1228</v>
      </c>
      <c r="H258" t="s">
        <v>1963</v>
      </c>
      <c r="I258" t="s">
        <v>1963</v>
      </c>
      <c r="J258">
        <v>405</v>
      </c>
      <c r="K258">
        <v>390</v>
      </c>
      <c r="L258">
        <v>330</v>
      </c>
      <c r="M258" t="s">
        <v>1963</v>
      </c>
      <c r="N258">
        <v>490</v>
      </c>
      <c r="O258">
        <v>465</v>
      </c>
      <c r="P258">
        <v>398</v>
      </c>
      <c r="Q258" t="s">
        <v>36</v>
      </c>
      <c r="R258">
        <v>24</v>
      </c>
      <c r="S258">
        <v>1</v>
      </c>
      <c r="T258" s="4" t="s">
        <v>1965</v>
      </c>
      <c r="U258" s="4" t="s">
        <v>1966</v>
      </c>
      <c r="V258">
        <v>0</v>
      </c>
      <c r="W258" s="6" t="str">
        <f t="shared" si="3"/>
        <v>(2322,null,1,'2026-03-24 00:00:00','003304010110000-33040101101','003304010110000-33040101101','小儿内眦赘皮矫治术',null,null,405,390,330,null,490,465,398,'次',24,1,'normal','main',0),</v>
      </c>
    </row>
    <row r="259" spans="1:23">
      <c r="A259">
        <v>2323</v>
      </c>
      <c r="B259" t="s">
        <v>1963</v>
      </c>
      <c r="C259">
        <v>1</v>
      </c>
      <c r="D259" s="3" t="s">
        <v>1964</v>
      </c>
      <c r="E259" t="s">
        <v>1229</v>
      </c>
      <c r="F259" t="s">
        <v>1229</v>
      </c>
      <c r="G259" t="s">
        <v>1230</v>
      </c>
      <c r="H259" t="s">
        <v>1963</v>
      </c>
      <c r="I259" t="s">
        <v>1963</v>
      </c>
      <c r="J259">
        <v>650</v>
      </c>
      <c r="K259">
        <v>625</v>
      </c>
      <c r="L259">
        <v>530</v>
      </c>
      <c r="M259" t="s">
        <v>1963</v>
      </c>
      <c r="N259">
        <v>490</v>
      </c>
      <c r="O259">
        <v>465</v>
      </c>
      <c r="P259">
        <v>398</v>
      </c>
      <c r="Q259" t="s">
        <v>36</v>
      </c>
      <c r="R259">
        <v>24</v>
      </c>
      <c r="S259">
        <v>1</v>
      </c>
      <c r="T259" s="4" t="s">
        <v>1965</v>
      </c>
      <c r="U259" s="4" t="s">
        <v>1966</v>
      </c>
      <c r="V259">
        <v>0</v>
      </c>
      <c r="W259" s="6" t="str">
        <f t="shared" ref="W259:W322" si="4">"("&amp;A259&amp;","&amp;B259&amp;","&amp;C259&amp;",'"&amp;D259&amp;"','"&amp;E259&amp;"','"&amp;F259&amp;"','"&amp;G259&amp;"',"&amp;H259&amp;","&amp;I259&amp;","&amp;J259&amp;","&amp;K259&amp;","&amp;L259&amp;","&amp;M259&amp;","&amp;N259&amp;","&amp;O259&amp;","&amp;P259&amp;",'"&amp;Q259&amp;"',"&amp;R259&amp;","&amp;S259&amp;",'"&amp;T259&amp;"','"&amp;U259&amp;"',"&amp;V259&amp;"),"</f>
        <v>(2323,null,1,'2026-03-24 00:00:00','003304010030000-33040100301','003304010030000-33040100301','小儿内眦韧带断裂修复术',null,null,650,625,530,null,490,465,398,'次',24,1,'normal','main',0),</v>
      </c>
    </row>
    <row r="260" spans="1:23">
      <c r="A260">
        <v>2324</v>
      </c>
      <c r="B260" t="s">
        <v>1963</v>
      </c>
      <c r="C260">
        <v>1</v>
      </c>
      <c r="D260" s="3" t="s">
        <v>1964</v>
      </c>
      <c r="E260" t="s">
        <v>1231</v>
      </c>
      <c r="F260" t="s">
        <v>1231</v>
      </c>
      <c r="G260" t="s">
        <v>1232</v>
      </c>
      <c r="H260" t="s">
        <v>1963</v>
      </c>
      <c r="I260" t="s">
        <v>1963</v>
      </c>
      <c r="J260">
        <v>490</v>
      </c>
      <c r="K260">
        <v>470</v>
      </c>
      <c r="L260">
        <v>400</v>
      </c>
      <c r="M260" t="s">
        <v>1963</v>
      </c>
      <c r="N260">
        <v>490</v>
      </c>
      <c r="O260">
        <v>465</v>
      </c>
      <c r="P260">
        <v>398</v>
      </c>
      <c r="Q260" t="s">
        <v>36</v>
      </c>
      <c r="R260">
        <v>24</v>
      </c>
      <c r="S260">
        <v>1</v>
      </c>
      <c r="T260" s="4" t="s">
        <v>1965</v>
      </c>
      <c r="U260" s="4" t="s">
        <v>1966</v>
      </c>
      <c r="V260">
        <v>0</v>
      </c>
      <c r="W260" s="6" t="str">
        <f t="shared" si="4"/>
        <v>(2324,null,1,'2026-03-24 00:00:00','003304020010000-33040200101','003304020010000-33040200101','小儿泪阜部肿瘤单纯切除术',null,null,490,470,400,null,490,465,398,'次',24,1,'normal','main',0),</v>
      </c>
    </row>
    <row r="261" spans="1:23">
      <c r="A261">
        <v>2325</v>
      </c>
      <c r="B261" t="s">
        <v>1963</v>
      </c>
      <c r="C261">
        <v>1</v>
      </c>
      <c r="D261" s="3" t="s">
        <v>1964</v>
      </c>
      <c r="E261" t="s">
        <v>1241</v>
      </c>
      <c r="F261" t="s">
        <v>1241</v>
      </c>
      <c r="G261" t="s">
        <v>1242</v>
      </c>
      <c r="H261" t="s">
        <v>1963</v>
      </c>
      <c r="I261" t="s">
        <v>1963</v>
      </c>
      <c r="J261">
        <v>845</v>
      </c>
      <c r="K261">
        <v>760</v>
      </c>
      <c r="L261">
        <v>645</v>
      </c>
      <c r="M261" t="s">
        <v>1963</v>
      </c>
      <c r="N261">
        <v>845</v>
      </c>
      <c r="O261">
        <v>760</v>
      </c>
      <c r="P261">
        <v>645</v>
      </c>
      <c r="Q261" t="s">
        <v>36</v>
      </c>
      <c r="R261">
        <v>24</v>
      </c>
      <c r="S261">
        <v>1</v>
      </c>
      <c r="T261" s="4" t="s">
        <v>1965</v>
      </c>
      <c r="U261" s="4" t="s">
        <v>1966</v>
      </c>
      <c r="V261">
        <v>0</v>
      </c>
      <c r="W261" s="6" t="str">
        <f t="shared" si="4"/>
        <v>(2325,null,1,'2026-03-24 00:00:00','003304030010000-330403001','003304030010000-330403001','睑球粘连分离术',null,null,845,760,645,null,845,760,645,'次',24,1,'normal','main',0),</v>
      </c>
    </row>
    <row r="262" spans="1:23">
      <c r="A262">
        <v>2326</v>
      </c>
      <c r="B262" t="s">
        <v>1963</v>
      </c>
      <c r="C262">
        <v>1</v>
      </c>
      <c r="D262" s="3" t="s">
        <v>1964</v>
      </c>
      <c r="E262" t="s">
        <v>1247</v>
      </c>
      <c r="F262" t="s">
        <v>1247</v>
      </c>
      <c r="G262" t="s">
        <v>1248</v>
      </c>
      <c r="H262" t="s">
        <v>1963</v>
      </c>
      <c r="I262" t="s">
        <v>1963</v>
      </c>
      <c r="J262">
        <v>1100</v>
      </c>
      <c r="K262">
        <v>990</v>
      </c>
      <c r="L262">
        <v>840</v>
      </c>
      <c r="M262" t="s">
        <v>1963</v>
      </c>
      <c r="N262">
        <v>1100</v>
      </c>
      <c r="O262">
        <v>990</v>
      </c>
      <c r="P262">
        <v>840</v>
      </c>
      <c r="Q262" t="s">
        <v>36</v>
      </c>
      <c r="R262">
        <v>24</v>
      </c>
      <c r="S262">
        <v>1</v>
      </c>
      <c r="T262" s="4" t="s">
        <v>1965</v>
      </c>
      <c r="U262" s="4" t="s">
        <v>1966</v>
      </c>
      <c r="V262">
        <v>0</v>
      </c>
      <c r="W262" s="6" t="str">
        <f t="shared" si="4"/>
        <v>(2326,null,1,'2026-03-24 00:00:00','003304030010000-33040300101','003304030010000-33040300101','小儿睑球粘连分离术',null,null,1100,990,840,null,1100,990,840,'次',24,1,'normal','main',0),</v>
      </c>
    </row>
    <row r="263" spans="1:23">
      <c r="A263">
        <v>2327</v>
      </c>
      <c r="B263" t="s">
        <v>1963</v>
      </c>
      <c r="C263">
        <v>1</v>
      </c>
      <c r="D263" s="3" t="s">
        <v>1964</v>
      </c>
      <c r="E263" t="s">
        <v>1252</v>
      </c>
      <c r="F263" t="s">
        <v>1252</v>
      </c>
      <c r="G263" t="s">
        <v>1253</v>
      </c>
      <c r="H263" t="s">
        <v>1963</v>
      </c>
      <c r="I263" t="s">
        <v>1963</v>
      </c>
      <c r="J263">
        <v>375</v>
      </c>
      <c r="K263">
        <v>360</v>
      </c>
      <c r="L263">
        <v>306</v>
      </c>
      <c r="M263" t="s">
        <v>1963</v>
      </c>
      <c r="N263">
        <v>422</v>
      </c>
      <c r="O263">
        <v>380</v>
      </c>
      <c r="P263">
        <v>322</v>
      </c>
      <c r="Q263" t="s">
        <v>36</v>
      </c>
      <c r="R263">
        <v>24</v>
      </c>
      <c r="S263">
        <v>1</v>
      </c>
      <c r="T263" s="4" t="s">
        <v>1965</v>
      </c>
      <c r="U263" s="4" t="s">
        <v>1966</v>
      </c>
      <c r="V263">
        <v>0</v>
      </c>
      <c r="W263" s="6" t="str">
        <f t="shared" si="4"/>
        <v>(2327,null,1,'2026-03-24 00:00:00','003304010180000-330401018','003304010180000-330401018','睑缘粘连术',null,null,375,360,306,null,422,380,322,'次',24,1,'normal','main',0),</v>
      </c>
    </row>
    <row r="264" spans="1:23">
      <c r="A264">
        <v>2328</v>
      </c>
      <c r="B264" t="s">
        <v>1963</v>
      </c>
      <c r="C264">
        <v>1</v>
      </c>
      <c r="D264" s="3" t="s">
        <v>1964</v>
      </c>
      <c r="E264" t="s">
        <v>1255</v>
      </c>
      <c r="F264" t="s">
        <v>1255</v>
      </c>
      <c r="G264" t="s">
        <v>1256</v>
      </c>
      <c r="H264" t="s">
        <v>1963</v>
      </c>
      <c r="I264" t="s">
        <v>1963</v>
      </c>
      <c r="J264">
        <v>490</v>
      </c>
      <c r="K264">
        <v>470</v>
      </c>
      <c r="L264">
        <v>400</v>
      </c>
      <c r="M264" t="s">
        <v>1963</v>
      </c>
      <c r="N264">
        <v>422</v>
      </c>
      <c r="O264">
        <v>380</v>
      </c>
      <c r="P264">
        <v>322</v>
      </c>
      <c r="Q264" t="s">
        <v>36</v>
      </c>
      <c r="R264">
        <v>24</v>
      </c>
      <c r="S264">
        <v>1</v>
      </c>
      <c r="T264" s="4" t="s">
        <v>1965</v>
      </c>
      <c r="U264" s="4" t="s">
        <v>1966</v>
      </c>
      <c r="V264">
        <v>0</v>
      </c>
      <c r="W264" s="6" t="str">
        <f t="shared" si="4"/>
        <v>(2328,null,1,'2026-03-24 00:00:00','003304010180000-33040101801','003304010180000-33040101801','小儿睑缘粘连术',null,null,490,470,400,null,422,380,322,'次',24,1,'normal','main',0),</v>
      </c>
    </row>
    <row r="265" spans="1:23">
      <c r="A265">
        <v>2329</v>
      </c>
      <c r="B265" t="s">
        <v>1963</v>
      </c>
      <c r="C265">
        <v>1</v>
      </c>
      <c r="D265" s="3" t="s">
        <v>1964</v>
      </c>
      <c r="E265" t="s">
        <v>1262</v>
      </c>
      <c r="F265" t="s">
        <v>1262</v>
      </c>
      <c r="G265" t="s">
        <v>1263</v>
      </c>
      <c r="H265" t="s">
        <v>1963</v>
      </c>
      <c r="I265" t="s">
        <v>1963</v>
      </c>
      <c r="J265">
        <v>1010</v>
      </c>
      <c r="K265">
        <v>910</v>
      </c>
      <c r="L265">
        <v>775</v>
      </c>
      <c r="M265" t="s">
        <v>1963</v>
      </c>
      <c r="N265">
        <v>1010</v>
      </c>
      <c r="O265">
        <v>910</v>
      </c>
      <c r="P265">
        <v>775</v>
      </c>
      <c r="Q265" t="s">
        <v>36</v>
      </c>
      <c r="R265">
        <v>24</v>
      </c>
      <c r="S265">
        <v>1</v>
      </c>
      <c r="T265" s="4" t="s">
        <v>1965</v>
      </c>
      <c r="U265" s="4" t="s">
        <v>1966</v>
      </c>
      <c r="V265">
        <v>0</v>
      </c>
      <c r="W265" s="6" t="str">
        <f t="shared" si="4"/>
        <v>(2329,null,1,'2026-03-24 00:00:00','003304030040000-330403004','003304030040000-330403004','结膜囊成形术',null,null,1010,910,775,null,1010,910,775,'次',24,1,'normal','main',0),</v>
      </c>
    </row>
    <row r="266" spans="1:23">
      <c r="A266">
        <v>2330</v>
      </c>
      <c r="B266" t="s">
        <v>1963</v>
      </c>
      <c r="C266">
        <v>1</v>
      </c>
      <c r="D266" s="3" t="s">
        <v>1964</v>
      </c>
      <c r="E266" t="s">
        <v>1267</v>
      </c>
      <c r="F266" t="s">
        <v>1267</v>
      </c>
      <c r="G266" t="s">
        <v>1268</v>
      </c>
      <c r="H266" t="s">
        <v>1963</v>
      </c>
      <c r="I266" t="s">
        <v>1963</v>
      </c>
      <c r="J266">
        <v>1315</v>
      </c>
      <c r="K266">
        <v>1185</v>
      </c>
      <c r="L266">
        <v>1005</v>
      </c>
      <c r="M266" t="s">
        <v>1963</v>
      </c>
      <c r="N266">
        <v>1315</v>
      </c>
      <c r="O266">
        <v>1185</v>
      </c>
      <c r="P266">
        <v>1005</v>
      </c>
      <c r="Q266" t="s">
        <v>36</v>
      </c>
      <c r="R266">
        <v>24</v>
      </c>
      <c r="S266">
        <v>1</v>
      </c>
      <c r="T266" s="4" t="s">
        <v>1965</v>
      </c>
      <c r="U266" s="4" t="s">
        <v>1966</v>
      </c>
      <c r="V266">
        <v>0</v>
      </c>
      <c r="W266" s="6" t="str">
        <f t="shared" si="4"/>
        <v>(2330,null,1,'2026-03-24 00:00:00','003304030040000-33040300401','003304030040000-33040300401','小儿结膜囊成形术',null,null,1315,1185,1005,null,1315,1185,1005,'次',24,1,'normal','main',0),</v>
      </c>
    </row>
    <row r="267" spans="1:23">
      <c r="A267">
        <v>2331</v>
      </c>
      <c r="B267" t="s">
        <v>1963</v>
      </c>
      <c r="C267">
        <v>1</v>
      </c>
      <c r="D267" s="3" t="s">
        <v>1964</v>
      </c>
      <c r="E267" t="s">
        <v>1273</v>
      </c>
      <c r="F267" t="s">
        <v>1273</v>
      </c>
      <c r="G267" t="s">
        <v>1274</v>
      </c>
      <c r="H267" t="s">
        <v>1963</v>
      </c>
      <c r="I267" t="s">
        <v>1963</v>
      </c>
      <c r="J267">
        <v>312.5</v>
      </c>
      <c r="K267">
        <v>300</v>
      </c>
      <c r="L267">
        <v>255</v>
      </c>
      <c r="M267" t="s">
        <v>1963</v>
      </c>
      <c r="N267">
        <v>350</v>
      </c>
      <c r="O267">
        <v>304</v>
      </c>
      <c r="P267">
        <v>259</v>
      </c>
      <c r="Q267" t="s">
        <v>36</v>
      </c>
      <c r="R267">
        <v>24</v>
      </c>
      <c r="S267">
        <v>1</v>
      </c>
      <c r="T267" s="4" t="s">
        <v>1965</v>
      </c>
      <c r="U267" s="4" t="s">
        <v>1966</v>
      </c>
      <c r="V267">
        <v>0</v>
      </c>
      <c r="W267" s="6" t="str">
        <f t="shared" si="4"/>
        <v>(2331,null,1,'2026-03-24 00:00:00','003304030020000-330403002','003304030020000-330403002','结膜肿物切除术',null,null,312.5,300,255,null,350,304,259,'次',24,1,'normal','main',0),</v>
      </c>
    </row>
    <row r="268" spans="1:23">
      <c r="A268">
        <v>2332</v>
      </c>
      <c r="B268" t="s">
        <v>1963</v>
      </c>
      <c r="C268">
        <v>1</v>
      </c>
      <c r="D268" s="3" t="s">
        <v>1964</v>
      </c>
      <c r="E268" t="s">
        <v>1277</v>
      </c>
      <c r="F268" t="s">
        <v>1277</v>
      </c>
      <c r="G268" t="s">
        <v>1278</v>
      </c>
      <c r="H268" t="s">
        <v>1963</v>
      </c>
      <c r="I268" t="s">
        <v>1963</v>
      </c>
      <c r="J268">
        <v>500</v>
      </c>
      <c r="K268">
        <v>480</v>
      </c>
      <c r="L268">
        <v>408</v>
      </c>
      <c r="M268" t="s">
        <v>1963</v>
      </c>
      <c r="N268">
        <v>350</v>
      </c>
      <c r="O268">
        <v>304</v>
      </c>
      <c r="P268">
        <v>259</v>
      </c>
      <c r="Q268" t="s">
        <v>36</v>
      </c>
      <c r="R268">
        <v>24</v>
      </c>
      <c r="S268">
        <v>1</v>
      </c>
      <c r="T268" s="4" t="s">
        <v>1965</v>
      </c>
      <c r="U268" s="4" t="s">
        <v>1966</v>
      </c>
      <c r="V268">
        <v>0</v>
      </c>
      <c r="W268" s="6" t="str">
        <f t="shared" si="4"/>
        <v>(2332,null,1,'2026-03-24 00:00:00','003304030020001-33040300201','003304030020001-33040300201','结膜肿物切除术（组织移植）',null,null,500,480,408,null,350,304,259,'次',24,1,'normal','main',0),</v>
      </c>
    </row>
    <row r="269" spans="1:23">
      <c r="A269">
        <v>2333</v>
      </c>
      <c r="B269" t="s">
        <v>1963</v>
      </c>
      <c r="C269">
        <v>1</v>
      </c>
      <c r="D269" s="3" t="s">
        <v>1964</v>
      </c>
      <c r="E269" t="s">
        <v>1280</v>
      </c>
      <c r="F269" t="s">
        <v>1280</v>
      </c>
      <c r="G269" t="s">
        <v>1281</v>
      </c>
      <c r="H269" t="s">
        <v>1963</v>
      </c>
      <c r="I269" t="s">
        <v>1963</v>
      </c>
      <c r="J269">
        <v>312.5</v>
      </c>
      <c r="K269">
        <v>300</v>
      </c>
      <c r="L269">
        <v>255</v>
      </c>
      <c r="M269" t="s">
        <v>1963</v>
      </c>
      <c r="N269">
        <v>350</v>
      </c>
      <c r="O269">
        <v>304</v>
      </c>
      <c r="P269">
        <v>259</v>
      </c>
      <c r="Q269" t="s">
        <v>36</v>
      </c>
      <c r="R269">
        <v>24</v>
      </c>
      <c r="S269">
        <v>1</v>
      </c>
      <c r="T269" s="4" t="s">
        <v>1965</v>
      </c>
      <c r="U269" s="4" t="s">
        <v>1966</v>
      </c>
      <c r="V269">
        <v>0</v>
      </c>
      <c r="W269" s="6" t="str">
        <f t="shared" si="4"/>
        <v>(2333,null,1,'2026-03-24 00:00:00','003304030020100-33040300202','003304030020100-33040300202','结膜肿物切除术（结膜色素痣）',null,null,312.5,300,255,null,350,304,259,'次',24,1,'normal','main',0),</v>
      </c>
    </row>
    <row r="270" spans="1:23">
      <c r="A270">
        <v>2334</v>
      </c>
      <c r="B270" t="s">
        <v>1963</v>
      </c>
      <c r="C270">
        <v>1</v>
      </c>
      <c r="D270" s="3" t="s">
        <v>1964</v>
      </c>
      <c r="E270" t="s">
        <v>1283</v>
      </c>
      <c r="F270" t="s">
        <v>1283</v>
      </c>
      <c r="G270" t="s">
        <v>1284</v>
      </c>
      <c r="H270" t="s">
        <v>1963</v>
      </c>
      <c r="I270" t="s">
        <v>1963</v>
      </c>
      <c r="J270">
        <v>405</v>
      </c>
      <c r="K270">
        <v>390</v>
      </c>
      <c r="L270">
        <v>330</v>
      </c>
      <c r="M270" t="s">
        <v>1963</v>
      </c>
      <c r="N270">
        <v>350</v>
      </c>
      <c r="O270">
        <v>304</v>
      </c>
      <c r="P270">
        <v>259</v>
      </c>
      <c r="Q270" t="s">
        <v>36</v>
      </c>
      <c r="R270">
        <v>24</v>
      </c>
      <c r="S270">
        <v>1</v>
      </c>
      <c r="T270" s="4" t="s">
        <v>1965</v>
      </c>
      <c r="U270" s="4" t="s">
        <v>1966</v>
      </c>
      <c r="V270">
        <v>0</v>
      </c>
      <c r="W270" s="6" t="str">
        <f t="shared" si="4"/>
        <v>(2334,null,1,'2026-03-24 00:00:00','003304030020000-33040300203','003304030020000-33040300203','小儿结膜肿物切除术',null,null,405,390,330,null,350,304,259,'次',24,1,'normal','main',0),</v>
      </c>
    </row>
    <row r="271" spans="1:23">
      <c r="A271">
        <v>2335</v>
      </c>
      <c r="B271" t="s">
        <v>1963</v>
      </c>
      <c r="C271">
        <v>1</v>
      </c>
      <c r="D271" s="3" t="s">
        <v>1964</v>
      </c>
      <c r="E271" t="s">
        <v>1285</v>
      </c>
      <c r="F271" t="s">
        <v>1285</v>
      </c>
      <c r="G271" t="s">
        <v>1286</v>
      </c>
      <c r="H271" t="s">
        <v>1963</v>
      </c>
      <c r="I271" t="s">
        <v>1963</v>
      </c>
      <c r="J271">
        <v>650</v>
      </c>
      <c r="K271">
        <v>625</v>
      </c>
      <c r="L271">
        <v>530</v>
      </c>
      <c r="M271" t="s">
        <v>1963</v>
      </c>
      <c r="N271">
        <v>350</v>
      </c>
      <c r="O271">
        <v>304</v>
      </c>
      <c r="P271">
        <v>259</v>
      </c>
      <c r="Q271" t="s">
        <v>36</v>
      </c>
      <c r="R271">
        <v>24</v>
      </c>
      <c r="S271">
        <v>1</v>
      </c>
      <c r="T271" s="4" t="s">
        <v>1965</v>
      </c>
      <c r="U271" s="4" t="s">
        <v>1966</v>
      </c>
      <c r="V271">
        <v>0</v>
      </c>
      <c r="W271" s="6" t="str">
        <f t="shared" si="4"/>
        <v>(2335,null,1,'2026-03-24 00:00:00','003304030020001-33040300204','003304030020001-33040300204','小儿结膜肿物切除术（组织移植）',null,null,650,625,530,null,350,304,259,'次',24,1,'normal','main',0),</v>
      </c>
    </row>
    <row r="272" spans="1:23">
      <c r="A272">
        <v>2336</v>
      </c>
      <c r="B272" t="s">
        <v>1963</v>
      </c>
      <c r="C272">
        <v>1</v>
      </c>
      <c r="D272" s="3" t="s">
        <v>1964</v>
      </c>
      <c r="E272" t="s">
        <v>1287</v>
      </c>
      <c r="F272" t="s">
        <v>1287</v>
      </c>
      <c r="G272" t="s">
        <v>1288</v>
      </c>
      <c r="H272" t="s">
        <v>1963</v>
      </c>
      <c r="I272" t="s">
        <v>1963</v>
      </c>
      <c r="J272">
        <v>375</v>
      </c>
      <c r="K272">
        <v>360</v>
      </c>
      <c r="L272">
        <v>306</v>
      </c>
      <c r="M272" t="s">
        <v>1963</v>
      </c>
      <c r="N272">
        <v>350</v>
      </c>
      <c r="O272">
        <v>304</v>
      </c>
      <c r="P272">
        <v>259</v>
      </c>
      <c r="Q272" t="s">
        <v>36</v>
      </c>
      <c r="R272">
        <v>24</v>
      </c>
      <c r="S272">
        <v>1</v>
      </c>
      <c r="T272" s="4" t="s">
        <v>1965</v>
      </c>
      <c r="U272" s="4" t="s">
        <v>1966</v>
      </c>
      <c r="V272">
        <v>0</v>
      </c>
      <c r="W272" s="6" t="str">
        <f t="shared" si="4"/>
        <v>(2336,null,1,'2026-03-24 00:00:00','003304030030000-330403003','003304030030000-330403003','结膜淋巴管积液清除术',null,null,375,360,306,null,350,304,259,'次',24,1,'normal','main',0),</v>
      </c>
    </row>
    <row r="273" spans="1:23">
      <c r="A273">
        <v>2337</v>
      </c>
      <c r="B273" t="s">
        <v>1963</v>
      </c>
      <c r="C273">
        <v>1</v>
      </c>
      <c r="D273" s="3" t="s">
        <v>1964</v>
      </c>
      <c r="E273" t="s">
        <v>1289</v>
      </c>
      <c r="F273" t="s">
        <v>1289</v>
      </c>
      <c r="G273" t="s">
        <v>1290</v>
      </c>
      <c r="H273" t="s">
        <v>1963</v>
      </c>
      <c r="I273" t="s">
        <v>1963</v>
      </c>
      <c r="J273">
        <v>490</v>
      </c>
      <c r="K273">
        <v>470</v>
      </c>
      <c r="L273">
        <v>400</v>
      </c>
      <c r="M273" t="s">
        <v>1963</v>
      </c>
      <c r="N273">
        <v>350</v>
      </c>
      <c r="O273">
        <v>304</v>
      </c>
      <c r="P273">
        <v>259</v>
      </c>
      <c r="Q273" t="s">
        <v>36</v>
      </c>
      <c r="R273">
        <v>24</v>
      </c>
      <c r="S273">
        <v>1</v>
      </c>
      <c r="T273" s="4" t="s">
        <v>1965</v>
      </c>
      <c r="U273" s="4" t="s">
        <v>1966</v>
      </c>
      <c r="V273">
        <v>0</v>
      </c>
      <c r="W273" s="6" t="str">
        <f t="shared" si="4"/>
        <v>(2337,null,1,'2026-03-24 00:00:00','003304030030000-33040300301','003304030030000-33040300301','小儿结膜淋巴管积液清除术',null,null,490,470,400,null,350,304,259,'次',24,1,'normal','main',0),</v>
      </c>
    </row>
    <row r="274" spans="1:23">
      <c r="A274">
        <v>2338</v>
      </c>
      <c r="B274" t="s">
        <v>1963</v>
      </c>
      <c r="C274">
        <v>1</v>
      </c>
      <c r="D274" s="3" t="s">
        <v>1964</v>
      </c>
      <c r="E274" t="s">
        <v>1291</v>
      </c>
      <c r="F274" t="s">
        <v>1291</v>
      </c>
      <c r="G274" t="s">
        <v>1292</v>
      </c>
      <c r="H274" t="s">
        <v>1963</v>
      </c>
      <c r="I274" t="s">
        <v>1963</v>
      </c>
      <c r="J274">
        <v>375</v>
      </c>
      <c r="K274">
        <v>360</v>
      </c>
      <c r="L274">
        <v>306</v>
      </c>
      <c r="M274" t="s">
        <v>1963</v>
      </c>
      <c r="N274">
        <v>350</v>
      </c>
      <c r="O274">
        <v>304</v>
      </c>
      <c r="P274">
        <v>259</v>
      </c>
      <c r="Q274" t="s">
        <v>36</v>
      </c>
      <c r="R274">
        <v>24</v>
      </c>
      <c r="S274">
        <v>1</v>
      </c>
      <c r="T274" s="4" t="s">
        <v>1965</v>
      </c>
      <c r="U274" s="4" t="s">
        <v>1966</v>
      </c>
      <c r="V274">
        <v>0</v>
      </c>
      <c r="W274" s="6" t="str">
        <f t="shared" si="4"/>
        <v>(2338,null,1,'2026-03-24 00:00:00','003304030050000-330403005','003304030050000-330403005','球结膜瓣复盖术',null,null,375,360,306,null,350,304,259,'次',24,1,'normal','main',0),</v>
      </c>
    </row>
    <row r="275" spans="1:23">
      <c r="A275">
        <v>2339</v>
      </c>
      <c r="B275" t="s">
        <v>1963</v>
      </c>
      <c r="C275">
        <v>1</v>
      </c>
      <c r="D275" s="3" t="s">
        <v>1964</v>
      </c>
      <c r="E275" t="s">
        <v>1293</v>
      </c>
      <c r="F275" t="s">
        <v>1293</v>
      </c>
      <c r="G275" t="s">
        <v>1294</v>
      </c>
      <c r="H275" t="s">
        <v>1963</v>
      </c>
      <c r="I275" t="s">
        <v>1963</v>
      </c>
      <c r="J275">
        <v>490</v>
      </c>
      <c r="K275">
        <v>470</v>
      </c>
      <c r="L275">
        <v>400</v>
      </c>
      <c r="M275" t="s">
        <v>1963</v>
      </c>
      <c r="N275">
        <v>350</v>
      </c>
      <c r="O275">
        <v>304</v>
      </c>
      <c r="P275">
        <v>259</v>
      </c>
      <c r="Q275" t="s">
        <v>36</v>
      </c>
      <c r="R275">
        <v>24</v>
      </c>
      <c r="S275">
        <v>1</v>
      </c>
      <c r="T275" s="4" t="s">
        <v>1965</v>
      </c>
      <c r="U275" s="4" t="s">
        <v>1966</v>
      </c>
      <c r="V275">
        <v>0</v>
      </c>
      <c r="W275" s="6" t="str">
        <f t="shared" si="4"/>
        <v>(2339,null,1,'2026-03-24 00:00:00','003304030050000-33040300501','003304030050000-33040300501','小儿球结膜瓣复盖术',null,null,490,470,400,null,350,304,259,'次',24,1,'normal','main',0),</v>
      </c>
    </row>
    <row r="276" spans="1:23">
      <c r="A276">
        <v>2340</v>
      </c>
      <c r="B276" t="s">
        <v>1963</v>
      </c>
      <c r="C276">
        <v>1</v>
      </c>
      <c r="D276" s="3" t="s">
        <v>1964</v>
      </c>
      <c r="E276" t="s">
        <v>1299</v>
      </c>
      <c r="F276" t="s">
        <v>1299</v>
      </c>
      <c r="G276" t="s">
        <v>1300</v>
      </c>
      <c r="H276" t="s">
        <v>1963</v>
      </c>
      <c r="I276" t="s">
        <v>1963</v>
      </c>
      <c r="J276">
        <v>250</v>
      </c>
      <c r="K276">
        <v>240</v>
      </c>
      <c r="L276">
        <v>204</v>
      </c>
      <c r="M276" t="s">
        <v>1963</v>
      </c>
      <c r="N276">
        <v>250</v>
      </c>
      <c r="O276">
        <v>240</v>
      </c>
      <c r="P276">
        <v>204</v>
      </c>
      <c r="Q276" t="s">
        <v>36</v>
      </c>
      <c r="R276">
        <v>24</v>
      </c>
      <c r="S276">
        <v>1</v>
      </c>
      <c r="T276" s="4" t="s">
        <v>1965</v>
      </c>
      <c r="U276" s="4" t="s">
        <v>1966</v>
      </c>
      <c r="V276">
        <v>0</v>
      </c>
      <c r="W276" s="6" t="str">
        <f t="shared" si="4"/>
        <v>(2340,null,1,'2026-03-24 00:00:00','003304010020000-330401002','003304010020000-330401002','眼睑结膜裂伤缝合术',null,null,250,240,204,null,250,240,204,'次',24,1,'normal','main',0),</v>
      </c>
    </row>
    <row r="277" spans="1:23">
      <c r="A277">
        <v>2341</v>
      </c>
      <c r="B277" t="s">
        <v>1963</v>
      </c>
      <c r="C277">
        <v>1</v>
      </c>
      <c r="D277" s="3" t="s">
        <v>1964</v>
      </c>
      <c r="E277" t="s">
        <v>1301</v>
      </c>
      <c r="F277" t="s">
        <v>1301</v>
      </c>
      <c r="G277" t="s">
        <v>1302</v>
      </c>
      <c r="H277" t="s">
        <v>1963</v>
      </c>
      <c r="I277" t="s">
        <v>1963</v>
      </c>
      <c r="J277">
        <v>250</v>
      </c>
      <c r="K277">
        <v>240</v>
      </c>
      <c r="L277">
        <v>204</v>
      </c>
      <c r="M277" t="s">
        <v>1963</v>
      </c>
      <c r="N277">
        <v>250</v>
      </c>
      <c r="O277">
        <v>240</v>
      </c>
      <c r="P277">
        <v>204</v>
      </c>
      <c r="Q277" t="s">
        <v>36</v>
      </c>
      <c r="R277">
        <v>24</v>
      </c>
      <c r="S277">
        <v>1</v>
      </c>
      <c r="T277" s="4" t="s">
        <v>1965</v>
      </c>
      <c r="U277" s="4" t="s">
        <v>1966</v>
      </c>
      <c r="V277">
        <v>0</v>
      </c>
      <c r="W277" s="6" t="str">
        <f t="shared" si="4"/>
        <v>(2341,null,1,'2026-03-24 00:00:00','003304010090000-330401009','003304010090000-330401009','睑裂缝合术',null,null,250,240,204,null,250,240,204,'次',24,1,'normal','main',0),</v>
      </c>
    </row>
    <row r="278" spans="1:23">
      <c r="A278">
        <v>2342</v>
      </c>
      <c r="B278" t="s">
        <v>1963</v>
      </c>
      <c r="C278">
        <v>1</v>
      </c>
      <c r="D278" s="3" t="s">
        <v>1964</v>
      </c>
      <c r="E278" t="s">
        <v>1305</v>
      </c>
      <c r="F278" t="s">
        <v>1305</v>
      </c>
      <c r="G278" t="s">
        <v>1306</v>
      </c>
      <c r="H278" t="s">
        <v>1963</v>
      </c>
      <c r="I278" t="s">
        <v>1963</v>
      </c>
      <c r="J278">
        <v>325</v>
      </c>
      <c r="K278">
        <v>310</v>
      </c>
      <c r="L278">
        <v>265</v>
      </c>
      <c r="M278" t="s">
        <v>1963</v>
      </c>
      <c r="N278">
        <v>325</v>
      </c>
      <c r="O278">
        <v>312</v>
      </c>
      <c r="P278">
        <v>265</v>
      </c>
      <c r="Q278" t="s">
        <v>36</v>
      </c>
      <c r="R278">
        <v>24</v>
      </c>
      <c r="S278">
        <v>1</v>
      </c>
      <c r="T278" s="4" t="s">
        <v>1965</v>
      </c>
      <c r="U278" s="4" t="s">
        <v>1966</v>
      </c>
      <c r="V278">
        <v>0</v>
      </c>
      <c r="W278" s="6" t="str">
        <f t="shared" si="4"/>
        <v>(2342,null,1,'2026-03-24 00:00:00','003304010020000-33040100201','003304010020000-33040100201','小儿眼睑结膜裂伤缝合术',null,null,325,310,265,null,325,312,265,'次',24,1,'normal','main',0),</v>
      </c>
    </row>
    <row r="279" spans="1:23">
      <c r="A279">
        <v>2343</v>
      </c>
      <c r="B279" t="s">
        <v>1963</v>
      </c>
      <c r="C279">
        <v>1</v>
      </c>
      <c r="D279" s="3" t="s">
        <v>1964</v>
      </c>
      <c r="E279" t="s">
        <v>1307</v>
      </c>
      <c r="F279" t="s">
        <v>1307</v>
      </c>
      <c r="G279" t="s">
        <v>1308</v>
      </c>
      <c r="H279" t="s">
        <v>1963</v>
      </c>
      <c r="I279" t="s">
        <v>1963</v>
      </c>
      <c r="J279">
        <v>325</v>
      </c>
      <c r="K279">
        <v>310</v>
      </c>
      <c r="L279">
        <v>265</v>
      </c>
      <c r="M279" t="s">
        <v>1963</v>
      </c>
      <c r="N279">
        <v>325</v>
      </c>
      <c r="O279">
        <v>312</v>
      </c>
      <c r="P279">
        <v>265</v>
      </c>
      <c r="Q279" t="s">
        <v>36</v>
      </c>
      <c r="R279">
        <v>24</v>
      </c>
      <c r="S279">
        <v>1</v>
      </c>
      <c r="T279" s="4" t="s">
        <v>1965</v>
      </c>
      <c r="U279" s="4" t="s">
        <v>1966</v>
      </c>
      <c r="V279">
        <v>0</v>
      </c>
      <c r="W279" s="6" t="str">
        <f t="shared" si="4"/>
        <v>(2343,null,1,'2026-03-24 00:00:00','003304010090000-33040100901','003304010090000-33040100901','小儿睑裂缝合术',null,null,325,310,265,null,325,312,265,'次',24,1,'normal','main',0),</v>
      </c>
    </row>
    <row r="280" spans="1:23">
      <c r="A280">
        <v>2344</v>
      </c>
      <c r="B280" t="s">
        <v>1963</v>
      </c>
      <c r="C280">
        <v>1</v>
      </c>
      <c r="D280" s="3" t="s">
        <v>1964</v>
      </c>
      <c r="E280" t="s">
        <v>1321</v>
      </c>
      <c r="F280" t="s">
        <v>1321</v>
      </c>
      <c r="G280" t="s">
        <v>1322</v>
      </c>
      <c r="H280" t="s">
        <v>1963</v>
      </c>
      <c r="I280" t="s">
        <v>1963</v>
      </c>
      <c r="J280">
        <v>375</v>
      </c>
      <c r="K280">
        <v>360</v>
      </c>
      <c r="L280">
        <v>306</v>
      </c>
      <c r="M280" t="s">
        <v>1963</v>
      </c>
      <c r="N280">
        <v>375</v>
      </c>
      <c r="O280">
        <v>360</v>
      </c>
      <c r="P280">
        <v>306</v>
      </c>
      <c r="Q280" t="s">
        <v>36</v>
      </c>
      <c r="R280">
        <v>24</v>
      </c>
      <c r="S280">
        <v>1</v>
      </c>
      <c r="T280" s="4" t="s">
        <v>1965</v>
      </c>
      <c r="U280" s="4" t="s">
        <v>1966</v>
      </c>
      <c r="V280">
        <v>0</v>
      </c>
      <c r="W280" s="6" t="str">
        <f t="shared" si="4"/>
        <v>(2344,null,1,'2026-03-24 00:00:00','003304010010000-330401001','003304010010000-330401001','眼睑肿物切除术',null,null,375,360,306,null,375,360,306,'次',24,1,'normal','main',0),</v>
      </c>
    </row>
    <row r="281" spans="1:23">
      <c r="A281">
        <v>2345</v>
      </c>
      <c r="B281" t="s">
        <v>1963</v>
      </c>
      <c r="C281">
        <v>1</v>
      </c>
      <c r="D281" s="3" t="s">
        <v>1964</v>
      </c>
      <c r="E281" t="s">
        <v>1324</v>
      </c>
      <c r="F281" t="s">
        <v>1324</v>
      </c>
      <c r="G281" t="s">
        <v>1325</v>
      </c>
      <c r="H281" t="s">
        <v>1963</v>
      </c>
      <c r="I281" t="s">
        <v>1963</v>
      </c>
      <c r="J281">
        <v>450</v>
      </c>
      <c r="K281">
        <v>432</v>
      </c>
      <c r="L281">
        <v>367.2</v>
      </c>
      <c r="M281" t="s">
        <v>1963</v>
      </c>
      <c r="N281">
        <v>375</v>
      </c>
      <c r="O281">
        <v>360</v>
      </c>
      <c r="P281">
        <v>306</v>
      </c>
      <c r="Q281" t="s">
        <v>36</v>
      </c>
      <c r="R281">
        <v>24</v>
      </c>
      <c r="S281">
        <v>1</v>
      </c>
      <c r="T281" s="4" t="s">
        <v>1965</v>
      </c>
      <c r="U281" s="4" t="s">
        <v>1966</v>
      </c>
      <c r="V281">
        <v>0</v>
      </c>
      <c r="W281" s="6" t="str">
        <f t="shared" si="4"/>
        <v>(2345,null,1,'2026-03-24 00:00:00','003304010010001-33040100101','003304010010001-33040100101','眼睑肿物切除术（需植皮时）',null,null,450,432,367.2,null,375,360,306,'次',24,1,'normal','main',0),</v>
      </c>
    </row>
    <row r="282" spans="1:23">
      <c r="A282">
        <v>2346</v>
      </c>
      <c r="B282" t="s">
        <v>1963</v>
      </c>
      <c r="C282">
        <v>1</v>
      </c>
      <c r="D282" s="3" t="s">
        <v>1964</v>
      </c>
      <c r="E282" t="s">
        <v>1329</v>
      </c>
      <c r="F282" t="s">
        <v>1329</v>
      </c>
      <c r="G282" t="s">
        <v>1330</v>
      </c>
      <c r="H282" t="s">
        <v>1963</v>
      </c>
      <c r="I282" t="s">
        <v>1963</v>
      </c>
      <c r="J282">
        <v>100</v>
      </c>
      <c r="K282">
        <v>96</v>
      </c>
      <c r="L282">
        <v>81.6</v>
      </c>
      <c r="M282" t="s">
        <v>1963</v>
      </c>
      <c r="N282">
        <v>100</v>
      </c>
      <c r="O282">
        <v>90</v>
      </c>
      <c r="P282">
        <v>77</v>
      </c>
      <c r="Q282" t="s">
        <v>36</v>
      </c>
      <c r="R282">
        <v>24</v>
      </c>
      <c r="S282">
        <v>1</v>
      </c>
      <c r="T282" s="4" t="s">
        <v>1965</v>
      </c>
      <c r="U282" s="4" t="s">
        <v>1966</v>
      </c>
      <c r="V282">
        <v>0</v>
      </c>
      <c r="W282" s="6" t="str">
        <f t="shared" si="4"/>
        <v>(2346,null,1,'2026-03-24 00:00:00','003304030060000-330403006','003304030060000-330403006','麦粒肿切除术',null,null,100,96,81.6,null,100,90,77,'次',24,1,'normal','main',0),</v>
      </c>
    </row>
    <row r="283" spans="1:23">
      <c r="A283">
        <v>2347</v>
      </c>
      <c r="B283" t="s">
        <v>1963</v>
      </c>
      <c r="C283">
        <v>1</v>
      </c>
      <c r="D283" s="3" t="s">
        <v>1964</v>
      </c>
      <c r="E283" t="s">
        <v>1332</v>
      </c>
      <c r="F283" t="s">
        <v>1332</v>
      </c>
      <c r="G283" t="s">
        <v>1333</v>
      </c>
      <c r="H283" t="s">
        <v>1963</v>
      </c>
      <c r="I283" t="s">
        <v>1963</v>
      </c>
      <c r="J283">
        <v>130</v>
      </c>
      <c r="K283">
        <v>125</v>
      </c>
      <c r="L283">
        <v>105</v>
      </c>
      <c r="M283" t="s">
        <v>1963</v>
      </c>
      <c r="N283">
        <v>100</v>
      </c>
      <c r="O283">
        <v>90</v>
      </c>
      <c r="P283">
        <v>77</v>
      </c>
      <c r="Q283" t="s">
        <v>36</v>
      </c>
      <c r="R283">
        <v>24</v>
      </c>
      <c r="S283">
        <v>1</v>
      </c>
      <c r="T283" s="4" t="s">
        <v>1965</v>
      </c>
      <c r="U283" s="4" t="s">
        <v>1966</v>
      </c>
      <c r="V283">
        <v>0</v>
      </c>
      <c r="W283" s="6" t="str">
        <f t="shared" si="4"/>
        <v>(2347,null,1,'2026-03-24 00:00:00','003304030060000-33040300601','003304030060000-33040300601','小儿麦粒肿切除术',null,null,130,125,105,null,100,90,77,'次',24,1,'normal','main',0),</v>
      </c>
    </row>
    <row r="284" spans="1:23">
      <c r="A284">
        <v>2348</v>
      </c>
      <c r="B284" t="s">
        <v>1963</v>
      </c>
      <c r="C284">
        <v>1</v>
      </c>
      <c r="D284" s="3" t="s">
        <v>1964</v>
      </c>
      <c r="E284" t="s">
        <v>1336</v>
      </c>
      <c r="F284" t="s">
        <v>1336</v>
      </c>
      <c r="G284" t="s">
        <v>1337</v>
      </c>
      <c r="H284" t="s">
        <v>1963</v>
      </c>
      <c r="I284" t="s">
        <v>1963</v>
      </c>
      <c r="J284">
        <v>490</v>
      </c>
      <c r="K284">
        <v>470</v>
      </c>
      <c r="L284">
        <v>400</v>
      </c>
      <c r="M284" t="s">
        <v>1963</v>
      </c>
      <c r="N284">
        <v>490</v>
      </c>
      <c r="O284">
        <v>470</v>
      </c>
      <c r="P284">
        <v>398</v>
      </c>
      <c r="Q284" t="s">
        <v>36</v>
      </c>
      <c r="R284">
        <v>24</v>
      </c>
      <c r="S284">
        <v>1</v>
      </c>
      <c r="T284" s="4" t="s">
        <v>1965</v>
      </c>
      <c r="U284" s="4" t="s">
        <v>1966</v>
      </c>
      <c r="V284">
        <v>0</v>
      </c>
      <c r="W284" s="6" t="str">
        <f t="shared" si="4"/>
        <v>(2348,null,1,'2026-03-24 00:00:00','003304010010000-33040100102','003304010010000-33040100102','小儿眼睑肿物切除术',null,null,490,470,400,null,490,470,398,'次',24,1,'normal','main',0),</v>
      </c>
    </row>
    <row r="285" spans="1:23">
      <c r="A285">
        <v>2349</v>
      </c>
      <c r="B285" t="s">
        <v>1963</v>
      </c>
      <c r="C285">
        <v>1</v>
      </c>
      <c r="D285" s="3" t="s">
        <v>1964</v>
      </c>
      <c r="E285" t="s">
        <v>1338</v>
      </c>
      <c r="F285" t="s">
        <v>1338</v>
      </c>
      <c r="G285" t="s">
        <v>1339</v>
      </c>
      <c r="H285" t="s">
        <v>1963</v>
      </c>
      <c r="I285" t="s">
        <v>1963</v>
      </c>
      <c r="J285">
        <v>585</v>
      </c>
      <c r="K285">
        <v>560</v>
      </c>
      <c r="L285">
        <v>475</v>
      </c>
      <c r="M285" t="s">
        <v>1963</v>
      </c>
      <c r="N285">
        <v>490</v>
      </c>
      <c r="O285">
        <v>470</v>
      </c>
      <c r="P285">
        <v>398</v>
      </c>
      <c r="Q285" t="s">
        <v>36</v>
      </c>
      <c r="R285">
        <v>24</v>
      </c>
      <c r="S285">
        <v>1</v>
      </c>
      <c r="T285" s="4" t="s">
        <v>1965</v>
      </c>
      <c r="U285" s="4" t="s">
        <v>1966</v>
      </c>
      <c r="V285">
        <v>0</v>
      </c>
      <c r="W285" s="6" t="str">
        <f t="shared" si="4"/>
        <v>(2349,null,1,'2026-03-24 00:00:00','003304010010001-33040100103','003304010010001-33040100103','小儿眼睑肿物切除术（需植皮时）',null,null,585,560,475,null,490,470,398,'次',24,1,'normal','main',0),</v>
      </c>
    </row>
    <row r="286" spans="1:23">
      <c r="A286">
        <v>2350</v>
      </c>
      <c r="B286" t="s">
        <v>1963</v>
      </c>
      <c r="C286">
        <v>1</v>
      </c>
      <c r="D286" s="3" t="s">
        <v>1964</v>
      </c>
      <c r="E286" t="s">
        <v>1344</v>
      </c>
      <c r="F286" t="s">
        <v>1344</v>
      </c>
      <c r="G286" t="s">
        <v>1345</v>
      </c>
      <c r="H286" t="s">
        <v>1963</v>
      </c>
      <c r="I286" t="s">
        <v>1963</v>
      </c>
      <c r="J286">
        <v>2480</v>
      </c>
      <c r="K286">
        <v>2230</v>
      </c>
      <c r="L286">
        <v>1900</v>
      </c>
      <c r="M286" t="s">
        <v>1963</v>
      </c>
      <c r="N286">
        <v>2600</v>
      </c>
      <c r="O286">
        <v>2350</v>
      </c>
      <c r="P286">
        <v>2000</v>
      </c>
      <c r="Q286" t="s">
        <v>110</v>
      </c>
      <c r="R286">
        <v>24</v>
      </c>
      <c r="S286">
        <v>1</v>
      </c>
      <c r="T286" s="4" t="s">
        <v>1965</v>
      </c>
      <c r="U286" s="4" t="s">
        <v>1966</v>
      </c>
      <c r="V286">
        <v>0</v>
      </c>
      <c r="W286" s="6" t="str">
        <f t="shared" si="4"/>
        <v>(2350,null,1,'2026-03-24 00:00:00','003304090230000-330409023','003304090230000-330409023','眼前段重建术',null,null,2480,2230,1900,null,2600,2350,2000,'单侧',24,1,'normal','main',0),</v>
      </c>
    </row>
    <row r="287" spans="1:23">
      <c r="A287">
        <v>2351</v>
      </c>
      <c r="B287" t="s">
        <v>1963</v>
      </c>
      <c r="C287">
        <v>1</v>
      </c>
      <c r="D287" s="3" t="s">
        <v>1964</v>
      </c>
      <c r="E287" t="s">
        <v>1348</v>
      </c>
      <c r="F287" t="s">
        <v>1348</v>
      </c>
      <c r="G287" t="s">
        <v>1349</v>
      </c>
      <c r="H287" t="s">
        <v>1963</v>
      </c>
      <c r="I287" t="s">
        <v>1963</v>
      </c>
      <c r="J287">
        <v>3225</v>
      </c>
      <c r="K287">
        <v>2900</v>
      </c>
      <c r="L287">
        <v>2465</v>
      </c>
      <c r="M287" t="s">
        <v>1963</v>
      </c>
      <c r="N287">
        <v>3380</v>
      </c>
      <c r="O287">
        <v>3055</v>
      </c>
      <c r="P287">
        <v>2600</v>
      </c>
      <c r="Q287" t="s">
        <v>110</v>
      </c>
      <c r="R287">
        <v>24</v>
      </c>
      <c r="S287">
        <v>1</v>
      </c>
      <c r="T287" s="4" t="s">
        <v>1965</v>
      </c>
      <c r="U287" s="4" t="s">
        <v>1966</v>
      </c>
      <c r="V287">
        <v>0</v>
      </c>
      <c r="W287" s="6" t="str">
        <f t="shared" si="4"/>
        <v>(2351,null,1,'2026-03-24 00:00:00','003304090230000-33040902301','003304090230000-33040902301','小儿眼前段重建术',null,null,3225,2900,2465,null,3380,3055,2600,'单侧',24,1,'normal','main',0),</v>
      </c>
    </row>
    <row r="288" spans="1:23">
      <c r="A288">
        <v>2352</v>
      </c>
      <c r="B288" t="s">
        <v>1963</v>
      </c>
      <c r="C288">
        <v>1</v>
      </c>
      <c r="D288" s="3" t="s">
        <v>1964</v>
      </c>
      <c r="E288" t="s">
        <v>1351</v>
      </c>
      <c r="F288" t="s">
        <v>1351</v>
      </c>
      <c r="G288" t="s">
        <v>1352</v>
      </c>
      <c r="H288" t="s">
        <v>1963</v>
      </c>
      <c r="I288" t="s">
        <v>1963</v>
      </c>
      <c r="J288">
        <v>420</v>
      </c>
      <c r="K288">
        <v>380</v>
      </c>
      <c r="L288">
        <v>325</v>
      </c>
      <c r="M288" t="s">
        <v>1963</v>
      </c>
      <c r="N288">
        <v>420</v>
      </c>
      <c r="O288">
        <v>380</v>
      </c>
      <c r="P288">
        <v>325</v>
      </c>
      <c r="Q288" t="s">
        <v>36</v>
      </c>
      <c r="R288">
        <v>24</v>
      </c>
      <c r="S288">
        <v>1</v>
      </c>
      <c r="T288" s="4" t="s">
        <v>1965</v>
      </c>
      <c r="U288" s="4" t="s">
        <v>1966</v>
      </c>
      <c r="V288">
        <v>0</v>
      </c>
      <c r="W288" s="6" t="str">
        <f t="shared" si="4"/>
        <v>(2352,null,1,'2026-03-24 00:00:00','003304040070000-330404007','003304040070000-330404007','翼状胬肉切除术',null,null,420,380,325,null,420,380,325,'次',24,1,'normal','main',0),</v>
      </c>
    </row>
    <row r="289" spans="1:23">
      <c r="A289">
        <v>2353</v>
      </c>
      <c r="B289" t="s">
        <v>1963</v>
      </c>
      <c r="C289">
        <v>1</v>
      </c>
      <c r="D289" s="3" t="s">
        <v>1964</v>
      </c>
      <c r="E289" t="s">
        <v>1355</v>
      </c>
      <c r="F289" t="s">
        <v>1355</v>
      </c>
      <c r="G289" t="s">
        <v>1356</v>
      </c>
      <c r="H289" t="s">
        <v>1963</v>
      </c>
      <c r="I289" t="s">
        <v>1963</v>
      </c>
      <c r="J289">
        <v>545</v>
      </c>
      <c r="K289">
        <v>495</v>
      </c>
      <c r="L289">
        <v>420</v>
      </c>
      <c r="M289" t="s">
        <v>1963</v>
      </c>
      <c r="N289">
        <v>420</v>
      </c>
      <c r="O289">
        <v>380</v>
      </c>
      <c r="P289">
        <v>325</v>
      </c>
      <c r="Q289" t="s">
        <v>36</v>
      </c>
      <c r="R289">
        <v>24</v>
      </c>
      <c r="S289">
        <v>1</v>
      </c>
      <c r="T289" s="4" t="s">
        <v>1965</v>
      </c>
      <c r="U289" s="4" t="s">
        <v>1966</v>
      </c>
      <c r="V289">
        <v>0</v>
      </c>
      <c r="W289" s="6" t="str">
        <f t="shared" si="4"/>
        <v>(2353,null,1,'2026-03-24 00:00:00','003304040070000-33040400702','003304040070000-33040400702','小儿翼状胬肉切除术',null,null,545,495,420,null,420,380,325,'次',24,1,'normal','main',0),</v>
      </c>
    </row>
    <row r="290" spans="1:23">
      <c r="A290">
        <v>2354</v>
      </c>
      <c r="B290" t="s">
        <v>1963</v>
      </c>
      <c r="C290">
        <v>1</v>
      </c>
      <c r="D290" s="3" t="s">
        <v>1964</v>
      </c>
      <c r="E290" t="s">
        <v>1358</v>
      </c>
      <c r="F290" t="s">
        <v>1358</v>
      </c>
      <c r="G290" t="s">
        <v>1359</v>
      </c>
      <c r="H290" t="s">
        <v>1963</v>
      </c>
      <c r="I290" t="s">
        <v>1963</v>
      </c>
      <c r="J290">
        <v>650</v>
      </c>
      <c r="K290">
        <v>585</v>
      </c>
      <c r="L290">
        <v>500</v>
      </c>
      <c r="M290" t="s">
        <v>1963</v>
      </c>
      <c r="N290">
        <v>720</v>
      </c>
      <c r="O290">
        <v>650</v>
      </c>
      <c r="P290">
        <v>550</v>
      </c>
      <c r="Q290" t="s">
        <v>36</v>
      </c>
      <c r="R290">
        <v>24</v>
      </c>
      <c r="S290">
        <v>1</v>
      </c>
      <c r="T290" s="4" t="s">
        <v>1965</v>
      </c>
      <c r="U290" s="4" t="s">
        <v>1966</v>
      </c>
      <c r="V290">
        <v>0</v>
      </c>
      <c r="W290" s="6" t="str">
        <f t="shared" si="4"/>
        <v>(2354,null,1,'2026-03-24 00:00:00','003304040070000-33040400701','003304040070000-33040400701','翼状胬肉切除术（干细胞移植）',null,null,650,585,500,null,720,650,550,'次',24,1,'normal','main',0),</v>
      </c>
    </row>
    <row r="291" spans="1:23">
      <c r="A291">
        <v>2355</v>
      </c>
      <c r="B291" t="s">
        <v>1963</v>
      </c>
      <c r="C291">
        <v>1</v>
      </c>
      <c r="D291" s="3" t="s">
        <v>1964</v>
      </c>
      <c r="E291" t="s">
        <v>1361</v>
      </c>
      <c r="F291" t="s">
        <v>1361</v>
      </c>
      <c r="G291" t="s">
        <v>1362</v>
      </c>
      <c r="H291" t="s">
        <v>1963</v>
      </c>
      <c r="I291" t="s">
        <v>1963</v>
      </c>
      <c r="J291">
        <v>845</v>
      </c>
      <c r="K291">
        <v>760</v>
      </c>
      <c r="L291">
        <v>645</v>
      </c>
      <c r="M291" t="s">
        <v>1963</v>
      </c>
      <c r="N291">
        <v>720</v>
      </c>
      <c r="O291">
        <v>650</v>
      </c>
      <c r="P291">
        <v>550</v>
      </c>
      <c r="Q291" t="s">
        <v>36</v>
      </c>
      <c r="R291">
        <v>24</v>
      </c>
      <c r="S291">
        <v>1</v>
      </c>
      <c r="T291" s="4" t="s">
        <v>1965</v>
      </c>
      <c r="U291" s="4" t="s">
        <v>1966</v>
      </c>
      <c r="V291">
        <v>0</v>
      </c>
      <c r="W291" s="6" t="str">
        <f t="shared" si="4"/>
        <v>(2355,null,1,'2026-03-24 00:00:00','003304040070000-33040400703','003304040070000-33040400703','小儿翼状胬肉切除术（干细胞移植）',null,null,845,760,645,null,720,650,550,'次',24,1,'normal','main',0),</v>
      </c>
    </row>
    <row r="292" spans="1:23">
      <c r="A292">
        <v>2356</v>
      </c>
      <c r="B292" t="s">
        <v>1963</v>
      </c>
      <c r="C292">
        <v>1</v>
      </c>
      <c r="D292" s="3" t="s">
        <v>1964</v>
      </c>
      <c r="E292" t="s">
        <v>1367</v>
      </c>
      <c r="F292" t="s">
        <v>1367</v>
      </c>
      <c r="G292" t="s">
        <v>1368</v>
      </c>
      <c r="H292" t="s">
        <v>1963</v>
      </c>
      <c r="I292" t="s">
        <v>1963</v>
      </c>
      <c r="J292">
        <v>1010</v>
      </c>
      <c r="K292">
        <v>910</v>
      </c>
      <c r="L292">
        <v>775</v>
      </c>
      <c r="M292" t="s">
        <v>1963</v>
      </c>
      <c r="N292">
        <v>1010</v>
      </c>
      <c r="O292">
        <v>910</v>
      </c>
      <c r="P292">
        <v>775</v>
      </c>
      <c r="Q292" t="s">
        <v>36</v>
      </c>
      <c r="R292">
        <v>24</v>
      </c>
      <c r="S292">
        <v>1</v>
      </c>
      <c r="T292" s="4" t="s">
        <v>1965</v>
      </c>
      <c r="U292" s="4" t="s">
        <v>1966</v>
      </c>
      <c r="V292">
        <v>0</v>
      </c>
      <c r="W292" s="6" t="str">
        <f t="shared" si="4"/>
        <v>(2356,null,1,'2026-03-24 00:00:00','003304040110000-330404011','003304040110000-330404011','羊膜移植术',null,null,1010,910,775,null,1010,910,775,'次',24,1,'normal','main',0),</v>
      </c>
    </row>
    <row r="293" spans="1:23">
      <c r="A293">
        <v>2357</v>
      </c>
      <c r="B293" t="s">
        <v>1963</v>
      </c>
      <c r="C293">
        <v>1</v>
      </c>
      <c r="D293" s="3" t="s">
        <v>1964</v>
      </c>
      <c r="E293" t="s">
        <v>1371</v>
      </c>
      <c r="F293" t="s">
        <v>1371</v>
      </c>
      <c r="G293" t="s">
        <v>1372</v>
      </c>
      <c r="H293" t="s">
        <v>1963</v>
      </c>
      <c r="I293" t="s">
        <v>1963</v>
      </c>
      <c r="J293">
        <v>1315</v>
      </c>
      <c r="K293">
        <v>1185</v>
      </c>
      <c r="L293">
        <v>1005</v>
      </c>
      <c r="M293" t="s">
        <v>1963</v>
      </c>
      <c r="N293">
        <v>1315</v>
      </c>
      <c r="O293">
        <v>1185</v>
      </c>
      <c r="P293">
        <v>1005</v>
      </c>
      <c r="Q293" t="s">
        <v>36</v>
      </c>
      <c r="R293">
        <v>24</v>
      </c>
      <c r="S293">
        <v>1</v>
      </c>
      <c r="T293" s="4" t="s">
        <v>1965</v>
      </c>
      <c r="U293" s="4" t="s">
        <v>1966</v>
      </c>
      <c r="V293">
        <v>0</v>
      </c>
      <c r="W293" s="6" t="str">
        <f t="shared" si="4"/>
        <v>(2357,null,1,'2026-03-24 00:00:00','003304040110000-33040401101','003304040110000-33040401101','小儿羊膜移植术',null,null,1315,1185,1005,null,1315,1185,1005,'次',24,1,'normal','main',0),</v>
      </c>
    </row>
    <row r="294" spans="1:23">
      <c r="A294">
        <v>2358</v>
      </c>
      <c r="B294" t="s">
        <v>1963</v>
      </c>
      <c r="C294">
        <v>1</v>
      </c>
      <c r="D294" s="3" t="s">
        <v>1964</v>
      </c>
      <c r="E294" t="s">
        <v>1383</v>
      </c>
      <c r="F294" t="s">
        <v>1383</v>
      </c>
      <c r="G294" t="s">
        <v>1384</v>
      </c>
      <c r="H294" t="s">
        <v>1963</v>
      </c>
      <c r="I294" t="s">
        <v>1963</v>
      </c>
      <c r="J294">
        <v>21</v>
      </c>
      <c r="K294">
        <v>20</v>
      </c>
      <c r="L294">
        <v>17</v>
      </c>
      <c r="M294" t="s">
        <v>1963</v>
      </c>
      <c r="N294">
        <v>21</v>
      </c>
      <c r="O294">
        <v>20</v>
      </c>
      <c r="P294">
        <v>17</v>
      </c>
      <c r="Q294" t="s">
        <v>36</v>
      </c>
      <c r="R294">
        <v>24</v>
      </c>
      <c r="S294">
        <v>1</v>
      </c>
      <c r="T294" s="4" t="s">
        <v>1965</v>
      </c>
      <c r="U294" s="4" t="s">
        <v>1966</v>
      </c>
      <c r="V294">
        <v>0</v>
      </c>
      <c r="W294" s="6" t="str">
        <f t="shared" si="4"/>
        <v>(2358,null,1,'2026-03-24 00:00:00','003103001020000-310300102','003103001020000-310300102','角膜异物剔除术',null,null,21,20,17,null,21,20,17,'次',24,1,'normal','main',0),</v>
      </c>
    </row>
    <row r="295" spans="1:23">
      <c r="A295">
        <v>2359</v>
      </c>
      <c r="B295" t="s">
        <v>1963</v>
      </c>
      <c r="C295">
        <v>1</v>
      </c>
      <c r="D295" s="3" t="s">
        <v>1964</v>
      </c>
      <c r="E295" t="s">
        <v>1385</v>
      </c>
      <c r="F295" t="s">
        <v>1385</v>
      </c>
      <c r="G295" t="s">
        <v>1386</v>
      </c>
      <c r="H295" t="s">
        <v>1963</v>
      </c>
      <c r="I295" t="s">
        <v>1963</v>
      </c>
      <c r="J295">
        <v>21</v>
      </c>
      <c r="K295">
        <v>20</v>
      </c>
      <c r="L295">
        <v>17</v>
      </c>
      <c r="M295" t="s">
        <v>1963</v>
      </c>
      <c r="N295">
        <v>21</v>
      </c>
      <c r="O295">
        <v>20</v>
      </c>
      <c r="P295">
        <v>17</v>
      </c>
      <c r="Q295" t="s">
        <v>36</v>
      </c>
      <c r="R295">
        <v>24</v>
      </c>
      <c r="S295">
        <v>1</v>
      </c>
      <c r="T295" s="4" t="s">
        <v>1965</v>
      </c>
      <c r="U295" s="4" t="s">
        <v>1966</v>
      </c>
      <c r="V295">
        <v>0</v>
      </c>
      <c r="W295" s="6" t="str">
        <f t="shared" si="4"/>
        <v>(2359,null,1,'2026-03-24 00:00:00','003103001030000-310300103','003103001030000-310300103','角膜溃疡灼烙术',null,null,21,20,17,null,21,20,17,'次',24,1,'normal','main',0),</v>
      </c>
    </row>
    <row r="296" spans="1:23">
      <c r="A296">
        <v>2360</v>
      </c>
      <c r="B296" t="s">
        <v>1963</v>
      </c>
      <c r="C296">
        <v>1</v>
      </c>
      <c r="D296" s="3" t="s">
        <v>1964</v>
      </c>
      <c r="E296" t="s">
        <v>1404</v>
      </c>
      <c r="F296" t="s">
        <v>1404</v>
      </c>
      <c r="G296" t="s">
        <v>1405</v>
      </c>
      <c r="H296" t="s">
        <v>1963</v>
      </c>
      <c r="I296" t="s">
        <v>1963</v>
      </c>
      <c r="J296">
        <v>0</v>
      </c>
      <c r="K296">
        <v>0</v>
      </c>
      <c r="L296">
        <v>0</v>
      </c>
      <c r="M296" t="s">
        <v>1963</v>
      </c>
      <c r="N296">
        <v>0</v>
      </c>
      <c r="O296">
        <v>0</v>
      </c>
      <c r="P296">
        <v>0</v>
      </c>
      <c r="Q296" t="s">
        <v>36</v>
      </c>
      <c r="R296">
        <v>24</v>
      </c>
      <c r="S296">
        <v>1</v>
      </c>
      <c r="T296" s="4" t="s">
        <v>1965</v>
      </c>
      <c r="U296" s="4" t="s">
        <v>1966</v>
      </c>
      <c r="V296">
        <v>0</v>
      </c>
      <c r="W296" s="6" t="str">
        <f t="shared" si="4"/>
        <v>(2360,null,1,'2026-03-24 00:00:00','003304040020000-330404002','003304040020000-330404002','近视性放射状角膜切开术',null,null,0,0,0,null,0,0,0,'次',24,1,'normal','main',0),</v>
      </c>
    </row>
    <row r="297" spans="1:23">
      <c r="A297">
        <v>2361</v>
      </c>
      <c r="B297" t="s">
        <v>1963</v>
      </c>
      <c r="C297">
        <v>1</v>
      </c>
      <c r="D297" s="3" t="s">
        <v>1964</v>
      </c>
      <c r="E297" t="s">
        <v>1406</v>
      </c>
      <c r="F297" t="s">
        <v>1406</v>
      </c>
      <c r="G297" t="s">
        <v>1407</v>
      </c>
      <c r="H297" t="s">
        <v>1963</v>
      </c>
      <c r="I297" t="s">
        <v>1963</v>
      </c>
      <c r="J297">
        <v>0</v>
      </c>
      <c r="K297">
        <v>0</v>
      </c>
      <c r="L297">
        <v>0</v>
      </c>
      <c r="M297" t="s">
        <v>1963</v>
      </c>
      <c r="N297">
        <v>0</v>
      </c>
      <c r="O297">
        <v>0</v>
      </c>
      <c r="P297">
        <v>0</v>
      </c>
      <c r="Q297" t="s">
        <v>36</v>
      </c>
      <c r="R297">
        <v>24</v>
      </c>
      <c r="S297">
        <v>1</v>
      </c>
      <c r="T297" s="4" t="s">
        <v>1965</v>
      </c>
      <c r="U297" s="4" t="s">
        <v>1966</v>
      </c>
      <c r="V297">
        <v>0</v>
      </c>
      <c r="W297" s="6" t="str">
        <f t="shared" si="4"/>
        <v>(2361,null,1,'2026-03-24 00:00:00','003103000780000-310300078','003103000780000-310300078','准分子激光屈光性角膜矫正术（PRK）',null,null,0,0,0,null,0,0,0,'次',24,1,'normal','main',0),</v>
      </c>
    </row>
    <row r="298" spans="1:23">
      <c r="A298">
        <v>2362</v>
      </c>
      <c r="B298" t="s">
        <v>1963</v>
      </c>
      <c r="C298">
        <v>1</v>
      </c>
      <c r="D298" s="3" t="s">
        <v>1964</v>
      </c>
      <c r="E298" t="s">
        <v>1426</v>
      </c>
      <c r="F298" t="s">
        <v>1426</v>
      </c>
      <c r="G298" t="s">
        <v>1427</v>
      </c>
      <c r="H298" t="s">
        <v>1963</v>
      </c>
      <c r="I298" t="s">
        <v>1963</v>
      </c>
      <c r="J298">
        <v>0</v>
      </c>
      <c r="K298">
        <v>0</v>
      </c>
      <c r="L298">
        <v>0</v>
      </c>
      <c r="M298" t="s">
        <v>1963</v>
      </c>
      <c r="N298">
        <v>0</v>
      </c>
      <c r="O298">
        <v>0</v>
      </c>
      <c r="P298">
        <v>0</v>
      </c>
      <c r="Q298" t="s">
        <v>110</v>
      </c>
      <c r="R298">
        <v>24</v>
      </c>
      <c r="S298">
        <v>1</v>
      </c>
      <c r="T298" s="4" t="s">
        <v>1965</v>
      </c>
      <c r="U298" s="4" t="s">
        <v>1966</v>
      </c>
      <c r="V298">
        <v>0</v>
      </c>
      <c r="W298" s="6" t="str">
        <f t="shared" si="4"/>
        <v>(2362,null,1,'2026-03-24 00:00:00','003103000780100-330404014','003103000780100-330404014','飞秒激光角膜切削术',null,null,0,0,0,null,0,0,0,'单侧',24,1,'normal','main',0),</v>
      </c>
    </row>
    <row r="299" spans="1:23">
      <c r="A299">
        <v>2363</v>
      </c>
      <c r="B299" t="s">
        <v>1963</v>
      </c>
      <c r="C299">
        <v>1</v>
      </c>
      <c r="D299" s="3" t="s">
        <v>1964</v>
      </c>
      <c r="E299" t="s">
        <v>1444</v>
      </c>
      <c r="F299" t="s">
        <v>1444</v>
      </c>
      <c r="G299" t="s">
        <v>1445</v>
      </c>
      <c r="H299" t="s">
        <v>1963</v>
      </c>
      <c r="I299" t="s">
        <v>1963</v>
      </c>
      <c r="J299">
        <v>187.5</v>
      </c>
      <c r="K299">
        <v>180</v>
      </c>
      <c r="L299">
        <v>153</v>
      </c>
      <c r="M299" t="s">
        <v>1963</v>
      </c>
      <c r="N299">
        <v>185</v>
      </c>
      <c r="O299">
        <v>168</v>
      </c>
      <c r="P299">
        <v>150</v>
      </c>
      <c r="Q299" t="s">
        <v>110</v>
      </c>
      <c r="R299">
        <v>24</v>
      </c>
      <c r="S299">
        <v>1</v>
      </c>
      <c r="T299" s="4" t="s">
        <v>1965</v>
      </c>
      <c r="U299" s="4" t="s">
        <v>1966</v>
      </c>
      <c r="V299">
        <v>0</v>
      </c>
      <c r="W299" s="6" t="str">
        <f t="shared" si="4"/>
        <v>(2363,null,1,'2026-03-24 00:00:00','003304040030000-330404003','003304040030000-330404003','角膜缝环固定术',null,null,187.5,180,153,null,185,168,150,'单侧',24,1,'normal','main',0),</v>
      </c>
    </row>
    <row r="300" spans="1:23">
      <c r="A300">
        <v>2364</v>
      </c>
      <c r="B300" t="s">
        <v>1963</v>
      </c>
      <c r="C300">
        <v>1</v>
      </c>
      <c r="D300" s="3" t="s">
        <v>1964</v>
      </c>
      <c r="E300" t="s">
        <v>1448</v>
      </c>
      <c r="F300" t="s">
        <v>1448</v>
      </c>
      <c r="G300" t="s">
        <v>1449</v>
      </c>
      <c r="H300" t="s">
        <v>1963</v>
      </c>
      <c r="I300" t="s">
        <v>1963</v>
      </c>
      <c r="J300">
        <v>245</v>
      </c>
      <c r="K300">
        <v>235</v>
      </c>
      <c r="L300">
        <v>200</v>
      </c>
      <c r="M300" t="s">
        <v>1963</v>
      </c>
      <c r="N300">
        <v>241</v>
      </c>
      <c r="O300">
        <v>218</v>
      </c>
      <c r="P300">
        <v>195</v>
      </c>
      <c r="Q300" t="s">
        <v>110</v>
      </c>
      <c r="R300">
        <v>24</v>
      </c>
      <c r="S300">
        <v>1</v>
      </c>
      <c r="T300" s="4" t="s">
        <v>1965</v>
      </c>
      <c r="U300" s="4" t="s">
        <v>1966</v>
      </c>
      <c r="V300">
        <v>0</v>
      </c>
      <c r="W300" s="6" t="str">
        <f t="shared" si="4"/>
        <v>(2364,null,1,'2026-03-24 00:00:00','003304040030000-33040400301','003304040030000-33040400301','小儿角膜缝环固定术',null,null,245,235,200,null,241,218,195,'单侧',24,1,'normal','main',0),</v>
      </c>
    </row>
    <row r="301" spans="1:23">
      <c r="A301">
        <v>2365</v>
      </c>
      <c r="B301" t="s">
        <v>1963</v>
      </c>
      <c r="C301">
        <v>1</v>
      </c>
      <c r="D301" s="3" t="s">
        <v>1964</v>
      </c>
      <c r="E301" t="s">
        <v>1454</v>
      </c>
      <c r="F301" t="s">
        <v>1454</v>
      </c>
      <c r="G301" t="s">
        <v>1455</v>
      </c>
      <c r="H301" t="s">
        <v>1963</v>
      </c>
      <c r="I301" t="s">
        <v>1963</v>
      </c>
      <c r="J301">
        <v>375</v>
      </c>
      <c r="K301">
        <v>360</v>
      </c>
      <c r="L301">
        <v>306</v>
      </c>
      <c r="M301" t="s">
        <v>1963</v>
      </c>
      <c r="N301">
        <v>375</v>
      </c>
      <c r="O301">
        <v>360</v>
      </c>
      <c r="P301">
        <v>306</v>
      </c>
      <c r="Q301" t="s">
        <v>36</v>
      </c>
      <c r="R301">
        <v>24</v>
      </c>
      <c r="S301">
        <v>1</v>
      </c>
      <c r="T301" s="4" t="s">
        <v>1965</v>
      </c>
      <c r="U301" s="4" t="s">
        <v>1966</v>
      </c>
      <c r="V301">
        <v>0</v>
      </c>
      <c r="W301" s="6" t="str">
        <f t="shared" si="4"/>
        <v>(2365,null,1,'2026-03-24 00:00:00','003304040060000-330404006','003304040060000-330404006','角膜深层异物取出术',null,null,375,360,306,null,375,360,306,'次',24,1,'normal','main',0),</v>
      </c>
    </row>
    <row r="302" spans="1:23">
      <c r="A302">
        <v>2366</v>
      </c>
      <c r="B302" t="s">
        <v>1963</v>
      </c>
      <c r="C302">
        <v>1</v>
      </c>
      <c r="D302" s="3" t="s">
        <v>1964</v>
      </c>
      <c r="E302" t="s">
        <v>1458</v>
      </c>
      <c r="F302" t="s">
        <v>1458</v>
      </c>
      <c r="G302" t="s">
        <v>1459</v>
      </c>
      <c r="H302" t="s">
        <v>1963</v>
      </c>
      <c r="I302" t="s">
        <v>1963</v>
      </c>
      <c r="J302">
        <v>490</v>
      </c>
      <c r="K302">
        <v>470</v>
      </c>
      <c r="L302">
        <v>400</v>
      </c>
      <c r="M302" t="s">
        <v>1963</v>
      </c>
      <c r="N302">
        <v>490</v>
      </c>
      <c r="O302">
        <v>470</v>
      </c>
      <c r="P302">
        <v>396</v>
      </c>
      <c r="Q302" t="s">
        <v>36</v>
      </c>
      <c r="R302">
        <v>24</v>
      </c>
      <c r="S302">
        <v>1</v>
      </c>
      <c r="T302" s="4" t="s">
        <v>1965</v>
      </c>
      <c r="U302" s="4" t="s">
        <v>1966</v>
      </c>
      <c r="V302">
        <v>0</v>
      </c>
      <c r="W302" s="6" t="str">
        <f t="shared" si="4"/>
        <v>(2366,null,1,'2026-03-24 00:00:00','003304040060000-33040400601','003304040060000-33040400601','小儿角膜深层异物取出术',null,null,490,470,400,null,490,470,396,'次',24,1,'normal','main',0),</v>
      </c>
    </row>
    <row r="303" spans="1:23">
      <c r="A303">
        <v>2367</v>
      </c>
      <c r="B303" t="s">
        <v>1963</v>
      </c>
      <c r="C303">
        <v>1</v>
      </c>
      <c r="D303" s="3" t="s">
        <v>1964</v>
      </c>
      <c r="E303" t="s">
        <v>1464</v>
      </c>
      <c r="F303" t="s">
        <v>1464</v>
      </c>
      <c r="G303" t="s">
        <v>1465</v>
      </c>
      <c r="H303" t="s">
        <v>1963</v>
      </c>
      <c r="I303" t="s">
        <v>1963</v>
      </c>
      <c r="J303">
        <v>1062.5</v>
      </c>
      <c r="K303">
        <v>1020</v>
      </c>
      <c r="L303">
        <v>867</v>
      </c>
      <c r="M303" t="s">
        <v>1963</v>
      </c>
      <c r="N303">
        <v>1065</v>
      </c>
      <c r="O303">
        <v>1020</v>
      </c>
      <c r="P303">
        <v>867</v>
      </c>
      <c r="Q303" t="s">
        <v>36</v>
      </c>
      <c r="R303">
        <v>24</v>
      </c>
      <c r="S303">
        <v>1</v>
      </c>
      <c r="T303" s="4" t="s">
        <v>1965</v>
      </c>
      <c r="U303" s="4" t="s">
        <v>1966</v>
      </c>
      <c r="V303">
        <v>0</v>
      </c>
      <c r="W303" s="6" t="str">
        <f t="shared" si="4"/>
        <v>(2367,null,1,'2026-03-24 00:00:00','003304050080000-330405008','003304050080000-330405008','睫状体断离复位术',null,null,1062.5,1020,867,null,1065,1020,867,'次',24,1,'normal','main',0),</v>
      </c>
    </row>
    <row r="304" spans="1:23">
      <c r="A304">
        <v>2368</v>
      </c>
      <c r="B304" t="s">
        <v>1963</v>
      </c>
      <c r="C304">
        <v>1</v>
      </c>
      <c r="D304" s="3" t="s">
        <v>1964</v>
      </c>
      <c r="E304" t="s">
        <v>1469</v>
      </c>
      <c r="F304" t="s">
        <v>1469</v>
      </c>
      <c r="G304" t="s">
        <v>1470</v>
      </c>
      <c r="H304" t="s">
        <v>1963</v>
      </c>
      <c r="I304" t="s">
        <v>1963</v>
      </c>
      <c r="J304">
        <v>1380</v>
      </c>
      <c r="K304">
        <v>1325</v>
      </c>
      <c r="L304">
        <v>1125</v>
      </c>
      <c r="M304" t="s">
        <v>1963</v>
      </c>
      <c r="N304">
        <v>1385</v>
      </c>
      <c r="O304">
        <v>1325</v>
      </c>
      <c r="P304">
        <v>1127</v>
      </c>
      <c r="Q304" t="s">
        <v>36</v>
      </c>
      <c r="R304">
        <v>24</v>
      </c>
      <c r="S304">
        <v>1</v>
      </c>
      <c r="T304" s="4" t="s">
        <v>1965</v>
      </c>
      <c r="U304" s="4" t="s">
        <v>1966</v>
      </c>
      <c r="V304">
        <v>0</v>
      </c>
      <c r="W304" s="6" t="str">
        <f t="shared" si="4"/>
        <v>(2368,null,1,'2026-03-24 00:00:00','003304050080000-33040500801','003304050080000-33040500801','小儿睫状体断离复位术',null,null,1380,1325,1125,null,1385,1325,1127,'次',24,1,'normal','main',0),</v>
      </c>
    </row>
    <row r="305" spans="1:23">
      <c r="A305">
        <v>2369</v>
      </c>
      <c r="B305" t="s">
        <v>1963</v>
      </c>
      <c r="C305">
        <v>1</v>
      </c>
      <c r="D305" s="3" t="s">
        <v>1964</v>
      </c>
      <c r="E305" t="s">
        <v>1475</v>
      </c>
      <c r="F305" t="s">
        <v>1475</v>
      </c>
      <c r="G305" t="s">
        <v>1476</v>
      </c>
      <c r="H305" t="s">
        <v>1963</v>
      </c>
      <c r="I305" t="s">
        <v>1963</v>
      </c>
      <c r="J305">
        <v>1010</v>
      </c>
      <c r="K305">
        <v>910</v>
      </c>
      <c r="L305">
        <v>775</v>
      </c>
      <c r="M305" t="s">
        <v>1963</v>
      </c>
      <c r="N305">
        <v>1870</v>
      </c>
      <c r="O305">
        <v>1680</v>
      </c>
      <c r="P305">
        <v>1430</v>
      </c>
      <c r="Q305" t="s">
        <v>36</v>
      </c>
      <c r="R305">
        <v>24</v>
      </c>
      <c r="S305">
        <v>1</v>
      </c>
      <c r="T305" s="4" t="s">
        <v>1965</v>
      </c>
      <c r="U305" s="4" t="s">
        <v>1966</v>
      </c>
      <c r="V305">
        <v>0</v>
      </c>
      <c r="W305" s="6" t="str">
        <f t="shared" si="4"/>
        <v>(2369,null,1,'2026-03-24 00:00:00','003304050070000-330405007','003304050070000-330405007','睫状体剥离术',null,null,1010,910,775,null,1870,1680,1430,'次',24,1,'normal','main',0),</v>
      </c>
    </row>
    <row r="306" spans="1:23">
      <c r="A306">
        <v>2370</v>
      </c>
      <c r="B306" t="s">
        <v>1963</v>
      </c>
      <c r="C306">
        <v>1</v>
      </c>
      <c r="D306" s="3" t="s">
        <v>1964</v>
      </c>
      <c r="E306" t="s">
        <v>1018</v>
      </c>
      <c r="F306" t="s">
        <v>1018</v>
      </c>
      <c r="G306" t="s">
        <v>1019</v>
      </c>
      <c r="H306" t="s">
        <v>1963</v>
      </c>
      <c r="I306" t="s">
        <v>1963</v>
      </c>
      <c r="J306">
        <v>2310</v>
      </c>
      <c r="K306">
        <v>2080</v>
      </c>
      <c r="L306">
        <v>1770</v>
      </c>
      <c r="M306" t="s">
        <v>1963</v>
      </c>
      <c r="N306">
        <v>1870</v>
      </c>
      <c r="O306">
        <v>1680</v>
      </c>
      <c r="P306">
        <v>1430</v>
      </c>
      <c r="Q306" t="s">
        <v>36</v>
      </c>
      <c r="R306">
        <v>24</v>
      </c>
      <c r="S306">
        <v>1</v>
      </c>
      <c r="T306" s="4" t="s">
        <v>1965</v>
      </c>
      <c r="U306" s="4" t="s">
        <v>1966</v>
      </c>
      <c r="V306">
        <v>0</v>
      </c>
      <c r="W306" s="6" t="str">
        <f t="shared" si="4"/>
        <v>(2370,null,1,'2026-03-24 00:00:00','003304070110000-330407011','003304070110000-330407011','色素膜肿物切除术',null,null,2310,2080,1770,null,1870,1680,1430,'次',24,1,'normal','main',0),</v>
      </c>
    </row>
    <row r="307" spans="1:23">
      <c r="A307">
        <v>2371</v>
      </c>
      <c r="B307" t="s">
        <v>1963</v>
      </c>
      <c r="C307">
        <v>1</v>
      </c>
      <c r="D307" s="3" t="s">
        <v>1964</v>
      </c>
      <c r="E307" t="s">
        <v>1479</v>
      </c>
      <c r="F307" t="s">
        <v>1479</v>
      </c>
      <c r="G307" t="s">
        <v>1480</v>
      </c>
      <c r="H307" t="s">
        <v>1963</v>
      </c>
      <c r="I307" t="s">
        <v>1963</v>
      </c>
      <c r="J307">
        <v>1315</v>
      </c>
      <c r="K307">
        <v>1185</v>
      </c>
      <c r="L307">
        <v>1005</v>
      </c>
      <c r="M307" t="s">
        <v>1963</v>
      </c>
      <c r="N307">
        <v>2430</v>
      </c>
      <c r="O307">
        <v>2185</v>
      </c>
      <c r="P307">
        <v>1860</v>
      </c>
      <c r="Q307" t="s">
        <v>36</v>
      </c>
      <c r="R307">
        <v>24</v>
      </c>
      <c r="S307">
        <v>1</v>
      </c>
      <c r="T307" s="4" t="s">
        <v>1965</v>
      </c>
      <c r="U307" s="4" t="s">
        <v>1966</v>
      </c>
      <c r="V307">
        <v>0</v>
      </c>
      <c r="W307" s="6" t="str">
        <f t="shared" si="4"/>
        <v>(2371,null,1,'2026-03-24 00:00:00','003304050070000-33040500701','003304050070000-33040500701','小儿睫状体剥离术',null,null,1315,1185,1005,null,2430,2185,1860,'次',24,1,'normal','main',0),</v>
      </c>
    </row>
    <row r="308" spans="1:23">
      <c r="A308">
        <v>2372</v>
      </c>
      <c r="B308" t="s">
        <v>1963</v>
      </c>
      <c r="C308">
        <v>1</v>
      </c>
      <c r="D308" s="3" t="s">
        <v>1964</v>
      </c>
      <c r="E308" t="s">
        <v>1022</v>
      </c>
      <c r="F308" t="s">
        <v>1022</v>
      </c>
      <c r="G308" t="s">
        <v>1023</v>
      </c>
      <c r="H308" t="s">
        <v>1963</v>
      </c>
      <c r="I308" t="s">
        <v>1963</v>
      </c>
      <c r="J308">
        <v>3005</v>
      </c>
      <c r="K308">
        <v>2705</v>
      </c>
      <c r="L308">
        <v>2300</v>
      </c>
      <c r="M308" t="s">
        <v>1963</v>
      </c>
      <c r="N308">
        <v>2430</v>
      </c>
      <c r="O308">
        <v>2185</v>
      </c>
      <c r="P308">
        <v>1860</v>
      </c>
      <c r="Q308" t="s">
        <v>36</v>
      </c>
      <c r="R308">
        <v>24</v>
      </c>
      <c r="S308">
        <v>1</v>
      </c>
      <c r="T308" s="4" t="s">
        <v>1965</v>
      </c>
      <c r="U308" s="4" t="s">
        <v>1966</v>
      </c>
      <c r="V308">
        <v>0</v>
      </c>
      <c r="W308" s="6" t="str">
        <f t="shared" si="4"/>
        <v>(2372,null,1,'2026-03-24 00:00:00','003304070110000-33040701101','003304070110000-33040701101','小儿色素膜肿物切除术',null,null,3005,2705,2300,null,2430,2185,1860,'次',24,1,'normal','main',0),</v>
      </c>
    </row>
    <row r="309" spans="1:23">
      <c r="A309">
        <v>2373</v>
      </c>
      <c r="B309" t="s">
        <v>1963</v>
      </c>
      <c r="C309">
        <v>1</v>
      </c>
      <c r="D309" s="3" t="s">
        <v>1964</v>
      </c>
      <c r="E309" t="s">
        <v>1486</v>
      </c>
      <c r="F309" t="s">
        <v>1486</v>
      </c>
      <c r="G309" t="s">
        <v>1487</v>
      </c>
      <c r="H309" t="s">
        <v>1963</v>
      </c>
      <c r="I309" t="s">
        <v>1963</v>
      </c>
      <c r="J309">
        <v>1180</v>
      </c>
      <c r="K309">
        <v>1060</v>
      </c>
      <c r="L309">
        <v>900</v>
      </c>
      <c r="M309" t="s">
        <v>1963</v>
      </c>
      <c r="N309">
        <v>1280</v>
      </c>
      <c r="O309">
        <v>1150</v>
      </c>
      <c r="P309">
        <v>980</v>
      </c>
      <c r="Q309" t="s">
        <v>36</v>
      </c>
      <c r="R309">
        <v>24</v>
      </c>
      <c r="S309">
        <v>1</v>
      </c>
      <c r="T309" s="4" t="s">
        <v>1965</v>
      </c>
      <c r="U309" s="4" t="s">
        <v>1966</v>
      </c>
      <c r="V309">
        <v>0</v>
      </c>
      <c r="W309" s="6" t="str">
        <f t="shared" si="4"/>
        <v>(2373,null,1,'2026-03-24 00:00:00','003304090190000-330409019','003304090190000-330409019','眼眶壁骨折整复术',null,null,1180,1060,900,null,1280,1150,980,'次',24,1,'normal','main',0),</v>
      </c>
    </row>
    <row r="310" spans="1:23">
      <c r="A310">
        <v>2374</v>
      </c>
      <c r="B310" t="s">
        <v>1963</v>
      </c>
      <c r="C310">
        <v>1</v>
      </c>
      <c r="D310" s="3" t="s">
        <v>1964</v>
      </c>
      <c r="E310" t="s">
        <v>1490</v>
      </c>
      <c r="F310" t="s">
        <v>1490</v>
      </c>
      <c r="G310" t="s">
        <v>1491</v>
      </c>
      <c r="H310" t="s">
        <v>1963</v>
      </c>
      <c r="I310" t="s">
        <v>1963</v>
      </c>
      <c r="J310">
        <v>1180</v>
      </c>
      <c r="K310">
        <v>1060</v>
      </c>
      <c r="L310">
        <v>900</v>
      </c>
      <c r="M310" t="s">
        <v>1963</v>
      </c>
      <c r="N310">
        <v>1280</v>
      </c>
      <c r="O310">
        <v>1150</v>
      </c>
      <c r="P310">
        <v>980</v>
      </c>
      <c r="Q310" t="s">
        <v>36</v>
      </c>
      <c r="R310">
        <v>24</v>
      </c>
      <c r="S310">
        <v>1</v>
      </c>
      <c r="T310" s="4" t="s">
        <v>1965</v>
      </c>
      <c r="U310" s="4" t="s">
        <v>1966</v>
      </c>
      <c r="V310">
        <v>0</v>
      </c>
      <c r="W310" s="6" t="str">
        <f t="shared" si="4"/>
        <v>(2374,null,1,'2026-03-24 00:00:00','003304090190200-33040901901','003304090190200-33040901901','眼眶壁骨折整复术（外侧开眶钛板固定术）',null,null,1180,1060,900,null,1280,1150,980,'次',24,1,'normal','main',0),</v>
      </c>
    </row>
    <row r="311" spans="1:23">
      <c r="A311">
        <v>2375</v>
      </c>
      <c r="B311" t="s">
        <v>1963</v>
      </c>
      <c r="C311">
        <v>1</v>
      </c>
      <c r="D311" s="3" t="s">
        <v>1964</v>
      </c>
      <c r="E311" t="s">
        <v>1493</v>
      </c>
      <c r="F311" t="s">
        <v>1493</v>
      </c>
      <c r="G311" t="s">
        <v>1494</v>
      </c>
      <c r="H311" t="s">
        <v>1963</v>
      </c>
      <c r="I311" t="s">
        <v>1963</v>
      </c>
      <c r="J311">
        <v>1180</v>
      </c>
      <c r="K311">
        <v>1060</v>
      </c>
      <c r="L311">
        <v>900</v>
      </c>
      <c r="M311" t="s">
        <v>1963</v>
      </c>
      <c r="N311">
        <v>1280</v>
      </c>
      <c r="O311">
        <v>1150</v>
      </c>
      <c r="P311">
        <v>980</v>
      </c>
      <c r="Q311" t="s">
        <v>36</v>
      </c>
      <c r="R311">
        <v>24</v>
      </c>
      <c r="S311">
        <v>1</v>
      </c>
      <c r="T311" s="4" t="s">
        <v>1965</v>
      </c>
      <c r="U311" s="4" t="s">
        <v>1966</v>
      </c>
      <c r="V311">
        <v>0</v>
      </c>
      <c r="W311" s="6" t="str">
        <f t="shared" si="4"/>
        <v>(2375,null,1,'2026-03-24 00:00:00','003304090190100-33040901902','003304090190100-33040901902','眼眶壁骨折整复术（外侧开眶钛钉固定术）',null,null,1180,1060,900,null,1280,1150,980,'次',24,1,'normal','main',0),</v>
      </c>
    </row>
    <row r="312" spans="1:23">
      <c r="A312">
        <v>2376</v>
      </c>
      <c r="B312" t="s">
        <v>1963</v>
      </c>
      <c r="C312">
        <v>1</v>
      </c>
      <c r="D312" s="3" t="s">
        <v>1964</v>
      </c>
      <c r="E312" t="s">
        <v>1496</v>
      </c>
      <c r="F312" t="s">
        <v>1496</v>
      </c>
      <c r="G312" t="s">
        <v>1497</v>
      </c>
      <c r="H312" t="s">
        <v>1963</v>
      </c>
      <c r="I312" t="s">
        <v>1963</v>
      </c>
      <c r="J312">
        <v>1650</v>
      </c>
      <c r="K312">
        <v>1490</v>
      </c>
      <c r="L312">
        <v>1270</v>
      </c>
      <c r="M312" t="s">
        <v>1963</v>
      </c>
      <c r="N312">
        <v>1280</v>
      </c>
      <c r="O312">
        <v>1150</v>
      </c>
      <c r="P312">
        <v>980</v>
      </c>
      <c r="Q312" t="s">
        <v>36</v>
      </c>
      <c r="R312">
        <v>24</v>
      </c>
      <c r="S312">
        <v>1</v>
      </c>
      <c r="T312" s="4" t="s">
        <v>1965</v>
      </c>
      <c r="U312" s="4" t="s">
        <v>1966</v>
      </c>
      <c r="V312">
        <v>0</v>
      </c>
      <c r="W312" s="6" t="str">
        <f t="shared" si="4"/>
        <v>(2376,null,1,'2026-03-24 00:00:00','003304090200000-330409020','003304090200000-330409020','眶骨缺损修复术',null,null,1650,1490,1270,null,1280,1150,980,'次',24,1,'normal','main',0),</v>
      </c>
    </row>
    <row r="313" spans="1:23">
      <c r="A313">
        <v>2377</v>
      </c>
      <c r="B313" t="s">
        <v>1963</v>
      </c>
      <c r="C313">
        <v>1</v>
      </c>
      <c r="D313" s="3" t="s">
        <v>1964</v>
      </c>
      <c r="E313" t="s">
        <v>1501</v>
      </c>
      <c r="F313" t="s">
        <v>1501</v>
      </c>
      <c r="G313" t="s">
        <v>1502</v>
      </c>
      <c r="H313" t="s">
        <v>1963</v>
      </c>
      <c r="I313" t="s">
        <v>1963</v>
      </c>
      <c r="J313">
        <v>1535</v>
      </c>
      <c r="K313">
        <v>1380</v>
      </c>
      <c r="L313">
        <v>1175</v>
      </c>
      <c r="M313" t="s">
        <v>1963</v>
      </c>
      <c r="N313">
        <v>1665</v>
      </c>
      <c r="O313">
        <v>1495</v>
      </c>
      <c r="P313">
        <v>1275</v>
      </c>
      <c r="Q313" t="s">
        <v>36</v>
      </c>
      <c r="R313">
        <v>24</v>
      </c>
      <c r="S313">
        <v>1</v>
      </c>
      <c r="T313" s="4" t="s">
        <v>1965</v>
      </c>
      <c r="U313" s="4" t="s">
        <v>1966</v>
      </c>
      <c r="V313">
        <v>0</v>
      </c>
      <c r="W313" s="6" t="str">
        <f t="shared" si="4"/>
        <v>(2377,null,1,'2026-03-24 00:00:00','003304090190000-33040901903','003304090190000-33040901903','小儿眼眶壁骨折整复术',null,null,1535,1380,1175,null,1665,1495,1275,'次',24,1,'normal','main',0),</v>
      </c>
    </row>
    <row r="314" spans="1:23">
      <c r="A314">
        <v>2378</v>
      </c>
      <c r="B314" t="s">
        <v>1963</v>
      </c>
      <c r="C314">
        <v>1</v>
      </c>
      <c r="D314" s="3" t="s">
        <v>1964</v>
      </c>
      <c r="E314" t="s">
        <v>1503</v>
      </c>
      <c r="F314" t="s">
        <v>1503</v>
      </c>
      <c r="G314" t="s">
        <v>1504</v>
      </c>
      <c r="H314" t="s">
        <v>1963</v>
      </c>
      <c r="I314" t="s">
        <v>1963</v>
      </c>
      <c r="J314">
        <v>2145</v>
      </c>
      <c r="K314">
        <v>1935</v>
      </c>
      <c r="L314">
        <v>1645</v>
      </c>
      <c r="M314" t="s">
        <v>1963</v>
      </c>
      <c r="N314">
        <v>1665</v>
      </c>
      <c r="O314">
        <v>1495</v>
      </c>
      <c r="P314">
        <v>1275</v>
      </c>
      <c r="Q314" t="s">
        <v>36</v>
      </c>
      <c r="R314">
        <v>24</v>
      </c>
      <c r="S314">
        <v>1</v>
      </c>
      <c r="T314" s="4" t="s">
        <v>1965</v>
      </c>
      <c r="U314" s="4" t="s">
        <v>1966</v>
      </c>
      <c r="V314">
        <v>0</v>
      </c>
      <c r="W314" s="6" t="str">
        <f t="shared" si="4"/>
        <v>(2378,null,1,'2026-03-24 00:00:00','003304090200000-33040902001','003304090200000-33040902001','小儿眶骨缺损修复术',null,null,2145,1935,1645,null,1665,1495,1275,'次',24,1,'normal','main',0),</v>
      </c>
    </row>
    <row r="315" spans="1:23">
      <c r="A315">
        <v>2379</v>
      </c>
      <c r="B315" t="s">
        <v>1963</v>
      </c>
      <c r="C315">
        <v>1</v>
      </c>
      <c r="D315" s="3" t="s">
        <v>1964</v>
      </c>
      <c r="E315" t="s">
        <v>1512</v>
      </c>
      <c r="F315" t="s">
        <v>1512</v>
      </c>
      <c r="G315" t="s">
        <v>1513</v>
      </c>
      <c r="H315" t="s">
        <v>1963</v>
      </c>
      <c r="I315" t="s">
        <v>1963</v>
      </c>
      <c r="J315">
        <v>1000</v>
      </c>
      <c r="K315">
        <v>960</v>
      </c>
      <c r="L315">
        <v>816</v>
      </c>
      <c r="M315" t="s">
        <v>1963</v>
      </c>
      <c r="N315">
        <v>1000</v>
      </c>
      <c r="O315">
        <v>960</v>
      </c>
      <c r="P315">
        <v>816</v>
      </c>
      <c r="Q315" t="s">
        <v>36</v>
      </c>
      <c r="R315">
        <v>24</v>
      </c>
      <c r="S315">
        <v>1</v>
      </c>
      <c r="T315" s="4" t="s">
        <v>1965</v>
      </c>
      <c r="U315" s="4" t="s">
        <v>1966</v>
      </c>
      <c r="V315">
        <v>0</v>
      </c>
      <c r="W315" s="6" t="str">
        <f t="shared" si="4"/>
        <v>(2379,null,1,'2026-03-24 00:00:00','003304090210000-330409021','003304090210000-330409021','眶膈修补术',null,null,1000,960,816,null,1000,960,816,'次',24,1,'normal','main',0),</v>
      </c>
    </row>
    <row r="316" spans="1:23">
      <c r="A316">
        <v>2380</v>
      </c>
      <c r="B316" t="s">
        <v>1963</v>
      </c>
      <c r="C316">
        <v>1</v>
      </c>
      <c r="D316" s="3" t="s">
        <v>1964</v>
      </c>
      <c r="E316" t="s">
        <v>1516</v>
      </c>
      <c r="F316" t="s">
        <v>1516</v>
      </c>
      <c r="G316" t="s">
        <v>1517</v>
      </c>
      <c r="H316" t="s">
        <v>1963</v>
      </c>
      <c r="I316" t="s">
        <v>1963</v>
      </c>
      <c r="J316">
        <v>1300</v>
      </c>
      <c r="K316">
        <v>1250</v>
      </c>
      <c r="L316">
        <v>1065</v>
      </c>
      <c r="M316" t="s">
        <v>1963</v>
      </c>
      <c r="N316">
        <v>1300</v>
      </c>
      <c r="O316">
        <v>1252</v>
      </c>
      <c r="P316">
        <v>1061</v>
      </c>
      <c r="Q316" t="s">
        <v>36</v>
      </c>
      <c r="R316">
        <v>24</v>
      </c>
      <c r="S316">
        <v>1</v>
      </c>
      <c r="T316" s="4" t="s">
        <v>1965</v>
      </c>
      <c r="U316" s="4" t="s">
        <v>1966</v>
      </c>
      <c r="V316">
        <v>0</v>
      </c>
      <c r="W316" s="6" t="str">
        <f t="shared" si="4"/>
        <v>(2380,null,1,'2026-03-24 00:00:00','003304090210000-33040902101','003304090210000-33040902101','小儿眶膈修补术',null,null,1300,1250,1065,null,1300,1252,1061,'次',24,1,'normal','main',0),</v>
      </c>
    </row>
    <row r="317" spans="1:23">
      <c r="A317">
        <v>2381</v>
      </c>
      <c r="B317" t="s">
        <v>1963</v>
      </c>
      <c r="C317">
        <v>1</v>
      </c>
      <c r="D317" s="3" t="s">
        <v>1964</v>
      </c>
      <c r="E317" t="s">
        <v>1523</v>
      </c>
      <c r="F317" t="s">
        <v>1523</v>
      </c>
      <c r="G317" t="s">
        <v>1524</v>
      </c>
      <c r="H317" t="s">
        <v>1963</v>
      </c>
      <c r="I317" t="s">
        <v>1963</v>
      </c>
      <c r="J317">
        <v>625</v>
      </c>
      <c r="K317">
        <v>600</v>
      </c>
      <c r="L317">
        <v>510</v>
      </c>
      <c r="M317" t="s">
        <v>1963</v>
      </c>
      <c r="N317">
        <v>600</v>
      </c>
      <c r="O317">
        <v>565</v>
      </c>
      <c r="P317">
        <v>500</v>
      </c>
      <c r="Q317" t="s">
        <v>36</v>
      </c>
      <c r="R317">
        <v>24</v>
      </c>
      <c r="S317">
        <v>1</v>
      </c>
      <c r="T317" s="4" t="s">
        <v>1965</v>
      </c>
      <c r="U317" s="4" t="s">
        <v>1966</v>
      </c>
      <c r="V317">
        <v>0</v>
      </c>
      <c r="W317" s="6" t="str">
        <f t="shared" si="4"/>
        <v>(2381,null,1,'2026-03-24 00:00:00','003304090070000-330409007','003304090070000-330409007','眼内容摘除术',null,null,625,600,510,null,600,565,500,'次',24,1,'normal','main',0),</v>
      </c>
    </row>
    <row r="318" spans="1:23">
      <c r="A318">
        <v>2382</v>
      </c>
      <c r="B318" t="s">
        <v>1963</v>
      </c>
      <c r="C318">
        <v>1</v>
      </c>
      <c r="D318" s="3" t="s">
        <v>1964</v>
      </c>
      <c r="E318" t="s">
        <v>1528</v>
      </c>
      <c r="F318" t="s">
        <v>1528</v>
      </c>
      <c r="G318" t="s">
        <v>1529</v>
      </c>
      <c r="H318" t="s">
        <v>1963</v>
      </c>
      <c r="I318" t="s">
        <v>1963</v>
      </c>
      <c r="J318">
        <v>815</v>
      </c>
      <c r="K318">
        <v>780</v>
      </c>
      <c r="L318">
        <v>665</v>
      </c>
      <c r="M318" t="s">
        <v>1963</v>
      </c>
      <c r="N318">
        <v>790</v>
      </c>
      <c r="O318">
        <v>735</v>
      </c>
      <c r="P318">
        <v>650</v>
      </c>
      <c r="Q318" t="s">
        <v>36</v>
      </c>
      <c r="R318">
        <v>24</v>
      </c>
      <c r="S318">
        <v>1</v>
      </c>
      <c r="T318" s="4" t="s">
        <v>1965</v>
      </c>
      <c r="U318" s="4" t="s">
        <v>1966</v>
      </c>
      <c r="V318">
        <v>0</v>
      </c>
      <c r="W318" s="6" t="str">
        <f t="shared" si="4"/>
        <v>(2382,null,1,'2026-03-24 00:00:00','003304090070000-33040900701','003304090070000-33040900701','小儿眼内容摘除术',null,null,815,780,665,null,790,735,650,'次',24,1,'normal','main',0),</v>
      </c>
    </row>
    <row r="319" spans="1:23">
      <c r="A319">
        <v>2383</v>
      </c>
      <c r="B319" t="s">
        <v>1963</v>
      </c>
      <c r="C319">
        <v>1</v>
      </c>
      <c r="D319" s="3" t="s">
        <v>1964</v>
      </c>
      <c r="E319" t="s">
        <v>1536</v>
      </c>
      <c r="F319" t="s">
        <v>1536</v>
      </c>
      <c r="G319" t="s">
        <v>1537</v>
      </c>
      <c r="H319" t="s">
        <v>1963</v>
      </c>
      <c r="I319" t="s">
        <v>1963</v>
      </c>
      <c r="J319">
        <v>625</v>
      </c>
      <c r="K319">
        <v>600</v>
      </c>
      <c r="L319">
        <v>510</v>
      </c>
      <c r="M319" t="s">
        <v>1963</v>
      </c>
      <c r="N319">
        <v>1050</v>
      </c>
      <c r="O319">
        <v>950</v>
      </c>
      <c r="P319">
        <v>810</v>
      </c>
      <c r="Q319" t="s">
        <v>36</v>
      </c>
      <c r="R319">
        <v>24</v>
      </c>
      <c r="S319">
        <v>1</v>
      </c>
      <c r="T319" s="4" t="s">
        <v>1965</v>
      </c>
      <c r="U319" s="4" t="s">
        <v>1966</v>
      </c>
      <c r="V319">
        <v>0</v>
      </c>
      <c r="W319" s="6" t="str">
        <f t="shared" si="4"/>
        <v>(2383,null,1,'2026-03-24 00:00:00','003304090080000-330409008','003304090080000-330409008','眼球摘除术',null,null,625,600,510,null,1050,950,810,'次',24,1,'normal','main',0),</v>
      </c>
    </row>
    <row r="320" spans="1:23">
      <c r="A320">
        <v>2384</v>
      </c>
      <c r="B320" t="s">
        <v>1963</v>
      </c>
      <c r="C320">
        <v>1</v>
      </c>
      <c r="D320" s="3" t="s">
        <v>1964</v>
      </c>
      <c r="E320" t="s">
        <v>1538</v>
      </c>
      <c r="F320" t="s">
        <v>1538</v>
      </c>
      <c r="G320" t="s">
        <v>1539</v>
      </c>
      <c r="H320" t="s">
        <v>1963</v>
      </c>
      <c r="I320" t="s">
        <v>1963</v>
      </c>
      <c r="J320">
        <v>1350</v>
      </c>
      <c r="K320">
        <v>1220</v>
      </c>
      <c r="L320">
        <v>1040</v>
      </c>
      <c r="M320" t="s">
        <v>1963</v>
      </c>
      <c r="N320">
        <v>1050</v>
      </c>
      <c r="O320">
        <v>950</v>
      </c>
      <c r="P320">
        <v>810</v>
      </c>
      <c r="Q320" t="s">
        <v>36</v>
      </c>
      <c r="R320">
        <v>24</v>
      </c>
      <c r="S320">
        <v>1</v>
      </c>
      <c r="T320" s="4" t="s">
        <v>1965</v>
      </c>
      <c r="U320" s="4" t="s">
        <v>1966</v>
      </c>
      <c r="V320">
        <v>0</v>
      </c>
      <c r="W320" s="6" t="str">
        <f t="shared" si="4"/>
        <v>(2384,null,1,'2026-03-24 00:00:00','003304090090000-330409009','003304090090000-330409009','眼球摘除+植入术',null,null,1350,1220,1040,null,1050,950,810,'次',24,1,'normal','main',0),</v>
      </c>
    </row>
    <row r="321" spans="1:23">
      <c r="A321">
        <v>2385</v>
      </c>
      <c r="B321" t="s">
        <v>1963</v>
      </c>
      <c r="C321">
        <v>1</v>
      </c>
      <c r="D321" s="3" t="s">
        <v>1964</v>
      </c>
      <c r="E321" t="s">
        <v>1541</v>
      </c>
      <c r="F321" t="s">
        <v>1541</v>
      </c>
      <c r="G321" t="s">
        <v>1542</v>
      </c>
      <c r="H321" t="s">
        <v>1963</v>
      </c>
      <c r="I321" t="s">
        <v>1963</v>
      </c>
      <c r="J321">
        <v>2060</v>
      </c>
      <c r="K321">
        <v>1850</v>
      </c>
      <c r="L321">
        <v>1570</v>
      </c>
      <c r="M321" t="s">
        <v>1963</v>
      </c>
      <c r="N321">
        <v>1050</v>
      </c>
      <c r="O321">
        <v>950</v>
      </c>
      <c r="P321">
        <v>810</v>
      </c>
      <c r="Q321" t="s">
        <v>36</v>
      </c>
      <c r="R321">
        <v>24</v>
      </c>
      <c r="S321">
        <v>1</v>
      </c>
      <c r="T321" s="4" t="s">
        <v>1965</v>
      </c>
      <c r="U321" s="4" t="s">
        <v>1966</v>
      </c>
      <c r="V321">
        <v>0</v>
      </c>
      <c r="W321" s="6" t="str">
        <f t="shared" si="4"/>
        <v>(2385,null,1,'2026-03-24 00:00:00','003304090160000-330409016','003304090160000-330409016','上颌骨切除合并眶内容摘除术',null,null,2060,1850,1570,null,1050,950,810,'次',24,1,'normal','main',0),</v>
      </c>
    </row>
    <row r="322" spans="1:23">
      <c r="A322">
        <v>2386</v>
      </c>
      <c r="B322" t="s">
        <v>1963</v>
      </c>
      <c r="C322">
        <v>1</v>
      </c>
      <c r="D322" s="3" t="s">
        <v>1964</v>
      </c>
      <c r="E322" t="s">
        <v>1545</v>
      </c>
      <c r="F322" t="s">
        <v>1545</v>
      </c>
      <c r="G322" t="s">
        <v>1546</v>
      </c>
      <c r="H322" t="s">
        <v>1963</v>
      </c>
      <c r="I322" t="s">
        <v>1963</v>
      </c>
      <c r="J322">
        <v>815</v>
      </c>
      <c r="K322">
        <v>780</v>
      </c>
      <c r="L322">
        <v>665</v>
      </c>
      <c r="M322" t="s">
        <v>1963</v>
      </c>
      <c r="N322">
        <v>1365</v>
      </c>
      <c r="O322">
        <v>1235</v>
      </c>
      <c r="P322">
        <v>1055</v>
      </c>
      <c r="Q322" t="s">
        <v>36</v>
      </c>
      <c r="R322">
        <v>24</v>
      </c>
      <c r="S322">
        <v>1</v>
      </c>
      <c r="T322" s="4" t="s">
        <v>1965</v>
      </c>
      <c r="U322" s="4" t="s">
        <v>1966</v>
      </c>
      <c r="V322">
        <v>0</v>
      </c>
      <c r="W322" s="6" t="str">
        <f t="shared" si="4"/>
        <v>(2386,null,1,'2026-03-24 00:00:00','003304090080000-33040900801','003304090080000-33040900801','小儿眼球摘除术',null,null,815,780,665,null,1365,1235,1055,'次',24,1,'normal','main',0),</v>
      </c>
    </row>
    <row r="323" spans="1:23">
      <c r="A323">
        <v>2387</v>
      </c>
      <c r="B323" t="s">
        <v>1963</v>
      </c>
      <c r="C323">
        <v>1</v>
      </c>
      <c r="D323" s="3" t="s">
        <v>1964</v>
      </c>
      <c r="E323" t="s">
        <v>1547</v>
      </c>
      <c r="F323" t="s">
        <v>1547</v>
      </c>
      <c r="G323" t="s">
        <v>1548</v>
      </c>
      <c r="H323" t="s">
        <v>1963</v>
      </c>
      <c r="I323" t="s">
        <v>1963</v>
      </c>
      <c r="J323">
        <v>1755</v>
      </c>
      <c r="K323">
        <v>1585</v>
      </c>
      <c r="L323">
        <v>1345</v>
      </c>
      <c r="M323" t="s">
        <v>1963</v>
      </c>
      <c r="N323">
        <v>1365</v>
      </c>
      <c r="O323">
        <v>1235</v>
      </c>
      <c r="P323">
        <v>1055</v>
      </c>
      <c r="Q323" t="s">
        <v>36</v>
      </c>
      <c r="R323">
        <v>24</v>
      </c>
      <c r="S323">
        <v>1</v>
      </c>
      <c r="T323" s="4" t="s">
        <v>1965</v>
      </c>
      <c r="U323" s="4" t="s">
        <v>1966</v>
      </c>
      <c r="V323">
        <v>0</v>
      </c>
      <c r="W323" s="6" t="str">
        <f t="shared" ref="W323:W386" si="5">"("&amp;A323&amp;","&amp;B323&amp;","&amp;C323&amp;",'"&amp;D323&amp;"','"&amp;E323&amp;"','"&amp;F323&amp;"','"&amp;G323&amp;"',"&amp;H323&amp;","&amp;I323&amp;","&amp;J323&amp;","&amp;K323&amp;","&amp;L323&amp;","&amp;M323&amp;","&amp;N323&amp;","&amp;O323&amp;","&amp;P323&amp;",'"&amp;Q323&amp;"',"&amp;R323&amp;","&amp;S323&amp;",'"&amp;T323&amp;"','"&amp;U323&amp;"',"&amp;V323&amp;"),"</f>
        <v>(2387,null,1,'2026-03-24 00:00:00','003304090090000-33040900901','003304090090000-33040900901','小儿眼球摘除+植入术',null,null,1755,1585,1345,null,1365,1235,1055,'次',24,1,'normal','main',0),</v>
      </c>
    </row>
    <row r="324" spans="1:23">
      <c r="A324">
        <v>2388</v>
      </c>
      <c r="B324" t="s">
        <v>1963</v>
      </c>
      <c r="C324">
        <v>1</v>
      </c>
      <c r="D324" s="3" t="s">
        <v>1964</v>
      </c>
      <c r="E324" t="s">
        <v>1549</v>
      </c>
      <c r="F324" t="s">
        <v>1549</v>
      </c>
      <c r="G324" t="s">
        <v>1550</v>
      </c>
      <c r="H324" t="s">
        <v>1963</v>
      </c>
      <c r="I324" t="s">
        <v>1963</v>
      </c>
      <c r="J324">
        <v>2680</v>
      </c>
      <c r="K324">
        <v>2405</v>
      </c>
      <c r="L324">
        <v>2045</v>
      </c>
      <c r="M324" t="s">
        <v>1963</v>
      </c>
      <c r="N324">
        <v>1365</v>
      </c>
      <c r="O324">
        <v>1235</v>
      </c>
      <c r="P324">
        <v>1055</v>
      </c>
      <c r="Q324" t="s">
        <v>36</v>
      </c>
      <c r="R324">
        <v>24</v>
      </c>
      <c r="S324">
        <v>1</v>
      </c>
      <c r="T324" s="4" t="s">
        <v>1965</v>
      </c>
      <c r="U324" s="4" t="s">
        <v>1966</v>
      </c>
      <c r="V324">
        <v>0</v>
      </c>
      <c r="W324" s="6" t="str">
        <f t="shared" si="5"/>
        <v>(2388,null,1,'2026-03-24 00:00:00','003304090160000-33040901601','003304090160000-33040901601','小儿上颌骨切除合并眶内容摘除术',null,null,2680,2405,2045,null,1365,1235,1055,'次',24,1,'normal','main',0),</v>
      </c>
    </row>
    <row r="325" spans="1:23">
      <c r="A325">
        <v>2389</v>
      </c>
      <c r="B325" t="s">
        <v>1963</v>
      </c>
      <c r="C325">
        <v>1</v>
      </c>
      <c r="D325" s="3" t="s">
        <v>1964</v>
      </c>
      <c r="E325" t="s">
        <v>1554</v>
      </c>
      <c r="F325" t="s">
        <v>1554</v>
      </c>
      <c r="G325" t="s">
        <v>1555</v>
      </c>
      <c r="H325" t="s">
        <v>1963</v>
      </c>
      <c r="I325" t="s">
        <v>1963</v>
      </c>
      <c r="J325">
        <v>1440</v>
      </c>
      <c r="K325">
        <v>1300</v>
      </c>
      <c r="L325">
        <v>1110</v>
      </c>
      <c r="M325" t="s">
        <v>1963</v>
      </c>
      <c r="N325">
        <v>525</v>
      </c>
      <c r="O325">
        <v>475</v>
      </c>
      <c r="P325">
        <v>405</v>
      </c>
      <c r="Q325" t="s">
        <v>36</v>
      </c>
      <c r="R325">
        <v>24</v>
      </c>
      <c r="S325">
        <v>1</v>
      </c>
      <c r="T325" s="4" t="s">
        <v>1965</v>
      </c>
      <c r="U325" s="4" t="s">
        <v>1966</v>
      </c>
      <c r="V325">
        <v>0</v>
      </c>
      <c r="W325" s="6" t="str">
        <f t="shared" si="5"/>
        <v>(2389,null,1,'2026-03-24 00:00:00','003304090150000-330409015','003304090150000-330409015','眶内容摘除术',null,null,1440,1300,1110,null,525,475,405,'次',24,1,'normal','main',0),</v>
      </c>
    </row>
    <row r="326" spans="1:23">
      <c r="A326">
        <v>2390</v>
      </c>
      <c r="B326" t="s">
        <v>1963</v>
      </c>
      <c r="C326">
        <v>1</v>
      </c>
      <c r="D326" s="3" t="s">
        <v>1964</v>
      </c>
      <c r="E326" t="s">
        <v>1557</v>
      </c>
      <c r="F326" t="s">
        <v>1557</v>
      </c>
      <c r="G326" t="s">
        <v>1558</v>
      </c>
      <c r="H326" t="s">
        <v>1963</v>
      </c>
      <c r="I326" t="s">
        <v>1963</v>
      </c>
      <c r="J326">
        <v>1870</v>
      </c>
      <c r="K326">
        <v>1690</v>
      </c>
      <c r="L326">
        <v>1435</v>
      </c>
      <c r="M326" t="s">
        <v>1963</v>
      </c>
      <c r="N326">
        <v>525</v>
      </c>
      <c r="O326">
        <v>475</v>
      </c>
      <c r="P326">
        <v>405</v>
      </c>
      <c r="Q326" t="s">
        <v>36</v>
      </c>
      <c r="R326">
        <v>24</v>
      </c>
      <c r="S326">
        <v>1</v>
      </c>
      <c r="T326" s="4" t="s">
        <v>1965</v>
      </c>
      <c r="U326" s="4" t="s">
        <v>1966</v>
      </c>
      <c r="V326">
        <v>0</v>
      </c>
      <c r="W326" s="6" t="str">
        <f t="shared" si="5"/>
        <v>(2390,null,1,'2026-03-24 00:00:00','003304090150000-33040901501','003304090150000-33040901501','小儿眶内容摘除术',null,null,1870,1690,1435,null,525,475,405,'次',24,1,'normal','main',0),</v>
      </c>
    </row>
    <row r="327" spans="1:23">
      <c r="A327">
        <v>2391</v>
      </c>
      <c r="B327" t="s">
        <v>1963</v>
      </c>
      <c r="C327">
        <v>1</v>
      </c>
      <c r="D327" s="3" t="s">
        <v>1964</v>
      </c>
      <c r="E327" t="s">
        <v>1563</v>
      </c>
      <c r="F327" t="s">
        <v>1563</v>
      </c>
      <c r="G327" t="s">
        <v>1564</v>
      </c>
      <c r="H327" t="s">
        <v>1963</v>
      </c>
      <c r="I327" t="s">
        <v>1963</v>
      </c>
      <c r="J327">
        <v>1650</v>
      </c>
      <c r="K327">
        <v>1490</v>
      </c>
      <c r="L327">
        <v>1270</v>
      </c>
      <c r="M327" t="s">
        <v>1963</v>
      </c>
      <c r="N327">
        <v>1730</v>
      </c>
      <c r="O327">
        <v>1550</v>
      </c>
      <c r="P327">
        <v>1320</v>
      </c>
      <c r="Q327" t="s">
        <v>36</v>
      </c>
      <c r="R327">
        <v>24</v>
      </c>
      <c r="S327">
        <v>1</v>
      </c>
      <c r="T327" s="4" t="s">
        <v>1965</v>
      </c>
      <c r="U327" s="4" t="s">
        <v>1966</v>
      </c>
      <c r="V327">
        <v>0</v>
      </c>
      <c r="W327" s="6" t="str">
        <f t="shared" si="5"/>
        <v>(2391,null,1,'2026-03-24 00:00:00','003304090140000-330409014','003304090140000-330409014','眶内肿物摘除术',null,null,1650,1490,1270,null,1730,1550,1320,'次',24,1,'normal','main',0),</v>
      </c>
    </row>
    <row r="328" spans="1:23">
      <c r="A328">
        <v>2392</v>
      </c>
      <c r="B328" t="s">
        <v>1963</v>
      </c>
      <c r="C328">
        <v>1</v>
      </c>
      <c r="D328" s="3" t="s">
        <v>1964</v>
      </c>
      <c r="E328" t="s">
        <v>1569</v>
      </c>
      <c r="F328" t="s">
        <v>1569</v>
      </c>
      <c r="G328" t="s">
        <v>1570</v>
      </c>
      <c r="H328" t="s">
        <v>1963</v>
      </c>
      <c r="I328" t="s">
        <v>1963</v>
      </c>
      <c r="J328">
        <v>2145</v>
      </c>
      <c r="K328">
        <v>1935</v>
      </c>
      <c r="L328">
        <v>1645</v>
      </c>
      <c r="M328" t="s">
        <v>1963</v>
      </c>
      <c r="N328">
        <v>2250</v>
      </c>
      <c r="O328">
        <v>2015</v>
      </c>
      <c r="P328">
        <v>1715</v>
      </c>
      <c r="Q328" t="s">
        <v>36</v>
      </c>
      <c r="R328">
        <v>24</v>
      </c>
      <c r="S328">
        <v>1</v>
      </c>
      <c r="T328" s="4" t="s">
        <v>1965</v>
      </c>
      <c r="U328" s="4" t="s">
        <v>1966</v>
      </c>
      <c r="V328">
        <v>0</v>
      </c>
      <c r="W328" s="6" t="str">
        <f t="shared" si="5"/>
        <v>(2392,null,1,'2026-03-24 00:00:00','003304090140000-33040901402','003304090140000-33040901402','小儿眶内肿物摘除术',null,null,2145,1935,1645,null,2250,2015,1715,'次',24,1,'normal','main',0),</v>
      </c>
    </row>
    <row r="329" spans="1:23">
      <c r="A329">
        <v>2393</v>
      </c>
      <c r="B329" t="s">
        <v>1963</v>
      </c>
      <c r="C329">
        <v>1</v>
      </c>
      <c r="D329" s="3" t="s">
        <v>1964</v>
      </c>
      <c r="E329" t="s">
        <v>1576</v>
      </c>
      <c r="F329" t="s">
        <v>1576</v>
      </c>
      <c r="G329" t="s">
        <v>1577</v>
      </c>
      <c r="H329" t="s">
        <v>1963</v>
      </c>
      <c r="I329" t="s">
        <v>1963</v>
      </c>
      <c r="J329">
        <v>1620</v>
      </c>
      <c r="K329">
        <v>1460</v>
      </c>
      <c r="L329">
        <v>1240</v>
      </c>
      <c r="M329" t="s">
        <v>1963</v>
      </c>
      <c r="N329">
        <v>1945</v>
      </c>
      <c r="O329">
        <v>1750</v>
      </c>
      <c r="P329">
        <v>1490</v>
      </c>
      <c r="Q329" t="s">
        <v>36</v>
      </c>
      <c r="R329">
        <v>24</v>
      </c>
      <c r="S329">
        <v>1</v>
      </c>
      <c r="T329" s="4" t="s">
        <v>1965</v>
      </c>
      <c r="U329" s="4" t="s">
        <v>1966</v>
      </c>
      <c r="V329">
        <v>0</v>
      </c>
      <c r="W329" s="6" t="str">
        <f t="shared" si="5"/>
        <v>(2393,null,1,'2026-03-24 00:00:00','003304090140001-33040901401','003304090140001-33040901401','眶内肿物摘除术-侧劈开眶术',null,null,1620,1460,1240,null,1945,1750,1490,'次',24,1,'normal','main',0),</v>
      </c>
    </row>
    <row r="330" spans="1:23">
      <c r="A330">
        <v>2394</v>
      </c>
      <c r="B330" t="s">
        <v>1963</v>
      </c>
      <c r="C330">
        <v>1</v>
      </c>
      <c r="D330" s="3" t="s">
        <v>1964</v>
      </c>
      <c r="E330" t="s">
        <v>1581</v>
      </c>
      <c r="F330" t="s">
        <v>1581</v>
      </c>
      <c r="G330" t="s">
        <v>1582</v>
      </c>
      <c r="H330" t="s">
        <v>1963</v>
      </c>
      <c r="I330" t="s">
        <v>1963</v>
      </c>
      <c r="J330">
        <v>2105</v>
      </c>
      <c r="K330">
        <v>1900</v>
      </c>
      <c r="L330">
        <v>1615</v>
      </c>
      <c r="M330" t="s">
        <v>1963</v>
      </c>
      <c r="N330">
        <v>2530</v>
      </c>
      <c r="O330">
        <v>2275</v>
      </c>
      <c r="P330">
        <v>1935</v>
      </c>
      <c r="Q330" t="s">
        <v>36</v>
      </c>
      <c r="R330">
        <v>24</v>
      </c>
      <c r="S330">
        <v>1</v>
      </c>
      <c r="T330" s="4" t="s">
        <v>1965</v>
      </c>
      <c r="U330" s="4" t="s">
        <v>1966</v>
      </c>
      <c r="V330">
        <v>0</v>
      </c>
      <c r="W330" s="6" t="str">
        <f t="shared" si="5"/>
        <v>(2394,null,1,'2026-03-24 00:00:00','003304090140001-33040901403','003304090140001-33040901403','小儿眶内肿物摘除术-侧劈开眶术',null,null,2105,1900,1615,null,2530,2275,1935,'次',24,1,'normal','main',0),</v>
      </c>
    </row>
    <row r="331" spans="1:23">
      <c r="A331">
        <v>2395</v>
      </c>
      <c r="B331" t="s">
        <v>1963</v>
      </c>
      <c r="C331">
        <v>1</v>
      </c>
      <c r="D331" s="3" t="s">
        <v>1964</v>
      </c>
      <c r="E331" t="s">
        <v>1588</v>
      </c>
      <c r="F331" t="s">
        <v>1588</v>
      </c>
      <c r="G331" t="s">
        <v>1589</v>
      </c>
      <c r="H331" t="s">
        <v>1963</v>
      </c>
      <c r="I331" t="s">
        <v>1963</v>
      </c>
      <c r="J331">
        <v>1440</v>
      </c>
      <c r="K331">
        <v>1300</v>
      </c>
      <c r="L331">
        <v>1110</v>
      </c>
      <c r="M331" t="s">
        <v>1963</v>
      </c>
      <c r="N331">
        <v>1700</v>
      </c>
      <c r="O331">
        <v>1530</v>
      </c>
      <c r="P331">
        <v>1300</v>
      </c>
      <c r="Q331" t="s">
        <v>36</v>
      </c>
      <c r="R331">
        <v>24</v>
      </c>
      <c r="S331">
        <v>1</v>
      </c>
      <c r="T331" s="4" t="s">
        <v>1965</v>
      </c>
      <c r="U331" s="4" t="s">
        <v>1966</v>
      </c>
      <c r="V331">
        <v>0</v>
      </c>
      <c r="W331" s="6" t="str">
        <f t="shared" si="5"/>
        <v>(2395,null,1,'2026-03-24 00:00:00','003304090060000-330409006','003304090060000-330409006','甲状腺突眼矫正术',null,null,1440,1300,1110,null,1700,1530,1300,'次',24,1,'normal','main',0),</v>
      </c>
    </row>
    <row r="332" spans="1:23">
      <c r="A332">
        <v>2396</v>
      </c>
      <c r="B332" t="s">
        <v>1963</v>
      </c>
      <c r="C332">
        <v>1</v>
      </c>
      <c r="D332" s="3" t="s">
        <v>1964</v>
      </c>
      <c r="E332" t="s">
        <v>1590</v>
      </c>
      <c r="F332" t="s">
        <v>1590</v>
      </c>
      <c r="G332" t="s">
        <v>1591</v>
      </c>
      <c r="H332" t="s">
        <v>1963</v>
      </c>
      <c r="I332" t="s">
        <v>1963</v>
      </c>
      <c r="J332">
        <v>1350</v>
      </c>
      <c r="K332">
        <v>1220</v>
      </c>
      <c r="L332">
        <v>1040</v>
      </c>
      <c r="M332" t="s">
        <v>1963</v>
      </c>
      <c r="N332">
        <v>1700</v>
      </c>
      <c r="O332">
        <v>1530</v>
      </c>
      <c r="P332">
        <v>1300</v>
      </c>
      <c r="Q332" t="s">
        <v>664</v>
      </c>
      <c r="R332">
        <v>24</v>
      </c>
      <c r="S332">
        <v>1</v>
      </c>
      <c r="T332" s="4" t="s">
        <v>1965</v>
      </c>
      <c r="U332" s="4" t="s">
        <v>1966</v>
      </c>
      <c r="V332">
        <v>0</v>
      </c>
      <c r="W332" s="6" t="str">
        <f t="shared" si="5"/>
        <v>(2396,null,1,'2026-03-24 00:00:00','003304090220000-330409022','003304090220000-330409022','眼眶减压术',null,null,1350,1220,1040,null,1700,1530,1300,'单眼',24,1,'normal','main',0),</v>
      </c>
    </row>
    <row r="333" spans="1:23">
      <c r="A333">
        <v>2397</v>
      </c>
      <c r="B333" t="s">
        <v>1963</v>
      </c>
      <c r="C333">
        <v>1</v>
      </c>
      <c r="D333" s="3" t="s">
        <v>1964</v>
      </c>
      <c r="E333" t="s">
        <v>1592</v>
      </c>
      <c r="F333" t="s">
        <v>1592</v>
      </c>
      <c r="G333" t="s">
        <v>1593</v>
      </c>
      <c r="H333" t="s">
        <v>1963</v>
      </c>
      <c r="I333" t="s">
        <v>1963</v>
      </c>
      <c r="J333">
        <v>2890</v>
      </c>
      <c r="K333">
        <v>2600</v>
      </c>
      <c r="L333">
        <v>2210</v>
      </c>
      <c r="M333" t="s">
        <v>1963</v>
      </c>
      <c r="N333">
        <v>1700</v>
      </c>
      <c r="O333">
        <v>1530</v>
      </c>
      <c r="P333">
        <v>1300</v>
      </c>
      <c r="Q333" t="s">
        <v>36</v>
      </c>
      <c r="R333">
        <v>24</v>
      </c>
      <c r="S333">
        <v>1</v>
      </c>
      <c r="T333" s="4" t="s">
        <v>1965</v>
      </c>
      <c r="U333" s="4" t="s">
        <v>1966</v>
      </c>
      <c r="V333">
        <v>0</v>
      </c>
      <c r="W333" s="6" t="str">
        <f t="shared" si="5"/>
        <v>(2397,null,1,'2026-03-24 00:00:00','003304090240000-330409024','003304090240000-330409024','视神经减压术',null,null,2890,2600,2210,null,1700,1530,1300,'次',24,1,'normal','main',0),</v>
      </c>
    </row>
    <row r="334" spans="1:23">
      <c r="A334">
        <v>2398</v>
      </c>
      <c r="B334" t="s">
        <v>1963</v>
      </c>
      <c r="C334">
        <v>1</v>
      </c>
      <c r="D334" s="3" t="s">
        <v>1964</v>
      </c>
      <c r="E334" t="s">
        <v>1597</v>
      </c>
      <c r="F334" t="s">
        <v>1597</v>
      </c>
      <c r="G334" t="s">
        <v>1598</v>
      </c>
      <c r="H334" t="s">
        <v>1963</v>
      </c>
      <c r="I334" t="s">
        <v>1963</v>
      </c>
      <c r="J334">
        <v>1870</v>
      </c>
      <c r="K334">
        <v>1690</v>
      </c>
      <c r="L334">
        <v>1435</v>
      </c>
      <c r="M334" t="s">
        <v>1963</v>
      </c>
      <c r="N334">
        <v>2210</v>
      </c>
      <c r="O334">
        <v>1989</v>
      </c>
      <c r="P334">
        <v>1690</v>
      </c>
      <c r="Q334" t="s">
        <v>36</v>
      </c>
      <c r="R334">
        <v>24</v>
      </c>
      <c r="S334">
        <v>1</v>
      </c>
      <c r="T334" s="4" t="s">
        <v>1965</v>
      </c>
      <c r="U334" s="4" t="s">
        <v>1966</v>
      </c>
      <c r="V334">
        <v>0</v>
      </c>
      <c r="W334" s="6" t="str">
        <f t="shared" si="5"/>
        <v>(2398,null,1,'2026-03-24 00:00:00','003304090060000-33040900601','003304090060000-33040900601','小儿甲状腺突眼矫正术',null,null,1870,1690,1435,null,2210,1989,1690,'次',24,1,'normal','main',0),</v>
      </c>
    </row>
    <row r="335" spans="1:23">
      <c r="A335">
        <v>2399</v>
      </c>
      <c r="B335" t="s">
        <v>1963</v>
      </c>
      <c r="C335">
        <v>1</v>
      </c>
      <c r="D335" s="3" t="s">
        <v>1964</v>
      </c>
      <c r="E335" t="s">
        <v>1599</v>
      </c>
      <c r="F335" t="s">
        <v>1599</v>
      </c>
      <c r="G335" t="s">
        <v>1600</v>
      </c>
      <c r="H335" t="s">
        <v>1963</v>
      </c>
      <c r="I335" t="s">
        <v>1963</v>
      </c>
      <c r="J335">
        <v>1755</v>
      </c>
      <c r="K335">
        <v>1585</v>
      </c>
      <c r="L335">
        <v>1345</v>
      </c>
      <c r="M335" t="s">
        <v>1963</v>
      </c>
      <c r="N335">
        <v>2210</v>
      </c>
      <c r="O335">
        <v>1989</v>
      </c>
      <c r="P335">
        <v>1690</v>
      </c>
      <c r="Q335" t="s">
        <v>664</v>
      </c>
      <c r="R335">
        <v>24</v>
      </c>
      <c r="S335">
        <v>1</v>
      </c>
      <c r="T335" s="4" t="s">
        <v>1965</v>
      </c>
      <c r="U335" s="4" t="s">
        <v>1966</v>
      </c>
      <c r="V335">
        <v>0</v>
      </c>
      <c r="W335" s="6" t="str">
        <f t="shared" si="5"/>
        <v>(2399,null,1,'2026-03-24 00:00:00','003304090220000-33040902201','003304090220000-33040902201','小儿眼眶减压术',null,null,1755,1585,1345,null,2210,1989,1690,'单眼',24,1,'normal','main',0),</v>
      </c>
    </row>
    <row r="336" spans="1:23">
      <c r="A336">
        <v>2400</v>
      </c>
      <c r="B336" t="s">
        <v>1963</v>
      </c>
      <c r="C336">
        <v>1</v>
      </c>
      <c r="D336" s="3" t="s">
        <v>1964</v>
      </c>
      <c r="E336" t="s">
        <v>1601</v>
      </c>
      <c r="F336" t="s">
        <v>1601</v>
      </c>
      <c r="G336" t="s">
        <v>1602</v>
      </c>
      <c r="H336" t="s">
        <v>1963</v>
      </c>
      <c r="I336" t="s">
        <v>1963</v>
      </c>
      <c r="J336">
        <v>3755</v>
      </c>
      <c r="K336">
        <v>3380</v>
      </c>
      <c r="L336">
        <v>2875</v>
      </c>
      <c r="M336" t="s">
        <v>1963</v>
      </c>
      <c r="N336">
        <v>2210</v>
      </c>
      <c r="O336">
        <v>1989</v>
      </c>
      <c r="P336">
        <v>1690</v>
      </c>
      <c r="Q336" t="s">
        <v>36</v>
      </c>
      <c r="R336">
        <v>24</v>
      </c>
      <c r="S336">
        <v>1</v>
      </c>
      <c r="T336" s="4" t="s">
        <v>1965</v>
      </c>
      <c r="U336" s="4" t="s">
        <v>1966</v>
      </c>
      <c r="V336">
        <v>0</v>
      </c>
      <c r="W336" s="6" t="str">
        <f t="shared" si="5"/>
        <v>(2400,null,1,'2026-03-24 00:00:00','003304090240000-33040902401','003304090240000-33040902401','小儿视神经减压术',null,null,3755,3380,2875,null,2210,1989,1690,'次',24,1,'normal','main',0),</v>
      </c>
    </row>
    <row r="337" spans="1:23">
      <c r="A337">
        <v>2401</v>
      </c>
      <c r="B337" t="s">
        <v>1963</v>
      </c>
      <c r="C337">
        <v>1</v>
      </c>
      <c r="D337" s="3" t="s">
        <v>1964</v>
      </c>
      <c r="E337" t="s">
        <v>1610</v>
      </c>
      <c r="F337" t="s">
        <v>1610</v>
      </c>
      <c r="G337" t="s">
        <v>1611</v>
      </c>
      <c r="H337" t="s">
        <v>1963</v>
      </c>
      <c r="I337" t="s">
        <v>1963</v>
      </c>
      <c r="J337">
        <v>1010</v>
      </c>
      <c r="K337">
        <v>910</v>
      </c>
      <c r="L337">
        <v>775</v>
      </c>
      <c r="M337" t="s">
        <v>1963</v>
      </c>
      <c r="N337">
        <v>1010</v>
      </c>
      <c r="O337">
        <v>910</v>
      </c>
      <c r="P337">
        <v>775</v>
      </c>
      <c r="Q337" t="s">
        <v>36</v>
      </c>
      <c r="R337">
        <v>24</v>
      </c>
      <c r="S337">
        <v>1</v>
      </c>
      <c r="T337" s="4" t="s">
        <v>1965</v>
      </c>
      <c r="U337" s="4" t="s">
        <v>1966</v>
      </c>
      <c r="V337">
        <v>0</v>
      </c>
      <c r="W337" s="6" t="str">
        <f t="shared" si="5"/>
        <v>(2401,null,1,'2026-03-24 00:00:00','003304090040000-330409004','003304090040000-330409004','眶内异物取出术',null,null,1010,910,775,null,1010,910,775,'次',24,1,'normal','main',0),</v>
      </c>
    </row>
    <row r="338" spans="1:23">
      <c r="A338">
        <v>2402</v>
      </c>
      <c r="B338" t="s">
        <v>1963</v>
      </c>
      <c r="C338">
        <v>1</v>
      </c>
      <c r="D338" s="3" t="s">
        <v>1964</v>
      </c>
      <c r="E338" t="s">
        <v>1614</v>
      </c>
      <c r="F338" t="s">
        <v>1614</v>
      </c>
      <c r="G338" t="s">
        <v>1615</v>
      </c>
      <c r="H338" t="s">
        <v>1963</v>
      </c>
      <c r="I338" t="s">
        <v>1963</v>
      </c>
      <c r="J338">
        <v>1315</v>
      </c>
      <c r="K338">
        <v>1185</v>
      </c>
      <c r="L338">
        <v>1005</v>
      </c>
      <c r="M338" t="s">
        <v>1963</v>
      </c>
      <c r="N338">
        <v>1315</v>
      </c>
      <c r="O338">
        <v>1185</v>
      </c>
      <c r="P338">
        <v>1005</v>
      </c>
      <c r="Q338" t="s">
        <v>36</v>
      </c>
      <c r="R338">
        <v>24</v>
      </c>
      <c r="S338">
        <v>1</v>
      </c>
      <c r="T338" s="4" t="s">
        <v>1965</v>
      </c>
      <c r="U338" s="4" t="s">
        <v>1966</v>
      </c>
      <c r="V338">
        <v>0</v>
      </c>
      <c r="W338" s="6" t="str">
        <f t="shared" si="5"/>
        <v>(2402,null,1,'2026-03-24 00:00:00','003304090040000-33040900401','003304090040000-33040900401','小儿眶内异物取出术',null,null,1315,1185,1005,null,1315,1185,1005,'次',24,1,'normal','main',0),</v>
      </c>
    </row>
    <row r="339" spans="1:23">
      <c r="A339">
        <v>2403</v>
      </c>
      <c r="B339" t="s">
        <v>1963</v>
      </c>
      <c r="C339">
        <v>1</v>
      </c>
      <c r="D339" s="3" t="s">
        <v>1964</v>
      </c>
      <c r="E339" t="s">
        <v>1620</v>
      </c>
      <c r="F339" t="s">
        <v>1620</v>
      </c>
      <c r="G339" t="s">
        <v>1621</v>
      </c>
      <c r="H339" t="s">
        <v>1963</v>
      </c>
      <c r="I339" t="s">
        <v>1963</v>
      </c>
      <c r="J339">
        <v>3090</v>
      </c>
      <c r="K339">
        <v>2780</v>
      </c>
      <c r="L339">
        <v>2360</v>
      </c>
      <c r="M339" t="s">
        <v>1963</v>
      </c>
      <c r="N339">
        <v>1150</v>
      </c>
      <c r="O339">
        <v>1010</v>
      </c>
      <c r="P339">
        <v>860</v>
      </c>
      <c r="Q339" t="s">
        <v>36</v>
      </c>
      <c r="R339">
        <v>24</v>
      </c>
      <c r="S339">
        <v>1</v>
      </c>
      <c r="T339" s="4" t="s">
        <v>1965</v>
      </c>
      <c r="U339" s="4" t="s">
        <v>1966</v>
      </c>
      <c r="V339">
        <v>0</v>
      </c>
      <c r="W339" s="6" t="str">
        <f t="shared" si="5"/>
        <v>(2403,null,1,'2026-03-24 00:00:00','003304070030000-330407003','003304070030000-330407003','玻璃体内猪囊尾蚴取出术',null,null,3090,2780,2360,null,1150,1010,860,'次',24,1,'normal','main',0),</v>
      </c>
    </row>
    <row r="340" spans="1:23">
      <c r="A340">
        <v>2404</v>
      </c>
      <c r="B340" t="s">
        <v>1963</v>
      </c>
      <c r="C340">
        <v>1</v>
      </c>
      <c r="D340" s="3" t="s">
        <v>1964</v>
      </c>
      <c r="E340" t="s">
        <v>1623</v>
      </c>
      <c r="F340" t="s">
        <v>1623</v>
      </c>
      <c r="G340" t="s">
        <v>1624</v>
      </c>
      <c r="H340" t="s">
        <v>1963</v>
      </c>
      <c r="I340" t="s">
        <v>1963</v>
      </c>
      <c r="J340">
        <v>875</v>
      </c>
      <c r="K340">
        <v>840</v>
      </c>
      <c r="L340">
        <v>714</v>
      </c>
      <c r="M340" t="s">
        <v>1963</v>
      </c>
      <c r="N340">
        <v>1150</v>
      </c>
      <c r="O340">
        <v>1010</v>
      </c>
      <c r="P340">
        <v>860</v>
      </c>
      <c r="Q340" t="s">
        <v>36</v>
      </c>
      <c r="R340">
        <v>24</v>
      </c>
      <c r="S340">
        <v>1</v>
      </c>
      <c r="T340" s="4" t="s">
        <v>1965</v>
      </c>
      <c r="U340" s="4" t="s">
        <v>1966</v>
      </c>
      <c r="V340">
        <v>0</v>
      </c>
      <c r="W340" s="6" t="str">
        <f t="shared" si="5"/>
        <v>(2404,null,1,'2026-03-24 00:00:00','003304090010000-330409001','003304090010000-330409001','球内磁性异物取出术',null,null,875,840,714,null,1150,1010,860,'次',24,1,'normal','main',0),</v>
      </c>
    </row>
    <row r="341" spans="1:23">
      <c r="A341">
        <v>2405</v>
      </c>
      <c r="B341" t="s">
        <v>1963</v>
      </c>
      <c r="C341">
        <v>1</v>
      </c>
      <c r="D341" s="3" t="s">
        <v>1964</v>
      </c>
      <c r="E341" t="s">
        <v>1625</v>
      </c>
      <c r="F341" t="s">
        <v>1625</v>
      </c>
      <c r="G341" t="s">
        <v>1626</v>
      </c>
      <c r="H341" t="s">
        <v>1963</v>
      </c>
      <c r="I341" t="s">
        <v>1963</v>
      </c>
      <c r="J341">
        <v>1350</v>
      </c>
      <c r="K341">
        <v>1220</v>
      </c>
      <c r="L341">
        <v>1040</v>
      </c>
      <c r="M341" t="s">
        <v>1963</v>
      </c>
      <c r="N341">
        <v>1150</v>
      </c>
      <c r="O341">
        <v>1010</v>
      </c>
      <c r="P341">
        <v>860</v>
      </c>
      <c r="Q341" t="s">
        <v>36</v>
      </c>
      <c r="R341">
        <v>24</v>
      </c>
      <c r="S341">
        <v>1</v>
      </c>
      <c r="T341" s="4" t="s">
        <v>1965</v>
      </c>
      <c r="U341" s="4" t="s">
        <v>1966</v>
      </c>
      <c r="V341">
        <v>0</v>
      </c>
      <c r="W341" s="6" t="str">
        <f t="shared" si="5"/>
        <v>(2405,null,1,'2026-03-24 00:00:00','003304090020000-330409002','003304090020000-330409002','球内非磁性异物取出术',null,null,1350,1220,1040,null,1150,1010,860,'次',24,1,'normal','main',0),</v>
      </c>
    </row>
    <row r="342" spans="1:23">
      <c r="A342">
        <v>2406</v>
      </c>
      <c r="B342" t="s">
        <v>1963</v>
      </c>
      <c r="C342">
        <v>1</v>
      </c>
      <c r="D342" s="3" t="s">
        <v>1964</v>
      </c>
      <c r="E342" t="s">
        <v>1627</v>
      </c>
      <c r="F342" t="s">
        <v>1627</v>
      </c>
      <c r="G342" t="s">
        <v>1628</v>
      </c>
      <c r="H342" t="s">
        <v>1963</v>
      </c>
      <c r="I342" t="s">
        <v>1963</v>
      </c>
      <c r="J342">
        <v>875</v>
      </c>
      <c r="K342">
        <v>840</v>
      </c>
      <c r="L342">
        <v>714</v>
      </c>
      <c r="M342" t="s">
        <v>1963</v>
      </c>
      <c r="N342">
        <v>1150</v>
      </c>
      <c r="O342">
        <v>1010</v>
      </c>
      <c r="P342">
        <v>860</v>
      </c>
      <c r="Q342" t="s">
        <v>36</v>
      </c>
      <c r="R342">
        <v>24</v>
      </c>
      <c r="S342">
        <v>1</v>
      </c>
      <c r="T342" s="4" t="s">
        <v>1965</v>
      </c>
      <c r="U342" s="4" t="s">
        <v>1966</v>
      </c>
      <c r="V342">
        <v>0</v>
      </c>
      <c r="W342" s="6" t="str">
        <f t="shared" si="5"/>
        <v>(2406,null,1,'2026-03-24 00:00:00','003304090030000-330409003','003304090030000-330409003','球壁异物取出术',null,null,875,840,714,null,1150,1010,860,'次',24,1,'normal','main',0),</v>
      </c>
    </row>
    <row r="343" spans="1:23">
      <c r="A343">
        <v>2407</v>
      </c>
      <c r="B343" t="s">
        <v>1963</v>
      </c>
      <c r="C343">
        <v>1</v>
      </c>
      <c r="D343" s="3" t="s">
        <v>1964</v>
      </c>
      <c r="E343" t="s">
        <v>1629</v>
      </c>
      <c r="F343" t="s">
        <v>1629</v>
      </c>
      <c r="G343" t="s">
        <v>1630</v>
      </c>
      <c r="H343" t="s">
        <v>1963</v>
      </c>
      <c r="I343" t="s">
        <v>1963</v>
      </c>
      <c r="J343">
        <v>63</v>
      </c>
      <c r="K343">
        <v>60</v>
      </c>
      <c r="L343">
        <v>51</v>
      </c>
      <c r="M343" t="s">
        <v>1963</v>
      </c>
      <c r="N343">
        <v>1150</v>
      </c>
      <c r="O343">
        <v>1010</v>
      </c>
      <c r="P343">
        <v>860</v>
      </c>
      <c r="Q343" t="s">
        <v>36</v>
      </c>
      <c r="R343">
        <v>24</v>
      </c>
      <c r="S343">
        <v>1</v>
      </c>
      <c r="T343" s="4" t="s">
        <v>1965</v>
      </c>
      <c r="U343" s="4" t="s">
        <v>1966</v>
      </c>
      <c r="V343">
        <v>0</v>
      </c>
      <c r="W343" s="6" t="str">
        <f t="shared" si="5"/>
        <v>(2407,null,1,'2026-03-24 00:00:00','003103000730000-310300073','003103000730000-310300073','球内异物定位',null,null,63,60,51,null,1150,1010,860,'次',24,1,'normal','main',0),</v>
      </c>
    </row>
    <row r="344" spans="1:23">
      <c r="A344">
        <v>2408</v>
      </c>
      <c r="B344" t="s">
        <v>1963</v>
      </c>
      <c r="C344">
        <v>1</v>
      </c>
      <c r="D344" s="3" t="s">
        <v>1964</v>
      </c>
      <c r="E344" t="s">
        <v>1634</v>
      </c>
      <c r="F344" t="s">
        <v>1634</v>
      </c>
      <c r="G344" t="s">
        <v>1635</v>
      </c>
      <c r="H344" t="s">
        <v>1963</v>
      </c>
      <c r="I344" t="s">
        <v>1963</v>
      </c>
      <c r="J344">
        <v>4015</v>
      </c>
      <c r="K344">
        <v>3615</v>
      </c>
      <c r="L344">
        <v>3075</v>
      </c>
      <c r="M344" t="s">
        <v>1963</v>
      </c>
      <c r="N344">
        <v>1495</v>
      </c>
      <c r="O344">
        <v>1315</v>
      </c>
      <c r="P344">
        <v>1120</v>
      </c>
      <c r="Q344" t="s">
        <v>36</v>
      </c>
      <c r="R344">
        <v>24</v>
      </c>
      <c r="S344">
        <v>1</v>
      </c>
      <c r="T344" s="4" t="s">
        <v>1965</v>
      </c>
      <c r="U344" s="4" t="s">
        <v>1966</v>
      </c>
      <c r="V344">
        <v>0</v>
      </c>
      <c r="W344" s="6" t="str">
        <f t="shared" si="5"/>
        <v>(2408,null,1,'2026-03-24 00:00:00','003304070030000-33040700301','003304070030000-33040700301','小儿玻璃体内猪囊尾蚴取出术',null,null,4015,3615,3075,null,1495,1315,1120,'次',24,1,'normal','main',0),</v>
      </c>
    </row>
    <row r="345" spans="1:23">
      <c r="A345">
        <v>2409</v>
      </c>
      <c r="B345" t="s">
        <v>1963</v>
      </c>
      <c r="C345">
        <v>1</v>
      </c>
      <c r="D345" s="3" t="s">
        <v>1964</v>
      </c>
      <c r="E345" t="s">
        <v>1636</v>
      </c>
      <c r="F345" t="s">
        <v>1636</v>
      </c>
      <c r="G345" t="s">
        <v>1637</v>
      </c>
      <c r="H345" t="s">
        <v>1963</v>
      </c>
      <c r="I345" t="s">
        <v>1963</v>
      </c>
      <c r="J345">
        <v>1140</v>
      </c>
      <c r="K345">
        <v>1090</v>
      </c>
      <c r="L345">
        <v>925</v>
      </c>
      <c r="M345" t="s">
        <v>1963</v>
      </c>
      <c r="N345">
        <v>1495</v>
      </c>
      <c r="O345">
        <v>1315</v>
      </c>
      <c r="P345">
        <v>1120</v>
      </c>
      <c r="Q345" t="s">
        <v>36</v>
      </c>
      <c r="R345">
        <v>24</v>
      </c>
      <c r="S345">
        <v>1</v>
      </c>
      <c r="T345" s="4" t="s">
        <v>1965</v>
      </c>
      <c r="U345" s="4" t="s">
        <v>1966</v>
      </c>
      <c r="V345">
        <v>0</v>
      </c>
      <c r="W345" s="6" t="str">
        <f t="shared" si="5"/>
        <v>(2409,null,1,'2026-03-24 00:00:00','003304090010000-33040900101','003304090010000-33040900101','小儿球内磁性异物取出术',null,null,1140,1090,925,null,1495,1315,1120,'次',24,1,'normal','main',0),</v>
      </c>
    </row>
    <row r="346" spans="1:23">
      <c r="A346">
        <v>2410</v>
      </c>
      <c r="B346" t="s">
        <v>1963</v>
      </c>
      <c r="C346">
        <v>1</v>
      </c>
      <c r="D346" s="3" t="s">
        <v>1964</v>
      </c>
      <c r="E346" t="s">
        <v>1638</v>
      </c>
      <c r="F346" t="s">
        <v>1638</v>
      </c>
      <c r="G346" t="s">
        <v>1639</v>
      </c>
      <c r="H346" t="s">
        <v>1963</v>
      </c>
      <c r="I346" t="s">
        <v>1963</v>
      </c>
      <c r="J346">
        <v>1755</v>
      </c>
      <c r="K346">
        <v>1585</v>
      </c>
      <c r="L346">
        <v>1345</v>
      </c>
      <c r="M346" t="s">
        <v>1963</v>
      </c>
      <c r="N346">
        <v>1495</v>
      </c>
      <c r="O346">
        <v>1315</v>
      </c>
      <c r="P346">
        <v>1120</v>
      </c>
      <c r="Q346" t="s">
        <v>36</v>
      </c>
      <c r="R346">
        <v>24</v>
      </c>
      <c r="S346">
        <v>1</v>
      </c>
      <c r="T346" s="4" t="s">
        <v>1965</v>
      </c>
      <c r="U346" s="4" t="s">
        <v>1966</v>
      </c>
      <c r="V346">
        <v>0</v>
      </c>
      <c r="W346" s="6" t="str">
        <f t="shared" si="5"/>
        <v>(2410,null,1,'2026-03-24 00:00:00','003304090020000-33040900201','003304090020000-33040900201','小儿球内非磁性异物取出术',null,null,1755,1585,1345,null,1495,1315,1120,'次',24,1,'normal','main',0),</v>
      </c>
    </row>
    <row r="347" spans="1:23">
      <c r="A347">
        <v>2411</v>
      </c>
      <c r="B347" t="s">
        <v>1963</v>
      </c>
      <c r="C347">
        <v>1</v>
      </c>
      <c r="D347" s="3" t="s">
        <v>1964</v>
      </c>
      <c r="E347" t="s">
        <v>1640</v>
      </c>
      <c r="F347" t="s">
        <v>1640</v>
      </c>
      <c r="G347" t="s">
        <v>1641</v>
      </c>
      <c r="H347" t="s">
        <v>1963</v>
      </c>
      <c r="I347" t="s">
        <v>1963</v>
      </c>
      <c r="J347">
        <v>1140</v>
      </c>
      <c r="K347">
        <v>1090</v>
      </c>
      <c r="L347">
        <v>925</v>
      </c>
      <c r="M347" t="s">
        <v>1963</v>
      </c>
      <c r="N347">
        <v>1495</v>
      </c>
      <c r="O347">
        <v>1315</v>
      </c>
      <c r="P347">
        <v>1120</v>
      </c>
      <c r="Q347" t="s">
        <v>36</v>
      </c>
      <c r="R347">
        <v>24</v>
      </c>
      <c r="S347">
        <v>1</v>
      </c>
      <c r="T347" s="4" t="s">
        <v>1965</v>
      </c>
      <c r="U347" s="4" t="s">
        <v>1966</v>
      </c>
      <c r="V347">
        <v>0</v>
      </c>
      <c r="W347" s="6" t="str">
        <f t="shared" si="5"/>
        <v>(2411,null,1,'2026-03-24 00:00:00','003304090030000-33040900301','003304090030000-33040900301','小儿球壁异物取出术',null,null,1140,1090,925,null,1495,1315,1120,'次',24,1,'normal','main',0),</v>
      </c>
    </row>
    <row r="348" spans="1:23">
      <c r="A348">
        <v>2412</v>
      </c>
      <c r="B348" t="s">
        <v>1963</v>
      </c>
      <c r="C348">
        <v>1</v>
      </c>
      <c r="D348" s="3" t="s">
        <v>1964</v>
      </c>
      <c r="E348" t="s">
        <v>1629</v>
      </c>
      <c r="F348" t="s">
        <v>1629</v>
      </c>
      <c r="G348" t="s">
        <v>1630</v>
      </c>
      <c r="H348" t="s">
        <v>1963</v>
      </c>
      <c r="I348" t="s">
        <v>1963</v>
      </c>
      <c r="J348">
        <v>63</v>
      </c>
      <c r="K348">
        <v>60</v>
      </c>
      <c r="L348">
        <v>51</v>
      </c>
      <c r="M348" t="s">
        <v>1963</v>
      </c>
      <c r="N348">
        <v>1495</v>
      </c>
      <c r="O348">
        <v>1315</v>
      </c>
      <c r="P348">
        <v>1120</v>
      </c>
      <c r="Q348" t="s">
        <v>36</v>
      </c>
      <c r="R348">
        <v>24</v>
      </c>
      <c r="S348">
        <v>1</v>
      </c>
      <c r="T348" s="4" t="s">
        <v>1965</v>
      </c>
      <c r="U348" s="4" t="s">
        <v>1966</v>
      </c>
      <c r="V348">
        <v>0</v>
      </c>
      <c r="W348" s="6" t="str">
        <f t="shared" si="5"/>
        <v>(2412,null,1,'2026-03-24 00:00:00','003103000730000-310300073','003103000730000-310300073','球内异物定位',null,null,63,60,51,null,1495,1315,1120,'次',24,1,'normal','main',0),</v>
      </c>
    </row>
    <row r="349" spans="1:23">
      <c r="A349">
        <v>2413</v>
      </c>
      <c r="B349" t="s">
        <v>1963</v>
      </c>
      <c r="C349">
        <v>1</v>
      </c>
      <c r="D349" s="3" t="s">
        <v>1964</v>
      </c>
      <c r="E349" t="s">
        <v>1647</v>
      </c>
      <c r="F349" t="s">
        <v>1647</v>
      </c>
      <c r="G349" t="s">
        <v>1648</v>
      </c>
      <c r="H349" t="s">
        <v>1963</v>
      </c>
      <c r="I349" t="s">
        <v>1963</v>
      </c>
      <c r="J349">
        <v>625</v>
      </c>
      <c r="K349">
        <v>600</v>
      </c>
      <c r="L349">
        <v>510</v>
      </c>
      <c r="M349" t="s">
        <v>1963</v>
      </c>
      <c r="N349">
        <v>625</v>
      </c>
      <c r="O349">
        <v>565</v>
      </c>
      <c r="P349">
        <v>480</v>
      </c>
      <c r="Q349" t="s">
        <v>36</v>
      </c>
      <c r="R349">
        <v>24</v>
      </c>
      <c r="S349">
        <v>1</v>
      </c>
      <c r="T349" s="4" t="s">
        <v>1965</v>
      </c>
      <c r="U349" s="4" t="s">
        <v>1966</v>
      </c>
      <c r="V349">
        <v>0</v>
      </c>
      <c r="W349" s="6" t="str">
        <f t="shared" si="5"/>
        <v>(2413,null,1,'2026-03-24 00:00:00','003304090170000-330409017','003304090170000-330409017','眼窝填充术',null,null,625,600,510,null,625,565,480,'次',24,1,'normal','main',0),</v>
      </c>
    </row>
    <row r="350" spans="1:23">
      <c r="A350">
        <v>2414</v>
      </c>
      <c r="B350" t="s">
        <v>1963</v>
      </c>
      <c r="C350">
        <v>1</v>
      </c>
      <c r="D350" s="3" t="s">
        <v>1964</v>
      </c>
      <c r="E350" t="s">
        <v>1649</v>
      </c>
      <c r="F350" t="s">
        <v>1649</v>
      </c>
      <c r="G350" t="s">
        <v>1650</v>
      </c>
      <c r="H350" t="s">
        <v>1963</v>
      </c>
      <c r="I350" t="s">
        <v>1963</v>
      </c>
      <c r="J350">
        <v>675</v>
      </c>
      <c r="K350">
        <v>610</v>
      </c>
      <c r="L350">
        <v>520</v>
      </c>
      <c r="M350" t="s">
        <v>1963</v>
      </c>
      <c r="N350">
        <v>625</v>
      </c>
      <c r="O350">
        <v>565</v>
      </c>
      <c r="P350">
        <v>480</v>
      </c>
      <c r="Q350" t="s">
        <v>36</v>
      </c>
      <c r="R350">
        <v>24</v>
      </c>
      <c r="S350">
        <v>1</v>
      </c>
      <c r="T350" s="4" t="s">
        <v>1965</v>
      </c>
      <c r="U350" s="4" t="s">
        <v>1966</v>
      </c>
      <c r="V350">
        <v>0</v>
      </c>
      <c r="W350" s="6" t="str">
        <f t="shared" si="5"/>
        <v>(2414,null,1,'2026-03-24 00:00:00','003304090120000-330409012','003304090120000-330409012','活动性义眼眼座植入术',null,null,675,610,520,null,625,565,480,'次',24,1,'normal','main',0),</v>
      </c>
    </row>
    <row r="351" spans="1:23">
      <c r="A351">
        <v>2415</v>
      </c>
      <c r="B351" t="s">
        <v>1963</v>
      </c>
      <c r="C351">
        <v>1</v>
      </c>
      <c r="D351" s="3" t="s">
        <v>1964</v>
      </c>
      <c r="E351" t="s">
        <v>1652</v>
      </c>
      <c r="F351" t="s">
        <v>1652</v>
      </c>
      <c r="G351" t="s">
        <v>1653</v>
      </c>
      <c r="H351" t="s">
        <v>1963</v>
      </c>
      <c r="I351" t="s">
        <v>1963</v>
      </c>
      <c r="J351">
        <v>505</v>
      </c>
      <c r="K351">
        <v>455</v>
      </c>
      <c r="L351">
        <v>385</v>
      </c>
      <c r="M351" t="s">
        <v>1963</v>
      </c>
      <c r="N351">
        <v>625</v>
      </c>
      <c r="O351">
        <v>565</v>
      </c>
      <c r="P351">
        <v>480</v>
      </c>
      <c r="Q351" t="s">
        <v>36</v>
      </c>
      <c r="R351">
        <v>24</v>
      </c>
      <c r="S351">
        <v>1</v>
      </c>
      <c r="T351" s="4" t="s">
        <v>1965</v>
      </c>
      <c r="U351" s="4" t="s">
        <v>1966</v>
      </c>
      <c r="V351">
        <v>0</v>
      </c>
      <c r="W351" s="6" t="str">
        <f t="shared" si="5"/>
        <v>(2415,null,1,'2026-03-24 00:00:00','003304090110000-330409011','003304090110000-330409011','义眼台打孔术',null,null,505,455,385,null,625,565,480,'次',24,1,'normal','main',0),</v>
      </c>
    </row>
    <row r="352" spans="1:23">
      <c r="A352">
        <v>2416</v>
      </c>
      <c r="B352" t="s">
        <v>1963</v>
      </c>
      <c r="C352">
        <v>1</v>
      </c>
      <c r="D352" s="3" t="s">
        <v>1964</v>
      </c>
      <c r="E352" t="s">
        <v>1656</v>
      </c>
      <c r="F352" t="s">
        <v>1656</v>
      </c>
      <c r="G352" t="s">
        <v>1657</v>
      </c>
      <c r="H352" t="s">
        <v>1963</v>
      </c>
      <c r="I352" t="s">
        <v>1963</v>
      </c>
      <c r="J352">
        <v>815</v>
      </c>
      <c r="K352">
        <v>780</v>
      </c>
      <c r="L352">
        <v>665</v>
      </c>
      <c r="M352" t="s">
        <v>1963</v>
      </c>
      <c r="N352">
        <v>810</v>
      </c>
      <c r="O352">
        <v>735</v>
      </c>
      <c r="P352">
        <v>625</v>
      </c>
      <c r="Q352" t="s">
        <v>36</v>
      </c>
      <c r="R352">
        <v>24</v>
      </c>
      <c r="S352">
        <v>1</v>
      </c>
      <c r="T352" s="4" t="s">
        <v>1965</v>
      </c>
      <c r="U352" s="4" t="s">
        <v>1966</v>
      </c>
      <c r="V352">
        <v>0</v>
      </c>
      <c r="W352" s="6" t="str">
        <f t="shared" si="5"/>
        <v>(2416,null,1,'2026-03-24 00:00:00','003304090170000-33040901701','003304090170000-33040901701','小儿眼窝填充术',null,null,815,780,665,null,810,735,625,'次',24,1,'normal','main',0),</v>
      </c>
    </row>
    <row r="353" spans="1:23">
      <c r="A353">
        <v>2417</v>
      </c>
      <c r="B353" t="s">
        <v>1963</v>
      </c>
      <c r="C353">
        <v>1</v>
      </c>
      <c r="D353" s="3" t="s">
        <v>1964</v>
      </c>
      <c r="E353" t="s">
        <v>1658</v>
      </c>
      <c r="F353" t="s">
        <v>1658</v>
      </c>
      <c r="G353" t="s">
        <v>1659</v>
      </c>
      <c r="H353" t="s">
        <v>1963</v>
      </c>
      <c r="I353" t="s">
        <v>1963</v>
      </c>
      <c r="J353">
        <v>880</v>
      </c>
      <c r="K353">
        <v>795</v>
      </c>
      <c r="L353">
        <v>675</v>
      </c>
      <c r="M353" t="s">
        <v>1963</v>
      </c>
      <c r="N353">
        <v>810</v>
      </c>
      <c r="O353">
        <v>735</v>
      </c>
      <c r="P353">
        <v>625</v>
      </c>
      <c r="Q353" t="s">
        <v>36</v>
      </c>
      <c r="R353">
        <v>24</v>
      </c>
      <c r="S353">
        <v>1</v>
      </c>
      <c r="T353" s="4" t="s">
        <v>1965</v>
      </c>
      <c r="U353" s="4" t="s">
        <v>1966</v>
      </c>
      <c r="V353">
        <v>0</v>
      </c>
      <c r="W353" s="6" t="str">
        <f t="shared" si="5"/>
        <v>(2417,null,1,'2026-03-24 00:00:00','003304090120000-33040901201','003304090120000-33040901201','小儿活动性义眼眼座植入术',null,null,880,795,675,null,810,735,625,'次',24,1,'normal','main',0),</v>
      </c>
    </row>
    <row r="354" spans="1:23">
      <c r="A354">
        <v>2418</v>
      </c>
      <c r="B354" t="s">
        <v>1963</v>
      </c>
      <c r="C354">
        <v>1</v>
      </c>
      <c r="D354" s="3" t="s">
        <v>1964</v>
      </c>
      <c r="E354" t="s">
        <v>1660</v>
      </c>
      <c r="F354" t="s">
        <v>1660</v>
      </c>
      <c r="G354" t="s">
        <v>1661</v>
      </c>
      <c r="H354" t="s">
        <v>1963</v>
      </c>
      <c r="I354" t="s">
        <v>1963</v>
      </c>
      <c r="J354">
        <v>655</v>
      </c>
      <c r="K354">
        <v>590</v>
      </c>
      <c r="L354">
        <v>500</v>
      </c>
      <c r="M354" t="s">
        <v>1963</v>
      </c>
      <c r="N354">
        <v>810</v>
      </c>
      <c r="O354">
        <v>735</v>
      </c>
      <c r="P354">
        <v>625</v>
      </c>
      <c r="Q354" t="s">
        <v>36</v>
      </c>
      <c r="R354">
        <v>24</v>
      </c>
      <c r="S354">
        <v>1</v>
      </c>
      <c r="T354" s="4" t="s">
        <v>1965</v>
      </c>
      <c r="U354" s="4" t="s">
        <v>1966</v>
      </c>
      <c r="V354">
        <v>0</v>
      </c>
      <c r="W354" s="6" t="str">
        <f t="shared" si="5"/>
        <v>(2418,null,1,'2026-03-24 00:00:00','003304090110000-33040901101','003304090110000-33040901101','小儿义眼台打孔术',null,null,655,590,500,null,810,735,625,'次',24,1,'normal','main',0),</v>
      </c>
    </row>
    <row r="355" spans="1:23">
      <c r="A355">
        <v>2419</v>
      </c>
      <c r="B355" t="s">
        <v>1963</v>
      </c>
      <c r="C355">
        <v>1</v>
      </c>
      <c r="D355" s="3" t="s">
        <v>1964</v>
      </c>
      <c r="E355" t="s">
        <v>1667</v>
      </c>
      <c r="F355" t="s">
        <v>1667</v>
      </c>
      <c r="G355" t="s">
        <v>1668</v>
      </c>
      <c r="H355" t="s">
        <v>1963</v>
      </c>
      <c r="I355" t="s">
        <v>1963</v>
      </c>
      <c r="J355">
        <v>1180</v>
      </c>
      <c r="K355">
        <v>1060</v>
      </c>
      <c r="L355">
        <v>900</v>
      </c>
      <c r="M355" t="s">
        <v>1963</v>
      </c>
      <c r="N355">
        <v>1180</v>
      </c>
      <c r="O355">
        <v>1060</v>
      </c>
      <c r="P355">
        <v>900</v>
      </c>
      <c r="Q355" t="s">
        <v>36</v>
      </c>
      <c r="R355">
        <v>24</v>
      </c>
      <c r="S355">
        <v>1</v>
      </c>
      <c r="T355" s="4" t="s">
        <v>1965</v>
      </c>
      <c r="U355" s="4" t="s">
        <v>1966</v>
      </c>
      <c r="V355">
        <v>0</v>
      </c>
      <c r="W355" s="6" t="str">
        <f t="shared" si="5"/>
        <v>(2419,null,1,'2026-03-24 00:00:00','003304090180000-330409018','003304090180000-330409018','眼窝再造术',null,null,1180,1060,900,null,1180,1060,900,'次',24,1,'normal','main',0),</v>
      </c>
    </row>
    <row r="356" spans="1:23">
      <c r="A356">
        <v>2420</v>
      </c>
      <c r="B356" t="s">
        <v>1963</v>
      </c>
      <c r="C356">
        <v>1</v>
      </c>
      <c r="D356" s="3" t="s">
        <v>1964</v>
      </c>
      <c r="E356" t="s">
        <v>1672</v>
      </c>
      <c r="F356" t="s">
        <v>1672</v>
      </c>
      <c r="G356" t="s">
        <v>1673</v>
      </c>
      <c r="H356" t="s">
        <v>1963</v>
      </c>
      <c r="I356" t="s">
        <v>1963</v>
      </c>
      <c r="J356">
        <v>1535</v>
      </c>
      <c r="K356">
        <v>1380</v>
      </c>
      <c r="L356">
        <v>1175</v>
      </c>
      <c r="M356" t="s">
        <v>1963</v>
      </c>
      <c r="N356">
        <v>1535</v>
      </c>
      <c r="O356">
        <v>1380</v>
      </c>
      <c r="P356">
        <v>1170</v>
      </c>
      <c r="Q356" t="s">
        <v>36</v>
      </c>
      <c r="R356">
        <v>24</v>
      </c>
      <c r="S356">
        <v>1</v>
      </c>
      <c r="T356" s="4" t="s">
        <v>1965</v>
      </c>
      <c r="U356" s="4" t="s">
        <v>1966</v>
      </c>
      <c r="V356">
        <v>0</v>
      </c>
      <c r="W356" s="6" t="str">
        <f t="shared" si="5"/>
        <v>(2420,null,1,'2026-03-24 00:00:00','003304090180000-33040901801','003304090180000-33040901801','小儿眼窝再造术',null,null,1535,1380,1175,null,1535,1380,1170,'次',24,1,'normal','main',0),</v>
      </c>
    </row>
    <row r="357" spans="1:23">
      <c r="A357">
        <v>2421</v>
      </c>
      <c r="B357" t="s">
        <v>1963</v>
      </c>
      <c r="C357">
        <v>1</v>
      </c>
      <c r="D357" s="3" t="s">
        <v>1964</v>
      </c>
      <c r="E357" t="s">
        <v>1680</v>
      </c>
      <c r="F357" t="s">
        <v>1680</v>
      </c>
      <c r="G357" t="s">
        <v>1681</v>
      </c>
      <c r="H357" t="s">
        <v>1963</v>
      </c>
      <c r="I357" t="s">
        <v>1963</v>
      </c>
      <c r="J357">
        <v>675</v>
      </c>
      <c r="K357">
        <v>610</v>
      </c>
      <c r="L357">
        <v>520</v>
      </c>
      <c r="M357" t="s">
        <v>1963</v>
      </c>
      <c r="N357">
        <v>780</v>
      </c>
      <c r="O357">
        <v>735</v>
      </c>
      <c r="P357">
        <v>660</v>
      </c>
      <c r="Q357" t="s">
        <v>36</v>
      </c>
      <c r="R357">
        <v>24</v>
      </c>
      <c r="S357">
        <v>1</v>
      </c>
      <c r="T357" s="4" t="s">
        <v>1965</v>
      </c>
      <c r="U357" s="4" t="s">
        <v>1966</v>
      </c>
      <c r="V357">
        <v>0</v>
      </c>
      <c r="W357" s="6" t="str">
        <f t="shared" si="5"/>
        <v>(2421,null,1,'2026-03-24 00:00:00','003304020060000-330402006','003304020060000-330402006','泪囊结膜囊吻合术',null,null,675,610,520,null,780,735,660,'次',24,1,'normal','main',0),</v>
      </c>
    </row>
    <row r="358" spans="1:23">
      <c r="A358">
        <v>2422</v>
      </c>
      <c r="B358" t="s">
        <v>1963</v>
      </c>
      <c r="C358">
        <v>1</v>
      </c>
      <c r="D358" s="3" t="s">
        <v>1964</v>
      </c>
      <c r="E358" t="s">
        <v>1683</v>
      </c>
      <c r="F358" t="s">
        <v>1683</v>
      </c>
      <c r="G358" t="s">
        <v>1684</v>
      </c>
      <c r="H358" t="s">
        <v>1963</v>
      </c>
      <c r="I358" t="s">
        <v>1963</v>
      </c>
      <c r="J358">
        <v>1100</v>
      </c>
      <c r="K358">
        <v>990</v>
      </c>
      <c r="L358">
        <v>840</v>
      </c>
      <c r="M358" t="s">
        <v>1963</v>
      </c>
      <c r="N358">
        <v>780</v>
      </c>
      <c r="O358">
        <v>735</v>
      </c>
      <c r="P358">
        <v>660</v>
      </c>
      <c r="Q358" t="s">
        <v>36</v>
      </c>
      <c r="R358">
        <v>24</v>
      </c>
      <c r="S358">
        <v>1</v>
      </c>
      <c r="T358" s="4" t="s">
        <v>1965</v>
      </c>
      <c r="U358" s="4" t="s">
        <v>1966</v>
      </c>
      <c r="V358">
        <v>0</v>
      </c>
      <c r="W358" s="6" t="str">
        <f t="shared" si="5"/>
        <v>(2422,null,1,'2026-03-24 00:00:00','003304020030000-330402003','003304020030000-330402003','泪小管吻合术',null,null,1100,990,840,null,780,735,660,'次',24,1,'normal','main',0),</v>
      </c>
    </row>
    <row r="359" spans="1:23">
      <c r="A359">
        <v>2423</v>
      </c>
      <c r="B359" t="s">
        <v>1963</v>
      </c>
      <c r="C359">
        <v>1</v>
      </c>
      <c r="D359" s="3" t="s">
        <v>1964</v>
      </c>
      <c r="E359" t="s">
        <v>1685</v>
      </c>
      <c r="F359" t="s">
        <v>1685</v>
      </c>
      <c r="G359" t="s">
        <v>1686</v>
      </c>
      <c r="H359" t="s">
        <v>1963</v>
      </c>
      <c r="I359" t="s">
        <v>1963</v>
      </c>
      <c r="J359">
        <v>925</v>
      </c>
      <c r="K359">
        <v>835</v>
      </c>
      <c r="L359">
        <v>710</v>
      </c>
      <c r="M359" t="s">
        <v>1963</v>
      </c>
      <c r="N359">
        <v>780</v>
      </c>
      <c r="O359">
        <v>735</v>
      </c>
      <c r="P359">
        <v>660</v>
      </c>
      <c r="Q359" t="s">
        <v>36</v>
      </c>
      <c r="R359">
        <v>24</v>
      </c>
      <c r="S359">
        <v>1</v>
      </c>
      <c r="T359" s="4" t="s">
        <v>1965</v>
      </c>
      <c r="U359" s="4" t="s">
        <v>1966</v>
      </c>
      <c r="V359">
        <v>0</v>
      </c>
      <c r="W359" s="6" t="str">
        <f t="shared" si="5"/>
        <v>(2423,null,1,'2026-03-24 00:00:00','003304020070000-330402007','003304020070000-330402007','鼻腔泪囊吻合术',null,null,925,835,710,null,780,735,660,'次',24,1,'normal','main',0),</v>
      </c>
    </row>
    <row r="360" spans="1:23">
      <c r="A360">
        <v>2424</v>
      </c>
      <c r="B360" t="s">
        <v>1963</v>
      </c>
      <c r="C360">
        <v>1</v>
      </c>
      <c r="D360" s="3" t="s">
        <v>1964</v>
      </c>
      <c r="E360" t="s">
        <v>1688</v>
      </c>
      <c r="F360" t="s">
        <v>1688</v>
      </c>
      <c r="G360" t="s">
        <v>1689</v>
      </c>
      <c r="H360" t="s">
        <v>1963</v>
      </c>
      <c r="I360" t="s">
        <v>1963</v>
      </c>
      <c r="J360">
        <v>760</v>
      </c>
      <c r="K360">
        <v>685</v>
      </c>
      <c r="L360">
        <v>585</v>
      </c>
      <c r="M360" t="s">
        <v>1963</v>
      </c>
      <c r="N360">
        <v>780</v>
      </c>
      <c r="O360">
        <v>735</v>
      </c>
      <c r="P360">
        <v>660</v>
      </c>
      <c r="Q360" t="s">
        <v>36</v>
      </c>
      <c r="R360">
        <v>24</v>
      </c>
      <c r="S360">
        <v>1</v>
      </c>
      <c r="T360" s="4" t="s">
        <v>1965</v>
      </c>
      <c r="U360" s="4" t="s">
        <v>1966</v>
      </c>
      <c r="V360">
        <v>0</v>
      </c>
      <c r="W360" s="6" t="str">
        <f t="shared" si="5"/>
        <v>(2424,null,1,'2026-03-24 00:00:00','003304020080000-330402008','003304020080000-330402008','鼻泪道再通术',null,null,760,685,585,null,780,735,660,'次',24,1,'normal','main',0),</v>
      </c>
    </row>
    <row r="361" spans="1:23">
      <c r="A361">
        <v>2425</v>
      </c>
      <c r="B361" t="s">
        <v>1963</v>
      </c>
      <c r="C361">
        <v>1</v>
      </c>
      <c r="D361" s="3" t="s">
        <v>1964</v>
      </c>
      <c r="E361" t="s">
        <v>1691</v>
      </c>
      <c r="F361" t="s">
        <v>1691</v>
      </c>
      <c r="G361" t="s">
        <v>1692</v>
      </c>
      <c r="H361" t="s">
        <v>1963</v>
      </c>
      <c r="I361" t="s">
        <v>1963</v>
      </c>
      <c r="J361">
        <v>505</v>
      </c>
      <c r="K361">
        <v>455</v>
      </c>
      <c r="L361">
        <v>385</v>
      </c>
      <c r="M361" t="s">
        <v>1963</v>
      </c>
      <c r="N361">
        <v>780</v>
      </c>
      <c r="O361">
        <v>735</v>
      </c>
      <c r="P361">
        <v>660</v>
      </c>
      <c r="Q361" t="s">
        <v>36</v>
      </c>
      <c r="R361">
        <v>24</v>
      </c>
      <c r="S361">
        <v>1</v>
      </c>
      <c r="T361" s="4" t="s">
        <v>1965</v>
      </c>
      <c r="U361" s="4" t="s">
        <v>1966</v>
      </c>
      <c r="V361">
        <v>0</v>
      </c>
      <c r="W361" s="6" t="str">
        <f t="shared" si="5"/>
        <v>(2425,null,1,'2026-03-24 00:00:00','003304020090000-330402009','003304020090000-330402009','泪道成形术',null,null,505,455,385,null,780,735,660,'次',24,1,'normal','main',0),</v>
      </c>
    </row>
    <row r="362" spans="1:23">
      <c r="A362">
        <v>2426</v>
      </c>
      <c r="B362" t="s">
        <v>1963</v>
      </c>
      <c r="C362">
        <v>1</v>
      </c>
      <c r="D362" s="3" t="s">
        <v>1964</v>
      </c>
      <c r="E362" t="s">
        <v>1695</v>
      </c>
      <c r="F362" t="s">
        <v>1695</v>
      </c>
      <c r="G362" t="s">
        <v>1696</v>
      </c>
      <c r="H362" t="s">
        <v>1963</v>
      </c>
      <c r="I362" t="s">
        <v>1963</v>
      </c>
      <c r="J362">
        <v>575</v>
      </c>
      <c r="K362">
        <v>520</v>
      </c>
      <c r="L362">
        <v>445</v>
      </c>
      <c r="M362" t="s">
        <v>1963</v>
      </c>
      <c r="N362">
        <v>780</v>
      </c>
      <c r="O362">
        <v>735</v>
      </c>
      <c r="P362">
        <v>660</v>
      </c>
      <c r="Q362" t="s">
        <v>36</v>
      </c>
      <c r="R362">
        <v>24</v>
      </c>
      <c r="S362">
        <v>1</v>
      </c>
      <c r="T362" s="4" t="s">
        <v>1965</v>
      </c>
      <c r="U362" s="4" t="s">
        <v>1966</v>
      </c>
      <c r="V362">
        <v>0</v>
      </c>
      <c r="W362" s="6" t="str">
        <f t="shared" si="5"/>
        <v>(2426,null,1,'2026-03-24 00:00:00','003304020090000-33040200901','003304020090000-33040200901','泪道成形术（激光）',null,null,575,520,445,null,780,735,660,'次',24,1,'normal','main',0),</v>
      </c>
    </row>
    <row r="363" spans="1:23">
      <c r="A363">
        <v>2427</v>
      </c>
      <c r="B363" t="s">
        <v>1963</v>
      </c>
      <c r="C363">
        <v>1</v>
      </c>
      <c r="D363" s="3" t="s">
        <v>1964</v>
      </c>
      <c r="E363" t="s">
        <v>1699</v>
      </c>
      <c r="F363" t="s">
        <v>1699</v>
      </c>
      <c r="G363" t="s">
        <v>1700</v>
      </c>
      <c r="H363" t="s">
        <v>1963</v>
      </c>
      <c r="I363" t="s">
        <v>1963</v>
      </c>
      <c r="J363">
        <v>880</v>
      </c>
      <c r="K363">
        <v>795</v>
      </c>
      <c r="L363">
        <v>675</v>
      </c>
      <c r="M363" t="s">
        <v>1963</v>
      </c>
      <c r="N363">
        <v>1015</v>
      </c>
      <c r="O363">
        <v>955</v>
      </c>
      <c r="P363">
        <v>860</v>
      </c>
      <c r="Q363" t="s">
        <v>36</v>
      </c>
      <c r="R363">
        <v>24</v>
      </c>
      <c r="S363">
        <v>1</v>
      </c>
      <c r="T363" s="4" t="s">
        <v>1965</v>
      </c>
      <c r="U363" s="4" t="s">
        <v>1966</v>
      </c>
      <c r="V363">
        <v>0</v>
      </c>
      <c r="W363" s="6" t="str">
        <f t="shared" si="5"/>
        <v>(2427,null,1,'2026-03-24 00:00:00','003304020060000-33040200601','003304020060000-33040200601','小儿泪囊结膜囊吻合术',null,null,880,795,675,null,1015,955,860,'次',24,1,'normal','main',0),</v>
      </c>
    </row>
    <row r="364" spans="1:23">
      <c r="A364">
        <v>2428</v>
      </c>
      <c r="B364" t="s">
        <v>1963</v>
      </c>
      <c r="C364">
        <v>1</v>
      </c>
      <c r="D364" s="3" t="s">
        <v>1964</v>
      </c>
      <c r="E364" t="s">
        <v>1701</v>
      </c>
      <c r="F364" t="s">
        <v>1701</v>
      </c>
      <c r="G364" t="s">
        <v>1702</v>
      </c>
      <c r="H364" t="s">
        <v>1963</v>
      </c>
      <c r="I364" t="s">
        <v>1963</v>
      </c>
      <c r="J364">
        <v>1430</v>
      </c>
      <c r="K364">
        <v>1285</v>
      </c>
      <c r="L364">
        <v>1090</v>
      </c>
      <c r="M364" t="s">
        <v>1963</v>
      </c>
      <c r="N364">
        <v>1015</v>
      </c>
      <c r="O364">
        <v>955</v>
      </c>
      <c r="P364">
        <v>860</v>
      </c>
      <c r="Q364" t="s">
        <v>36</v>
      </c>
      <c r="R364">
        <v>24</v>
      </c>
      <c r="S364">
        <v>1</v>
      </c>
      <c r="T364" s="4" t="s">
        <v>1965</v>
      </c>
      <c r="U364" s="4" t="s">
        <v>1966</v>
      </c>
      <c r="V364">
        <v>0</v>
      </c>
      <c r="W364" s="6" t="str">
        <f t="shared" si="5"/>
        <v>(2428,null,1,'2026-03-24 00:00:00','003304020030000-33040200301','003304020030000-33040200301','小儿泪小管吻合术',null,null,1430,1285,1090,null,1015,955,860,'次',24,1,'normal','main',0),</v>
      </c>
    </row>
    <row r="365" spans="1:23">
      <c r="A365">
        <v>2429</v>
      </c>
      <c r="B365" t="s">
        <v>1963</v>
      </c>
      <c r="C365">
        <v>1</v>
      </c>
      <c r="D365" s="3" t="s">
        <v>1964</v>
      </c>
      <c r="E365" t="s">
        <v>1703</v>
      </c>
      <c r="F365" t="s">
        <v>1703</v>
      </c>
      <c r="G365" t="s">
        <v>1704</v>
      </c>
      <c r="H365" t="s">
        <v>1963</v>
      </c>
      <c r="I365" t="s">
        <v>1963</v>
      </c>
      <c r="J365">
        <v>1205</v>
      </c>
      <c r="K365">
        <v>1085</v>
      </c>
      <c r="L365">
        <v>920</v>
      </c>
      <c r="M365" t="s">
        <v>1963</v>
      </c>
      <c r="N365">
        <v>1015</v>
      </c>
      <c r="O365">
        <v>955</v>
      </c>
      <c r="P365">
        <v>860</v>
      </c>
      <c r="Q365" t="s">
        <v>36</v>
      </c>
      <c r="R365">
        <v>24</v>
      </c>
      <c r="S365">
        <v>1</v>
      </c>
      <c r="T365" s="4" t="s">
        <v>1965</v>
      </c>
      <c r="U365" s="4" t="s">
        <v>1966</v>
      </c>
      <c r="V365">
        <v>0</v>
      </c>
      <c r="W365" s="6" t="str">
        <f t="shared" si="5"/>
        <v>(2429,null,1,'2026-03-24 00:00:00','003304020070000-33040200701','003304020070000-33040200701','小儿鼻腔泪囊吻合术',null,null,1205,1085,920,null,1015,955,860,'次',24,1,'normal','main',0),</v>
      </c>
    </row>
    <row r="366" spans="1:23">
      <c r="A366">
        <v>2430</v>
      </c>
      <c r="B366" t="s">
        <v>1963</v>
      </c>
      <c r="C366">
        <v>1</v>
      </c>
      <c r="D366" s="3" t="s">
        <v>1964</v>
      </c>
      <c r="E366" t="s">
        <v>1705</v>
      </c>
      <c r="F366" t="s">
        <v>1705</v>
      </c>
      <c r="G366" t="s">
        <v>1706</v>
      </c>
      <c r="H366" t="s">
        <v>1963</v>
      </c>
      <c r="I366" t="s">
        <v>1963</v>
      </c>
      <c r="J366">
        <v>990</v>
      </c>
      <c r="K366">
        <v>890</v>
      </c>
      <c r="L366">
        <v>755</v>
      </c>
      <c r="M366" t="s">
        <v>1963</v>
      </c>
      <c r="N366">
        <v>1015</v>
      </c>
      <c r="O366">
        <v>955</v>
      </c>
      <c r="P366">
        <v>860</v>
      </c>
      <c r="Q366" t="s">
        <v>36</v>
      </c>
      <c r="R366">
        <v>24</v>
      </c>
      <c r="S366">
        <v>1</v>
      </c>
      <c r="T366" s="4" t="s">
        <v>1965</v>
      </c>
      <c r="U366" s="4" t="s">
        <v>1966</v>
      </c>
      <c r="V366">
        <v>0</v>
      </c>
      <c r="W366" s="6" t="str">
        <f t="shared" si="5"/>
        <v>(2430,null,1,'2026-03-24 00:00:00','003304020080000-33040200801','003304020080000-33040200801','小儿鼻泪道再通术',null,null,990,890,755,null,1015,955,860,'次',24,1,'normal','main',0),</v>
      </c>
    </row>
    <row r="367" spans="1:23">
      <c r="A367">
        <v>2431</v>
      </c>
      <c r="B367" t="s">
        <v>1963</v>
      </c>
      <c r="C367">
        <v>1</v>
      </c>
      <c r="D367" s="3" t="s">
        <v>1964</v>
      </c>
      <c r="E367" t="s">
        <v>1707</v>
      </c>
      <c r="F367" t="s">
        <v>1707</v>
      </c>
      <c r="G367" t="s">
        <v>1708</v>
      </c>
      <c r="H367" t="s">
        <v>1963</v>
      </c>
      <c r="I367" t="s">
        <v>1963</v>
      </c>
      <c r="J367">
        <v>655</v>
      </c>
      <c r="K367">
        <v>590</v>
      </c>
      <c r="L367">
        <v>500</v>
      </c>
      <c r="M367" t="s">
        <v>1963</v>
      </c>
      <c r="N367">
        <v>1015</v>
      </c>
      <c r="O367">
        <v>955</v>
      </c>
      <c r="P367">
        <v>860</v>
      </c>
      <c r="Q367" t="s">
        <v>36</v>
      </c>
      <c r="R367">
        <v>24</v>
      </c>
      <c r="S367">
        <v>1</v>
      </c>
      <c r="T367" s="4" t="s">
        <v>1965</v>
      </c>
      <c r="U367" s="4" t="s">
        <v>1966</v>
      </c>
      <c r="V367">
        <v>0</v>
      </c>
      <c r="W367" s="6" t="str">
        <f t="shared" si="5"/>
        <v>(2431,null,1,'2026-03-24 00:00:00','003304020090000-33040200902','003304020090000-33040200902','小儿泪道成形术',null,null,655,590,500,null,1015,955,860,'次',24,1,'normal','main',0),</v>
      </c>
    </row>
    <row r="368" spans="1:23">
      <c r="A368">
        <v>2432</v>
      </c>
      <c r="B368" t="s">
        <v>1963</v>
      </c>
      <c r="C368">
        <v>1</v>
      </c>
      <c r="D368" s="3" t="s">
        <v>1964</v>
      </c>
      <c r="E368" t="s">
        <v>1709</v>
      </c>
      <c r="F368" t="s">
        <v>1709</v>
      </c>
      <c r="G368" t="s">
        <v>1710</v>
      </c>
      <c r="H368" t="s">
        <v>1963</v>
      </c>
      <c r="I368" t="s">
        <v>1963</v>
      </c>
      <c r="J368">
        <v>750</v>
      </c>
      <c r="K368">
        <v>675</v>
      </c>
      <c r="L368">
        <v>575</v>
      </c>
      <c r="M368" t="s">
        <v>1963</v>
      </c>
      <c r="N368">
        <v>1015</v>
      </c>
      <c r="O368">
        <v>955</v>
      </c>
      <c r="P368">
        <v>860</v>
      </c>
      <c r="Q368" t="s">
        <v>36</v>
      </c>
      <c r="R368">
        <v>24</v>
      </c>
      <c r="S368">
        <v>1</v>
      </c>
      <c r="T368" s="4" t="s">
        <v>1965</v>
      </c>
      <c r="U368" s="4" t="s">
        <v>1966</v>
      </c>
      <c r="V368">
        <v>0</v>
      </c>
      <c r="W368" s="6" t="str">
        <f t="shared" si="5"/>
        <v>(2432,null,1,'2026-03-24 00:00:00','003304020090000-33040200903','003304020090000-33040200903','小儿泪道成形术（激光）',null,null,750,675,575,null,1015,955,860,'次',24,1,'normal','main',0),</v>
      </c>
    </row>
    <row r="369" spans="1:23">
      <c r="A369">
        <v>2433</v>
      </c>
      <c r="B369" t="s">
        <v>1963</v>
      </c>
      <c r="C369">
        <v>1</v>
      </c>
      <c r="D369" s="3" t="s">
        <v>1964</v>
      </c>
      <c r="E369" t="s">
        <v>1714</v>
      </c>
      <c r="F369" t="s">
        <v>1714</v>
      </c>
      <c r="G369" t="s">
        <v>1715</v>
      </c>
      <c r="H369" t="s">
        <v>1963</v>
      </c>
      <c r="I369" t="s">
        <v>1963</v>
      </c>
      <c r="J369">
        <v>505</v>
      </c>
      <c r="K369">
        <v>455</v>
      </c>
      <c r="L369">
        <v>385</v>
      </c>
      <c r="M369" t="s">
        <v>1963</v>
      </c>
      <c r="N369">
        <v>468</v>
      </c>
      <c r="O369">
        <v>441</v>
      </c>
      <c r="P369">
        <v>396</v>
      </c>
      <c r="Q369" t="s">
        <v>36</v>
      </c>
      <c r="R369">
        <v>24</v>
      </c>
      <c r="S369">
        <v>1</v>
      </c>
      <c r="T369" s="4" t="s">
        <v>1965</v>
      </c>
      <c r="U369" s="4" t="s">
        <v>1966</v>
      </c>
      <c r="V369">
        <v>0</v>
      </c>
      <c r="W369" s="6" t="str">
        <f t="shared" si="5"/>
        <v>(2433,null,1,'2026-03-24 00:00:00','003304020040100-33040200401','003304020040100-33040200401','泪囊摘除术（泪囊瘘管摘除）',null,null,505,455,385,null,468,441,396,'次',24,1,'normal','main',0),</v>
      </c>
    </row>
    <row r="370" spans="1:23">
      <c r="A370">
        <v>2434</v>
      </c>
      <c r="B370" t="s">
        <v>1963</v>
      </c>
      <c r="C370">
        <v>1</v>
      </c>
      <c r="D370" s="3" t="s">
        <v>1964</v>
      </c>
      <c r="E370" t="s">
        <v>1718</v>
      </c>
      <c r="F370" t="s">
        <v>1718</v>
      </c>
      <c r="G370" t="s">
        <v>1719</v>
      </c>
      <c r="H370" t="s">
        <v>1963</v>
      </c>
      <c r="I370" t="s">
        <v>1963</v>
      </c>
      <c r="J370">
        <v>540</v>
      </c>
      <c r="K370">
        <v>485</v>
      </c>
      <c r="L370">
        <v>415</v>
      </c>
      <c r="M370" t="s">
        <v>1963</v>
      </c>
      <c r="N370">
        <v>540</v>
      </c>
      <c r="O370">
        <v>485</v>
      </c>
      <c r="P370">
        <v>415</v>
      </c>
      <c r="Q370" t="s">
        <v>36</v>
      </c>
      <c r="R370">
        <v>24</v>
      </c>
      <c r="S370">
        <v>1</v>
      </c>
      <c r="T370" s="4" t="s">
        <v>1965</v>
      </c>
      <c r="U370" s="4" t="s">
        <v>1966</v>
      </c>
      <c r="V370">
        <v>0</v>
      </c>
      <c r="W370" s="6" t="str">
        <f t="shared" si="5"/>
        <v>(2434,null,1,'2026-03-24 00:00:00','353300000010000-33040200702','353300000010000-33040200702','鼻腔泪囊吻合术微动力辅助加收',null,null,540,485,415,null,540,485,415,'次',24,1,'normal','main',0),</v>
      </c>
    </row>
    <row r="371" spans="1:23">
      <c r="A371">
        <v>2435</v>
      </c>
      <c r="B371" t="s">
        <v>1963</v>
      </c>
      <c r="C371">
        <v>1</v>
      </c>
      <c r="D371" s="3" t="s">
        <v>1964</v>
      </c>
      <c r="E371" t="s">
        <v>1725</v>
      </c>
      <c r="F371" t="s">
        <v>1725</v>
      </c>
      <c r="G371" t="s">
        <v>1726</v>
      </c>
      <c r="H371" t="s">
        <v>1963</v>
      </c>
      <c r="I371" t="s">
        <v>1963</v>
      </c>
      <c r="J371">
        <v>505</v>
      </c>
      <c r="K371">
        <v>455</v>
      </c>
      <c r="L371">
        <v>385</v>
      </c>
      <c r="M371" t="s">
        <v>1963</v>
      </c>
      <c r="N371">
        <v>520</v>
      </c>
      <c r="O371">
        <v>465</v>
      </c>
      <c r="P371">
        <v>395</v>
      </c>
      <c r="Q371" t="s">
        <v>36</v>
      </c>
      <c r="R371">
        <v>24</v>
      </c>
      <c r="S371">
        <v>1</v>
      </c>
      <c r="T371" s="4" t="s">
        <v>1965</v>
      </c>
      <c r="U371" s="4" t="s">
        <v>1966</v>
      </c>
      <c r="V371">
        <v>0</v>
      </c>
      <c r="W371" s="6" t="str">
        <f t="shared" si="5"/>
        <v>(2435,null,1,'2026-03-24 00:00:00','003304020040000-330402004','003304020040000-330402004','泪囊摘除术',null,null,505,455,385,null,520,465,395,'次',24,1,'normal','main',0),</v>
      </c>
    </row>
    <row r="372" spans="1:23">
      <c r="A372">
        <v>2436</v>
      </c>
      <c r="B372" t="s">
        <v>1963</v>
      </c>
      <c r="C372">
        <v>1</v>
      </c>
      <c r="D372" s="3" t="s">
        <v>1964</v>
      </c>
      <c r="E372" t="s">
        <v>1730</v>
      </c>
      <c r="F372" t="s">
        <v>1730</v>
      </c>
      <c r="G372" t="s">
        <v>1731</v>
      </c>
      <c r="H372" t="s">
        <v>1963</v>
      </c>
      <c r="I372" t="s">
        <v>1963</v>
      </c>
      <c r="J372">
        <v>655</v>
      </c>
      <c r="K372">
        <v>590</v>
      </c>
      <c r="L372">
        <v>500</v>
      </c>
      <c r="M372" t="s">
        <v>1963</v>
      </c>
      <c r="N372">
        <v>675</v>
      </c>
      <c r="O372">
        <v>605</v>
      </c>
      <c r="P372">
        <v>515</v>
      </c>
      <c r="Q372" t="s">
        <v>36</v>
      </c>
      <c r="R372">
        <v>24</v>
      </c>
      <c r="S372">
        <v>1</v>
      </c>
      <c r="T372" s="4" t="s">
        <v>1965</v>
      </c>
      <c r="U372" s="4" t="s">
        <v>1966</v>
      </c>
      <c r="V372">
        <v>0</v>
      </c>
      <c r="W372" s="6" t="str">
        <f t="shared" si="5"/>
        <v>(2436,null,1,'2026-03-24 00:00:00','003304020040000-33040200402','003304020040000-33040200402','小儿泪囊摘除术',null,null,655,590,500,null,675,605,515,'次',24,1,'normal','main',0),</v>
      </c>
    </row>
    <row r="373" spans="1:23">
      <c r="A373">
        <v>2437</v>
      </c>
      <c r="B373" t="s">
        <v>1963</v>
      </c>
      <c r="C373">
        <v>1</v>
      </c>
      <c r="D373" s="3" t="s">
        <v>1964</v>
      </c>
      <c r="E373" t="s">
        <v>1714</v>
      </c>
      <c r="F373" t="s">
        <v>1714</v>
      </c>
      <c r="G373" t="s">
        <v>1715</v>
      </c>
      <c r="H373" t="s">
        <v>1963</v>
      </c>
      <c r="I373" t="s">
        <v>1963</v>
      </c>
      <c r="J373">
        <v>505</v>
      </c>
      <c r="K373">
        <v>455</v>
      </c>
      <c r="L373">
        <v>385</v>
      </c>
      <c r="M373" t="s">
        <v>1963</v>
      </c>
      <c r="N373">
        <v>520</v>
      </c>
      <c r="O373">
        <v>465</v>
      </c>
      <c r="P373">
        <v>395</v>
      </c>
      <c r="Q373" t="s">
        <v>36</v>
      </c>
      <c r="R373">
        <v>24</v>
      </c>
      <c r="S373">
        <v>1</v>
      </c>
      <c r="T373" s="4" t="s">
        <v>1965</v>
      </c>
      <c r="U373" s="4" t="s">
        <v>1966</v>
      </c>
      <c r="V373">
        <v>0</v>
      </c>
      <c r="W373" s="6" t="str">
        <f t="shared" si="5"/>
        <v>(2437,null,1,'2026-03-24 00:00:00','003304020040100-33040200401','003304020040100-33040200401','泪囊摘除术（泪囊瘘管摘除）',null,null,505,455,385,null,520,465,395,'次',24,1,'normal','main',0),</v>
      </c>
    </row>
    <row r="374" spans="1:23">
      <c r="A374">
        <v>2438</v>
      </c>
      <c r="B374" t="s">
        <v>1963</v>
      </c>
      <c r="C374">
        <v>1</v>
      </c>
      <c r="D374" s="3" t="s">
        <v>1964</v>
      </c>
      <c r="E374" t="s">
        <v>1735</v>
      </c>
      <c r="F374" t="s">
        <v>1735</v>
      </c>
      <c r="G374" t="s">
        <v>1736</v>
      </c>
      <c r="H374" t="s">
        <v>1963</v>
      </c>
      <c r="I374" t="s">
        <v>1963</v>
      </c>
      <c r="J374">
        <v>505</v>
      </c>
      <c r="K374">
        <v>455</v>
      </c>
      <c r="L374">
        <v>385</v>
      </c>
      <c r="M374" t="s">
        <v>1963</v>
      </c>
      <c r="N374">
        <v>520</v>
      </c>
      <c r="O374">
        <v>465</v>
      </c>
      <c r="P374">
        <v>395</v>
      </c>
      <c r="Q374" t="s">
        <v>36</v>
      </c>
      <c r="R374">
        <v>24</v>
      </c>
      <c r="S374">
        <v>1</v>
      </c>
      <c r="T374" s="4" t="s">
        <v>1965</v>
      </c>
      <c r="U374" s="4" t="s">
        <v>1966</v>
      </c>
      <c r="V374">
        <v>0</v>
      </c>
      <c r="W374" s="6" t="str">
        <f t="shared" si="5"/>
        <v>(2438,null,1,'2026-03-24 00:00:00','003304020050000-330402005','003304020050000-330402005','睑部泪腺摘除术',null,null,505,455,385,null,520,465,395,'次',24,1,'normal','main',0),</v>
      </c>
    </row>
    <row r="375" spans="1:23">
      <c r="A375">
        <v>2439</v>
      </c>
      <c r="B375" t="s">
        <v>1963</v>
      </c>
      <c r="C375">
        <v>1</v>
      </c>
      <c r="D375" s="3" t="s">
        <v>1964</v>
      </c>
      <c r="E375" t="s">
        <v>1738</v>
      </c>
      <c r="F375" t="s">
        <v>1738</v>
      </c>
      <c r="G375" t="s">
        <v>1739</v>
      </c>
      <c r="H375" t="s">
        <v>1963</v>
      </c>
      <c r="I375" t="s">
        <v>1963</v>
      </c>
      <c r="J375">
        <v>505</v>
      </c>
      <c r="K375">
        <v>455</v>
      </c>
      <c r="L375">
        <v>385</v>
      </c>
      <c r="M375" t="s">
        <v>1963</v>
      </c>
      <c r="N375">
        <v>520</v>
      </c>
      <c r="O375">
        <v>465</v>
      </c>
      <c r="P375">
        <v>395</v>
      </c>
      <c r="Q375" t="s">
        <v>36</v>
      </c>
      <c r="R375">
        <v>24</v>
      </c>
      <c r="S375">
        <v>1</v>
      </c>
      <c r="T375" s="4" t="s">
        <v>1965</v>
      </c>
      <c r="U375" s="4" t="s">
        <v>1966</v>
      </c>
      <c r="V375">
        <v>0</v>
      </c>
      <c r="W375" s="6" t="str">
        <f t="shared" si="5"/>
        <v>(2439,null,1,'2026-03-24 00:00:00','003304020050100-33040200501','003304020050100-33040200501','睑部泪腺摘除术（泪腺部分切除）',null,null,505,455,385,null,520,465,395,'次',24,1,'normal','main',0),</v>
      </c>
    </row>
    <row r="376" spans="1:23">
      <c r="A376">
        <v>2440</v>
      </c>
      <c r="B376" t="s">
        <v>1963</v>
      </c>
      <c r="C376">
        <v>1</v>
      </c>
      <c r="D376" s="3" t="s">
        <v>1964</v>
      </c>
      <c r="E376" t="s">
        <v>1741</v>
      </c>
      <c r="F376" t="s">
        <v>1741</v>
      </c>
      <c r="G376" t="s">
        <v>1742</v>
      </c>
      <c r="H376" t="s">
        <v>1963</v>
      </c>
      <c r="I376" t="s">
        <v>1963</v>
      </c>
      <c r="J376">
        <v>505</v>
      </c>
      <c r="K376">
        <v>455</v>
      </c>
      <c r="L376">
        <v>385</v>
      </c>
      <c r="M376" t="s">
        <v>1963</v>
      </c>
      <c r="N376">
        <v>520</v>
      </c>
      <c r="O376">
        <v>465</v>
      </c>
      <c r="P376">
        <v>395</v>
      </c>
      <c r="Q376" t="s">
        <v>36</v>
      </c>
      <c r="R376">
        <v>24</v>
      </c>
      <c r="S376">
        <v>1</v>
      </c>
      <c r="T376" s="4" t="s">
        <v>1965</v>
      </c>
      <c r="U376" s="4" t="s">
        <v>1966</v>
      </c>
      <c r="V376">
        <v>0</v>
      </c>
      <c r="W376" s="6" t="str">
        <f t="shared" si="5"/>
        <v>(2440,null,1,'2026-03-24 00:00:00','003304020050200-33040200502','003304020050200-33040200502','睑部泪腺摘除术（泪腺肿瘤摘除）',null,null,505,455,385,null,520,465,395,'次',24,1,'normal','main',0),</v>
      </c>
    </row>
    <row r="377" spans="1:23">
      <c r="A377">
        <v>2441</v>
      </c>
      <c r="B377" t="s">
        <v>1963</v>
      </c>
      <c r="C377">
        <v>1</v>
      </c>
      <c r="D377" s="3" t="s">
        <v>1964</v>
      </c>
      <c r="E377" t="s">
        <v>1744</v>
      </c>
      <c r="F377" t="s">
        <v>1744</v>
      </c>
      <c r="G377" t="s">
        <v>1745</v>
      </c>
      <c r="H377" t="s">
        <v>1963</v>
      </c>
      <c r="I377" t="s">
        <v>1963</v>
      </c>
      <c r="J377">
        <v>655</v>
      </c>
      <c r="K377">
        <v>590</v>
      </c>
      <c r="L377">
        <v>500</v>
      </c>
      <c r="M377" t="s">
        <v>1963</v>
      </c>
      <c r="N377">
        <v>520</v>
      </c>
      <c r="O377">
        <v>465</v>
      </c>
      <c r="P377">
        <v>395</v>
      </c>
      <c r="Q377" t="s">
        <v>36</v>
      </c>
      <c r="R377">
        <v>24</v>
      </c>
      <c r="S377">
        <v>1</v>
      </c>
      <c r="T377" s="4" t="s">
        <v>1965</v>
      </c>
      <c r="U377" s="4" t="s">
        <v>1966</v>
      </c>
      <c r="V377">
        <v>0</v>
      </c>
      <c r="W377" s="6" t="str">
        <f t="shared" si="5"/>
        <v>(2441,null,1,'2026-03-24 00:00:00','003304020050000-33040200503','003304020050000-33040200503','小儿睑部泪腺摘除术',null,null,655,590,500,null,520,465,395,'次',24,1,'normal','main',0),</v>
      </c>
    </row>
    <row r="378" spans="1:23">
      <c r="A378">
        <v>2442</v>
      </c>
      <c r="B378" t="s">
        <v>1963</v>
      </c>
      <c r="C378">
        <v>1</v>
      </c>
      <c r="D378" s="3" t="s">
        <v>1964</v>
      </c>
      <c r="E378" t="s">
        <v>1750</v>
      </c>
      <c r="F378" t="s">
        <v>1750</v>
      </c>
      <c r="G378" t="s">
        <v>1751</v>
      </c>
      <c r="H378" t="s">
        <v>1963</v>
      </c>
      <c r="I378" t="s">
        <v>1963</v>
      </c>
      <c r="J378">
        <v>312.5</v>
      </c>
      <c r="K378">
        <v>300</v>
      </c>
      <c r="L378">
        <v>255</v>
      </c>
      <c r="M378" t="s">
        <v>1963</v>
      </c>
      <c r="N378">
        <v>315</v>
      </c>
      <c r="O378">
        <v>300</v>
      </c>
      <c r="P378">
        <v>255</v>
      </c>
      <c r="Q378" t="s">
        <v>36</v>
      </c>
      <c r="R378">
        <v>24</v>
      </c>
      <c r="S378">
        <v>1</v>
      </c>
      <c r="T378" s="4" t="s">
        <v>1965</v>
      </c>
      <c r="U378" s="4" t="s">
        <v>1966</v>
      </c>
      <c r="V378">
        <v>0</v>
      </c>
      <c r="W378" s="6" t="str">
        <f t="shared" si="5"/>
        <v>(2442,null,1,'2026-03-24 00:00:00','003304020020000-330402002','003304020020000-330402002','泪小点外翻矫正术',null,null,312.5,300,255,null,315,300,255,'次',24,1,'normal','main',0),</v>
      </c>
    </row>
    <row r="379" spans="1:23">
      <c r="A379">
        <v>2443</v>
      </c>
      <c r="B379" t="s">
        <v>1963</v>
      </c>
      <c r="C379">
        <v>1</v>
      </c>
      <c r="D379" s="3" t="s">
        <v>1964</v>
      </c>
      <c r="E379" t="s">
        <v>1755</v>
      </c>
      <c r="F379" t="s">
        <v>1755</v>
      </c>
      <c r="G379" t="s">
        <v>1756</v>
      </c>
      <c r="H379" t="s">
        <v>1963</v>
      </c>
      <c r="I379" t="s">
        <v>1963</v>
      </c>
      <c r="J379">
        <v>405</v>
      </c>
      <c r="K379">
        <v>390</v>
      </c>
      <c r="L379">
        <v>330</v>
      </c>
      <c r="M379" t="s">
        <v>1963</v>
      </c>
      <c r="N379">
        <v>410</v>
      </c>
      <c r="O379">
        <v>390</v>
      </c>
      <c r="P379">
        <v>332</v>
      </c>
      <c r="Q379" t="s">
        <v>36</v>
      </c>
      <c r="R379">
        <v>24</v>
      </c>
      <c r="S379">
        <v>1</v>
      </c>
      <c r="T379" s="4" t="s">
        <v>1965</v>
      </c>
      <c r="U379" s="4" t="s">
        <v>1966</v>
      </c>
      <c r="V379">
        <v>0</v>
      </c>
      <c r="W379" s="6" t="str">
        <f t="shared" si="5"/>
        <v>(2443,null,1,'2026-03-24 00:00:00','003304020020000-33040200201','003304020020000-33040200201','小儿泪小点外翻矫正术',null,null,405,390,330,null,410,390,332,'次',24,1,'normal','main',0),</v>
      </c>
    </row>
    <row r="380" spans="1:23">
      <c r="A380">
        <v>2444</v>
      </c>
      <c r="B380" t="s">
        <v>1963</v>
      </c>
      <c r="C380">
        <v>1</v>
      </c>
      <c r="D380" s="3" t="s">
        <v>1964</v>
      </c>
      <c r="E380" t="s">
        <v>1761</v>
      </c>
      <c r="F380" t="s">
        <v>1761</v>
      </c>
      <c r="G380" t="s">
        <v>1762</v>
      </c>
      <c r="H380" t="s">
        <v>1963</v>
      </c>
      <c r="I380" t="s">
        <v>1963</v>
      </c>
      <c r="J380">
        <v>750</v>
      </c>
      <c r="K380">
        <v>720</v>
      </c>
      <c r="L380">
        <v>612</v>
      </c>
      <c r="M380" t="s">
        <v>1963</v>
      </c>
      <c r="N380">
        <v>750</v>
      </c>
      <c r="O380">
        <v>720</v>
      </c>
      <c r="P380">
        <v>612</v>
      </c>
      <c r="Q380" t="s">
        <v>36</v>
      </c>
      <c r="R380">
        <v>24</v>
      </c>
      <c r="S380">
        <v>1</v>
      </c>
      <c r="T380" s="4" t="s">
        <v>1965</v>
      </c>
      <c r="U380" s="4" t="s">
        <v>1966</v>
      </c>
      <c r="V380">
        <v>0</v>
      </c>
      <c r="W380" s="6" t="str">
        <f t="shared" si="5"/>
        <v>(2444,null,1,'2026-03-24 00:00:00','003304090050000-330409005','003304090050000-330409005','眼球裂伤缝合术',null,null,750,720,612,null,750,720,612,'次',24,1,'normal','main',0),</v>
      </c>
    </row>
    <row r="381" spans="1:23">
      <c r="A381">
        <v>2445</v>
      </c>
      <c r="B381" t="s">
        <v>1963</v>
      </c>
      <c r="C381">
        <v>1</v>
      </c>
      <c r="D381" s="3" t="s">
        <v>1964</v>
      </c>
      <c r="E381" t="s">
        <v>1766</v>
      </c>
      <c r="F381" t="s">
        <v>1766</v>
      </c>
      <c r="G381" t="s">
        <v>1767</v>
      </c>
      <c r="H381" t="s">
        <v>1963</v>
      </c>
      <c r="I381" t="s">
        <v>1963</v>
      </c>
      <c r="J381">
        <v>975</v>
      </c>
      <c r="K381">
        <v>935</v>
      </c>
      <c r="L381">
        <v>795</v>
      </c>
      <c r="M381" t="s">
        <v>1963</v>
      </c>
      <c r="N381">
        <v>975</v>
      </c>
      <c r="O381">
        <v>935</v>
      </c>
      <c r="P381">
        <v>797</v>
      </c>
      <c r="Q381" t="s">
        <v>36</v>
      </c>
      <c r="R381">
        <v>24</v>
      </c>
      <c r="S381">
        <v>1</v>
      </c>
      <c r="T381" s="4" t="s">
        <v>1965</v>
      </c>
      <c r="U381" s="4" t="s">
        <v>1966</v>
      </c>
      <c r="V381">
        <v>0</v>
      </c>
      <c r="W381" s="6" t="str">
        <f t="shared" si="5"/>
        <v>(2445,null,1,'2026-03-24 00:00:00','003304090050000-33040900503','003304090050000-33040900503','小儿眼球裂伤缝合术',null,null,975,935,795,null,975,935,797,'次',24,1,'normal','main',0),</v>
      </c>
    </row>
    <row r="382" spans="1:23">
      <c r="A382">
        <v>2446</v>
      </c>
      <c r="B382" t="s">
        <v>1963</v>
      </c>
      <c r="C382">
        <v>1</v>
      </c>
      <c r="D382" s="3" t="s">
        <v>1964</v>
      </c>
      <c r="E382" t="s">
        <v>1771</v>
      </c>
      <c r="F382" t="s">
        <v>1771</v>
      </c>
      <c r="G382" t="s">
        <v>1772</v>
      </c>
      <c r="H382" t="s">
        <v>1963</v>
      </c>
      <c r="I382" t="s">
        <v>1963</v>
      </c>
      <c r="J382">
        <v>750</v>
      </c>
      <c r="K382">
        <v>720</v>
      </c>
      <c r="L382">
        <v>612</v>
      </c>
      <c r="M382" t="s">
        <v>1963</v>
      </c>
      <c r="N382">
        <v>225</v>
      </c>
      <c r="O382">
        <v>215</v>
      </c>
      <c r="P382">
        <v>185</v>
      </c>
      <c r="Q382" t="s">
        <v>36</v>
      </c>
      <c r="R382">
        <v>24</v>
      </c>
      <c r="S382">
        <v>1</v>
      </c>
      <c r="T382" s="4" t="s">
        <v>1965</v>
      </c>
      <c r="U382" s="4" t="s">
        <v>1966</v>
      </c>
      <c r="V382">
        <v>0</v>
      </c>
      <c r="W382" s="6" t="str">
        <f t="shared" si="5"/>
        <v>(2446,null,1,'2026-03-24 00:00:00','003304090050100-33040900501','003304090050100-33040900501','眼球裂伤缝合术（角膜、巩膜裂伤缝合）',null,null,750,720,612,null,225,215,185,'次',24,1,'normal','main',0),</v>
      </c>
    </row>
    <row r="383" spans="1:23">
      <c r="A383">
        <v>2447</v>
      </c>
      <c r="B383" t="s">
        <v>1963</v>
      </c>
      <c r="C383">
        <v>1</v>
      </c>
      <c r="D383" s="3" t="s">
        <v>1964</v>
      </c>
      <c r="E383" t="s">
        <v>1773</v>
      </c>
      <c r="F383" t="s">
        <v>1773</v>
      </c>
      <c r="G383" t="s">
        <v>1774</v>
      </c>
      <c r="H383" t="s">
        <v>1963</v>
      </c>
      <c r="I383" t="s">
        <v>1963</v>
      </c>
      <c r="J383">
        <v>750</v>
      </c>
      <c r="K383">
        <v>720</v>
      </c>
      <c r="L383">
        <v>612</v>
      </c>
      <c r="M383" t="s">
        <v>1963</v>
      </c>
      <c r="N383">
        <v>225</v>
      </c>
      <c r="O383">
        <v>215</v>
      </c>
      <c r="P383">
        <v>185</v>
      </c>
      <c r="Q383" t="s">
        <v>36</v>
      </c>
      <c r="R383">
        <v>24</v>
      </c>
      <c r="S383">
        <v>1</v>
      </c>
      <c r="T383" s="4" t="s">
        <v>1965</v>
      </c>
      <c r="U383" s="4" t="s">
        <v>1966</v>
      </c>
      <c r="V383">
        <v>0</v>
      </c>
      <c r="W383" s="6" t="str">
        <f t="shared" si="5"/>
        <v>(2447,null,1,'2026-03-24 00:00:00','003304090050300-33040900502','003304090050300-33040900502','眼球裂伤缝合术（巩膜探查术）',null,null,750,720,612,null,225,215,185,'次',24,1,'normal','main',0),</v>
      </c>
    </row>
    <row r="384" spans="1:23">
      <c r="A384">
        <v>2448</v>
      </c>
      <c r="B384" t="s">
        <v>1963</v>
      </c>
      <c r="C384">
        <v>1</v>
      </c>
      <c r="D384" s="3" t="s">
        <v>1964</v>
      </c>
      <c r="E384" t="s">
        <v>1780</v>
      </c>
      <c r="F384" t="s">
        <v>1780</v>
      </c>
      <c r="G384" t="s">
        <v>1781</v>
      </c>
      <c r="H384" t="s">
        <v>1963</v>
      </c>
      <c r="I384" t="s">
        <v>1963</v>
      </c>
      <c r="J384">
        <v>875</v>
      </c>
      <c r="K384">
        <v>840</v>
      </c>
      <c r="L384">
        <v>714</v>
      </c>
      <c r="M384" t="s">
        <v>1963</v>
      </c>
      <c r="N384">
        <v>1270</v>
      </c>
      <c r="O384">
        <v>1145</v>
      </c>
      <c r="P384">
        <v>975</v>
      </c>
      <c r="Q384" t="s">
        <v>1783</v>
      </c>
      <c r="R384">
        <v>24</v>
      </c>
      <c r="S384">
        <v>1</v>
      </c>
      <c r="T384" s="4" t="s">
        <v>1965</v>
      </c>
      <c r="U384" s="4" t="s">
        <v>1966</v>
      </c>
      <c r="V384">
        <v>0</v>
      </c>
      <c r="W384" s="6" t="str">
        <f t="shared" si="5"/>
        <v>(2448,null,1,'2026-03-24 00:00:00','003304080010000-330408001','003304080010000-330408001','共同性斜视矫正术',null,null,875,840,714,null,1270,1145,975,'次和一条肌肉',24,1,'normal','main',0),</v>
      </c>
    </row>
    <row r="385" spans="1:23">
      <c r="A385">
        <v>2449</v>
      </c>
      <c r="B385" t="s">
        <v>1963</v>
      </c>
      <c r="C385">
        <v>1</v>
      </c>
      <c r="D385" s="3" t="s">
        <v>1964</v>
      </c>
      <c r="E385" t="s">
        <v>1785</v>
      </c>
      <c r="F385" t="s">
        <v>1785</v>
      </c>
      <c r="G385" t="s">
        <v>1786</v>
      </c>
      <c r="H385" t="s">
        <v>1963</v>
      </c>
      <c r="I385" t="s">
        <v>1963</v>
      </c>
      <c r="J385">
        <v>1312.5</v>
      </c>
      <c r="K385">
        <v>1260</v>
      </c>
      <c r="L385">
        <v>1071</v>
      </c>
      <c r="M385" t="s">
        <v>1963</v>
      </c>
      <c r="N385">
        <v>1270</v>
      </c>
      <c r="O385">
        <v>1145</v>
      </c>
      <c r="P385">
        <v>975</v>
      </c>
      <c r="Q385" t="s">
        <v>1783</v>
      </c>
      <c r="R385">
        <v>24</v>
      </c>
      <c r="S385">
        <v>1</v>
      </c>
      <c r="T385" s="4" t="s">
        <v>1965</v>
      </c>
      <c r="U385" s="4" t="s">
        <v>1966</v>
      </c>
      <c r="V385">
        <v>0</v>
      </c>
      <c r="W385" s="6" t="str">
        <f t="shared" si="5"/>
        <v>(2449,null,1,'2026-03-24 00:00:00','003304080010001-33040800101','003304080010001-33040800101','共同性斜视矫正术（二次手术）',null,null,1312.5,1260,1071,null,1270,1145,975,'次和一条肌肉',24,1,'normal','main',0),</v>
      </c>
    </row>
    <row r="386" spans="1:23">
      <c r="A386">
        <v>2450</v>
      </c>
      <c r="B386" t="s">
        <v>1963</v>
      </c>
      <c r="C386">
        <v>1</v>
      </c>
      <c r="D386" s="3" t="s">
        <v>1964</v>
      </c>
      <c r="E386" t="s">
        <v>1788</v>
      </c>
      <c r="F386" t="s">
        <v>1788</v>
      </c>
      <c r="G386" t="s">
        <v>1789</v>
      </c>
      <c r="H386" t="s">
        <v>1963</v>
      </c>
      <c r="I386" t="s">
        <v>1963</v>
      </c>
      <c r="J386">
        <v>1531.3</v>
      </c>
      <c r="K386">
        <v>1470</v>
      </c>
      <c r="L386">
        <v>1249.5</v>
      </c>
      <c r="M386" t="s">
        <v>1963</v>
      </c>
      <c r="N386">
        <v>1270</v>
      </c>
      <c r="O386">
        <v>1145</v>
      </c>
      <c r="P386">
        <v>975</v>
      </c>
      <c r="Q386" t="s">
        <v>1783</v>
      </c>
      <c r="R386">
        <v>24</v>
      </c>
      <c r="S386">
        <v>1</v>
      </c>
      <c r="T386" s="4" t="s">
        <v>1965</v>
      </c>
      <c r="U386" s="4" t="s">
        <v>1966</v>
      </c>
      <c r="V386">
        <v>0</v>
      </c>
      <c r="W386" s="6" t="str">
        <f t="shared" si="5"/>
        <v>(2450,null,1,'2026-03-24 00:00:00','003304080010002-33040800102','003304080010002-33040800102','共同性斜视矫正术（多次手术）',null,null,1531.3,1470,1249.5,null,1270,1145,975,'次和一条肌肉',24,1,'normal','main',0),</v>
      </c>
    </row>
    <row r="387" spans="1:23">
      <c r="A387">
        <v>2451</v>
      </c>
      <c r="B387" t="s">
        <v>1963</v>
      </c>
      <c r="C387">
        <v>1</v>
      </c>
      <c r="D387" s="3" t="s">
        <v>1964</v>
      </c>
      <c r="E387" t="s">
        <v>1791</v>
      </c>
      <c r="F387" t="s">
        <v>1791</v>
      </c>
      <c r="G387" t="s">
        <v>1792</v>
      </c>
      <c r="H387" t="s">
        <v>1963</v>
      </c>
      <c r="I387" t="s">
        <v>1963</v>
      </c>
      <c r="J387">
        <v>1180</v>
      </c>
      <c r="K387">
        <v>1060</v>
      </c>
      <c r="L387">
        <v>900</v>
      </c>
      <c r="M387" t="s">
        <v>1963</v>
      </c>
      <c r="N387">
        <v>1270</v>
      </c>
      <c r="O387">
        <v>1145</v>
      </c>
      <c r="P387">
        <v>975</v>
      </c>
      <c r="Q387" t="s">
        <v>1783</v>
      </c>
      <c r="R387">
        <v>24</v>
      </c>
      <c r="S387">
        <v>1</v>
      </c>
      <c r="T387" s="4" t="s">
        <v>1965</v>
      </c>
      <c r="U387" s="4" t="s">
        <v>1966</v>
      </c>
      <c r="V387">
        <v>0</v>
      </c>
      <c r="W387" s="6" t="str">
        <f>"("&amp;A387&amp;","&amp;B387&amp;","&amp;C387&amp;",'"&amp;D387&amp;"','"&amp;E387&amp;"','"&amp;F387&amp;"','"&amp;G387&amp;"',"&amp;H387&amp;","&amp;I387&amp;","&amp;J387&amp;","&amp;K387&amp;","&amp;L387&amp;","&amp;M387&amp;","&amp;N387&amp;","&amp;O387&amp;","&amp;P387&amp;",'"&amp;Q387&amp;"',"&amp;R387&amp;","&amp;S387&amp;",'"&amp;T387&amp;"','"&amp;U387&amp;"',"&amp;V387&amp;"),"</f>
        <v>(2451,null,1,'2026-03-24 00:00:00','003304080020000-330408002','003304080020000-330408002','非共同性斜视矫正术',null,null,1180,1060,900,null,1270,1145,975,'次和一条肌肉',24,1,'normal','main',0),</v>
      </c>
    </row>
    <row r="388" spans="1:23">
      <c r="A388">
        <v>2452</v>
      </c>
      <c r="B388" t="s">
        <v>1963</v>
      </c>
      <c r="C388">
        <v>1</v>
      </c>
      <c r="D388" s="3" t="s">
        <v>1964</v>
      </c>
      <c r="E388" t="s">
        <v>1795</v>
      </c>
      <c r="F388" t="s">
        <v>1795</v>
      </c>
      <c r="G388" t="s">
        <v>1796</v>
      </c>
      <c r="H388" t="s">
        <v>1963</v>
      </c>
      <c r="I388" t="s">
        <v>1963</v>
      </c>
      <c r="J388">
        <v>1685</v>
      </c>
      <c r="K388">
        <v>1515</v>
      </c>
      <c r="L388">
        <v>1285</v>
      </c>
      <c r="M388" t="s">
        <v>1963</v>
      </c>
      <c r="N388">
        <v>1270</v>
      </c>
      <c r="O388">
        <v>1145</v>
      </c>
      <c r="P388">
        <v>975</v>
      </c>
      <c r="Q388" t="s">
        <v>1783</v>
      </c>
      <c r="R388">
        <v>24</v>
      </c>
      <c r="S388">
        <v>1</v>
      </c>
      <c r="T388" s="4" t="s">
        <v>1965</v>
      </c>
      <c r="U388" s="4" t="s">
        <v>1966</v>
      </c>
      <c r="V388">
        <v>0</v>
      </c>
      <c r="W388" s="6" t="str">
        <f>"("&amp;A388&amp;","&amp;B388&amp;","&amp;C388&amp;",'"&amp;D388&amp;"','"&amp;E388&amp;"','"&amp;F388&amp;"','"&amp;G388&amp;"',"&amp;H388&amp;","&amp;I388&amp;","&amp;J388&amp;","&amp;K388&amp;","&amp;L388&amp;","&amp;M388&amp;","&amp;N388&amp;","&amp;O388&amp;","&amp;P388&amp;",'"&amp;Q388&amp;"',"&amp;R388&amp;","&amp;S388&amp;",'"&amp;T388&amp;"','"&amp;U388&amp;"',"&amp;V388&amp;"),"</f>
        <v>(2452,null,1,'2026-03-24 00:00:00','003304080020001-33040800201','003304080020001-33040800201','非共同性斜视矫正术（二次手术）',null,null,1685,1515,1285,null,1270,1145,975,'次和一条肌肉',24,1,'normal','main',0),</v>
      </c>
    </row>
    <row r="389" spans="1:23">
      <c r="A389">
        <v>2453</v>
      </c>
      <c r="B389" t="s">
        <v>1963</v>
      </c>
      <c r="C389">
        <v>1</v>
      </c>
      <c r="D389" s="3" t="s">
        <v>1964</v>
      </c>
      <c r="E389" t="s">
        <v>1798</v>
      </c>
      <c r="F389" t="s">
        <v>1798</v>
      </c>
      <c r="G389" t="s">
        <v>1799</v>
      </c>
      <c r="H389" t="s">
        <v>1963</v>
      </c>
      <c r="I389" t="s">
        <v>1963</v>
      </c>
      <c r="J389">
        <v>1935</v>
      </c>
      <c r="K389">
        <v>1740</v>
      </c>
      <c r="L389">
        <v>1475</v>
      </c>
      <c r="M389" t="s">
        <v>1963</v>
      </c>
      <c r="N389">
        <v>1270</v>
      </c>
      <c r="O389">
        <v>1145</v>
      </c>
      <c r="P389">
        <v>975</v>
      </c>
      <c r="Q389" t="s">
        <v>1783</v>
      </c>
      <c r="R389">
        <v>24</v>
      </c>
      <c r="S389">
        <v>1</v>
      </c>
      <c r="T389" s="4" t="s">
        <v>1965</v>
      </c>
      <c r="U389" s="4" t="s">
        <v>1966</v>
      </c>
      <c r="V389">
        <v>0</v>
      </c>
      <c r="W389" s="6" t="str">
        <f>"("&amp;A389&amp;","&amp;B389&amp;","&amp;C389&amp;",'"&amp;D389&amp;"','"&amp;E389&amp;"','"&amp;F389&amp;"','"&amp;G389&amp;"',"&amp;H389&amp;","&amp;I389&amp;","&amp;J389&amp;","&amp;K389&amp;","&amp;L389&amp;","&amp;M389&amp;","&amp;N389&amp;","&amp;O389&amp;","&amp;P389&amp;",'"&amp;Q389&amp;"',"&amp;R389&amp;","&amp;S389&amp;",'"&amp;T389&amp;"','"&amp;U389&amp;"',"&amp;V389&amp;"),"</f>
        <v>(2453,null,1,'2026-03-24 00:00:00','003304080020002-33040800202','003304080020002-33040800202','非共同性斜视矫正术（多次手术）',null,null,1935,1740,1475,null,1270,1145,975,'次和一条肌肉',24,1,'normal','main',0),</v>
      </c>
    </row>
    <row r="390" spans="1:23">
      <c r="A390">
        <v>2454</v>
      </c>
      <c r="B390" t="s">
        <v>1963</v>
      </c>
      <c r="C390">
        <v>1</v>
      </c>
      <c r="D390" s="3" t="s">
        <v>1964</v>
      </c>
      <c r="E390" t="s">
        <v>1801</v>
      </c>
      <c r="F390" t="s">
        <v>1801</v>
      </c>
      <c r="G390" t="s">
        <v>1802</v>
      </c>
      <c r="H390" t="s">
        <v>1963</v>
      </c>
      <c r="I390" t="s">
        <v>1963</v>
      </c>
      <c r="J390">
        <v>1650</v>
      </c>
      <c r="K390">
        <v>1490</v>
      </c>
      <c r="L390">
        <v>1270</v>
      </c>
      <c r="M390" t="s">
        <v>1963</v>
      </c>
      <c r="N390">
        <v>1270</v>
      </c>
      <c r="O390">
        <v>1145</v>
      </c>
      <c r="P390">
        <v>975</v>
      </c>
      <c r="Q390" t="s">
        <v>36</v>
      </c>
      <c r="R390">
        <v>24</v>
      </c>
      <c r="S390">
        <v>1</v>
      </c>
      <c r="T390" s="4" t="s">
        <v>1965</v>
      </c>
      <c r="U390" s="4" t="s">
        <v>1966</v>
      </c>
      <c r="V390">
        <v>0</v>
      </c>
      <c r="W390" s="6" t="str">
        <f>"("&amp;A390&amp;","&amp;B390&amp;","&amp;C390&amp;",'"&amp;D390&amp;"','"&amp;E390&amp;"','"&amp;F390&amp;"','"&amp;G390&amp;"',"&amp;H390&amp;","&amp;I390&amp;","&amp;J390&amp;","&amp;K390&amp;","&amp;L390&amp;","&amp;M390&amp;","&amp;N390&amp;","&amp;O390&amp;","&amp;P390&amp;",'"&amp;Q390&amp;"',"&amp;R390&amp;","&amp;S390&amp;",'"&amp;T390&amp;"','"&amp;U390&amp;"',"&amp;V390&amp;"),"</f>
        <v>(2454,null,1,'2026-03-24 00:00:00','003304080030000-330408003','003304080030000-330408003','非常规眼外肌手术',null,null,1650,1490,1270,null,1270,1145,975,'次',24,1,'normal','main',0),</v>
      </c>
    </row>
    <row r="391" spans="1:23">
      <c r="A391">
        <v>2455</v>
      </c>
      <c r="B391" t="s">
        <v>1963</v>
      </c>
      <c r="C391">
        <v>1</v>
      </c>
      <c r="D391" s="3" t="s">
        <v>1964</v>
      </c>
      <c r="E391" t="s">
        <v>1805</v>
      </c>
      <c r="F391" t="s">
        <v>1805</v>
      </c>
      <c r="G391" t="s">
        <v>1806</v>
      </c>
      <c r="H391" t="s">
        <v>1963</v>
      </c>
      <c r="I391" t="s">
        <v>1963</v>
      </c>
      <c r="J391">
        <v>825</v>
      </c>
      <c r="K391">
        <v>745</v>
      </c>
      <c r="L391">
        <v>635</v>
      </c>
      <c r="M391" t="s">
        <v>1963</v>
      </c>
      <c r="N391">
        <v>1270</v>
      </c>
      <c r="O391">
        <v>1145</v>
      </c>
      <c r="P391">
        <v>975</v>
      </c>
      <c r="Q391" t="s">
        <v>36</v>
      </c>
      <c r="R391">
        <v>24</v>
      </c>
      <c r="S391">
        <v>1</v>
      </c>
      <c r="T391" s="4" t="s">
        <v>1965</v>
      </c>
      <c r="U391" s="4" t="s">
        <v>1966</v>
      </c>
      <c r="V391">
        <v>0</v>
      </c>
      <c r="W391" s="6" t="str">
        <f>"("&amp;A391&amp;","&amp;B391&amp;","&amp;C391&amp;",'"&amp;D391&amp;"','"&amp;E391&amp;"','"&amp;F391&amp;"','"&amp;G391&amp;"',"&amp;H391&amp;","&amp;I391&amp;","&amp;J391&amp;","&amp;K391&amp;","&amp;L391&amp;","&amp;M391&amp;","&amp;N391&amp;","&amp;O391&amp;","&amp;P391&amp;",'"&amp;Q391&amp;"',"&amp;R391&amp;","&amp;S391&amp;",'"&amp;T391&amp;"','"&amp;U391&amp;"',"&amp;V391&amp;"),"</f>
        <v>(2455,null,1,'2026-03-24 00:00:00','003304080030001-33040800301','003304080030001-33040800301','非常规眼外肌手术（每增加一个手术加收）',null,null,825,745,635,null,1270,1145,975,'次',24,1,'normal','main',0),</v>
      </c>
    </row>
    <row r="392" spans="1:23">
      <c r="A392">
        <v>2456</v>
      </c>
      <c r="B392" t="s">
        <v>1963</v>
      </c>
      <c r="C392">
        <v>1</v>
      </c>
      <c r="D392" s="3" t="s">
        <v>1964</v>
      </c>
      <c r="E392" t="s">
        <v>1808</v>
      </c>
      <c r="F392" t="s">
        <v>1808</v>
      </c>
      <c r="G392" t="s">
        <v>1809</v>
      </c>
      <c r="H392" t="s">
        <v>1963</v>
      </c>
      <c r="I392" t="s">
        <v>1963</v>
      </c>
      <c r="J392">
        <v>1350</v>
      </c>
      <c r="K392">
        <v>1220</v>
      </c>
      <c r="L392">
        <v>1040</v>
      </c>
      <c r="M392" t="s">
        <v>1963</v>
      </c>
      <c r="N392">
        <v>1270</v>
      </c>
      <c r="O392">
        <v>1145</v>
      </c>
      <c r="P392">
        <v>975</v>
      </c>
      <c r="Q392" t="s">
        <v>36</v>
      </c>
      <c r="R392">
        <v>24</v>
      </c>
      <c r="S392">
        <v>1</v>
      </c>
      <c r="T392" s="4" t="s">
        <v>1965</v>
      </c>
      <c r="U392" s="4" t="s">
        <v>1966</v>
      </c>
      <c r="V392">
        <v>0</v>
      </c>
      <c r="W392" s="6" t="str">
        <f>"("&amp;A392&amp;","&amp;B392&amp;","&amp;C392&amp;",'"&amp;D392&amp;"','"&amp;E392&amp;"','"&amp;F392&amp;"','"&amp;G392&amp;"',"&amp;H392&amp;","&amp;I392&amp;","&amp;J392&amp;","&amp;K392&amp;","&amp;L392&amp;","&amp;M392&amp;","&amp;N392&amp;","&amp;O392&amp;","&amp;P392&amp;",'"&amp;Q392&amp;"',"&amp;R392&amp;","&amp;S392&amp;",'"&amp;T392&amp;"','"&amp;U392&amp;"',"&amp;V392&amp;"),"</f>
        <v>(2456,null,1,'2026-03-24 00:00:00','003304080040000-330408004','003304080040000-330408004','眼震矫正术',null,null,1350,1220,1040,null,1270,1145,975,'次',24,1,'normal','main',0),</v>
      </c>
    </row>
    <row r="393" spans="1:23">
      <c r="A393">
        <v>2457</v>
      </c>
      <c r="B393" t="s">
        <v>1963</v>
      </c>
      <c r="C393">
        <v>1</v>
      </c>
      <c r="D393" s="3" t="s">
        <v>1964</v>
      </c>
      <c r="E393" t="s">
        <v>1812</v>
      </c>
      <c r="F393" t="s">
        <v>1812</v>
      </c>
      <c r="G393" t="s">
        <v>1813</v>
      </c>
      <c r="H393" t="s">
        <v>1963</v>
      </c>
      <c r="I393" t="s">
        <v>1963</v>
      </c>
      <c r="J393">
        <v>1140</v>
      </c>
      <c r="K393">
        <v>1090</v>
      </c>
      <c r="L393">
        <v>925</v>
      </c>
      <c r="M393" t="s">
        <v>1963</v>
      </c>
      <c r="N393">
        <v>1650</v>
      </c>
      <c r="O393">
        <v>1490</v>
      </c>
      <c r="P393">
        <v>1270</v>
      </c>
      <c r="Q393" t="s">
        <v>1783</v>
      </c>
      <c r="R393">
        <v>24</v>
      </c>
      <c r="S393">
        <v>1</v>
      </c>
      <c r="T393" s="4" t="s">
        <v>1965</v>
      </c>
      <c r="U393" s="4" t="s">
        <v>1966</v>
      </c>
      <c r="V393">
        <v>0</v>
      </c>
      <c r="W393" s="6" t="str">
        <f>"("&amp;A393&amp;","&amp;B393&amp;","&amp;C393&amp;",'"&amp;D393&amp;"','"&amp;E393&amp;"','"&amp;F393&amp;"','"&amp;G393&amp;"',"&amp;H393&amp;","&amp;I393&amp;","&amp;J393&amp;","&amp;K393&amp;","&amp;L393&amp;","&amp;M393&amp;","&amp;N393&amp;","&amp;O393&amp;","&amp;P393&amp;",'"&amp;Q393&amp;"',"&amp;R393&amp;","&amp;S393&amp;",'"&amp;T393&amp;"','"&amp;U393&amp;"',"&amp;V393&amp;"),"</f>
        <v>(2457,null,1,'2026-03-24 00:00:00','003304080010000-33040800103','003304080010000-33040800103','小儿共同性斜视矫正术',null,null,1140,1090,925,null,1650,1490,1270,'次和一条肌肉',24,1,'normal','main',0),</v>
      </c>
    </row>
    <row r="394" spans="1:23">
      <c r="A394">
        <v>2458</v>
      </c>
      <c r="B394" t="s">
        <v>1963</v>
      </c>
      <c r="C394">
        <v>1</v>
      </c>
      <c r="D394" s="3" t="s">
        <v>1964</v>
      </c>
      <c r="E394" t="s">
        <v>1814</v>
      </c>
      <c r="F394" t="s">
        <v>1814</v>
      </c>
      <c r="G394" t="s">
        <v>1815</v>
      </c>
      <c r="H394" t="s">
        <v>1963</v>
      </c>
      <c r="I394" t="s">
        <v>1963</v>
      </c>
      <c r="J394">
        <v>1705</v>
      </c>
      <c r="K394">
        <v>1640</v>
      </c>
      <c r="L394">
        <v>1395</v>
      </c>
      <c r="M394" t="s">
        <v>1963</v>
      </c>
      <c r="N394">
        <v>1650</v>
      </c>
      <c r="O394">
        <v>1490</v>
      </c>
      <c r="P394">
        <v>1270</v>
      </c>
      <c r="Q394" t="s">
        <v>1783</v>
      </c>
      <c r="R394">
        <v>24</v>
      </c>
      <c r="S394">
        <v>1</v>
      </c>
      <c r="T394" s="4" t="s">
        <v>1965</v>
      </c>
      <c r="U394" s="4" t="s">
        <v>1966</v>
      </c>
      <c r="V394">
        <v>0</v>
      </c>
      <c r="W394" s="6" t="str">
        <f>"("&amp;A394&amp;","&amp;B394&amp;","&amp;C394&amp;",'"&amp;D394&amp;"','"&amp;E394&amp;"','"&amp;F394&amp;"','"&amp;G394&amp;"',"&amp;H394&amp;","&amp;I394&amp;","&amp;J394&amp;","&amp;K394&amp;","&amp;L394&amp;","&amp;M394&amp;","&amp;N394&amp;","&amp;O394&amp;","&amp;P394&amp;",'"&amp;Q394&amp;"',"&amp;R394&amp;","&amp;S394&amp;",'"&amp;T394&amp;"','"&amp;U394&amp;"',"&amp;V394&amp;"),"</f>
        <v>(2458,null,1,'2026-03-24 00:00:00','003304080010001-33040800104','003304080010001-33040800104','小儿共同性斜视矫正术（二次手术）',null,null,1705,1640,1395,null,1650,1490,1270,'次和一条肌肉',24,1,'normal','main',0),</v>
      </c>
    </row>
    <row r="395" spans="1:23">
      <c r="A395">
        <v>2459</v>
      </c>
      <c r="B395" t="s">
        <v>1963</v>
      </c>
      <c r="C395">
        <v>1</v>
      </c>
      <c r="D395" s="3" t="s">
        <v>1964</v>
      </c>
      <c r="E395" t="s">
        <v>1816</v>
      </c>
      <c r="F395" t="s">
        <v>1816</v>
      </c>
      <c r="G395" t="s">
        <v>1817</v>
      </c>
      <c r="H395" t="s">
        <v>1963</v>
      </c>
      <c r="I395" t="s">
        <v>1963</v>
      </c>
      <c r="J395">
        <v>1990</v>
      </c>
      <c r="K395">
        <v>1910</v>
      </c>
      <c r="L395">
        <v>1625</v>
      </c>
      <c r="M395" t="s">
        <v>1963</v>
      </c>
      <c r="N395">
        <v>1650</v>
      </c>
      <c r="O395">
        <v>1490</v>
      </c>
      <c r="P395">
        <v>1270</v>
      </c>
      <c r="Q395" t="s">
        <v>1783</v>
      </c>
      <c r="R395">
        <v>24</v>
      </c>
      <c r="S395">
        <v>1</v>
      </c>
      <c r="T395" s="4" t="s">
        <v>1965</v>
      </c>
      <c r="U395" s="4" t="s">
        <v>1966</v>
      </c>
      <c r="V395">
        <v>0</v>
      </c>
      <c r="W395" s="6" t="str">
        <f>"("&amp;A395&amp;","&amp;B395&amp;","&amp;C395&amp;",'"&amp;D395&amp;"','"&amp;E395&amp;"','"&amp;F395&amp;"','"&amp;G395&amp;"',"&amp;H395&amp;","&amp;I395&amp;","&amp;J395&amp;","&amp;K395&amp;","&amp;L395&amp;","&amp;M395&amp;","&amp;N395&amp;","&amp;O395&amp;","&amp;P395&amp;",'"&amp;Q395&amp;"',"&amp;R395&amp;","&amp;S395&amp;",'"&amp;T395&amp;"','"&amp;U395&amp;"',"&amp;V395&amp;"),"</f>
        <v>(2459,null,1,'2026-03-24 00:00:00','003304080010002-33040800105','003304080010002-33040800105','小儿共同性斜视矫正术（多次手术）',null,null,1990,1910,1625,null,1650,1490,1270,'次和一条肌肉',24,1,'normal','main',0),</v>
      </c>
    </row>
    <row r="396" spans="1:23">
      <c r="A396">
        <v>2460</v>
      </c>
      <c r="B396" t="s">
        <v>1963</v>
      </c>
      <c r="C396">
        <v>1</v>
      </c>
      <c r="D396" s="3" t="s">
        <v>1964</v>
      </c>
      <c r="E396" t="s">
        <v>1818</v>
      </c>
      <c r="F396" t="s">
        <v>1818</v>
      </c>
      <c r="G396" t="s">
        <v>1819</v>
      </c>
      <c r="H396" t="s">
        <v>1963</v>
      </c>
      <c r="I396" t="s">
        <v>1963</v>
      </c>
      <c r="J396">
        <v>1535</v>
      </c>
      <c r="K396">
        <v>1380</v>
      </c>
      <c r="L396">
        <v>1175</v>
      </c>
      <c r="M396" t="s">
        <v>1963</v>
      </c>
      <c r="N396">
        <v>1650</v>
      </c>
      <c r="O396">
        <v>1490</v>
      </c>
      <c r="P396">
        <v>1270</v>
      </c>
      <c r="Q396" t="s">
        <v>1783</v>
      </c>
      <c r="R396">
        <v>24</v>
      </c>
      <c r="S396">
        <v>1</v>
      </c>
      <c r="T396" s="4" t="s">
        <v>1965</v>
      </c>
      <c r="U396" s="4" t="s">
        <v>1966</v>
      </c>
      <c r="V396">
        <v>0</v>
      </c>
      <c r="W396" s="6" t="str">
        <f>"("&amp;A396&amp;","&amp;B396&amp;","&amp;C396&amp;",'"&amp;D396&amp;"','"&amp;E396&amp;"','"&amp;F396&amp;"','"&amp;G396&amp;"',"&amp;H396&amp;","&amp;I396&amp;","&amp;J396&amp;","&amp;K396&amp;","&amp;L396&amp;","&amp;M396&amp;","&amp;N396&amp;","&amp;O396&amp;","&amp;P396&amp;",'"&amp;Q396&amp;"',"&amp;R396&amp;","&amp;S396&amp;",'"&amp;T396&amp;"','"&amp;U396&amp;"',"&amp;V396&amp;"),"</f>
        <v>(2460,null,1,'2026-03-24 00:00:00','003304080020000-33040800203','003304080020000-33040800203','小儿非共同性斜视矫正术',null,null,1535,1380,1175,null,1650,1490,1270,'次和一条肌肉',24,1,'normal','main',0),</v>
      </c>
    </row>
    <row r="397" spans="1:23">
      <c r="A397">
        <v>2461</v>
      </c>
      <c r="B397" t="s">
        <v>1963</v>
      </c>
      <c r="C397">
        <v>1</v>
      </c>
      <c r="D397" s="3" t="s">
        <v>1964</v>
      </c>
      <c r="E397" t="s">
        <v>1820</v>
      </c>
      <c r="F397" t="s">
        <v>1820</v>
      </c>
      <c r="G397" t="s">
        <v>1821</v>
      </c>
      <c r="H397" t="s">
        <v>1963</v>
      </c>
      <c r="I397" t="s">
        <v>1963</v>
      </c>
      <c r="J397">
        <v>2190</v>
      </c>
      <c r="K397">
        <v>1970</v>
      </c>
      <c r="L397">
        <v>1675</v>
      </c>
      <c r="M397" t="s">
        <v>1963</v>
      </c>
      <c r="N397">
        <v>1650</v>
      </c>
      <c r="O397">
        <v>1490</v>
      </c>
      <c r="P397">
        <v>1270</v>
      </c>
      <c r="Q397" t="s">
        <v>1783</v>
      </c>
      <c r="R397">
        <v>24</v>
      </c>
      <c r="S397">
        <v>1</v>
      </c>
      <c r="T397" s="4" t="s">
        <v>1965</v>
      </c>
      <c r="U397" s="4" t="s">
        <v>1966</v>
      </c>
      <c r="V397">
        <v>0</v>
      </c>
      <c r="W397" s="6" t="str">
        <f>"("&amp;A397&amp;","&amp;B397&amp;","&amp;C397&amp;",'"&amp;D397&amp;"','"&amp;E397&amp;"','"&amp;F397&amp;"','"&amp;G397&amp;"',"&amp;H397&amp;","&amp;I397&amp;","&amp;J397&amp;","&amp;K397&amp;","&amp;L397&amp;","&amp;M397&amp;","&amp;N397&amp;","&amp;O397&amp;","&amp;P397&amp;",'"&amp;Q397&amp;"',"&amp;R397&amp;","&amp;S397&amp;",'"&amp;T397&amp;"','"&amp;U397&amp;"',"&amp;V397&amp;"),"</f>
        <v>(2461,null,1,'2026-03-24 00:00:00','003304080020001-33040800204','003304080020001-33040800204','小儿非共同性斜视矫正术（二次手术）',null,null,2190,1970,1675,null,1650,1490,1270,'次和一条肌肉',24,1,'normal','main',0),</v>
      </c>
    </row>
    <row r="398" spans="1:23">
      <c r="A398">
        <v>2462</v>
      </c>
      <c r="B398" t="s">
        <v>1963</v>
      </c>
      <c r="C398">
        <v>1</v>
      </c>
      <c r="D398" s="3" t="s">
        <v>1964</v>
      </c>
      <c r="E398" t="s">
        <v>1822</v>
      </c>
      <c r="F398" t="s">
        <v>1822</v>
      </c>
      <c r="G398" t="s">
        <v>1823</v>
      </c>
      <c r="H398" t="s">
        <v>1963</v>
      </c>
      <c r="I398" t="s">
        <v>1963</v>
      </c>
      <c r="J398">
        <v>2515</v>
      </c>
      <c r="K398">
        <v>2260</v>
      </c>
      <c r="L398">
        <v>1920</v>
      </c>
      <c r="M398" t="s">
        <v>1963</v>
      </c>
      <c r="N398">
        <v>1650</v>
      </c>
      <c r="O398">
        <v>1490</v>
      </c>
      <c r="P398">
        <v>1270</v>
      </c>
      <c r="Q398" t="s">
        <v>1783</v>
      </c>
      <c r="R398">
        <v>24</v>
      </c>
      <c r="S398">
        <v>1</v>
      </c>
      <c r="T398" s="4" t="s">
        <v>1965</v>
      </c>
      <c r="U398" s="4" t="s">
        <v>1966</v>
      </c>
      <c r="V398">
        <v>0</v>
      </c>
      <c r="W398" s="6" t="str">
        <f>"("&amp;A398&amp;","&amp;B398&amp;","&amp;C398&amp;",'"&amp;D398&amp;"','"&amp;E398&amp;"','"&amp;F398&amp;"','"&amp;G398&amp;"',"&amp;H398&amp;","&amp;I398&amp;","&amp;J398&amp;","&amp;K398&amp;","&amp;L398&amp;","&amp;M398&amp;","&amp;N398&amp;","&amp;O398&amp;","&amp;P398&amp;",'"&amp;Q398&amp;"',"&amp;R398&amp;","&amp;S398&amp;",'"&amp;T398&amp;"','"&amp;U398&amp;"',"&amp;V398&amp;"),"</f>
        <v>(2462,null,1,'2026-03-24 00:00:00','003304080020002-33040800205','003304080020002-33040800205','小儿非共同性斜视矫正术（多次手术）',null,null,2515,2260,1920,null,1650,1490,1270,'次和一条肌肉',24,1,'normal','main',0),</v>
      </c>
    </row>
    <row r="399" spans="1:23">
      <c r="A399">
        <v>2463</v>
      </c>
      <c r="B399" t="s">
        <v>1963</v>
      </c>
      <c r="C399">
        <v>1</v>
      </c>
      <c r="D399" s="3" t="s">
        <v>1964</v>
      </c>
      <c r="E399" t="s">
        <v>1824</v>
      </c>
      <c r="F399" t="s">
        <v>1824</v>
      </c>
      <c r="G399" t="s">
        <v>1825</v>
      </c>
      <c r="H399" t="s">
        <v>1963</v>
      </c>
      <c r="I399" t="s">
        <v>1963</v>
      </c>
      <c r="J399">
        <v>2145</v>
      </c>
      <c r="K399">
        <v>1935</v>
      </c>
      <c r="L399">
        <v>1645</v>
      </c>
      <c r="M399" t="s">
        <v>1963</v>
      </c>
      <c r="N399">
        <v>1650</v>
      </c>
      <c r="O399">
        <v>1490</v>
      </c>
      <c r="P399">
        <v>1270</v>
      </c>
      <c r="Q399" t="s">
        <v>36</v>
      </c>
      <c r="R399">
        <v>24</v>
      </c>
      <c r="S399">
        <v>1</v>
      </c>
      <c r="T399" s="4" t="s">
        <v>1965</v>
      </c>
      <c r="U399" s="4" t="s">
        <v>1966</v>
      </c>
      <c r="V399">
        <v>0</v>
      </c>
      <c r="W399" s="6" t="str">
        <f>"("&amp;A399&amp;","&amp;B399&amp;","&amp;C399&amp;",'"&amp;D399&amp;"','"&amp;E399&amp;"','"&amp;F399&amp;"','"&amp;G399&amp;"',"&amp;H399&amp;","&amp;I399&amp;","&amp;J399&amp;","&amp;K399&amp;","&amp;L399&amp;","&amp;M399&amp;","&amp;N399&amp;","&amp;O399&amp;","&amp;P399&amp;",'"&amp;Q399&amp;"',"&amp;R399&amp;","&amp;S399&amp;",'"&amp;T399&amp;"','"&amp;U399&amp;"',"&amp;V399&amp;"),"</f>
        <v>(2463,null,1,'2026-03-24 00:00:00','003304080030000-33040800302','003304080030000-33040800302','小儿非常规眼外肌手术',null,null,2145,1935,1645,null,1650,1490,1270,'次',24,1,'normal','main',0),</v>
      </c>
    </row>
    <row r="400" spans="1:23">
      <c r="A400">
        <v>2464</v>
      </c>
      <c r="B400" t="s">
        <v>1963</v>
      </c>
      <c r="C400">
        <v>1</v>
      </c>
      <c r="D400" s="3" t="s">
        <v>1964</v>
      </c>
      <c r="E400" t="s">
        <v>1826</v>
      </c>
      <c r="F400" t="s">
        <v>1826</v>
      </c>
      <c r="G400" t="s">
        <v>1827</v>
      </c>
      <c r="H400" t="s">
        <v>1963</v>
      </c>
      <c r="I400" t="s">
        <v>1963</v>
      </c>
      <c r="J400">
        <v>1075</v>
      </c>
      <c r="K400">
        <v>970</v>
      </c>
      <c r="L400">
        <v>825</v>
      </c>
      <c r="M400" t="s">
        <v>1963</v>
      </c>
      <c r="N400">
        <v>1650</v>
      </c>
      <c r="O400">
        <v>1490</v>
      </c>
      <c r="P400">
        <v>1270</v>
      </c>
      <c r="Q400" t="s">
        <v>36</v>
      </c>
      <c r="R400">
        <v>24</v>
      </c>
      <c r="S400">
        <v>1</v>
      </c>
      <c r="T400" s="4" t="s">
        <v>1965</v>
      </c>
      <c r="U400" s="4" t="s">
        <v>1966</v>
      </c>
      <c r="V400">
        <v>0</v>
      </c>
      <c r="W400" s="6" t="str">
        <f>"("&amp;A400&amp;","&amp;B400&amp;","&amp;C400&amp;",'"&amp;D400&amp;"','"&amp;E400&amp;"','"&amp;F400&amp;"','"&amp;G400&amp;"',"&amp;H400&amp;","&amp;I400&amp;","&amp;J400&amp;","&amp;K400&amp;","&amp;L400&amp;","&amp;M400&amp;","&amp;N400&amp;","&amp;O400&amp;","&amp;P400&amp;",'"&amp;Q400&amp;"',"&amp;R400&amp;","&amp;S400&amp;",'"&amp;T400&amp;"','"&amp;U400&amp;"',"&amp;V400&amp;"),"</f>
        <v>(2464,null,1,'2026-03-24 00:00:00','003304080030001-33040800303','003304080030001-33040800303','小儿非常规眼外肌手术（每增加一个手术加收）',null,null,1075,970,825,null,1650,1490,1270,'次',24,1,'normal','main',0),</v>
      </c>
    </row>
    <row r="401" spans="1:23">
      <c r="A401">
        <v>2465</v>
      </c>
      <c r="B401" t="s">
        <v>1963</v>
      </c>
      <c r="C401">
        <v>1</v>
      </c>
      <c r="D401" s="3" t="s">
        <v>1964</v>
      </c>
      <c r="E401" t="s">
        <v>1828</v>
      </c>
      <c r="F401" t="s">
        <v>1828</v>
      </c>
      <c r="G401" t="s">
        <v>1829</v>
      </c>
      <c r="H401" t="s">
        <v>1963</v>
      </c>
      <c r="I401" t="s">
        <v>1963</v>
      </c>
      <c r="J401">
        <v>1755</v>
      </c>
      <c r="K401">
        <v>1585</v>
      </c>
      <c r="L401">
        <v>1345</v>
      </c>
      <c r="M401" t="s">
        <v>1963</v>
      </c>
      <c r="N401">
        <v>1650</v>
      </c>
      <c r="O401">
        <v>1490</v>
      </c>
      <c r="P401">
        <v>1270</v>
      </c>
      <c r="Q401" t="s">
        <v>36</v>
      </c>
      <c r="R401">
        <v>24</v>
      </c>
      <c r="S401">
        <v>1</v>
      </c>
      <c r="T401" s="4" t="s">
        <v>1965</v>
      </c>
      <c r="U401" s="4" t="s">
        <v>1966</v>
      </c>
      <c r="V401">
        <v>0</v>
      </c>
      <c r="W401" s="6" t="str">
        <f>"("&amp;A401&amp;","&amp;B401&amp;","&amp;C401&amp;",'"&amp;D401&amp;"','"&amp;E401&amp;"','"&amp;F401&amp;"','"&amp;G401&amp;"',"&amp;H401&amp;","&amp;I401&amp;","&amp;J401&amp;","&amp;K401&amp;","&amp;L401&amp;","&amp;M401&amp;","&amp;N401&amp;","&amp;O401&amp;","&amp;P401&amp;",'"&amp;Q401&amp;"',"&amp;R401&amp;","&amp;S401&amp;",'"&amp;T401&amp;"','"&amp;U401&amp;"',"&amp;V401&amp;"),"</f>
        <v>(2465,null,1,'2026-03-24 00:00:00','003304080040000-33040800401','003304080040000-33040800401','小儿眼震矫正术',null,null,1755,1585,1345,null,1650,1490,1270,'次',24,1,'normal','main',0),</v>
      </c>
    </row>
    <row r="402" spans="1:23">
      <c r="A402">
        <v>2466</v>
      </c>
      <c r="B402" t="s">
        <v>1963</v>
      </c>
      <c r="C402">
        <v>1</v>
      </c>
      <c r="D402" s="3" t="s">
        <v>1964</v>
      </c>
      <c r="E402" t="s">
        <v>1841</v>
      </c>
      <c r="F402" t="s">
        <v>1841</v>
      </c>
      <c r="G402" t="s">
        <v>1842</v>
      </c>
      <c r="H402" t="s">
        <v>1963</v>
      </c>
      <c r="I402" t="s">
        <v>1963</v>
      </c>
      <c r="J402">
        <v>36.8</v>
      </c>
      <c r="K402">
        <v>35</v>
      </c>
      <c r="L402">
        <v>29.8</v>
      </c>
      <c r="M402" t="s">
        <v>1963</v>
      </c>
      <c r="N402">
        <v>92</v>
      </c>
      <c r="O402">
        <v>88</v>
      </c>
      <c r="P402">
        <v>75</v>
      </c>
      <c r="Q402" t="s">
        <v>36</v>
      </c>
      <c r="R402">
        <v>24</v>
      </c>
      <c r="S402">
        <v>1</v>
      </c>
      <c r="T402" s="4" t="s">
        <v>1965</v>
      </c>
      <c r="U402" s="4" t="s">
        <v>1966</v>
      </c>
      <c r="V402">
        <v>0</v>
      </c>
      <c r="W402" s="6" t="str">
        <f>"("&amp;A402&amp;","&amp;B402&amp;","&amp;C402&amp;",'"&amp;D402&amp;"','"&amp;E402&amp;"','"&amp;F402&amp;"','"&amp;G402&amp;"',"&amp;H402&amp;","&amp;I402&amp;","&amp;J402&amp;","&amp;K402&amp;","&amp;L402&amp;","&amp;M402&amp;","&amp;N402&amp;","&amp;O402&amp;","&amp;P402&amp;",'"&amp;Q402&amp;"',"&amp;R402&amp;","&amp;S402&amp;",'"&amp;T402&amp;"','"&amp;U402&amp;"',"&amp;V402&amp;"),"</f>
        <v>(2466,null,1,'2026-03-24 00:00:00','003103000930000-310300093','003103000930000-310300093','眼部脓肿切开引流术',null,null,36.8,35,29.8,null,92,88,75,'次',24,1,'normal','main',0),</v>
      </c>
    </row>
    <row r="403" spans="1:23">
      <c r="A403">
        <v>2467</v>
      </c>
      <c r="B403" t="s">
        <v>1963</v>
      </c>
      <c r="C403">
        <v>1</v>
      </c>
      <c r="D403" s="3" t="s">
        <v>1964</v>
      </c>
      <c r="E403" t="s">
        <v>1849</v>
      </c>
      <c r="F403" t="s">
        <v>1849</v>
      </c>
      <c r="G403" t="s">
        <v>1850</v>
      </c>
      <c r="H403" t="s">
        <v>1963</v>
      </c>
      <c r="I403" t="s">
        <v>1963</v>
      </c>
      <c r="J403">
        <v>375</v>
      </c>
      <c r="K403">
        <v>360</v>
      </c>
      <c r="L403">
        <v>306</v>
      </c>
      <c r="M403" t="s">
        <v>1963</v>
      </c>
      <c r="N403">
        <v>375</v>
      </c>
      <c r="O403">
        <v>340</v>
      </c>
      <c r="P403">
        <v>305</v>
      </c>
      <c r="Q403" t="s">
        <v>36</v>
      </c>
      <c r="R403">
        <v>24</v>
      </c>
      <c r="S403">
        <v>1</v>
      </c>
      <c r="T403" s="4" t="s">
        <v>1965</v>
      </c>
      <c r="U403" s="4" t="s">
        <v>1966</v>
      </c>
      <c r="V403">
        <v>0</v>
      </c>
      <c r="W403" s="6" t="str">
        <f>"("&amp;A403&amp;","&amp;B403&amp;","&amp;C403&amp;",'"&amp;D403&amp;"','"&amp;E403&amp;"','"&amp;F403&amp;"','"&amp;G403&amp;"',"&amp;H403&amp;","&amp;I403&amp;","&amp;J403&amp;","&amp;K403&amp;","&amp;L403&amp;","&amp;M403&amp;","&amp;N403&amp;","&amp;O403&amp;","&amp;P403&amp;",'"&amp;Q403&amp;"',"&amp;R403&amp;","&amp;S403&amp;",'"&amp;T403&amp;"','"&amp;U403&amp;"',"&amp;V403&amp;"),"</f>
        <v>(2467,null,1,'2026-03-24 00:00:00','003304030080000-330403008','003304030080000-330403008','球结膜放射状切开冲洗+减压术',null,null,375,360,306,null,375,340,305,'次',24,1,'normal','main',0),</v>
      </c>
    </row>
    <row r="404" spans="1:23">
      <c r="A404">
        <v>2468</v>
      </c>
      <c r="B404" t="s">
        <v>1963</v>
      </c>
      <c r="C404">
        <v>1</v>
      </c>
      <c r="D404" s="3" t="s">
        <v>1964</v>
      </c>
      <c r="E404" t="s">
        <v>1854</v>
      </c>
      <c r="F404" t="s">
        <v>1854</v>
      </c>
      <c r="G404" t="s">
        <v>1855</v>
      </c>
      <c r="H404" t="s">
        <v>1963</v>
      </c>
      <c r="I404" t="s">
        <v>1963</v>
      </c>
      <c r="J404">
        <v>490</v>
      </c>
      <c r="K404">
        <v>470</v>
      </c>
      <c r="L404">
        <v>400</v>
      </c>
      <c r="M404" t="s">
        <v>1963</v>
      </c>
      <c r="N404">
        <v>490</v>
      </c>
      <c r="O404">
        <v>440</v>
      </c>
      <c r="P404">
        <v>397</v>
      </c>
      <c r="Q404" t="s">
        <v>36</v>
      </c>
      <c r="R404">
        <v>24</v>
      </c>
      <c r="S404">
        <v>1</v>
      </c>
      <c r="T404" s="4" t="s">
        <v>1965</v>
      </c>
      <c r="U404" s="4" t="s">
        <v>1966</v>
      </c>
      <c r="V404">
        <v>0</v>
      </c>
      <c r="W404" s="6" t="str">
        <f>"("&amp;A404&amp;","&amp;B404&amp;","&amp;C404&amp;",'"&amp;D404&amp;"','"&amp;E404&amp;"','"&amp;F404&amp;"','"&amp;G404&amp;"',"&amp;H404&amp;","&amp;I404&amp;","&amp;J404&amp;","&amp;K404&amp;","&amp;L404&amp;","&amp;M404&amp;","&amp;N404&amp;","&amp;O404&amp;","&amp;P404&amp;",'"&amp;Q404&amp;"',"&amp;R404&amp;","&amp;S404&amp;",'"&amp;T404&amp;"','"&amp;U404&amp;"',"&amp;V404&amp;"),"</f>
        <v>(2468,null,1,'2026-03-24 00:00:00','003304030080000-33040300801','003304030080000-33040300801','小儿球结膜放射状切开冲洗+减压术',null,null,490,470,400,null,490,440,397,'次',24,1,'normal','main',0),</v>
      </c>
    </row>
  </sheetData>
  <autoFilter ref="A1:W404">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眼科项目</vt:lpstr>
      <vt:lpstr>眼科项目 (2)</vt:lpstr>
      <vt:lpstr>改变收费方式，测算医疗费用项目</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吴华春</dc:creator>
  <cp:lastModifiedBy>QHTF</cp:lastModifiedBy>
  <dcterms:created xsi:type="dcterms:W3CDTF">2025-12-22T00:15:00Z</dcterms:created>
  <dcterms:modified xsi:type="dcterms:W3CDTF">2026-03-26T16:04:03Z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2052-11.8.2.12219</vt:lpwstr>
  </property>
  <property fmtid="{D5CDD505-2E9C-101B-9397-08002B2CF9AE}" pid="3" name="ICV">
    <vt:lpwstr>867FBB94BFCB3499F0C0AF69506A20F1</vt:lpwstr>
  </property>
</Properties>
</file>